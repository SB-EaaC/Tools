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0e9491fb78550aba/SBTech-Backup@com/Promotion_Tools/"/>
    </mc:Choice>
  </mc:AlternateContent>
  <xr:revisionPtr revIDLastSave="1087" documentId="13_ncr:1_{F65472EE-2379-4033-8A68-B296D9AE0ACE}" xr6:coauthVersionLast="46" xr6:coauthVersionMax="46" xr10:uidLastSave="{B82E685B-AFBB-4399-AF0C-0DBB88697257}"/>
  <bookViews>
    <workbookView xWindow="-120" yWindow="-120" windowWidth="24240" windowHeight="13140" tabRatio="725" xr2:uid="{C8B12665-2238-4A46-9D45-C4C675130737}"/>
  </bookViews>
  <sheets>
    <sheet name="OnlinePlan" sheetId="32" r:id="rId1"/>
    <sheet name="Message" sheetId="2" r:id="rId2"/>
    <sheet name="News" sheetId="6" r:id="rId3"/>
    <sheet name="Note" sheetId="7" r:id="rId4"/>
    <sheet name="Link" sheetId="8" r:id="rId5"/>
    <sheet name="Event" sheetId="10" r:id="rId6"/>
    <sheet name="Media" sheetId="9" r:id="rId7"/>
    <sheet name="Memorandum" sheetId="11" r:id="rId8"/>
    <sheet name="Enterprise" sheetId="12" r:id="rId9"/>
    <sheet name="Product" sheetId="13" r:id="rId10"/>
    <sheet name="Person" sheetId="14" r:id="rId11"/>
    <sheet name="JOB" sheetId="15" r:id="rId12"/>
    <sheet name="Action" sheetId="16" r:id="rId13"/>
    <sheet name="Doda" sheetId="17" r:id="rId14"/>
    <sheet name="Type" sheetId="18" r:id="rId15"/>
    <sheet name="PdM" sheetId="19" r:id="rId16"/>
    <sheet name="Language" sheetId="20" r:id="rId17"/>
    <sheet name="Web" sheetId="21" r:id="rId18"/>
    <sheet name="MSOffice" sheetId="22" r:id="rId19"/>
    <sheet name="Framework" sheetId="23" r:id="rId20"/>
    <sheet name="Environment" sheetId="24" r:id="rId21"/>
    <sheet name="Training Plan" sheetId="25" r:id="rId22"/>
    <sheet name="Plan (2)" sheetId="26" r:id="rId23"/>
    <sheet name="Mainframe课程内容" sheetId="27" r:id="rId24"/>
    <sheet name="东软培训要求" sheetId="28" r:id="rId25"/>
    <sheet name="日历" sheetId="29" r:id="rId26"/>
    <sheet name="座位表" sheetId="30" r:id="rId27"/>
    <sheet name="小组" sheetId="31" r:id="rId28"/>
  </sheets>
  <functionGroups builtInGroupCount="19"/>
  <externalReferences>
    <externalReference r:id="rId29"/>
    <externalReference r:id="rId30"/>
    <externalReference r:id="rId31"/>
    <externalReference r:id="rId32"/>
  </externalReferences>
  <definedNames>
    <definedName name="_xlnm._FilterDatabase" localSheetId="12" hidden="1">Action!$A$1:$K$1</definedName>
    <definedName name="_xlnm._FilterDatabase" localSheetId="8" hidden="1">Enterprise!$A$1:$CD$436</definedName>
    <definedName name="_xlnm._FilterDatabase" localSheetId="20" hidden="1">Environment!$A$1:$U$25</definedName>
    <definedName name="_xlnm._FilterDatabase" localSheetId="16" hidden="1">Language!$A$1:$V$25</definedName>
    <definedName name="_xlnm._FilterDatabase" localSheetId="4" hidden="1">Link!$A$2:$S$30</definedName>
    <definedName name="_xlnm._FilterDatabase" localSheetId="6" hidden="1">Media!$A$1:$AG$1094</definedName>
    <definedName name="_xlnm._FilterDatabase" localSheetId="7" hidden="1">Memorandum!$A$2:$P$18</definedName>
    <definedName name="_xlnm._FilterDatabase" localSheetId="1" hidden="1">Message!$A$2:$CA$13</definedName>
    <definedName name="_xlnm._FilterDatabase" localSheetId="2" hidden="1">News!$A$2:$AH$5</definedName>
    <definedName name="_xlnm._FilterDatabase" localSheetId="3" hidden="1">Note!$A$2:$AH$10</definedName>
    <definedName name="_xlnm._FilterDatabase" localSheetId="17" hidden="1">Web!$B$1:$O$64</definedName>
    <definedName name="IT" localSheetId="12">[1]Dict!#REF!</definedName>
    <definedName name="IT" localSheetId="5">[1]Dict!#REF!</definedName>
    <definedName name="IT" localSheetId="11">[1]Dict!#REF!</definedName>
    <definedName name="IT" localSheetId="4">[1]Dict!#REF!</definedName>
    <definedName name="IT" localSheetId="6">[1]Dict!#REF!</definedName>
    <definedName name="IT" localSheetId="7">[1]Dict!#REF!</definedName>
    <definedName name="IT" localSheetId="2">[1]Dict!#REF!</definedName>
    <definedName name="IT" localSheetId="3">[1]Dict!#REF!</definedName>
    <definedName name="IT" localSheetId="10">[1]Dict!#REF!</definedName>
    <definedName name="IT" localSheetId="9">[1]Dict!#REF!</definedName>
    <definedName name="IT" localSheetId="27">[1]Dict!#REF!</definedName>
    <definedName name="IT">[1]Dict!#REF!</definedName>
    <definedName name="IT技能" localSheetId="12">#REF!</definedName>
    <definedName name="IT技能" localSheetId="5">#REF!</definedName>
    <definedName name="IT技能" localSheetId="11">#REF!</definedName>
    <definedName name="IT技能" localSheetId="4">#REF!</definedName>
    <definedName name="IT技能" localSheetId="6">#REF!</definedName>
    <definedName name="IT技能" localSheetId="7">#REF!</definedName>
    <definedName name="IT技能" localSheetId="2">#REF!</definedName>
    <definedName name="IT技能" localSheetId="3">#REF!</definedName>
    <definedName name="IT技能" localSheetId="0">#REF!</definedName>
    <definedName name="IT技能" localSheetId="10">#REF!</definedName>
    <definedName name="IT技能" localSheetId="9">#REF!</definedName>
    <definedName name="IT技能" localSheetId="27">#REF!</definedName>
    <definedName name="IT技能">#REF!</definedName>
    <definedName name="jishu2">#REF!</definedName>
    <definedName name="Life" localSheetId="12">#REF!</definedName>
    <definedName name="Life" localSheetId="5">#REF!</definedName>
    <definedName name="Life" localSheetId="11">#REF!</definedName>
    <definedName name="Life" localSheetId="4">#REF!</definedName>
    <definedName name="Life" localSheetId="6">#REF!</definedName>
    <definedName name="Life" localSheetId="7">#REF!</definedName>
    <definedName name="Life" localSheetId="2">#REF!</definedName>
    <definedName name="Life" localSheetId="3">#REF!</definedName>
    <definedName name="Life" localSheetId="0">#REF!</definedName>
    <definedName name="Life" localSheetId="10">#REF!</definedName>
    <definedName name="Life" localSheetId="27">#REF!</definedName>
    <definedName name="Life">#REF!</definedName>
    <definedName name="mail2">#REF!</definedName>
    <definedName name="Password" localSheetId="12">#REF!</definedName>
    <definedName name="Password" localSheetId="5">#REF!</definedName>
    <definedName name="Password" localSheetId="11">#REF!</definedName>
    <definedName name="Password" localSheetId="4">#REF!</definedName>
    <definedName name="Password" localSheetId="6">#REF!</definedName>
    <definedName name="Password" localSheetId="7">#REF!</definedName>
    <definedName name="Password" localSheetId="2">#REF!</definedName>
    <definedName name="Password" localSheetId="3">#REF!</definedName>
    <definedName name="Password" localSheetId="0">#REF!</definedName>
    <definedName name="Password" localSheetId="10">#REF!</definedName>
    <definedName name="Password" localSheetId="27">#REF!</definedName>
    <definedName name="Password">#REF!</definedName>
    <definedName name="_xlnm.Print_Area" localSheetId="23">Mainframe课程内容!$A$1:$AO$88</definedName>
    <definedName name="_xlnm.Print_Titles" localSheetId="23">Mainframe课程内容!$1:$1</definedName>
    <definedName name="unnamed1" localSheetId="12">#REF!</definedName>
    <definedName name="unnamed1" localSheetId="5">#REF!</definedName>
    <definedName name="unnamed1" localSheetId="11">#REF!</definedName>
    <definedName name="unnamed1" localSheetId="4">#REF!</definedName>
    <definedName name="unnamed1" localSheetId="6">#REF!</definedName>
    <definedName name="unnamed1" localSheetId="7">#REF!</definedName>
    <definedName name="unnamed1" localSheetId="2">#REF!</definedName>
    <definedName name="unnamed1" localSheetId="3">#REF!</definedName>
    <definedName name="unnamed1" localSheetId="0">#REF!</definedName>
    <definedName name="unnamed1" localSheetId="10">#REF!</definedName>
    <definedName name="unnamed1" localSheetId="27">#REF!</definedName>
    <definedName name="unnamed1">#REF!</definedName>
    <definedName name="unnamed2" localSheetId="12">#REF!</definedName>
    <definedName name="unnamed2" localSheetId="5">#REF!</definedName>
    <definedName name="unnamed2" localSheetId="4">#REF!</definedName>
    <definedName name="unnamed2" localSheetId="6">#REF!</definedName>
    <definedName name="unnamed2" localSheetId="7">#REF!</definedName>
    <definedName name="unnamed2" localSheetId="2">#REF!</definedName>
    <definedName name="unnamed2" localSheetId="3">#REF!</definedName>
    <definedName name="unnamed2" localSheetId="10">#REF!</definedName>
    <definedName name="unnamed2" localSheetId="27">'Training Plan'!$A$246:$J$248</definedName>
    <definedName name="unnamed2">#REF!</definedName>
    <definedName name="Word" localSheetId="12">#REF!</definedName>
    <definedName name="Word" localSheetId="5">#REF!</definedName>
    <definedName name="Word" localSheetId="11">#REF!</definedName>
    <definedName name="Word" localSheetId="4">#REF!</definedName>
    <definedName name="Word" localSheetId="6">#REF!</definedName>
    <definedName name="Word" localSheetId="7">#REF!</definedName>
    <definedName name="Word" localSheetId="2">#REF!</definedName>
    <definedName name="Word" localSheetId="3">#REF!</definedName>
    <definedName name="Word" localSheetId="0">#REF!</definedName>
    <definedName name="Word" localSheetId="10">#REF!</definedName>
    <definedName name="Word" localSheetId="27">#REF!</definedName>
    <definedName name="Word">#REF!</definedName>
    <definedName name="Word_Excel_BuiltIn__FilterDatabase">'[2]Word '!$A$1:$U$3395</definedName>
    <definedName name="Work" localSheetId="12">#REF!</definedName>
    <definedName name="Work" localSheetId="5">#REF!</definedName>
    <definedName name="Work" localSheetId="11">#REF!</definedName>
    <definedName name="Work" localSheetId="4">#REF!</definedName>
    <definedName name="Work" localSheetId="6">#REF!</definedName>
    <definedName name="Work" localSheetId="7">#REF!</definedName>
    <definedName name="Work" localSheetId="2">#REF!</definedName>
    <definedName name="Work" localSheetId="3">#REF!</definedName>
    <definedName name="Work" localSheetId="0">#REF!</definedName>
    <definedName name="Work" localSheetId="10">#REF!</definedName>
    <definedName name="Work" localSheetId="9">#REF!</definedName>
    <definedName name="Work" localSheetId="27">#REF!</definedName>
    <definedName name="Work">#REF!</definedName>
    <definedName name="メールアドレス１">#REF!</definedName>
    <definedName name="読書" localSheetId="12">#REF!</definedName>
    <definedName name="読書" localSheetId="5">#REF!</definedName>
    <definedName name="読書" localSheetId="11">#REF!</definedName>
    <definedName name="読書" localSheetId="4">#REF!</definedName>
    <definedName name="読書" localSheetId="6">#REF!</definedName>
    <definedName name="読書" localSheetId="7">#REF!</definedName>
    <definedName name="読書" localSheetId="2">#REF!</definedName>
    <definedName name="読書" localSheetId="3">#REF!</definedName>
    <definedName name="読書" localSheetId="0">#REF!</definedName>
    <definedName name="読書" localSheetId="10">#REF!</definedName>
    <definedName name="読書" localSheetId="9">#REF!</definedName>
    <definedName name="読書" localSheetId="27">#REF!</definedName>
    <definedName name="読書">#REF!</definedName>
    <definedName name="福冈县立" localSheetId="12">#REF!</definedName>
    <definedName name="福冈县立" localSheetId="5">#REF!</definedName>
    <definedName name="福冈县立" localSheetId="11">#REF!</definedName>
    <definedName name="福冈县立" localSheetId="4">#REF!</definedName>
    <definedName name="福冈县立" localSheetId="6">#REF!</definedName>
    <definedName name="福冈县立" localSheetId="7">#REF!</definedName>
    <definedName name="福冈县立" localSheetId="2">#REF!</definedName>
    <definedName name="福冈县立" localSheetId="3">#REF!</definedName>
    <definedName name="福冈县立" localSheetId="0">#REF!</definedName>
    <definedName name="福冈县立" localSheetId="10">#REF!</definedName>
    <definedName name="福冈县立" localSheetId="27">#REF!</definedName>
    <definedName name="福冈县立">#REF!</definedName>
    <definedName name="工作" localSheetId="11">[1]Dict!#REF!</definedName>
    <definedName name="工作" localSheetId="4">[1]Dict!#REF!</definedName>
    <definedName name="工作" localSheetId="6">[1]Dict!#REF!</definedName>
    <definedName name="工作" localSheetId="2">[1]Dict!#REF!</definedName>
    <definedName name="工作" localSheetId="3">[1]Dict!#REF!</definedName>
    <definedName name="工作" localSheetId="10">[1]Dict!#REF!</definedName>
    <definedName name="工作" localSheetId="9">[1]Dict!#REF!</definedName>
    <definedName name="工作" localSheetId="27">[1]Dict!#REF!</definedName>
    <definedName name="工作">[1]Dict!#REF!</definedName>
    <definedName name="活用" localSheetId="12">[1]Dict!#REF!</definedName>
    <definedName name="活用" localSheetId="5">[1]Dict!#REF!</definedName>
    <definedName name="活用" localSheetId="11">[1]Dict!#REF!</definedName>
    <definedName name="活用" localSheetId="4">[1]Dict!#REF!</definedName>
    <definedName name="活用" localSheetId="6">[1]Dict!#REF!</definedName>
    <definedName name="活用" localSheetId="7">[1]Dict!#REF!</definedName>
    <definedName name="活用" localSheetId="2">[1]Dict!#REF!</definedName>
    <definedName name="活用" localSheetId="3">[1]Dict!#REF!</definedName>
    <definedName name="活用" localSheetId="10">[1]Dict!#REF!</definedName>
    <definedName name="活用" localSheetId="9">[1]Dict!#REF!</definedName>
    <definedName name="活用" localSheetId="27">[1]Dict!#REF!</definedName>
    <definedName name="活用">[1]Dict!#REF!</definedName>
    <definedName name="技術履歴書">#REF!</definedName>
    <definedName name="料理" localSheetId="11">[1]Dict!#REF!</definedName>
    <definedName name="料理" localSheetId="6">[1]Dict!#REF!</definedName>
    <definedName name="料理" localSheetId="10">[1]Dict!#REF!</definedName>
    <definedName name="料理" localSheetId="9">[1]Dict!#REF!</definedName>
    <definedName name="料理" localSheetId="27">[1]Dict!#REF!</definedName>
    <definedName name="料理">[1]Dict!#REF!</definedName>
    <definedName name="青少年室" localSheetId="12">#REF!</definedName>
    <definedName name="青少年室" localSheetId="5">#REF!</definedName>
    <definedName name="青少年室" localSheetId="11">#REF!</definedName>
    <definedName name="青少年室" localSheetId="4">#REF!</definedName>
    <definedName name="青少年室" localSheetId="6">#REF!</definedName>
    <definedName name="青少年室" localSheetId="7">#REF!</definedName>
    <definedName name="青少年室" localSheetId="2">#REF!</definedName>
    <definedName name="青少年室" localSheetId="3">#REF!</definedName>
    <definedName name="青少年室" localSheetId="0">#REF!</definedName>
    <definedName name="青少年室" localSheetId="10">#REF!</definedName>
    <definedName name="青少年室" localSheetId="9">#REF!</definedName>
    <definedName name="青少年室" localSheetId="27">#REF!</definedName>
    <definedName name="青少年室">#REF!</definedName>
    <definedName name="人物" localSheetId="5">[1]Dict!#REF!</definedName>
    <definedName name="人物" localSheetId="4">[1]Dict!#REF!</definedName>
    <definedName name="人物" localSheetId="6">[1]Dict!#REF!</definedName>
    <definedName name="人物" localSheetId="2">[1]Dict!#REF!</definedName>
    <definedName name="人物" localSheetId="3">[1]Dict!#REF!</definedName>
    <definedName name="人物">[1]Dict!#REF!</definedName>
    <definedName name="日本語" localSheetId="12">#REF!</definedName>
    <definedName name="日本語" localSheetId="5">#REF!</definedName>
    <definedName name="日本語" localSheetId="11">#REF!</definedName>
    <definedName name="日本語" localSheetId="4">#REF!</definedName>
    <definedName name="日本語" localSheetId="6">#REF!</definedName>
    <definedName name="日本語" localSheetId="7">#REF!</definedName>
    <definedName name="日本語" localSheetId="2">#REF!</definedName>
    <definedName name="日本語" localSheetId="3">#REF!</definedName>
    <definedName name="日本語" localSheetId="0">#REF!</definedName>
    <definedName name="日本語" localSheetId="10">#REF!</definedName>
    <definedName name="日本語" localSheetId="27">#REF!</definedName>
    <definedName name="日本語">#REF!</definedName>
    <definedName name="日剧" localSheetId="12">#REF!</definedName>
    <definedName name="日剧" localSheetId="5">#REF!</definedName>
    <definedName name="日剧" localSheetId="11">#REF!</definedName>
    <definedName name="日剧" localSheetId="4">#REF!</definedName>
    <definedName name="日剧" localSheetId="6">#REF!</definedName>
    <definedName name="日剧" localSheetId="7">#REF!</definedName>
    <definedName name="日剧" localSheetId="2">#REF!</definedName>
    <definedName name="日剧" localSheetId="3">#REF!</definedName>
    <definedName name="日剧" localSheetId="0">#REF!</definedName>
    <definedName name="日剧" localSheetId="10">#REF!</definedName>
    <definedName name="日剧" localSheetId="27">#REF!</definedName>
    <definedName name="日剧">#REF!</definedName>
    <definedName name="生活" localSheetId="5">[1]Dict!#REF!</definedName>
    <definedName name="生活" localSheetId="4">[1]Dict!#REF!</definedName>
    <definedName name="生活" localSheetId="6">[1]Dict!#REF!</definedName>
    <definedName name="生活" localSheetId="2">[1]Dict!#REF!</definedName>
    <definedName name="生活" localSheetId="3">[1]Dict!#REF!</definedName>
    <definedName name="生活">[1]Dict!#REF!</definedName>
    <definedName name="文法" localSheetId="12">[1]Dict!#REF!</definedName>
    <definedName name="文法" localSheetId="5">[1]Dict!#REF!</definedName>
    <definedName name="文法" localSheetId="11">[1]Dict!#REF!</definedName>
    <definedName name="文法" localSheetId="4">[1]Dict!#REF!</definedName>
    <definedName name="文法" localSheetId="6">[1]Dict!#REF!</definedName>
    <definedName name="文法" localSheetId="7">[1]Dict!#REF!</definedName>
    <definedName name="文法" localSheetId="2">[1]Dict!#REF!</definedName>
    <definedName name="文法" localSheetId="3">[1]Dict!#REF!</definedName>
    <definedName name="文法" localSheetId="10">[1]Dict!#REF!</definedName>
    <definedName name="文法" localSheetId="9">[1]Dict!#REF!</definedName>
    <definedName name="文法" localSheetId="27">[1]Dict!#REF!</definedName>
    <definedName name="文法">[1]Dict!#REF!</definedName>
    <definedName name="业务" localSheetId="11">[1]Dict!#REF!</definedName>
    <definedName name="业务" localSheetId="4">[1]Dict!#REF!</definedName>
    <definedName name="业务" localSheetId="6">[1]Dict!#REF!</definedName>
    <definedName name="业务" localSheetId="2">[1]Dict!#REF!</definedName>
    <definedName name="业务" localSheetId="3">[1]Dict!#REF!</definedName>
    <definedName name="业务" localSheetId="10">[1]Dict!#REF!</definedName>
    <definedName name="业务" localSheetId="27">[1]Dict!#REF!</definedName>
    <definedName name="业务">[1]Dict!#REF!</definedName>
    <definedName name="英語" localSheetId="12">#REF!</definedName>
    <definedName name="英語" localSheetId="5">#REF!</definedName>
    <definedName name="英語" localSheetId="11">#REF!</definedName>
    <definedName name="英語" localSheetId="4">#REF!</definedName>
    <definedName name="英語" localSheetId="6">#REF!</definedName>
    <definedName name="英語" localSheetId="7">#REF!</definedName>
    <definedName name="英語" localSheetId="2">#REF!</definedName>
    <definedName name="英語" localSheetId="3">#REF!</definedName>
    <definedName name="英語" localSheetId="0">#REF!</definedName>
    <definedName name="英語" localSheetId="10">#REF!</definedName>
    <definedName name="英語" localSheetId="27">#REF!</definedName>
    <definedName name="英語">#REF!</definedName>
    <definedName name="知识" localSheetId="12">[1]Dict!#REF!</definedName>
    <definedName name="知识" localSheetId="5">[1]Dict!#REF!</definedName>
    <definedName name="知识" localSheetId="4">[1]Dict!#REF!</definedName>
    <definedName name="知识" localSheetId="6">[1]Dict!#REF!</definedName>
    <definedName name="知识" localSheetId="7">[1]Dict!#REF!</definedName>
    <definedName name="知识" localSheetId="2">[1]Dict!#REF!</definedName>
    <definedName name="知识" localSheetId="3">[1]Dict!#REF!</definedName>
    <definedName name="知识" localSheetId="0">[1]Dict!#REF!</definedName>
    <definedName name="知识" localSheetId="9">[1]Dict!#REF!</definedName>
    <definedName name="知识">[1]Dict!#REF!</definedName>
    <definedName name="专用词" localSheetId="11">[1]Dict!#REF!</definedName>
    <definedName name="专用词" localSheetId="4">[1]Dict!#REF!</definedName>
    <definedName name="专用词" localSheetId="6">[1]Dict!#REF!</definedName>
    <definedName name="专用词" localSheetId="2">[1]Dict!#REF!</definedName>
    <definedName name="专用词" localSheetId="3">[1]Dict!#REF!</definedName>
    <definedName name="专用词" localSheetId="10">[1]Dict!#REF!</definedName>
    <definedName name="专用词" localSheetId="27">[1]Dict!#REF!</definedName>
    <definedName name="专用词">[1]Dict!#REF!</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5" i="29" l="1"/>
  <c r="K7" i="29"/>
  <c r="G5" i="26"/>
  <c r="G6" i="26"/>
  <c r="C8" i="26"/>
  <c r="G8" i="26"/>
  <c r="G2" i="26" s="1"/>
  <c r="C9" i="26"/>
  <c r="C11" i="26" s="1"/>
  <c r="C12" i="26" s="1"/>
  <c r="C14" i="26" s="1"/>
  <c r="C15" i="26" s="1"/>
  <c r="G9" i="26"/>
  <c r="G11" i="26"/>
  <c r="G12" i="26"/>
  <c r="G14" i="26"/>
  <c r="G15" i="26"/>
  <c r="G60" i="26"/>
  <c r="G89" i="26"/>
  <c r="G100" i="26"/>
  <c r="G108" i="26"/>
  <c r="G112" i="26"/>
  <c r="F117" i="26"/>
  <c r="N117" i="26"/>
  <c r="G117" i="26" l="1" a="1"/>
  <c r="G117" i="26" s="1"/>
  <c r="N118" i="26" s="1"/>
  <c r="G118" i="26" a="1"/>
  <c r="G118" i="26" s="1"/>
  <c r="F640" i="16"/>
  <c r="F623" i="16"/>
  <c r="F624" i="16"/>
  <c r="F625" i="16"/>
  <c r="F626" i="16"/>
  <c r="F627" i="16"/>
  <c r="F628" i="16"/>
  <c r="F629" i="16"/>
  <c r="F630" i="16"/>
  <c r="F631" i="16"/>
  <c r="F632" i="16"/>
  <c r="F633" i="16"/>
  <c r="F634" i="16"/>
  <c r="F635" i="16"/>
  <c r="F636" i="16"/>
  <c r="F637" i="16"/>
  <c r="F638" i="16"/>
  <c r="F639" i="16"/>
  <c r="F615" i="16"/>
  <c r="F616" i="16"/>
  <c r="F617" i="16"/>
  <c r="F618" i="16"/>
  <c r="F619" i="16"/>
  <c r="F620" i="16"/>
  <c r="F621" i="16"/>
  <c r="F622" i="16"/>
  <c r="F602" i="16"/>
  <c r="F603" i="16"/>
  <c r="F604" i="16"/>
  <c r="F605" i="16"/>
  <c r="F606" i="16"/>
  <c r="F607" i="16"/>
  <c r="F608" i="16"/>
  <c r="F609" i="16"/>
  <c r="F610" i="16"/>
  <c r="F611" i="16"/>
  <c r="F612" i="16"/>
  <c r="F613" i="16"/>
  <c r="F614" i="16"/>
  <c r="F587" i="16"/>
  <c r="F588" i="16"/>
  <c r="F589" i="16"/>
  <c r="F590" i="16"/>
  <c r="F591" i="16"/>
  <c r="F592" i="16"/>
  <c r="F593" i="16"/>
  <c r="F594" i="16"/>
  <c r="F595" i="16"/>
  <c r="F596" i="16"/>
  <c r="F597" i="16"/>
  <c r="F598" i="16"/>
  <c r="F599" i="16"/>
  <c r="F600" i="16"/>
  <c r="F601" i="16"/>
  <c r="F572" i="16"/>
  <c r="F573" i="16"/>
  <c r="F574" i="16"/>
  <c r="F575" i="16"/>
  <c r="F576" i="16"/>
  <c r="F577" i="16"/>
  <c r="F578" i="16"/>
  <c r="F579" i="16"/>
  <c r="F580" i="16"/>
  <c r="F581" i="16"/>
  <c r="F582" i="16"/>
  <c r="F583" i="16"/>
  <c r="F584" i="16"/>
  <c r="F585" i="16"/>
  <c r="F586" i="16"/>
  <c r="F562" i="16"/>
  <c r="F563" i="16"/>
  <c r="F564" i="16"/>
  <c r="F565" i="16"/>
  <c r="F566" i="16"/>
  <c r="F567" i="16"/>
  <c r="F568" i="16"/>
  <c r="F569" i="16"/>
  <c r="F570" i="16"/>
  <c r="F571" i="16"/>
  <c r="F550" i="16"/>
  <c r="F551" i="16"/>
  <c r="F552" i="16"/>
  <c r="F553" i="16"/>
  <c r="F554" i="16"/>
  <c r="F555" i="16"/>
  <c r="F556" i="16"/>
  <c r="F557" i="16"/>
  <c r="F558" i="16"/>
  <c r="F559" i="16"/>
  <c r="F560" i="16"/>
  <c r="F561" i="16"/>
  <c r="F537" i="16"/>
  <c r="F538" i="16"/>
  <c r="F539" i="16"/>
  <c r="F540" i="16"/>
  <c r="F541" i="16"/>
  <c r="F542" i="16"/>
  <c r="F543" i="16"/>
  <c r="F544" i="16"/>
  <c r="F545" i="16"/>
  <c r="F546" i="16"/>
  <c r="F547" i="16"/>
  <c r="F548" i="16"/>
  <c r="F549" i="16"/>
  <c r="F520" i="16"/>
  <c r="F521" i="16"/>
  <c r="F522" i="16"/>
  <c r="F523" i="16"/>
  <c r="F524" i="16"/>
  <c r="F525" i="16"/>
  <c r="F526" i="16"/>
  <c r="F527" i="16"/>
  <c r="F528" i="16"/>
  <c r="F529" i="16"/>
  <c r="F530" i="16"/>
  <c r="F531" i="16"/>
  <c r="F532" i="16"/>
  <c r="F533" i="16"/>
  <c r="F534" i="16"/>
  <c r="F535" i="16"/>
  <c r="F536" i="16"/>
  <c r="F511" i="16"/>
  <c r="F512" i="16"/>
  <c r="F513" i="16"/>
  <c r="F514" i="16"/>
  <c r="F515" i="16"/>
  <c r="F516" i="16"/>
  <c r="F517" i="16"/>
  <c r="F518" i="16"/>
  <c r="F519" i="16"/>
  <c r="F504" i="16"/>
  <c r="F505" i="16"/>
  <c r="F506" i="16"/>
  <c r="F507" i="16"/>
  <c r="F508" i="16"/>
  <c r="F509" i="16"/>
  <c r="F510" i="16"/>
  <c r="F496" i="16"/>
  <c r="F497" i="16"/>
  <c r="F498" i="16"/>
  <c r="F499" i="16"/>
  <c r="F500" i="16"/>
  <c r="F501" i="16"/>
  <c r="F502" i="16"/>
  <c r="F503" i="16"/>
  <c r="F487" i="16"/>
  <c r="F488" i="16"/>
  <c r="F489" i="16"/>
  <c r="F490" i="16"/>
  <c r="F491" i="16"/>
  <c r="F492" i="16"/>
  <c r="F493" i="16"/>
  <c r="F494" i="16"/>
  <c r="F495" i="16"/>
  <c r="F485" i="16"/>
  <c r="F486" i="16"/>
  <c r="F475" i="16"/>
  <c r="F476" i="16"/>
  <c r="F477" i="16"/>
  <c r="F478" i="16"/>
  <c r="F479" i="16"/>
  <c r="F480" i="16"/>
  <c r="F481" i="16"/>
  <c r="F482" i="16"/>
  <c r="F483" i="16"/>
  <c r="F484" i="16"/>
  <c r="F465" i="16"/>
  <c r="F466" i="16"/>
  <c r="F467" i="16"/>
  <c r="F468" i="16"/>
  <c r="F469" i="16"/>
  <c r="F470" i="16"/>
  <c r="F471" i="16"/>
  <c r="F472" i="16"/>
  <c r="F473" i="16"/>
  <c r="F474" i="16"/>
  <c r="F452" i="16"/>
  <c r="F453" i="16"/>
  <c r="F454" i="16"/>
  <c r="F455" i="16"/>
  <c r="F456" i="16"/>
  <c r="F457" i="16"/>
  <c r="F458" i="16"/>
  <c r="F459" i="16"/>
  <c r="F460" i="16"/>
  <c r="F461" i="16"/>
  <c r="F462" i="16"/>
  <c r="F463" i="16"/>
  <c r="F464" i="16"/>
  <c r="F449" i="16"/>
  <c r="F448" i="16"/>
  <c r="F443" i="16"/>
  <c r="F444" i="16"/>
  <c r="F445" i="16"/>
  <c r="F446" i="16"/>
  <c r="F447" i="16"/>
  <c r="F450" i="16"/>
  <c r="F451" i="16"/>
  <c r="F433" i="16"/>
  <c r="F434" i="16"/>
  <c r="F435" i="16"/>
  <c r="F436" i="16"/>
  <c r="F437" i="16"/>
  <c r="F438" i="16"/>
  <c r="F439" i="16"/>
  <c r="F440" i="16"/>
  <c r="F441" i="16"/>
  <c r="F442" i="16"/>
  <c r="F427" i="16"/>
  <c r="F428" i="16"/>
  <c r="F429" i="16"/>
  <c r="F430" i="16"/>
  <c r="F431" i="16"/>
  <c r="F432" i="16"/>
  <c r="F404" i="16"/>
  <c r="F405" i="16"/>
  <c r="F406" i="16"/>
  <c r="F407" i="16"/>
  <c r="F408" i="16"/>
  <c r="F409" i="16"/>
  <c r="F410" i="16"/>
  <c r="F411" i="16"/>
  <c r="F412" i="16"/>
  <c r="F413" i="16"/>
  <c r="F414" i="16"/>
  <c r="F415" i="16"/>
  <c r="F416" i="16"/>
  <c r="F417" i="16"/>
  <c r="F418" i="16"/>
  <c r="F419" i="16"/>
  <c r="F420" i="16"/>
  <c r="F421" i="16"/>
  <c r="F422" i="16"/>
  <c r="F423" i="16"/>
  <c r="F424" i="16"/>
  <c r="F425" i="16"/>
  <c r="F426" i="16"/>
  <c r="F388" i="16"/>
  <c r="F389" i="16"/>
  <c r="F390" i="16"/>
  <c r="F391" i="16"/>
  <c r="F392" i="16"/>
  <c r="F393" i="16"/>
  <c r="F394" i="16"/>
  <c r="F395" i="16"/>
  <c r="F396" i="16"/>
  <c r="F397" i="16"/>
  <c r="F398" i="16"/>
  <c r="F399" i="16"/>
  <c r="F400" i="16"/>
  <c r="F401" i="16"/>
  <c r="F402" i="16"/>
  <c r="F403" i="16"/>
  <c r="F189" i="16"/>
  <c r="F201" i="16"/>
  <c r="F202" i="16"/>
  <c r="F203" i="16"/>
  <c r="F204" i="16"/>
  <c r="F205" i="16"/>
  <c r="F206" i="16"/>
  <c r="F207" i="16"/>
  <c r="F208" i="16"/>
  <c r="F209" i="16"/>
  <c r="F210" i="16"/>
  <c r="F211" i="16"/>
  <c r="F212" i="16"/>
  <c r="F213" i="16"/>
  <c r="F214" i="16"/>
  <c r="F215" i="16"/>
  <c r="F216" i="16"/>
  <c r="F217" i="16"/>
  <c r="F218" i="16"/>
  <c r="F219" i="16"/>
  <c r="F220" i="16"/>
  <c r="F221" i="16"/>
  <c r="F222" i="16"/>
  <c r="F223" i="16"/>
  <c r="F224" i="16"/>
  <c r="F225" i="16"/>
  <c r="F226" i="16"/>
  <c r="F227" i="16"/>
  <c r="F228" i="16"/>
  <c r="F229" i="16"/>
  <c r="F230" i="16"/>
  <c r="F231" i="16"/>
  <c r="F232" i="16"/>
  <c r="F233" i="16"/>
  <c r="F234" i="16"/>
  <c r="F235" i="16"/>
  <c r="F236" i="16"/>
  <c r="F237" i="16"/>
  <c r="F238" i="16"/>
  <c r="F239" i="16"/>
  <c r="F240" i="16"/>
  <c r="F241" i="16"/>
  <c r="F242" i="16"/>
  <c r="F243" i="16"/>
  <c r="F244" i="16"/>
  <c r="F245" i="16"/>
  <c r="F246" i="16"/>
  <c r="F247" i="16"/>
  <c r="F248" i="16"/>
  <c r="F249" i="16"/>
  <c r="F250" i="16"/>
  <c r="F251" i="16"/>
  <c r="F252" i="16"/>
  <c r="F253" i="16"/>
  <c r="F254" i="16"/>
  <c r="F255" i="16"/>
  <c r="F256" i="16"/>
  <c r="F257" i="16"/>
  <c r="F258" i="16"/>
  <c r="F259" i="16"/>
  <c r="F260" i="16"/>
  <c r="F261" i="16"/>
  <c r="F262" i="16"/>
  <c r="F263" i="16"/>
  <c r="F264" i="16"/>
  <c r="F265" i="16"/>
  <c r="F266" i="16"/>
  <c r="F267" i="16"/>
  <c r="F268" i="16"/>
  <c r="F269" i="16"/>
  <c r="F270" i="16"/>
  <c r="F271" i="16"/>
  <c r="F272" i="16"/>
  <c r="F273" i="16"/>
  <c r="F274" i="16"/>
  <c r="F275" i="16"/>
  <c r="F276" i="16"/>
  <c r="F277" i="16"/>
  <c r="F278" i="16"/>
  <c r="F279" i="16"/>
  <c r="F280" i="16"/>
  <c r="F281" i="16"/>
  <c r="F282" i="16"/>
  <c r="F283" i="16"/>
  <c r="F284" i="16"/>
  <c r="F285" i="16"/>
  <c r="F286" i="16"/>
  <c r="F287" i="16"/>
  <c r="F288" i="16"/>
  <c r="F289" i="16"/>
  <c r="F290" i="16"/>
  <c r="F291" i="16"/>
  <c r="F292" i="16"/>
  <c r="F293" i="16"/>
  <c r="F294" i="16"/>
  <c r="F295" i="16"/>
  <c r="F296" i="16"/>
  <c r="F297" i="16"/>
  <c r="F298" i="16"/>
  <c r="F299" i="16"/>
  <c r="F300" i="16"/>
  <c r="F301" i="16"/>
  <c r="F302" i="16"/>
  <c r="F303" i="16"/>
  <c r="F304" i="16"/>
  <c r="F305" i="16"/>
  <c r="F306" i="16"/>
  <c r="F307" i="16"/>
  <c r="F308" i="16"/>
  <c r="F309" i="16"/>
  <c r="F310" i="16"/>
  <c r="F311" i="16"/>
  <c r="F312" i="16"/>
  <c r="F313" i="16"/>
  <c r="F314" i="16"/>
  <c r="F315" i="16"/>
  <c r="F316" i="16"/>
  <c r="F317" i="16"/>
  <c r="F318" i="16"/>
  <c r="F319" i="16"/>
  <c r="F320" i="16"/>
  <c r="F321" i="16"/>
  <c r="F376" i="16"/>
  <c r="F377" i="16"/>
  <c r="F378" i="16"/>
  <c r="F379" i="16"/>
  <c r="F380" i="16"/>
  <c r="F381" i="16"/>
  <c r="F382" i="16"/>
  <c r="F383" i="16"/>
  <c r="F384" i="16"/>
  <c r="F385" i="16"/>
  <c r="F386" i="16"/>
  <c r="F387" i="16"/>
  <c r="F362" i="16"/>
  <c r="F363" i="16"/>
  <c r="F364" i="16"/>
  <c r="F365" i="16"/>
  <c r="F366" i="16"/>
  <c r="F367" i="16"/>
  <c r="F368" i="16"/>
  <c r="F369" i="16"/>
  <c r="F370" i="16"/>
  <c r="F371" i="16"/>
  <c r="F372" i="16"/>
  <c r="F373" i="16"/>
  <c r="F374" i="16"/>
  <c r="F375" i="16"/>
  <c r="F361" i="16" l="1"/>
  <c r="F360" i="16"/>
  <c r="F359" i="16"/>
  <c r="F358" i="16"/>
  <c r="F357" i="16"/>
  <c r="F356" i="16"/>
  <c r="F355" i="16"/>
  <c r="F354" i="16"/>
  <c r="F353" i="16"/>
  <c r="F352" i="16"/>
  <c r="F351" i="16"/>
  <c r="F350" i="16"/>
  <c r="F349" i="16"/>
  <c r="F348" i="16"/>
  <c r="F347" i="16"/>
  <c r="F346" i="16"/>
  <c r="F345" i="16"/>
  <c r="F344" i="16"/>
  <c r="F343" i="16"/>
  <c r="F342" i="16"/>
  <c r="F341" i="16"/>
  <c r="F340" i="16"/>
  <c r="F339" i="16"/>
  <c r="F338" i="16"/>
  <c r="F337" i="16"/>
  <c r="F336" i="16"/>
  <c r="F335" i="16"/>
  <c r="F334" i="16"/>
  <c r="F333" i="16"/>
  <c r="F332" i="16"/>
  <c r="F331" i="16"/>
  <c r="F330" i="16"/>
  <c r="F329" i="16"/>
  <c r="F328" i="16"/>
  <c r="F327" i="16"/>
  <c r="F326" i="16"/>
  <c r="F325" i="16"/>
  <c r="F324" i="16"/>
  <c r="F323" i="16"/>
  <c r="F322" i="16"/>
  <c r="AL294" i="12" l="1"/>
</calcChain>
</file>

<file path=xl/sharedStrings.xml><?xml version="1.0" encoding="utf-8"?>
<sst xmlns="http://schemas.openxmlformats.org/spreadsheetml/2006/main" count="10677" uniqueCount="4160">
  <si>
    <t>SunShubin</t>
    <phoneticPr fontId="2" type="noConversion"/>
  </si>
  <si>
    <t>Product-Design</t>
  </si>
  <si>
    <t>Project-Operation</t>
  </si>
  <si>
    <t>QA-Cloud</t>
  </si>
  <si>
    <r>
      <rPr>
        <sz val="11"/>
        <color theme="1"/>
        <rFont val="微软雅黑"/>
        <family val="2"/>
        <charset val="134"/>
      </rPr>
      <t>Offer</t>
    </r>
    <r>
      <rPr>
        <sz val="11"/>
        <color theme="1"/>
        <rFont val="等线"/>
        <family val="2"/>
        <scheme val="minor"/>
      </rPr>
      <t>-Cloud</t>
    </r>
    <phoneticPr fontId="3"/>
  </si>
  <si>
    <t>SBHiTech</t>
  </si>
  <si>
    <t>SBGIC</t>
  </si>
  <si>
    <t>SBETP</t>
  </si>
  <si>
    <r>
      <rPr>
        <sz val="11"/>
        <color theme="1"/>
        <rFont val="Yu Gothic"/>
        <family val="2"/>
        <charset val="128"/>
      </rPr>
      <t>D</t>
    </r>
    <r>
      <rPr>
        <sz val="11"/>
        <color theme="1"/>
        <rFont val="宋体"/>
        <family val="2"/>
        <charset val="128"/>
      </rPr>
      <t>ate</t>
    </r>
    <phoneticPr fontId="3"/>
  </si>
  <si>
    <r>
      <rPr>
        <sz val="11"/>
        <color theme="1"/>
        <rFont val="Yu Gothic"/>
        <family val="2"/>
        <charset val="128"/>
      </rPr>
      <t>U</t>
    </r>
    <r>
      <rPr>
        <sz val="11"/>
        <color theme="1"/>
        <rFont val="宋体"/>
        <family val="2"/>
        <charset val="128"/>
      </rPr>
      <t>pdate</t>
    </r>
    <phoneticPr fontId="3"/>
  </si>
  <si>
    <t>End</t>
    <phoneticPr fontId="3"/>
  </si>
  <si>
    <t>title</t>
    <phoneticPr fontId="3"/>
  </si>
  <si>
    <t>Note</t>
    <phoneticPr fontId="3"/>
  </si>
  <si>
    <t>URL</t>
    <phoneticPr fontId="3"/>
  </si>
  <si>
    <t>lang</t>
    <phoneticPr fontId="3"/>
  </si>
  <si>
    <t>SunShubin.github.io</t>
  </si>
  <si>
    <t>categories2</t>
    <phoneticPr fontId="3"/>
  </si>
  <si>
    <t>sticky</t>
    <phoneticPr fontId="3"/>
  </si>
  <si>
    <t>Tag</t>
    <phoneticPr fontId="3"/>
  </si>
  <si>
    <t>Product-Design.github.io</t>
  </si>
  <si>
    <t>Project-Operation.github.io</t>
  </si>
  <si>
    <t>QA-Cloud .github.io</t>
  </si>
  <si>
    <t>Offer-Cloud.github.io</t>
    <phoneticPr fontId="3"/>
  </si>
  <si>
    <t>SBHiTech.github.io</t>
  </si>
  <si>
    <t>SBGIC.github.io</t>
  </si>
  <si>
    <t>SBETP.github.io</t>
  </si>
  <si>
    <t>Memo</t>
    <phoneticPr fontId="3"/>
  </si>
  <si>
    <r>
      <t>AI与法律</t>
    </r>
    <r>
      <rPr>
        <sz val="11"/>
        <color theme="1"/>
        <rFont val="微软雅黑"/>
        <family val="2"/>
        <charset val="134"/>
      </rPr>
      <t>服务</t>
    </r>
    <phoneticPr fontId="3"/>
  </si>
  <si>
    <t># 摘要
## 提问
- AI改善法律服务
## 回答
- 略
# 方法论
- 数据：法律条文、历史案例
- 业务流程改善：业务流程自动化，OK
- 数据分析：机器，OK
- 服务支持：人工智能服务决策支持系统，需要专家经验数据支持
- 经济价值
  - 人工成本降低50%以上，特别是历史数据查询成本
  - 决策支持</t>
    <phoneticPr fontId="3"/>
  </si>
  <si>
    <t>zh-CN</t>
  </si>
  <si>
    <t>产品设计</t>
    <phoneticPr fontId="3"/>
  </si>
  <si>
    <t>Clubhouse</t>
    <phoneticPr fontId="3"/>
  </si>
  <si>
    <t>工程师职场</t>
    <phoneticPr fontId="3"/>
  </si>
  <si>
    <t xml:space="preserve"># 摘要
## 提问
- 沟通
- 孤立
## 回答
- 留证
- 询问管理者
- HR反馈
# 方法论
- 公司规章制度，流程
  - 企业管理的架构
- 社交与沟通，影响力
- 企业管理
- 项目管理
</t>
    <phoneticPr fontId="3"/>
  </si>
  <si>
    <r>
      <rPr>
        <sz val="11"/>
        <color theme="1"/>
        <rFont val="Yu Gothic"/>
        <family val="2"/>
        <charset val="128"/>
      </rPr>
      <t>ClubHouse</t>
    </r>
    <r>
      <rPr>
        <sz val="11"/>
        <color theme="1"/>
        <rFont val="宋体"/>
        <family val="2"/>
        <charset val="134"/>
      </rPr>
      <t>创建Club</t>
    </r>
    <phoneticPr fontId="3"/>
  </si>
  <si>
    <t>更新app至最新版本
活跃用户用户每个月可以创建2个Club
创建方法
bio最下加号
club名字最长25个字，不能改名
club简介更新
menber设定admin，admin权限和创始人一样</t>
    <phoneticPr fontId="3"/>
  </si>
  <si>
    <t>软件开发模式对比(瀑布、迭代、螺旋、敏捷)</t>
    <phoneticPr fontId="3"/>
  </si>
  <si>
    <t>1、瀑布模型是由W.W.Royce在1970年最初提出的软件开发模型，　瀑布式开发是一种老旧的计算机软件开发方法。
瀑布模型式是最典型的预见性的方法，严格遵循预先计划的需求分析、设计、编码、集成、测试、维护的步骤顺序进行。
步骤成果作为衡量进度的方法，例如需求规格，设计文档，测试计划和代码审阅等等。 
瀑布式的主要的问题是它的严格分级导致的自由度降低，项目早期即作出承诺导致对后期需求的变化难以调整，
代价高昂。瀑布式方法在需求不明并且在项目进行过程中可能变化的情况下基本是不可行的。 
2、迭代式开发也被称作迭代增量式开发或迭代进化式开发，是一种与传统的瀑布式开发相反的软件开发过程，它弥补了传统开发方式中的一些弱点，具有更高的成功率和生产率。
什么是迭代式开发？
每次只设计和实现这个产品的一部分, 
逐步逐步完成的方法叫迭代开发, 
每次设计和实现一个阶段叫做一个迭代. 
在迭代式开发方法中，整个开发工作被组织为一系列的短小的、
固定长度（如3周）的小项目，被称为一系列的迭代。
每一次迭代都包括了需求分析、设计、实现与测试。
采用这种方法，开发工作可以在需求被完整地确定之前启动，
并在一次迭代中完成系统的一部分功能或业务逻辑的开发工作。
再通过客户的反馈来细化需求，并开始新一轮的迭代。
迭代式开发的优点：
　　1、降低风险
　　2、得到早期用户反馈
　　3、持续的测试和集成
　　4、使用变更
　　5、提高复用性
螺旋开发，1988年，巴利·玻姆(Barry Boehm)正式发表了软件系统开发的“螺旋模型”，它将瀑布模型和快速原型模型结合起来，强调了其他模型所忽视的风险分析，特别适合于大型复杂的系统。
“螺旋模型”刚开始规模很小，当项目被定义得更好、更稳定时，逐渐展开。 
　　“螺旋模型”的核心就在于您不需要在刚开始的时候就把所有事情都定义的清清楚楚。您轻松上阵，定义最重要的功能，实现它，然后听取客户的意见，之后再进入到下一个阶段。如此不断轮回重复，直到得到您满意的最终产品。 
       （1）制定计划：确定软件目标，选定实施方案，弄清项目开发的限制条件； 
　　（2）风险分析：分析评估所选方案，考虑如何识别和消除风险； 
　　（3）实施工程：实施软件开发和验证； 
　　（4）客户评估：评价开发工作，提出修正建议，制定下一步计划。 
螺旋模型很大程度上是一种风险驱动的方法体系，因为在每个阶段之前及经常发生的循环之前，都必须首先进行风险评估。
敏捷软件开发又称敏捷开发， 是一种从1990年代开始逐渐引起广泛关注的一些新型软件开发方法，是一种应对快速变化的需求的一种软件开发能力。它们的具体名称、理念、过程、术语都不 尽相同，相对于“非敏捷”，更强调程序员团队与业务专家之间的紧密协作、面对面的沟通（认为比书面的文档更有效）、频繁交付新的软件版本、紧凑而自我组织 型的团队、能够很好地适应需求变化的代码编写和团队组织方法，也更注重软件开发中人的作用。
    人和交互 重于过程和工具。
    可以工作的软件 重于求全而完备的文档。
    客户协作重于合同谈判。
    随时应对变化重于循规蹈矩。
其中位于右边的内容虽然也有其价值，但是左边的内容最为重要。
人员彼此信任 人少但是精干 可以面对面的沟通
项目的敏捷开发：
敏捷开发小组主要的工作方式可以归纳为：作为一个整体工作； 按短迭代周期工作； 每次迭代交付一些成果； 
关注业务优先级； 检查与调整。
最重要的因素恐怕是项目的规模。规模增长，面对面的沟通就愈加困难，
因此敏捷方法更适用于较小的队伍，40、30、20、10人或者更少。
大规模的敏捷软件开发尚处于积极研究的领域。
四者对比区别：
传统的瀑布式开发，也就是从需求到设计，从设计到编码，从编码到测试，从测试到提交大概这样的流程，要求每一个开发阶段都要做到最好。
特别是前期阶段，设计的越完美，提交后的成本损失就越少。
迭代式开发，不要求每一个阶段的任务做的都是最完美的，而是明明知道还有很多不足的地方，却偏偏不去完善它，而是把主要功能先搭建起来为目的，以最短的时间，
最少的损失先完成一个“不完美的成果物”直至提交。然后再通过客户或用户的反馈信息，在这个“不完美的成果物”上逐步进行完善。
螺旋开发，很大程度上是一种风险驱动的方法体系，因为在每个阶段之前及经常发生的循环之前，都必须首先进行风险评估。
敏捷开发，相比迭代式开发两者都强调在较短的开发周期提交软件，但是，敏捷开发的周期可能更短，并且更加强调队伍中的高度协作。
敏捷方法有时候被误认为是无计划性和纪律性的方法，实际上更确切的说法是敏捷方法强调适应性而非预见性。 
适应性的方法集中在快速适应现实的变化。当项目的需求起了变化，团队应该迅速适应。这个团队可能很难确切描述未来将会如何变化.</t>
    <phoneticPr fontId="3"/>
  </si>
  <si>
    <t>软件开发</t>
    <phoneticPr fontId="3"/>
  </si>
  <si>
    <t>瀑布</t>
    <phoneticPr fontId="3"/>
  </si>
  <si>
    <t>迭代</t>
    <phoneticPr fontId="3"/>
  </si>
  <si>
    <t>螺旋</t>
    <phoneticPr fontId="3"/>
  </si>
  <si>
    <t>敏捷</t>
    <phoneticPr fontId="3"/>
  </si>
  <si>
    <t>站点准备中</t>
    <phoneticPr fontId="3"/>
  </si>
  <si>
    <t>站点动态</t>
    <phoneticPr fontId="3"/>
  </si>
  <si>
    <t>广而告之</t>
    <phoneticPr fontId="3"/>
  </si>
  <si>
    <t>加入Github组织的方法</t>
    <phoneticPr fontId="3"/>
  </si>
  <si>
    <t>请将您的Email地址发邮件至info@sb-hrbp.com，您将收到组织邀请邮件，点击GitHub邮件中的链接，并登录GitHub，点击按钮加入组织</t>
    <phoneticPr fontId="3"/>
  </si>
  <si>
    <t>先进技术研讨会（CH直播计划）</t>
    <phoneticPr fontId="3"/>
  </si>
  <si>
    <t>每周日朝9时（日本东京时间）
ClubHouse</t>
    <phoneticPr fontId="3"/>
  </si>
  <si>
    <t>职场经验分享会（CH直播计划）</t>
    <phoneticPr fontId="3"/>
  </si>
  <si>
    <t>每周六朝9时（日本东京时间）
ClubHouse</t>
    <phoneticPr fontId="3"/>
  </si>
  <si>
    <t>外语学习会（CH直播计划）</t>
    <phoneticPr fontId="3"/>
  </si>
  <si>
    <t>※英语单词100
每日朝5时（日本东京时间）  ClubHouse
※日语会话
每日朝6时（日本东京时间）  ClubHouse</t>
    <phoneticPr fontId="3"/>
  </si>
  <si>
    <t>先进技术学习会（CH直播计划）</t>
    <phoneticPr fontId="3"/>
  </si>
  <si>
    <t>※云服务、人工智能、移动互联网
每日夜22时（日本东京时间）  
ClubHouse语音讨论，Github共享资料</t>
    <phoneticPr fontId="3"/>
  </si>
  <si>
    <t>Programming-ETP</t>
  </si>
  <si>
    <t>Note-Cloud</t>
  </si>
  <si>
    <t>Programming-ETP.github.io</t>
  </si>
  <si>
    <t>Note-Cloud.github.io</t>
  </si>
  <si>
    <t>ja</t>
    <phoneticPr fontId="3"/>
  </si>
  <si>
    <t>1、听CNN和BBC,坚持6年以上
从四级需要考两次到现在跟老外交流毫无压力
2、轮滑和手绘，从高中到大学毕业
人生变得无比有意义，还能在工作之余养活自己
3、练字4年，从一开始因为字丑到后来因为心浮气躁
越来越理解字如其人的含义
4、跑步7年，身体由内而外轻盈
皮肤状态很佳整个人精神状态很好
每天还比别人多出来一段时间思考人生
5、十几年来，一年四季坚持喝热水热水洗脸热水泡脚
经期正常，大姨妈从来不疼，很少生病
6、入职四年，坚持每天下班前写工作日记，做工作反思
从月薪4000已经涨到年薪20万
7、初中开始睡前必读书
现在无论跟谁聊天都能引经据典，侃侃而谈
8、每天早起十分钟压腿拉伸
每天晚上睡前十分钟腹部练习
生完孩子后依旧没有小肚腩，腿型越来越好看
9、每天花十分钟给妈妈打电话，给恋人发短信
维持与爱的人之间关系，你将会收获意想不到的惊喜。</t>
    <phoneticPr fontId="3"/>
  </si>
  <si>
    <t>有哪些微不足道的事情坚持了三年以上，可以带来巨大改变？</t>
    <phoneticPr fontId="3"/>
  </si>
  <si>
    <t>Centos</t>
    <phoneticPr fontId="3"/>
  </si>
  <si>
    <t>Platform</t>
    <phoneticPr fontId="3"/>
  </si>
  <si>
    <r>
      <t> </t>
    </r>
    <r>
      <rPr>
        <sz val="11"/>
        <color theme="1"/>
        <rFont val="微软雅黑"/>
        <family val="2"/>
        <charset val="134"/>
      </rPr>
      <t>查</t>
    </r>
    <r>
      <rPr>
        <sz val="11"/>
        <color theme="1"/>
        <rFont val="Yu Gothic"/>
        <family val="2"/>
        <charset val="128"/>
      </rPr>
      <t>看指令</t>
    </r>
    <r>
      <rPr>
        <sz val="11"/>
        <color theme="1"/>
        <rFont val="微软雅黑"/>
        <family val="2"/>
        <charset val="134"/>
      </rPr>
      <t>为</t>
    </r>
    <r>
      <rPr>
        <sz val="11"/>
        <color theme="1"/>
        <rFont val="Yu Gothic"/>
        <family val="2"/>
        <charset val="128"/>
      </rPr>
      <t>：
getconf LONG_BIT
  </t>
    </r>
    <r>
      <rPr>
        <sz val="11"/>
        <color theme="1"/>
        <rFont val="微软雅黑"/>
        <family val="2"/>
        <charset val="134"/>
      </rPr>
      <t>显</t>
    </r>
    <r>
      <rPr>
        <sz val="11"/>
        <color theme="1"/>
        <rFont val="Yu Gothic"/>
        <family val="2"/>
        <charset val="128"/>
      </rPr>
      <t>示的</t>
    </r>
    <r>
      <rPr>
        <sz val="11"/>
        <color theme="1"/>
        <rFont val="微软雅黑"/>
        <family val="2"/>
        <charset val="134"/>
      </rPr>
      <t>结</t>
    </r>
    <r>
      <rPr>
        <sz val="11"/>
        <color theme="1"/>
        <rFont val="Yu Gothic"/>
        <family val="2"/>
        <charset val="128"/>
      </rPr>
      <t>果</t>
    </r>
    <r>
      <rPr>
        <sz val="11"/>
        <color theme="1"/>
        <rFont val="微软雅黑"/>
        <family val="2"/>
        <charset val="134"/>
      </rPr>
      <t>为</t>
    </r>
    <r>
      <rPr>
        <sz val="11"/>
        <color theme="1"/>
        <rFont val="Yu Gothic"/>
        <family val="2"/>
        <charset val="128"/>
      </rPr>
      <t>：
64</t>
    </r>
    <phoneticPr fontId="3"/>
  </si>
  <si>
    <t>查看操作系统位数</t>
    <phoneticPr fontId="3"/>
  </si>
  <si>
    <t>PjM</t>
    <phoneticPr fontId="3"/>
  </si>
  <si>
    <t>Management</t>
    <phoneticPr fontId="3"/>
  </si>
  <si>
    <t>アジャイル開発手法の実務での利用経験（Scrum, SAFe, LeSSなど）</t>
    <phoneticPr fontId="3"/>
  </si>
  <si>
    <t>PjM相关（待整理资料）</t>
    <phoneticPr fontId="3"/>
  </si>
  <si>
    <t>Software</t>
    <phoneticPr fontId="3"/>
  </si>
  <si>
    <r>
      <rPr>
        <sz val="11"/>
        <color theme="1"/>
        <rFont val="Calibri"/>
        <family val="2"/>
      </rPr>
      <t>24</t>
    </r>
    <r>
      <rPr>
        <sz val="11"/>
        <color theme="1"/>
        <rFont val="Yu Gothic"/>
        <family val="2"/>
        <charset val="128"/>
      </rPr>
      <t>日</t>
    </r>
    <r>
      <rPr>
        <sz val="11"/>
        <color theme="1"/>
        <rFont val="等线"/>
        <family val="2"/>
        <charset val="134"/>
        <scheme val="minor"/>
      </rPr>
      <t>、</t>
    </r>
    <r>
      <rPr>
        <sz val="11"/>
        <color theme="1"/>
        <rFont val="Yu Gothic"/>
        <family val="2"/>
        <charset val="128"/>
      </rPr>
      <t>オンラインで開かれた世界大学学長フォーラムの浙江大学会場</t>
    </r>
    <r>
      <rPr>
        <sz val="11"/>
        <color theme="1"/>
        <rFont val="等线"/>
        <family val="2"/>
        <charset val="134"/>
        <scheme val="minor"/>
      </rPr>
      <t>。（杭州＝新華社記者</t>
    </r>
    <r>
      <rPr>
        <sz val="11"/>
        <color theme="1"/>
        <rFont val="Calibri"/>
        <family val="2"/>
      </rPr>
      <t>/</t>
    </r>
    <r>
      <rPr>
        <sz val="11"/>
        <color theme="1"/>
        <rFont val="等线"/>
        <family val="2"/>
        <charset val="134"/>
        <scheme val="minor"/>
      </rPr>
      <t>殷暁聖）</t>
    </r>
    <r>
      <rPr>
        <sz val="11"/>
        <color theme="1"/>
        <rFont val="Calibri"/>
        <family val="2"/>
      </rPr>
      <t xml:space="preserve">
</t>
    </r>
    <r>
      <rPr>
        <sz val="11"/>
        <color theme="1"/>
        <rFont val="等线"/>
        <family val="2"/>
        <charset val="134"/>
        <scheme val="minor"/>
      </rPr>
      <t>　【新華社</t>
    </r>
    <r>
      <rPr>
        <sz val="11"/>
        <color theme="1"/>
        <rFont val="Yu Gothic"/>
        <family val="2"/>
        <charset val="128"/>
      </rPr>
      <t>杭州</t>
    </r>
    <r>
      <rPr>
        <sz val="11"/>
        <color theme="1"/>
        <rFont val="Calibri"/>
        <family val="2"/>
      </rPr>
      <t>3</t>
    </r>
    <r>
      <rPr>
        <sz val="11"/>
        <color theme="1"/>
        <rFont val="Yu Gothic"/>
        <family val="2"/>
        <charset val="128"/>
      </rPr>
      <t>月</t>
    </r>
    <r>
      <rPr>
        <sz val="11"/>
        <color theme="1"/>
        <rFont val="Calibri"/>
        <family val="2"/>
      </rPr>
      <t>29</t>
    </r>
    <r>
      <rPr>
        <sz val="11"/>
        <color theme="1"/>
        <rFont val="Yu Gothic"/>
        <family val="2"/>
        <charset val="128"/>
      </rPr>
      <t>日</t>
    </r>
    <r>
      <rPr>
        <sz val="11"/>
        <color theme="1"/>
        <rFont val="等线"/>
        <family val="2"/>
        <charset val="134"/>
        <scheme val="minor"/>
      </rPr>
      <t>】</t>
    </r>
    <r>
      <rPr>
        <sz val="11"/>
        <color theme="1"/>
        <rFont val="Yu Gothic"/>
        <family val="2"/>
        <charset val="128"/>
      </rPr>
      <t>国連のニキル・セス事務次長補はこのほど</t>
    </r>
    <r>
      <rPr>
        <sz val="11"/>
        <color theme="1"/>
        <rFont val="等线"/>
        <family val="2"/>
        <charset val="134"/>
        <scheme val="minor"/>
      </rPr>
      <t>、</t>
    </r>
    <r>
      <rPr>
        <sz val="11"/>
        <color theme="1"/>
        <rFont val="Yu Gothic"/>
        <family val="2"/>
        <charset val="128"/>
      </rPr>
      <t>中国浙江省の浙江大学がオンラインで主催した世界大学学長フォーラムで講演した</t>
    </r>
    <r>
      <rPr>
        <sz val="11"/>
        <color theme="1"/>
        <rFont val="等线"/>
        <family val="2"/>
        <charset val="134"/>
        <scheme val="minor"/>
      </rPr>
      <t>。「</t>
    </r>
    <r>
      <rPr>
        <sz val="11"/>
        <color theme="1"/>
        <rFont val="Yu Gothic"/>
        <family val="2"/>
        <charset val="128"/>
      </rPr>
      <t>気候変動はわれわれの想像を超えた衝撃と後遺症をもたらす</t>
    </r>
    <r>
      <rPr>
        <sz val="11"/>
        <color theme="1"/>
        <rFont val="等线"/>
        <family val="2"/>
        <charset val="134"/>
        <scheme val="minor"/>
      </rPr>
      <t>」</t>
    </r>
    <r>
      <rPr>
        <sz val="11"/>
        <color theme="1"/>
        <rFont val="Yu Gothic"/>
        <family val="2"/>
        <charset val="128"/>
      </rPr>
      <t>と述べ</t>
    </r>
    <r>
      <rPr>
        <sz val="11"/>
        <color theme="1"/>
        <rFont val="等线"/>
        <family val="2"/>
        <charset val="134"/>
        <scheme val="minor"/>
      </rPr>
      <t>、</t>
    </r>
    <r>
      <rPr>
        <sz val="11"/>
        <color theme="1"/>
        <rFont val="Yu Gothic"/>
        <family val="2"/>
        <charset val="128"/>
      </rPr>
      <t>世界の高等教育機関が協力を強化し</t>
    </r>
    <r>
      <rPr>
        <sz val="11"/>
        <color theme="1"/>
        <rFont val="等线"/>
        <family val="2"/>
        <charset val="134"/>
        <scheme val="minor"/>
      </rPr>
      <t>、</t>
    </r>
    <r>
      <rPr>
        <sz val="11"/>
        <color theme="1"/>
        <rFont val="Yu Gothic"/>
        <family val="2"/>
        <charset val="128"/>
      </rPr>
      <t>国連の</t>
    </r>
    <r>
      <rPr>
        <sz val="11"/>
        <color theme="1"/>
        <rFont val="等线"/>
        <family val="2"/>
        <charset val="134"/>
        <scheme val="minor"/>
      </rPr>
      <t>「</t>
    </r>
    <r>
      <rPr>
        <sz val="11"/>
        <color theme="1"/>
        <rFont val="Yu Gothic"/>
        <family val="2"/>
        <charset val="128"/>
      </rPr>
      <t>持続可能な開発のための</t>
    </r>
    <r>
      <rPr>
        <sz val="11"/>
        <color theme="1"/>
        <rFont val="Calibri"/>
        <family val="2"/>
      </rPr>
      <t>2030</t>
    </r>
    <r>
      <rPr>
        <sz val="11"/>
        <color theme="1"/>
        <rFont val="Yu Gothic"/>
        <family val="2"/>
        <charset val="128"/>
      </rPr>
      <t>アジェンダ</t>
    </r>
    <r>
      <rPr>
        <sz val="11"/>
        <color theme="1"/>
        <rFont val="等线"/>
        <family val="2"/>
        <charset val="134"/>
        <scheme val="minor"/>
      </rPr>
      <t>」</t>
    </r>
    <r>
      <rPr>
        <sz val="11"/>
        <color theme="1"/>
        <rFont val="Yu Gothic"/>
        <family val="2"/>
        <charset val="128"/>
      </rPr>
      <t>を共同で推進するよう呼びかけた</t>
    </r>
    <r>
      <rPr>
        <sz val="11"/>
        <color theme="1"/>
        <rFont val="等线"/>
        <family val="2"/>
        <charset val="134"/>
        <scheme val="minor"/>
      </rPr>
      <t>。</t>
    </r>
    <r>
      <rPr>
        <sz val="11"/>
        <color theme="1"/>
        <rFont val="等线"/>
        <family val="2"/>
        <scheme val="minor"/>
      </rPr>
      <t xml:space="preserve">
　24日、オンラインで開かれた世界大学学長フォーラムに出席した国連のニキル</t>
    </r>
    <r>
      <rPr>
        <sz val="11"/>
        <color theme="1"/>
        <rFont val="Yu Gothic"/>
        <family val="2"/>
        <charset val="128"/>
      </rPr>
      <t>・セス事務次長補。（杭州＝新華社記者/殷暁聖）
　フォーラムは同大が提案し、国際大学協会（IAU）の支持を得て開催された。経験の共有と協力機会の模索を通じ、持続可能な発展目標の実現加速に大学が貢献することを目的とし、持続可能な発展に向けた教育の推進、世界の課題に向けた科学研究の実施、低炭素なグリーン（環境配慮型）キャンパスの建設などの重点課題を議論した。</t>
    </r>
    <r>
      <rPr>
        <sz val="11"/>
        <color theme="1"/>
        <rFont val="等线"/>
        <family val="2"/>
        <scheme val="minor"/>
      </rPr>
      <t xml:space="preserve">
24日、オンラインで開かれた世界大学学長フォーラムに出席した国連教育科学文化機関（ユネスコ）のステファニア</t>
    </r>
    <r>
      <rPr>
        <sz val="11"/>
        <color theme="1"/>
        <rFont val="Yu Gothic"/>
        <family val="2"/>
        <charset val="128"/>
      </rPr>
      <t>・ジャンニーニ教育担当事務局長補。（杭州＝新華社記者/殷暁聖）
　同大はフォーラムで「持続可能な開発のための2030アジェンダに関する世界の大学学長による共同提案」を世界の高等教育機関に向け提唱。ハーバード大やイェール大、ユニバーシティ・カレッジ・ロンドン、シドニー大、北京大など中国や米国、ロシア、英国など30カ国・地域の大学56校の賛同を得た。
　同提案は▽持続可能な開発理念の徹底した実行▽世界の課題に対応する科学研究の支持▽具体的な問題解決を巡る国を超えた建設的協力の実施－など五つの方面で共同ビジョンを示した。（記者/殷暁聖、王思遠）</t>
    </r>
    <phoneticPr fontId="3"/>
  </si>
  <si>
    <t>世界大学学長フォーラム、2030アジェンダ推進を共同提案</t>
    <phoneticPr fontId="3"/>
  </si>
  <si>
    <t xml:space="preserve">vmware用的是16.1
unlocker3.0.3：https://www.jb51.net/softs/697358.html
新建虚拟机成功后，用记事本打开.vmx，添加
smc.version = "0"
smbios.reflectHost = "TRUE"
hw.model = "MacBookPro14,3"
board-id = "Mac-551B86E5744E2388"
镜像：https://drive.google.com/file/d/14SA8CKwDLsZI16dauU1FuO8wpFivPNi_/view
其他下载地址：https://mega.nz/file/EM5xlIbQ#4h0DyPzMtP04SgmH4h0dQ8ckvVtYdT29O4EUZJA0LBo
http://www.mediafire.com/file/1egvwo7vc1sblzo/BigSur.zip/file
http://www.mediafire.com/file/1egvwo7vc1sblzo/BigSur.zip/file
https://drive.google.com/file/d/1tprXjxoUdWVgM8XLp2GQ93bKSbiw1iD1/view
视频地址：
https://www.youtube.com/watch?v=-Js-AO3t308&amp;t=396s
</t>
    <phoneticPr fontId="3"/>
  </si>
  <si>
    <t>vmware16.1安装macos11.0镜像</t>
    <phoneticPr fontId="3"/>
  </si>
  <si>
    <t xml:space="preserve">・データベースアクセス開発、チューニングスキル（PostgreSQL（RDMS）、MongoDB（NoSQL））
・クラウド基盤（Container、Kubernetes、サーバーレスアーキテクチャ、マイクロサービス化）
・プラットフォームのチューニング（RHEL、CentOS、AWS、Azure） </t>
    <phoneticPr fontId="3"/>
  </si>
  <si>
    <r>
      <rPr>
        <sz val="11"/>
        <color theme="1"/>
        <rFont val="Yu Gothic"/>
        <family val="2"/>
        <charset val="128"/>
      </rPr>
      <t>Cloud</t>
    </r>
    <r>
      <rPr>
        <sz val="11"/>
        <color theme="1"/>
        <rFont val="微软雅黑"/>
        <family val="2"/>
        <charset val="134"/>
      </rPr>
      <t>相关</t>
    </r>
    <phoneticPr fontId="3"/>
  </si>
  <si>
    <t>Test</t>
    <phoneticPr fontId="3"/>
  </si>
  <si>
    <t>・CIツール（CircleCi、Jenkins、Travis CI、Gitlab CIなど）の使用経験　
・テスト設計、構築の実務経験　
・テストシナリオ作成経験　
・テスト自動化フレームワーク（SeleniumやAppium、Cypress、TestCafeなど）の知識　
・JSTQB-Foundation Level、Advanced Level - Test Analyst / Test Manager資格保有　
・負荷テストツールの活用経験（LoadRunner、Jmeter）
・脆弱性診断ツールの利用経験（Burp Suite、OWASPzap）
・テスト自動化フレームワークの利用経験（Selenium、Appium）
・デプロイツールの活用経験（Jenkins）
・開発プロセス、テスト業務改善施策の提案、実行経験　</t>
    <phoneticPr fontId="3"/>
  </si>
  <si>
    <t>test相关（待整理资料）</t>
    <phoneticPr fontId="3"/>
  </si>
  <si>
    <r>
      <t>  </t>
    </r>
    <r>
      <rPr>
        <sz val="11"/>
        <color theme="1"/>
        <rFont val="微软雅黑"/>
        <family val="2"/>
        <charset val="134"/>
      </rPr>
      <t>查询</t>
    </r>
    <r>
      <rPr>
        <sz val="11"/>
        <color theme="1"/>
        <rFont val="Yu Gothic"/>
        <family val="2"/>
        <charset val="128"/>
      </rPr>
      <t>操作系</t>
    </r>
    <r>
      <rPr>
        <sz val="11"/>
        <color theme="1"/>
        <rFont val="微软雅黑"/>
        <family val="2"/>
        <charset val="134"/>
      </rPr>
      <t>统</t>
    </r>
    <r>
      <rPr>
        <sz val="11"/>
        <color theme="1"/>
        <rFont val="Yu Gothic"/>
        <family val="2"/>
        <charset val="128"/>
      </rPr>
      <t>内核版本信息</t>
    </r>
    <r>
      <rPr>
        <sz val="11"/>
        <color theme="1"/>
        <rFont val="微软雅黑"/>
        <family val="2"/>
        <charset val="134"/>
      </rPr>
      <t>为</t>
    </r>
    <r>
      <rPr>
        <sz val="11"/>
        <color theme="1"/>
        <rFont val="Yu Gothic"/>
        <family val="2"/>
        <charset val="128"/>
      </rPr>
      <t>：
uname -r
  </t>
    </r>
    <r>
      <rPr>
        <sz val="11"/>
        <color theme="1"/>
        <rFont val="微软雅黑"/>
        <family val="2"/>
        <charset val="134"/>
      </rPr>
      <t>查询结</t>
    </r>
    <r>
      <rPr>
        <sz val="11"/>
        <color theme="1"/>
        <rFont val="Yu Gothic"/>
        <family val="2"/>
        <charset val="128"/>
      </rPr>
      <t>果：
3.10.0-514.26.2.el7.x86_64</t>
    </r>
    <phoneticPr fontId="3"/>
  </si>
  <si>
    <t>查看内核版本</t>
    <phoneticPr fontId="3"/>
  </si>
  <si>
    <r>
      <t>  CentOS的版本号信息一般存放在配置文件当中，在CentOS中，与其版本相关的配置文件中都有centos关</t>
    </r>
    <r>
      <rPr>
        <sz val="11"/>
        <color theme="1"/>
        <rFont val="微软雅黑"/>
        <family val="2"/>
        <charset val="134"/>
      </rPr>
      <t>键</t>
    </r>
    <r>
      <rPr>
        <sz val="11"/>
        <color theme="1"/>
        <rFont val="Yu Gothic"/>
        <family val="2"/>
        <charset val="128"/>
      </rPr>
      <t>字，</t>
    </r>
    <r>
      <rPr>
        <sz val="11"/>
        <color theme="1"/>
        <rFont val="微软雅黑"/>
        <family val="2"/>
        <charset val="134"/>
      </rPr>
      <t>该</t>
    </r>
    <r>
      <rPr>
        <sz val="11"/>
        <color theme="1"/>
        <rFont val="Yu Gothic"/>
        <family val="2"/>
        <charset val="128"/>
      </rPr>
      <t>文件一般存放在/etc/目</t>
    </r>
    <r>
      <rPr>
        <sz val="11"/>
        <color theme="1"/>
        <rFont val="微软雅黑"/>
        <family val="2"/>
        <charset val="134"/>
      </rPr>
      <t>录</t>
    </r>
    <r>
      <rPr>
        <sz val="11"/>
        <color theme="1"/>
        <rFont val="Yu Gothic"/>
        <family val="2"/>
        <charset val="128"/>
      </rPr>
      <t>下，所以</t>
    </r>
    <r>
      <rPr>
        <sz val="11"/>
        <color theme="1"/>
        <rFont val="微软雅黑"/>
        <family val="2"/>
        <charset val="134"/>
      </rPr>
      <t>说</t>
    </r>
    <r>
      <rPr>
        <sz val="11"/>
        <color theme="1"/>
        <rFont val="Yu Gothic"/>
        <family val="2"/>
        <charset val="128"/>
      </rPr>
      <t>我</t>
    </r>
    <r>
      <rPr>
        <sz val="11"/>
        <color theme="1"/>
        <rFont val="微软雅黑"/>
        <family val="2"/>
        <charset val="134"/>
      </rPr>
      <t>们</t>
    </r>
    <r>
      <rPr>
        <sz val="11"/>
        <color theme="1"/>
        <rFont val="Yu Gothic"/>
        <family val="2"/>
        <charset val="128"/>
      </rPr>
      <t>可以直接在</t>
    </r>
    <r>
      <rPr>
        <sz val="11"/>
        <color theme="1"/>
        <rFont val="微软雅黑"/>
        <family val="2"/>
        <charset val="134"/>
      </rPr>
      <t>该</t>
    </r>
    <r>
      <rPr>
        <sz val="11"/>
        <color theme="1"/>
        <rFont val="Yu Gothic"/>
        <family val="2"/>
        <charset val="128"/>
      </rPr>
      <t>文件夹下搜索相关的文件。
ll /etc/*centos*
 其中存放其版本配置信息的文件</t>
    </r>
    <r>
      <rPr>
        <sz val="11"/>
        <color theme="1"/>
        <rFont val="微软雅黑"/>
        <family val="2"/>
        <charset val="134"/>
      </rPr>
      <t>为</t>
    </r>
    <r>
      <rPr>
        <sz val="11"/>
        <color theme="1"/>
        <rFont val="Yu Gothic"/>
        <family val="2"/>
        <charset val="128"/>
      </rPr>
      <t>“centos-release”，翻</t>
    </r>
    <r>
      <rPr>
        <sz val="11"/>
        <color theme="1"/>
        <rFont val="微软雅黑"/>
        <family val="2"/>
        <charset val="134"/>
      </rPr>
      <t>译过</t>
    </r>
    <r>
      <rPr>
        <sz val="11"/>
        <color theme="1"/>
        <rFont val="Yu Gothic"/>
        <family val="2"/>
        <charset val="128"/>
      </rPr>
      <t>来就是“CentOS的</t>
    </r>
    <r>
      <rPr>
        <sz val="11"/>
        <color theme="1"/>
        <rFont val="微软雅黑"/>
        <family val="2"/>
        <charset val="134"/>
      </rPr>
      <t>发</t>
    </r>
    <r>
      <rPr>
        <sz val="11"/>
        <color theme="1"/>
        <rFont val="Yu Gothic"/>
        <family val="2"/>
        <charset val="128"/>
      </rPr>
      <t>行版”，所以</t>
    </r>
    <r>
      <rPr>
        <sz val="11"/>
        <color theme="1"/>
        <rFont val="微软雅黑"/>
        <family val="2"/>
        <charset val="134"/>
      </rPr>
      <t>说</t>
    </r>
    <r>
      <rPr>
        <sz val="11"/>
        <color theme="1"/>
        <rFont val="Yu Gothic"/>
        <family val="2"/>
        <charset val="128"/>
      </rPr>
      <t>我</t>
    </r>
    <r>
      <rPr>
        <sz val="11"/>
        <color theme="1"/>
        <rFont val="微软雅黑"/>
        <family val="2"/>
        <charset val="134"/>
      </rPr>
      <t>们</t>
    </r>
    <r>
      <rPr>
        <sz val="11"/>
        <color theme="1"/>
        <rFont val="Yu Gothic"/>
        <family val="2"/>
        <charset val="128"/>
      </rPr>
      <t>可以在</t>
    </r>
    <r>
      <rPr>
        <sz val="11"/>
        <color theme="1"/>
        <rFont val="微软雅黑"/>
        <family val="2"/>
        <charset val="134"/>
      </rPr>
      <t>这</t>
    </r>
    <r>
      <rPr>
        <sz val="11"/>
        <color theme="1"/>
        <rFont val="Yu Gothic"/>
        <family val="2"/>
        <charset val="128"/>
      </rPr>
      <t>里</t>
    </r>
    <r>
      <rPr>
        <sz val="11"/>
        <color theme="1"/>
        <rFont val="微软雅黑"/>
        <family val="2"/>
        <charset val="134"/>
      </rPr>
      <t>查</t>
    </r>
    <r>
      <rPr>
        <sz val="11"/>
        <color theme="1"/>
        <rFont val="Yu Gothic"/>
        <family val="2"/>
        <charset val="128"/>
      </rPr>
      <t>看CentOS相</t>
    </r>
    <r>
      <rPr>
        <sz val="11"/>
        <color theme="1"/>
        <rFont val="微软雅黑"/>
        <family val="2"/>
        <charset val="134"/>
      </rPr>
      <t>应</t>
    </r>
    <r>
      <rPr>
        <sz val="11"/>
        <color theme="1"/>
        <rFont val="Yu Gothic"/>
        <family val="2"/>
        <charset val="128"/>
      </rPr>
      <t>的版本信息。
  </t>
    </r>
    <r>
      <rPr>
        <sz val="11"/>
        <color theme="1"/>
        <rFont val="微软雅黑"/>
        <family val="2"/>
        <charset val="134"/>
      </rPr>
      <t>查</t>
    </r>
    <r>
      <rPr>
        <sz val="11"/>
        <color theme="1"/>
        <rFont val="Yu Gothic"/>
        <family val="2"/>
        <charset val="128"/>
      </rPr>
      <t xml:space="preserve">看CentOS的版本号：
cat /etc/centos-release
CentOS Linux release 7.3.1611 (Core) </t>
    </r>
    <phoneticPr fontId="3"/>
  </si>
  <si>
    <t>查看版本号</t>
    <phoneticPr fontId="3"/>
  </si>
  <si>
    <t>Vmware</t>
    <phoneticPr fontId="3"/>
  </si>
  <si>
    <t>Virtualization</t>
    <phoneticPr fontId="3"/>
  </si>
  <si>
    <r>
      <t>VMware Workstation PRO v16.0.0官方主程序下载地址：
https://download3.vmware.com/software/wkst/file/VMware-workstation-full-16.0.0-16894299.exe
VMware Workstation PRO v15.5.6官方主程序下载地址：
https://download3.vmware.com/software/wkst/file/VMware-workstation-full-15.5.6-16341506.exe
VMware Workstation Pro 14.1.7 Build 12989993官方主程序下载地址：
https://download3.vmware.com/software/wkst/file/VMware-workstation-full-14.1.7-12989993.exe
VMware Workstation Pro 12.5.9 Build 7535481官方主程序下载地址：
https://download3.vmware.com/software/wkst/file/VMware-workstation-full-12.5.9-7535481.exe
VMware Workstation Pro 12.5.8 Build 7098237官方主程序下载地址：
https://download3.vmware.com/software/wkst/file/VMware-workstation-full-12.5.8-7098237.exe
VMware Workstation Pro 10.0.7 Build 2844087官方主程序下载地址：
https://download3.vmware.com/software/wkst/file/VMware-workstation-full-10.0.7-2844087.exe
16版本</t>
    </r>
    <r>
      <rPr>
        <sz val="11"/>
        <color theme="1"/>
        <rFont val="Yu Gothic"/>
        <family val="2"/>
        <charset val="128"/>
      </rPr>
      <t xml:space="preserve">  </t>
    </r>
    <r>
      <rPr>
        <sz val="11"/>
        <color theme="1"/>
        <rFont val="宋体"/>
        <family val="2"/>
        <charset val="134"/>
      </rPr>
      <t>ZF3R0-FHED2-M80TY-8QYGC-NPKYF
15版本	直接使用下面的一组激活即可
	FG78K-0UZ15-085TQ-TZQXV-XV0CD
	ZA11U-DVY97-M81LP-4MNEZ-X3AW0
	YU102-44D86-48D2Z-Z4Q5C-MFAWD</t>
    </r>
    <phoneticPr fontId="3"/>
  </si>
  <si>
    <r>
      <t>VMware Workstation PRO</t>
    </r>
    <r>
      <rPr>
        <sz val="11"/>
        <color theme="1"/>
        <rFont val="微软雅黑"/>
        <family val="2"/>
        <charset val="134"/>
      </rPr>
      <t>下载</t>
    </r>
    <phoneticPr fontId="3"/>
  </si>
  <si>
    <t>Centos8安装完之后，不能上网.  
解决如下：  
1.使用root权限去编辑这个文件/etc/sysconfig/network-scripts/ifcfg-enp0s3  
2.修改 ONBOOT=no 为 ONBOOT=yes  
3.改完之后，需要重新加载一下，值得一提的是，centos8 使用nmcli来管理网卡了，重新加载方式如下：
sudo nmcli c reload
之后就可以上网了。</t>
    <phoneticPr fontId="3"/>
  </si>
  <si>
    <r>
      <t>Centos8</t>
    </r>
    <r>
      <rPr>
        <sz val="11"/>
        <color theme="1"/>
        <rFont val="宋体"/>
        <family val="2"/>
        <charset val="134"/>
      </rPr>
      <t>联网</t>
    </r>
    <phoneticPr fontId="3"/>
  </si>
  <si>
    <t>OS</t>
    <phoneticPr fontId="3"/>
  </si>
  <si>
    <t>categories1</t>
    <phoneticPr fontId="3"/>
  </si>
  <si>
    <t>网址收藏</t>
    <phoneticPr fontId="3"/>
  </si>
  <si>
    <t>https://sysin.org/article/macOS-Big-Sur/</t>
    <phoneticPr fontId="3"/>
  </si>
  <si>
    <t>macOS Big Sur 11.2.3 (20D91) 正式版</t>
    <phoneticPr fontId="3"/>
  </si>
  <si>
    <t>英语</t>
    <phoneticPr fontId="3"/>
  </si>
  <si>
    <t>外语</t>
    <phoneticPr fontId="3"/>
  </si>
  <si>
    <t>https://bookclub.japantimes.co.jp/book/b487205.html</t>
    <phoneticPr fontId="3"/>
  </si>
  <si>
    <t>英语书配套音频下载</t>
    <phoneticPr fontId="3"/>
  </si>
  <si>
    <t>已经转移</t>
    <phoneticPr fontId="3"/>
  </si>
  <si>
    <t>编程</t>
    <phoneticPr fontId="3"/>
  </si>
  <si>
    <t>https://www.pstips.net/</t>
    <phoneticPr fontId="3"/>
  </si>
  <si>
    <t>中文Powershell教程</t>
    <phoneticPr fontId="3"/>
  </si>
  <si>
    <t>http://www.tohoho-web.com/</t>
    <phoneticPr fontId="3"/>
  </si>
  <si>
    <t>日文编程教程</t>
    <phoneticPr fontId="3"/>
  </si>
  <si>
    <t>https://www.jb51.net/</t>
  </si>
  <si>
    <t>中文脚本编程教程</t>
    <phoneticPr fontId="3"/>
  </si>
  <si>
    <t>https://career-picks.com/</t>
    <phoneticPr fontId="3"/>
  </si>
  <si>
    <t>https://excel-ubara.com/</t>
    <phoneticPr fontId="3"/>
  </si>
  <si>
    <t>日文Excel教程</t>
    <phoneticPr fontId="3"/>
  </si>
  <si>
    <t>https://www.w3school.com.cn/</t>
    <phoneticPr fontId="3"/>
  </si>
  <si>
    <t>中文教程站</t>
    <phoneticPr fontId="3"/>
  </si>
  <si>
    <t>https://www.javadrive.jp/</t>
    <phoneticPr fontId="3"/>
  </si>
  <si>
    <t>日文Java编程</t>
    <phoneticPr fontId="3"/>
  </si>
  <si>
    <t xml:space="preserve">https://www.runoob.com/ </t>
    <phoneticPr fontId="3"/>
  </si>
  <si>
    <t>https://www.jstage.jst.go.jp</t>
    <phoneticPr fontId="3"/>
  </si>
  <si>
    <t>jstage</t>
    <phoneticPr fontId="3"/>
  </si>
  <si>
    <t>en</t>
    <phoneticPr fontId="3"/>
  </si>
  <si>
    <t>http://www.python.org/</t>
    <phoneticPr fontId="3"/>
  </si>
  <si>
    <t>Python</t>
    <phoneticPr fontId="3"/>
  </si>
  <si>
    <t>https://pypi.python.org/pypi</t>
    <phoneticPr fontId="3"/>
  </si>
  <si>
    <t>pip</t>
    <phoneticPr fontId="3"/>
  </si>
  <si>
    <t>http://blog.getpelican.com/</t>
    <phoneticPr fontId="3"/>
  </si>
  <si>
    <t>pelican</t>
    <phoneticPr fontId="3"/>
  </si>
  <si>
    <t>http://markdownpad.com/</t>
    <phoneticPr fontId="3"/>
  </si>
  <si>
    <t>markdownpad</t>
    <phoneticPr fontId="3"/>
  </si>
  <si>
    <t>https://pm-notes.com/</t>
    <phoneticPr fontId="2" type="noConversion"/>
  </si>
  <si>
    <t>pm-notes</t>
    <phoneticPr fontId="3"/>
  </si>
  <si>
    <t>https://nissenad-digitalhub.com/</t>
    <phoneticPr fontId="2" type="noConversion"/>
  </si>
  <si>
    <t>nissenad-digitalhub</t>
    <phoneticPr fontId="3"/>
  </si>
  <si>
    <t>http://daringfireball.net/projects/markdown/syntax</t>
    <phoneticPr fontId="3"/>
  </si>
  <si>
    <t>markdown</t>
    <phoneticPr fontId="3"/>
  </si>
  <si>
    <t>https://hexo.io/docs/</t>
    <phoneticPr fontId="3"/>
  </si>
  <si>
    <t>Hexo文档</t>
    <phoneticPr fontId="3"/>
  </si>
  <si>
    <t>https://github.com/hexojs/hexo/wiki/Themes</t>
    <phoneticPr fontId="3"/>
  </si>
  <si>
    <t>Hexo主题一览</t>
    <phoneticPr fontId="3"/>
  </si>
  <si>
    <t>http://msysgit.github.io/</t>
    <phoneticPr fontId="3"/>
  </si>
  <si>
    <t>git</t>
    <phoneticPr fontId="3"/>
  </si>
  <si>
    <t>https://yum.oracle.com/oracle-linux-isos.html</t>
    <phoneticPr fontId="3"/>
  </si>
  <si>
    <r>
      <t xml:space="preserve">Oracle Linux </t>
    </r>
    <r>
      <rPr>
        <sz val="11"/>
        <color theme="1"/>
        <rFont val="微软雅黑"/>
        <family val="2"/>
        <charset val="134"/>
      </rPr>
      <t>下载</t>
    </r>
    <phoneticPr fontId="3"/>
  </si>
  <si>
    <t>https://hexo.io/zh-cn/docs/</t>
    <phoneticPr fontId="3"/>
  </si>
  <si>
    <t>Hexo中文文档</t>
    <phoneticPr fontId="3"/>
  </si>
  <si>
    <t>Textbook</t>
    <phoneticPr fontId="3"/>
  </si>
  <si>
    <r>
      <rPr>
        <sz val="11"/>
        <color theme="1"/>
        <rFont val="等线"/>
        <family val="2"/>
        <charset val="134"/>
        <scheme val="minor"/>
      </rPr>
      <t>https://www.runoob.com/</t>
    </r>
    <phoneticPr fontId="15" type="noConversion"/>
  </si>
  <si>
    <r>
      <rPr>
        <sz val="10"/>
        <rFont val="Microsoft YaHei"/>
        <family val="2"/>
        <charset val="134"/>
      </rPr>
      <t>编程语言教程</t>
    </r>
    <phoneticPr fontId="15" type="noConversion"/>
  </si>
  <si>
    <t xml:space="preserve">http://www.aspku.net  </t>
    <phoneticPr fontId="3"/>
  </si>
  <si>
    <t>网站模板</t>
    <phoneticPr fontId="2" type="noConversion"/>
  </si>
  <si>
    <t>http://www.mobanwang.com</t>
    <phoneticPr fontId="3"/>
  </si>
  <si>
    <t>https://docs.microsoft.com/zh-cn/office/vba/api/overview/</t>
    <phoneticPr fontId="3"/>
  </si>
  <si>
    <t>Office Visual Basic for Applications (VBA) 参考</t>
    <phoneticPr fontId="3"/>
  </si>
  <si>
    <r>
      <rPr>
        <sz val="11"/>
        <color theme="1"/>
        <rFont val="等线"/>
        <family val="2"/>
        <charset val="134"/>
        <scheme val="minor"/>
      </rPr>
      <t>http://neo4j.com.cn/</t>
    </r>
    <phoneticPr fontId="15" type="noConversion"/>
  </si>
  <si>
    <r>
      <rPr>
        <sz val="10"/>
        <color rgb="FF000000"/>
        <rFont val="Microsoft YaHei"/>
        <family val="2"/>
        <charset val="134"/>
      </rPr>
      <t>neo4j教程</t>
    </r>
    <phoneticPr fontId="15" type="noConversion"/>
  </si>
  <si>
    <t>https://lnmp.org/</t>
    <phoneticPr fontId="3"/>
  </si>
  <si>
    <r>
      <t>直接安装，</t>
    </r>
    <r>
      <rPr>
        <sz val="11"/>
        <color theme="1"/>
        <rFont val="宋体"/>
        <family val="2"/>
        <charset val="134"/>
      </rPr>
      <t>约1小时，错误较少，支持Linux版本较多，已经验证</t>
    </r>
    <phoneticPr fontId="3"/>
  </si>
  <si>
    <r>
      <t>LAMP</t>
    </r>
    <r>
      <rPr>
        <sz val="11"/>
        <color theme="1"/>
        <rFont val="微软雅黑"/>
        <family val="2"/>
        <charset val="134"/>
      </rPr>
      <t>一键安装脚本</t>
    </r>
    <phoneticPr fontId="3"/>
  </si>
  <si>
    <t>categories1</t>
  </si>
  <si>
    <t>中科院-[中科院研究生课程：最优化算法].(Algorithms.for.Optimization).(刘振宏).21讲全</t>
  </si>
  <si>
    <t>中科院-[知识工程与知识管理]-13</t>
  </si>
  <si>
    <t>中科院-现代传感器技术与应用-12</t>
  </si>
  <si>
    <t>中科院-[数学模型及其应用-16]</t>
  </si>
  <si>
    <t>中科院-[统计模拟与统计软件60课时-42讲]-谢田法</t>
  </si>
  <si>
    <t>中科院-[视觉分析和理解进展-2讲]</t>
  </si>
  <si>
    <t>中科院-[小波与傅里叶分析-15讲]</t>
  </si>
  <si>
    <t>信号及图像处理的框架和伪框架方法</t>
  </si>
  <si>
    <t>中科院-[有限元方法]-25</t>
  </si>
  <si>
    <t>中科院-[数字图像处理与通信-25讲]</t>
  </si>
  <si>
    <t>中科院移动通信和无线网络38讲</t>
  </si>
  <si>
    <t>[传感器网络系列讲座]-17-中科院</t>
  </si>
  <si>
    <t>模式识别19讲</t>
  </si>
  <si>
    <t>机器学习研究</t>
  </si>
  <si>
    <t>中科院-现代数字信号处理45讲</t>
  </si>
  <si>
    <t>中科院-[计算机控制系统(上)-21讲]</t>
  </si>
  <si>
    <t>中科院-[现代计算机视觉-29讲]</t>
  </si>
  <si>
    <t>中科院-[数值分析-20讲]</t>
  </si>
  <si>
    <t>中科院-[矩阵分析-30讲]</t>
  </si>
  <si>
    <t>中科院-[面向对象程序设计CPP]-29</t>
  </si>
  <si>
    <t>中科院-[算法设计与分析-30讲]</t>
  </si>
  <si>
    <t>中科院-现代数字通信21讲</t>
  </si>
  <si>
    <t>中科院-[云计算系列讲座]-13</t>
  </si>
  <si>
    <t>中科院-[数字图像处理与分析-36讲]</t>
  </si>
  <si>
    <t>中科院现代通讯27讲</t>
  </si>
  <si>
    <t>中科院-高级人工智能-16</t>
  </si>
  <si>
    <t>中科院-统计学习基础43讲</t>
  </si>
  <si>
    <t>●</t>
  </si>
  <si>
    <t>卓越管理者的辅导与激励技巧</t>
  </si>
  <si>
    <t>中层危机</t>
  </si>
  <si>
    <t>有效沟通II</t>
  </si>
  <si>
    <t>有效沟通</t>
  </si>
  <si>
    <t>赢在执行</t>
  </si>
  <si>
    <t>突破中小企业发展瓶颈</t>
  </si>
  <si>
    <t>突破人才经营瓶颈</t>
  </si>
  <si>
    <t>市场竞争策略</t>
  </si>
  <si>
    <t>软实力</t>
  </si>
  <si>
    <t>如何塑造管理者的性格魅力</t>
  </si>
  <si>
    <t>企业变革与企业文化</t>
  </si>
  <si>
    <t>领导商数</t>
  </si>
  <si>
    <t>经理人常犯的11种错误</t>
  </si>
  <si>
    <t>管理者的情商EQ</t>
  </si>
  <si>
    <t>管理者的领导商数</t>
  </si>
  <si>
    <t>打造职业化团队</t>
  </si>
  <si>
    <t>成功经理人</t>
  </si>
  <si>
    <t>MP4</t>
  </si>
  <si>
    <t>MP3</t>
  </si>
  <si>
    <t>TED</t>
  </si>
  <si>
    <t>马丁雅克：了解中国的崛起</t>
  </si>
  <si>
    <t>Wujec由建塔学习团队合作</t>
  </si>
  <si>
    <t>Tom Wujec：搭一个塔，建一个团队</t>
  </si>
  <si>
    <t>Temple Grandin：世界需要多种思维的人</t>
  </si>
  <si>
    <t>Sheena Iyengar：选择的艺术</t>
  </si>
  <si>
    <t>Seth Priebatsch：世界第一的游戏社交圈</t>
  </si>
  <si>
    <t>Ken Robinson：推动学习革命</t>
  </si>
  <si>
    <t>John Gerzema：金融危机后的消费行为</t>
  </si>
  <si>
    <t>Johanna Blakley：学习时尚界的自由文化</t>
  </si>
  <si>
    <t>Hans Rosling：亚洲的崛起--如何及何时</t>
  </si>
  <si>
    <t>Graham Hill：我为何在工作日吃素</t>
  </si>
  <si>
    <t>Gary Flake：枢纽是网络探索方法的转折点吗</t>
  </si>
  <si>
    <t>Fabian Hemmer：未来手机的形状变化</t>
  </si>
  <si>
    <t>Derek Sivers：下定的目标不要告诉别人</t>
  </si>
  <si>
    <t>David.S.Rose创投提案</t>
  </si>
  <si>
    <t>Clay Shirky社交媒介如何能为历史写下新页</t>
  </si>
  <si>
    <t>Clay Shirky：认知剩余将如何改变世界</t>
  </si>
  <si>
    <t>Chris Anderson科技的长尾理论</t>
  </si>
  <si>
    <t>Chip Conley：生命里的不凡</t>
  </si>
  <si>
    <t>Chimamanda Adichie：单一故事的危险性</t>
  </si>
  <si>
    <t>Cameron Herold：教育出小创业家</t>
  </si>
  <si>
    <t>Alexis Ohanian：如何通过媒体一夜成名</t>
  </si>
  <si>
    <t>腾讯</t>
  </si>
  <si>
    <t>周汉华：互联网法律问题</t>
  </si>
  <si>
    <t>于国富：隐私与个性化网络服务</t>
  </si>
  <si>
    <t>吴伯凡：什么是商业模式</t>
  </si>
  <si>
    <t>王煜全：社会网络对生活的改变</t>
  </si>
  <si>
    <t>王煜全：人类社会化行为</t>
  </si>
  <si>
    <t>王煜全：互联网的未来十年</t>
  </si>
  <si>
    <t>吕本富：网络经济的商业模式</t>
  </si>
  <si>
    <t>姜奇平：互联网模式之道</t>
  </si>
  <si>
    <t>胡延平：互联网行业发展趋势</t>
  </si>
  <si>
    <t>段永朝：互联网六大隐喻</t>
  </si>
  <si>
    <t>产品家第三期个性化推荐</t>
  </si>
  <si>
    <t>中科院</t>
  </si>
  <si>
    <t>中科院-机器学习与人工智能学习资源导引</t>
  </si>
  <si>
    <t>中科院-[最优化算法].(Algorithms.for.Optimization).(刘振宏).21讲全</t>
  </si>
  <si>
    <t>传感器网络系列讲座-17-中科院</t>
  </si>
  <si>
    <t>中科院-[计算机控制系统-21讲]</t>
  </si>
  <si>
    <t>浙江工商大学</t>
  </si>
  <si>
    <t>中华饮食文化</t>
  </si>
  <si>
    <t>耶鲁大学</t>
  </si>
  <si>
    <t>金融市场</t>
  </si>
  <si>
    <t>mp4</t>
  </si>
  <si>
    <t>博弈论</t>
  </si>
  <si>
    <t>斯坦福大学</t>
  </si>
  <si>
    <t>扎克伯格谈Facebook创业过程</t>
  </si>
  <si>
    <t>用网页技术开发手机应用</t>
  </si>
  <si>
    <t>远见的力量-Nvidia创始人谈企业发展过程</t>
  </si>
  <si>
    <t>人与计算机的互动</t>
  </si>
  <si>
    <t>企业思想领袖论坛</t>
  </si>
  <si>
    <t>美国研究</t>
  </si>
  <si>
    <t>经济学</t>
  </si>
  <si>
    <t>衡量成功的标准-SlideShare创始人谈创业</t>
  </si>
  <si>
    <t>从生物学看人类行为</t>
  </si>
  <si>
    <t>C</t>
  </si>
  <si>
    <t>CS106B</t>
  </si>
  <si>
    <t>Programming.Abstractions</t>
  </si>
  <si>
    <t>抽象编程</t>
  </si>
  <si>
    <t>Java</t>
  </si>
  <si>
    <t>CS106A</t>
  </si>
  <si>
    <t>编程方法</t>
  </si>
  <si>
    <t>CS107</t>
  </si>
  <si>
    <t>编程范式</t>
  </si>
  <si>
    <t>百度CEO李彦宏全球最大中文搜索引擎的发展</t>
  </si>
  <si>
    <t>Twitter之父Jack Dorsey演讲-好奇和灵感的力量</t>
  </si>
  <si>
    <t>iPhone应用开发2010未完</t>
  </si>
  <si>
    <t>iPad和iPhone应用开发(iOS5)</t>
  </si>
  <si>
    <t>Intel投资部副总裁谈投资</t>
  </si>
  <si>
    <t>DELL CEO Michael Dell谈创业和发展</t>
  </si>
  <si>
    <t>圣母大学</t>
  </si>
  <si>
    <t>你为什么而奋斗</t>
  </si>
  <si>
    <t>flv</t>
  </si>
  <si>
    <t>清华大学</t>
  </si>
  <si>
    <t>创业训练营</t>
  </si>
  <si>
    <t>普林斯顿大学</t>
  </si>
  <si>
    <t>科技世界的领导能力</t>
  </si>
  <si>
    <t>领导能力简介</t>
  </si>
  <si>
    <t>纽约大学</t>
  </si>
  <si>
    <t>谷歌与苹果谁将胜出</t>
  </si>
  <si>
    <t>Android</t>
  </si>
  <si>
    <t>密西西比河谷州立大学</t>
  </si>
  <si>
    <t>Android应用程序开发</t>
  </si>
  <si>
    <t>麻省理工大学</t>
  </si>
  <si>
    <t>透过摄影感受世界</t>
  </si>
  <si>
    <t>媒体</t>
  </si>
  <si>
    <t>供应链管理专题</t>
  </si>
  <si>
    <t>Python</t>
  </si>
  <si>
    <t>计算机科学及编程导论</t>
  </si>
  <si>
    <t>创新与发明</t>
  </si>
  <si>
    <t>哈佛大学</t>
  </si>
  <si>
    <t>头脑战争</t>
  </si>
  <si>
    <t>幸福学</t>
  </si>
  <si>
    <t>立大志</t>
  </si>
  <si>
    <t>CS50</t>
  </si>
  <si>
    <t>计算机科学</t>
  </si>
  <si>
    <t>构建动态网站</t>
  </si>
  <si>
    <t>公正</t>
  </si>
  <si>
    <t>宾夕法尼亚州立</t>
  </si>
  <si>
    <t>华尔街训练营</t>
  </si>
  <si>
    <t>巴黎高等商学院</t>
  </si>
  <si>
    <t>新产品开发中的创造力和心理学</t>
  </si>
  <si>
    <t>会计与管理控制常见问题</t>
  </si>
  <si>
    <t>机器学习</t>
  </si>
  <si>
    <t>企业家改变教育Teach For America CEO</t>
  </si>
  <si>
    <t>企业家将会创造未来Linkedin创始人分享创业经验</t>
  </si>
  <si>
    <t>百度云</t>
  </si>
  <si>
    <t>硬盘</t>
  </si>
  <si>
    <t>Type</t>
  </si>
  <si>
    <t>集数</t>
  </si>
  <si>
    <t>KeyWpord</t>
  </si>
  <si>
    <t>课程编号</t>
  </si>
  <si>
    <t>英文课程名称</t>
  </si>
  <si>
    <t>学校</t>
  </si>
  <si>
    <t>中文课程名称</t>
  </si>
  <si>
    <t>群星</t>
    <phoneticPr fontId="23" type="noConversion"/>
  </si>
  <si>
    <t>Mp3&amp;Mp4</t>
    <phoneticPr fontId="23" type="noConversion"/>
  </si>
  <si>
    <t>Mp4</t>
    <phoneticPr fontId="23" type="noConversion"/>
  </si>
  <si>
    <t>Ape&amp;Mp3&amp;Lec</t>
    <phoneticPr fontId="23" type="noConversion"/>
  </si>
  <si>
    <t>322移动</t>
  </si>
  <si>
    <t>Mp3&amp;Lec</t>
    <phoneticPr fontId="23" type="noConversion"/>
  </si>
  <si>
    <t>321移动</t>
  </si>
  <si>
    <t>小田和正</t>
    <phoneticPr fontId="23" type="noConversion"/>
  </si>
  <si>
    <t>Mp3</t>
    <phoneticPr fontId="23" type="noConversion"/>
  </si>
  <si>
    <t>日语</t>
    <phoneticPr fontId="23" type="noConversion"/>
  </si>
  <si>
    <r>
      <t>星海</t>
    </r>
    <r>
      <rPr>
        <sz val="11"/>
        <color theme="1"/>
        <rFont val="等线"/>
        <family val="2"/>
        <scheme val="minor"/>
      </rPr>
      <t>HP&amp;CD</t>
    </r>
    <phoneticPr fontId="23" type="noConversion"/>
  </si>
  <si>
    <t>齐豫</t>
    <phoneticPr fontId="23" type="noConversion"/>
  </si>
  <si>
    <t>Ape&amp;Lec</t>
    <phoneticPr fontId="23" type="noConversion"/>
  </si>
  <si>
    <t>英文</t>
    <phoneticPr fontId="23" type="noConversion"/>
  </si>
  <si>
    <r>
      <t>星海</t>
    </r>
    <r>
      <rPr>
        <sz val="11"/>
        <color theme="1"/>
        <rFont val="等线"/>
        <family val="2"/>
        <scheme val="minor"/>
      </rPr>
      <t>HP</t>
    </r>
    <phoneticPr fontId="23" type="noConversion"/>
  </si>
  <si>
    <t>罗大佑</t>
    <phoneticPr fontId="23" type="noConversion"/>
  </si>
  <si>
    <t>Ape</t>
    <phoneticPr fontId="23" type="noConversion"/>
  </si>
  <si>
    <t>中文</t>
    <phoneticPr fontId="23" type="noConversion"/>
  </si>
  <si>
    <t>AVI</t>
    <phoneticPr fontId="23" type="noConversion"/>
  </si>
  <si>
    <t>MKV</t>
    <phoneticPr fontId="23" type="noConversion"/>
  </si>
  <si>
    <r>
      <t>1T</t>
    </r>
    <r>
      <rPr>
        <sz val="10"/>
        <rFont val="宋体"/>
        <family val="3"/>
        <charset val="134"/>
      </rPr>
      <t>台式机</t>
    </r>
    <phoneticPr fontId="23" type="noConversion"/>
  </si>
  <si>
    <t>320移动</t>
    <phoneticPr fontId="23" type="noConversion"/>
  </si>
  <si>
    <r>
      <t>星海</t>
    </r>
    <r>
      <rPr>
        <sz val="10"/>
        <rFont val="宋体"/>
        <family val="3"/>
        <charset val="134"/>
      </rPr>
      <t>台式机</t>
    </r>
    <phoneticPr fontId="23" type="noConversion"/>
  </si>
  <si>
    <t>英文</t>
  </si>
  <si>
    <t>中文</t>
  </si>
  <si>
    <t>星海HP</t>
  </si>
  <si>
    <t>Ape</t>
  </si>
  <si>
    <t>小田和正</t>
  </si>
  <si>
    <t>自己ベスト</t>
    <phoneticPr fontId="23" type="noConversion"/>
  </si>
  <si>
    <t>LOOKING.BACK</t>
    <phoneticPr fontId="23" type="noConversion"/>
  </si>
  <si>
    <t>LOOKING.BACK.2</t>
    <phoneticPr fontId="23" type="noConversion"/>
  </si>
  <si>
    <t>K.ODA</t>
    <phoneticPr fontId="23" type="noConversion"/>
  </si>
  <si>
    <t>BETWEEN.THE.WORD.&amp;.THE.HEART</t>
    <phoneticPr fontId="23" type="noConversion"/>
  </si>
  <si>
    <t>群星</t>
  </si>
  <si>
    <t>音乐传真.HIFI毒药</t>
    <phoneticPr fontId="23" type="noConversion"/>
  </si>
  <si>
    <t>齐豫</t>
  </si>
  <si>
    <r>
      <rPr>
        <sz val="10"/>
        <rFont val="MS Gothic"/>
        <family val="3"/>
        <charset val="128"/>
      </rPr>
      <t>星海</t>
    </r>
    <r>
      <rPr>
        <sz val="10"/>
        <rFont val="Arial"/>
        <family val="2"/>
      </rPr>
      <t>HP</t>
    </r>
    <phoneticPr fontId="3"/>
  </si>
  <si>
    <t>C'est La Vie</t>
    <phoneticPr fontId="23" type="noConversion"/>
  </si>
  <si>
    <t>有没有这种说法</t>
    <phoneticPr fontId="23" type="noConversion"/>
  </si>
  <si>
    <t>你是我所有的回忆</t>
    <phoneticPr fontId="23" type="noConversion"/>
  </si>
  <si>
    <t>骆驼.飞鸟.鱼</t>
    <phoneticPr fontId="23" type="noConversion"/>
  </si>
  <si>
    <t>罗大佑</t>
  </si>
  <si>
    <t>无法盗版的青春-CD9-1994-恋曲2000</t>
    <phoneticPr fontId="23" type="noConversion"/>
  </si>
  <si>
    <t>无法盗版的青春-CD8-1989-告別的年代</t>
    <phoneticPr fontId="23" type="noConversion"/>
  </si>
  <si>
    <t>无法盗版的青春-CD7-1989-闪亮的日子</t>
    <phoneticPr fontId="23" type="noConversion"/>
  </si>
  <si>
    <t>无法盗版的青春-CD6-1989-衣锦还乡</t>
  </si>
  <si>
    <t>无法盗版的青春-CD5-1988-爱人同志</t>
    <phoneticPr fontId="23" type="noConversion"/>
  </si>
  <si>
    <t>无法盗版的青春-CD4-1985-青春舞曲</t>
    <phoneticPr fontId="23" type="noConversion"/>
  </si>
  <si>
    <t>无法盗版的青春-CD3-1984-家</t>
    <phoneticPr fontId="23" type="noConversion"/>
  </si>
  <si>
    <t>无法盗版的青春-CD2-1983-未來的主人翁</t>
    <phoneticPr fontId="23" type="noConversion"/>
  </si>
  <si>
    <t>无法盗版的青春-CD1-1982-之乎者也</t>
    <phoneticPr fontId="23" type="noConversion"/>
  </si>
  <si>
    <t>无法盗版的青春-Bonus.CD</t>
    <phoneticPr fontId="23" type="noConversion"/>
  </si>
  <si>
    <t>罗大佑自选集Disc3</t>
  </si>
  <si>
    <t>罗大佑自选集Disc2</t>
  </si>
  <si>
    <t>罗大佑自选集Disc1</t>
    <phoneticPr fontId="23" type="noConversion"/>
  </si>
  <si>
    <t>我的太阳</t>
  </si>
  <si>
    <t>小留学生</t>
  </si>
  <si>
    <t>角落里的人</t>
  </si>
  <si>
    <t>家在我心中</t>
  </si>
  <si>
    <t>彼岸的青春</t>
  </si>
  <si>
    <t>初来乍到</t>
  </si>
  <si>
    <t>墜入情海--我成功的秘密</t>
  </si>
  <si>
    <t>转职代理人</t>
  </si>
  <si>
    <t>我在一家黑公司上班，已经快撑不下去了</t>
  </si>
  <si>
    <t>为什么你能与绝望战斗</t>
  </si>
  <si>
    <t>她成功的理由</t>
  </si>
  <si>
    <t>派遣员的品格</t>
  </si>
  <si>
    <t>你们没有明天</t>
  </si>
  <si>
    <t>决定不哭的日子</t>
  </si>
  <si>
    <t>打工仔的梦想房</t>
  </si>
  <si>
    <t>OL日本</t>
  </si>
  <si>
    <t>华尔街</t>
  </si>
  <si>
    <t>社交网络</t>
  </si>
  <si>
    <t>源代码</t>
  </si>
  <si>
    <t>云图</t>
  </si>
  <si>
    <t>解构企业</t>
  </si>
  <si>
    <t>硅谷传奇</t>
  </si>
  <si>
    <t>Jobs</t>
  </si>
  <si>
    <t>耶鲁大学 博弈论 16/24 名</t>
  </si>
  <si>
    <t>耶鲁大学《金融理论》/26</t>
  </si>
  <si>
    <t>耶鲁大学 金融市场 26 ok 名</t>
  </si>
  <si>
    <t>斯坦福：iphone开发教程 15/  名</t>
  </si>
  <si>
    <t>斯坦福大学 编程方法 23/28 p 名</t>
  </si>
  <si>
    <t>普林斯顿：科技世界的领导能力 15 ok 名</t>
  </si>
  <si>
    <t>普林斯顿：领导能力简介 5 ok ok 名</t>
  </si>
  <si>
    <t>哈佛大学 幸福学 23 OK 名</t>
  </si>
  <si>
    <t>哈佛大学 计算机科学CS50 20 OK 名</t>
  </si>
  <si>
    <t>麻省理工：供应链管理专题</t>
  </si>
  <si>
    <t>麻省理工学院：计算机科学及编程导论 24 OK 名</t>
  </si>
  <si>
    <t>阿甘正传</t>
    <phoneticPr fontId="23" type="noConversion"/>
  </si>
  <si>
    <t>Mp4</t>
  </si>
  <si>
    <t>有氧健身操</t>
    <phoneticPr fontId="23" type="noConversion"/>
  </si>
  <si>
    <t>街舞教学</t>
    <phoneticPr fontId="23" type="noConversion"/>
  </si>
  <si>
    <t>第八套广播体操</t>
    <phoneticPr fontId="23" type="noConversion"/>
  </si>
  <si>
    <t>余世维</t>
    <phoneticPr fontId="23" type="noConversion"/>
  </si>
  <si>
    <t>余世维卓越管理者的辅导与激励技巧</t>
    <phoneticPr fontId="23" type="noConversion"/>
  </si>
  <si>
    <t>Mp3&amp;Mp4</t>
  </si>
  <si>
    <t>余世维中层危机</t>
    <phoneticPr fontId="23" type="noConversion"/>
  </si>
  <si>
    <t>余世维商丘讲座</t>
    <phoneticPr fontId="23" type="noConversion"/>
  </si>
  <si>
    <t>Mp3</t>
  </si>
  <si>
    <t>余世维有效沟通II</t>
    <phoneticPr fontId="23" type="noConversion"/>
  </si>
  <si>
    <t>余世维有效沟通</t>
    <phoneticPr fontId="23" type="noConversion"/>
  </si>
  <si>
    <t>余世维赢在执行</t>
    <phoneticPr fontId="23" type="noConversion"/>
  </si>
  <si>
    <t>余世维突破中小企业发展瓶颈</t>
    <phoneticPr fontId="23" type="noConversion"/>
  </si>
  <si>
    <t>余世维突破人才经营瓶颈</t>
    <phoneticPr fontId="23" type="noConversion"/>
  </si>
  <si>
    <t>余世维市场竞争策略</t>
    <phoneticPr fontId="23" type="noConversion"/>
  </si>
  <si>
    <t>余世维软实力</t>
    <phoneticPr fontId="23" type="noConversion"/>
  </si>
  <si>
    <t>余世维如何塑造管理者的性格魅力</t>
    <phoneticPr fontId="23" type="noConversion"/>
  </si>
  <si>
    <t>余世维企业变革与企业文化</t>
    <phoneticPr fontId="23" type="noConversion"/>
  </si>
  <si>
    <t>余世维领导商数</t>
    <phoneticPr fontId="23" type="noConversion"/>
  </si>
  <si>
    <t>余世维经理人常犯的11种错误</t>
    <phoneticPr fontId="23" type="noConversion"/>
  </si>
  <si>
    <t>余世维管理者的情商EQ</t>
    <phoneticPr fontId="23" type="noConversion"/>
  </si>
  <si>
    <t>余世维管理者的领导商数</t>
    <phoneticPr fontId="23" type="noConversion"/>
  </si>
  <si>
    <t>余世维打造职业化团队</t>
    <phoneticPr fontId="23" type="noConversion"/>
  </si>
  <si>
    <t>余世维成功经理人</t>
    <phoneticPr fontId="23" type="noConversion"/>
  </si>
  <si>
    <t>日语</t>
  </si>
  <si>
    <t>惜己</t>
    <phoneticPr fontId="23" type="noConversion"/>
  </si>
  <si>
    <t>若是能在天堂遇见你</t>
    <phoneticPr fontId="23" type="noConversion"/>
  </si>
  <si>
    <t>101次求婚</t>
    <phoneticPr fontId="23" type="noConversion"/>
  </si>
  <si>
    <t>252生存者</t>
    <phoneticPr fontId="23" type="noConversion"/>
  </si>
  <si>
    <t>BOSS</t>
    <phoneticPr fontId="23" type="noConversion"/>
  </si>
  <si>
    <t>下北</t>
    <phoneticPr fontId="23" type="noConversion"/>
  </si>
  <si>
    <t>女帝</t>
    <phoneticPr fontId="23" type="noConversion"/>
  </si>
  <si>
    <t>北川弘美《娘王》</t>
    <phoneticPr fontId="23" type="noConversion"/>
  </si>
  <si>
    <t>2nd house</t>
    <phoneticPr fontId="23" type="noConversion"/>
  </si>
  <si>
    <r>
      <t>丘比特的惡作劇</t>
    </r>
    <r>
      <rPr>
        <sz val="11"/>
        <color theme="1"/>
        <rFont val="等线"/>
        <family val="2"/>
        <scheme val="minor"/>
      </rPr>
      <t>-</t>
    </r>
    <r>
      <rPr>
        <sz val="10"/>
        <rFont val="宋体"/>
        <family val="3"/>
        <charset val="134"/>
      </rPr>
      <t>虹玉</t>
    </r>
    <phoneticPr fontId="23" type="noConversion"/>
  </si>
  <si>
    <t>东京爱情故事</t>
    <phoneticPr fontId="23" type="noConversion"/>
  </si>
  <si>
    <t>华丽的间谍</t>
    <phoneticPr fontId="23" type="noConversion"/>
  </si>
  <si>
    <t>同一屋檐下</t>
    <phoneticPr fontId="23" type="noConversion"/>
  </si>
  <si>
    <t>夜光的阶梯</t>
    <phoneticPr fontId="23" type="noConversion"/>
  </si>
  <si>
    <t>婚活</t>
    <phoneticPr fontId="23" type="noConversion"/>
  </si>
  <si>
    <t>恋爱世纪</t>
    <phoneticPr fontId="23" type="noConversion"/>
  </si>
  <si>
    <t>悠长假期</t>
    <phoneticPr fontId="23" type="noConversion"/>
  </si>
  <si>
    <t>松本清张中央流沙</t>
    <phoneticPr fontId="23" type="noConversion"/>
  </si>
  <si>
    <t>松本清张驿路</t>
    <phoneticPr fontId="23" type="noConversion"/>
  </si>
  <si>
    <t>松本清张疑惑</t>
    <phoneticPr fontId="23" type="noConversion"/>
  </si>
  <si>
    <t>松本清张颜</t>
    <phoneticPr fontId="23" type="noConversion"/>
  </si>
  <si>
    <t>松本清张点与线</t>
    <phoneticPr fontId="23" type="noConversion"/>
  </si>
  <si>
    <t>松本清张黑色奔流</t>
    <phoneticPr fontId="23" type="noConversion"/>
  </si>
  <si>
    <t>电车男</t>
    <phoneticPr fontId="23" type="noConversion"/>
  </si>
  <si>
    <t>东京塔</t>
    <phoneticPr fontId="23" type="noConversion"/>
  </si>
  <si>
    <t>Jyouou Virgin</t>
    <phoneticPr fontId="23" type="noConversion"/>
  </si>
  <si>
    <t>夜王</t>
    <phoneticPr fontId="23" type="noConversion"/>
  </si>
  <si>
    <t>甜心空姐</t>
    <phoneticPr fontId="23" type="noConversion"/>
  </si>
  <si>
    <t>周思敏时尚礼仪讲座</t>
    <phoneticPr fontId="23" type="noConversion"/>
  </si>
  <si>
    <t>10集留学日本</t>
    <phoneticPr fontId="23" type="noConversion"/>
  </si>
  <si>
    <t>墜入情海--我成功的秘密</t>
    <phoneticPr fontId="23" type="noConversion"/>
  </si>
  <si>
    <t>转职代理人</t>
    <phoneticPr fontId="23" type="noConversion"/>
  </si>
  <si>
    <t>我在一家黑公司上班，已经快撑不下去了</t>
    <phoneticPr fontId="23" type="noConversion"/>
  </si>
  <si>
    <t>为什么你能与绝望战斗</t>
    <phoneticPr fontId="23" type="noConversion"/>
  </si>
  <si>
    <t>她成功的理由</t>
    <phoneticPr fontId="23" type="noConversion"/>
  </si>
  <si>
    <t>派遣员的品格</t>
    <phoneticPr fontId="23" type="noConversion"/>
  </si>
  <si>
    <t>你们没有明天</t>
    <phoneticPr fontId="23" type="noConversion"/>
  </si>
  <si>
    <t>决定不哭的日子</t>
    <phoneticPr fontId="23" type="noConversion"/>
  </si>
  <si>
    <t>打工仔的梦想房ew</t>
    <phoneticPr fontId="23" type="noConversion"/>
  </si>
  <si>
    <t>OL日本</t>
    <phoneticPr fontId="23" type="noConversion"/>
  </si>
  <si>
    <t>●</t>
    <phoneticPr fontId="23" type="noConversion"/>
  </si>
  <si>
    <t>史蒂夫·乔布斯：机器人生</t>
  </si>
  <si>
    <t>实习生</t>
    <phoneticPr fontId="23" type="noConversion"/>
  </si>
  <si>
    <t>MP4</t>
    <phoneticPr fontId="23" type="noConversion"/>
  </si>
  <si>
    <t>星海台式机</t>
  </si>
  <si>
    <t>源代码</t>
    <phoneticPr fontId="23" type="noConversion"/>
  </si>
  <si>
    <t>MKV</t>
  </si>
  <si>
    <t>云图</t>
    <phoneticPr fontId="23" type="noConversion"/>
  </si>
  <si>
    <t>二维电影</t>
    <phoneticPr fontId="23" type="noConversion"/>
  </si>
  <si>
    <t>监守自盗</t>
    <phoneticPr fontId="23" type="noConversion"/>
  </si>
  <si>
    <t>穿普拉达的女王</t>
    <phoneticPr fontId="23" type="noConversion"/>
  </si>
  <si>
    <t>推销员</t>
    <phoneticPr fontId="23" type="noConversion"/>
  </si>
  <si>
    <t>电视台风云</t>
    <phoneticPr fontId="23" type="noConversion"/>
  </si>
  <si>
    <t>下岗风波</t>
    <phoneticPr fontId="23" type="noConversion"/>
  </si>
  <si>
    <t>利益风暴</t>
    <phoneticPr fontId="23" type="noConversion"/>
  </si>
  <si>
    <t>恶老板</t>
    <phoneticPr fontId="23" type="noConversion"/>
  </si>
  <si>
    <t>大企业</t>
    <phoneticPr fontId="23" type="noConversion"/>
  </si>
  <si>
    <t>华尔街2</t>
  </si>
  <si>
    <t>华尔街1</t>
    <phoneticPr fontId="23" type="noConversion"/>
  </si>
  <si>
    <t>社交网络</t>
    <phoneticPr fontId="23" type="noConversion"/>
  </si>
  <si>
    <t>解构企业</t>
    <phoneticPr fontId="23" type="noConversion"/>
  </si>
  <si>
    <t>AVI</t>
  </si>
  <si>
    <t>硅谷传奇</t>
    <phoneticPr fontId="23" type="noConversion"/>
  </si>
  <si>
    <t>Jobs</t>
    <phoneticPr fontId="23" type="noConversion"/>
  </si>
  <si>
    <t>人名</t>
    <phoneticPr fontId="23" type="noConversion"/>
  </si>
  <si>
    <t>存放</t>
    <phoneticPr fontId="23" type="noConversion"/>
  </si>
  <si>
    <t>2T</t>
    <phoneticPr fontId="23" type="noConversion"/>
  </si>
  <si>
    <t>媒体</t>
    <phoneticPr fontId="23" type="noConversion"/>
  </si>
  <si>
    <t>iTunes</t>
    <phoneticPr fontId="23" type="noConversion"/>
  </si>
  <si>
    <t>年代</t>
    <phoneticPr fontId="23" type="noConversion"/>
  </si>
  <si>
    <t>字幕</t>
    <phoneticPr fontId="23" type="noConversion"/>
  </si>
  <si>
    <t>集数</t>
    <phoneticPr fontId="23" type="noConversion"/>
  </si>
  <si>
    <t>片名</t>
    <phoneticPr fontId="23" type="noConversion"/>
  </si>
  <si>
    <t>格式</t>
    <phoneticPr fontId="23" type="noConversion"/>
  </si>
  <si>
    <t>语言</t>
    <phoneticPr fontId="23" type="noConversion"/>
  </si>
  <si>
    <t>电子书</t>
    <phoneticPr fontId="28" type="noConversion"/>
  </si>
  <si>
    <t>精通COBOL——大型机商业编程技术详解(修订版)</t>
    <phoneticPr fontId="28" type="noConversion"/>
  </si>
  <si>
    <t>IBM主机技术一本通</t>
    <phoneticPr fontId="28" type="noConversion"/>
  </si>
  <si>
    <t>大型主机操作系统基础实验教程</t>
    <phoneticPr fontId="28" type="noConversion"/>
  </si>
  <si>
    <t>基于RUP的软件测试实践</t>
  </si>
  <si>
    <t>Web技术在主机系统中的应用与案例分析</t>
    <phoneticPr fontId="28" type="noConversion"/>
  </si>
  <si>
    <t>大型主机汇编语言程序设计</t>
    <phoneticPr fontId="28" type="noConversion"/>
  </si>
  <si>
    <t>大型主机数据库系统管理基础与应用开发</t>
    <phoneticPr fontId="28" type="noConversion"/>
  </si>
  <si>
    <t>大型主机系统管理</t>
    <phoneticPr fontId="28" type="noConversion"/>
  </si>
  <si>
    <t>大型主机系统管理REXX编程详解</t>
    <phoneticPr fontId="28" type="noConversion"/>
  </si>
  <si>
    <t>大型机数据库管理系统DB2</t>
    <phoneticPr fontId="28" type="noConversion"/>
  </si>
  <si>
    <t>大型主机操作系统基础</t>
    <phoneticPr fontId="28" type="noConversion"/>
  </si>
  <si>
    <t>现代大型主机系统导论</t>
    <phoneticPr fontId="28" type="noConversion"/>
  </si>
  <si>
    <t>推荐</t>
    <phoneticPr fontId="23" type="noConversion"/>
  </si>
  <si>
    <t>About Face3交互设计精髓</t>
    <phoneticPr fontId="23" type="noConversion"/>
  </si>
  <si>
    <t>强烈推荐</t>
    <phoneticPr fontId="23" type="noConversion"/>
  </si>
  <si>
    <t>高效程序员的45个习惯：敏捷开发修炼之道</t>
    <phoneticPr fontId="23" type="noConversion"/>
  </si>
  <si>
    <t>必知知识</t>
    <phoneticPr fontId="23" type="noConversion"/>
  </si>
  <si>
    <t>恰如其分的软件架构</t>
    <phoneticPr fontId="23" type="noConversion"/>
  </si>
  <si>
    <t>http://product.dangdang.com/23391522.html#ddclick_reco_reco_buytogether</t>
  </si>
  <si>
    <t>必备技能</t>
    <phoneticPr fontId="23" type="noConversion"/>
  </si>
  <si>
    <t>数据驱动营销：营销人员必知的15个关键指标</t>
    <phoneticPr fontId="23" type="noConversion"/>
  </si>
  <si>
    <t>专业名著</t>
    <phoneticPr fontId="23" type="noConversion"/>
  </si>
  <si>
    <t>营销管理(第14版）</t>
    <phoneticPr fontId="23" type="noConversion"/>
  </si>
  <si>
    <t>电子商务 管理视角</t>
    <phoneticPr fontId="23" type="noConversion"/>
  </si>
  <si>
    <t>http://product.dangdang.com/23517093.html#catalog</t>
    <phoneticPr fontId="23" type="noConversion"/>
  </si>
  <si>
    <t>岩田昭男 著</t>
    <phoneticPr fontId="23" type="noConversion"/>
  </si>
  <si>
    <t>当前行业热点</t>
    <phoneticPr fontId="23" type="noConversion"/>
  </si>
  <si>
    <t>O2O时代的冲击</t>
    <phoneticPr fontId="23" type="noConversion"/>
  </si>
  <si>
    <t>(美).卡斯·桑斯坦</t>
    <phoneticPr fontId="23" type="noConversion"/>
  </si>
  <si>
    <t>美国畅销书</t>
    <phoneticPr fontId="23" type="noConversion"/>
  </si>
  <si>
    <t>助推</t>
    <phoneticPr fontId="23" type="noConversion"/>
  </si>
  <si>
    <t>引爆点</t>
    <phoneticPr fontId="23" type="noConversion"/>
  </si>
  <si>
    <t>异类 不一样的成功启示</t>
    <phoneticPr fontId="23" type="noConversion"/>
  </si>
  <si>
    <t>部落 一呼百应的力量</t>
    <phoneticPr fontId="23" type="noConversion"/>
  </si>
  <si>
    <t>你需要多少朋友</t>
    <phoneticPr fontId="23" type="noConversion"/>
  </si>
  <si>
    <t>怪诞行为学1、2</t>
    <phoneticPr fontId="23" type="noConversion"/>
  </si>
  <si>
    <t>消费者行为学</t>
    <phoneticPr fontId="23" type="noConversion"/>
  </si>
  <si>
    <t>影响力</t>
    <phoneticPr fontId="23" type="noConversion"/>
  </si>
  <si>
    <t>巧绘蓝图-商业计划书写作秘诀</t>
    <phoneticPr fontId="23" type="noConversion"/>
  </si>
  <si>
    <t>失控</t>
    <phoneticPr fontId="23" type="noConversion"/>
  </si>
  <si>
    <t>产品经理的第二本书</t>
    <phoneticPr fontId="23" type="noConversion"/>
  </si>
  <si>
    <t>http://product.dangdang.com/22774689.html#catalog</t>
    <phoneticPr fontId="23" type="noConversion"/>
  </si>
  <si>
    <t>已绝版</t>
    <phoneticPr fontId="23" type="noConversion"/>
  </si>
  <si>
    <t>产品经理的第一本书</t>
    <phoneticPr fontId="23" type="noConversion"/>
  </si>
  <si>
    <t>主教材</t>
    <phoneticPr fontId="23" type="noConversion"/>
  </si>
  <si>
    <t>授课教材，贯穿课程始终</t>
    <phoneticPr fontId="23" type="noConversion"/>
  </si>
  <si>
    <t>神一样的产品经理——基于移动与互联网产品实践</t>
    <phoneticPr fontId="23" type="noConversion"/>
  </si>
  <si>
    <t>〔美〕唐·理查德·里索，拉斯·赫德森</t>
    <phoneticPr fontId="23" type="noConversion"/>
  </si>
  <si>
    <t>必知知识</t>
  </si>
  <si>
    <t>九型人格(全2册） （国际九型人格研究会权威读本）</t>
    <phoneticPr fontId="23" type="noConversion"/>
  </si>
  <si>
    <t>（美）雷纳德</t>
    <phoneticPr fontId="23" type="noConversion"/>
  </si>
  <si>
    <t>必备技能，贯穿课程始终</t>
    <phoneticPr fontId="23" type="noConversion"/>
  </si>
  <si>
    <t>演说之禅：职场必知的幻灯片秘技</t>
    <phoneticPr fontId="23" type="noConversion"/>
  </si>
  <si>
    <t>http://product.dangdang.com/1349942005.html#ddclick?act=click&amp;pos=1349942005_10_1_q&amp;cat=&amp;key=%C8%D5%B1%BE%C9%CC%CE%F1%C0%F1%D2%C7&amp;qinfo=53_1_60&amp;pinfo=&amp;minfo=&amp;ninfo=&amp;custid=&amp;permid=20140127013450309429232762962070194&amp;ref=http%3A%2F%2Fsearch.dangdang.com%2F%3Fkey%3D%25D6%25DA%25B0%25FC%25A3%25BA%25B4%25F3%25D6%25DA%25C1%25A6%25C1%25BF%25D4%25B5%25BA%25CE%25CD%25C6%25B6%25AF%25C9%25CC%25D2%25B5%25CE%25B4%25C0%25B4&amp;rcount=&amp;type=&amp;t=1409886861000&amp;ver=E</t>
  </si>
  <si>
    <t>(日)安田贺计</t>
    <phoneticPr fontId="23" type="noConversion"/>
  </si>
  <si>
    <t>日本商务礼仪(日中对照图解现代日本语日本商务资格鉴定教材)</t>
    <phoneticPr fontId="23" type="noConversion"/>
  </si>
  <si>
    <t>助推(美).卡斯·桑斯坦.扫描版</t>
    <phoneticPr fontId="33" type="noConversion"/>
  </si>
  <si>
    <t>众包：大众力量缘何推动商业未来.（美）杰夫·豪.扫描版</t>
    <phoneticPr fontId="33" type="noConversion"/>
  </si>
  <si>
    <t>长尾理论The.Long.Tail.2006.Scan-HARRISON</t>
    <phoneticPr fontId="33" type="noConversion"/>
  </si>
  <si>
    <t>长尾理论2.0.[美].克里斯·安德森.扫描版</t>
    <phoneticPr fontId="33" type="noConversion"/>
  </si>
  <si>
    <t>预知社会 群体行为的内在法则</t>
    <phoneticPr fontId="33" type="noConversion"/>
  </si>
  <si>
    <t>战略与结构钱德勒</t>
    <phoneticPr fontId="33" type="noConversion"/>
  </si>
  <si>
    <t>用户体验的要素 －以用户为中心的Web设计(2008) -- Jesse James Garrett着 范晓燕译</t>
    <phoneticPr fontId="33" type="noConversion"/>
  </si>
  <si>
    <t>影响力.(美) 西奥迪尼.扫描版</t>
    <phoneticPr fontId="33" type="noConversion"/>
  </si>
  <si>
    <t>赢在网络营销</t>
    <phoneticPr fontId="33" type="noConversion"/>
  </si>
  <si>
    <t>引爆点</t>
    <phoneticPr fontId="33" type="noConversion"/>
  </si>
  <si>
    <t>异类 不一样的成功启示</t>
    <phoneticPr fontId="33" type="noConversion"/>
  </si>
  <si>
    <t>演说之禅：职场必知的幻灯片秘技.(美)(雷纳德).扫描版</t>
    <phoneticPr fontId="33" type="noConversion"/>
  </si>
  <si>
    <t>幸福的方法-泰勒·本-沙哈尔-2007</t>
    <phoneticPr fontId="33" type="noConversion"/>
  </si>
  <si>
    <t>写给大家看的设计书-中文版(第3版)</t>
    <phoneticPr fontId="33" type="noConversion"/>
  </si>
  <si>
    <t>无价：洞悉大众心理玩转价格游戏.(美)威廉·庞德斯通.扫描版</t>
    <phoneticPr fontId="33" type="noConversion"/>
  </si>
  <si>
    <t>未来是湿的.克莱·舍基.扫描图</t>
    <phoneticPr fontId="33" type="noConversion"/>
  </si>
  <si>
    <t>网站重构—应用Web标准进行设计.(网站重构).泽尔德曼.扫描版.[PDF]</t>
    <phoneticPr fontId="33" type="noConversion"/>
  </si>
  <si>
    <t>网站设计解构-中文版- 霍克曼，斯普乌尔着</t>
    <phoneticPr fontId="33" type="noConversion"/>
  </si>
  <si>
    <t>瞬间之美：WEB界面设计如何让用户心动-中文版</t>
    <phoneticPr fontId="33" type="noConversion"/>
  </si>
  <si>
    <t>世界是平的：21世纪简史.托马斯.弗里德曼.扫描版</t>
    <phoneticPr fontId="33" type="noConversion"/>
  </si>
  <si>
    <t>失控</t>
    <phoneticPr fontId="33" type="noConversion"/>
  </si>
  <si>
    <t>生活中的行为经济学 下 投资行为的非理性陷阱</t>
    <phoneticPr fontId="33" type="noConversion"/>
  </si>
  <si>
    <t>生活中的行为经济学 上 消费行为的非理性的陷阱</t>
    <phoneticPr fontId="33" type="noConversion"/>
  </si>
  <si>
    <t>神一样的产品经理</t>
    <phoneticPr fontId="33" type="noConversion"/>
  </si>
  <si>
    <t>社会学(第十版)(美)戴维.波普诺.扫描版</t>
    <phoneticPr fontId="33" type="noConversion"/>
  </si>
  <si>
    <t>设计师要懂心理学.徐佳.全彩版</t>
    <phoneticPr fontId="33" type="noConversion"/>
  </si>
  <si>
    <t>商业模式 企业竞争的最高形态.李振勇（扫描版）</t>
    <phoneticPr fontId="33" type="noConversion"/>
  </si>
  <si>
    <t>商业计划书写作指南.(美)奥斯特扬，丹斯洛</t>
    <phoneticPr fontId="33" type="noConversion"/>
  </si>
  <si>
    <t>软件架构师的12项修炼.Dave.Hendricksen.扫描版</t>
    <phoneticPr fontId="33" type="noConversion"/>
  </si>
  <si>
    <t>软件观念革命.交互设计精髓</t>
    <phoneticPr fontId="33" type="noConversion"/>
  </si>
  <si>
    <t>日本商务礼仪ok</t>
    <phoneticPr fontId="33" type="noConversion"/>
  </si>
  <si>
    <t>人人都是产品经理.苏杰.扫描版</t>
    <phoneticPr fontId="33" type="noConversion"/>
  </si>
  <si>
    <t>情商2 影响你一生的社交商</t>
    <phoneticPr fontId="33" type="noConversion"/>
  </si>
  <si>
    <t>情商 为什么情商比智商更重要</t>
    <phoneticPr fontId="33" type="noConversion"/>
  </si>
  <si>
    <t>情感化设计</t>
    <phoneticPr fontId="33" type="noConversion"/>
  </si>
  <si>
    <t>巧绘蓝图-商业计划书写作秘诀.保罗.巴罗.扫描版</t>
    <phoneticPr fontId="33" type="noConversion"/>
  </si>
  <si>
    <t>模式 零售连锁业战略思维和发展模式.郎咸平（扫描版）</t>
    <phoneticPr fontId="33" type="noConversion"/>
  </si>
  <si>
    <t>免费 商业的未来</t>
    <phoneticPr fontId="33" type="noConversion"/>
  </si>
  <si>
    <t>乱乱脑 by 盖瑞-马库斯</t>
    <phoneticPr fontId="33" type="noConversion"/>
  </si>
  <si>
    <t>客户想让你知道的事[美]拉姆.查兰【2008】</t>
    <phoneticPr fontId="33" type="noConversion"/>
  </si>
  <si>
    <t>结网.互联网产品经理改变世界.王坚.扫描版</t>
    <phoneticPr fontId="33" type="noConversion"/>
  </si>
  <si>
    <t>架构实战软件架构设计的过程.(The.Process.of.Software.Architecting).Peter.Eeles.&amp;.Peter.Cripps.扫描版</t>
    <phoneticPr fontId="33" type="noConversion"/>
  </si>
  <si>
    <t>怪诞行为学2：非理性的积极力量.(美)艾瑞里.扫描版</t>
    <phoneticPr fontId="33" type="noConversion"/>
  </si>
  <si>
    <t>怪诞行为学.Predictably.Irrational.2008.Scan-HARRISON</t>
    <phoneticPr fontId="33" type="noConversion"/>
  </si>
  <si>
    <t>供应链物流管理（原书第3版）</t>
    <phoneticPr fontId="33" type="noConversion"/>
  </si>
  <si>
    <t>断层线：全球经济潜在的危机.(美)拉古拉迈.扫描版</t>
    <phoneticPr fontId="33" type="noConversion"/>
  </si>
  <si>
    <t>定位有史以来对美国营销影响最大的观念.艾·里斯，杰克·特劳特.扫描版</t>
    <phoneticPr fontId="33" type="noConversion"/>
  </si>
  <si>
    <t>大家看的设计书(第三版)</t>
    <phoneticPr fontId="33" type="noConversion"/>
  </si>
  <si>
    <t>从设计到产品：日本著名企业产品设计实例.(日)清水吉治.&amp;.朱钟炎.清晰照片版</t>
    <phoneticPr fontId="33" type="noConversion"/>
  </si>
  <si>
    <t>创办你的企业：创业意识培训册.国际劳工组织北京局.扫描版</t>
    <phoneticPr fontId="33" type="noConversion"/>
  </si>
  <si>
    <t>创办你的企业：创业计划书.国际劳工组织北京局.扫描版</t>
  </si>
  <si>
    <t>产品经理的第一本书</t>
    <phoneticPr fontId="33" type="noConversion"/>
  </si>
  <si>
    <t>产品经理的第二本书.Linda.Gorchels.扫描版</t>
    <phoneticPr fontId="33" type="noConversion"/>
  </si>
  <si>
    <t>FACEBOOK效应 （美）大卫·柯克帕特里克着扫描版</t>
    <phoneticPr fontId="33" type="noConversion"/>
  </si>
  <si>
    <t>软件日语</t>
    <phoneticPr fontId="33" type="noConversion"/>
  </si>
  <si>
    <t>日文软件项目管理</t>
    <phoneticPr fontId="33" type="noConversion"/>
  </si>
  <si>
    <t>日文软件开发文档</t>
    <phoneticPr fontId="33" type="noConversion"/>
  </si>
  <si>
    <t>日文软件开发流程与设计技巧</t>
    <phoneticPr fontId="33" type="noConversion"/>
  </si>
  <si>
    <t>日本企业文化与沟通技巧</t>
    <phoneticPr fontId="33" type="noConversion"/>
  </si>
  <si>
    <t>东软软件工程师日语</t>
    <phoneticPr fontId="33" type="noConversion"/>
  </si>
  <si>
    <t>neusoft_Itjapan</t>
    <phoneticPr fontId="33" type="noConversion"/>
  </si>
  <si>
    <r>
      <t>新入行員基礎コース_4 融資業務、証券</t>
    </r>
    <r>
      <rPr>
        <sz val="11"/>
        <color theme="1"/>
        <rFont val="等线"/>
        <family val="3"/>
        <charset val="128"/>
        <scheme val="minor"/>
      </rPr>
      <t>・</t>
    </r>
    <r>
      <rPr>
        <sz val="11"/>
        <color theme="1"/>
        <rFont val="等线"/>
        <family val="2"/>
        <scheme val="minor"/>
      </rPr>
      <t>保険業務の基礎</t>
    </r>
    <phoneticPr fontId="33" type="noConversion"/>
  </si>
  <si>
    <r>
      <t>新入行員基礎コース_3 内国為替</t>
    </r>
    <r>
      <rPr>
        <sz val="11"/>
        <color theme="1"/>
        <rFont val="等线"/>
        <family val="3"/>
        <charset val="128"/>
        <scheme val="minor"/>
      </rPr>
      <t>・</t>
    </r>
    <r>
      <rPr>
        <sz val="11"/>
        <color theme="1"/>
        <rFont val="等线"/>
        <family val="2"/>
        <scheme val="minor"/>
      </rPr>
      <t xml:space="preserve"> 外国為替業務、付随業務の基礎</t>
    </r>
    <phoneticPr fontId="33" type="noConversion"/>
  </si>
  <si>
    <r>
      <t>新入行員基礎コース_2 預金業務と手形</t>
    </r>
    <r>
      <rPr>
        <sz val="11"/>
        <color theme="1"/>
        <rFont val="等线"/>
        <family val="3"/>
        <charset val="128"/>
        <scheme val="minor"/>
      </rPr>
      <t>・</t>
    </r>
    <r>
      <rPr>
        <sz val="11"/>
        <color theme="1"/>
        <rFont val="等线"/>
        <family val="2"/>
        <scheme val="minor"/>
      </rPr>
      <t xml:space="preserve"> 小切手の基礎</t>
    </r>
    <phoneticPr fontId="33" type="noConversion"/>
  </si>
  <si>
    <t>新入行員基礎コース_1 金融機関の役割と事務の基本</t>
    <phoneticPr fontId="33" type="noConversion"/>
  </si>
  <si>
    <t>SEのための銀行三大業務入門</t>
    <phoneticPr fontId="33" type="noConversion"/>
  </si>
  <si>
    <t>软件测试面试突击：为自已赢得一份测试工程师职位</t>
    <phoneticPr fontId="33" type="noConversion"/>
  </si>
  <si>
    <t>软件测试精要</t>
    <phoneticPr fontId="33" type="noConversion"/>
  </si>
  <si>
    <t>高级软件测试卷2：高级软件测试经理</t>
    <phoneticPr fontId="33" type="noConversion"/>
  </si>
  <si>
    <t>IT日本语教程实践篇</t>
    <phoneticPr fontId="33" type="noConversion"/>
  </si>
  <si>
    <t>Drupal实战</t>
    <phoneticPr fontId="33" type="noConversion"/>
  </si>
  <si>
    <t>Drupal7宝典</t>
    <phoneticPr fontId="33" type="noConversion"/>
  </si>
  <si>
    <t>Windows.命令行详解手册（第2版）</t>
    <phoneticPr fontId="33" type="noConversion"/>
  </si>
  <si>
    <t>●</t>
    <phoneticPr fontId="33" type="noConversion"/>
  </si>
  <si>
    <t>日本语</t>
    <phoneticPr fontId="33" type="noConversion"/>
  </si>
  <si>
    <t>VS-COBOL-II-プログラミング－中級</t>
    <phoneticPr fontId="33" type="noConversion"/>
  </si>
  <si>
    <t>VS-COBOL-II-プログラミング－初級</t>
    <phoneticPr fontId="33" type="noConversion"/>
  </si>
  <si>
    <t>TSO使用方法</t>
    <phoneticPr fontId="33" type="noConversion"/>
  </si>
  <si>
    <t>PLIプログラミング</t>
    <phoneticPr fontId="33" type="noConversion"/>
  </si>
  <si>
    <t>MVS-ジョブ制御言語の使用法</t>
    <phoneticPr fontId="33" type="noConversion"/>
  </si>
  <si>
    <t>MVSカタログ式プロシージャーの使用方法</t>
    <phoneticPr fontId="33" type="noConversion"/>
  </si>
  <si>
    <t>IMS-VS入門</t>
    <phoneticPr fontId="33" type="noConversion"/>
  </si>
  <si>
    <t>中文</t>
    <phoneticPr fontId="33" type="noConversion"/>
  </si>
  <si>
    <t>COBOL从入门到精通</t>
    <phoneticPr fontId="33" type="noConversion"/>
  </si>
  <si>
    <t>现代大型主机系统导论</t>
    <phoneticPr fontId="33" type="noConversion"/>
  </si>
  <si>
    <t>基于RUP的软件测试实践</t>
    <phoneticPr fontId="33" type="noConversion"/>
  </si>
  <si>
    <t>大型主机系统管理</t>
    <phoneticPr fontId="33" type="noConversion"/>
  </si>
  <si>
    <t>大型主机系统管理REXX编程详解</t>
    <phoneticPr fontId="33" type="noConversion"/>
  </si>
  <si>
    <t>大型主机数据库系统管理基础与应用开发</t>
    <phoneticPr fontId="33" type="noConversion"/>
  </si>
  <si>
    <t>大型主机数据库管理系统DB2</t>
    <phoneticPr fontId="33" type="noConversion"/>
  </si>
  <si>
    <t>大型主机汇编语言程序设计</t>
    <phoneticPr fontId="33" type="noConversion"/>
  </si>
  <si>
    <t>大型主机操作系统基础实验教程</t>
    <phoneticPr fontId="33" type="noConversion"/>
  </si>
  <si>
    <t>大型主机操作系统基础</t>
    <phoneticPr fontId="33" type="noConversion"/>
  </si>
  <si>
    <t>WEB技术在主机系统中的应用与案例分析</t>
    <phoneticPr fontId="33" type="noConversion"/>
  </si>
  <si>
    <t>IBM主机技术一本通</t>
    <phoneticPr fontId="33" type="noConversion"/>
  </si>
  <si>
    <t>ITシステム開発徹底攻</t>
    <phoneticPr fontId="33" type="noConversion"/>
  </si>
  <si>
    <t>Javaエンジニア養成読本</t>
    <phoneticPr fontId="33" type="noConversion"/>
  </si>
  <si>
    <t>图解系统设计的基础</t>
    <phoneticPr fontId="33" type="noConversion"/>
  </si>
  <si>
    <t>人気サイトに学ぶウェブゆーざビリティ</t>
  </si>
  <si>
    <t>外国人をサポートするための生活マニュアル</t>
  </si>
  <si>
    <t>ユーザーエクスペリエンスの想定</t>
    <phoneticPr fontId="33" type="noConversion"/>
  </si>
  <si>
    <t>UMLモデリング入門</t>
  </si>
  <si>
    <t>JAVAEEウェブシステム入門</t>
  </si>
  <si>
    <t>ITアーキテクトの教科書</t>
  </si>
  <si>
    <t>Androidプログラミング入門</t>
    <phoneticPr fontId="33" type="noConversion"/>
  </si>
  <si>
    <t>星海书架</t>
    <phoneticPr fontId="33" type="noConversion"/>
  </si>
  <si>
    <t>応用情報技術者</t>
    <phoneticPr fontId="33" type="noConversion"/>
  </si>
  <si>
    <t>星海阁楼</t>
    <phoneticPr fontId="33" type="noConversion"/>
  </si>
  <si>
    <t>设计模式</t>
    <phoneticPr fontId="33" type="noConversion"/>
  </si>
  <si>
    <t>NIT－PRO</t>
    <phoneticPr fontId="33" type="noConversion"/>
  </si>
  <si>
    <t>疯狂androl讲义</t>
    <phoneticPr fontId="33" type="noConversion"/>
  </si>
  <si>
    <t>代码大全</t>
    <phoneticPr fontId="33" type="noConversion"/>
  </si>
  <si>
    <t>標準COBOLプログラミング</t>
    <phoneticPr fontId="33" type="noConversion"/>
  </si>
  <si>
    <t>よくわかり最新システム開発者のための要求定義の基本と仕組み</t>
    <phoneticPr fontId="33" type="noConversion"/>
  </si>
  <si>
    <t>よくわかり最新システム開発者のための仕様書の基本と仕組み</t>
    <phoneticPr fontId="33" type="noConversion"/>
  </si>
  <si>
    <t>よくわかり最新システム開発者のための上流工程の基本と仕組み</t>
    <phoneticPr fontId="33" type="noConversion"/>
  </si>
  <si>
    <t>プロジェクトマネージャ</t>
    <phoneticPr fontId="33" type="noConversion"/>
  </si>
  <si>
    <t>できる人ビジネスマナー</t>
    <phoneticPr fontId="33" type="noConversion"/>
  </si>
  <si>
    <t>ソフトウェア開発の持つべき文化</t>
    <phoneticPr fontId="33" type="noConversion"/>
  </si>
  <si>
    <t>ずっと受けたかったソフトウェアエンジニアリングの授業</t>
    <phoneticPr fontId="33" type="noConversion"/>
  </si>
  <si>
    <t>システムアーキテクト</t>
    <phoneticPr fontId="33" type="noConversion"/>
  </si>
  <si>
    <t>あなたのチームは機能してますか</t>
    <phoneticPr fontId="33" type="noConversion"/>
  </si>
  <si>
    <t>SEのための要求仕様書の作り方</t>
    <phoneticPr fontId="33" type="noConversion"/>
  </si>
  <si>
    <t>SEのための図解システム設計の基礎</t>
    <phoneticPr fontId="33" type="noConversion"/>
  </si>
  <si>
    <t>SEのための提案書の作り方</t>
    <phoneticPr fontId="33" type="noConversion"/>
  </si>
  <si>
    <t>张国锋</t>
    <phoneticPr fontId="33" type="noConversion"/>
  </si>
  <si>
    <t>C++语言及其程序设计教程</t>
    <phoneticPr fontId="33" type="noConversion"/>
  </si>
  <si>
    <t>jsp技术揭秘</t>
  </si>
  <si>
    <t>PB数据库高级教程</t>
  </si>
  <si>
    <t>基于Oracle应用服务器的WEB开发技术</t>
  </si>
  <si>
    <t>Oracle开发技巧与应用实例</t>
  </si>
  <si>
    <t>Oracle数据库应用开发基础</t>
  </si>
  <si>
    <t>软件测试员培训教程</t>
  </si>
  <si>
    <t>java课程设计</t>
  </si>
  <si>
    <t>Oracle9Idba认证教程</t>
  </si>
  <si>
    <t>vB数据库宝典</t>
  </si>
  <si>
    <t>pb实用程序设计100例</t>
  </si>
  <si>
    <t>对象揭秘剖析C++</t>
  </si>
  <si>
    <t>VB程序设计实践教程</t>
  </si>
  <si>
    <t>日语能力考试1——4级听力速成强化</t>
  </si>
  <si>
    <t>VC++课程设计与系统开发案例</t>
  </si>
  <si>
    <t>编程之路数据结构导学</t>
  </si>
  <si>
    <t>高校日语专业四级考试模拟试题集</t>
  </si>
  <si>
    <t>计算机操作系统习题与解析</t>
  </si>
  <si>
    <t>最新国际日语能力测试解析二级</t>
  </si>
  <si>
    <t>研究生入学考试全真题解——离散数学</t>
  </si>
  <si>
    <t>日本语能力测试综合问题一级对策篇</t>
  </si>
  <si>
    <t>新概念英语练习详解二</t>
  </si>
  <si>
    <t>例解日语语法</t>
  </si>
  <si>
    <t>日语听解测试指导与实践</t>
  </si>
  <si>
    <t>大学日语四级考试达标训练——语法精讲</t>
  </si>
  <si>
    <t>大学日语四级考试达标训练——作文指导与点评</t>
  </si>
  <si>
    <t>大学日语四级考试达标训练——短文写作</t>
  </si>
  <si>
    <t>日语专业四八级考试分级精解——语法</t>
  </si>
  <si>
    <t>日语专业四八级考试分级精解——文字词汇</t>
  </si>
  <si>
    <t>日语专业四八级考试分级精解——写作文学</t>
  </si>
  <si>
    <t>日本语能力测试一级</t>
  </si>
  <si>
    <t>数据结构（Java语言版）</t>
  </si>
  <si>
    <t>プレゼンテーション</t>
    <phoneticPr fontId="2" type="noConversion"/>
  </si>
  <si>
    <t>メール</t>
    <phoneticPr fontId="2" type="noConversion"/>
  </si>
  <si>
    <t>ファシリテーター</t>
    <phoneticPr fontId="2" type="noConversion"/>
  </si>
  <si>
    <t>インタビュー力とヒアリング力</t>
    <rPh sb="6" eb="7">
      <t>ﾘｮｸ</t>
    </rPh>
    <rPh sb="13" eb="14">
      <t>ﾘｮｸ</t>
    </rPh>
    <phoneticPr fontId="2" type="noConversion"/>
  </si>
  <si>
    <t>セミナー・講演</t>
    <rPh sb="5" eb="7">
      <t>ｺｳｴﾝ</t>
    </rPh>
    <phoneticPr fontId="2" type="noConversion"/>
  </si>
  <si>
    <t>文章力</t>
    <rPh sb="0" eb="3">
      <t>ﾌﾞﾝｼｮｳﾘｮｸ</t>
    </rPh>
    <phoneticPr fontId="2" type="noConversion"/>
  </si>
  <si>
    <t>コミュニケーション</t>
    <phoneticPr fontId="2" type="noConversion"/>
  </si>
  <si>
    <t>http://www.shuwasystem.eo.jp/support/7980html/4279.html</t>
    <phoneticPr fontId="3"/>
  </si>
  <si>
    <t>サンプルをサクッと使い尽くしたい人のためのExcelVBA</t>
    <phoneticPr fontId="3"/>
  </si>
  <si>
    <t>http://gihyo.jp/book/2014/978-4-7741-7003-9</t>
    <phoneticPr fontId="3"/>
  </si>
  <si>
    <t>てっとり早く確実にマスターできるExcelVBAの教科書</t>
    <phoneticPr fontId="3"/>
  </si>
  <si>
    <t>TensorFlow機械学習クックブック</t>
    <phoneticPr fontId="33" type="noConversion"/>
  </si>
  <si>
    <t>TensorFlowで学ぶディープラーニング入門</t>
    <phoneticPr fontId="33" type="noConversion"/>
  </si>
  <si>
    <t>Cloud</t>
    <phoneticPr fontId="33" type="noConversion"/>
  </si>
  <si>
    <t>Amazon Web Servicesパタン別構築・運用ガイド</t>
    <phoneticPr fontId="33" type="noConversion"/>
  </si>
  <si>
    <t>Amazon　Web　Servicesクラウドネイティブ・アプリケーション開発技法</t>
    <phoneticPr fontId="33" type="noConversion"/>
  </si>
  <si>
    <t>今すぐ役立つ韓国語の日常基本単語集</t>
    <phoneticPr fontId="33" type="noConversion"/>
  </si>
  <si>
    <t>ビジネスモデル思考</t>
    <phoneticPr fontId="33" type="noConversion"/>
  </si>
  <si>
    <t>ビジネスモデルの教科書上級編</t>
    <phoneticPr fontId="33" type="noConversion"/>
  </si>
  <si>
    <t>自分でパパッとできる事業計画書</t>
    <phoneticPr fontId="33" type="noConversion"/>
  </si>
  <si>
    <t>基本と実務がよくわかる小さな会社給与計算と社会保険</t>
    <phoneticPr fontId="33" type="noConversion"/>
  </si>
  <si>
    <t>観光ビジネス未来白書</t>
    <phoneticPr fontId="33" type="noConversion"/>
  </si>
  <si>
    <t>プログラマのためのDocker教科書</t>
    <phoneticPr fontId="33" type="noConversion"/>
  </si>
  <si>
    <t>Docker実践入門</t>
    <phoneticPr fontId="33" type="noConversion"/>
  </si>
  <si>
    <t>知識ゼロからのビッグデータ入門</t>
    <phoneticPr fontId="33" type="noConversion"/>
  </si>
  <si>
    <t>詳解Apache　Spark</t>
    <phoneticPr fontId="33" type="noConversion"/>
  </si>
  <si>
    <t>マーケティング・エンジニアリング入門</t>
    <phoneticPr fontId="33" type="noConversion"/>
  </si>
  <si>
    <t>はじめての簡単PythonAIプログラミング</t>
    <phoneticPr fontId="33" type="noConversion"/>
  </si>
  <si>
    <t>すべてわかるビッグデータ大全</t>
    <phoneticPr fontId="33" type="noConversion"/>
  </si>
  <si>
    <t>Web製作者のためのGitHubの教科書</t>
    <phoneticPr fontId="33" type="noConversion"/>
  </si>
  <si>
    <t>Sparkによる実践データ解析</t>
    <phoneticPr fontId="33" type="noConversion"/>
  </si>
  <si>
    <t>RDB技術者のためのNoSQLガイド</t>
    <phoneticPr fontId="33" type="noConversion"/>
  </si>
  <si>
    <t>Pythonによるスクレイピング＆機械学習</t>
    <phoneticPr fontId="33" type="noConversion"/>
  </si>
  <si>
    <t>IT技術者のための現場ノウハウDocker実践ガイド</t>
    <phoneticPr fontId="33" type="noConversion"/>
  </si>
  <si>
    <t>HBase徹底入門</t>
    <phoneticPr fontId="33" type="noConversion"/>
  </si>
  <si>
    <r>
      <t>Hadoop</t>
    </r>
    <r>
      <rPr>
        <sz val="11"/>
        <color theme="1"/>
        <rFont val="等线"/>
        <family val="3"/>
        <charset val="134"/>
        <scheme val="minor"/>
      </rPr>
      <t>彻</t>
    </r>
    <r>
      <rPr>
        <sz val="11"/>
        <color theme="1"/>
        <rFont val="等线"/>
        <family val="2"/>
        <scheme val="minor"/>
      </rPr>
      <t>底入</t>
    </r>
    <r>
      <rPr>
        <sz val="11"/>
        <color theme="1"/>
        <rFont val="等线"/>
        <family val="3"/>
        <charset val="134"/>
        <scheme val="minor"/>
      </rPr>
      <t>门</t>
    </r>
    <phoneticPr fontId="33" type="noConversion"/>
  </si>
  <si>
    <t>Hadhoop第3版</t>
    <phoneticPr fontId="33" type="noConversion"/>
  </si>
  <si>
    <t>Gitがおもしろいほどわかる基本の使い方３３</t>
    <phoneticPr fontId="33" type="noConversion"/>
  </si>
  <si>
    <t>一生モノのキャリアを身に付けよう</t>
    <phoneticPr fontId="33" type="noConversion"/>
  </si>
  <si>
    <t>社内プレゼンの決定力を上げる本</t>
    <phoneticPr fontId="33" type="noConversion"/>
  </si>
  <si>
    <t>すぐできる会議プレゼンの資料作成と進め方</t>
    <phoneticPr fontId="33" type="noConversion"/>
  </si>
  <si>
    <t>アクティブラーニングKP法実践</t>
    <phoneticPr fontId="33" type="noConversion"/>
  </si>
  <si>
    <t>テクノロジー4.0</t>
    <phoneticPr fontId="33" type="noConversion"/>
  </si>
  <si>
    <t>Scala関数型デザイン＆プログラミング</t>
    <phoneticPr fontId="33" type="noConversion"/>
  </si>
  <si>
    <t>Rで学ぶプログラミングの基礎の基礎</t>
    <phoneticPr fontId="33" type="noConversion"/>
  </si>
  <si>
    <t>2030年のIoT</t>
    <phoneticPr fontId="33" type="noConversion"/>
  </si>
  <si>
    <t>あたらしい人工知能の教科書</t>
    <phoneticPr fontId="33" type="noConversion"/>
  </si>
  <si>
    <r>
      <rPr>
        <sz val="10"/>
        <color rgb="FF000000"/>
        <rFont val="Microsoft YaHei"/>
        <family val="2"/>
        <charset val="134"/>
      </rPr>
      <t>在库</t>
    </r>
    <phoneticPr fontId="15" type="noConversion"/>
  </si>
  <si>
    <r>
      <rPr>
        <sz val="10"/>
        <color rgb="FF000000"/>
        <rFont val="Microsoft YaHei"/>
        <family val="2"/>
        <charset val="134"/>
      </rPr>
      <t>中日双语</t>
    </r>
    <phoneticPr fontId="15" type="noConversion"/>
  </si>
  <si>
    <r>
      <rPr>
        <sz val="10"/>
        <color rgb="FF000000"/>
        <rFont val="Microsoft YaHei"/>
        <family val="2"/>
        <charset val="134"/>
      </rPr>
      <t>IT日本语实践</t>
    </r>
    <phoneticPr fontId="15" type="noConversion"/>
  </si>
  <si>
    <r>
      <rPr>
        <sz val="10"/>
        <color rgb="FF000000"/>
        <rFont val="Microsoft YaHei"/>
        <family val="2"/>
        <charset val="134"/>
      </rPr>
      <t>企业文化与沟通</t>
    </r>
    <phoneticPr fontId="15" type="noConversion"/>
  </si>
  <si>
    <r>
      <rPr>
        <sz val="10"/>
        <color rgb="FF000000"/>
        <rFont val="Microsoft YaHei"/>
        <family val="2"/>
        <charset val="134"/>
      </rPr>
      <t>软件项目管理</t>
    </r>
    <phoneticPr fontId="15" type="noConversion"/>
  </si>
  <si>
    <r>
      <rPr>
        <sz val="10"/>
        <color rgb="FF000000"/>
        <rFont val="Microsoft YaHei"/>
        <family val="2"/>
        <charset val="134"/>
      </rPr>
      <t>软件开发流程与设计</t>
    </r>
    <phoneticPr fontId="15" type="noConversion"/>
  </si>
  <si>
    <r>
      <rPr>
        <sz val="10"/>
        <color rgb="FF000000"/>
        <rFont val="Microsoft YaHei"/>
        <family val="2"/>
        <charset val="134"/>
      </rPr>
      <t>软件开发文档</t>
    </r>
    <phoneticPr fontId="15" type="noConversion"/>
  </si>
  <si>
    <r>
      <rPr>
        <sz val="10"/>
        <color rgb="FF000000"/>
        <rFont val="Microsoft YaHei"/>
        <family val="2"/>
        <charset val="134"/>
      </rPr>
      <t>软件日语</t>
    </r>
    <phoneticPr fontId="15" type="noConversion"/>
  </si>
  <si>
    <r>
      <rPr>
        <sz val="10"/>
        <color rgb="FF000000"/>
        <rFont val="Microsoft YaHei"/>
        <family val="2"/>
        <charset val="134"/>
      </rPr>
      <t xml:space="preserve">关键对话：如何高效能沟通（原书第2版） </t>
    </r>
    <phoneticPr fontId="15" type="noConversion"/>
  </si>
  <si>
    <r>
      <rPr>
        <sz val="10"/>
        <color rgb="FF000000"/>
        <rFont val="Microsoft YaHei"/>
        <family val="2"/>
        <charset val="134"/>
      </rPr>
      <t>演讲的力量：如何让公众表达变成影响力 [TED Talks]</t>
    </r>
    <phoneticPr fontId="15" type="noConversion"/>
  </si>
  <si>
    <r>
      <rPr>
        <sz val="10"/>
        <color rgb="FF000000"/>
        <rFont val="Microsoft YaHei"/>
        <family val="2"/>
        <charset val="134"/>
      </rPr>
      <t>中文</t>
    </r>
    <phoneticPr fontId="15" type="noConversion"/>
  </si>
  <si>
    <r>
      <rPr>
        <sz val="10"/>
        <color rgb="FF000000"/>
        <rFont val="Microsoft YaHei"/>
        <family val="2"/>
        <charset val="134"/>
      </rPr>
      <t>高效演讲：斯坦福最受欢迎的沟通课</t>
    </r>
    <phoneticPr fontId="15" type="noConversion"/>
  </si>
  <si>
    <r>
      <rPr>
        <sz val="10"/>
        <color rgb="FF000000"/>
        <rFont val="Microsoft YaHei"/>
        <family val="2"/>
        <charset val="134"/>
      </rPr>
      <t>日本語</t>
    </r>
    <phoneticPr fontId="15" type="noConversion"/>
  </si>
  <si>
    <r>
      <rPr>
        <sz val="10"/>
        <rFont val="微软雅黑"/>
        <family val="2"/>
        <charset val="134"/>
      </rPr>
      <t>情報処理</t>
    </r>
    <phoneticPr fontId="15" type="noConversion"/>
  </si>
  <si>
    <t>たった2日でわあるLinux</t>
    <phoneticPr fontId="36"/>
  </si>
  <si>
    <r>
      <rPr>
        <sz val="10"/>
        <color rgb="FF000000"/>
        <rFont val="Microsoft YaHei"/>
        <family val="2"/>
        <charset val="134"/>
      </rPr>
      <t>Hadoop徹底入門</t>
    </r>
    <phoneticPr fontId="15" type="noConversion"/>
  </si>
  <si>
    <r>
      <rPr>
        <sz val="10"/>
        <color rgb="FF000000"/>
        <rFont val="Microsoft YaHei"/>
        <family val="2"/>
        <charset val="134"/>
      </rPr>
      <t>影印</t>
    </r>
    <phoneticPr fontId="15" type="noConversion"/>
  </si>
  <si>
    <r>
      <rPr>
        <sz val="10"/>
        <color rgb="FF000000"/>
        <rFont val="Microsoft YaHei"/>
        <family val="2"/>
        <charset val="134"/>
      </rPr>
      <t>Docker実践入門</t>
    </r>
    <phoneticPr fontId="15" type="noConversion"/>
  </si>
  <si>
    <r>
      <rPr>
        <sz val="10"/>
        <color rgb="FF000000"/>
        <rFont val="Microsoft YaHei"/>
        <family val="2"/>
        <charset val="134"/>
      </rPr>
      <t>はじめての簡単Python　AIプログラミング</t>
    </r>
    <phoneticPr fontId="15" type="noConversion"/>
  </si>
  <si>
    <r>
      <rPr>
        <sz val="10"/>
        <color rgb="FF000000"/>
        <rFont val="Microsoft YaHei"/>
        <family val="2"/>
        <charset val="134"/>
      </rPr>
      <t>Pyehon基础教程（第3版）</t>
    </r>
    <phoneticPr fontId="15" type="noConversion"/>
  </si>
  <si>
    <r>
      <rPr>
        <sz val="10"/>
        <color rgb="FF000000"/>
        <rFont val="Microsoft YaHei"/>
        <family val="2"/>
        <charset val="134"/>
      </rPr>
      <t>Pythonによるスクレイピング＆機械学習</t>
    </r>
    <phoneticPr fontId="15" type="noConversion"/>
  </si>
  <si>
    <r>
      <rPr>
        <sz val="10"/>
        <color rgb="FF000000"/>
        <rFont val="Microsoft YaHei"/>
        <family val="2"/>
        <charset val="134"/>
      </rPr>
      <t>Sparkによる実践データ解析</t>
    </r>
    <phoneticPr fontId="15" type="noConversion"/>
  </si>
  <si>
    <r>
      <rPr>
        <sz val="10"/>
        <color rgb="FF000000"/>
        <rFont val="Microsoft YaHei"/>
        <family val="2"/>
        <charset val="134"/>
      </rPr>
      <t>TensorFlowで学ぶディープラーニング入門</t>
    </r>
    <phoneticPr fontId="15" type="noConversion"/>
  </si>
  <si>
    <r>
      <rPr>
        <sz val="10"/>
        <color rgb="FF000000"/>
        <rFont val="Microsoft YaHei"/>
        <family val="2"/>
        <charset val="134"/>
      </rPr>
      <t>TensorFlow機械学習クックブック</t>
    </r>
    <phoneticPr fontId="15" type="noConversion"/>
  </si>
  <si>
    <r>
      <rPr>
        <sz val="10"/>
        <color rgb="FF000000"/>
        <rFont val="Microsoft YaHei"/>
        <family val="2"/>
        <charset val="134"/>
      </rPr>
      <t>程序设计语言原理（第8版）</t>
    </r>
    <phoneticPr fontId="15" type="noConversion"/>
  </si>
  <si>
    <r>
      <rPr>
        <sz val="10"/>
        <color rgb="FF000000"/>
        <rFont val="Microsoft YaHei"/>
        <family val="2"/>
        <charset val="134"/>
      </rPr>
      <t>UMLモデリング入門</t>
    </r>
    <phoneticPr fontId="15" type="noConversion"/>
  </si>
  <si>
    <r>
      <rPr>
        <sz val="10"/>
        <color rgb="FF000000"/>
        <rFont val="Microsoft YaHei"/>
        <family val="2"/>
        <charset val="134"/>
      </rPr>
      <t>Force.comのすべて設計・開発実践マニュアル</t>
    </r>
    <phoneticPr fontId="15" type="noConversion"/>
  </si>
  <si>
    <r>
      <rPr>
        <sz val="10"/>
        <color rgb="FF000000"/>
        <rFont val="Microsoft YaHei"/>
        <family val="2"/>
        <charset val="134"/>
      </rPr>
      <t>日元</t>
    </r>
    <phoneticPr fontId="15" type="noConversion"/>
  </si>
  <si>
    <r>
      <rPr>
        <sz val="10"/>
        <color rgb="FF000000"/>
        <rFont val="Microsoft YaHei"/>
        <family val="2"/>
        <charset val="134"/>
      </rPr>
      <t>原版</t>
    </r>
    <phoneticPr fontId="15" type="noConversion"/>
  </si>
  <si>
    <r>
      <rPr>
        <sz val="10"/>
        <color rgb="FF000000"/>
        <rFont val="Microsoft YaHei"/>
        <family val="2"/>
        <charset val="134"/>
      </rPr>
      <t>文学</t>
    </r>
    <phoneticPr fontId="15" type="noConversion"/>
  </si>
  <si>
    <r>
      <rPr>
        <sz val="10"/>
        <color rgb="FF000000"/>
        <rFont val="Microsoft YaHei"/>
        <family val="2"/>
        <charset val="134"/>
      </rPr>
      <t>あなたのチームは機能してますか？</t>
    </r>
    <phoneticPr fontId="15" type="noConversion"/>
  </si>
  <si>
    <r>
      <rPr>
        <sz val="10"/>
        <color rgb="FF000000"/>
        <rFont val="Microsoft YaHei"/>
        <family val="2"/>
        <charset val="134"/>
      </rPr>
      <t>祈りの幕が下りる時</t>
    </r>
    <phoneticPr fontId="15" type="noConversion"/>
  </si>
  <si>
    <r>
      <rPr>
        <sz val="10"/>
        <color rgb="FF000000"/>
        <rFont val="Microsoft YaHei"/>
        <family val="2"/>
        <charset val="134"/>
      </rPr>
      <t>容疑者Xの献身</t>
    </r>
    <phoneticPr fontId="15" type="noConversion"/>
  </si>
  <si>
    <r>
      <rPr>
        <sz val="10"/>
        <color rgb="FF000000"/>
        <rFont val="Microsoft YaHei"/>
        <family val="2"/>
        <charset val="134"/>
      </rPr>
      <t>ナミヤ雑貨店の奇跡</t>
    </r>
    <phoneticPr fontId="15" type="noConversion"/>
  </si>
  <si>
    <r>
      <rPr>
        <sz val="10"/>
        <color rgb="FF000000"/>
        <rFont val="Microsoft YaHei"/>
        <family val="2"/>
        <charset val="134"/>
      </rPr>
      <t>cai</t>
    </r>
    <phoneticPr fontId="15" type="noConversion"/>
  </si>
  <si>
    <r>
      <rPr>
        <sz val="10"/>
        <color rgb="FF000000"/>
        <rFont val="Microsoft YaHei"/>
        <family val="2"/>
        <charset val="134"/>
      </rPr>
      <t>订单待发货</t>
    </r>
    <phoneticPr fontId="15" type="noConversion"/>
  </si>
  <si>
    <r>
      <rPr>
        <sz val="10"/>
        <color rgb="FF000000"/>
        <rFont val="Microsoft YaHei"/>
        <family val="2"/>
        <charset val="134"/>
      </rPr>
      <t>マナー</t>
    </r>
    <phoneticPr fontId="15" type="noConversion"/>
  </si>
  <si>
    <r>
      <rPr>
        <sz val="10"/>
        <color rgb="FF000000"/>
        <rFont val="Microsoft YaHei"/>
        <family val="2"/>
        <charset val="134"/>
      </rPr>
      <t>文章が劇的にウマクなる接続詞</t>
    </r>
    <phoneticPr fontId="15" type="noConversion"/>
  </si>
  <si>
    <r>
      <rPr>
        <sz val="10"/>
        <color rgb="FF000000"/>
        <rFont val="Microsoft YaHei"/>
        <family val="2"/>
        <charset val="134"/>
      </rPr>
      <t>√</t>
    </r>
    <phoneticPr fontId="15" type="noConversion"/>
  </si>
  <si>
    <r>
      <rPr>
        <sz val="10"/>
        <color rgb="FF000000"/>
        <rFont val="Microsoft YaHei"/>
        <family val="2"/>
        <charset val="134"/>
      </rPr>
      <t>ビジネス文書文例２５０</t>
    </r>
    <phoneticPr fontId="15" type="noConversion"/>
  </si>
  <si>
    <r>
      <rPr>
        <sz val="10"/>
        <color rgb="FF000000"/>
        <rFont val="Microsoft YaHei"/>
        <family val="2"/>
        <charset val="134"/>
      </rPr>
      <t>史上最強の電話応対のマナー</t>
    </r>
    <phoneticPr fontId="15" type="noConversion"/>
  </si>
  <si>
    <r>
      <rPr>
        <sz val="10"/>
        <color rgb="FF000000"/>
        <rFont val="Microsoft YaHei"/>
        <family val="2"/>
        <charset val="134"/>
      </rPr>
      <t>業務</t>
    </r>
    <phoneticPr fontId="15" type="noConversion"/>
  </si>
  <si>
    <r>
      <rPr>
        <sz val="10"/>
        <color rgb="FF000000"/>
        <rFont val="Microsoft YaHei"/>
        <family val="2"/>
        <charset val="134"/>
      </rPr>
      <t>保険業務研修（損保編）</t>
    </r>
    <phoneticPr fontId="15" type="noConversion"/>
  </si>
  <si>
    <r>
      <rPr>
        <sz val="10"/>
        <color rgb="FF000000"/>
        <rFont val="Microsoft YaHei"/>
        <family val="2"/>
        <charset val="134"/>
      </rPr>
      <t>川柳侍-小松重男</t>
    </r>
    <phoneticPr fontId="15" type="noConversion"/>
  </si>
  <si>
    <r>
      <rPr>
        <sz val="10"/>
        <color rgb="FF000000"/>
        <rFont val="Microsoft YaHei"/>
        <family val="2"/>
        <charset val="134"/>
      </rPr>
      <t>金沢殺人事件-内田康夫</t>
    </r>
    <phoneticPr fontId="15" type="noConversion"/>
  </si>
  <si>
    <t>原版</t>
    <phoneticPr fontId="15" type="noConversion"/>
  </si>
  <si>
    <r>
      <rPr>
        <sz val="10"/>
        <color rgb="FF000000"/>
        <rFont val="Microsoft YaHei"/>
        <family val="2"/>
        <charset val="134"/>
      </rPr>
      <t>札幌殺人事件下-内田康夫</t>
    </r>
    <phoneticPr fontId="15" type="noConversion"/>
  </si>
  <si>
    <t>日元</t>
    <phoneticPr fontId="15" type="noConversion"/>
  </si>
  <si>
    <t>Japan</t>
    <phoneticPr fontId="36"/>
  </si>
  <si>
    <t>日本語</t>
    <phoneticPr fontId="15" type="noConversion"/>
  </si>
  <si>
    <t>Book</t>
    <phoneticPr fontId="36"/>
  </si>
  <si>
    <t>文学</t>
    <phoneticPr fontId="15" type="noConversion"/>
  </si>
  <si>
    <r>
      <rPr>
        <sz val="10"/>
        <color rgb="FF000000"/>
        <rFont val="Microsoft YaHei"/>
        <family val="2"/>
        <charset val="134"/>
      </rPr>
      <t>札幌殺人事件上-内田康夫</t>
    </r>
    <phoneticPr fontId="15" type="noConversion"/>
  </si>
  <si>
    <t>⼤津真／著</t>
    <phoneticPr fontId="3"/>
  </si>
  <si>
    <t>きちんとわかる!JavaScriptとことん⼊⾨</t>
  </si>
  <si>
    <t>富⼭篤／著</t>
  </si>
  <si>
    <t>現地駐在記者が教える超実践的ベトナム語⼊⾨</t>
  </si>
  <si>
    <t>2020/09/8</t>
  </si>
  <si>
    <t>安井望／著</t>
  </si>
  <si>
    <t>データドリブン経営⼊⾨</t>
  </si>
  <si>
    <t>欧⽶・アジア語学センター／著</t>
  </si>
  <si>
    <t>ベトナム語が1週間でいとも簡単に話せるようになる本</t>
  </si>
  <si>
    <t>2020/09/9</t>
  </si>
  <si>
    <t>⻄出ひろ⼦／著</t>
  </si>
  <si>
    <t>⼊社1年⽬ビジネス⽂書の教科書</t>
  </si>
  <si>
    <t>⼩林真美／著</t>
  </si>
  <si>
    <t>リーダーのためのビジネス英会話フレーズブック</t>
  </si>
  <si>
    <t>2020/09/12</t>
  </si>
  <si>
    <t>松浦良⾼／著</t>
  </si>
  <si>
    <t>ビジネスEメール・チャットツールの英語表現</t>
  </si>
  <si>
    <t>掌⽥津耶乃／著</t>
  </si>
  <si>
    <t>Python Django超⼊⾨</t>
  </si>
  <si>
    <t>吉澤準特／著</t>
  </si>
  <si>
    <t>外資系コンサルが実践する資料作成の基本</t>
  </si>
  <si>
    <t>⼤村あつし／著</t>
  </si>
  <si>
    <t>Excel VBA本格⼊⾨</t>
  </si>
  <si>
    <t>2020/09/19</t>
  </si>
  <si>
    <t>オリバー・ラッゼスバーガー／著</t>
  </si>
  <si>
    <t>データ駆動型企業</t>
  </si>
  <si>
    <t>⼤津真／著</t>
  </si>
  <si>
    <t>いちばんやさしいVue.js⼊⾨教室</t>
  </si>
  <si>
    <t>⼭⼝俊⼀／編著</t>
  </si>
  <si>
    <t>ゼロからはじめるプロ経営コンサルタント⼊⾨</t>
  </si>
  <si>
    <t>2020/09/21</t>
  </si>
  <si>
    <t>2020/09/27</t>
  </si>
  <si>
    <t>外資系コンサルのビジネス⽂書作成術</t>
  </si>
  <si>
    <t>⽯⻲広⼤／著</t>
  </si>
  <si>
    <t>たった1⽇で基本が⾝に付く!Vue.js超⼊⾨</t>
    <phoneticPr fontId="3"/>
  </si>
  <si>
    <t>藤本篤志／著</t>
  </si>
  <si>
    <t>テレワークでも売れる新しい営業様式</t>
  </si>
  <si>
    <t>グローバルビジネスバレー／編著</t>
  </si>
  <si>
    <t>外資系コンサルタントが実践している戦略50</t>
  </si>
  <si>
    <t>⼭⽥祥寛／著</t>
  </si>
  <si>
    <t>これからはじめるVue.js実践⼊⾨</t>
  </si>
  <si>
    <t>⽻⽣章洋／著</t>
  </si>
  <si>
    <t>はじめよう!システム設計</t>
  </si>
  <si>
    <t>⾦城順之介／著</t>
  </si>
  <si>
    <t>ゼロからスタート!⾦城順之介の中⼩企業診断⼠1冊⽬の教科書</t>
  </si>
  <si>
    <t>2020/10/7</t>
  </si>
  <si>
    <t>ビープラウド／監修</t>
  </si>
  <si>
    <t>つなげば動く!Pythonふりがなプログラミングパターン⽂例80</t>
  </si>
  <si>
    <t>⼩宮⼀慶／著</t>
  </si>
  <si>
    <t>経営コンサルタントの教科書</t>
  </si>
  <si>
    <t>⾼井薫／著</t>
  </si>
  <si>
    <t>ゼロからスタート!⾼井薫の簿記1冊⽬の教科書</t>
  </si>
  <si>
    <t>⽯井清⾹／著</t>
  </si>
  <si>
    <t>キャリアコンサルタントのための労働法と社会保障のしくみ</t>
  </si>
  <si>
    <t>2020/10/17</t>
  </si>
  <si>
    <t>佐渡治彦／著</t>
  </si>
  <si>
    <t>「キャリアコンサルタント」で⾃⽴する⽅法</t>
  </si>
  <si>
    <t>2020/10/18</t>
  </si>
  <si>
    <t>和仁達也／著</t>
  </si>
  <si>
    <t>独⽴系コンサルタントの成功戦略</t>
  </si>
  <si>
    <t>2020/10/19</t>
  </si>
  <si>
    <t>リチャード・セイラー／著</t>
  </si>
  <si>
    <t>⾏動経済学の逆襲 上</t>
  </si>
  <si>
    <t>Ruby on Rails 5アプリケーションプログラミング</t>
  </si>
  <si>
    <t>2020/10/21</t>
  </si>
  <si>
    <t>建宮努／編著</t>
  </si>
  <si>
    <t>こんなにおもしろい中⼩企業診断⼠の仕事</t>
  </si>
  <si>
    <t>増⽥智明／著</t>
  </si>
  <si>
    <t>よくわかる最新システム開発者のための仕様書の基本と仕組み</t>
  </si>
  <si>
    <t>2020/10/23</t>
  </si>
  <si>
    <t>塚本俊／著</t>
  </si>
  <si>
    <t>ITプロジェクトの英語</t>
  </si>
  <si>
    <t>2020/10/25</t>
  </si>
  <si>
    <t>⽯⽥裕三／著</t>
  </si>
  <si>
    <t>2020/10/27</t>
  </si>
  <si>
    <t>上村有⼦／著</t>
  </si>
  <si>
    <t>要件定義のセオリーと実践⽅法がこれ1冊でしっかりわかる教科書</t>
  </si>
  <si>
    <t>2020/10/29</t>
  </si>
  <si>
    <t>澤井清治／著</t>
  </si>
  <si>
    <t>ゼロからスタート!澤井清治の社労⼠1冊⽬の教科書 2021年度版</t>
  </si>
  <si>
    <t>2020/10/31</t>
  </si>
  <si>
    <t>武⼭茂樹／著</t>
  </si>
  <si>
    <t>ゼロからスタート!武⼭茂樹のビジネス実務法務検定試験1冊⽬の教科書</t>
  </si>
  <si>
    <t>⼭崎泰史／著</t>
  </si>
  <si>
    <t>絵で⾒てわかるITインフラの仕組み</t>
  </si>
  <si>
    <t>2020/11/2</t>
  </si>
  <si>
    <t>池⽥⼤輔／著</t>
  </si>
  <si>
    <t>Zabbix統合監視徹底活⽤</t>
  </si>
  <si>
    <t>2020/11/5</t>
  </si>
  <si>
    <t>作りながら学ぶWebプログラミング実践⼊⾨</t>
  </si>
  <si>
    <t>2020/11/6</t>
  </si>
  <si>
    <t>マット・タディ／著</t>
  </si>
  <si>
    <t>ビジネスデータサイエンスの教科書</t>
  </si>
  <si>
    <t>⾏動経済学の逆襲 下</t>
  </si>
  <si>
    <t>2020/11/7</t>
  </si>
  <si>
    <t>Michael Beyeler／著</t>
  </si>
  <si>
    <t>OpenCVとPythonによる機械学習プログラミング</t>
  </si>
  <si>
    <t>2020/11/8</t>
  </si>
  <si>
    <t>川村健治／著</t>
  </si>
  <si>
    <t>⽇本語で理解する英⽂法</t>
  </si>
  <si>
    <t>島本道夫／著</t>
  </si>
  <si>
    <t>プロジェクトを成功に導くシステム外注の教科書</t>
  </si>
  <si>
    <t>國重靖⼦／著</t>
  </si>
  <si>
    <t>IT投資の評価⼿法と効果がこれ1冊でしっかりわかる教科書</t>
  </si>
  <si>
    <t>2020/11/11</t>
  </si>
  <si>
    <t>⽥中敦英／著</t>
  </si>
  <si>
    <t>中学3年間の⽂法・単語・発⾳が1冊で⾝につく!英語フレーズ10 1</t>
    <phoneticPr fontId="3"/>
  </si>
  <si>
    <t>佐々⽊拓郎／著</t>
  </si>
  <si>
    <t>Amazon Web Services業務システム設計・移⾏ガイド</t>
  </si>
  <si>
    <t>2020/11/12</t>
  </si>
  <si>
    <t>本間咲来／著</t>
  </si>
  <si>
    <t>徹底解説Visual Studio Code</t>
  </si>
  <si>
    <t>2020/11/14</t>
  </si>
  <si>
    <t>吉⽥将明／著</t>
  </si>
  <si>
    <t>基礎がよくわかる!ゼロからのRPA UiPath超実践テクニック</t>
    <phoneticPr fontId="3"/>
  </si>
  <si>
    <t>データサイエンティスト養成読本 ビジネス活⽤編</t>
  </si>
  <si>
    <t>ネクストセット／著</t>
  </si>
  <si>
    <t>誰でもできる!Office 365導⼊ガイド</t>
    <phoneticPr fontId="3"/>
  </si>
  <si>
    <t>GCPの教科書 2</t>
    <phoneticPr fontId="3"/>
  </si>
  <si>
    <t>2020/11/18</t>
  </si>
  <si>
    <t>⼩佐井宏之／著</t>
  </si>
  <si>
    <t>実務者のための失敗しないRPAシナリオ設計⼊⾨</t>
    <phoneticPr fontId="3"/>
  </si>
  <si>
    <t>⽔野健／著</t>
  </si>
  <si>
    <t>ゼロからスタート!⽔野健の宅建⼠1冊⽬の教科書 2020年度版</t>
    <phoneticPr fontId="3"/>
  </si>
  <si>
    <t>ビジネスデータサイエンスの教科書</t>
    <phoneticPr fontId="3"/>
  </si>
  <si>
    <t>2020/11/21</t>
  </si>
  <si>
    <t>OpenCVとPythonによる機械学習プログラミング</t>
    <phoneticPr fontId="3"/>
  </si>
  <si>
    <t>⽇本語で理解する英⽂法</t>
    <phoneticPr fontId="3"/>
  </si>
  <si>
    <t>⼤⻄建児／著</t>
  </si>
  <si>
    <t>ステップアップのためのソフトウエアテスト実践ガイド</t>
    <phoneticPr fontId="3"/>
  </si>
  <si>
    <t>⽊村友紀／著</t>
  </si>
  <si>
    <t>いちばんやさしい使えるベトナム語⼊⾨</t>
    <phoneticPr fontId="3"/>
  </si>
  <si>
    <t>2020/11/25</t>
  </si>
  <si>
    <t>佐々⽊伸彦／著</t>
  </si>
  <si>
    <t>本気のセキュリティ対策ガイド</t>
    <phoneticPr fontId="3"/>
  </si>
  <si>
    <t>⻑嶋仁／著</t>
  </si>
  <si>
    <t>セキュリティ技術の教科書</t>
    <phoneticPr fontId="3"/>
  </si>
  <si>
    <t>2020/11/26</t>
  </si>
  <si>
    <t>これから／著</t>
  </si>
  <si>
    <t>EC担当者の実務と知識がこれ1冊でしっかりわかる教科書</t>
    <phoneticPr fontId="3"/>
  </si>
  <si>
    <t>⼤澤⽂孝／著</t>
  </si>
  <si>
    <t>docker基礎からのコンテナ構築</t>
    <phoneticPr fontId="3"/>
  </si>
  <si>
    <t>2020/11/29</t>
  </si>
  <si>
    <t>2020/11/30</t>
  </si>
  <si>
    <t>末岡実／著</t>
  </si>
  <si>
    <t>正しい⾔葉遣い</t>
    <phoneticPr fontId="3"/>
  </si>
  <si>
    <t>⾼宅茂／著</t>
  </si>
  <si>
    <t>⼊管法概説</t>
    <phoneticPr fontId="3"/>
  </si>
  <si>
    <t>2020/12/5</t>
  </si>
  <si>
    <t>森秀明／著</t>
  </si>
  <si>
    <t>外資系コンサルの30分で提案書を書く技術</t>
    <phoneticPr fontId="3"/>
  </si>
  <si>
    <t>折原慎吾／著</t>
  </si>
  <si>
    <t>セキュリティのためのログ分析⼊⾨</t>
    <phoneticPr fontId="3"/>
  </si>
  <si>
    <t>Amazon Web Servicesパターン別構築・運⽤ガイド</t>
    <phoneticPr fontId="3"/>
  </si>
  <si>
    <t>2020/12/13</t>
  </si>
  <si>
    <t>横⽥紋奈／著</t>
  </si>
  <si>
    <t>いちばんやさしいGit &amp; GitHubの教本</t>
    <phoneticPr fontId="3"/>
  </si>
  <si>
    <t>2020/12/22</t>
  </si>
  <si>
    <t>リブロワークス／著</t>
  </si>
  <si>
    <t>たった1⽇で基本が⾝に付く!Git超⼊⾨</t>
    <phoneticPr fontId="3"/>
  </si>
  <si>
    <t>⽇本経済新聞出版社／編</t>
  </si>
  <si>
    <t>サイバーセキュリティ⼊⾨</t>
    <phoneticPr fontId="3"/>
  </si>
  <si>
    <t>2020/12/26</t>
  </si>
  <si>
    <t>Excel VBA本格⼊⾨</t>
    <phoneticPr fontId="3"/>
  </si>
  <si>
    <t>2020/12/28</t>
  </si>
  <si>
    <t>⾼橋惠⼀郎／著</t>
  </si>
  <si>
    <t>いちばんやさしい資料作成&amp;プレゼンの教本</t>
    <phoneticPr fontId="3"/>
  </si>
  <si>
    <t>Python Django超⼊⾨</t>
    <phoneticPr fontId="3"/>
  </si>
  <si>
    <t>中島能和／著</t>
  </si>
  <si>
    <t>たった2⽇でわかるLinux</t>
    <phoneticPr fontId="3"/>
  </si>
  <si>
    <t>中井悦司／著</t>
  </si>
  <si>
    <t>プロのためのLinuxシステム・10年効く技術</t>
    <phoneticPr fontId="3"/>
  </si>
  <si>
    <t>⼾⽥覚／著</t>
  </si>
  <si>
    <t>お客様の⼼を動かす敬語と話し⽅</t>
    <phoneticPr fontId="3"/>
  </si>
  <si>
    <t>吉積礼敏／[ほか]著</t>
  </si>
  <si>
    <t>GCPの教科書 [1]</t>
    <phoneticPr fontId="3"/>
  </si>
  <si>
    <t>瀬尾幸⼦／著</t>
  </si>
  <si>
    <t>うれしい副菜</t>
    <phoneticPr fontId="3"/>
  </si>
  <si>
    <t>森巧尚／著</t>
  </si>
  <si>
    <t>Python2年⽣データ分析のしくみ</t>
    <phoneticPr fontId="3"/>
  </si>
  <si>
    <t>五⼗嵐美幸／著</t>
  </si>
  <si>
    <t>焼売、ときどきチャーハン</t>
    <phoneticPr fontId="3"/>
  </si>
  <si>
    <t>2021/01/11</t>
  </si>
  <si>
    <t>堤⼈美／[著]</t>
  </si>
  <si>
    <t>餃⼦、春巻きレシピ</t>
    <phoneticPr fontId="3"/>
  </si>
  <si>
    <t>旭屋出版編集部／編</t>
  </si>
  <si>
    <t>最新解説ラーメンの調理技法</t>
    <phoneticPr fontId="3"/>
  </si>
  <si>
    <t>2021/01/16</t>
  </si>
  <si>
    <t>周清源／著</t>
  </si>
  <si>
    <t>おうちで作れる台湾⼩⻨粉料理</t>
    <phoneticPr fontId="3"/>
  </si>
  <si>
    <t>2021/01/18</t>
  </si>
  <si>
    <t>⿊⽥弘／著</t>
  </si>
  <si>
    <t>お家(うち)で作る⾄福の中国料理</t>
  </si>
  <si>
    <t>⾼橋征義／著</t>
  </si>
  <si>
    <t>たのしいRuby</t>
  </si>
  <si>
    <t>堀内康弘／著</t>
  </si>
  <si>
    <t>Amazon Web Servicesエンタープライズ基盤設計の基本</t>
    <phoneticPr fontId="3"/>
  </si>
  <si>
    <t>2021/01/22</t>
  </si>
  <si>
    <t>坂東⼤輔／著</t>
  </si>
  <si>
    <t>IoT開発がこれ1冊でしっかりわかる教科書</t>
  </si>
  <si>
    <t>柴⽥書店／編</t>
  </si>
  <si>
    <t>中華そばNEO</t>
  </si>
  <si>
    <t>2021/01/23</t>
  </si>
  <si>
    <t>福島勝義／著</t>
  </si>
  <si>
    <t>コンビニはじまりと今</t>
  </si>
  <si>
    <t>2021/01/24</t>
  </si>
  <si>
    <t>Node.js超⼊⾨</t>
  </si>
  <si>
    <t>2021/01/25</t>
  </si>
  <si>
    <t>明治⼤学ビジネススクール／編</t>
  </si>
  <si>
    <t>ファミリービジネス:MBA講座</t>
  </si>
  <si>
    <t>2021/01/26</t>
  </si>
  <si>
    <t>梅澤聡／著</t>
  </si>
  <si>
    <t>コンビニチェーン進化史</t>
  </si>
  <si>
    <t>吉岡秀⼦／著</t>
  </si>
  <si>
    <t>コンビニおいしい進化史</t>
  </si>
  <si>
    <t>2021/01/29</t>
  </si>
  <si>
    <t>前⽥和哉／著</t>
  </si>
  <si>
    <t>PMBOK第6版の知識と⼿法がこれ1冊でしっかりわかる教科書</t>
  </si>
  <si>
    <t>岩⽥宗之／著</t>
  </si>
  <si>
    <t>Access VBAパーフェクトマスター</t>
  </si>
  <si>
    <t>E-Trainer.jp／著</t>
  </si>
  <si>
    <t>現場ですぐに使える!Excel VBA逆引き⼤全600の極意</t>
  </si>
  <si>
    <t>おうちで作れる台湾⼩⻨粉料理</t>
  </si>
  <si>
    <t>最新解説ラーメンの調理技法</t>
  </si>
  <si>
    <t>2021/01/31</t>
  </si>
  <si>
    <t>2021/02/1</t>
  </si>
  <si>
    <t>⾦丸隆志／著</t>
  </si>
  <si>
    <t>⾼校数学からはじめるディープラーニング</t>
  </si>
  <si>
    <t>沼上幹+⼀橋MBA戦略ワークショップ／著</t>
  </si>
  <si>
    <t>⼀橋MBAケースブック</t>
  </si>
  <si>
    <t>2021/02/4</t>
  </si>
  <si>
    <t>菅原勇⼀郎／著</t>
  </si>
  <si>
    <t>東京⼤⽥区・弁当屋のすごい経営</t>
  </si>
  <si>
    <t>2021/02/5</t>
  </si>
  <si>
    <t>2021/02/7</t>
  </si>
  <si>
    <t>市場戦略の読み解き⽅</t>
  </si>
  <si>
    <t>Pythonエンジニア育成推進協会／ 監修</t>
    <phoneticPr fontId="3"/>
  </si>
  <si>
    <t>Python 3スキルアップ教科書</t>
  </si>
  <si>
    <t>最新解説ラーメンの調理技法　</t>
  </si>
  <si>
    <t>グロービス経営大学院／編著</t>
  </si>
  <si>
    <t>グロービスMBA経営戦略　</t>
  </si>
  <si>
    <t>Eric Matthes／著</t>
  </si>
  <si>
    <t>最短距離でゼロからしっかり学ぶPython入門　実践編　</t>
  </si>
  <si>
    <t>豊沢聡／共著</t>
    <phoneticPr fontId="3"/>
  </si>
  <si>
    <t>IT系のわかるようなわからないような英語のお話　</t>
  </si>
  <si>
    <t>旭屋出版書籍部／編</t>
  </si>
  <si>
    <t>小鉢・小皿の人気料理　</t>
  </si>
  <si>
    <t>沼上幹+一橋MBA戦略ワークショップ／著</t>
  </si>
  <si>
    <t>一橋MBAケースブック　</t>
  </si>
  <si>
    <t>池内孝啓／著</t>
  </si>
  <si>
    <t>PythonユーザのためのJupyter&lt;実践&gt;入門　</t>
  </si>
  <si>
    <t>西畑一馬／共著</t>
  </si>
  <si>
    <t>初心者からちゃんとしたプロになるJavaScript基礎入門　</t>
  </si>
  <si>
    <t>人気ラーメン店が探究する調理技法　</t>
  </si>
  <si>
    <t>市場戦略の読み解き方　</t>
  </si>
  <si>
    <t>チャールズ・マンスキー／著</t>
  </si>
  <si>
    <t>マンスキー データ分析と意思決定理論　</t>
  </si>
  <si>
    <t>山本裕／編著</t>
  </si>
  <si>
    <t>物流を学ぶ　</t>
  </si>
  <si>
    <t>古賀政純／著</t>
  </si>
  <si>
    <t>Docker実践ガイド　</t>
  </si>
  <si>
    <t>廣康好美／著</t>
  </si>
  <si>
    <t>大学1・2年生のためのすぐわかるスペイン語　</t>
  </si>
  <si>
    <t>冷やし麵202　</t>
  </si>
  <si>
    <t>国本温子／著</t>
  </si>
  <si>
    <t>Excel VBAを極める勝ちワザ700　</t>
  </si>
  <si>
    <t>エリザベス・エスティーヴ=コール／[ほか著]</t>
  </si>
  <si>
    <t>ヴィクトリア&amp;アルバート美術館　</t>
  </si>
  <si>
    <t>最新うどん　</t>
  </si>
  <si>
    <r>
      <rPr>
        <sz val="10"/>
        <color rgb="FF000000"/>
        <rFont val="Microsoft YaHei"/>
        <family val="2"/>
        <charset val="134"/>
      </rPr>
      <t>备注</t>
    </r>
    <phoneticPr fontId="15" type="noConversion"/>
  </si>
  <si>
    <t>QQ Group</t>
    <phoneticPr fontId="33" type="noConversion"/>
  </si>
  <si>
    <t>GitHub</t>
    <phoneticPr fontId="3"/>
  </si>
  <si>
    <t>希捷4T</t>
    <phoneticPr fontId="33" type="noConversion"/>
  </si>
  <si>
    <t>东芝2T</t>
    <phoneticPr fontId="33" type="noConversion"/>
  </si>
  <si>
    <t>Flag</t>
    <phoneticPr fontId="33" type="noConversion"/>
  </si>
  <si>
    <t>图片</t>
    <phoneticPr fontId="15" type="noConversion"/>
  </si>
  <si>
    <t>资料下载网址</t>
    <phoneticPr fontId="3"/>
  </si>
  <si>
    <r>
      <rPr>
        <sz val="10"/>
        <color rgb="FF000000"/>
        <rFont val="Microsoft YaHei"/>
        <family val="2"/>
        <charset val="134"/>
      </rPr>
      <t>转让价
（人民币）</t>
    </r>
    <phoneticPr fontId="15" type="noConversion"/>
  </si>
  <si>
    <r>
      <rPr>
        <sz val="10"/>
        <color rgb="FF000000"/>
        <rFont val="Microsoft YaHei"/>
        <family val="2"/>
        <charset val="134"/>
      </rPr>
      <t>原价</t>
    </r>
    <phoneticPr fontId="15" type="noConversion"/>
  </si>
  <si>
    <t>ISBN</t>
    <phoneticPr fontId="3"/>
  </si>
  <si>
    <t>出版年份</t>
    <phoneticPr fontId="33" type="noConversion"/>
  </si>
  <si>
    <t>版次</t>
    <phoneticPr fontId="3"/>
  </si>
  <si>
    <t>出版社</t>
    <phoneticPr fontId="3"/>
  </si>
  <si>
    <t>作者</t>
    <phoneticPr fontId="33" type="noConversion"/>
  </si>
  <si>
    <r>
      <rPr>
        <sz val="10"/>
        <color rgb="FF000000"/>
        <rFont val="Microsoft YaHei"/>
        <family val="2"/>
        <charset val="134"/>
      </rPr>
      <t>原价币种</t>
    </r>
    <phoneticPr fontId="15" type="noConversion"/>
  </si>
  <si>
    <t>影印</t>
    <phoneticPr fontId="33" type="noConversion"/>
  </si>
  <si>
    <t>MP3</t>
    <phoneticPr fontId="33" type="noConversion"/>
  </si>
  <si>
    <t>PDF</t>
    <phoneticPr fontId="33" type="noConversion"/>
  </si>
  <si>
    <t>纸媒</t>
    <phoneticPr fontId="33" type="noConversion"/>
  </si>
  <si>
    <r>
      <rPr>
        <sz val="10"/>
        <color rgb="FF000000"/>
        <rFont val="Microsoft YaHei"/>
        <family val="2"/>
        <charset val="134"/>
      </rPr>
      <t>版本</t>
    </r>
    <phoneticPr fontId="15" type="noConversion"/>
  </si>
  <si>
    <r>
      <rPr>
        <sz val="10"/>
        <color rgb="FF000000"/>
        <rFont val="Microsoft YaHei"/>
        <family val="2"/>
        <charset val="134"/>
      </rPr>
      <t>在库状态</t>
    </r>
    <phoneticPr fontId="15" type="noConversion"/>
  </si>
  <si>
    <t>在库数量</t>
    <phoneticPr fontId="15" type="noConversion"/>
  </si>
  <si>
    <t>馆藏分类</t>
    <phoneticPr fontId="36"/>
  </si>
  <si>
    <t>出版国</t>
    <phoneticPr fontId="36"/>
  </si>
  <si>
    <t>语言</t>
    <phoneticPr fontId="3"/>
  </si>
  <si>
    <t>媒体类别</t>
    <phoneticPr fontId="36"/>
  </si>
  <si>
    <r>
      <rPr>
        <sz val="10"/>
        <color rgb="FF000000"/>
        <rFont val="Microsoft YaHei"/>
        <family val="2"/>
        <charset val="134"/>
      </rPr>
      <t>类别</t>
    </r>
    <phoneticPr fontId="15" type="noConversion"/>
  </si>
  <si>
    <r>
      <rPr>
        <sz val="11"/>
        <color theme="1"/>
        <rFont val="Microsoft JhengHei"/>
        <family val="2"/>
        <charset val="136"/>
      </rPr>
      <t>书</t>
    </r>
    <r>
      <rPr>
        <sz val="11"/>
        <color theme="1"/>
        <rFont val="Yu Gothic"/>
        <family val="2"/>
        <charset val="128"/>
      </rPr>
      <t>名</t>
    </r>
    <phoneticPr fontId="33" type="noConversion"/>
  </si>
  <si>
    <t>顺</t>
    <phoneticPr fontId="36"/>
  </si>
  <si>
    <t>Tkinter</t>
    <phoneticPr fontId="2" type="noConversion"/>
  </si>
  <si>
    <t>GUI</t>
    <phoneticPr fontId="3"/>
  </si>
  <si>
    <t>wxPython</t>
    <phoneticPr fontId="2" type="noConversion"/>
  </si>
  <si>
    <t>https://wiki.python.org/moin/TkInter/</t>
    <phoneticPr fontId="2" type="noConversion"/>
  </si>
  <si>
    <t>https://www.wxpython.org/</t>
    <phoneticPr fontId="2" type="noConversion"/>
  </si>
  <si>
    <t>PyGTK</t>
    <phoneticPr fontId="2" type="noConversion"/>
  </si>
  <si>
    <t>PyQt</t>
    <phoneticPr fontId="2" type="noConversion"/>
  </si>
  <si>
    <t>PySide</t>
    <phoneticPr fontId="2" type="noConversion"/>
  </si>
  <si>
    <t>TagEnd</t>
    <phoneticPr fontId="3"/>
  </si>
  <si>
    <t>TagStart</t>
    <phoneticPr fontId="3"/>
  </si>
  <si>
    <t>django</t>
    <phoneticPr fontId="2" type="noConversion"/>
  </si>
  <si>
    <t>WEB</t>
    <phoneticPr fontId="3"/>
  </si>
  <si>
    <t>web2py</t>
    <phoneticPr fontId="2" type="noConversion"/>
  </si>
  <si>
    <t>flask</t>
    <phoneticPr fontId="2" type="noConversion"/>
  </si>
  <si>
    <t>bottle</t>
    <phoneticPr fontId="2" type="noConversion"/>
  </si>
  <si>
    <t xml:space="preserve">tornadoweb </t>
    <phoneticPr fontId="2" type="noConversion"/>
  </si>
  <si>
    <t>webpy</t>
    <phoneticPr fontId="2" type="noConversion"/>
  </si>
  <si>
    <t>cherrypy</t>
    <phoneticPr fontId="2" type="noConversion"/>
  </si>
  <si>
    <t>jinjs</t>
    <phoneticPr fontId="2" type="noConversion"/>
  </si>
  <si>
    <t>https://cloud-textbook.com/</t>
    <phoneticPr fontId="2" type="noConversion"/>
  </si>
  <si>
    <r>
      <t>クラウドサービス徹底比較</t>
    </r>
    <r>
      <rPr>
        <sz val="11"/>
        <color theme="1"/>
        <rFont val="微软雅黑"/>
        <family val="2"/>
        <charset val="128"/>
      </rPr>
      <t>・徹底解説</t>
    </r>
    <phoneticPr fontId="2" type="noConversion"/>
  </si>
  <si>
    <t>End</t>
    <phoneticPr fontId="36"/>
  </si>
  <si>
    <r>
      <rPr>
        <sz val="11"/>
        <rFont val="等线"/>
        <family val="3"/>
        <charset val="134"/>
      </rPr>
      <t>开发环境配置</t>
    </r>
    <phoneticPr fontId="43" type="noConversion"/>
  </si>
  <si>
    <t>English</t>
    <phoneticPr fontId="43" type="noConversion"/>
  </si>
  <si>
    <t>Tokyp</t>
    <phoneticPr fontId="36"/>
  </si>
  <si>
    <t>Ding Talk</t>
    <phoneticPr fontId="36"/>
  </si>
  <si>
    <t>WEB基础</t>
    <phoneticPr fontId="43" type="noConversion"/>
  </si>
  <si>
    <t>Japanese</t>
    <phoneticPr fontId="43" type="noConversion"/>
  </si>
  <si>
    <t>Python</t>
    <phoneticPr fontId="43" type="noConversion"/>
  </si>
  <si>
    <t xml:space="preserve">Vietnamese </t>
    <phoneticPr fontId="36"/>
  </si>
  <si>
    <t>EXCEL</t>
    <phoneticPr fontId="43" type="noConversion"/>
  </si>
  <si>
    <t>ClubHouse</t>
    <phoneticPr fontId="36"/>
  </si>
  <si>
    <t>UiPath入门</t>
    <phoneticPr fontId="43" type="noConversion"/>
  </si>
  <si>
    <t>Community</t>
    <phoneticPr fontId="43" type="noConversion"/>
  </si>
  <si>
    <t>Salesforce入门</t>
    <phoneticPr fontId="43" type="noConversion"/>
  </si>
  <si>
    <t>微服务架构</t>
    <phoneticPr fontId="43" type="noConversion"/>
  </si>
  <si>
    <t>图数据库</t>
    <phoneticPr fontId="43" type="noConversion"/>
  </si>
  <si>
    <t>大数据</t>
    <phoneticPr fontId="43" type="noConversion"/>
  </si>
  <si>
    <t>机器学习</t>
    <phoneticPr fontId="43" type="noConversion"/>
  </si>
  <si>
    <t>NHK News</t>
    <phoneticPr fontId="43" type="noConversion"/>
  </si>
  <si>
    <t>Business</t>
    <phoneticPr fontId="36"/>
  </si>
  <si>
    <t>-</t>
    <phoneticPr fontId="36"/>
  </si>
  <si>
    <t>Science and Technology</t>
    <phoneticPr fontId="36"/>
  </si>
  <si>
    <t>备注</t>
    <phoneticPr fontId="43" type="noConversion"/>
  </si>
  <si>
    <t>URL</t>
    <phoneticPr fontId="36"/>
  </si>
  <si>
    <t>参考资料</t>
    <phoneticPr fontId="43" type="noConversion"/>
  </si>
  <si>
    <t>内容</t>
    <phoneticPr fontId="43" type="noConversion"/>
  </si>
  <si>
    <t>分类</t>
    <phoneticPr fontId="43" type="noConversion"/>
  </si>
  <si>
    <t>Time End</t>
    <phoneticPr fontId="43" type="noConversion"/>
  </si>
  <si>
    <t>Time Start</t>
    <phoneticPr fontId="43" type="noConversion"/>
  </si>
  <si>
    <t>Time zone</t>
    <phoneticPr fontId="36"/>
  </si>
  <si>
    <t>Date</t>
    <phoneticPr fontId="43" type="noConversion"/>
  </si>
  <si>
    <t>APP</t>
    <phoneticPr fontId="43" type="noConversion"/>
  </si>
  <si>
    <t>日本的“同工统筹”2021年4月1日正式在中小企业实施</t>
    <phoneticPr fontId="3"/>
  </si>
  <si>
    <t>日本很多企业开始裁员，包括世界500强企业近期都在裁员，以应对新冠和日本同工同酬的劳动政策带来的潜在风险！
主要表现在：
1，同等职位中优先裁掉工资较高的，以降低同职位的平均工资，以实现降低新员工入职的工资水平。
2，为符合同工同酬，以实现派遣用工、临时用工的可持续性，降低正社员的工资水平，以实现正社员的成本和派遣用工的相近工资水平，规避法律风险。
3，进入2021年3月，一些派遣公司的招聘广告的年收标准较之前降低了100万日元以上。</t>
    <phoneticPr fontId="3"/>
  </si>
  <si>
    <t>解雇</t>
    <phoneticPr fontId="3"/>
  </si>
  <si>
    <t>降薪</t>
    <phoneticPr fontId="3"/>
  </si>
  <si>
    <t>就业动态</t>
    <phoneticPr fontId="3"/>
  </si>
  <si>
    <t>Enterprise Name</t>
    <phoneticPr fontId="3"/>
  </si>
  <si>
    <r>
      <t>社名</t>
    </r>
    <r>
      <rPr>
        <sz val="11"/>
        <color theme="1"/>
        <rFont val="微软雅黑"/>
        <family val="2"/>
        <charset val="134"/>
      </rPr>
      <t>别</t>
    </r>
    <r>
      <rPr>
        <sz val="11"/>
        <color theme="1"/>
        <rFont val="ＭＳ 明朝"/>
        <family val="1"/>
        <charset val="128"/>
      </rPr>
      <t>名</t>
    </r>
    <phoneticPr fontId="36"/>
  </si>
  <si>
    <r>
      <t>社名</t>
    </r>
    <r>
      <rPr>
        <sz val="11"/>
        <color rgb="FF333333"/>
        <rFont val="微软雅黑"/>
        <family val="2"/>
        <charset val="134"/>
      </rPr>
      <t>简</t>
    </r>
    <r>
      <rPr>
        <sz val="11"/>
        <color rgb="FF333333"/>
        <rFont val="ＭＳ 明朝"/>
        <family val="1"/>
        <charset val="128"/>
      </rPr>
      <t>写</t>
    </r>
    <phoneticPr fontId="3"/>
  </si>
  <si>
    <t>設　立</t>
    <phoneticPr fontId="33" type="noConversion"/>
  </si>
  <si>
    <t>Core technology</t>
    <phoneticPr fontId="36"/>
  </si>
  <si>
    <t>商业模式</t>
    <phoneticPr fontId="2" type="noConversion"/>
  </si>
  <si>
    <t>主要盈利模式</t>
    <phoneticPr fontId="3"/>
  </si>
  <si>
    <t>ISO9000</t>
    <phoneticPr fontId="3"/>
  </si>
  <si>
    <t>ISO27000</t>
    <phoneticPr fontId="3"/>
  </si>
  <si>
    <t>CMMi 3</t>
    <phoneticPr fontId="3"/>
  </si>
  <si>
    <t>CMMi 5</t>
    <phoneticPr fontId="3"/>
  </si>
  <si>
    <t>JCSEO</t>
    <phoneticPr fontId="3"/>
  </si>
  <si>
    <r>
      <t>其他</t>
    </r>
    <r>
      <rPr>
        <sz val="11"/>
        <color rgb="FF333333"/>
        <rFont val="微软雅黑"/>
        <family val="2"/>
        <charset val="134"/>
      </rPr>
      <t>团</t>
    </r>
    <r>
      <rPr>
        <sz val="11"/>
        <color rgb="FF333333"/>
        <rFont val="ＭＳ 明朝"/>
        <family val="1"/>
        <charset val="128"/>
      </rPr>
      <t>体</t>
    </r>
    <phoneticPr fontId="3"/>
  </si>
  <si>
    <t>派遣資格</t>
    <phoneticPr fontId="33" type="noConversion"/>
  </si>
  <si>
    <r>
      <rPr>
        <sz val="11"/>
        <color rgb="FF333333"/>
        <rFont val="微软雅黑"/>
        <family val="2"/>
        <charset val="134"/>
      </rPr>
      <t>职业</t>
    </r>
    <r>
      <rPr>
        <sz val="11"/>
        <color rgb="FF333333"/>
        <rFont val="ＭＳ 明朝"/>
        <family val="1"/>
        <charset val="128"/>
      </rPr>
      <t>介</t>
    </r>
    <r>
      <rPr>
        <sz val="11"/>
        <color rgb="FF333333"/>
        <rFont val="微软雅黑"/>
        <family val="2"/>
        <charset val="134"/>
      </rPr>
      <t>绍资</t>
    </r>
    <r>
      <rPr>
        <sz val="11"/>
        <color rgb="FF333333"/>
        <rFont val="ＭＳ 明朝"/>
        <family val="1"/>
        <charset val="128"/>
      </rPr>
      <t>格</t>
    </r>
    <phoneticPr fontId="3"/>
  </si>
  <si>
    <t>上場</t>
    <phoneticPr fontId="33" type="noConversion"/>
  </si>
  <si>
    <t>資本金(億円)</t>
    <rPh sb="4" eb="5">
      <t>ﾏﾝ</t>
    </rPh>
    <phoneticPr fontId="33" type="noConversion"/>
  </si>
  <si>
    <r>
      <rPr>
        <sz val="11"/>
        <color theme="1"/>
        <rFont val="微软雅黑"/>
        <family val="2"/>
        <charset val="134"/>
      </rPr>
      <t>資本金</t>
    </r>
    <r>
      <rPr>
        <sz val="11"/>
        <color theme="1"/>
        <rFont val="ＭＳ 明朝"/>
        <family val="1"/>
        <charset val="128"/>
      </rPr>
      <t>2016</t>
    </r>
    <r>
      <rPr>
        <sz val="11"/>
        <color theme="1"/>
        <rFont val="等线"/>
        <family val="2"/>
        <scheme val="minor"/>
      </rPr>
      <t/>
    </r>
  </si>
  <si>
    <r>
      <rPr>
        <sz val="11"/>
        <color theme="1"/>
        <rFont val="微软雅黑"/>
        <family val="2"/>
        <charset val="134"/>
      </rPr>
      <t>資本金</t>
    </r>
    <r>
      <rPr>
        <sz val="11"/>
        <color theme="1"/>
        <rFont val="ＭＳ 明朝"/>
        <family val="1"/>
        <charset val="128"/>
      </rPr>
      <t>2017</t>
    </r>
    <r>
      <rPr>
        <sz val="11"/>
        <color theme="1"/>
        <rFont val="等线"/>
        <family val="2"/>
        <scheme val="minor"/>
      </rPr>
      <t/>
    </r>
  </si>
  <si>
    <r>
      <rPr>
        <sz val="11"/>
        <color theme="1"/>
        <rFont val="微软雅黑"/>
        <family val="2"/>
        <charset val="134"/>
      </rPr>
      <t>資本金</t>
    </r>
    <r>
      <rPr>
        <sz val="11"/>
        <color theme="1"/>
        <rFont val="ＭＳ 明朝"/>
        <family val="1"/>
        <charset val="128"/>
      </rPr>
      <t>2018</t>
    </r>
    <r>
      <rPr>
        <sz val="11"/>
        <color theme="1"/>
        <rFont val="等线"/>
        <family val="2"/>
        <scheme val="minor"/>
      </rPr>
      <t/>
    </r>
  </si>
  <si>
    <r>
      <rPr>
        <sz val="11"/>
        <color theme="1"/>
        <rFont val="微软雅黑"/>
        <family val="2"/>
        <charset val="134"/>
      </rPr>
      <t>資本金</t>
    </r>
    <r>
      <rPr>
        <sz val="11"/>
        <color theme="1"/>
        <rFont val="ＭＳ 明朝"/>
        <family val="1"/>
        <charset val="128"/>
      </rPr>
      <t>2019</t>
    </r>
    <r>
      <rPr>
        <sz val="11"/>
        <color theme="1"/>
        <rFont val="等线"/>
        <family val="2"/>
        <scheme val="minor"/>
      </rPr>
      <t/>
    </r>
  </si>
  <si>
    <r>
      <rPr>
        <sz val="11"/>
        <color theme="1"/>
        <rFont val="微软雅黑"/>
        <family val="2"/>
        <charset val="134"/>
      </rPr>
      <t>資本金</t>
    </r>
    <r>
      <rPr>
        <sz val="11"/>
        <color theme="1"/>
        <rFont val="ＭＳ 明朝"/>
        <family val="1"/>
        <charset val="128"/>
      </rPr>
      <t>2020</t>
    </r>
    <phoneticPr fontId="36"/>
  </si>
  <si>
    <r>
      <rPr>
        <sz val="11"/>
        <color theme="1"/>
        <rFont val="微软雅黑"/>
        <family val="2"/>
        <charset val="134"/>
      </rPr>
      <t>資本金</t>
    </r>
    <r>
      <rPr>
        <sz val="11"/>
        <color theme="1"/>
        <rFont val="ＭＳ 明朝"/>
        <family val="1"/>
        <charset val="128"/>
      </rPr>
      <t>2021</t>
    </r>
    <r>
      <rPr>
        <sz val="11"/>
        <color theme="1"/>
        <rFont val="等线"/>
        <family val="2"/>
        <scheme val="minor"/>
      </rPr>
      <t/>
    </r>
  </si>
  <si>
    <t>社員数2016</t>
    <phoneticPr fontId="36"/>
  </si>
  <si>
    <t>売上2016(億円)</t>
    <phoneticPr fontId="33" type="noConversion"/>
  </si>
  <si>
    <t>社員数2017</t>
  </si>
  <si>
    <t>売上2017(億円)</t>
    <phoneticPr fontId="33" type="noConversion"/>
  </si>
  <si>
    <t>社員数2018</t>
  </si>
  <si>
    <r>
      <t>社員平均年</t>
    </r>
    <r>
      <rPr>
        <sz val="11"/>
        <color rgb="FF333333"/>
        <rFont val="SimSun"/>
        <family val="3"/>
        <charset val="134"/>
      </rPr>
      <t>龄2018</t>
    </r>
    <phoneticPr fontId="36"/>
  </si>
  <si>
    <t>売上2018(億円)</t>
  </si>
  <si>
    <t>社員数2019</t>
  </si>
  <si>
    <r>
      <t>社員平均年</t>
    </r>
    <r>
      <rPr>
        <sz val="11"/>
        <color rgb="FF333333"/>
        <rFont val="SimSun"/>
        <family val="3"/>
        <charset val="134"/>
      </rPr>
      <t>龄2019</t>
    </r>
    <r>
      <rPr>
        <sz val="11"/>
        <color theme="1"/>
        <rFont val="等线"/>
        <family val="2"/>
        <scheme val="minor"/>
      </rPr>
      <t/>
    </r>
  </si>
  <si>
    <t>売上2019(億円)</t>
  </si>
  <si>
    <r>
      <t>人均</t>
    </r>
    <r>
      <rPr>
        <sz val="11"/>
        <color rgb="FF333333"/>
        <rFont val="Microsoft YaHei"/>
        <family val="2"/>
        <charset val="134"/>
      </rPr>
      <t>销</t>
    </r>
    <r>
      <rPr>
        <sz val="11"/>
        <color rgb="FF333333"/>
        <rFont val="ＭＳ 明朝"/>
        <family val="1"/>
        <charset val="128"/>
      </rPr>
      <t>售</t>
    </r>
    <r>
      <rPr>
        <sz val="11"/>
        <color rgb="FF333333"/>
        <rFont val="Microsoft YaHei"/>
        <family val="2"/>
        <charset val="134"/>
      </rPr>
      <t>额2019</t>
    </r>
    <phoneticPr fontId="36"/>
  </si>
  <si>
    <t>社員数2020</t>
  </si>
  <si>
    <r>
      <t>社員平均年</t>
    </r>
    <r>
      <rPr>
        <sz val="11"/>
        <color rgb="FF333333"/>
        <rFont val="SimSun"/>
        <family val="3"/>
        <charset val="134"/>
      </rPr>
      <t>龄2020</t>
    </r>
    <r>
      <rPr>
        <sz val="11"/>
        <color theme="1"/>
        <rFont val="等线"/>
        <family val="2"/>
        <scheme val="minor"/>
      </rPr>
      <t/>
    </r>
  </si>
  <si>
    <t>売上2020(億円)</t>
  </si>
  <si>
    <r>
      <t>人均</t>
    </r>
    <r>
      <rPr>
        <sz val="11"/>
        <color rgb="FF333333"/>
        <rFont val="Microsoft YaHei"/>
        <family val="2"/>
        <charset val="134"/>
      </rPr>
      <t>销</t>
    </r>
    <r>
      <rPr>
        <sz val="11"/>
        <color rgb="FF333333"/>
        <rFont val="ＭＳ 明朝"/>
        <family val="1"/>
        <charset val="128"/>
      </rPr>
      <t>售</t>
    </r>
    <r>
      <rPr>
        <sz val="11"/>
        <color rgb="FF333333"/>
        <rFont val="Microsoft YaHei"/>
        <family val="2"/>
        <charset val="134"/>
      </rPr>
      <t>额2020</t>
    </r>
    <phoneticPr fontId="33" type="noConversion"/>
  </si>
  <si>
    <r>
      <t>社員平均年</t>
    </r>
    <r>
      <rPr>
        <sz val="11"/>
        <color rgb="FF333333"/>
        <rFont val="SimSun"/>
        <family val="3"/>
        <charset val="134"/>
      </rPr>
      <t>龄2021</t>
    </r>
    <r>
      <rPr>
        <sz val="11"/>
        <color theme="1"/>
        <rFont val="等线"/>
        <family val="2"/>
        <scheme val="minor"/>
      </rPr>
      <t/>
    </r>
  </si>
  <si>
    <t xml:space="preserve">所在地  </t>
  </si>
  <si>
    <t>代表取締役</t>
    <phoneticPr fontId="33" type="noConversion"/>
  </si>
  <si>
    <t>招聘担当</t>
    <phoneticPr fontId="33" type="noConversion"/>
  </si>
  <si>
    <t>招聘担当Phone</t>
    <phoneticPr fontId="33" type="noConversion"/>
  </si>
  <si>
    <r>
      <t>公司招聘</t>
    </r>
    <r>
      <rPr>
        <sz val="11"/>
        <color theme="1"/>
        <rFont val="微软雅黑"/>
        <family val="2"/>
        <charset val="134"/>
      </rPr>
      <t>邮</t>
    </r>
    <r>
      <rPr>
        <sz val="11"/>
        <color theme="1"/>
        <rFont val="ＭＳ 明朝"/>
        <family val="1"/>
        <charset val="128"/>
      </rPr>
      <t>箱1</t>
    </r>
    <phoneticPr fontId="3"/>
  </si>
  <si>
    <r>
      <t>公司招聘</t>
    </r>
    <r>
      <rPr>
        <sz val="11"/>
        <color theme="1"/>
        <rFont val="微软雅黑"/>
        <family val="2"/>
        <charset val="134"/>
      </rPr>
      <t>邮</t>
    </r>
    <r>
      <rPr>
        <sz val="11"/>
        <color theme="1"/>
        <rFont val="ＭＳ 明朝"/>
        <family val="1"/>
        <charset val="128"/>
      </rPr>
      <t>箱2</t>
    </r>
    <r>
      <rPr>
        <sz val="11"/>
        <color theme="1"/>
        <rFont val="等线"/>
        <family val="2"/>
        <scheme val="minor"/>
      </rPr>
      <t/>
    </r>
  </si>
  <si>
    <t>公司招聘座机</t>
    <phoneticPr fontId="3"/>
  </si>
  <si>
    <t>業種</t>
    <phoneticPr fontId="33" type="noConversion"/>
  </si>
  <si>
    <t>HP</t>
    <phoneticPr fontId="36"/>
  </si>
  <si>
    <r>
      <t>WeChat</t>
    </r>
    <r>
      <rPr>
        <sz val="11"/>
        <color rgb="FF333333"/>
        <rFont val="微软雅黑"/>
        <family val="1"/>
        <charset val="134"/>
      </rPr>
      <t>订阅号</t>
    </r>
    <phoneticPr fontId="36"/>
  </si>
  <si>
    <t>LinkedIn</t>
    <phoneticPr fontId="36"/>
  </si>
  <si>
    <t>Twitter</t>
    <phoneticPr fontId="36"/>
  </si>
  <si>
    <t>Youtube</t>
    <phoneticPr fontId="36"/>
  </si>
  <si>
    <t>Clubhouse</t>
    <phoneticPr fontId="36"/>
  </si>
  <si>
    <t>Product</t>
    <phoneticPr fontId="36"/>
  </si>
  <si>
    <t xml:space="preserve">Outsourcing </t>
    <phoneticPr fontId="33" type="noConversion"/>
  </si>
  <si>
    <t xml:space="preserve">Nationality </t>
    <phoneticPr fontId="33" type="noConversion"/>
  </si>
  <si>
    <t>English</t>
    <phoneticPr fontId="33" type="noConversion"/>
  </si>
  <si>
    <t>Japanese</t>
    <phoneticPr fontId="33" type="noConversion"/>
  </si>
  <si>
    <t>Offshore</t>
    <phoneticPr fontId="33" type="noConversion"/>
  </si>
  <si>
    <t>Tag</t>
    <phoneticPr fontId="33" type="noConversion"/>
  </si>
  <si>
    <t>Blacklist</t>
    <phoneticPr fontId="36"/>
  </si>
  <si>
    <t>応募履歴</t>
    <phoneticPr fontId="36"/>
  </si>
  <si>
    <r>
      <t>Homepage</t>
    </r>
    <r>
      <rPr>
        <sz val="11"/>
        <rFont val="DengXian"/>
        <family val="1"/>
        <charset val="134"/>
      </rPr>
      <t xml:space="preserve"> Date</t>
    </r>
    <phoneticPr fontId="36"/>
  </si>
  <si>
    <t>Homepage status</t>
    <phoneticPr fontId="36"/>
  </si>
  <si>
    <t>Homepage End Date</t>
    <phoneticPr fontId="60"/>
  </si>
  <si>
    <t>Date</t>
    <phoneticPr fontId="3"/>
  </si>
  <si>
    <t>Date</t>
    <phoneticPr fontId="36"/>
  </si>
  <si>
    <t>Update</t>
    <phoneticPr fontId="3"/>
  </si>
  <si>
    <t>Update</t>
    <phoneticPr fontId="36"/>
  </si>
  <si>
    <t>End</t>
    <phoneticPr fontId="33" type="noConversion"/>
  </si>
  <si>
    <t>GEL研究所 株式会社</t>
    <phoneticPr fontId="36"/>
  </si>
  <si>
    <t>東京都渋谷区</t>
  </si>
  <si>
    <t>ｅ２１(イーニジュウイチ)ジャパンシステム株式会社</t>
    <phoneticPr fontId="36"/>
  </si>
  <si>
    <t>東京都荒川区</t>
  </si>
  <si>
    <t>IT</t>
    <phoneticPr fontId="33" type="noConversion"/>
  </si>
  <si>
    <t>http://www.e21japan.com</t>
  </si>
  <si>
    <t>CASTNET東京株式会社</t>
    <phoneticPr fontId="36"/>
  </si>
  <si>
    <t>http://www.castit.com.cn</t>
  </si>
  <si>
    <t>AB情報システム株式会社</t>
    <phoneticPr fontId="36"/>
  </si>
  <si>
    <t>東京都中央区</t>
  </si>
  <si>
    <t>http://www.ab-is.com/</t>
  </si>
  <si>
    <t>アイティーデザイン株式会社</t>
    <phoneticPr fontId="60"/>
  </si>
  <si>
    <t>株式会社アセンド</t>
    <phoneticPr fontId="60"/>
  </si>
  <si>
    <t>株式会社スリーエス</t>
    <phoneticPr fontId="60"/>
  </si>
  <si>
    <t>株式会社モーク・ワン</t>
    <phoneticPr fontId="60"/>
  </si>
  <si>
    <t>ＳＣＳＫ株式会社</t>
    <phoneticPr fontId="60"/>
  </si>
  <si>
    <t>トーテックアメニティ株式会社</t>
    <phoneticPr fontId="60"/>
  </si>
  <si>
    <t>株式会社Ｌｉｂｌｏｃｋ</t>
    <phoneticPr fontId="60"/>
  </si>
  <si>
    <t>株式会社フェーズワン</t>
    <phoneticPr fontId="60"/>
  </si>
  <si>
    <t>株式会社情報技術社</t>
    <phoneticPr fontId="60"/>
  </si>
  <si>
    <t>株式会社ヴェス</t>
    <phoneticPr fontId="60"/>
  </si>
  <si>
    <t>株式会社ＩＣＳＳ</t>
    <phoneticPr fontId="60"/>
  </si>
  <si>
    <t>株式会社シー・エル・エス</t>
    <phoneticPr fontId="60"/>
  </si>
  <si>
    <t>株式会社富士通ゼネラルＯＳテクノロジー</t>
    <phoneticPr fontId="60"/>
  </si>
  <si>
    <t>株式会社クラフトワーク</t>
    <phoneticPr fontId="60"/>
  </si>
  <si>
    <t>株式会社ＳＨＴ</t>
    <phoneticPr fontId="60"/>
  </si>
  <si>
    <r>
      <t>株日</t>
    </r>
    <r>
      <rPr>
        <sz val="11"/>
        <rFont val="微软雅黑"/>
        <family val="2"/>
        <charset val="134"/>
      </rPr>
      <t>翔テクノ</t>
    </r>
    <rPh sb="0" eb="1">
      <t>カブ</t>
    </rPh>
    <rPh sb="1" eb="2">
      <t>ニチ</t>
    </rPh>
    <phoneticPr fontId="60"/>
  </si>
  <si>
    <t>株式会社アズールドットネット</t>
    <phoneticPr fontId="60"/>
  </si>
  <si>
    <t>アヴァント株式会社</t>
    <phoneticPr fontId="60"/>
  </si>
  <si>
    <t>株式会社プレスク</t>
    <phoneticPr fontId="60"/>
  </si>
  <si>
    <t>ケイプラス株式会社</t>
    <phoneticPr fontId="60"/>
  </si>
  <si>
    <t>フューチャー株式会社</t>
    <phoneticPr fontId="60"/>
  </si>
  <si>
    <t>投递</t>
    <phoneticPr fontId="60"/>
  </si>
  <si>
    <t>株式会社デジタルハーツ</t>
    <phoneticPr fontId="60"/>
  </si>
  <si>
    <t>简历投递  NG</t>
    <phoneticPr fontId="60"/>
  </si>
  <si>
    <t>株式会社リーディング・エッジ社</t>
    <phoneticPr fontId="60"/>
  </si>
  <si>
    <t>株式会社人財ソリューション</t>
    <phoneticPr fontId="60"/>
  </si>
  <si>
    <t>株式会社インフォプラックス</t>
    <phoneticPr fontId="60"/>
  </si>
  <si>
    <t>株式会社インフォメーションポート</t>
    <phoneticPr fontId="60"/>
  </si>
  <si>
    <t>株式会社コムコシステム</t>
    <phoneticPr fontId="60"/>
  </si>
  <si>
    <t>株式会社システム情報</t>
    <phoneticPr fontId="60"/>
  </si>
  <si>
    <t>株式会社テクノプロ</t>
    <phoneticPr fontId="60"/>
  </si>
  <si>
    <t>アクサス株式会社</t>
    <phoneticPr fontId="60"/>
  </si>
  <si>
    <t xml:space="preserve">イ．ソフト株式会社 </t>
    <phoneticPr fontId="60"/>
  </si>
  <si>
    <t>クオリティソフト株式会社</t>
    <phoneticPr fontId="60"/>
  </si>
  <si>
    <t>チームラボ株式会社</t>
    <phoneticPr fontId="60"/>
  </si>
  <si>
    <t>株式会社 フォービス</t>
    <phoneticPr fontId="60"/>
  </si>
  <si>
    <t xml:space="preserve">株式会社Everforth </t>
    <phoneticPr fontId="60"/>
  </si>
  <si>
    <t xml:space="preserve">株式会社ＧＩＯテクノロジーズ </t>
    <phoneticPr fontId="60"/>
  </si>
  <si>
    <t>株式会社アイディーエス</t>
    <phoneticPr fontId="60"/>
  </si>
  <si>
    <t>株式会社アトムシステム</t>
    <phoneticPr fontId="60"/>
  </si>
  <si>
    <t>株式会社ヴィンクス</t>
    <phoneticPr fontId="60"/>
  </si>
  <si>
    <t>株式会社リップル・マーク</t>
    <phoneticPr fontId="60"/>
  </si>
  <si>
    <t>株式会社ワクト</t>
    <phoneticPr fontId="60"/>
  </si>
  <si>
    <t>株式会社コンテンツワン</t>
    <phoneticPr fontId="60"/>
  </si>
  <si>
    <t>株式会社フレクト</t>
    <phoneticPr fontId="60"/>
  </si>
  <si>
    <t>株式会社ランウェイ</t>
    <phoneticPr fontId="60"/>
  </si>
  <si>
    <t>CLINKS株式会社</t>
    <phoneticPr fontId="60"/>
  </si>
  <si>
    <t>株式会社SYSNAG</t>
    <phoneticPr fontId="60"/>
  </si>
  <si>
    <t>株式会社クランタス</t>
    <phoneticPr fontId="60"/>
  </si>
  <si>
    <t>株式会社　日翔テクノ</t>
    <phoneticPr fontId="60"/>
  </si>
  <si>
    <t>外国人不可</t>
    <phoneticPr fontId="36"/>
  </si>
  <si>
    <t>株式会社デジタイズ</t>
    <phoneticPr fontId="60"/>
  </si>
  <si>
    <t>株式会社カインズテクノロジーズ</t>
    <phoneticPr fontId="60"/>
  </si>
  <si>
    <t>株式会社グローバルシンキング</t>
    <phoneticPr fontId="60"/>
  </si>
  <si>
    <t>株式会社テクノプロ　テクノプロ・デザイン社</t>
    <phoneticPr fontId="60"/>
  </si>
  <si>
    <t xml:space="preserve">株式会社デジタルハーツ </t>
    <phoneticPr fontId="60"/>
  </si>
  <si>
    <t>株式会社写易</t>
    <phoneticPr fontId="60"/>
  </si>
  <si>
    <t>テクバン株式会社</t>
    <phoneticPr fontId="60"/>
  </si>
  <si>
    <t>投递 NG</t>
    <phoneticPr fontId="60"/>
  </si>
  <si>
    <t>株式会社ベリサーブ</t>
    <phoneticPr fontId="60"/>
  </si>
  <si>
    <t>INGテクノロジー株式会社</t>
    <phoneticPr fontId="36"/>
  </si>
  <si>
    <t>950万</t>
  </si>
  <si>
    <t>東京都台東区</t>
    <phoneticPr fontId="36"/>
  </si>
  <si>
    <t>JUPICON株式会社</t>
    <phoneticPr fontId="36"/>
  </si>
  <si>
    <t>1,000万</t>
  </si>
  <si>
    <t>東京都港区</t>
    <phoneticPr fontId="36"/>
  </si>
  <si>
    <t>ＬＹＣ株式会社</t>
    <phoneticPr fontId="33" type="noConversion"/>
  </si>
  <si>
    <t>特定</t>
    <phoneticPr fontId="33" type="noConversion"/>
  </si>
  <si>
    <t>eigyou@lyc.co.jp</t>
    <phoneticPr fontId="33" type="noConversion"/>
  </si>
  <si>
    <t>WWW.LYC.CO.JP</t>
    <phoneticPr fontId="33" type="noConversion"/>
  </si>
  <si>
    <t>NEUSOFT Japan 株式会社</t>
    <phoneticPr fontId="36"/>
  </si>
  <si>
    <t>1億8,775万</t>
  </si>
  <si>
    <t>東京都江東区</t>
  </si>
  <si>
    <t>http://www.neusoft.co.jp/</t>
  </si>
  <si>
    <t>RedLotus　株式会社</t>
    <phoneticPr fontId="36"/>
  </si>
  <si>
    <t>1,500万</t>
  </si>
  <si>
    <t>千葉県船橋市</t>
  </si>
  <si>
    <t>sun-asterisk.com</t>
    <phoneticPr fontId="36"/>
  </si>
  <si>
    <r>
      <rPr>
        <sz val="11"/>
        <color rgb="FF333333"/>
        <rFont val="微软雅黑"/>
        <family val="2"/>
        <charset val="134"/>
      </rPr>
      <t>3100</t>
    </r>
    <r>
      <rPr>
        <sz val="11"/>
        <color rgb="FF333333"/>
        <rFont val="ＭＳ Ｐゴシック"/>
        <family val="2"/>
        <charset val="134"/>
      </rPr>
      <t>万</t>
    </r>
    <phoneticPr fontId="36"/>
  </si>
  <si>
    <t>sun-asterisk.com</t>
  </si>
  <si>
    <t>System.OSJ(株)</t>
    <phoneticPr fontId="36"/>
  </si>
  <si>
    <t>4400万</t>
  </si>
  <si>
    <t>http://www.system-osj.co.jp/</t>
  </si>
  <si>
    <t>ＴＳＲソリューションズ株式会社</t>
    <phoneticPr fontId="36"/>
  </si>
  <si>
    <t>東京都新宿区</t>
  </si>
  <si>
    <t>ＵＴＯ株式会社</t>
    <phoneticPr fontId="36"/>
  </si>
  <si>
    <t>http://www.uto.co.jp/overview/index.htm</t>
  </si>
  <si>
    <t>YTT</t>
    <phoneticPr fontId="3"/>
  </si>
  <si>
    <t>贾军</t>
    <phoneticPr fontId="3"/>
  </si>
  <si>
    <t>アイオー.ビィ.シィ株式会社</t>
    <phoneticPr fontId="36"/>
  </si>
  <si>
    <t>2300万</t>
  </si>
  <si>
    <t>http://www.iobc.co.jp/</t>
  </si>
  <si>
    <t>アイコーチ有限会社</t>
    <phoneticPr fontId="36"/>
  </si>
  <si>
    <t>神奈川県横浜市</t>
  </si>
  <si>
    <t>http://www.ai-coach.com/</t>
  </si>
  <si>
    <t>アイテックジャパン株式会社</t>
    <phoneticPr fontId="36"/>
  </si>
  <si>
    <t>東京都品川区</t>
  </si>
  <si>
    <t>アクサス株式会社</t>
    <phoneticPr fontId="36"/>
  </si>
  <si>
    <t>http://www.axas-japan.co.jp/</t>
    <phoneticPr fontId="36"/>
  </si>
  <si>
    <t>アクティブネットワーク株式会社</t>
    <phoneticPr fontId="36"/>
  </si>
  <si>
    <t>2,900万</t>
  </si>
  <si>
    <t>http://www.activenetwork.co.jp</t>
  </si>
  <si>
    <t>アジアソフトインフォ 株式会社</t>
    <phoneticPr fontId="36"/>
  </si>
  <si>
    <t>900万</t>
  </si>
  <si>
    <t>東京都千代田区</t>
  </si>
  <si>
    <t>http://www.a-si.net/company.html</t>
  </si>
  <si>
    <t>アジアテック株式会社</t>
    <phoneticPr fontId="36"/>
  </si>
  <si>
    <t>http://www.asiatek.co.jp/</t>
  </si>
  <si>
    <t>アットワン株式会社</t>
    <phoneticPr fontId="36"/>
  </si>
  <si>
    <t>http://www.at-1.co.jp</t>
  </si>
  <si>
    <t>アプリロード株式会社</t>
    <phoneticPr fontId="36"/>
  </si>
  <si>
    <t>http://www.applyload.co.jp/</t>
  </si>
  <si>
    <t>イ．ソフト株式会社</t>
    <phoneticPr fontId="36"/>
  </si>
  <si>
    <t>http://www.e-sft.co.jp/</t>
    <phoneticPr fontId="36"/>
  </si>
  <si>
    <t>イー.ロジテック株式会社</t>
    <phoneticPr fontId="36"/>
  </si>
  <si>
    <t>6010万</t>
  </si>
  <si>
    <t>http://www.e-logitech.com</t>
  </si>
  <si>
    <t>イースクェア株式会社</t>
    <phoneticPr fontId="36"/>
  </si>
  <si>
    <t>2,500万</t>
  </si>
  <si>
    <t>東京都港区</t>
  </si>
  <si>
    <t>http://www.esquare.co.jp</t>
  </si>
  <si>
    <t>イーピーエス株式会社</t>
    <phoneticPr fontId="36"/>
  </si>
  <si>
    <t>18億7,525万</t>
  </si>
  <si>
    <t>田中　尚</t>
  </si>
  <si>
    <t>IT</t>
  </si>
  <si>
    <t>http://www.eps.co.jp</t>
  </si>
  <si>
    <t>187525万</t>
  </si>
  <si>
    <t>イグニション.ポイント インサイト株式会社</t>
    <phoneticPr fontId="36"/>
  </si>
  <si>
    <t>インフォシー株式会社</t>
    <phoneticPr fontId="36"/>
  </si>
  <si>
    <t>1,525万</t>
  </si>
  <si>
    <t>http://www.infosea.co.jp</t>
  </si>
  <si>
    <t>ウィングステック有限会社</t>
    <phoneticPr fontId="36"/>
  </si>
  <si>
    <t>300万</t>
  </si>
  <si>
    <t>東京都台東区</t>
  </si>
  <si>
    <t>ウェブグループ株式会社</t>
    <phoneticPr fontId="36"/>
  </si>
  <si>
    <t>4,000万</t>
  </si>
  <si>
    <t>http://www.webgroup.co.jp/introduce_1.htm</t>
  </si>
  <si>
    <t>エイト株式会社</t>
    <phoneticPr fontId="36"/>
  </si>
  <si>
    <t>1000万</t>
  </si>
  <si>
    <t>http://www.eit.co.jp/</t>
  </si>
  <si>
    <t>エー.ケー.エス テクノロジー株式会社</t>
    <phoneticPr fontId="36"/>
  </si>
  <si>
    <t>エーブリッジ株式会社</t>
    <phoneticPr fontId="36"/>
  </si>
  <si>
    <t>1,600万</t>
  </si>
  <si>
    <t>http://www.abridgecom.co.jp/</t>
  </si>
  <si>
    <t>エクミネット株式会社</t>
    <phoneticPr fontId="36"/>
  </si>
  <si>
    <t>エンコムウェア 株式会社</t>
    <phoneticPr fontId="36"/>
  </si>
  <si>
    <t>2,000万</t>
  </si>
  <si>
    <t>http://www.encomware.com/</t>
  </si>
  <si>
    <t>オーライソフトウェア株式会社</t>
    <phoneticPr fontId="36"/>
  </si>
  <si>
    <t>1億</t>
  </si>
  <si>
    <t>http://www.allrightsoft.co.jp/outline.html</t>
  </si>
  <si>
    <t>ガゼル株式会社</t>
    <phoneticPr fontId="36"/>
  </si>
  <si>
    <t>888万</t>
  </si>
  <si>
    <t>http://www.gazeru.co.jp/info.html</t>
  </si>
  <si>
    <t>キーサイト株式会社</t>
    <phoneticPr fontId="36"/>
  </si>
  <si>
    <t>http://www.keysite.co.jp/</t>
  </si>
  <si>
    <t>キャセイ.トライテック株式会社</t>
    <phoneticPr fontId="36"/>
  </si>
  <si>
    <t>1億2,500万</t>
  </si>
  <si>
    <t>http://www.cathay.jp/profile.html</t>
  </si>
  <si>
    <t>クオリティソフト株式会社</t>
    <phoneticPr fontId="36"/>
  </si>
  <si>
    <t>http://www.quality.co.jp/</t>
    <phoneticPr fontId="36"/>
  </si>
  <si>
    <t>グリッド.リサーチ株式会社</t>
    <phoneticPr fontId="36"/>
  </si>
  <si>
    <t>http://www.grids.co.jp/</t>
  </si>
  <si>
    <t>グローブネット株式会社</t>
    <phoneticPr fontId="36"/>
  </si>
  <si>
    <t>ケイアイエヌ株式会社</t>
    <phoneticPr fontId="36"/>
  </si>
  <si>
    <t>1,850万</t>
  </si>
  <si>
    <t>神奈川県川崎市</t>
  </si>
  <si>
    <t>http://www.kingsoft.co.jp</t>
  </si>
  <si>
    <t>ゲンダイハイテック株式会社</t>
    <phoneticPr fontId="36"/>
  </si>
  <si>
    <t>http://modern-jp.org/html/kaisya-gaiyou.html</t>
  </si>
  <si>
    <t>ゴールドアイコンサルティング株式会社</t>
    <phoneticPr fontId="36"/>
  </si>
  <si>
    <t>ゴールドアイコンサルテング株式会社</t>
    <phoneticPr fontId="36"/>
  </si>
  <si>
    <t>http://www.goldeye.jp</t>
  </si>
  <si>
    <t>サイノコム.ジャパン株式会社</t>
    <phoneticPr fontId="36"/>
  </si>
  <si>
    <t>サイバネットテクノロジ株式会社</t>
    <phoneticPr fontId="3"/>
  </si>
  <si>
    <t>サン.ベスト株式会社</t>
    <phoneticPr fontId="36"/>
  </si>
  <si>
    <t>JCEF</t>
  </si>
  <si>
    <t>http://www.3-best.jp</t>
  </si>
  <si>
    <t>サンスターシステム株式会社</t>
    <phoneticPr fontId="36"/>
  </si>
  <si>
    <t>4000万</t>
  </si>
  <si>
    <t>http://www.sun-star.co.jp</t>
  </si>
  <si>
    <t>サンネット株式会社</t>
    <phoneticPr fontId="36"/>
  </si>
  <si>
    <t>サンビ株式会社</t>
    <phoneticPr fontId="36"/>
  </si>
  <si>
    <t>750万</t>
  </si>
  <si>
    <t>http://www.sunvy.co.jp</t>
  </si>
  <si>
    <t>シーエーアイ.システムズ合同会社</t>
    <phoneticPr fontId="36"/>
  </si>
  <si>
    <t>東京都豊島区</t>
  </si>
  <si>
    <t>http://www.cai-systems.com/</t>
  </si>
  <si>
    <t>ジーオー.ジャパン</t>
    <phoneticPr fontId="36"/>
  </si>
  <si>
    <t>崔云鹤</t>
    <phoneticPr fontId="3"/>
  </si>
  <si>
    <t>シードシステム株式会社</t>
    <phoneticPr fontId="36"/>
  </si>
  <si>
    <t>http://www.seedsystem.co.jp/profile.htm</t>
  </si>
  <si>
    <t>ジェイ.エム.ティー株式会社</t>
    <phoneticPr fontId="36"/>
  </si>
  <si>
    <t>1,200万</t>
  </si>
  <si>
    <t>http://www.ousoft-jmt.co.jp/</t>
  </si>
  <si>
    <t>ジェイ.エム.ティー株式会社(要确认)</t>
    <phoneticPr fontId="36"/>
  </si>
  <si>
    <t>1200万</t>
  </si>
  <si>
    <t>http://jmt-kk.co.jp/</t>
  </si>
  <si>
    <t>シンフォニー株式会社</t>
    <phoneticPr fontId="36"/>
  </si>
  <si>
    <t>愛知県名古屋市</t>
  </si>
  <si>
    <t>http://www.symphony-com.co.jp/jp/com_gaiyou.htm</t>
  </si>
  <si>
    <t>センチュリーインフォテック株式会社</t>
    <phoneticPr fontId="36"/>
  </si>
  <si>
    <t>1,695万</t>
  </si>
  <si>
    <t>http://www.cit.co.jp</t>
  </si>
  <si>
    <t>ソフトブレーン株式会社</t>
    <phoneticPr fontId="36"/>
  </si>
  <si>
    <t>82357万</t>
  </si>
  <si>
    <t>http://www.softbrain.co.jp/</t>
  </si>
  <si>
    <t>ソラン中国株式会社</t>
    <phoneticPr fontId="36"/>
  </si>
  <si>
    <t>1億500万</t>
  </si>
  <si>
    <t>チームラボ株式会社</t>
    <phoneticPr fontId="36"/>
  </si>
  <si>
    <t>http://www.team-lab.com</t>
    <phoneticPr fontId="36"/>
  </si>
  <si>
    <t>チャイナポ.タル株式会社</t>
    <phoneticPr fontId="36"/>
  </si>
  <si>
    <t>1,940万</t>
  </si>
  <si>
    <t>チャイナポータル株式会社</t>
    <phoneticPr fontId="36"/>
  </si>
  <si>
    <t>1940万</t>
  </si>
  <si>
    <t>http://chinap.co.jp/img/gsjj.htm</t>
  </si>
  <si>
    <t>ディー.アール.テクノロジー 株式会社</t>
    <phoneticPr fontId="36"/>
  </si>
  <si>
    <t>東京都千代区</t>
  </si>
  <si>
    <t>ティービーケー.システムズ株式会社</t>
    <phoneticPr fontId="36"/>
  </si>
  <si>
    <t>http://www.tbk-sys.co.jp</t>
  </si>
  <si>
    <t>テクバン株式会社</t>
    <phoneticPr fontId="36"/>
  </si>
  <si>
    <r>
      <t>career</t>
    </r>
    <r>
      <rPr>
        <sz val="11"/>
        <color theme="1"/>
        <rFont val="微软雅黑"/>
        <family val="2"/>
        <charset val="134"/>
      </rPr>
      <t>@</t>
    </r>
    <r>
      <rPr>
        <sz val="11"/>
        <color theme="1"/>
        <rFont val="等线"/>
        <family val="2"/>
        <charset val="134"/>
        <scheme val="minor"/>
      </rPr>
      <t>techvan.co.jp</t>
    </r>
    <phoneticPr fontId="36"/>
  </si>
  <si>
    <t>03-5418-8500</t>
    <phoneticPr fontId="36"/>
  </si>
  <si>
    <t>https://www.techvan.co.jp</t>
    <phoneticPr fontId="36"/>
  </si>
  <si>
    <t>テクマトリックス株式会社</t>
    <phoneticPr fontId="36"/>
  </si>
  <si>
    <t>tmx-career@techmatrix.co.jp</t>
    <phoneticPr fontId="36"/>
  </si>
  <si>
    <t>テックウェア.リベロシステムズ株式会社</t>
    <phoneticPr fontId="36"/>
  </si>
  <si>
    <t>1,400万</t>
  </si>
  <si>
    <t>東京都文京区</t>
  </si>
  <si>
    <t>テックウェア株式会社</t>
    <phoneticPr fontId="36"/>
  </si>
  <si>
    <t>http://www.techware.co.jp/kaisha_gaiyou.htm</t>
  </si>
  <si>
    <t>トップソフト</t>
    <phoneticPr fontId="3"/>
  </si>
  <si>
    <t>金虎杰</t>
    <phoneticPr fontId="3"/>
  </si>
  <si>
    <t>トモモト株式会社</t>
    <phoneticPr fontId="33" type="noConversion"/>
  </si>
  <si>
    <t>別名：智源株式会社</t>
    <phoneticPr fontId="33" type="noConversion"/>
  </si>
  <si>
    <t>http://www.tomomoto.co.jp</t>
    <phoneticPr fontId="33" type="noConversion"/>
  </si>
  <si>
    <t>ニューエリート株式会社</t>
    <phoneticPr fontId="36"/>
  </si>
  <si>
    <t>http://www.newelite.co.jp</t>
  </si>
  <si>
    <t>ニューコン株式会社</t>
    <phoneticPr fontId="36"/>
  </si>
  <si>
    <t>3億</t>
  </si>
  <si>
    <t>http://www.newcon.co.jp</t>
  </si>
  <si>
    <t>ネットプラウア株式会社</t>
    <phoneticPr fontId="36"/>
  </si>
  <si>
    <t>500万</t>
  </si>
  <si>
    <t>千葉県千葉市</t>
  </si>
  <si>
    <t>ハイソフトジャパン株式会社</t>
    <phoneticPr fontId="36"/>
  </si>
  <si>
    <t>4億</t>
  </si>
  <si>
    <t>ハナシス株式会社</t>
    <phoneticPr fontId="36"/>
  </si>
  <si>
    <t>JCSEO</t>
  </si>
  <si>
    <t>400万</t>
  </si>
  <si>
    <t>http://www.hanasys.co.jp/1.html</t>
  </si>
  <si>
    <t>パワーロジック株式会社</t>
    <phoneticPr fontId="36"/>
  </si>
  <si>
    <t>ビーケービー.ジャパン.システムズ株式会社</t>
    <phoneticPr fontId="36"/>
  </si>
  <si>
    <t>1500万</t>
  </si>
  <si>
    <t>http://www.bkb.co.jp</t>
  </si>
  <si>
    <t>ビスタシステムズ株式会社</t>
    <phoneticPr fontId="36"/>
  </si>
  <si>
    <t>ヒトツウ商事株式会社</t>
    <phoneticPr fontId="36"/>
  </si>
  <si>
    <t>http://www.hitotsu-cs.com/profile.html</t>
  </si>
  <si>
    <t>ファーストデータ　株式会社</t>
    <phoneticPr fontId="36"/>
  </si>
  <si>
    <t>600万</t>
  </si>
  <si>
    <t>ファーストデータ株式会社</t>
    <phoneticPr fontId="36"/>
  </si>
  <si>
    <t>http://www.firstdata-tokyo.com/profile/index.html</t>
  </si>
  <si>
    <t>ファイナンシャルテクノロジー株式会社</t>
    <phoneticPr fontId="36"/>
  </si>
  <si>
    <t>プライドソフト株式会社</t>
    <phoneticPr fontId="36"/>
  </si>
  <si>
    <t>http://www.inonesoft.com/</t>
  </si>
  <si>
    <t>プラン.ネット株式会社</t>
    <phoneticPr fontId="36"/>
  </si>
  <si>
    <t>5000万</t>
  </si>
  <si>
    <t>http://www.pla.co.jp</t>
  </si>
  <si>
    <t>ブルームシステムズ株式会社</t>
    <phoneticPr fontId="36"/>
  </si>
  <si>
    <t>東京都小平市</t>
  </si>
  <si>
    <t>ベース株式会社</t>
    <phoneticPr fontId="36"/>
  </si>
  <si>
    <t>2億6,966万</t>
  </si>
  <si>
    <t>http://www.basenet.co.jp/profile</t>
  </si>
  <si>
    <t>20800万</t>
  </si>
  <si>
    <t>ポピュラーソフト株式会社</t>
    <phoneticPr fontId="36"/>
  </si>
  <si>
    <t>http://www.popular-soft.com/jp/outline.htm</t>
  </si>
  <si>
    <t>2500万</t>
  </si>
  <si>
    <t>メガゾーン.インフォメーション株式会社</t>
    <phoneticPr fontId="36"/>
  </si>
  <si>
    <t>神奈川県平塚市</t>
  </si>
  <si>
    <t>http://www.mzi.co.jp</t>
  </si>
  <si>
    <t>メタテック株式会社</t>
    <phoneticPr fontId="36"/>
  </si>
  <si>
    <t>http://www.metatec.co.jp/</t>
  </si>
  <si>
    <t>ヤマハシステム株式会社</t>
    <phoneticPr fontId="36"/>
  </si>
  <si>
    <t>http://www.yamaha-s.co.jp/profile.htm</t>
  </si>
  <si>
    <t>ユーシーアイ(聯創国際)</t>
    <phoneticPr fontId="36"/>
  </si>
  <si>
    <t>3000万</t>
  </si>
  <si>
    <t>http://www.ucinet.co.jp/uci--introduce.htm</t>
  </si>
  <si>
    <t>ユニ.フレックス株式会社</t>
    <phoneticPr fontId="36"/>
  </si>
  <si>
    <t>http://www.uni-flex.co.jp/overview.htm</t>
  </si>
  <si>
    <t>ユニバース株式会社</t>
    <phoneticPr fontId="36"/>
  </si>
  <si>
    <t>3,000万</t>
  </si>
  <si>
    <t>ライオンマップ株式会社</t>
    <phoneticPr fontId="36"/>
  </si>
  <si>
    <t>700万</t>
  </si>
  <si>
    <t>http://www.lionmap.co.jp/</t>
  </si>
  <si>
    <t>リアルシス株式会社</t>
    <phoneticPr fontId="36"/>
  </si>
  <si>
    <t>http://www.realsys.co.jp/jp/info.html</t>
  </si>
  <si>
    <t>リーディング株式会社</t>
    <phoneticPr fontId="36"/>
  </si>
  <si>
    <t>http://www.leading-net.co.jp/leading.html</t>
  </si>
  <si>
    <t>リクルーティング.パートナーズ株式会社</t>
    <phoneticPr fontId="36"/>
  </si>
  <si>
    <t>HRTech</t>
    <phoneticPr fontId="2" type="noConversion"/>
  </si>
  <si>
    <t>リクルーティング.パートナーズ株式会社は株式会社リクルートの九州地区における事業パートナーとしてHRM（ヒューマンリソースマネジメント）領域のあらゆる課題に対し、採用.人材開発.組織活性などの人材ソリューション</t>
  </si>
  <si>
    <t>亜星システム（有）</t>
    <phoneticPr fontId="36"/>
  </si>
  <si>
    <t>980万</t>
  </si>
  <si>
    <t>http://www.ajiastar.com/president.html</t>
  </si>
  <si>
    <t>亜星システム株式会社</t>
    <phoneticPr fontId="36"/>
  </si>
  <si>
    <t>千葉県松戸市</t>
  </si>
  <si>
    <t>楽信株式会社</t>
    <phoneticPr fontId="36"/>
  </si>
  <si>
    <t>http://www.rakusin.jp/</t>
  </si>
  <si>
    <t>株式サンゾーン</t>
    <phoneticPr fontId="36"/>
  </si>
  <si>
    <t>http://www.chinasunzone.com/j-gsgy.jsp</t>
  </si>
  <si>
    <t>株式ニューソリューションズ</t>
    <phoneticPr fontId="36"/>
  </si>
  <si>
    <t>http://www.neso.co.jp</t>
  </si>
  <si>
    <t>株式会社 CJaK</t>
    <phoneticPr fontId="36"/>
  </si>
  <si>
    <t>http://www.cjak.co.jp/</t>
  </si>
  <si>
    <t>株式会社 GKT</t>
    <phoneticPr fontId="36"/>
  </si>
  <si>
    <t>5,000万</t>
  </si>
  <si>
    <t>株式会社 JCソフト</t>
    <phoneticPr fontId="36"/>
  </si>
  <si>
    <t>株式会社　アイ.ティー.ビー</t>
    <phoneticPr fontId="36"/>
  </si>
  <si>
    <t>株式会社 アイディア （ＩＤＥＡ）</t>
    <phoneticPr fontId="36"/>
  </si>
  <si>
    <t>株式会社　イートリニティ</t>
    <phoneticPr fontId="36"/>
  </si>
  <si>
    <t>東京都北区</t>
  </si>
  <si>
    <t>http://www.etrinity.co.jp/cppr.html</t>
  </si>
  <si>
    <t>株式会社 ヴィガー</t>
    <phoneticPr fontId="36"/>
  </si>
  <si>
    <t>http://www.vigour.co.jp/</t>
  </si>
  <si>
    <t>株式会社　ウィクレソフト・ジャパン</t>
    <phoneticPr fontId="36"/>
  </si>
  <si>
    <t>株式会社 ウェイン</t>
    <phoneticPr fontId="36"/>
  </si>
  <si>
    <t>http://www.wain.co.jp/whp_jp/src/whp_top_page.html</t>
  </si>
  <si>
    <t>株式会社　エー.シー.ダブリュ</t>
    <phoneticPr fontId="36"/>
  </si>
  <si>
    <t>東京都中野区</t>
  </si>
  <si>
    <t>株式会社 ゼニス</t>
    <phoneticPr fontId="36"/>
  </si>
  <si>
    <t>3,900万</t>
  </si>
  <si>
    <t>株式会社　セネット</t>
    <phoneticPr fontId="36"/>
  </si>
  <si>
    <t>株式会社 ディー.トレンド.ジャパン</t>
    <phoneticPr fontId="36"/>
  </si>
  <si>
    <t>株式会社　ティーアールイー</t>
    <phoneticPr fontId="36"/>
  </si>
  <si>
    <t>福岡県福岡市</t>
  </si>
  <si>
    <t>株式会社　テイクス</t>
    <phoneticPr fontId="33" type="noConversion"/>
  </si>
  <si>
    <t>株式会社　テンダ</t>
    <phoneticPr fontId="36"/>
  </si>
  <si>
    <t>株式会社　トレックス</t>
    <phoneticPr fontId="36"/>
  </si>
  <si>
    <t>株式会社 ネットコム</t>
    <phoneticPr fontId="36"/>
  </si>
  <si>
    <t>http://www.netcome.co.jp/intrdoct.htm</t>
  </si>
  <si>
    <t>株式会社 ノーステクノロジー</t>
    <phoneticPr fontId="36"/>
  </si>
  <si>
    <t>株式会社　ビー.エス.ピー</t>
    <phoneticPr fontId="36"/>
  </si>
  <si>
    <t>株式会社 ピー.エス.ビー</t>
    <phoneticPr fontId="36"/>
  </si>
  <si>
    <t>株式会社 ビー.エヌ.アイ</t>
    <phoneticPr fontId="36"/>
  </si>
  <si>
    <t>9300万</t>
  </si>
  <si>
    <t>http://www.bnis.co.jp/</t>
    <phoneticPr fontId="3"/>
  </si>
  <si>
    <t>株式会社 ファステクノロジー</t>
    <phoneticPr fontId="36"/>
  </si>
  <si>
    <t>1,350万</t>
  </si>
  <si>
    <t>株式会社 フォービス</t>
    <phoneticPr fontId="3"/>
  </si>
  <si>
    <t>株式会社 フォービス</t>
    <phoneticPr fontId="36"/>
  </si>
  <si>
    <t xml:space="preserve">株式会社 フォービス </t>
    <phoneticPr fontId="36"/>
  </si>
  <si>
    <t>http://forbis.jp/</t>
    <phoneticPr fontId="36"/>
  </si>
  <si>
    <t>株式会社　ホウヨク</t>
    <phoneticPr fontId="36"/>
  </si>
  <si>
    <t>1,175万</t>
  </si>
  <si>
    <t>株式会社 マルチテクノロジー</t>
    <phoneticPr fontId="36"/>
  </si>
  <si>
    <t>4,950万</t>
  </si>
  <si>
    <t>株式会社 メディアテック</t>
    <phoneticPr fontId="36"/>
  </si>
  <si>
    <t>http://www.mediatec.co.jp/gaiyou.html</t>
  </si>
  <si>
    <t>株式会社 ワークボックス</t>
    <phoneticPr fontId="36"/>
  </si>
  <si>
    <t>http://www.wkbx.co.jp/gaiyou.htm</t>
  </si>
  <si>
    <t>株式会社 旭ソフト</t>
    <phoneticPr fontId="36"/>
  </si>
  <si>
    <t>http://www.asahisoft.com/</t>
  </si>
  <si>
    <t>株式会社　穎光社</t>
    <phoneticPr fontId="36"/>
  </si>
  <si>
    <t>埼玉県川口市</t>
  </si>
  <si>
    <t>株式会社　共達ネットワーク</t>
    <phoneticPr fontId="36"/>
  </si>
  <si>
    <t>9,980万</t>
  </si>
  <si>
    <t>株式会社　三鋭システム</t>
    <phoneticPr fontId="36"/>
  </si>
  <si>
    <t>株式会社 上海互恵JAPAN</t>
    <phoneticPr fontId="36"/>
  </si>
  <si>
    <t>株式会社　新生システム</t>
    <phoneticPr fontId="36"/>
  </si>
  <si>
    <t>株式会社 天時情報システム</t>
    <phoneticPr fontId="3"/>
  </si>
  <si>
    <r>
      <t>3</t>
    </r>
    <r>
      <rPr>
        <sz val="11"/>
        <color rgb="FF333333"/>
        <rFont val="宋体"/>
        <family val="2"/>
        <charset val="134"/>
      </rPr>
      <t>,</t>
    </r>
    <r>
      <rPr>
        <sz val="11"/>
        <color rgb="FF333333"/>
        <rFont val="ＭＳ Ｐゴシック"/>
        <family val="2"/>
        <charset val="134"/>
      </rPr>
      <t>000万</t>
    </r>
    <phoneticPr fontId="36"/>
  </si>
  <si>
    <t>http://www.ten-ji.com/profile.html</t>
  </si>
  <si>
    <t>株式会社　日中ソフト</t>
    <phoneticPr fontId="36"/>
  </si>
  <si>
    <t>5,500万</t>
  </si>
  <si>
    <t>株式会社　日本ＬＺＴ</t>
    <phoneticPr fontId="36"/>
  </si>
  <si>
    <t>株式会社　名川ネットワーク</t>
    <phoneticPr fontId="36"/>
  </si>
  <si>
    <t>800万</t>
  </si>
  <si>
    <t>http://www.meisenjp.com/</t>
  </si>
  <si>
    <t>株式会社AOBO</t>
    <phoneticPr fontId="36"/>
  </si>
  <si>
    <t>株式会社E.Safenet</t>
    <phoneticPr fontId="36"/>
  </si>
  <si>
    <t>http://www.esafenet.co.jp/company/profile/index.html</t>
  </si>
  <si>
    <t>株式会社ElitechIN</t>
    <phoneticPr fontId="33" type="noConversion"/>
  </si>
  <si>
    <t>遅　春嫣</t>
    <phoneticPr fontId="33" type="noConversion"/>
  </si>
  <si>
    <t>http://elitechin.com</t>
    <phoneticPr fontId="33" type="noConversion"/>
  </si>
  <si>
    <t>株式会社Everforth</t>
    <phoneticPr fontId="36"/>
  </si>
  <si>
    <t>https://everforth.co.jp</t>
    <phoneticPr fontId="36"/>
  </si>
  <si>
    <t>株式会社eビジネスソリューション</t>
    <phoneticPr fontId="36"/>
  </si>
  <si>
    <t>http://www.ebskk.com</t>
  </si>
  <si>
    <t xml:space="preserve">株式会社ＧＩＯテクノロジーズ </t>
    <phoneticPr fontId="36"/>
  </si>
  <si>
    <t>http://gio-tech.jp/</t>
    <phoneticPr fontId="36"/>
  </si>
  <si>
    <t>株式会社ＧＫＴ</t>
    <phoneticPr fontId="36"/>
  </si>
  <si>
    <t>2100万</t>
  </si>
  <si>
    <t>http://www.gkt.co.jp/</t>
  </si>
  <si>
    <t>株式会社HAB&amp;Co.</t>
    <phoneticPr fontId="2" type="noConversion"/>
  </si>
  <si>
    <t>自社サービスである「SHIRAHA」は、専門知識不要、最短５分で採用サイトが作れるサービスです。
企業ごとに千差万別である"業種"や"採用したい人物像"などをAIが解析。最適なコンテンツを構成.サジェストすることで、求職者の方に伝わる本格的なサイトを手軽に作ることができます。
https://shiraha.jp</t>
  </si>
  <si>
    <t xml:space="preserve">
https://hab-co.jp</t>
    <phoneticPr fontId="2" type="noConversion"/>
  </si>
  <si>
    <t>株式会社HRBrain</t>
    <phoneticPr fontId="2" type="noConversion"/>
  </si>
  <si>
    <t>人事評価クラウドサービスHRBrain</t>
    <phoneticPr fontId="2" type="noConversion"/>
  </si>
  <si>
    <t>https://www.hrbrain.co.jp</t>
    <phoneticPr fontId="2" type="noConversion"/>
  </si>
  <si>
    <t>株式会社ＪＣＤソリューション</t>
    <phoneticPr fontId="36"/>
  </si>
  <si>
    <t>株式会社JCソフト</t>
    <phoneticPr fontId="36"/>
  </si>
  <si>
    <t>http://jcsoft.jp/compony.html</t>
  </si>
  <si>
    <t>株式会社Ｍｏｂｉｌｉｔｙ　Ｔｅｃｈｎｏｌｏｇｉｅｓ</t>
    <phoneticPr fontId="36"/>
  </si>
  <si>
    <t>https://mo-t.com/</t>
    <phoneticPr fontId="36"/>
  </si>
  <si>
    <t>株式会社MyRefer</t>
    <phoneticPr fontId="2" type="noConversion"/>
  </si>
  <si>
    <t>&lt; リファラル採用とは？ &gt;
社員の知人や友人を紹介.推薦してもらい、選考をする採用手法のことです。米国では、過去10年間で最も採用者数が多い採用経路になっております。
MyReferはこれまで国内500社以上のお客様にご活用頂き、リファラル黎明期から日本のリファラル採用市場を作ってきました。
現在では国内最大級の採用ツールとなっており、今後も日本のリファラル市場をリードします。</t>
  </si>
  <si>
    <t xml:space="preserve">
https://myrefer.co.jp/company</t>
    <phoneticPr fontId="2" type="noConversion"/>
  </si>
  <si>
    <t>株式会社SJI</t>
    <phoneticPr fontId="36"/>
  </si>
  <si>
    <t>28億4,360万</t>
  </si>
  <si>
    <t>牛 雨</t>
  </si>
  <si>
    <t>http://www.sji-inc.jp</t>
  </si>
  <si>
    <t>株式会社SJI</t>
    <phoneticPr fontId="33" type="noConversion"/>
  </si>
  <si>
    <t>102325.1万</t>
  </si>
  <si>
    <t>株式会社SmartHR</t>
    <phoneticPr fontId="2" type="noConversion"/>
  </si>
  <si>
    <t>社会保険.雇用保険の手続きを自動化するクラウド労務ソフト「SmartHR」を開発しています。</t>
  </si>
  <si>
    <t>https://smarthr.co.jp</t>
    <phoneticPr fontId="2" type="noConversion"/>
  </si>
  <si>
    <t>株式会社アイ.エー.アイ</t>
    <phoneticPr fontId="36"/>
  </si>
  <si>
    <t>株式会社アイ.エム.アイ</t>
    <phoneticPr fontId="36"/>
  </si>
  <si>
    <t>http://www.imi-co.com</t>
  </si>
  <si>
    <t>株式会社アイ.プライド</t>
    <phoneticPr fontId="36"/>
  </si>
  <si>
    <t>http://www.ipride.co.jp/contents/outline/info.php</t>
  </si>
  <si>
    <t>2000万</t>
  </si>
  <si>
    <t>株式会社アイヴィス東方システム</t>
    <phoneticPr fontId="36"/>
  </si>
  <si>
    <t>株式会社アイジック</t>
    <phoneticPr fontId="36"/>
  </si>
  <si>
    <t>http://www.ijic.co.jp</t>
  </si>
  <si>
    <t>株式会社アイディア（ＩＤＥＡ）</t>
    <phoneticPr fontId="36"/>
  </si>
  <si>
    <t>http://www.ideajp.com</t>
  </si>
  <si>
    <t>株式会社アイディーエス</t>
    <phoneticPr fontId="36"/>
  </si>
  <si>
    <t>http://www.ids.co.jp</t>
    <phoneticPr fontId="36"/>
  </si>
  <si>
    <t>株式会社アイビ.アンド.シー</t>
    <phoneticPr fontId="36"/>
  </si>
  <si>
    <t>http://www.ibc-grp.com</t>
  </si>
  <si>
    <t>株式会社アクティブソフト</t>
    <phoneticPr fontId="36"/>
  </si>
  <si>
    <t>http://www.active-soft.co.jp/company/index.html</t>
  </si>
  <si>
    <t>株式会社アジアネット</t>
    <phoneticPr fontId="36"/>
  </si>
  <si>
    <t>株式会社アチーボ.ジャパン</t>
    <phoneticPr fontId="36"/>
  </si>
  <si>
    <t>株式会社アットワン</t>
    <phoneticPr fontId="36"/>
  </si>
  <si>
    <t>徳島県徳島市</t>
  </si>
  <si>
    <t>株式会社アッパーフィールド</t>
    <phoneticPr fontId="36"/>
  </si>
  <si>
    <t>http://www.upperfield.com/</t>
  </si>
  <si>
    <t>株式会社アトムシステム</t>
    <phoneticPr fontId="36"/>
  </si>
  <si>
    <t>http://www.atomsystem.co.jp/</t>
    <phoneticPr fontId="36"/>
  </si>
  <si>
    <t>株式会社アルク</t>
    <phoneticPr fontId="36"/>
  </si>
  <si>
    <t>株式会社アルマス</t>
    <phoneticPr fontId="36"/>
  </si>
  <si>
    <t>1,280万</t>
  </si>
  <si>
    <t>株式会社アンスール</t>
    <phoneticPr fontId="33" type="noConversion"/>
  </si>
  <si>
    <t>楊 旺</t>
    <phoneticPr fontId="33" type="noConversion"/>
  </si>
  <si>
    <t>http://www.ansurs.co.jp</t>
    <phoneticPr fontId="33" type="noConversion"/>
  </si>
  <si>
    <t>株式会社イーターミナル</t>
    <phoneticPr fontId="36"/>
  </si>
  <si>
    <t>http://www.e-tkk.com/</t>
  </si>
  <si>
    <t>株式会社イーチャイナ</t>
    <phoneticPr fontId="36"/>
  </si>
  <si>
    <t>http://www.e-china.co.jp/company/company/index.html</t>
  </si>
  <si>
    <t>株式会社イーランド</t>
    <phoneticPr fontId="36"/>
  </si>
  <si>
    <t>3,200万</t>
  </si>
  <si>
    <t>http://www.eland-g.co.jp/</t>
  </si>
  <si>
    <t>株式会社インジェスター</t>
    <phoneticPr fontId="36"/>
  </si>
  <si>
    <t>3300万</t>
  </si>
  <si>
    <t>http://www.injestar.co.jp/company/index.html</t>
  </si>
  <si>
    <t>株式会社インスパージャパン</t>
    <phoneticPr fontId="36"/>
  </si>
  <si>
    <t>株式会社インスパージャパン(浪潮)</t>
    <phoneticPr fontId="36"/>
  </si>
  <si>
    <t>http://jp.inspurworld.com/About/About.asp</t>
  </si>
  <si>
    <t>株式会社インフォブリッジ</t>
    <phoneticPr fontId="36"/>
  </si>
  <si>
    <t>http://www.infobridge.jp/</t>
  </si>
  <si>
    <t>株式会社ヴィー.エス. シー. ジャパン</t>
    <phoneticPr fontId="36"/>
  </si>
  <si>
    <t>株式会社ヴィー.エス.シー.ジャパン</t>
    <phoneticPr fontId="36"/>
  </si>
  <si>
    <t>http://www.vsc.co.jp/profile.htm</t>
  </si>
  <si>
    <t>株式会社ヴィンクス</t>
    <phoneticPr fontId="36"/>
  </si>
  <si>
    <t>https://www.vinx.co.jp/</t>
    <phoneticPr fontId="36"/>
  </si>
  <si>
    <t>株式会社ウェイン</t>
    <phoneticPr fontId="36"/>
  </si>
  <si>
    <t>http://www.wain.co.jp</t>
  </si>
  <si>
    <t>株式会社エイト</t>
    <phoneticPr fontId="2" type="noConversion"/>
  </si>
  <si>
    <t>人と企業のミスマッチを改善し、人と企業のプラットフォームから衣（Eコマース）、食（カフェ、コワーキングスペース）、住（空き家、Iotスマートホーム）を絡めた多角的サービスを展開し、時間や場所に捉われず一人ひとりが輝く社会を創り出すという経営理念の基、健全な企業活動を通じて社会に貢献していくことが私たちの使命であると考えています。</t>
    <phoneticPr fontId="2" type="noConversion"/>
  </si>
  <si>
    <t>https://www.8grp.co.jp</t>
    <phoneticPr fontId="2" type="noConversion"/>
  </si>
  <si>
    <t>株式会社エウン</t>
    <phoneticPr fontId="36"/>
  </si>
  <si>
    <t>1,300万</t>
  </si>
  <si>
    <t>http://www.ewn.co.jp/JP/jpcompany1.html</t>
  </si>
  <si>
    <t>株式会社エー.シー.ダブリュ</t>
    <phoneticPr fontId="36"/>
  </si>
  <si>
    <t>http://www.acw.co.jp/</t>
  </si>
  <si>
    <t>株式会社エーエヌエス</t>
    <phoneticPr fontId="36"/>
  </si>
  <si>
    <t>http://www.anscom.co.jp</t>
  </si>
  <si>
    <t>株式会社エデルタ</t>
    <phoneticPr fontId="36"/>
  </si>
  <si>
    <t>株式会社エム.ネット</t>
    <phoneticPr fontId="36"/>
  </si>
  <si>
    <t>http://www.kk-mnet.co.jp/</t>
  </si>
  <si>
    <t>株式会社エムエスケイ</t>
    <phoneticPr fontId="36"/>
  </si>
  <si>
    <t>1億935万</t>
  </si>
  <si>
    <t>株式会社オールトップ</t>
    <phoneticPr fontId="36"/>
  </si>
  <si>
    <t>http://www.alltop.co.jp/kaisyaani.html</t>
  </si>
  <si>
    <t>株式会社オプティメディア</t>
    <phoneticPr fontId="36"/>
  </si>
  <si>
    <t>http://www.optimedia.co.jp/</t>
  </si>
  <si>
    <t>株式会社オンリーインフォテック</t>
    <phoneticPr fontId="36"/>
  </si>
  <si>
    <t>http://www.only-info.com/</t>
  </si>
  <si>
    <t>株式会社カオナビ</t>
    <phoneticPr fontId="2" type="noConversion"/>
  </si>
  <si>
    <t>https://corp.kaonavi.jp</t>
    <phoneticPr fontId="2" type="noConversion"/>
  </si>
  <si>
    <t>株式会社カナック</t>
    <phoneticPr fontId="36"/>
  </si>
  <si>
    <t>2億802万</t>
  </si>
  <si>
    <t>http://www.cannac.co.jp</t>
  </si>
  <si>
    <t>株式会社キノトロープ.フューチャープラン</t>
    <phoneticPr fontId="36"/>
  </si>
  <si>
    <t>http://www.k-futureplan.co.jp/company/outline/</t>
  </si>
  <si>
    <t>株式会社キューウェブ</t>
    <phoneticPr fontId="36"/>
  </si>
  <si>
    <t>http://qweb.co.jp</t>
  </si>
  <si>
    <t xml:space="preserve">株式会社クランタス </t>
    <phoneticPr fontId="36"/>
  </si>
  <si>
    <t>株式会社クルー</t>
    <phoneticPr fontId="36"/>
  </si>
  <si>
    <t>大阪市東住吉区</t>
  </si>
  <si>
    <t>http://www.crew.to/company/</t>
  </si>
  <si>
    <t>株式会社グローバル.アドバンテージ</t>
    <phoneticPr fontId="36"/>
  </si>
  <si>
    <t>http://www.e-glad.co.jp</t>
  </si>
  <si>
    <t>株式会社ケイ開発</t>
    <phoneticPr fontId="36"/>
  </si>
  <si>
    <t>1,050万</t>
  </si>
  <si>
    <t>株式会社ケネス</t>
    <phoneticPr fontId="36"/>
  </si>
  <si>
    <t>http://www.kenes.co.jp/</t>
  </si>
  <si>
    <t>株式会社ゴールデンソフト</t>
    <phoneticPr fontId="36"/>
  </si>
  <si>
    <t>www.goldensoft.co.jp</t>
  </si>
  <si>
    <t xml:space="preserve">株式会社コムコシステム </t>
    <phoneticPr fontId="36"/>
  </si>
  <si>
    <t>https://www.comcosystem.co.jp</t>
    <phoneticPr fontId="36"/>
  </si>
  <si>
    <t>株式会社サイダス</t>
    <phoneticPr fontId="2" type="noConversion"/>
  </si>
  <si>
    <t>サイダスはこれまで人材管理分析(効果的な人材配置計画や目標管理、評価情報の管理)のクラウドサービスを提供しています。
製品は人材情報管理のための「Profile Manager」、9BOXやHRポートフォリオなどの人材分析サービス「Performance Cloud」、目標管理「MBO Cloud」などの専門性の高いアプリケーション群を提供しています。</t>
    <phoneticPr fontId="2" type="noConversion"/>
  </si>
  <si>
    <t>https://www.cydas.com</t>
    <phoneticPr fontId="2" type="noConversion"/>
  </si>
  <si>
    <t>株式会社サイリン</t>
    <phoneticPr fontId="36"/>
  </si>
  <si>
    <t>http://www.cyaline.com/jp/</t>
  </si>
  <si>
    <t>株式会社サニーアン</t>
    <phoneticPr fontId="36"/>
  </si>
  <si>
    <t>株式会社シー.ピー.エス</t>
    <phoneticPr fontId="36"/>
  </si>
  <si>
    <t>http://www.cp-system.co.jp/corporate.htm#annai</t>
  </si>
  <si>
    <t>株式会社シーアイアイ</t>
    <phoneticPr fontId="36"/>
  </si>
  <si>
    <t>http://www.comporation-internet-information.co.jp/</t>
  </si>
  <si>
    <t>株式会社ジーエス</t>
    <phoneticPr fontId="36"/>
  </si>
  <si>
    <t>3,700万</t>
  </si>
  <si>
    <t>株式会社シーエルエー.テクノロジー</t>
    <phoneticPr fontId="36"/>
  </si>
  <si>
    <t>http://www.cla-technology.jp/corp.htm</t>
  </si>
  <si>
    <t>株式会社ジェイシーネット</t>
    <phoneticPr fontId="36"/>
  </si>
  <si>
    <t>http://www.jc-net.co.jp</t>
  </si>
  <si>
    <t>株式会社ジェー.シー.ディ</t>
    <phoneticPr fontId="36"/>
  </si>
  <si>
    <t>徐志敏</t>
  </si>
  <si>
    <t>http://www.jcd.co.jp</t>
  </si>
  <si>
    <t>88000万</t>
  </si>
  <si>
    <t>株式会社ジオトレーディング</t>
    <phoneticPr fontId="36"/>
  </si>
  <si>
    <t>株式会社システムクリエーション</t>
    <phoneticPr fontId="36"/>
  </si>
  <si>
    <t>1,800万</t>
  </si>
  <si>
    <t>株式会社システム工房</t>
    <phoneticPr fontId="36"/>
  </si>
  <si>
    <t>http://www.syskb.co.jp</t>
  </si>
  <si>
    <t>https://www.sysj.co.jp</t>
    <phoneticPr fontId="36"/>
  </si>
  <si>
    <t>株式会社シャインソフト</t>
    <phoneticPr fontId="36"/>
  </si>
  <si>
    <t>http://www.shinesoft.co.jp/company.html</t>
  </si>
  <si>
    <t>株式会社ジャンガ.テック</t>
    <phoneticPr fontId="36"/>
  </si>
  <si>
    <t>http://www.janga.co.jp/info/info.html</t>
  </si>
  <si>
    <t>株式会社ゼニス</t>
    <phoneticPr fontId="36"/>
  </si>
  <si>
    <t>http://www.zenith-j.com/</t>
  </si>
  <si>
    <t>株式会社ソフェスター</t>
    <phoneticPr fontId="36"/>
  </si>
  <si>
    <t>http://www.sofestar.com/jp/index.php</t>
  </si>
  <si>
    <t>株式会社ソフトロード</t>
    <phoneticPr fontId="36"/>
  </si>
  <si>
    <t>3,760万</t>
  </si>
  <si>
    <t>http://www.softroad.co.jp</t>
  </si>
  <si>
    <t>株式会社ソフトワイズ</t>
    <phoneticPr fontId="36"/>
  </si>
  <si>
    <t>4,600万</t>
  </si>
  <si>
    <t>http://www.softwise.co.jp/</t>
  </si>
  <si>
    <t>株式会社ソリューション.ワン</t>
    <phoneticPr fontId="36"/>
  </si>
  <si>
    <t>http://www.solution-one.co.jp/company.htm</t>
  </si>
  <si>
    <t>株式会社ダイリックス</t>
    <phoneticPr fontId="36"/>
  </si>
  <si>
    <t>15050万</t>
  </si>
  <si>
    <t>http://www.dairix-net.co.jp/jp/index.html</t>
  </si>
  <si>
    <t>株式会社ディア.ワークス</t>
    <phoneticPr fontId="36"/>
  </si>
  <si>
    <t>特１３－３０５９３１</t>
    <phoneticPr fontId="33" type="noConversion"/>
  </si>
  <si>
    <t>http://www.dearworks.co.jp</t>
    <phoneticPr fontId="33" type="noConversion"/>
  </si>
  <si>
    <t>株式会社ディー.トレンド.ジャパン</t>
    <phoneticPr fontId="36"/>
  </si>
  <si>
    <t>http://www.dtrend-jpn.com/company.html</t>
  </si>
  <si>
    <t>株式会社ティーアールイー</t>
    <phoneticPr fontId="36"/>
  </si>
  <si>
    <t>10000万</t>
  </si>
  <si>
    <t>http://www.tre-inc.com/</t>
  </si>
  <si>
    <t>株式会社ディープブルー</t>
    <phoneticPr fontId="36"/>
  </si>
  <si>
    <t>株式会社テイクス</t>
    <phoneticPr fontId="36"/>
  </si>
  <si>
    <t>株式会社ティティネット</t>
    <phoneticPr fontId="36"/>
  </si>
  <si>
    <t>http://www.ttnet.co.jp/</t>
  </si>
  <si>
    <t>株式会社デジタルハーツ</t>
    <phoneticPr fontId="36"/>
  </si>
  <si>
    <t xml:space="preserve"> 	人材戦略推進部　採用グループ</t>
    <phoneticPr fontId="36"/>
  </si>
  <si>
    <t>dh_recruit@digitalhearts.com</t>
    <phoneticPr fontId="36"/>
  </si>
  <si>
    <t>https://www.digitalhearts.com</t>
    <phoneticPr fontId="36"/>
  </si>
  <si>
    <t>株式会社テック.リンク</t>
    <phoneticPr fontId="36"/>
  </si>
  <si>
    <t>2,100万</t>
  </si>
  <si>
    <t>http://techlink.co.jp/</t>
  </si>
  <si>
    <t>株式会社テンダ</t>
    <phoneticPr fontId="36"/>
  </si>
  <si>
    <t>http://www.tenda.co.jp/corp/index.html</t>
  </si>
  <si>
    <t>株式会社トレックス</t>
    <phoneticPr fontId="36"/>
  </si>
  <si>
    <t>三浦　優佳</t>
  </si>
  <si>
    <t>saiyo@trex-group.com</t>
  </si>
  <si>
    <t>https://www.trex-group.com/</t>
    <phoneticPr fontId="33" type="noConversion"/>
  </si>
  <si>
    <t>株式会社ネットオン</t>
    <phoneticPr fontId="2" type="noConversion"/>
  </si>
  <si>
    <t>ネットオンは、求人広告に頼らず、自社ホームページでの採用を成功させるためのコンサルティングとクラウド型採用マーケティングツール「採用係長」の運営を行っております。</t>
    <phoneticPr fontId="2" type="noConversion"/>
  </si>
  <si>
    <t>http://www.neton.co.jp</t>
    <phoneticPr fontId="2" type="noConversion"/>
  </si>
  <si>
    <t>株式会社ネットスターソフトウェア</t>
    <phoneticPr fontId="36"/>
  </si>
  <si>
    <t>http://www.net-star.co.jp/AboutUs.html</t>
  </si>
  <si>
    <t>株式会社ネットビーンズ</t>
    <phoneticPr fontId="36"/>
  </si>
  <si>
    <t>http://www.netbeans.co.jp/j/com_profile.htm</t>
  </si>
  <si>
    <t>株式会社ノーステクノロジー</t>
    <phoneticPr fontId="36"/>
  </si>
  <si>
    <t>http://www.north-t.co.jp/</t>
  </si>
  <si>
    <t>株式会社パナイテック</t>
    <phoneticPr fontId="36"/>
  </si>
  <si>
    <t>株式会社パワーウェー</t>
    <phoneticPr fontId="33" type="noConversion"/>
  </si>
  <si>
    <t>株式会社パワーユニオン</t>
    <phoneticPr fontId="36"/>
  </si>
  <si>
    <t>http://www.powerunion.co.jp/</t>
  </si>
  <si>
    <t>株式会社ピー.エス.ビー</t>
    <phoneticPr fontId="36"/>
  </si>
  <si>
    <t>http://www.psb.co.jp</t>
  </si>
  <si>
    <t>株式会社ビー.エヌ.アイ.システムズ</t>
    <phoneticPr fontId="36"/>
  </si>
  <si>
    <t>9,300万</t>
  </si>
  <si>
    <t>株式会社ビービーエックス.ジャパン</t>
    <phoneticPr fontId="36"/>
  </si>
  <si>
    <t>http://www.bbx-japan.com/com.html</t>
  </si>
  <si>
    <t>株式会社ヒカリソフトウェアシステムズ</t>
    <phoneticPr fontId="36"/>
  </si>
  <si>
    <t>東京都葛飾区</t>
  </si>
  <si>
    <t>株式会社ビジョンネット</t>
    <phoneticPr fontId="36"/>
  </si>
  <si>
    <t>http://www.vnjp.net/cncjapan_Live/company_info.html</t>
  </si>
  <si>
    <t>株式会社ビッグハンズ</t>
    <phoneticPr fontId="36"/>
  </si>
  <si>
    <t>http://www.bighandz.co.jp/about/</t>
  </si>
  <si>
    <t>株式会社ビットストロング</t>
    <phoneticPr fontId="36"/>
  </si>
  <si>
    <t>http://www.bitstrong.com/</t>
  </si>
  <si>
    <t>株式会社ビヨンドソフト.ジャパン</t>
    <phoneticPr fontId="36"/>
  </si>
  <si>
    <t>http://www.beyondsoft.com/jp/aboutus-2.htm</t>
  </si>
  <si>
    <t>株式会社ヒロテック</t>
    <phoneticPr fontId="36"/>
  </si>
  <si>
    <t>株式会社ファステクノロジー</t>
    <phoneticPr fontId="36"/>
  </si>
  <si>
    <t>1350万</t>
  </si>
  <si>
    <t>http://www.phastec.com/home.html</t>
  </si>
  <si>
    <t>株式会社ファミリーマート</t>
    <phoneticPr fontId="36"/>
  </si>
  <si>
    <t>株式会社フォーエス</t>
    <phoneticPr fontId="36"/>
  </si>
  <si>
    <t xml:space="preserve">株式会社ブライセン </t>
    <phoneticPr fontId="36"/>
  </si>
  <si>
    <t>https://www.brycen.co.jp/</t>
    <phoneticPr fontId="36"/>
  </si>
  <si>
    <t>株式会社プリモス</t>
    <phoneticPr fontId="36"/>
  </si>
  <si>
    <t>http://www.primos.co.jp</t>
  </si>
  <si>
    <t>株式会社ブルーネットジャパン</t>
    <phoneticPr fontId="36"/>
  </si>
  <si>
    <t>1,450万</t>
  </si>
  <si>
    <t>http://www.blue-net.co.jp/</t>
  </si>
  <si>
    <t>株式会社ベリサーブ</t>
    <phoneticPr fontId="36"/>
  </si>
  <si>
    <t>veriserve_saiyou@veriserve.co.jp</t>
    <phoneticPr fontId="36"/>
  </si>
  <si>
    <t>株式会社ベリルック.ドット.コム</t>
    <phoneticPr fontId="36"/>
  </si>
  <si>
    <t>http://www.verylook.com</t>
  </si>
  <si>
    <t>要英语</t>
    <phoneticPr fontId="36"/>
  </si>
  <si>
    <t>ベトナム</t>
    <phoneticPr fontId="36"/>
  </si>
  <si>
    <t>株式会社ポータルワン</t>
    <phoneticPr fontId="36"/>
  </si>
  <si>
    <t>http://www.portal-one.jp/</t>
  </si>
  <si>
    <t>株式会社ホットアティ</t>
    <phoneticPr fontId="36"/>
  </si>
  <si>
    <t>http://www.hotit.jp/company.html</t>
  </si>
  <si>
    <t>ミャンマー</t>
    <phoneticPr fontId="36"/>
  </si>
  <si>
    <t>株式会社マルチテクノロジー</t>
    <phoneticPr fontId="36"/>
  </si>
  <si>
    <t>4850万</t>
  </si>
  <si>
    <t>http://www.multi-tech.co.jp/company1.htm</t>
  </si>
  <si>
    <t>ベトナム
ミャンマー</t>
    <phoneticPr fontId="36"/>
  </si>
  <si>
    <t>株式会社メタルソフト</t>
    <phoneticPr fontId="36"/>
  </si>
  <si>
    <t>http://www.metalsoft.co.jp/</t>
  </si>
  <si>
    <t>株式会社ユーシーアイ(聯創国際)</t>
    <phoneticPr fontId="36"/>
  </si>
  <si>
    <t>株式会社リーダーソフト</t>
    <phoneticPr fontId="36"/>
  </si>
  <si>
    <t>http://www.leadersoft.co.jp/</t>
  </si>
  <si>
    <t>株式会社レジェンドソリューション</t>
    <phoneticPr fontId="36"/>
  </si>
  <si>
    <t>2,282万</t>
  </si>
  <si>
    <t>東京都東大和市</t>
  </si>
  <si>
    <t>http://www.legend-s.com/sub1_gyo.htm</t>
  </si>
  <si>
    <t>株式会社嘉通イーソリューションズ</t>
    <phoneticPr fontId="36"/>
  </si>
  <si>
    <t>http://www.kt-es.com/sub1.html</t>
  </si>
  <si>
    <t>株式会社華信コンピュータージャパン</t>
    <phoneticPr fontId="36"/>
  </si>
  <si>
    <t>1億2,000万</t>
  </si>
  <si>
    <t>http://www.jhcc.co.jp/company/</t>
  </si>
  <si>
    <t>株式会社共達ネットワーク</t>
    <phoneticPr fontId="36"/>
  </si>
  <si>
    <t>http://www.cncsys.co.jp/</t>
  </si>
  <si>
    <t>株式会社錦松テクノロジー</t>
    <phoneticPr fontId="36"/>
  </si>
  <si>
    <t>株式会社秋葉原</t>
    <phoneticPr fontId="36"/>
  </si>
  <si>
    <t>http://aitendo.sakura.ne.jp/akiba/corporateinfo.html</t>
  </si>
  <si>
    <t>株式会社新生システム</t>
    <phoneticPr fontId="36"/>
  </si>
  <si>
    <t>http://www.ss-system.com</t>
  </si>
  <si>
    <t>株式会社卓為</t>
    <phoneticPr fontId="36"/>
  </si>
  <si>
    <t>http://www.takuisoft.com/data.html</t>
  </si>
  <si>
    <t>株式会社知明システムサービス</t>
    <phoneticPr fontId="36"/>
  </si>
  <si>
    <t>http://www.lucidimatic.com/</t>
  </si>
  <si>
    <t>株式会社中日ネットワーク</t>
    <phoneticPr fontId="36"/>
  </si>
  <si>
    <t>http://www.cj-net.com/profile.html</t>
  </si>
  <si>
    <t>株式会社東忠</t>
    <phoneticPr fontId="36"/>
  </si>
  <si>
    <t>12000万</t>
  </si>
  <si>
    <t>http://www.totyu.com/</t>
  </si>
  <si>
    <t>株式会社東忠ソフトウェア</t>
    <phoneticPr fontId="36"/>
  </si>
  <si>
    <t>2億9,020万</t>
  </si>
  <si>
    <t>株式会社日中ソフト</t>
    <phoneticPr fontId="36"/>
  </si>
  <si>
    <t>5500万</t>
  </si>
  <si>
    <t>http://www.ncsoft.ne.jp/aboutus.htm</t>
  </si>
  <si>
    <t>株式会社日本リンクネット</t>
    <phoneticPr fontId="36"/>
  </si>
  <si>
    <t>http://www.nlinknet.com/</t>
  </si>
  <si>
    <t>株式会社日本南天</t>
    <phoneticPr fontId="36"/>
  </si>
  <si>
    <t>株式会社北京大学青鳥システム.ジャパン</t>
    <phoneticPr fontId="36"/>
  </si>
  <si>
    <t>3750万</t>
  </si>
  <si>
    <t>http://www.jadebird.co.jp/outline/index.html</t>
  </si>
  <si>
    <t>株式会社北京大学青鳥天公システム.ジャパン</t>
    <phoneticPr fontId="36"/>
  </si>
  <si>
    <t>3,750万</t>
  </si>
  <si>
    <t>株式会社名川ネットワーク</t>
    <phoneticPr fontId="36"/>
  </si>
  <si>
    <t>張　伝炎</t>
  </si>
  <si>
    <t>jimu@meisenjp.com</t>
  </si>
  <si>
    <t>http://www.meisenjp.com</t>
  </si>
  <si>
    <t>株式会社勇波ソフト</t>
    <phoneticPr fontId="36"/>
  </si>
  <si>
    <t>1100万</t>
  </si>
  <si>
    <t>http://www.yong-bo.com/gaiyou.htm</t>
  </si>
  <si>
    <t>株式会社凌佳システム</t>
    <phoneticPr fontId="36"/>
  </si>
  <si>
    <t>金陽ソフト株式会社</t>
    <phoneticPr fontId="36"/>
  </si>
  <si>
    <t>http://www.kinyou.co.jp/</t>
  </si>
  <si>
    <t>慧和株式会社</t>
    <phoneticPr fontId="36"/>
  </si>
  <si>
    <t>http://www.keiwajp.com/</t>
  </si>
  <si>
    <t>秀和システム</t>
    <phoneticPr fontId="3"/>
  </si>
  <si>
    <t>https://www.shuwasystem.co.jp/</t>
    <phoneticPr fontId="3"/>
  </si>
  <si>
    <t>上華総合開発株式会社</t>
    <phoneticPr fontId="36"/>
  </si>
  <si>
    <t>880万</t>
  </si>
  <si>
    <t>上華総合開発有限会社</t>
    <phoneticPr fontId="36"/>
  </si>
  <si>
    <t>http://www.jokask.com/Company.html</t>
  </si>
  <si>
    <t>誠和テクノロジー株式会社</t>
    <phoneticPr fontId="36"/>
  </si>
  <si>
    <t>http://www.swtech.jp/outline.html</t>
  </si>
  <si>
    <t>太極株式会社</t>
    <phoneticPr fontId="36"/>
  </si>
  <si>
    <t>http://www.universe-group.co.jp/company/index.html</t>
  </si>
  <si>
    <t>大業(ダイギョウ)株式会社</t>
    <phoneticPr fontId="36"/>
  </si>
  <si>
    <t>http://www.gbsoft.co.jp/</t>
  </si>
  <si>
    <t>中軟東京株式会社</t>
    <phoneticPr fontId="36"/>
  </si>
  <si>
    <t>http://www.chinasoft-tokyo.co.jp</t>
  </si>
  <si>
    <t>長城コンサルティング株式会社</t>
    <phoneticPr fontId="36"/>
  </si>
  <si>
    <t>4,310万</t>
  </si>
  <si>
    <t>http://www.chojo.co.jp/</t>
  </si>
  <si>
    <t>鶴祥システム 株式会社</t>
    <phoneticPr fontId="36"/>
  </si>
  <si>
    <t>http://www.trss.co.jp/incinfo/incinfo.php</t>
  </si>
  <si>
    <t>天龍システム株式会社</t>
    <phoneticPr fontId="36"/>
  </si>
  <si>
    <t>東京現代株式会社</t>
    <phoneticPr fontId="36"/>
  </si>
  <si>
    <t>東上株式会社</t>
    <phoneticPr fontId="36"/>
  </si>
  <si>
    <t>http://www.newjs.com</t>
  </si>
  <si>
    <t>東成ソフトウェア有限会社</t>
    <phoneticPr fontId="36"/>
  </si>
  <si>
    <t>東京都日野市</t>
  </si>
  <si>
    <t>http://www.tousei-soft.com/Introduction.htm</t>
  </si>
  <si>
    <t>東方技研株式会社</t>
    <phoneticPr fontId="36"/>
  </si>
  <si>
    <t>東方技研有限会社</t>
    <phoneticPr fontId="36"/>
  </si>
  <si>
    <t>http://www.orient-soft.com/</t>
  </si>
  <si>
    <t>日興ITベンチャー株式会社</t>
    <phoneticPr fontId="36"/>
  </si>
  <si>
    <t>http://www.nikkou-it.com</t>
  </si>
  <si>
    <t>日進テクノロジー株式会社</t>
    <phoneticPr fontId="36"/>
  </si>
  <si>
    <t>http://www.nissin-tech.co.jp/</t>
  </si>
  <si>
    <t>日中インフォシス株式会社</t>
    <phoneticPr fontId="36"/>
  </si>
  <si>
    <t>http://www.ncis-jp.com/</t>
  </si>
  <si>
    <t>日本アイボソフト有限会社</t>
    <phoneticPr fontId="36"/>
  </si>
  <si>
    <t>http://www.aibo.co.jp/</t>
  </si>
  <si>
    <t>日本スーパーマップ株式会社</t>
    <phoneticPr fontId="36"/>
  </si>
  <si>
    <t>1億5,150万</t>
  </si>
  <si>
    <t>http://www.supermap-japan.com/</t>
  </si>
  <si>
    <t>日本ワイドテクノロジーズ株式会社</t>
    <phoneticPr fontId="36"/>
  </si>
  <si>
    <t>1,100万</t>
  </si>
  <si>
    <t>http://www.nipponwide.com/</t>
  </si>
  <si>
    <t>日本光超株式会社</t>
    <phoneticPr fontId="36"/>
  </si>
  <si>
    <t>http://www.lspit.co.jp/jp/jianjie.html</t>
  </si>
  <si>
    <t>日本恒生ソフトウエア株式会社</t>
    <phoneticPr fontId="36"/>
  </si>
  <si>
    <t>3,550万</t>
  </si>
  <si>
    <t>http://www.hundsun.co.jp/</t>
  </si>
  <si>
    <t>日本獅龍株式会社</t>
    <phoneticPr fontId="36"/>
  </si>
  <si>
    <t>http://www.japan-snow.com/snow/gaiyou.html</t>
  </si>
  <si>
    <t>日本信和株式会社</t>
    <phoneticPr fontId="36"/>
  </si>
  <si>
    <t>1,260万</t>
  </si>
  <si>
    <t>http://www.sspring.co.jp</t>
  </si>
  <si>
    <t>日本新思ソフト株式会社</t>
    <phoneticPr fontId="36"/>
  </si>
  <si>
    <t>http://www.bis.com.cn/zpxx/download/intro.pdf</t>
  </si>
  <si>
    <t>日本紳軟テクノロジ株式会社</t>
    <phoneticPr fontId="36"/>
  </si>
  <si>
    <t>日本中訊株式会社</t>
    <phoneticPr fontId="36"/>
  </si>
  <si>
    <t>http://www.sinocom.jp/</t>
  </si>
  <si>
    <t>日本宝信株式会社</t>
    <phoneticPr fontId="36"/>
  </si>
  <si>
    <t>http://www.baosight-jp.com/</t>
  </si>
  <si>
    <t>日本用友ソフトエンジニアリング株式会社</t>
    <phoneticPr fontId="36"/>
  </si>
  <si>
    <t>http://www.ufida.co.jp/USE/index.html</t>
  </si>
  <si>
    <t>日本立友ソフト株式会社</t>
    <phoneticPr fontId="33" type="noConversion"/>
  </si>
  <si>
    <t>楊 涛</t>
    <phoneticPr fontId="33" type="noConversion"/>
  </si>
  <si>
    <t>日本匯人テクノ有限会社</t>
    <phoneticPr fontId="36"/>
  </si>
  <si>
    <t>http://www.hwayren.com/Japanese/Contact.aspx</t>
  </si>
  <si>
    <t>菱通ジャパン株式会社</t>
    <phoneticPr fontId="36"/>
  </si>
  <si>
    <t>http://www.ilingtong.com/ch/gy_gouc1.htm</t>
  </si>
  <si>
    <t>富士ネットワークス株式会社</t>
    <phoneticPr fontId="36"/>
  </si>
  <si>
    <t>http://www.fujinetworks.co.jp/01.html</t>
  </si>
  <si>
    <t>方正株式会社</t>
    <phoneticPr fontId="36"/>
  </si>
  <si>
    <t>3億7,767万</t>
  </si>
  <si>
    <t>豊原技研株式会社</t>
    <phoneticPr fontId="36"/>
  </si>
  <si>
    <t>神奈川県大和市</t>
  </si>
  <si>
    <t>http://www.thtech.co.jp/</t>
  </si>
  <si>
    <t>鵬翼情報テクノロジー有限会社</t>
    <phoneticPr fontId="36"/>
  </si>
  <si>
    <t>1175万</t>
  </si>
  <si>
    <t>http://www.bbwit-jpn.com/htm/gaiyou.htm</t>
  </si>
  <si>
    <t>北海情報産業株式会社</t>
    <phoneticPr fontId="36"/>
  </si>
  <si>
    <t>http://www.e-northsea.com</t>
  </si>
  <si>
    <t>万国ソフト株式会社</t>
    <phoneticPr fontId="36"/>
  </si>
  <si>
    <t>1,150万</t>
  </si>
  <si>
    <t>http://www.bkk-soft.com</t>
  </si>
  <si>
    <t>有限会社E.ミラクル</t>
    <phoneticPr fontId="36"/>
  </si>
  <si>
    <t>http://www.e-mcl.jp/html/annai.html</t>
  </si>
  <si>
    <t>有限会社ウイングステック</t>
    <phoneticPr fontId="36"/>
  </si>
  <si>
    <t>http://www.wingstec.com/</t>
  </si>
  <si>
    <t>有限会社クリエーティブネットワーク</t>
    <phoneticPr fontId="36"/>
  </si>
  <si>
    <t>http://www.creativenetwork.co.jp</t>
  </si>
  <si>
    <t>有限会社グローバルビジネスソリューション</t>
    <phoneticPr fontId="36"/>
  </si>
  <si>
    <t>http://www.gbs-grp.com/html/daihyou.html</t>
  </si>
  <si>
    <t>有限会社ヒロテック</t>
    <phoneticPr fontId="36"/>
  </si>
  <si>
    <t>http://hirotech-s.com/company.html</t>
  </si>
  <si>
    <t>有限会社東呉情報システム</t>
    <phoneticPr fontId="36"/>
  </si>
  <si>
    <t>http://www.dongwu-is.com/</t>
  </si>
  <si>
    <t>株式会社エム・アンド・アイ</t>
    <phoneticPr fontId="36"/>
  </si>
  <si>
    <t>株式会社　東証コンピュータシステム</t>
    <phoneticPr fontId="36"/>
  </si>
  <si>
    <t>中国籍NG</t>
    <rPh sb="0" eb="2">
      <t>チュウゴク</t>
    </rPh>
    <rPh sb="2" eb="3">
      <t>セキ</t>
    </rPh>
    <phoneticPr fontId="36"/>
  </si>
  <si>
    <t>株式会社　エムティーアイ</t>
    <phoneticPr fontId="36"/>
  </si>
  <si>
    <t>コンピュータ・ハイテック株式会社</t>
    <phoneticPr fontId="36"/>
  </si>
  <si>
    <t>株式会社 アドバンテッジ リスク マネジメント</t>
    <phoneticPr fontId="3"/>
  </si>
  <si>
    <t>株式会社 アドバンテッジ リスク マネジメント</t>
    <phoneticPr fontId="36"/>
  </si>
  <si>
    <t>saiyo@armg.jp</t>
    <phoneticPr fontId="3"/>
  </si>
  <si>
    <r>
      <t>Product</t>
    </r>
    <r>
      <rPr>
        <sz val="11"/>
        <color theme="1"/>
        <rFont val="微软雅黑"/>
        <family val="2"/>
        <charset val="134"/>
      </rPr>
      <t xml:space="preserve"> Name</t>
    </r>
    <phoneticPr fontId="3"/>
  </si>
  <si>
    <t>Enterprise</t>
    <phoneticPr fontId="3"/>
  </si>
  <si>
    <t>Business</t>
    <phoneticPr fontId="3"/>
  </si>
  <si>
    <t>责任者</t>
    <phoneticPr fontId="3"/>
  </si>
  <si>
    <t>Ruby</t>
    <phoneticPr fontId="3"/>
  </si>
  <si>
    <t>AWS</t>
    <phoneticPr fontId="3"/>
  </si>
  <si>
    <t>GCP</t>
    <phoneticPr fontId="3"/>
  </si>
  <si>
    <t>Docker</t>
    <phoneticPr fontId="3"/>
  </si>
  <si>
    <r>
      <t>Person</t>
    </r>
    <r>
      <rPr>
        <sz val="11"/>
        <color theme="1"/>
        <rFont val="微软雅黑"/>
        <family val="2"/>
        <charset val="134"/>
      </rPr>
      <t xml:space="preserve"> Name</t>
    </r>
    <phoneticPr fontId="3"/>
  </si>
  <si>
    <t>Enterprise</t>
  </si>
  <si>
    <r>
      <rPr>
        <sz val="11"/>
        <color theme="1"/>
        <rFont val="微软雅黑"/>
        <family val="2"/>
        <charset val="134"/>
      </rPr>
      <t>P</t>
    </r>
    <r>
      <rPr>
        <sz val="11"/>
        <color theme="1"/>
        <rFont val="等线"/>
        <family val="2"/>
        <scheme val="minor"/>
      </rPr>
      <t>osition</t>
    </r>
    <phoneticPr fontId="3"/>
  </si>
  <si>
    <t>年龄</t>
    <phoneticPr fontId="3"/>
  </si>
  <si>
    <t>Phone</t>
    <phoneticPr fontId="3"/>
  </si>
  <si>
    <t>mail</t>
    <phoneticPr fontId="3"/>
  </si>
  <si>
    <t>领英</t>
    <phoneticPr fontId="3"/>
  </si>
  <si>
    <t>推特</t>
    <phoneticPr fontId="3"/>
  </si>
  <si>
    <t>facebook</t>
    <phoneticPr fontId="3"/>
  </si>
  <si>
    <t>WeChat</t>
    <phoneticPr fontId="3"/>
  </si>
  <si>
    <t>Date</t>
  </si>
  <si>
    <t>Update</t>
  </si>
  <si>
    <t>赵淼</t>
    <phoneticPr fontId="3"/>
  </si>
  <si>
    <t>threewater_86</t>
    <phoneticPr fontId="3"/>
  </si>
  <si>
    <t>tianbao9184</t>
    <phoneticPr fontId="3"/>
  </si>
  <si>
    <t>080-7803-9780</t>
    <phoneticPr fontId="3"/>
  </si>
  <si>
    <t>cuiyh_1</t>
    <phoneticPr fontId="3"/>
  </si>
  <si>
    <t>top-soft</t>
    <phoneticPr fontId="3"/>
  </si>
  <si>
    <r>
      <rPr>
        <sz val="10"/>
        <color rgb="FF000000"/>
        <rFont val="Microsoft YaHei"/>
        <family val="2"/>
        <charset val="134"/>
      </rPr>
      <t>职位</t>
    </r>
    <phoneticPr fontId="15" type="noConversion"/>
  </si>
  <si>
    <t>发布渠道</t>
    <phoneticPr fontId="3"/>
  </si>
  <si>
    <r>
      <rPr>
        <sz val="12"/>
        <color theme="1"/>
        <rFont val="Microsoft JhengHei"/>
        <family val="3"/>
        <charset val="134"/>
      </rPr>
      <t>职位</t>
    </r>
    <r>
      <rPr>
        <sz val="12"/>
        <color theme="1"/>
        <rFont val="Microsoft JhengHei"/>
        <family val="3"/>
      </rPr>
      <t>编号</t>
    </r>
    <phoneticPr fontId="3"/>
  </si>
  <si>
    <r>
      <rPr>
        <sz val="10"/>
        <rFont val="Microsoft YaHei"/>
        <family val="2"/>
        <charset val="134"/>
      </rPr>
      <t>工作地点</t>
    </r>
    <phoneticPr fontId="15" type="noConversion"/>
  </si>
  <si>
    <r>
      <rPr>
        <sz val="10"/>
        <color rgb="FF000000"/>
        <rFont val="Microsoft YaHei"/>
        <family val="2"/>
        <charset val="134"/>
      </rPr>
      <t>基本工资</t>
    </r>
    <phoneticPr fontId="15" type="noConversion"/>
  </si>
  <si>
    <r>
      <rPr>
        <sz val="10"/>
        <color rgb="FF000000"/>
        <rFont val="Microsoft YaHei"/>
        <family val="2"/>
        <charset val="134"/>
      </rPr>
      <t>国籍</t>
    </r>
    <phoneticPr fontId="15" type="noConversion"/>
  </si>
  <si>
    <r>
      <rPr>
        <sz val="10"/>
        <color rgb="FF000000"/>
        <rFont val="Microsoft YaHei"/>
        <family val="2"/>
        <charset val="134"/>
      </rPr>
      <t>性别</t>
    </r>
    <phoneticPr fontId="15" type="noConversion"/>
  </si>
  <si>
    <r>
      <rPr>
        <sz val="10"/>
        <color rgb="FF000000"/>
        <rFont val="Microsoft YaHei"/>
        <family val="2"/>
        <charset val="134"/>
      </rPr>
      <t>年龄</t>
    </r>
    <phoneticPr fontId="15" type="noConversion"/>
  </si>
  <si>
    <r>
      <rPr>
        <sz val="10"/>
        <color rgb="FF000000"/>
        <rFont val="Microsoft YaHei"/>
        <family val="2"/>
        <charset val="134"/>
      </rPr>
      <t>英语</t>
    </r>
    <phoneticPr fontId="15" type="noConversion"/>
  </si>
  <si>
    <r>
      <rPr>
        <sz val="10"/>
        <color rgb="FF000000"/>
        <rFont val="Microsoft YaHei"/>
        <family val="2"/>
        <charset val="134"/>
      </rPr>
      <t>日语</t>
    </r>
    <phoneticPr fontId="15" type="noConversion"/>
  </si>
  <si>
    <r>
      <rPr>
        <sz val="10"/>
        <color rgb="FF000000"/>
        <rFont val="Microsoft YaHei"/>
        <family val="2"/>
        <charset val="134"/>
      </rPr>
      <t>其他语言</t>
    </r>
    <phoneticPr fontId="15" type="noConversion"/>
  </si>
  <si>
    <t>End</t>
    <phoneticPr fontId="15" type="noConversion"/>
  </si>
  <si>
    <t>Repositories</t>
    <phoneticPr fontId="3"/>
  </si>
  <si>
    <r>
      <rPr>
        <sz val="11"/>
        <rFont val="微软雅黑"/>
        <family val="1"/>
        <charset val="134"/>
      </rPr>
      <t xml:space="preserve">Acceptance of </t>
    </r>
    <r>
      <rPr>
        <sz val="11"/>
        <rFont val="ＭＳ 明朝"/>
        <family val="1"/>
        <charset val="128"/>
      </rPr>
      <t>Date</t>
    </r>
    <phoneticPr fontId="60"/>
  </si>
  <si>
    <t>Status</t>
    <phoneticPr fontId="36"/>
  </si>
  <si>
    <r>
      <t>End</t>
    </r>
    <r>
      <rPr>
        <sz val="11"/>
        <rFont val="微软雅黑"/>
        <family val="1"/>
        <charset val="134"/>
      </rPr>
      <t xml:space="preserve"> of Date</t>
    </r>
    <phoneticPr fontId="36"/>
  </si>
  <si>
    <t>ディーコム 株式会社</t>
    <phoneticPr fontId="3"/>
  </si>
  <si>
    <t>Green</t>
    <phoneticPr fontId="3"/>
  </si>
  <si>
    <t>株式会社 ラック</t>
    <phoneticPr fontId="3"/>
  </si>
  <si>
    <t>株式会社 ビズリーチ</t>
    <phoneticPr fontId="3"/>
  </si>
  <si>
    <t>株式会社 エスキュービズム</t>
    <phoneticPr fontId="3"/>
  </si>
  <si>
    <t>株式会社 オプティム</t>
    <phoneticPr fontId="3"/>
  </si>
  <si>
    <t>株式会社 ジャパネットホールディングス</t>
    <phoneticPr fontId="3"/>
  </si>
  <si>
    <t>株式会社 システナ</t>
    <phoneticPr fontId="3"/>
  </si>
  <si>
    <t>株式会社 プロフィナンス</t>
    <phoneticPr fontId="3"/>
  </si>
  <si>
    <t>株式会社 ユニメディア</t>
    <phoneticPr fontId="3"/>
  </si>
  <si>
    <t>株式会社 クルコム</t>
    <phoneticPr fontId="3"/>
  </si>
  <si>
    <t>株式会社 日本オーエー研究所</t>
    <phoneticPr fontId="3"/>
  </si>
  <si>
    <t>株式会社 エムトラッド</t>
    <phoneticPr fontId="3"/>
  </si>
  <si>
    <t>株式会社 ヒューマンクリエイションホールディングス</t>
    <phoneticPr fontId="3"/>
  </si>
  <si>
    <t>株式会社 情報戦略テクノロジー</t>
    <phoneticPr fontId="3"/>
  </si>
  <si>
    <t>株式会社 ヒトクセ</t>
    <phoneticPr fontId="3"/>
  </si>
  <si>
    <t>株式会社 ジョーレン</t>
    <phoneticPr fontId="3"/>
  </si>
  <si>
    <t>株式会社 ワンオブゼム</t>
    <phoneticPr fontId="3"/>
  </si>
  <si>
    <t>シアトルコンサルティング 株式会社</t>
    <phoneticPr fontId="3"/>
  </si>
  <si>
    <t>株式会社 アイティ・フォレスト</t>
    <phoneticPr fontId="3"/>
  </si>
  <si>
    <t>株式会社 アクロビジョン</t>
    <phoneticPr fontId="3"/>
  </si>
  <si>
    <t>株式会社 アイリッジ</t>
    <phoneticPr fontId="3"/>
  </si>
  <si>
    <t>株式会社 LITALICO</t>
    <phoneticPr fontId="3"/>
  </si>
  <si>
    <t>recruit4@litalico.co.jp</t>
    <phoneticPr fontId="3"/>
  </si>
  <si>
    <t>INTLOOP 株式会社</t>
    <phoneticPr fontId="3"/>
  </si>
  <si>
    <t>INTLOOP株式会社　採用事務局
〒107-0052
東京都港区赤坂2-12-31 TAKATAビル2F
TEL:03-6746-2016</t>
    <phoneticPr fontId="3"/>
  </si>
  <si>
    <t>ソフトブレーン 株式会社</t>
    <phoneticPr fontId="3"/>
  </si>
  <si>
    <t>株式会社 テクノモバイル</t>
    <phoneticPr fontId="3"/>
  </si>
  <si>
    <t>株式会社 アウトソーシングテクノロジー R&amp;D事業本部</t>
    <phoneticPr fontId="3"/>
  </si>
  <si>
    <t>株式会社 ONE COMPATH</t>
    <phoneticPr fontId="3"/>
  </si>
  <si>
    <t>saiyo@onecompath.com</t>
    <phoneticPr fontId="3"/>
  </si>
  <si>
    <t>株式会社 エム・フィールド</t>
    <phoneticPr fontId="3"/>
  </si>
  <si>
    <t xml:space="preserve">株式会社エム・フィールド／採用担当　
　電話　 03-6450-3971
　E-Mail　mf_saiyo@m-field.co.jp
　採用サイト　http://mfhp.m-field.mobi/recruit/ </t>
    <phoneticPr fontId="3"/>
  </si>
  <si>
    <t>株式会社 ペイジェント</t>
    <phoneticPr fontId="3"/>
  </si>
  <si>
    <t>アイレット 株式会社</t>
    <phoneticPr fontId="3"/>
  </si>
  <si>
    <t>株式会社 マイクロウェーブ</t>
    <phoneticPr fontId="3"/>
  </si>
  <si>
    <t>株式会社 ラキール</t>
    <phoneticPr fontId="3"/>
  </si>
  <si>
    <t>株式会社 LASSIC</t>
    <phoneticPr fontId="3"/>
  </si>
  <si>
    <t>株式会社 マイナビ</t>
    <phoneticPr fontId="3"/>
  </si>
  <si>
    <t>ピクシブ 株式会社</t>
    <phoneticPr fontId="3"/>
  </si>
  <si>
    <t>株式会社 トレタ</t>
    <phoneticPr fontId="3"/>
  </si>
  <si>
    <t>パーソルテンプスタッフ 株式会社</t>
    <phoneticPr fontId="3"/>
  </si>
  <si>
    <t>パーソルテンプスタッフ株式会社
人事戦略部　採用企画室　
採用担当
〒151-0053
東京都渋谷区代々木2-1-1　新宿マインズタワー
TEL03-6731-1505
mailto:temp-saiyo@hito-link.jp
http://www.tempstaff.co.jp/client/index.html</t>
    <phoneticPr fontId="3"/>
  </si>
  <si>
    <t>株式会社 フュージョニア</t>
    <phoneticPr fontId="3"/>
  </si>
  <si>
    <t>株式会社フュージョニア / FUSIONIA Inc.
東京本社：東京都新宿区西新宿7-4-7　イマス浜田ビル7階
TEL：03-5332-5947　FAX：03-5332-5948
URL：http://www.fusionia.jp/company/</t>
    <phoneticPr fontId="3"/>
  </si>
  <si>
    <t>再春館システム 株式会社</t>
    <phoneticPr fontId="3"/>
  </si>
  <si>
    <t>株式会社 テスク</t>
    <phoneticPr fontId="3"/>
  </si>
  <si>
    <t>株式会社 アイル</t>
    <phoneticPr fontId="3"/>
  </si>
  <si>
    <t>株式会社 システムエグゼ</t>
    <phoneticPr fontId="3"/>
  </si>
  <si>
    <t>株式会社 SICシステム</t>
    <phoneticPr fontId="3"/>
  </si>
  <si>
    <t>株式会社 SAKURUG</t>
    <phoneticPr fontId="3"/>
  </si>
  <si>
    <t>株式会社 イー・エージェンシー</t>
    <phoneticPr fontId="3"/>
  </si>
  <si>
    <t>パーソルプロセス＆テクノロジー株式会社</t>
    <phoneticPr fontId="3"/>
  </si>
  <si>
    <t>株式会社 イングリウッド</t>
    <phoneticPr fontId="3"/>
  </si>
  <si>
    <t>株式会社 エヌエルプラス</t>
    <phoneticPr fontId="3"/>
  </si>
  <si>
    <t>株式会社 ザイナス</t>
    <phoneticPr fontId="3"/>
  </si>
  <si>
    <t>株式会社 Diverse</t>
    <phoneticPr fontId="3"/>
  </si>
  <si>
    <t>株式会社 エスト・ルージュ</t>
    <phoneticPr fontId="3"/>
  </si>
  <si>
    <t>株式会社 モンスター・ラボ</t>
    <phoneticPr fontId="3"/>
  </si>
  <si>
    <t>株式会社 チームスピリット</t>
    <phoneticPr fontId="3"/>
  </si>
  <si>
    <t>アベールソリューションズ 株式会社</t>
    <phoneticPr fontId="3"/>
  </si>
  <si>
    <t>株式会社 メンバーズ</t>
    <phoneticPr fontId="3"/>
  </si>
  <si>
    <t>　株式会社メンバーズ・採用担当
104-6037　東京都中央区晴海一丁目8番10号
　晴海アイランド トリトンスクエア
オフィスタワーX 37階
　http://www.members.co.jp/</t>
    <phoneticPr fontId="3"/>
  </si>
  <si>
    <t>株式会社 インタラクティブ・コミュニケーション・デザイン</t>
    <phoneticPr fontId="3"/>
  </si>
  <si>
    <t>recruiting@icd.co.jp</t>
    <phoneticPr fontId="3"/>
  </si>
  <si>
    <t>ウェルスパーク 株式会社</t>
    <phoneticPr fontId="3"/>
  </si>
  <si>
    <t>hiring@wealth-park.com</t>
    <phoneticPr fontId="3"/>
  </si>
  <si>
    <t>株式会社 バリューワン</t>
    <phoneticPr fontId="3"/>
  </si>
  <si>
    <t>株式会社 エル・ティー・エス</t>
    <phoneticPr fontId="3"/>
  </si>
  <si>
    <t>古澤　里奈/Rina Furusawa
株式会社 エル・ティー・エス　組織人財開発部
〒160-0022　東京都新宿区新宿2-8-6　KDX新宿286ビル2階(受付)</t>
    <phoneticPr fontId="3"/>
  </si>
  <si>
    <t>株式会社 トラント</t>
    <phoneticPr fontId="3"/>
  </si>
  <si>
    <t>株式会社 ジオブレイン</t>
    <phoneticPr fontId="3"/>
  </si>
  <si>
    <t>geo-m-recruit@geo-brain.com</t>
    <phoneticPr fontId="3"/>
  </si>
  <si>
    <t>株式会社 ロココ</t>
    <phoneticPr fontId="3"/>
  </si>
  <si>
    <t>コムテック 株式会社</t>
    <phoneticPr fontId="3"/>
  </si>
  <si>
    <t>クロス・ヘッド 株式会社</t>
    <phoneticPr fontId="3"/>
  </si>
  <si>
    <t>株式会社 アイコニックジャパン</t>
    <phoneticPr fontId="3"/>
  </si>
  <si>
    <t>キャリアリンク 株式会社</t>
    <phoneticPr fontId="3"/>
  </si>
  <si>
    <t>株式会社 ＤＹＭ</t>
    <phoneticPr fontId="3"/>
  </si>
  <si>
    <t>17LIVE 株式会社</t>
    <phoneticPr fontId="3"/>
  </si>
  <si>
    <t>株式会社 ネクソン</t>
    <phoneticPr fontId="3"/>
  </si>
  <si>
    <t>株式会社 LIG</t>
    <phoneticPr fontId="3"/>
  </si>
  <si>
    <t>株式会社 ケアリッツ・アンド・パートナーズ</t>
    <phoneticPr fontId="3"/>
  </si>
  <si>
    <t>株式会社 Branding Engineer</t>
    <phoneticPr fontId="3"/>
  </si>
  <si>
    <t>株式会社 ※インフィライズ</t>
    <phoneticPr fontId="3"/>
  </si>
  <si>
    <t>株式会社 フィジオ</t>
    <phoneticPr fontId="3"/>
  </si>
  <si>
    <t>株式会社 スーパーソフトウエア</t>
    <phoneticPr fontId="3"/>
  </si>
  <si>
    <t>バレットグループ 株式会社</t>
    <phoneticPr fontId="3"/>
  </si>
  <si>
    <t>株式会社エム・フィールド／採用担当　
　電話　 03-6450-3971
　E-Mail　mf_saiyo@m-field.co.jp
　採用サイト　http://mfhp.m-field.mobi/recruit/</t>
    <phoneticPr fontId="3"/>
  </si>
  <si>
    <t>アジアクエスト 株式会社</t>
    <phoneticPr fontId="3"/>
  </si>
  <si>
    <t>株式会社 オロ</t>
    <phoneticPr fontId="3"/>
  </si>
  <si>
    <t>リビン・テクノロジーズ 株式会社</t>
    <phoneticPr fontId="3"/>
  </si>
  <si>
    <t>株式会社 リンクトブレイン</t>
    <phoneticPr fontId="3"/>
  </si>
  <si>
    <t>株式会社SAMURAI（旧：侍）</t>
    <phoneticPr fontId="3"/>
  </si>
  <si>
    <t>ギークス 株式会社</t>
    <phoneticPr fontId="3"/>
  </si>
  <si>
    <t>株式会社 アイデンティティー</t>
    <phoneticPr fontId="3"/>
  </si>
  <si>
    <t>株式会社 ギークリー</t>
    <phoneticPr fontId="3"/>
  </si>
  <si>
    <t>株式会社 コトラ</t>
    <phoneticPr fontId="3"/>
  </si>
  <si>
    <t>株式会社 ビジネクスト</t>
    <phoneticPr fontId="3"/>
  </si>
  <si>
    <t>キャリアリンク株式会社　人事採用チーム
〒163-0433
　東京都新宿区西新宿2-1-1　新宿三井ビル33階
URL http://www.careerlink.co.jp/</t>
    <phoneticPr fontId="3"/>
  </si>
  <si>
    <t>株式会社 フェローズ</t>
    <phoneticPr fontId="3"/>
  </si>
  <si>
    <t>with Career 株式会社</t>
    <phoneticPr fontId="3"/>
  </si>
  <si>
    <t>株式会社 ネクストビート</t>
    <phoneticPr fontId="3"/>
  </si>
  <si>
    <t>株式会社 ROXX（旧名：株式会社SCOUTER）</t>
    <phoneticPr fontId="3"/>
  </si>
  <si>
    <t>株式会社 WARC</t>
    <phoneticPr fontId="3"/>
  </si>
  <si>
    <t>株式会社 div</t>
    <phoneticPr fontId="3"/>
  </si>
  <si>
    <t>株式会社 TMJ</t>
    <phoneticPr fontId="3"/>
  </si>
  <si>
    <t>株式会社 GA technologies（GAテクノロジーズ）</t>
    <phoneticPr fontId="3"/>
  </si>
  <si>
    <t>株式会社 イープラス</t>
    <phoneticPr fontId="3"/>
  </si>
  <si>
    <t>株式会社 BTM</t>
    <phoneticPr fontId="3"/>
  </si>
  <si>
    <t>株式会社 Pathee</t>
    <phoneticPr fontId="3"/>
  </si>
  <si>
    <t>株式会社 アズライト</t>
    <phoneticPr fontId="3"/>
  </si>
  <si>
    <t>株式会社 バリュレイト</t>
    <phoneticPr fontId="3"/>
  </si>
  <si>
    <t>株式会社 BNGパートナーズ</t>
    <phoneticPr fontId="3"/>
  </si>
  <si>
    <t>フォルシア 株式会社</t>
    <phoneticPr fontId="3"/>
  </si>
  <si>
    <t>株式会社 マノア・リノ</t>
    <phoneticPr fontId="3"/>
  </si>
  <si>
    <t>株式会社 栄光</t>
    <phoneticPr fontId="3"/>
  </si>
  <si>
    <t>BizteX 株式会社</t>
    <phoneticPr fontId="3"/>
  </si>
  <si>
    <t>株式会社 オトラビスタ</t>
    <phoneticPr fontId="3"/>
  </si>
  <si>
    <t>Doda</t>
    <phoneticPr fontId="3"/>
  </si>
  <si>
    <t>NG</t>
    <phoneticPr fontId="60"/>
  </si>
  <si>
    <t>No</t>
    <phoneticPr fontId="60"/>
  </si>
  <si>
    <t>Type</t>
    <phoneticPr fontId="3"/>
  </si>
  <si>
    <t>投递 No</t>
    <phoneticPr fontId="60"/>
  </si>
  <si>
    <t>イ．ソフト株式会社</t>
    <phoneticPr fontId="60"/>
  </si>
  <si>
    <t>株式会社Everforth</t>
    <phoneticPr fontId="60"/>
  </si>
  <si>
    <t>株式会社ＧＩＯテクノロジーズ</t>
    <phoneticPr fontId="60"/>
  </si>
  <si>
    <t>面接要約送信</t>
    <rPh sb="0" eb="2">
      <t>メンセツ</t>
    </rPh>
    <rPh sb="2" eb="4">
      <t>ヨウヤク</t>
    </rPh>
    <rPh sb="4" eb="6">
      <t>ソウシン</t>
    </rPh>
    <phoneticPr fontId="60"/>
  </si>
  <si>
    <t>简历投递</t>
    <phoneticPr fontId="60"/>
  </si>
  <si>
    <t>要約3/24</t>
    <rPh sb="0" eb="2">
      <t>ヨウヤク</t>
    </rPh>
    <phoneticPr fontId="60"/>
  </si>
  <si>
    <t>返信済み</t>
    <rPh sb="2" eb="3">
      <t>ズ</t>
    </rPh>
    <phoneticPr fontId="60"/>
  </si>
  <si>
    <t>要返信</t>
    <phoneticPr fontId="60"/>
  </si>
  <si>
    <t>株日翔テクノ</t>
    <phoneticPr fontId="60"/>
  </si>
  <si>
    <t>面接</t>
    <rPh sb="0" eb="2">
      <t>メンセツ</t>
    </rPh>
    <phoneticPr fontId="60"/>
  </si>
  <si>
    <t>Trigger 株式会社</t>
    <phoneticPr fontId="3"/>
  </si>
  <si>
    <t>株式会社 Crunch Style</t>
    <phoneticPr fontId="3"/>
  </si>
  <si>
    <t>ブライエッジ 株式会社</t>
    <phoneticPr fontId="3"/>
  </si>
  <si>
    <t>jinji@nl-plus.co.jp</t>
    <phoneticPr fontId="3"/>
  </si>
  <si>
    <t>株式会社 UNCOVER TRUTH</t>
    <phoneticPr fontId="3"/>
  </si>
  <si>
    <t>株式会社 オープンロジ</t>
    <phoneticPr fontId="3"/>
  </si>
  <si>
    <t>クラウドエース 株式会社</t>
    <phoneticPr fontId="3"/>
  </si>
  <si>
    <t>株式会社 アクトシティ</t>
    <phoneticPr fontId="3"/>
  </si>
  <si>
    <t>エンバカデロ・テクノロジーズ 合同会社</t>
    <phoneticPr fontId="3"/>
  </si>
  <si>
    <t>株式会社 ディマージシェア</t>
    <phoneticPr fontId="3"/>
  </si>
  <si>
    <t>日本コムシンク 株式会社</t>
    <phoneticPr fontId="3"/>
  </si>
  <si>
    <t>日本コムシンク株式会社　人事部
〒550-0002 大阪市西区江戸堀1-2-11
Tel : (06)6448-8660 / Fax : (06)6448-8661
E-MAIL：nct_jinji@comthink.co.jp</t>
    <phoneticPr fontId="3"/>
  </si>
  <si>
    <t>　株式会社エム・フィールド／採用担当　
　電話　 03-6450-3971
　E-Mail　mf_saiyo@m-field.co.jp
　採用サイト　http://mfhp.m-field.mobi/recruit/</t>
    <phoneticPr fontId="3"/>
  </si>
  <si>
    <t>BAMV 合同会社</t>
  </si>
  <si>
    <t>アライドアーキテクツ 株式会社</t>
    <phoneticPr fontId="3"/>
  </si>
  <si>
    <t>リノベる 株式会社</t>
    <phoneticPr fontId="3"/>
  </si>
  <si>
    <t>BL</t>
    <phoneticPr fontId="3"/>
  </si>
  <si>
    <t>株式会社 Blue Star</t>
    <phoneticPr fontId="3"/>
  </si>
  <si>
    <t>株式会社 gootbox</t>
    <phoneticPr fontId="3"/>
  </si>
  <si>
    <t>株式会社 オトラビスタ</t>
  </si>
  <si>
    <t>株式会社 三恵クリエス</t>
    <phoneticPr fontId="3"/>
  </si>
  <si>
    <t>ハイブリィド 株式会社</t>
    <phoneticPr fontId="3"/>
  </si>
  <si>
    <t xml:space="preserve">ハイブリィド株式会社　http://www.hiblead.co.jp/
採用担当：岡田
電話番号：03-5422-8743 /メール：entry@hiblead.co.jp </t>
    <phoneticPr fontId="3"/>
  </si>
  <si>
    <t>株式会社 Showcase Gig</t>
    <phoneticPr fontId="3"/>
  </si>
  <si>
    <t>株式会社 日進サイエンティア</t>
    <phoneticPr fontId="3"/>
  </si>
  <si>
    <t>株式会社 シャノン</t>
    <phoneticPr fontId="3"/>
  </si>
  <si>
    <t>ソリューション・ラボ・横浜 株式会社</t>
    <phoneticPr fontId="3"/>
  </si>
  <si>
    <t>株式会社 エイアイ・フィールド</t>
    <phoneticPr fontId="3"/>
  </si>
  <si>
    <t xml:space="preserve">　株式会社AIField／採用担当　
　電話　 03-6450-3971
　E-Mail　aif_saiyo@aifield.jp
　Webサイト　https://www.aifield.jp/ </t>
    <phoneticPr fontId="3"/>
  </si>
  <si>
    <t>株式会社 グロービス</t>
    <phoneticPr fontId="3"/>
  </si>
  <si>
    <t>株式会社 アイエスサービス</t>
    <phoneticPr fontId="3"/>
  </si>
  <si>
    <t>株式会社 カイマデータ</t>
    <phoneticPr fontId="3"/>
  </si>
  <si>
    <t>kaimadata-saiyo@m-career.com</t>
    <phoneticPr fontId="3"/>
  </si>
  <si>
    <t>株式会社 クオリアシステムズ</t>
    <phoneticPr fontId="3"/>
  </si>
  <si>
    <t>株式会社 メディカルノート</t>
    <phoneticPr fontId="3"/>
  </si>
  <si>
    <t>株式会社 ハイデックス</t>
    <phoneticPr fontId="3"/>
  </si>
  <si>
    <t>Repro 株式会社</t>
    <phoneticPr fontId="3"/>
  </si>
  <si>
    <t>株式会社 ウエルストーン</t>
    <phoneticPr fontId="3"/>
  </si>
  <si>
    <t>ファインディ 株式会社</t>
    <phoneticPr fontId="3"/>
  </si>
  <si>
    <t>株式会社 アドインテ</t>
    <phoneticPr fontId="3"/>
  </si>
  <si>
    <t>株式会社 アーキベース</t>
    <phoneticPr fontId="3"/>
  </si>
  <si>
    <t>株式会社 アカリク</t>
    <phoneticPr fontId="3"/>
  </si>
  <si>
    <t>株式会社 サン・メルクス</t>
    <phoneticPr fontId="3"/>
  </si>
  <si>
    <t>note 株式会社</t>
    <phoneticPr fontId="3"/>
  </si>
  <si>
    <t>Fabeee 株式会社</t>
    <phoneticPr fontId="3"/>
  </si>
  <si>
    <t>情報戦略テクノロジー
採用担当
TEL:03-5468-6670
MAIL:recruit@is-tech.co.jp</t>
    <phoneticPr fontId="3"/>
  </si>
  <si>
    <t>パクテラ・テクノロジー・ジャパン 株式会社</t>
    <phoneticPr fontId="3"/>
  </si>
  <si>
    <t>パクテラ・テクノロジー・ジャパン株式会社
中途採用業務オペレーション担当
〒135-0047
東京都江東区富岡二丁目11-6
HASEMANBLDG．6F
HP：http://www.pactera.com/ja</t>
    <phoneticPr fontId="3"/>
  </si>
  <si>
    <t>アバナード 株式会社</t>
    <phoneticPr fontId="3"/>
  </si>
  <si>
    <t>株式会社 イグニス</t>
    <phoneticPr fontId="3"/>
  </si>
  <si>
    <t>ココン 株式会社</t>
    <phoneticPr fontId="3"/>
  </si>
  <si>
    <t>株式会社 SHIFT</t>
    <phoneticPr fontId="3"/>
  </si>
  <si>
    <t>■ご提案日時：10/14(水) 17:00開始
■形式：電話面談
■担当：村上 050-1745-1909</t>
    <phoneticPr fontId="3"/>
  </si>
  <si>
    <t>リス 株式会社</t>
    <phoneticPr fontId="3"/>
  </si>
  <si>
    <t>株式会社 バイトルヒクマ</t>
    <phoneticPr fontId="3"/>
  </si>
  <si>
    <t>株式会社 ケアリッツ・アンド・パートナーズ</t>
  </si>
  <si>
    <t>グルーヴ・ギア 株式会社</t>
    <phoneticPr fontId="3"/>
  </si>
  <si>
    <t>株式会社 ネビット</t>
    <phoneticPr fontId="3"/>
  </si>
  <si>
    <t>Classi 株式会社</t>
    <phoneticPr fontId="3"/>
  </si>
  <si>
    <t>NTTコム オンライン・マーケティング・ソリューション 株式会社</t>
    <phoneticPr fontId="3"/>
  </si>
  <si>
    <t>セルプロモート 株式会社</t>
    <phoneticPr fontId="3"/>
  </si>
  <si>
    <t>株式会社 ハイ・アベイラビリティ・システムズ</t>
    <phoneticPr fontId="3"/>
  </si>
  <si>
    <t>セーフィー 株式会社</t>
    <phoneticPr fontId="3"/>
  </si>
  <si>
    <t>株式会社 Fubic SI</t>
    <phoneticPr fontId="3"/>
  </si>
  <si>
    <t>株式会社 CLOCK・ON</t>
    <phoneticPr fontId="3"/>
  </si>
  <si>
    <t>paiza 株式会社</t>
    <phoneticPr fontId="3"/>
  </si>
  <si>
    <t>レバレジーズ 株式会社</t>
    <phoneticPr fontId="3"/>
  </si>
  <si>
    <t>株式会社 ソニックムーブ</t>
    <phoneticPr fontId="3"/>
  </si>
  <si>
    <t>株式会社 ハロネット</t>
    <phoneticPr fontId="3"/>
  </si>
  <si>
    <t>株式会社 ビザスク</t>
    <phoneticPr fontId="3"/>
  </si>
  <si>
    <t>株式会社 ウェルクス</t>
    <phoneticPr fontId="3"/>
  </si>
  <si>
    <t>弥生 株式会社</t>
    <phoneticPr fontId="3"/>
  </si>
  <si>
    <t>株式会社 うるる</t>
    <phoneticPr fontId="3"/>
  </si>
  <si>
    <t>ブレインズコンサルティング 株式会社</t>
    <phoneticPr fontId="3"/>
  </si>
  <si>
    <t>デジタルトランスコミュニケーションズ 株式会社</t>
    <phoneticPr fontId="3"/>
  </si>
  <si>
    <t>株式会社 日立製作所</t>
    <phoneticPr fontId="3"/>
  </si>
  <si>
    <t>株式会社 JMDC</t>
    <phoneticPr fontId="3"/>
  </si>
  <si>
    <t>ユニファ 株式会社</t>
    <phoneticPr fontId="3"/>
  </si>
  <si>
    <t>株式会社 パナR&amp;D</t>
    <phoneticPr fontId="3"/>
  </si>
  <si>
    <t>ナイル 株式会社</t>
    <phoneticPr fontId="3"/>
  </si>
  <si>
    <t>ナイル 株式会社　
社長室　採用担当
TEL:03-6409-6766</t>
    <phoneticPr fontId="3"/>
  </si>
  <si>
    <t xml:space="preserve">　株式会社エム・フィールド／採用担当　
　電話　 03-6450-3971
　E-Mail　mf_saiyo@m-field.co.jp
　採用サイト　http://mfhp.m-field.mobi/recruit/ </t>
    <phoneticPr fontId="3"/>
  </si>
  <si>
    <t xml:space="preserve">株式会社アウトソーシングテクノロジー
人材戦略本部 R&amp;D東日本採用課
村上雅弥（Masaya Murakami）
m-murakami@ostechnology.co.jp
080-1607-0938(携帯)
《弊社採用特設サイトはコチラから！》
https://rd-recruit.ostechnology.co.jp/ </t>
    <phoneticPr fontId="3"/>
  </si>
  <si>
    <t>株式会社 パソナテック</t>
    <phoneticPr fontId="3"/>
  </si>
  <si>
    <t>パーソルプロセス＆テクノロジー株式会社 Global Bridge COMPANY</t>
    <phoneticPr fontId="3"/>
  </si>
  <si>
    <t>株式会社 フェーズワン</t>
    <phoneticPr fontId="3"/>
  </si>
  <si>
    <t>株式会社 フェーズワン
採用企画部　高橋玲美
recruit@phase1.co.jp</t>
    <phoneticPr fontId="3"/>
  </si>
  <si>
    <t>サーブシステムズ 株式会社</t>
    <phoneticPr fontId="3"/>
  </si>
  <si>
    <t>バルテス 株式会社</t>
    <phoneticPr fontId="3"/>
  </si>
  <si>
    <t>株式会社 CHINTAI</t>
    <phoneticPr fontId="3"/>
  </si>
  <si>
    <t>株式会社 グラッド・ソフトウェア（旧名：株式会社グローバル・アドバンテージ）</t>
    <phoneticPr fontId="3"/>
  </si>
  <si>
    <t>saiyo@e-glad.co.jp</t>
    <phoneticPr fontId="3"/>
  </si>
  <si>
    <t>株式会社 KMS</t>
    <phoneticPr fontId="3"/>
  </si>
  <si>
    <t>株式会社 I-ne</t>
    <phoneticPr fontId="3"/>
  </si>
  <si>
    <t>株式会社 CryptoPie</t>
    <phoneticPr fontId="3"/>
  </si>
  <si>
    <t>エンカレッジ・テクノロジ 株式会社</t>
    <phoneticPr fontId="3"/>
  </si>
  <si>
    <t>選考終了</t>
  </si>
  <si>
    <t>担当 ： 採用プロジェクト担当</t>
  </si>
  <si>
    <t>応募日 ： 2021/03/13</t>
  </si>
  <si>
    <t>応募日 ： 2021/03/10</t>
  </si>
  <si>
    <t>応募日 ： 2021/03/09</t>
  </si>
  <si>
    <t xml:space="preserve">株式会社シー・エル・エス システムエンジニア～PL・PMを目指すことが可能/残業平均12時間/10年連続増収増益の成長中企業～ </t>
  </si>
  <si>
    <t>担当 ： キャリアアドバイザー</t>
  </si>
  <si>
    <t>応募日 ： 2021/03/05</t>
  </si>
  <si>
    <t>メッセージ確認済み</t>
  </si>
  <si>
    <t>担当 ： 企業担当者</t>
  </si>
  <si>
    <t>応募日 ： 2021/03/04</t>
  </si>
  <si>
    <t>応募日 ： 2021/03/01</t>
  </si>
  <si>
    <t>応募日 ： 2021/02/28</t>
  </si>
  <si>
    <t>応募日 ： 2021/02/26</t>
  </si>
  <si>
    <t>応募日 ： 2021/02/24</t>
  </si>
  <si>
    <t>応募日 ： 2021/02/20</t>
  </si>
  <si>
    <t>応募日 ： 2021/02/19</t>
  </si>
  <si>
    <t>応募日 ： 2021/02/18</t>
  </si>
  <si>
    <t>応募日 ： 2021/02/16</t>
  </si>
  <si>
    <t>応募日 ： 2021/02/07</t>
  </si>
  <si>
    <t xml:space="preserve">パクテラ・テクノロジー・ジャパン株式会社 【文思海輝】自動化テストプロジェクトリーダー/BSE ※中国語が活かせる/AI・IoTなど最新技術 </t>
  </si>
  <si>
    <t xml:space="preserve">tdiグループ合同募集（TDIシステムサービス株式会社／TDIプロダクトソリューション株式会社／情報技術開発株式会社） PL・PM（Web・オープン系エンジニア）／前職給与保証 </t>
  </si>
  <si>
    <t>応募日 ： 2021/02/06</t>
  </si>
  <si>
    <t>応募日 ： 2021/02/05</t>
  </si>
  <si>
    <t>応募日 ： 2021/02/04</t>
  </si>
  <si>
    <t>応募日 ： 2021/02/02</t>
  </si>
  <si>
    <t>応募日 ： 2021/02/01</t>
  </si>
  <si>
    <t>応募日 ： 2021/01/29</t>
  </si>
  <si>
    <t>応募日 ： 2021/01/05</t>
  </si>
  <si>
    <t>応募日 ： 2020/12/23</t>
  </si>
  <si>
    <t>応募日 ： 2020/12/15</t>
  </si>
  <si>
    <t>応募日 ： 2020/12/13</t>
  </si>
  <si>
    <t>応募日 ： 2020/12/10</t>
  </si>
  <si>
    <t xml:space="preserve">アベールソリューションズ株式会社 PMO・PL・PM／マネジメント未経験も大歓迎／残業月20H </t>
  </si>
  <si>
    <t>応募日 ： 2020/12/08</t>
  </si>
  <si>
    <t xml:space="preserve">パーソルテクノロジースタッフ株式会社 【コンフィデンシャル求人】【ダミー】【合同休日選考会：12月12日（土）開催】エンジニア </t>
  </si>
  <si>
    <t xml:space="preserve">株式会社フェーズワン（Phase1 Inc.） 開発エンジニア／前職給与考慮／年休120日～／残業20ｈ未満 </t>
  </si>
  <si>
    <t>応募日 ： 2020/12/07</t>
  </si>
  <si>
    <t xml:space="preserve">アストロラボ株式会社 ITエンジニア（自社サービスの開発）／フレックス制 </t>
  </si>
  <si>
    <t xml:space="preserve">株式会社エイトレッド 開発エンジニア／コードを書き続けたい人歓迎（自社サービス） </t>
  </si>
  <si>
    <t>応募日 ： 2020/12/06</t>
  </si>
  <si>
    <t xml:space="preserve">ベース株式会社 【東証二部上場】PL／PM候補～設立以来黒字経営/平均残業12H/リーダー経験不問～ </t>
  </si>
  <si>
    <t>応募日 ： 2020/12/05</t>
  </si>
  <si>
    <t xml:space="preserve">株式会社パナＲ＆Ｄ 【東京】IT・システムエンジニア～東証一部上場アルプス技研G／土日休み・残業20Ｈ・年休124日～ </t>
  </si>
  <si>
    <t xml:space="preserve">株式会社ＦＲＯＭ　ＪＡＰＡＮ 【平均残業10時間】データアナリスト ～グローバルな越境ECサービス／エンジニアに裁量／自由な社風～ </t>
  </si>
  <si>
    <t xml:space="preserve">ベース株式会社 【1回選考】【東証二部上場】システムエンジニア～残業12H/営業利益率17%/半数以上プライム案件～ </t>
  </si>
  <si>
    <t xml:space="preserve">株式会社イオン銀行 【社内SE】システム開発マネージャー※業界経験不問／イオンの店舗網を支えるPMとして活躍頂きます </t>
  </si>
  <si>
    <t xml:space="preserve">株式会社夢プロエンジ エンジニア系総合職（開発・インフラ・機電）／大手の案件が中心 </t>
  </si>
  <si>
    <t>応募日 ： 2020/12/04</t>
  </si>
  <si>
    <t xml:space="preserve">株式会社ＡＳＳＯ ITエンジニア／前職給与保証／残業月平均10～20時間 </t>
  </si>
  <si>
    <t xml:space="preserve">日本ウェブサービス株式会社 SE・PG（賞与3回・年金3階建・厚労省認定ホワイト企業） </t>
  </si>
  <si>
    <t xml:space="preserve">株式会社アクアードコンサルティング コンサルタント職／将来的な幹部候補／年収1500万円も可能 </t>
  </si>
  <si>
    <t xml:space="preserve">株式会社アトミテック ITエンジニア（開発・インフラ）／原則リモート／自社開発あり </t>
  </si>
  <si>
    <t xml:space="preserve">株式会社ベリサーブ 【東京】品質保証コンサルタント（ポジションサーチ）【SCSKグループ/上流から携われます/専門性】 </t>
  </si>
  <si>
    <t xml:space="preserve">株式会社ブレーンナレッジシステムズ 【コンフィデンシャル求人】【ダミー】【進捗用】【合同休日選考会：２月20日（土）開催】開発エンジニア </t>
  </si>
  <si>
    <t xml:space="preserve">ベース株式会社 【東証二部上場】PMO&lt;銀行の勘定系プロジェクト担当&gt;平均残業12H/男性の育休取得実績あり </t>
  </si>
  <si>
    <t xml:space="preserve">株式会社トップゲート PM／日本トップクラスのGoogle技術者集団★3年連続Award受賞企業 </t>
  </si>
  <si>
    <t>応募日 ： 2020/12/03</t>
  </si>
  <si>
    <t xml:space="preserve">株式会社日立製作所 社会・公共分野（主に交通・電力）のアプリケーション開発エンジニア（PL/PMポジション） </t>
  </si>
  <si>
    <t>応募日 ： 2020/12/01</t>
  </si>
  <si>
    <t xml:space="preserve">株式会社日立製作所 【神奈川】産業分野（主に産業・流通・自動車）のアプリケーション開発エンジニア（PL／PMポジション） </t>
  </si>
  <si>
    <t xml:space="preserve">株式会社フューチャーナビゲータ 【上流工程/大手金融機関向けシステム開発】～残業ほぼなし・年休125日で”社員が長く働ける会社”～ </t>
  </si>
  <si>
    <t xml:space="preserve">株式会社コード システムエンジニア ～100%直受け・自社受託開発／1989年創業～ </t>
  </si>
  <si>
    <t xml:space="preserve">株式会社Ｍｉｎｏｒｉソリューションズ 金融系アプリエンジニア【SCSKグループ/要件定義から参画可能/残業20時間以内】 </t>
  </si>
  <si>
    <t>応募日 ： 2020/11/30</t>
  </si>
  <si>
    <t>応募日 ： 2020/11/27</t>
  </si>
  <si>
    <t xml:space="preserve">株式会社ビー・エス・デー　インフォメーション　テクノロジー 【東京/銀座】基幹システムのPM ※国税庁・健保システムの実績多数！ </t>
  </si>
  <si>
    <t xml:space="preserve">NEXT株式会社 ITエンジニア／40～50代活躍中／年収700万円以上可 </t>
  </si>
  <si>
    <t>応募日 ： 2020/11/26</t>
  </si>
  <si>
    <t xml:space="preserve">株式会社日立製作所 【神奈川／新川崎】金融分野(銀行・生命保険・損害保険)のアプリケーション開発エンジニア </t>
  </si>
  <si>
    <t xml:space="preserve">株式会社ランドコンピュータ 【東証一部上場】金融系システムエンジニア(PM/PL)※上流工程メインの独立系SI/残業平均30h </t>
  </si>
  <si>
    <t>応募日 ： 2020/11/21</t>
  </si>
  <si>
    <t xml:space="preserve">株式会社アソウ・アルファ 【勤務地考慮】ITエンジニア　※手厚いキャリアサポート／残業16H／麻生グループ </t>
  </si>
  <si>
    <t>応募日 ： 2020/11/19</t>
  </si>
  <si>
    <t xml:space="preserve">株式会社マイクロウェーブ 【PM】プロジェクトマネジャー　※プライム案件100%／組織マネジメント・上流工程へのキャリアパス </t>
  </si>
  <si>
    <t>応募日 ： 2020/11/15</t>
  </si>
  <si>
    <t xml:space="preserve">パーソルプロセス＆テクノロジー株式会社 【リモート可】PL/PM～戦略立案・企画から、設計・構築、運用保守まで一気通貫でPJTに携わる～ </t>
  </si>
  <si>
    <t xml:space="preserve">株式会社ＬＩＶＮＥＸ　Ｈｏｕｓｅ 【東京/新橋】PM(IT部門立ち上げ/外注管理) ※管理職候補/『住む』をトータルデザインする </t>
  </si>
  <si>
    <t xml:space="preserve">株式会社ボールド 【専任コーチ制度などでキャリアをバックアップ】システムエンジニア※充実の評価制度/残業月平均17時間 </t>
  </si>
  <si>
    <t xml:space="preserve">ジャパニアス株式会社 【首都圏】業務系システムエンジニア～希望勤務地配属◆転勤なし◆離職率２％以下◆自社内開発拠点あり～ </t>
  </si>
  <si>
    <t>応募日 ： 2020/11/13</t>
  </si>
  <si>
    <t xml:space="preserve">アートシステム株式会社 常駐SE※オープンポジション,スキルや希望に応じてアサインを決定！あなたの希望が見つかる可能性有 </t>
  </si>
  <si>
    <t>応募日 ： 2020/11/10</t>
  </si>
  <si>
    <t xml:space="preserve">株式会社システナ【東証一部上場/健康経営優良法人2020】 金融系システムエンジニア※東証一部上場企業／9割以上が直請け </t>
  </si>
  <si>
    <t xml:space="preserve">株式会社センティックテクノロジー 【田町】プロジェクトマネージャー（汎用機系）※PM経験不問／キャリアアップを目指したい方歓迎／転勤無 </t>
  </si>
  <si>
    <t xml:space="preserve">株式会社コミュニケーションサービス 【プロジェクトマネジャー】プライム案件多数／金融や物流系などを中心に大手企業との取引多数／業績拡大中 </t>
  </si>
  <si>
    <t xml:space="preserve">株式会社情報技術社 【東京】システムエンジニア職（PL候補）※上流工程から参画可能/月平均残業15時間/請負案件※ </t>
  </si>
  <si>
    <t xml:space="preserve">株式会社パシフィックシステム ITエンジニア（アプリ・インフラ）／前職給与考慮／面接1回 </t>
  </si>
  <si>
    <t>応募日 ： 2020/11/09</t>
  </si>
  <si>
    <t xml:space="preserve">パーソルワークスデザイン株式会社 課題に先回りするヘルプデスク／年間休日120日（土日・祝） </t>
  </si>
  <si>
    <t>応募日 ： 2020/11/06</t>
  </si>
  <si>
    <t xml:space="preserve">株式会社テクノクリエイティブ システムエンジニア／上流工程から担う／残業月15H程度 </t>
  </si>
  <si>
    <t>応募日 ： 2020/11/05</t>
  </si>
  <si>
    <t xml:space="preserve">キャリアリンク株式会社 人材サービスの営業／未経験歓迎／年間休日123日・賞与年2回 </t>
  </si>
  <si>
    <t>応募日 ： 2020/11/04</t>
  </si>
  <si>
    <t xml:space="preserve">株式会社ワークビュー 【業界未経験歓迎】両面型人材紹介コンサルタント※大手企業との取引実績多数 </t>
  </si>
  <si>
    <t xml:space="preserve">ＩＮＴＬＯＯＰ株式会社 転職エージェント（コンサルタント・エンジニア紹介）／経営課題解決支援サービスの提供 </t>
  </si>
  <si>
    <t xml:space="preserve">サンダーソフトジャパン株式会社 Onsite PM </t>
  </si>
  <si>
    <t>応募日 ： 2020/11/03</t>
  </si>
  <si>
    <t xml:space="preserve">株式会社スプラシア プロジェクトマネージャー　※自社サービス／常駐無・直請け率高／JASDAQ上場博展グループ </t>
  </si>
  <si>
    <t xml:space="preserve">日鉄ソリューションズ株式会社 【鉄鋼】APSE　※COBOL系開発経験歓迎/アプリケーションエンジニア </t>
  </si>
  <si>
    <t xml:space="preserve">TIS株式会社 クレジットカードシステム／業務アプリケーションエンジニア【PF事/APS】 </t>
  </si>
  <si>
    <t>応募日 ： 2020/11/02</t>
  </si>
  <si>
    <t xml:space="preserve">株式会社アイディーエス 【プライム9割超】オフショア開発のPM　～ベトナム開発チームをマネジメントするエンジニア </t>
  </si>
  <si>
    <t xml:space="preserve">株式会社ジーネクスト 【東京】プロダクトマネージャー ※「お客さまの声で世界を変える」/業界特化型プラットフォームを開発 </t>
  </si>
  <si>
    <t xml:space="preserve">株式会社ユーネット 開発エンジニア／経験者全員面接／土日祝休み／年休120日以上 </t>
  </si>
  <si>
    <t>応募日 ： 2020/10/29</t>
  </si>
  <si>
    <t xml:space="preserve">株式会社シャインソフト クラウドエンジニア・アジャイル開発エンジニア／前職給与保証 </t>
  </si>
  <si>
    <t xml:space="preserve">株式会社北電子ホールディングス 社内SE（昨年度は賞与7.0カ月分／テレワーク可／高定着率） </t>
  </si>
  <si>
    <t xml:space="preserve">株式会社セラク インフラエンジニア／1年程度のかじった経験でOK／研修あり </t>
  </si>
  <si>
    <t>応募日 ： 2020/10/28</t>
  </si>
  <si>
    <t xml:space="preserve">株式会社ホロンシステム 【東京】業務系システムエンジニア　★残業月平均13h／上流案件多数★ </t>
  </si>
  <si>
    <t>応募日 ： 2020/10/23</t>
  </si>
  <si>
    <t xml:space="preserve">株式会社信興テクノミスト アプリ開発エンジニア（リーダー／サブリーダー候補）～1930年創業の老舗IT企業／公共系案件多数 </t>
  </si>
  <si>
    <t xml:space="preserve">リコーリース株式会社 【オープンポジション】社内SE（上流工程）◆残業月20H程度/リコーグループ/プロジェクト管理、推進 </t>
  </si>
  <si>
    <t xml:space="preserve">株式会社ＶＳＮ 開発エンジニア（SE／PG）／入社時に年収UPした先輩多数！ </t>
  </si>
  <si>
    <t xml:space="preserve">株式会社アイネット SE・PG／20・30代活躍中／官公庁案件中心／完全土日休み </t>
  </si>
  <si>
    <t>応募日 ： 2020/10/22</t>
  </si>
  <si>
    <t xml:space="preserve">株式会社マネジメントソリューションズ 【ポテンシャル採用】実行支援型PMO(ＩＴコンサルタント) </t>
  </si>
  <si>
    <t>応募日 ： 2020/10/21</t>
  </si>
  <si>
    <t xml:space="preserve">株式会社ワンズパワー 【東京】システム開発PMO ～残業平均18時間～ </t>
  </si>
  <si>
    <t xml:space="preserve">株式会社テンダ ITソリューション部門部長及びWeb系システムにおけるPM担当／プライム８割強 </t>
  </si>
  <si>
    <t xml:space="preserve">TIS株式会社 大規模プロジェクトおよび複数プロジェクトを統括するPMO※共に業種、業態は問わず【BI事/PM】 </t>
  </si>
  <si>
    <t xml:space="preserve">株式会社テネオス システムエンジニア【ブランク・離職歓迎！】～要件定義から保守まで／面接1回／残業時間月10H </t>
  </si>
  <si>
    <t xml:space="preserve">株式会社デジタルビジョン システムエンジニア◆プライム案件７割◆オープン系～汎用機系まで経験・希望に応じてお任せ！ </t>
  </si>
  <si>
    <t xml:space="preserve">株式会社ユニテック　 【東京都】銀行系システムエンジニア（勘定系、情報系、基盤、他）の経験者募集！ </t>
  </si>
  <si>
    <t xml:space="preserve">三菱総研ＤＣＳ株式会社 【三菱UFJグループ】PL,PM候補(クレジットカード)※Java,COBOL,金融経験歓迎 </t>
  </si>
  <si>
    <t xml:space="preserve">株式会社クリア ITエンジニア／余計なストレスから解放します／副業OK </t>
  </si>
  <si>
    <t xml:space="preserve">ＳＰＩ株式会社 SE／年収1000万以上を目指す貴方へ～貴方の努力が花開く～ </t>
  </si>
  <si>
    <t xml:space="preserve">アバンテック株式会社（AVANTEC CO.,LTD.） 企画営業（法人）／年休124日／残業月平均10h／賞与年2回 </t>
  </si>
  <si>
    <t>応募日 ： 2020/10/20</t>
  </si>
  <si>
    <t xml:space="preserve">株式会社スカイテック IT営業職／業界未経験歓迎／月給30万円以上 </t>
  </si>
  <si>
    <t xml:space="preserve">株式会社ウェルスペック ITエンジニア／幅広い案件あり・年間休日125日以上・残業少 </t>
  </si>
  <si>
    <t xml:space="preserve">株式会社サンシーア ITエンジニア／自社内開発あり／在宅勤務実施中／SE・PG </t>
  </si>
  <si>
    <t xml:space="preserve">株式会社外為どっとコム BtoC向け自社サービスや社内システムのPM候補　社内SE </t>
  </si>
  <si>
    <t xml:space="preserve">株式会社エフ・エム 定着率99％のITエンジニア（開発・インフラ）／年休125日 </t>
  </si>
  <si>
    <t xml:space="preserve">ＮＥＣチャイナ・ソフトジャパン株式会社 開発・インフラエンジニア／完全週休2日制／年間休日129日 </t>
  </si>
  <si>
    <t xml:space="preserve">株式会社アールラーニング 微経験・経験者まで幅広く大歓迎！前職給与保証／ITエンジニア </t>
  </si>
  <si>
    <t xml:space="preserve">イーストライズ株式会社 PG・SE／年休125日／U・Iターン支援など福利厚生充実 </t>
  </si>
  <si>
    <t>応募日 ： 2020/10/19</t>
  </si>
  <si>
    <t xml:space="preserve">株式会社ＣＡＩＣＡ 開発エンジニア／大手銀行と直取引／年収800万円も可 </t>
  </si>
  <si>
    <t xml:space="preserve">デジタル・インフォメーション・テクノロジー株式会社 開発エンジニア（Web／業務系／IoT関連など） </t>
  </si>
  <si>
    <t xml:space="preserve">株式会社ネクサージ 開発エンジニア／前給保証／残業なし／1600案件から選択 </t>
  </si>
  <si>
    <t xml:space="preserve">株式会社エスネットプラス ITエンジニア／経験者＆未経験者大歓迎／年間休日127日 </t>
  </si>
  <si>
    <t xml:space="preserve">株式会社アクセスネット 開発エンジニア（Web・オープン・汎用系）／年休125日 </t>
  </si>
  <si>
    <t xml:space="preserve">株式会社アクロスペイラ 前職給与保証／PL・PM候補／WEB・スマホアプリエンジニア </t>
  </si>
  <si>
    <t>応募日 ： 2020/10/13</t>
  </si>
  <si>
    <t xml:space="preserve">株式会社ジェイ・クリエイション 自社サービス等開発エンジニア／東京・福岡同時募集／PL・PM </t>
  </si>
  <si>
    <t xml:space="preserve">株式会社クルージス 自社内開発エンジニア／月給32万～65万円／平均残業16時間 </t>
  </si>
  <si>
    <t>応募日 ： 2020/10/09</t>
  </si>
  <si>
    <t xml:space="preserve">株式会社フォーラムエンジニアリング【コグナビ】 働き方が変わる！ITエンジニア／アプリ・組み込み・インフラ等 </t>
  </si>
  <si>
    <t xml:space="preserve">株式会社テクノ情報システム 金融系システムエンジニア／創業以来黒字経営／年間休日125日 </t>
  </si>
  <si>
    <t xml:space="preserve">株式会社日本オーエー研究所 システムエンジニア／官公庁の大規模プロジェクトにチームで参画 </t>
  </si>
  <si>
    <t xml:space="preserve">株式会社Ｆｒｅｅｗｉｌｌ ITエンジニア／グローバルに活躍／自社サービス・先端技術も </t>
  </si>
  <si>
    <t xml:space="preserve">株式会社ＮＥＷ ＧＡＴＥ （面接保証）営業／残業月20h以下／土日祝休／住宅・家族手当 </t>
  </si>
  <si>
    <t xml:space="preserve">株式会社ＤＵＥ 締切間近／ITエンジニア／前職給与保証／40代以上も歓迎 </t>
  </si>
  <si>
    <t>応募日 ： 2020/10/06</t>
  </si>
  <si>
    <t xml:space="preserve">株式会社フューチャリスティック・オーバービュー・ソリューション SES営業／経験者募集／年収500～1000万／現職年収保証 </t>
  </si>
  <si>
    <t>応募日 ： 2020/10/05</t>
  </si>
  <si>
    <t xml:space="preserve">ランスタッド株式会社 人材コンサルタント（IT業界特化／リモート環境完備／土日休） </t>
  </si>
  <si>
    <t xml:space="preserve">株式会社グローバルシンキング インフラ・開発エンジニア／PL・PM育成中／給与は希望尊重 </t>
  </si>
  <si>
    <t>応募日 ： 2020/10/02</t>
  </si>
  <si>
    <t xml:space="preserve">株式会社エル・フィールド ITエンジニア／年間休日130日／残業月10時間以内 </t>
  </si>
  <si>
    <t xml:space="preserve">株式会社エムアイ・ラボ プロジェクトマネージャー／エアライン・旅行業界案件がメイン </t>
  </si>
  <si>
    <t>応募日 ： 2020/09/25</t>
  </si>
  <si>
    <t xml:space="preserve">株式会社Ｎｅｏ　Ｓｐｏｒｔｓ PM候補（当社を支える開発チームメンバー募集） </t>
  </si>
  <si>
    <t xml:space="preserve">株式会社パソナテック ITエンジニア／AI／WEB開発／クラウド </t>
  </si>
  <si>
    <t>応募日 ： 2020/09/24</t>
  </si>
  <si>
    <t xml:space="preserve">株式会社純アシスト システムエンジニア（Web／オープン／アプリ／汎用系開発） </t>
  </si>
  <si>
    <t>応募日 ： 2020/09/23</t>
  </si>
  <si>
    <t xml:space="preserve">株式会社B・P・S SE・PG／入社祝い金最大30万円支給／完全週休2日制 </t>
  </si>
  <si>
    <t xml:space="preserve">株式会社システムウエスト SE／賞与年2回／完全週休2日制（土日祝）／退職金制度あり </t>
  </si>
  <si>
    <t xml:space="preserve">株式会社アイ・テクノ 未経験歓迎のアプリエンジニア／完全週休2日制 </t>
  </si>
  <si>
    <t xml:space="preserve">株式会社マッシュアップブレイン 開発エンジニア／前職給与保証／安定経営／希望を考慮した配属 </t>
  </si>
  <si>
    <t xml:space="preserve">株式会社ＮＳＤ 開発エンジニア／最上流から関われる／PL・PMも挑戦可能 </t>
  </si>
  <si>
    <t xml:space="preserve">株式会社ブレーンナレッジシステムズ【ヒューマンクリエイショングループ】 開発エンジニア／成長企業でエンジニアとしての価値を高める </t>
  </si>
  <si>
    <t xml:space="preserve">株式会社フォーラムエンジニアリング【コグナビ】 経験者歓迎！ITエンジニア（アプリ・組み込み・インフラなど） </t>
  </si>
  <si>
    <t xml:space="preserve">株式会社ハイペリオン IT営業職／年間休日120日／月給35万円以上／土日面接OK </t>
  </si>
  <si>
    <t>応募日 ： 2020/09/22</t>
  </si>
  <si>
    <t xml:space="preserve">株式会社オープンループパートナーズ 人材サービス総合職（未経験歓迎／年休120日／定着率92％） </t>
  </si>
  <si>
    <t>応募日 ： 2020/09/19</t>
  </si>
  <si>
    <t xml:space="preserve">アデコ株式会社 人事コンサルタント営業（新規営業・インサイドセールス） </t>
  </si>
  <si>
    <t xml:space="preserve">株式会社メディアフォース ITエンジニア／未経験の今こそ差をつけよう！4カ月の研修あり </t>
  </si>
  <si>
    <t>応募日 ： 2020/09/18</t>
  </si>
  <si>
    <t xml:space="preserve">キャル株式会社 ITエンジニア／40～50代活躍／Web土日面接可／前給保証 </t>
  </si>
  <si>
    <t xml:space="preserve">株式会社Ｓｕｎ　Ａｓｔｅｒｉｓｋ グローバルPM（ブリッジSE/自社ソリューションサービス） ～急成長中のDX推進事業～ </t>
  </si>
  <si>
    <t>応募日 ： 2020/09/10</t>
  </si>
  <si>
    <t>応募日 ： 2020/09/09</t>
  </si>
  <si>
    <t xml:space="preserve">株式会社 大京 【東京】社内SE（アプリ）※情報システム部の基盤強化のための募集／攻めのIT経営銘柄」受賞 </t>
  </si>
  <si>
    <t>応募日 ： 2020/08/29</t>
  </si>
  <si>
    <t>応募日 ： 2020/08/23</t>
  </si>
  <si>
    <t xml:space="preserve">株式会社Ｓｕｎ　Ａｓｔｅｒｉｓｋ （sun*Inc.） グローバルPM（自社ソリューションサービス） ～急成長中のDX推進事業～ </t>
  </si>
  <si>
    <t>既読</t>
  </si>
  <si>
    <t>株式会社ヴェス</t>
  </si>
  <si>
    <t>PL/賞与年2回/フレックス制/プライム案件多数/退職金制度/家族手当・役職手当/キャリアチェンジ歓迎</t>
  </si>
  <si>
    <t>株式会社ファミリーマート</t>
  </si>
  <si>
    <t>社内SE◆ファミリーマート内、各システムのデジタル戦略担当◆自社内勤務◆福利厚生充実◆マネージャー候補</t>
  </si>
  <si>
    <t>株式会社エム・アンド・アイ</t>
  </si>
  <si>
    <t>プロジェクトリーダー・PM候補（SE/PG）/関東・九州同時募集/残業月平均7.5時間</t>
  </si>
  <si>
    <t>株式会社テクノクリエイティブ</t>
  </si>
  <si>
    <t>【インフラエンジニア（AWS、5G、クラウド、セキュリティ）】◆設計・構築・運用◆年休125日◆転勤なし</t>
  </si>
  <si>
    <t>※この求人には、面接に役立つ情報が用意されています。面接情報を見る</t>
  </si>
  <si>
    <t>株式会社ディマージシェア</t>
  </si>
  <si>
    <t>【PM/PL】20代でPMも可能*100％プライム案件*上流～下流の一気通貫*業界トップシェア自社製品</t>
  </si>
  <si>
    <t>株式会社アクロスペイラ</t>
  </si>
  <si>
    <t>PM/PL候補(プライム案件多数/自社開発有)◆年収550万～◆前職給与保証◆年間休日130日～◆在宅/リモート可</t>
  </si>
  <si>
    <t>シンクデータコミュニケーション株式会社</t>
  </si>
  <si>
    <t>ITコンサルタント★少数企業ながら大手コンサル並みの案件に携われる★SAP経験者歓迎★残業20時間程度</t>
  </si>
  <si>
    <t>株式会社ビジネスブレイン太田昭和（BBS）【東証一部上場企業】</t>
  </si>
  <si>
    <t>【PM/PL】エンジニア経験が活かせる/資格取得支援制度あり/研修充実/日系コンサルファーム/前職給与考慮</t>
  </si>
  <si>
    <t>株式会社ソフトワイズ</t>
  </si>
  <si>
    <t>開発エンジニア/大手案件多数/有休100%取得/残業ほぼなし/80％がリモートワーク/顔認証・AI等多彩な案件有</t>
  </si>
  <si>
    <t>株式会社キュービックソリューションズ</t>
  </si>
  <si>
    <t>SE(Web系)／前職年収保障！／豊富な案件数あり／連続休暇5日以上の取得OK／20代30代が約9割！</t>
  </si>
  <si>
    <t>コベルコシステム株式会社【日本IBM／神戸製鋼グループ】</t>
  </si>
  <si>
    <t>インフラエンジニア（サーバーエンジニア）■PL/PM候補■自社内勤務■フレックス制■在宅勤務制度あり</t>
  </si>
  <si>
    <t>PL・PM候補(金融オープン系システム開発・Java)■年収500万円以上■残業月平均17時間■離職率3%</t>
  </si>
  <si>
    <t>ネットチャート株式会社【東証一部上場企業IIJグループ】</t>
  </si>
  <si>
    <t>PL/PM（自社内基幹システムのインフラチーム）/100％自社内/月給35万円～/年休123日/残業月平均20H/飯田橋</t>
  </si>
  <si>
    <t>アヴァント株式会社</t>
  </si>
  <si>
    <t>PM・PL候補◆約9割の転職者が年収UP◆60代も活躍中◆残業月平均約8h◆PM月給45万～◆リモート8割以上</t>
  </si>
  <si>
    <t>CLINKS株式会社</t>
  </si>
  <si>
    <t>テレワークPL/PM【2021年テレワーク推進賞 優秀賞受賞】週5日リモートワークOK*副業OK*月給最大50万円START</t>
  </si>
  <si>
    <t>株式会社プロトソフト</t>
  </si>
  <si>
    <t>PM候補/40代活躍中/月給46万円～80万円/平日夜間・土日面接OK/入社祝い金20万円/リモート勤務</t>
  </si>
  <si>
    <t>株式会社システム・クリエイト</t>
  </si>
  <si>
    <t>【PM・PL候補】（アプリ開発系）想定年収500～750万円/残業10時間未満/大手企業直取引約9割/年間休日125日</t>
  </si>
  <si>
    <t>株式会社キュリオカプセル</t>
  </si>
  <si>
    <t>PL・PM候補/リモートワーク/賞与4ヶ月分/インセンティブ40万円/前給保証/フレックス/副業可/平均残業月10H</t>
  </si>
  <si>
    <t>テックスエンジソリューションズ株式会社（東証一部上場企業グループ）</t>
  </si>
  <si>
    <t>PM/定着率95%/大手直請け案件多数/年収950万も可能/リモートあり/オンライン面接1回</t>
  </si>
  <si>
    <t>株式会社フォーエス</t>
  </si>
  <si>
    <t>PM・PL/リモート勤務推奨/担当案件受託9割/月給42万円～/1時間単位の有休*Java/PHP/Kotlin/Swift5.3</t>
  </si>
  <si>
    <t>サン・エム・システム株式会社</t>
  </si>
  <si>
    <t>エンジニア【100％自社内開発】/月給40万円以上＋賞与3ヶ月分/家族・住宅手当/上流工程多数/web面接OK</t>
  </si>
  <si>
    <t>株式会社タウ</t>
  </si>
  <si>
    <t>社内SE/月給40万円以上/社内システムの企画・要件定義メイン/残業月10h以内/住宅手当有/リモートワーク可</t>
  </si>
  <si>
    <t>株式会社トランスアクト</t>
  </si>
  <si>
    <t>開発エンジニア＜定着率90%＞将来の自社内開発リーダー候補！コロナ渦でも事業拡大中のため募集中</t>
  </si>
  <si>
    <t>アジアクエスト株式会社</t>
  </si>
  <si>
    <t>開発ディレクター（PM）／前給保証／月給30万～／土日祝休／テレワーク実施中／オンライン面接実施中</t>
  </si>
  <si>
    <t>コンピュータ・ハイテック株式会社</t>
  </si>
  <si>
    <t>PM・PL/自社内開発/直取引案件が9割以上/月給40万円～/自社サービスあり/残業代全額支給/フレックス制</t>
  </si>
  <si>
    <t>株式会社テクノモバイル</t>
  </si>
  <si>
    <t>受託案件(BtoC)のPL・PMメンバー◆直取引案件90%◆上流工程～開発◆渋谷・難波</t>
  </si>
  <si>
    <t>アークシステム株式会社</t>
  </si>
  <si>
    <t>PM・PL/最上流から一貫して携われる//年間休日128日/在宅勤務可能案件あり/前職以上給与保障</t>
  </si>
  <si>
    <t>株式会社アズールドットネット</t>
  </si>
  <si>
    <t>ITコンサルタント★エンジニア経験不問★業務に精通している方★年俸850万円～★大手SIer直請け大規模案件</t>
  </si>
  <si>
    <t>株式会社シンメトリア</t>
  </si>
  <si>
    <t>PM◆前職給与保証◆年俸700万～◆公共系案件多数◆残業ほぼなし◆フレックスタイム制OK</t>
  </si>
  <si>
    <t>株式会社インフォメーションポート</t>
  </si>
  <si>
    <t>PM・PL候補【あなたの技術、本当に活かされてる？】技術志向の職人歓迎！/年収500万円可/エンジニアが主役</t>
  </si>
  <si>
    <t>【PMO】★PMやPMO経験不問★リモートワーク★月給40万～60万円スタート★SAP経験者歓迎★残業20時間程度</t>
  </si>
  <si>
    <t>株式会社ワクト</t>
  </si>
  <si>
    <t>プロジェクトマネージャー【自社内開発】/前職給与保証/直請け案件多数/上場企業グループ/リモートあり</t>
  </si>
  <si>
    <t>株式会社リーディング・エッジ社</t>
  </si>
  <si>
    <t>PL・PM／エンドユーザー直取引多数／月給最大56万円スタート／受託案件有り／東証一部上場グループ</t>
  </si>
  <si>
    <t>株式会社トライ・ハード</t>
  </si>
  <si>
    <t>PM・PL/自社内開発/前職給与を保証/年休140日～/残業月20h以下/住宅・家族手当あり</t>
  </si>
  <si>
    <t>株式会社人財ソリューション</t>
  </si>
  <si>
    <t>PM/大規模プロジェクト/上流経験不問！PL・SE出身者多数/月給40万～/自社内開発/受託7割/女性も活躍中</t>
  </si>
  <si>
    <t>株式会社フレクト</t>
  </si>
  <si>
    <t>PM/マルチクラウドを活用/9割プライム案件/月給62万5千円～/テレワーク推奨</t>
  </si>
  <si>
    <t>株式会社コンテンツワン【フォーデジットグループ】</t>
  </si>
  <si>
    <t>PM・PL/95％直取引/前給保証/年1000万円可能/在宅勤務率97.1％/有給消化率ほぼ100％/カジュアル面談可</t>
  </si>
  <si>
    <t>株式会社クランタス</t>
  </si>
  <si>
    <t>SE(PM・PL候補)/年収1000万～2000万以上も可能/大手企業との直取引案件あり/経営にも携われる/上流案件多数</t>
  </si>
  <si>
    <t>株式会社SYSNAG</t>
  </si>
  <si>
    <t>PM◆官公庁や大手銀行など直接取引！◆前給保証（月給40万円以上）／年間休日126日／WEB面接OK</t>
  </si>
  <si>
    <t>エム・ティ・ストラテジー株式会社</t>
  </si>
  <si>
    <t>【PM／ITコンサル候補】実践研修＋専門研修により成長★DX時代の最前線で活躍する人材になりませんか？</t>
  </si>
  <si>
    <t>株式会社　日翔テクノ</t>
  </si>
  <si>
    <t>PM・PL／年齢不問・ブランクOK*ウェアラブルシステム*自社内開発*年収700万円も可*リモートOK</t>
  </si>
  <si>
    <t>株式会社デジタイズ</t>
  </si>
  <si>
    <t>キャリアアドバイザー：8期連続成長/賞与3回/ビジネスカジュアル/iPhone・VAIO支給</t>
  </si>
  <si>
    <t>株式会社グローバルシンキング</t>
  </si>
  <si>
    <t>ITエンジニア組織マネジメント職【成長中の総合SI企業／組織拡大を担うコア人材募集】</t>
  </si>
  <si>
    <t>株式会社ランウェイ</t>
  </si>
  <si>
    <t>PM◆コンサル未経験歓迎◆コアメンバーとして活躍◆年収500万円以上◆リモート案件あり</t>
  </si>
  <si>
    <t>株式会社写易</t>
  </si>
  <si>
    <t>PL候補【前給保証】月給35.7万円以上◆上流に携われる案件豊富◆在宅ワークOK◆完全自社内開発</t>
  </si>
  <si>
    <t>株式会社テクノプロ　テクノプロ・デザイン社【東証一部上場】</t>
  </si>
  <si>
    <t>【プロジェクトマネジャー】企画・設計～開発/クラウド・IoT開発/賞与年2回+業績賞与</t>
  </si>
  <si>
    <t>Technocrats Japan株式会社</t>
  </si>
  <si>
    <t>【ITエンジニア】50代活躍中◆年齢不問◆常時100種類のプロジェクトに参画！◆生保・金融系の案件多数</t>
  </si>
  <si>
    <t>株式会社パーソンズ</t>
  </si>
  <si>
    <t>汎用系エンジニア[ベテランも活躍/賞与複数月/残業月平均約11時間/金融系、官公庁向けのシステム開発あり]</t>
  </si>
  <si>
    <t>Axia Works合同会社</t>
  </si>
  <si>
    <t>【PM】テレワーク/在宅勤務OK/60％以上の高還元率/残業ほぼなし/新規事業への参画可能/年休120日～</t>
  </si>
  <si>
    <t>株式会社アルク</t>
  </si>
  <si>
    <t>PMO（PM補佐）◆リモートOK◆オンライン面接◆転勤なし◆経営にも携われる◆充実の福利厚生◆フレックス</t>
  </si>
  <si>
    <t>フォーザウィン株式会社</t>
  </si>
  <si>
    <t>PM・PL・ITコンサル◆経験者募集◆◆前給保証◆30~40代活躍中◆面接1回◆オンライン面接実施中</t>
  </si>
  <si>
    <t>ヒートウェーブ株式会社</t>
  </si>
  <si>
    <t>ITスクール運営スタッフ（社内SE）/賞与年2回/自社内勤務/月給25万円～/20代活躍中/サポート充実</t>
  </si>
  <si>
    <t>株式会社マルチウェーブ</t>
  </si>
  <si>
    <t>【品質保証】年俸400万円～800万円◆100%自社内◆週休2日制(土日)◆ベテラン層も歓迎◆女性も歓迎</t>
  </si>
  <si>
    <t>バルテス株式会社 東京本社</t>
  </si>
  <si>
    <t>品質コンサルタント／直接取引8割／大手企業案件多数／ホワイト企業認定／家族手当あり／売上成長率120％</t>
  </si>
  <si>
    <t>エクスウェア株式会社</t>
  </si>
  <si>
    <t>SE（PL候補）／PL未経験OK*自社内開発メイン*リモートOK*残業月13時間程度*年休128日以上*月給40万円以上</t>
  </si>
  <si>
    <t>イグニション・ポイント インサイト株式会社</t>
  </si>
  <si>
    <t>ITエンジニア◆前職給与保証／年収1000万円も可◆フレックス◆在宅可◆Java､PHP､Ruby､Python､Golang等</t>
  </si>
  <si>
    <t>ゼネリックソリューション株式会社</t>
  </si>
  <si>
    <t>ソフトウェア・エンジニア■目の前から、社会を変えていく。ビッグデータ解析＆人工知能カンパニー</t>
  </si>
  <si>
    <t>株式会社パソナテック</t>
  </si>
  <si>
    <t>ITエンジニア／RPA・AI・インフラ・クラウド・WEB開発／プライム案件多数</t>
  </si>
  <si>
    <t>ベース株式会社【東証一部上場】</t>
  </si>
  <si>
    <t>PM/PL候補◆前給保証◆24期連続黒字経営◆AI／クラウド（AWS/Azure）／データサイエンス等に注力</t>
  </si>
  <si>
    <t>PM/PL候補◆前給保証◆年収1000万円も可◆24期連続黒字経営◆オンライン選考実施中◆30代・40代多数活躍中</t>
  </si>
  <si>
    <t>株式会社ヒューマンテクノロジーズ</t>
  </si>
  <si>
    <t>IT講師/社内での各種IT研修を担当/リモートワーク/月給28万～42万円/オープニングポジション募集</t>
  </si>
  <si>
    <t>株式会社エーエルジェイ</t>
  </si>
  <si>
    <t>ITスクールインストラクター◆講師未経験OK◆残業ほぼなし◆20・30代活躍中◆福利厚生40種以上！</t>
  </si>
  <si>
    <t>タイズ株式会社</t>
  </si>
  <si>
    <t>人材コーディネーター/未経験OK/ノルマなし/月給30万円～＋賞与年2回/年休125日/残業ほぼなし</t>
  </si>
  <si>
    <t>株式会社グローバルスタイル</t>
  </si>
  <si>
    <t>プロジェクトマネージャー（技術部門の責任者候補）★オフショアリングで海外とも連携！</t>
  </si>
  <si>
    <t>セブンシーズ株式会社</t>
  </si>
  <si>
    <t>エンジニア【PMO】◆40代・50代活躍中◆テレワーク有◆年間休日127日◆残業月平均20時間以内◆WEB面接OK</t>
  </si>
  <si>
    <t>株式会社SHIFT【東証一部上場】</t>
  </si>
  <si>
    <t>品質保証コンサルタント(候補)／想定年収700～1200万／昇給率年平均10.7%／直請案件70％／リモートあり</t>
  </si>
  <si>
    <t>クロスシステムサービス株式会社</t>
  </si>
  <si>
    <t>ITコンサルタント（社員支援・PM）／金融機関システムメイン／プライムベンダー／年俸600～800万円</t>
  </si>
  <si>
    <t>品質保証エンジニア/月給32万円～/毎年約150%成長/月平均残業10.3H/平均年休130日以上/リモートあり</t>
  </si>
  <si>
    <t>Ｔｒｉｇｇｅｒ株式会社</t>
  </si>
  <si>
    <t>人材コーディネーター/土日祝休み/月給30万円～/10時出社/完全週休2日制/直行直帰OK</t>
  </si>
  <si>
    <t>SE・PG【その職場、スキルアップできますか？】上昇志向のエンジニア歓迎/年収450万円可/エンジニアが主役</t>
  </si>
  <si>
    <t>株式会社イズム</t>
  </si>
  <si>
    <t>開発エンジニア/前職給与保証/受託6割・自社勤務可/リモートOK/下請けなし・顧客と近い仕事のみ</t>
  </si>
  <si>
    <t>株式会社ワールド・アメニティー</t>
  </si>
  <si>
    <t>SE◆100％プライム◆自社内開発メイン◆住宅手当有◆要件抽出/要件定義から◆リモートワーク導入◆私服OK</t>
  </si>
  <si>
    <t>株式会社アップクロス</t>
  </si>
  <si>
    <t>プロジェクトマネージャ・技術責任者（技術部門幹部候補）／システム開発コンサル・開発チームマネジメント</t>
  </si>
  <si>
    <t>株式会社アルス・ウェアー</t>
  </si>
  <si>
    <t>PL◆自社内開発限定（受託）◆月給45万円以上◆フレックス◆残業月13時間◆20年連続黒字</t>
  </si>
  <si>
    <t>株式会社野村総合研究所【ポジションマッチ登録】</t>
  </si>
  <si>
    <t>オープンポジション</t>
  </si>
  <si>
    <t>TDCフューテック株式会社【東証一部上場TDCグループ】</t>
  </si>
  <si>
    <t>PL(PM候補)◆官公庁案件ほぼ100％プライム案件◆受託案件多数◆ 賞与年2回(3.8ヶ月)◆安定黒字経営継続中</t>
  </si>
  <si>
    <t>株式会社セリック</t>
  </si>
  <si>
    <t>PL/有給消化率80％以上/リモートワーク可能/残業基本なし/住宅手当・皆勤手当あり/残業代全額支給</t>
  </si>
  <si>
    <t>株式会社インキュライズ・コンサルティング</t>
  </si>
  <si>
    <t>SE*要件定義等の上流案件や最先端案件多数*リモート率50%以上*前職給与＋30万円保証*Web・ゲーム案件も有</t>
  </si>
  <si>
    <t>株式会社セブン＆アイ・ホールディングス</t>
  </si>
  <si>
    <t>PM/PL■本社勤務■R&amp;D案件などセブン＆アイグループの注力案件を牽引■20・30代活躍中</t>
  </si>
  <si>
    <t>株式会社ＫＰＩソリューションズ</t>
  </si>
  <si>
    <t>自社サービスのPM◆服装自由◆住宅手当最大10万円◆駅チカ自社勤務◆フレックス制（出退社の融通が利く）</t>
  </si>
  <si>
    <t>日本コムシンク株式会社</t>
  </si>
  <si>
    <t>開発エンジニア/社員定着率92％/リモートワーク可/フレックス/プライム8割/健康経営優良法人2020/手当充実</t>
  </si>
  <si>
    <t>株式会社クエスト</t>
  </si>
  <si>
    <t>PMO候補◆プライム案件90％以上◆離職率5％以下◆平均残業月20時間以内◆JASDAQ上場</t>
  </si>
  <si>
    <t>株式会社ウイング</t>
  </si>
  <si>
    <t>テレワークPL/PM*月収36万円以上*月平均残業10～20h*20～40代活躍中*リモートワークOK※条件あり</t>
  </si>
  <si>
    <t>NEWINGS株式会社</t>
  </si>
  <si>
    <t>PMO候補/入社祝い金15万/年収500万以上/リモート推奨/大手・大規模案件多数/年収1000万も可能</t>
  </si>
  <si>
    <t>株式会社タイレルシステムズ</t>
  </si>
  <si>
    <t>プロジェクトマネージャー*リモートワーク*月給42万～60万円*100％自社内*大手企業と直取引</t>
  </si>
  <si>
    <t>コグニビジョン株式会社</t>
  </si>
  <si>
    <t>PL・PM候補◆100％自社内開発◆上流工程のみ◆自社プロダクト◆主力製品を担当◆残業少なめ</t>
  </si>
  <si>
    <t>BeeHive Workers株式会社</t>
  </si>
  <si>
    <t>PM・PL・SE候補◆転職者全員収入UP中◆直取引案件◆5割リモートワーク◆決算賞与あり◆ 残業月10時間以下</t>
  </si>
  <si>
    <t>有限会社ユニバーサル・シェル・プログラミング研究所</t>
  </si>
  <si>
    <t>プレイングマネージャー（PM/PL）*UNIXを使った独自開発手法で有名・大手企業と直取引*インセンティブ充実</t>
  </si>
  <si>
    <t>【PMO】PMO未経験OK/開発経験活かす/年間休日125日以上/月収41万円以上/残業20H以内/リモート案件7割</t>
  </si>
  <si>
    <t>チームラボ株式会社</t>
  </si>
  <si>
    <t>プロジェクトリーダー（Web）/大規模Webシステム開発の新規立ち上げ等をけん引</t>
  </si>
  <si>
    <t>株式会社 GloLing</t>
  </si>
  <si>
    <t>PL/PM候補【4月入社に向けて大募集】フルリモートOK*受託メイン*残業ほぼなし*自社サービスも有</t>
  </si>
  <si>
    <t>株式会社ＤＡＮ</t>
  </si>
  <si>
    <t>IT講師/新人社員研修のITコースを担当/スキルアップ体制充実/4～8月が中心/初めての転職OK/30代活躍中</t>
  </si>
  <si>
    <t>株式会社リベロシステム</t>
  </si>
  <si>
    <t>マネージャー候補（PM／PL候補）◆賞与年2回◆リモートOK（週2～出社）◆残業月平均10.1時間程度</t>
  </si>
  <si>
    <t>株式会社クリエイトラボ</t>
  </si>
  <si>
    <t>プロジェクトリーダー/クラウドプラットフォームのテクニカルサポートPJT/スキルアップ支援あり/残業少なめ</t>
  </si>
  <si>
    <t>エイラシステム株式会社</t>
  </si>
  <si>
    <t>SE・PM◆WEB面接実施中◆グローバルな環境◆ビジネスレベル以上の英語◆リモートワーク案件あり</t>
  </si>
  <si>
    <t>日本コンピュータシステム株式会社</t>
  </si>
  <si>
    <t>SE・PM/PLへのキャリアアップ歓迎・初年度想定年収400～650万円・在宅勤務実施中・男性育休実績多数有り♪</t>
  </si>
  <si>
    <t>株式会社トレストーレス</t>
  </si>
  <si>
    <t>PM/PL候補(SEポジションから徐々に移行可能)前給保証◆Web面接OK◆年齢・転職回数不問◆内定まで最短1週間</t>
  </si>
  <si>
    <t>株式会社 情報創研</t>
  </si>
  <si>
    <t>IT営業◇完全未経験OK◇20代活躍◇プライベート充実の17:30退社◇安心のOJT◇賞与年２回◇コアメンバー募集</t>
  </si>
  <si>
    <t>イエローテイルズ株式会社</t>
  </si>
  <si>
    <t>ITコンサルタント【常駐型】／エンジニア経験を活かす／月給45万円～70万円／残業月10.5h／年休123日以上</t>
  </si>
  <si>
    <t>株式会社インサイト</t>
  </si>
  <si>
    <t>PM/PL候補*メンバ管理だけでなく開発にも携われます*プレイングマネージャー募集*テレワーク可能！</t>
  </si>
  <si>
    <t>株式会社Deporta</t>
  </si>
  <si>
    <t>SE◇求む！PM・PL候補/Power BI/Tableau/Dr.Sum/Python/Java/PHP等の開発経験がある方、特に歓迎</t>
  </si>
  <si>
    <t>ユナイテッドシステム株式会社</t>
  </si>
  <si>
    <t>【PMO】銀行系、損害保険系などの勘定系システム／年間休日125日以上／特別報奨制度あり</t>
  </si>
  <si>
    <t>株式会社スタイル・フリー</t>
  </si>
  <si>
    <t>開発エンジニア*受託・自社サービスあり*入社時点で経験者全員が年収UP(年収1000万円も可) *入社祝金10万</t>
  </si>
  <si>
    <t>株式会社フォー・クオリア【東証1部上場日本エンタープライズグループ】</t>
  </si>
  <si>
    <t>PM・PL◆Web＋最先端領域◆自社内開発◆リモートワーク推奨◆年収500万円以上◆フレックス◆年間休日127日</t>
  </si>
  <si>
    <t>株式会社マリモ・グローバル・テクノロジー</t>
  </si>
  <si>
    <t>PL・PM◆平均残業9.6h◆有休消化率90%◆男性の育休実績有◆90％以上が年収UP◆26期連続黒字経営</t>
  </si>
  <si>
    <t>グローバルリンクス株式会社</t>
  </si>
  <si>
    <t>SE【エンジニアtype転職フェア出展　11/28(土)】月給45万円～/月平均残業約9h/定着率95%/年間休日127日</t>
  </si>
  <si>
    <t>株式会社エイネット</t>
  </si>
  <si>
    <t>テストエンジニア/月給30万円～(東京)/原則リモートワーク/残業月10h/WEB面接推奨/100%直請&amp;大手取引多数</t>
  </si>
  <si>
    <t>株式会社Ｊ＆Ｃカンパニー</t>
  </si>
  <si>
    <t>SE(オフショア開発/自社サービス/企業コンサル)*リモートワークOK*グローバルに活躍*大手企業直請案件多数</t>
  </si>
  <si>
    <t>開発エンジニア◆服装自由◆テレワーク案件多数◆福利厚生・手当が約40個！typeトップクラスの充実度</t>
  </si>
  <si>
    <t>ラーニンギフト株式会社</t>
  </si>
  <si>
    <t>開発エンジニア★入社祝い金支給★プロジェクト手当月平均6万円 ★手当充実★完全週休2日&amp;残業ほぼナシ</t>
  </si>
  <si>
    <t>シー・スリー・アイ株式会社</t>
  </si>
  <si>
    <t>COBOLエンジニア/前給保証/残業20時間以内/リモート案件あり/コロナ禍でも案件待機ゼロ/転職回数不問</t>
  </si>
  <si>
    <t>株式会社 光和コンピューター</t>
  </si>
  <si>
    <t>システムエンジニア/自社サービス/自社内開発中心/40～50代活躍/月給40万円～/汎用機系スキルの方も可</t>
  </si>
  <si>
    <t>株式会社ラーカイラム　海外教育事業部</t>
  </si>
  <si>
    <t>サービススタッフ（介護・ホテルほか多彩な分野あり）★業界・職種未経験歓迎　★国籍・学歴不問</t>
  </si>
  <si>
    <t>株式会社GSI</t>
  </si>
  <si>
    <t>【PL/PM候補】土日面接対応可/賞与年2回/平均残業時間16h/年間休日128日以上/定着率90％以上</t>
  </si>
  <si>
    <t>日本アイ・ビー・エム デジタルサービス株式会社（略称 : IJDS）【日本IBM100%出資会社】</t>
  </si>
  <si>
    <t>ITエンジニア/Web研修充実/50名以上の大規模採用/リモートワークも可/首都圏or仙台勤務/DX領域に挑戦できる</t>
  </si>
  <si>
    <t>【IT系人材コーディネーター】◆未経験者歓迎◆学歴不問◆年間休日120日以上◆設立40年の安定企業</t>
  </si>
  <si>
    <t>SGシステム株式会社【SGホールディングスグループ】</t>
  </si>
  <si>
    <t>PM･PL/100%自社内&amp;リモート勤務推奨/最先端技術で顧客課題を解決/SGホールディングスでDX注目企業2020選定</t>
  </si>
  <si>
    <t>汎用系エンジニア【学歴不問/若手～ベテラン活躍中/年間休日120日以上/残業少なめ/首都圏勤務/転勤なし】</t>
  </si>
  <si>
    <t>フューチャーレイズ株式会社【FutureRays】</t>
  </si>
  <si>
    <t>【PM候補】ITコンサル・ITアーキテクト・SE業務もあり◆月給30～70万円◆年間休日125日</t>
  </si>
  <si>
    <t>株式会社 第一情報システムズ</t>
  </si>
  <si>
    <t>PL候補＊月収33万1700円以上＊設立47年安定基盤＊賞与4.96ヶ月分＊残業14.6h【Web面接OK】</t>
  </si>
  <si>
    <t>株式会社ONE COMPATH</t>
  </si>
  <si>
    <t>Shufoo!のPM＜全国4400社・月間1100万人が利用するサービス＞/フレックス導入/年休130日/男性育休実績あり</t>
  </si>
  <si>
    <t>株式会社 システム情報【東証一部上場】</t>
  </si>
  <si>
    <t>開発エンジニア◆プライム&amp;大規模案件メイン◆残業月平均15h◆リモート&amp;時差出勤有り</t>
  </si>
  <si>
    <t>プロジェクトマネージャー／上流経験不問！／想定年収700万円以上／プライム案件70％以上／リモートあり</t>
  </si>
  <si>
    <t>株式会社グッドワークコミュニケーションズ</t>
  </si>
  <si>
    <t>人材コーディネーター／未経験OK／充実の研修あり／定着率96.5％／残業ほとんどなし／平均月収36万円</t>
  </si>
  <si>
    <t>株式会社ＮＥＣＴ</t>
  </si>
  <si>
    <t>人材コーディネーター◆未経験OK◆人柄採用◆土日休み◆年間休日125日◆賞与年2回◆完全週休2日制</t>
  </si>
  <si>
    <t>株式会社デジタルクエスト【東証一部上場 トレジャー・ファクトリーグループ】</t>
  </si>
  <si>
    <t>PM◆自社内×受託◆フレックス◆在宅・リモートワーク可◆年休126日◆服装自由◆客先常駐なし◆残業少なめ</t>
  </si>
  <si>
    <t>IT営業&lt;将来の幹部候補 &gt;◆管理職採用あり◆土日祝休み◆残業月平均10. 1時間程度◆賞与年２回</t>
  </si>
  <si>
    <t>株式会社 メカロ</t>
  </si>
  <si>
    <t>人材コーディネーター/未経験OK/入社後すぐの昇進実績あり/月給25万円～/年間休日125日</t>
  </si>
  <si>
    <t>株式会社イーガオ</t>
  </si>
  <si>
    <t>PL/PM◆会社作りも担うコアメンバー募集◆裁量大◆フルフレックス制◆残業月6時間◆年間休日132日</t>
  </si>
  <si>
    <t>三菱UFJインフォメーションテクノロジー株式会社</t>
  </si>
  <si>
    <t>金融系アプリエンジニア【PM/PL候補】プライムポジション&amp;グローバル案件/自社内開発/充実の福利厚生</t>
  </si>
  <si>
    <t>アシストライズ株式会社</t>
  </si>
  <si>
    <t>営業/業界未経験OK/残業月20時間以内/長期連休取得可能/ノルマなし/直行直帰可/住宅手当あり/携帯PC支給</t>
  </si>
  <si>
    <t>株式会社日本テクノ開発</t>
  </si>
  <si>
    <t>社内SE/エンドユーザー直・チームで参画！★直請95％以上★現状リモート85%★平均勤続15年</t>
  </si>
  <si>
    <t>株式会社マリエッタ</t>
  </si>
  <si>
    <t>PM・PL/100％自社内/自社サービス開発あり/30代活躍中/週3リモートOK/私服勤務/髪型自由/住宅手当あり</t>
  </si>
  <si>
    <t>株式会社ソフテックス</t>
  </si>
  <si>
    <t>PL◆賞与年2回＋業績賞与あり◆残業月10h以内◆経験者月34万円～◆リーダー経験ない方OK◆リモート案件有◆</t>
  </si>
  <si>
    <t>株式会社リベルワークス</t>
  </si>
  <si>
    <t>PL・PM／年収600万以上保証／広告初掲載／自社開発コアメンバー募集／賞与2回(2019年3.6カ月)／年休124日</t>
  </si>
  <si>
    <t>株式会社アーシャルデザイン</t>
  </si>
  <si>
    <t>【PL/PM】◆リーダー即戦力募集◆給与還元率70％◆前職給与保証◆自社サービスに携わる</t>
  </si>
  <si>
    <t>ユニバースジャパン株式会社</t>
  </si>
  <si>
    <t>PM候補/自社サービス開発/月給50万円～＋賞与/完全リモート勤務OK/残業月平均10h以下/フレックス勤務</t>
  </si>
  <si>
    <t>株式会社セイケン・ソフトサービス</t>
  </si>
  <si>
    <t>PMアシスタント（「数年後、PM」を前提とした育成枠）◆開発経験1，2年程度でもOK◆PMになれば更に給与UP</t>
  </si>
  <si>
    <t>株式会社Branding Engineer｜2020年7月マザーズ上場</t>
  </si>
  <si>
    <t>RPAエンジニア/月給40万円以上可/年休125日/残業10h程/スキルチェンジしたい方も歓迎/研修・資格支援制度有</t>
  </si>
  <si>
    <t>株式会社セレクティ</t>
  </si>
  <si>
    <t>開発エンジニア[100%自社内受託開発]/スタートアップメンバー募集/入社祝い金最大20万円</t>
  </si>
  <si>
    <t>フューチャーテクノロジー・コンサルティング株式会社</t>
  </si>
  <si>
    <t>ITコンサルティング営業（営業リーダー候補）／成長企業のコアメンバー採用　※年間休日131日</t>
  </si>
  <si>
    <t>ＳＢアットワーク株式会社【ソフトバンクグループ】</t>
  </si>
  <si>
    <t>社内SE*フレックス勤務*上流工程メイン*年間休日123日以上*賞与実績年5ヶ月分*在宅勤務あり</t>
  </si>
  <si>
    <t>株式会社トウショク</t>
  </si>
  <si>
    <t>IT事務／経理総務部の幅広いお仕事をお任せ／土日祝日休み</t>
  </si>
  <si>
    <t>フコク情報システム株式会社</t>
  </si>
  <si>
    <t>【システムエンジニア】自社内開発がメイン◆保険業務のプロを目指せる◆メリハリをつけて働ける環境</t>
  </si>
  <si>
    <t>日本システム総合研究所株式会社</t>
  </si>
  <si>
    <t>汎用系エンジニア◆COBOL未経験者も応募OK／経験者優遇／昨年賞与3.8ヶ月分／残業月平均20h程度◆</t>
  </si>
  <si>
    <t>株式会社オプティマ</t>
  </si>
  <si>
    <t>公共系システムエンジニア※COBOL経験者歓迎【富士通コア案件/残業平均20h程度】</t>
  </si>
  <si>
    <t>開発エンジニア/約9割の転職者が年収UP/60代も活躍中/残業月平均約8h/有給取得率約8割/リモート8割以上</t>
  </si>
  <si>
    <t>富士ソフト株式会社 ※東証一部上場企業</t>
  </si>
  <si>
    <t>【開発エンジニア（業務システム）】平均月間残業20h程度◆在宅・サテライト勤務OK◆フレックス制導入</t>
  </si>
  <si>
    <t>株式会社ＪＣＤソリューション</t>
  </si>
  <si>
    <t>&lt;ITエンジニア&gt;土日祝休み＆残業平均6時間／月給30万円以上／前職給与を保証！／資格取得支援あり</t>
  </si>
  <si>
    <t>株式会社グロップエスシー（株式会社グロップ グループ）</t>
  </si>
  <si>
    <t>開発SE(リーダー候補)◆設計・PG開発◆前職給与保証◆賞与年3回◆Web面接</t>
  </si>
  <si>
    <t>株式会社アローインフォメーション</t>
  </si>
  <si>
    <t>Javaエンジニア/経験1年程度のSE・PG経験者も歓迎/リモートあり/残業少/前職より年収UP/直請案件7割</t>
  </si>
  <si>
    <t>アデコ株式会社 Modis 事業本部</t>
  </si>
  <si>
    <t>開発エンジニア◆大手優良企業直取引◆案件1500件/月◆待機中も100％給与を支給◆資格取得支援制度あり</t>
  </si>
  <si>
    <t>アスノシステム株式会社</t>
  </si>
  <si>
    <t>PM・PL候補/直請け案件あり/賞与3回＆5ヶ月実績あり/定着率95％/残業月20h /外部研修＆資格手当あり</t>
  </si>
  <si>
    <t>PM/PL候補◆年俸500～900万円※経験に比例◆基本自社内/リモートワークも推進中◆男女比６：４ ◆Web面接OK</t>
  </si>
  <si>
    <t>アイコムシステック株式会社【東証一部上場・協和エクシオグループ】</t>
  </si>
  <si>
    <t>社内SE/前給保証/経験浅め歓迎/賞与5ヶ月/残業月平均15h以内/年休132日/フレックス制/設立47年の安定基盤</t>
  </si>
  <si>
    <t>株式会社情報戦略テクノロジー</t>
  </si>
  <si>
    <t>【プロジェクトマネージャー】数字の奴隷にならないPM。</t>
  </si>
  <si>
    <t>株式会社クイックサーブ</t>
  </si>
  <si>
    <t>【ITエンジニア】■大手案件多数■月収25～110万円■当社独自の充実した福利厚生■受託・自社サービスあり</t>
  </si>
  <si>
    <t>株式会社システム・クリエート</t>
  </si>
  <si>
    <t>カスタマーサポートエンジニア(社内SE担当)経験浅め・スクール卒OK★在宅勤務中★休日出勤・夜勤なし</t>
  </si>
  <si>
    <t>株式会社アドバンテックス（日本ソフテックグループ合同募集）</t>
  </si>
  <si>
    <t>開発エンジニア/40代活躍中/自社内開発あり/住宅・家族手当＆賞与/ 18:00退社/リモートワーク80％/安定基盤</t>
  </si>
  <si>
    <t>東京コンピュータサービス株式会社</t>
  </si>
  <si>
    <t>シニアエンジニア/年齢不問/上流工程から一貫して携わる/46期連続黒字の安定企業/年休122日/定着率90.3％</t>
  </si>
  <si>
    <t>株式会社 ベータシステム</t>
  </si>
  <si>
    <t>開発エンジニア◆前職給与保証◆ブランク不問◆月30万円～◆リモートワーク◆各種手当充実◆Web面接</t>
  </si>
  <si>
    <t>エンジニア/TCSグループの中核企業の安定基盤/平均勤続年数11.6年/定着率90.3％/多彩な案件あり/転勤なし</t>
  </si>
  <si>
    <t>ジャパニアス株式会社</t>
  </si>
  <si>
    <t>ITエンジニア（Web/オープン系/スマホアプリなど）【全国募集／希望勤務地選択可／大手安定企業】</t>
  </si>
  <si>
    <t>システムエンジニア◆経験者募集 ◆前給保証◆年間休日125日◆20～40代まで活躍中 ◆自社内開発あり</t>
  </si>
  <si>
    <t>株式会社ネクサージ</t>
  </si>
  <si>
    <t>【開発エンジニア】100％前給保証／残業なし・年間休日130日以上・有給消化率100％／1600案件から選択可能</t>
  </si>
  <si>
    <t>株式会社Planet Nine</t>
  </si>
  <si>
    <t>開発エンジニア◆前給保証◆リモートワークメイン◆経験者全員面接◆面接1回◆代表自らアサイン</t>
  </si>
  <si>
    <t>株式会社アクセスネット</t>
  </si>
  <si>
    <t>開発エンジニア/前職から年収50～100万円アップした社員多数/残業月間15h程度【面接1回】</t>
  </si>
  <si>
    <t>株式会社 Nautik</t>
  </si>
  <si>
    <t>開発エンジニア/経験浅OK/副業OK/自社サービスに携われる/賞与年2回/34段階の評価制度あり/残業10時間以内</t>
  </si>
  <si>
    <t>【SE(PL候補)】◆前給保証!給与還元率70％◆自社サ―ビス&amp;自社内開発◆直請け多数◆リモート案件有</t>
  </si>
  <si>
    <t>開発エンジニア/自社サービスに携われる/前給保証/副業OK/賞与年2回/34段階の評価制度あり/残業10時間以内</t>
  </si>
  <si>
    <t>株式会社シンメトリクス</t>
  </si>
  <si>
    <t>PM・上級SE候補◆社員満足度95％◆年間休日130日以上◆男性の育休取得実績もあり！</t>
  </si>
  <si>
    <t>株式会社アクティブフュージョンズ</t>
  </si>
  <si>
    <t>【PG】弊社はエンジニアのコンシェルジュ。「残業イヤ、案件変えたい...」なんでも言ってください。</t>
  </si>
  <si>
    <t>株式会社アベールジャパン</t>
  </si>
  <si>
    <t>ITエンジニア（AI・IoT・Webオープン・組込・汎用・クラウド・インフラ）年休125日◆リモート面接実施中</t>
  </si>
  <si>
    <t>【SE】自社内開発100%を15年続けた企業が本気でエンジニアのこと考えました。</t>
  </si>
  <si>
    <t>株式会社エヌ・エス・アール</t>
  </si>
  <si>
    <t>開発エンジニア◆月収37.5万円～◆20代･30代活躍◆残業月20h程度◆社員寮･住宅手当･引越し費用補助あり</t>
  </si>
  <si>
    <t>汎用系エンジニア【学歴・ブランク不問/残業代全額支給/お住まいに合わせて勤務地考慮/40、50代も活躍中】</t>
  </si>
  <si>
    <t>初級エンジニア◆経験浅め歓迎◆月給40万円可◆還元率70％以上◆上流から参画可能◆リモート案件有</t>
  </si>
  <si>
    <t>株式会社ローソン銀行</t>
  </si>
  <si>
    <t>システム開発（勘定系領域）/創業期に携わる/年間休日123日/賞与年2回/育児時短勤務あり</t>
  </si>
  <si>
    <t>SE【言語不問】前給保証・応募資格は実務経験1年以上！在宅勤務も可能／大手成長企業で、安定とスキルを！</t>
  </si>
  <si>
    <t>株式会社ピー・エム・シー</t>
  </si>
  <si>
    <t>開発エンジニア*第二新卒OK*フォローアップ充実*有給消化率90％超*面接1回*給与交渉OK*年休120日以上</t>
  </si>
  <si>
    <t>株式会社アグレックス</t>
  </si>
  <si>
    <t>SE(生保・損保プロジェクト/保険ソリューション部)</t>
  </si>
  <si>
    <t>株式会社TOKAIコミュニケーションズ</t>
  </si>
  <si>
    <t>開発エンジニア(Java、VB、COBOL)◆東証一部上場TOKAIグループ◆ホワイト500選出◆賞与約5ヶ月分</t>
  </si>
  <si>
    <t>株式会社ココバル</t>
  </si>
  <si>
    <t>【キャリアアドバイザー】未経験歓迎/人の人生に貢献できる仕事/月給25万円～＋賞与年2回/完全週休2日制</t>
  </si>
  <si>
    <t>株式会社バリュープランニング</t>
  </si>
  <si>
    <t>【PMO】★ITプロジェクトを成功に導くため、マネージャーやメンバーをサポート！★未経験歓迎★10名募集</t>
  </si>
  <si>
    <t>フリーランスエージェント株式会社</t>
  </si>
  <si>
    <t>SES営業*経験者募集*入社1年目で年収900万円も目指せる！*リモート勤務*直行･直帰OK*ボーナス150％支給</t>
  </si>
  <si>
    <t>株式会社リ・バース</t>
  </si>
  <si>
    <t>PMO/創業以来増収増益、稼働率100％/経験者の定着率ほぼ100％/年俸700万～/大手直請案件多数/残業月15h以内</t>
  </si>
  <si>
    <t>【PMO】★キャリアチェンジ歓迎！★マネージャーやメンバーをサポートし、プロジェクト成功へ★10名募集</t>
  </si>
  <si>
    <t>ファインディ株式会社</t>
  </si>
  <si>
    <t>カスタマーサクセス/NEXTユニコーン認定/ハイレベルなエンジニアと企業をつなぐ/人材業界の経験が活かせる</t>
  </si>
  <si>
    <t>ＳＰＩ株式会社</t>
  </si>
  <si>
    <t>人材マッチング営業*新規案件の開拓なし*平均年収580万円*賞与年2回*残業少なめ*面接1回</t>
  </si>
  <si>
    <t>ビーパートナーズ株式会社</t>
  </si>
  <si>
    <t>業務系SE【PM/PL候補】20～30代多数活躍中◆現在社員の9割が在宅勤務中！◆残業月平均12.1時間</t>
  </si>
  <si>
    <t>SES営業/技術者提案/未経験OKの人物重視/年間休日130日以上＆残業月20時間以内/育休復帰率100％</t>
  </si>
  <si>
    <t>イントリックス株式会社</t>
  </si>
  <si>
    <t>プロジェクトマネージャー/大手BtoB企業と直接取引/1年以上の長期プロジェクト/年収500万円～/残業少なめ</t>
  </si>
  <si>
    <t>【プロジェクトマネージャー／ITコンサルタント候補】★専門教育により最速で育成します！</t>
  </si>
  <si>
    <t>株式会社Ｂ・Ｐ・Ｓ</t>
  </si>
  <si>
    <t>【SE/PG】入社祝い金３０万円支給！発展途上中の前向きなエンジニア大歓迎！</t>
  </si>
  <si>
    <t>有限会社バイナリーラブ</t>
  </si>
  <si>
    <t>COBOLエンジニア/月給40万～70万円/40～50代活躍中/外国籍の方も可/希望に合ったアサイン/年休125日</t>
  </si>
  <si>
    <t>【汎用機系エンジニア】ベテランエンジニア活躍中◆フリーランス歓迎◆中途入社100％◆月給30万円～55万円</t>
  </si>
  <si>
    <t>営業事務【学歴不問/土日祝休み/残業少なめ/賞与年2回/簡単な仕事からスタートだから安心】</t>
  </si>
  <si>
    <t>株式会社ＣＡＩＣＡ【JASDAQ上場】</t>
  </si>
  <si>
    <t>開発エンジニア/大手企業案件豊富/Web面接可/社員の平均勤続年数12.2年/年収800万円も可</t>
  </si>
  <si>
    <t>ノバシステム株式会社</t>
  </si>
  <si>
    <t>開発エンジニア※直請け案件多数！大手企業と強固な信頼でつながる安定・安心して働ける各種制度あり</t>
  </si>
  <si>
    <t>株式会社ブレイバンステクノロジーズ</t>
  </si>
  <si>
    <t>人材コーディネーター/未経験歓迎/男女活躍/産育休実績有/女性活躍推進/転勤なし/駅徒歩5分/年間休日125日</t>
  </si>
  <si>
    <t>SCSKニアショアシステムズ株式会社【SCSK株式会社(東証一部上場)100%出資】</t>
  </si>
  <si>
    <t>開発エンジニア(Java/C歓迎)■東北・北陸・九州募集/地元で働きたい方を歓迎！■転勤無■フルフレックス</t>
  </si>
  <si>
    <t>株式会社テックエデュケイションカンパニー</t>
  </si>
  <si>
    <t>開発エンジニア◆前職給与保証◆年間休日129日◆20代~50代活躍中◆東京支社スタートアップメンバー募集</t>
  </si>
  <si>
    <t>株式会社プラニス</t>
  </si>
  <si>
    <t>PM/年収800万円～/残業ほぼ無し/AIやIoTなど最先端技術に関する案件多数/スキルアップの全面バックアップ</t>
  </si>
  <si>
    <t>ＴＳＲソリューションズ株式会社</t>
  </si>
  <si>
    <t>インフラエンジニア★年齢・学歴不問／年間休日125日／◎オンライン面接可『市場価値の高いエンジニア』へ</t>
  </si>
  <si>
    <t>ソリューション・ラボ・横浜株式会社【日本IBM(株)のパートナー企業】</t>
  </si>
  <si>
    <t>インフラエンジニア/土日祝休み＆残業月平均22時間程度/定着率90％以上/プライム案件80％/20～30代活躍中</t>
  </si>
  <si>
    <t>上流SE（PM候補）/前職より年収UP/Java経験者歓迎/平均残業月17ｈ/リモート半数以上/有給取得率84.5％</t>
  </si>
  <si>
    <t>ＡｓｉａｎＳｔｒｅａｍ株式会社</t>
  </si>
  <si>
    <t>PM・PL/マネージャー候補急募/PJ評価手当で最大30万円支給/定着率99%/web面接実施中！/入社お祝い金10万円</t>
  </si>
  <si>
    <t>ディー・アール・テクノロジー株式会社</t>
  </si>
  <si>
    <t>開発エンジニア/月給35万円～/社員平均年齢32歳/女性社員が4割在籍/昇給が随時発生</t>
  </si>
  <si>
    <t>イーテクノロジー株式会社</t>
  </si>
  <si>
    <t>開発エンジニア募集（東京・横浜）/オフショア開発の体制で日本側の重要なポジションをお任せします</t>
  </si>
  <si>
    <t>株式会社日立インフォメーションエンジニアリング</t>
  </si>
  <si>
    <t>SE(官公庁・自治体向け)/Java・COBOL/フレックス勤務&amp;リフレッシュ休暇あり/残業月25h/日立グループ</t>
  </si>
  <si>
    <t>株式会社イ・エス・エス</t>
  </si>
  <si>
    <t>開発エンジニア/前職給与UP保証/60代も活躍中/定着率94.2％/転職回数不問/賞与年3回/残業月20h以内</t>
  </si>
  <si>
    <t>株式会社ＳＣＲＩＰＴ</t>
  </si>
  <si>
    <t>PG◆住宅手当あり◆実働7.5時間◆残業平均月7時間◆誕生月お祝制度◆技術一本志向もOK◆堅実な安定企業</t>
  </si>
  <si>
    <t>株式会社　桐　生</t>
  </si>
  <si>
    <t>プロジェクトリーダー・マネージャー候補（銀座本社／男女・若手活躍／システム部門トップは女性社員）</t>
  </si>
  <si>
    <t>株式会社ソフトテックス</t>
  </si>
  <si>
    <t>PL候補（リーダー経験不問）◆賞与5ヶ月分◆残業月平均11h◆有給消化率75％</t>
  </si>
  <si>
    <t>Title</t>
    <phoneticPr fontId="3"/>
  </si>
  <si>
    <t>explanatory notes</t>
    <phoneticPr fontId="3"/>
  </si>
  <si>
    <t>VBS</t>
    <phoneticPr fontId="3"/>
  </si>
  <si>
    <t>Swift</t>
    <phoneticPr fontId="3"/>
  </si>
  <si>
    <t>C</t>
    <phoneticPr fontId="3"/>
  </si>
  <si>
    <t>C++</t>
    <phoneticPr fontId="3"/>
  </si>
  <si>
    <t>Java</t>
    <phoneticPr fontId="3"/>
  </si>
  <si>
    <t>Js</t>
    <phoneticPr fontId="3"/>
  </si>
  <si>
    <t>COBOL</t>
    <phoneticPr fontId="3"/>
  </si>
  <si>
    <t>Key Words</t>
    <phoneticPr fontId="3"/>
  </si>
  <si>
    <t>编程语言系统默认关键保留字</t>
    <phoneticPr fontId="3"/>
  </si>
  <si>
    <t>and,as,assert,break,class,continue,def,elif,else,except,finally,for,form,if,inport,in,is,lambda,not,or,pass,raise,return,try,while,with,yield,del,global,nonlocal,true,false,none</t>
    <phoneticPr fontId="3"/>
  </si>
  <si>
    <t>keyword</t>
    <phoneticPr fontId="3"/>
  </si>
  <si>
    <t>顺</t>
    <phoneticPr fontId="3"/>
  </si>
  <si>
    <t>HTML5</t>
    <phoneticPr fontId="3"/>
  </si>
  <si>
    <t>Markdown</t>
    <phoneticPr fontId="3"/>
  </si>
  <si>
    <t>语言介绍</t>
    <phoneticPr fontId="3"/>
  </si>
  <si>
    <t>Markdown是一种纯文本格式的标记语言。通过简单的标记语法，它可以使普通文本内容具有一定的格式。
优点：
1、因为是纯文本，所以只要支持Markdown的地方都能获得一样的编辑效果，可以让作者摆脱排版的困扰，专心写作。
2、操作简单。比如:WYSIWYG编辑时标记个标题，先选中内容，再点击导航栏的标题按钮，选择几级标题。要三个步骤。而Markdown只需要在标题内容前加#即可
缺点：
1、需要记一些语法（当然，是很简单。五分钟学会）。
2、有些平台不支持Markdown编辑模式。</t>
    <phoneticPr fontId="3"/>
  </si>
  <si>
    <t>内容目录</t>
    <phoneticPr fontId="3"/>
  </si>
  <si>
    <t>在段落中填写 [TOC] 以显示全文内容的目录结构。</t>
    <phoneticPr fontId="3"/>
  </si>
  <si>
    <t>注释</t>
    <phoneticPr fontId="3"/>
  </si>
  <si>
    <r>
      <t xml:space="preserve">```
[comment]: &lt;&gt; (This is a comment, it will not be included)
[comment]: &lt;&gt; (in  the output file unless you use it in)
[comment]: &lt;&gt; (a reference style link.)
[//]: &lt;&gt; (This is also a comment.)
[//]: # (This may be the most platform independent comment)
[^_^]:
</t>
    </r>
    <r>
      <rPr>
        <sz val="11"/>
        <color theme="1"/>
        <rFont val="微软雅黑"/>
        <family val="2"/>
        <charset val="134"/>
      </rPr>
      <t xml:space="preserve">
[//]:导航开始 
[//]:导航结束
```</t>
    </r>
    <r>
      <rPr>
        <sz val="11"/>
        <color theme="1"/>
        <rFont val="等线"/>
        <family val="2"/>
        <scheme val="minor"/>
      </rPr>
      <t xml:space="preserve">
</t>
    </r>
    <phoneticPr fontId="3"/>
  </si>
  <si>
    <t>分割线</t>
    <phoneticPr fontId="3"/>
  </si>
  <si>
    <t>三个或者三个以上的 - 或者 * 都可以。
示例：
---
----
***
*****
效果如下：
可以看到，显示效果是一样的。
________________________________________
________________________________________
________________________________________
________________________________________</t>
    <phoneticPr fontId="3"/>
  </si>
  <si>
    <t>标题</t>
    <phoneticPr fontId="3"/>
  </si>
  <si>
    <t xml:space="preserve">在想要设置为标题的文字前面加#来表示
一个#是一级标题，二个#是二级标题，以此类推。支持六级标题。
注：标准语法一般在#后跟个空格再写文字，貌似简书不加空格也行。
示例：
```
# Header 1
## Header 2
### Header 3
#### 这是四级标题
##### 这是五级标题
###### 这是六级标题
```
效果如下：
# Header 1
## Header 2
### Header 3
#### 这是四级标题
##### 这是五级标题
###### 这是六级标题   
</t>
    <phoneticPr fontId="3"/>
  </si>
  <si>
    <t>缩进</t>
    <phoneticPr fontId="3"/>
  </si>
  <si>
    <r>
      <t>两种方案
•	手</t>
    </r>
    <r>
      <rPr>
        <sz val="11"/>
        <color theme="1"/>
        <rFont val="微软雅黑"/>
        <family val="2"/>
        <charset val="134"/>
      </rPr>
      <t>动输</t>
    </r>
    <r>
      <rPr>
        <sz val="11"/>
        <color theme="1"/>
        <rFont val="Yu Gothic"/>
        <family val="2"/>
        <charset val="128"/>
      </rPr>
      <t>入空格 （&amp;nbsp；）。注意！此</t>
    </r>
    <r>
      <rPr>
        <sz val="11"/>
        <color theme="1"/>
        <rFont val="微软雅黑"/>
        <family val="2"/>
        <charset val="134"/>
      </rPr>
      <t>时</t>
    </r>
    <r>
      <rPr>
        <sz val="11"/>
        <color theme="1"/>
        <rFont val="Yu Gothic"/>
        <family val="2"/>
        <charset val="128"/>
      </rPr>
      <t>的分号</t>
    </r>
    <r>
      <rPr>
        <sz val="11"/>
        <color theme="1"/>
        <rFont val="微软雅黑"/>
        <family val="2"/>
        <charset val="134"/>
      </rPr>
      <t>为</t>
    </r>
    <r>
      <rPr>
        <sz val="11"/>
        <color theme="1"/>
        <rFont val="Yu Gothic"/>
        <family val="2"/>
        <charset val="128"/>
      </rPr>
      <t>英文分号，但是不推荐使用此方法，太麻</t>
    </r>
    <r>
      <rPr>
        <sz val="11"/>
        <color theme="1"/>
        <rFont val="微软雅黑"/>
        <family val="2"/>
        <charset val="134"/>
      </rPr>
      <t>烦</t>
    </r>
    <r>
      <rPr>
        <sz val="11"/>
        <color theme="1"/>
        <rFont val="Yu Gothic"/>
        <family val="2"/>
        <charset val="128"/>
      </rPr>
      <t>！
•	使用全角空格(切</t>
    </r>
    <r>
      <rPr>
        <sz val="11"/>
        <color theme="1"/>
        <rFont val="微软雅黑"/>
        <family val="2"/>
        <charset val="134"/>
      </rPr>
      <t>换</t>
    </r>
    <r>
      <rPr>
        <sz val="11"/>
        <color theme="1"/>
        <rFont val="Yu Gothic"/>
        <family val="2"/>
        <charset val="128"/>
      </rPr>
      <t>快捷</t>
    </r>
    <r>
      <rPr>
        <sz val="11"/>
        <color theme="1"/>
        <rFont val="微软雅黑"/>
        <family val="2"/>
        <charset val="134"/>
      </rPr>
      <t>键</t>
    </r>
    <r>
      <rPr>
        <sz val="11"/>
        <color theme="1"/>
        <rFont val="Yu Gothic"/>
        <family val="2"/>
        <charset val="128"/>
      </rPr>
      <t>shift+空格)。即：在全角</t>
    </r>
    <r>
      <rPr>
        <sz val="11"/>
        <color theme="1"/>
        <rFont val="微软雅黑"/>
        <family val="2"/>
        <charset val="134"/>
      </rPr>
      <t>输</t>
    </r>
    <r>
      <rPr>
        <sz val="11"/>
        <color theme="1"/>
        <rFont val="Yu Gothic"/>
        <family val="2"/>
        <charset val="128"/>
      </rPr>
      <t>入状</t>
    </r>
    <r>
      <rPr>
        <sz val="11"/>
        <color theme="1"/>
        <rFont val="微软雅黑"/>
        <family val="2"/>
        <charset val="134"/>
      </rPr>
      <t>态</t>
    </r>
    <r>
      <rPr>
        <sz val="11"/>
        <color theme="1"/>
        <rFont val="Yu Gothic"/>
        <family val="2"/>
        <charset val="128"/>
      </rPr>
      <t>下直接使用空格</t>
    </r>
    <r>
      <rPr>
        <sz val="11"/>
        <color theme="1"/>
        <rFont val="微软雅黑"/>
        <family val="2"/>
        <charset val="134"/>
      </rPr>
      <t>键</t>
    </r>
    <r>
      <rPr>
        <sz val="11"/>
        <color theme="1"/>
        <rFont val="Yu Gothic"/>
        <family val="2"/>
        <charset val="128"/>
      </rPr>
      <t>就ok了
1.1	居中
&lt;center&gt;
居中渲染
&lt;/center&gt;
注意： 内部文本</t>
    </r>
    <r>
      <rPr>
        <sz val="11"/>
        <color theme="1"/>
        <rFont val="微软雅黑"/>
        <family val="2"/>
        <charset val="134"/>
      </rPr>
      <t>换</t>
    </r>
    <r>
      <rPr>
        <sz val="11"/>
        <color theme="1"/>
        <rFont val="Yu Gothic"/>
        <family val="2"/>
        <charset val="128"/>
      </rPr>
      <t>行</t>
    </r>
    <r>
      <rPr>
        <sz val="11"/>
        <color theme="1"/>
        <rFont val="微软雅黑"/>
        <family val="2"/>
        <charset val="134"/>
      </rPr>
      <t>时</t>
    </r>
    <r>
      <rPr>
        <sz val="11"/>
        <color theme="1"/>
        <rFont val="Yu Gothic"/>
        <family val="2"/>
        <charset val="128"/>
      </rPr>
      <t>要用&lt;br&gt;,两个回</t>
    </r>
    <r>
      <rPr>
        <sz val="11"/>
        <color theme="1"/>
        <rFont val="微软雅黑"/>
        <family val="2"/>
        <charset val="134"/>
      </rPr>
      <t>车</t>
    </r>
    <r>
      <rPr>
        <sz val="11"/>
        <color theme="1"/>
        <rFont val="Yu Gothic"/>
        <family val="2"/>
        <charset val="128"/>
      </rPr>
      <t>无效</t>
    </r>
    <phoneticPr fontId="3"/>
  </si>
  <si>
    <t>左对齐</t>
    <phoneticPr fontId="3"/>
  </si>
  <si>
    <t>&lt;p align="left"&gt;月是故乡明&lt;/p&gt;</t>
    <phoneticPr fontId="3"/>
  </si>
  <si>
    <t>右对齐</t>
    <phoneticPr fontId="3"/>
  </si>
  <si>
    <t>&lt;p align="right"&gt;月是故乡明&lt;/p&gt;</t>
    <phoneticPr fontId="3"/>
  </si>
  <si>
    <t>换行</t>
    <phoneticPr fontId="3"/>
  </si>
  <si>
    <t>两种方案
•	两个回车即可
•	使用&lt; br &gt;</t>
    <phoneticPr fontId="3"/>
  </si>
  <si>
    <t>无序列表</t>
    <phoneticPr fontId="3"/>
  </si>
  <si>
    <r>
      <rPr>
        <sz val="11"/>
        <color theme="1"/>
        <rFont val="微软雅黑"/>
        <family val="2"/>
        <charset val="134"/>
      </rPr>
      <t>语</t>
    </r>
    <r>
      <rPr>
        <sz val="11"/>
        <color theme="1"/>
        <rFont val="Yu Gothic"/>
        <family val="2"/>
        <charset val="128"/>
      </rPr>
      <t>法：
无序列表用 - + * 任何一种都可以
- 列表内容
+ 列表内容
* 列表内容
注意：- + * 跟内容之</t>
    </r>
    <r>
      <rPr>
        <sz val="11"/>
        <color theme="1"/>
        <rFont val="微软雅黑"/>
        <family val="2"/>
        <charset val="134"/>
      </rPr>
      <t>间</t>
    </r>
    <r>
      <rPr>
        <sz val="11"/>
        <color theme="1"/>
        <rFont val="Yu Gothic"/>
        <family val="2"/>
        <charset val="128"/>
      </rPr>
      <t>都要有一个空格
```
- Bulleted
    * List
- List
```  
**效果**
- Bulleted
    * List
- List</t>
    </r>
    <phoneticPr fontId="3"/>
  </si>
  <si>
    <t>多级无序列表</t>
    <phoneticPr fontId="3"/>
  </si>
  <si>
    <r>
      <t xml:space="preserve">•	</t>
    </r>
    <r>
      <rPr>
        <sz val="11"/>
        <color theme="1"/>
        <rFont val="微软雅黑"/>
        <family val="2"/>
        <charset val="134"/>
      </rPr>
      <t>编</t>
    </r>
    <r>
      <rPr>
        <sz val="11"/>
        <color theme="1"/>
        <rFont val="Yu Gothic"/>
        <family val="2"/>
        <charset val="128"/>
      </rPr>
      <t>程</t>
    </r>
    <r>
      <rPr>
        <sz val="11"/>
        <color theme="1"/>
        <rFont val="微软雅黑"/>
        <family val="2"/>
        <charset val="134"/>
      </rPr>
      <t>语</t>
    </r>
    <r>
      <rPr>
        <sz val="11"/>
        <color theme="1"/>
        <rFont val="Yu Gothic"/>
        <family val="2"/>
        <charset val="128"/>
      </rPr>
      <t xml:space="preserve">言 
</t>
    </r>
    <r>
      <rPr>
        <sz val="11"/>
        <color theme="1"/>
        <rFont val="微软雅黑"/>
        <family val="2"/>
        <charset val="134"/>
      </rPr>
      <t xml:space="preserve">    </t>
    </r>
    <r>
      <rPr>
        <sz val="11"/>
        <color theme="1"/>
        <rFont val="Yu Gothic"/>
        <family val="2"/>
        <charset val="128"/>
      </rPr>
      <t>o	脚本</t>
    </r>
    <r>
      <rPr>
        <sz val="11"/>
        <color theme="1"/>
        <rFont val="微软雅黑"/>
        <family val="2"/>
        <charset val="134"/>
      </rPr>
      <t>语</t>
    </r>
    <r>
      <rPr>
        <sz val="11"/>
        <color theme="1"/>
        <rFont val="Yu Gothic"/>
        <family val="2"/>
        <charset val="128"/>
      </rPr>
      <t xml:space="preserve">言 
</t>
    </r>
    <r>
      <rPr>
        <sz val="11"/>
        <color theme="1"/>
        <rFont val="Yu Gothic"/>
        <family val="2"/>
      </rPr>
      <t xml:space="preserve">        </t>
    </r>
    <r>
      <rPr>
        <sz val="11"/>
        <color theme="1"/>
        <rFont val="Wingdings"/>
        <family val="2"/>
        <charset val="2"/>
      </rPr>
      <t></t>
    </r>
    <r>
      <rPr>
        <sz val="11"/>
        <color theme="1"/>
        <rFont val="等线"/>
        <family val="2"/>
        <scheme val="minor"/>
      </rPr>
      <t xml:space="preserve">	Python</t>
    </r>
    <phoneticPr fontId="3"/>
  </si>
  <si>
    <t>有序列表</t>
    <phoneticPr fontId="3"/>
  </si>
  <si>
    <t xml:space="preserve">语法：
数字加点
1. 列表内容
2. 列表内容
3. 列表内容
注意：序号跟内容之间要有空格
``` 
1. Numbered
2. List
``` 
效果如下：
1. Numbered
2. List
</t>
    <phoneticPr fontId="3"/>
  </si>
  <si>
    <t>列表嵌套</t>
    <phoneticPr fontId="3"/>
  </si>
  <si>
    <t>上一级和下一级之间敲三个空格即可
•	一级无序列表内容
o	二级无序列表内容
o	二级无序列表内容
o	二级无序列表内容
•	一级无序列表内容
o	二级有序列表内容
o	二级有序列表内容
o	二级有序列表内容
1.	一级有序列表内容
o	二级无序列表内容
o	二级无序列表内容
o	二级无序列表内容
2.	一级有序列表内容
o	二级有序列表内容
o	二级有序列表内容
o	二级有序列表内容</t>
    <phoneticPr fontId="3"/>
  </si>
  <si>
    <t>定义型列表</t>
    <phoneticPr fontId="3"/>
  </si>
  <si>
    <t>语法说明：
定义型列表由名词和解释组成。一行写上定义，紧跟一行写上解释。解释的写法:紧跟一个缩进(Tab)
代码：
1.	Markdown
2.	:    轻量级文本标记语言，可以转换成html，pdf等格式（左侧有一个可见的冒号和四个不可见的空格）
3.	
4.	代码块 2
5.	:   这是代码块的定义（左侧有一个可见的冒号和四个不可见的空格）
6.	
7.	        代码块（左侧有八个不可见的空格）</t>
    <phoneticPr fontId="3"/>
  </si>
  <si>
    <t>列表缩进</t>
    <phoneticPr fontId="3"/>
  </si>
  <si>
    <t>列表项目标记通常是放在最左边，但是其实也可以缩进，最多 3 个空格，项目标记后面则一定要接着至少一个空格或制表符。
要让列表看起来更漂亮，你可以把内容用固定的缩进整理好（显示效果与代码一致）：
•	轻轻的我走了， 正如我轻轻的来； 我轻轻的招手， 作别西天的云彩。 
那河畔的金柳， 是夕阳中的新娘； 波光里的艳影， 在我的心头荡漾。 
软泥上的青荇， 油油的在水底招摇； 在康河的柔波里， 我甘心做一条水草！ 
•	那榆荫下的一潭， 不是清泉， 是天上虹； 揉碎在浮藻间， 沉淀着彩虹似的梦。 
寻梦？撑一支长篙， 向青草更青处漫溯； 满载一船星辉， 在星辉斑斓里放歌。 
但我不能放歌， 悄悄是别离的笙箫； 夏虫也为我沉默， 沉默是今晚的康桥！ 
悄悄的我走了， 正如我悄悄的来； 我挥一挥衣袖， 不带走一片云彩。</t>
    <phoneticPr fontId="3"/>
  </si>
  <si>
    <t>包含段落的列表</t>
    <phoneticPr fontId="3"/>
  </si>
  <si>
    <t>列表项目可以包含多个段落，每个项目下的段落都必须缩进 4 个空格或是 1 个制表符（显示效果与代码一致）：
•	轻轻的我走了， 正如我轻轻的来； 我轻轻的招手， 作别西天的云彩。 
那河畔的金柳， 是夕阳中的新娘； 波光里的艳影， 在我的心头荡漾。 
软泥上的青荇， 油油的在水底招摇； 在康河的柔波里， 我甘心做一条水草！
那榆荫下的一潭， 不是清泉， 是天上虹； 揉碎在浮藻间， 沉淀着彩虹似的梦。 
寻梦？撑一支长篙， 向青草更青处漫溯； 满载一船星辉， 在星辉斑斓里放歌。 
但我不能放歌， 悄悄是别离的笙箫； 夏虫也为我沉默， 沉默是今晚的康桥！ 
•	悄悄的我走了， 正如我悄悄的来； 我挥一挥衣袖， 不带走一片云彩。</t>
    <phoneticPr fontId="3"/>
  </si>
  <si>
    <t>包含引用的列表</t>
    <phoneticPr fontId="3"/>
  </si>
  <si>
    <t>语法说明：
如果要在列表项目内放进引用，那 &gt; 就需要缩进：
代码：
1.	*   阅读的方法:
2.	
3.	    &gt; 打开书本。
4.	    &gt; 打开电灯。</t>
    <phoneticPr fontId="3"/>
  </si>
  <si>
    <t>包含代码区块的引用</t>
    <phoneticPr fontId="3"/>
  </si>
  <si>
    <t>语法说明： 
如果要放代码区块的话，该区块就需要缩进两次，也就是 8 个空格或是 2 个制表符：
•	一列表项包含一个列表区块：
1.	&lt;代码写在这&gt;</t>
    <phoneticPr fontId="3"/>
  </si>
  <si>
    <t>在特殊情况下，项目列表很可能会不小心产生</t>
    <phoneticPr fontId="3"/>
  </si>
  <si>
    <t>在特殊情况下，项目列表很可能会不小心产生，像是下面这样的写法：
1.	1986. What a great season.
会显示成：
1.	What a great season.
换句话说，也就是在行首出现数字-句点-空白，要避免这样的状况，你可以在句点前面加上反斜杠：
1.	1986\. What a great season.
会显示成：
1986. What a great season.</t>
    <phoneticPr fontId="3"/>
  </si>
  <si>
    <t>复选框列表</t>
    <phoneticPr fontId="3"/>
  </si>
  <si>
    <t>•	[x] 需求分析
•	[x] 系统设计
•	[x] 详细设计
•	[ ] 编码
•	[ ] 测试
•	[ ] 交付
您可以使用这个功能来标注某个项目各项任务的完成情况。
Tip:
在GitHub的issue中使用该语法是可以实时点击复选框来勾选或解除勾选的，而无需修改issue原文。</t>
    <phoneticPr fontId="3"/>
  </si>
  <si>
    <t>字体类型</t>
    <phoneticPr fontId="3"/>
  </si>
  <si>
    <t>&lt; font face=“微软雅黑”&gt;微软雅黑</t>
    <phoneticPr fontId="3"/>
  </si>
  <si>
    <t>字体大小</t>
    <phoneticPr fontId="3"/>
  </si>
  <si>
    <t>&lt; font size=5&gt; Hello</t>
    <phoneticPr fontId="3"/>
  </si>
  <si>
    <r>
      <t>字体</t>
    </r>
    <r>
      <rPr>
        <sz val="11"/>
        <color theme="1"/>
        <rFont val="微软雅黑"/>
        <family val="2"/>
        <charset val="134"/>
      </rPr>
      <t>颜色</t>
    </r>
    <phoneticPr fontId="3"/>
  </si>
  <si>
    <t>&lt;font color=red&gt;color &lt;/font&gt;</t>
    <phoneticPr fontId="3"/>
  </si>
  <si>
    <t>字体	加粗</t>
    <phoneticPr fontId="3"/>
  </si>
  <si>
    <t xml:space="preserve">要加粗的文字左右分别用两个*号包起来
** 内容 ** 　(*与内容之间没有空格)
```
**Bold** 
```  
**效果**   
**Bold** </t>
    <phoneticPr fontId="3"/>
  </si>
  <si>
    <t>字体斜体</t>
    <phoneticPr fontId="3"/>
  </si>
  <si>
    <t>要倾斜的文字左右分别用一个*号包起来
*内容 * 　　 (*与内容之间没有空格)
_斜体_
```
_Italic_
```
**效果**   
_Italic_</t>
    <phoneticPr fontId="3"/>
  </si>
  <si>
    <t>字体斜体加粗</t>
    <phoneticPr fontId="3"/>
  </si>
  <si>
    <t>要倾斜和加粗的文字左右分别用三个*号包起来</t>
    <phoneticPr fontId="3"/>
  </si>
  <si>
    <r>
      <t>字体</t>
    </r>
    <r>
      <rPr>
        <sz val="11"/>
        <color theme="1"/>
        <rFont val="微软雅黑"/>
        <family val="2"/>
        <charset val="134"/>
      </rPr>
      <t>删除线</t>
    </r>
    <phoneticPr fontId="3"/>
  </si>
  <si>
    <t>要加删除线的文字左右分别用两个~~号包起来
示例：
**这是加粗的文字**
*这是倾斜的文字*`
***这是斜体加粗的文字***
~~这是加删除线的文字~~
效果如下：
这是加粗的文字
这是倾斜的文字
这是斜体加粗的文字</t>
    <phoneticPr fontId="3"/>
  </si>
  <si>
    <t>链接外部URL</t>
    <phoneticPr fontId="3"/>
  </si>
  <si>
    <t>```
&lt;p align="right"&gt;
    &lt;a href="#top" title="点击后返回页面顶部。"  target="_blank"&gt;回到顶部&lt;/a&gt;  
&lt;/p&gt;    
&lt;br&gt;
```</t>
    <phoneticPr fontId="3"/>
  </si>
  <si>
    <t>语法：
[超链接名](超链接地址 "超链接title")
title可加可不加
注：Markdown本身语法不支持链接在新页面中打开，貌似简书做了处理，是可以的。别的平台可能就不行了，如果想要在新页面中打开的话可以用html语言的a标签代替。
&lt;a href="超链接地址" title="这是超bai链接显示的信息框" target="_blank"&gt;超链接名&lt;/a&gt;
语法2由两部分组成：
•	第一部分使用两个中括号，[ ]里的标识符（本例中zhihu），可以是数字，字母等的组合，标识符上下对应就行了
•	第二部分标记实际URL。
使用URL标识符能达到复用的目的，一般把全文所有的URL标识符统一放在文章末尾，这样看起来比较干净。
```
[Link](url) 
[超链接名](超链接地址 "超链接title")
&lt;a href="url" title="title"  target="_blank"&gt;Link&lt;/a&gt; 
```
示例
```
[GitHub Flavored Markdown](https://guides.github.com/features/mastering-markdown/)
```
**效果**
[GitHub Flavored Markdown](https://guides.github.com/features/mastering-markdown/)</t>
    <phoneticPr fontId="3"/>
  </si>
  <si>
    <t>链接本仓库里的URL</t>
    <phoneticPr fontId="3"/>
  </si>
  <si>
    <t>语法	效果
[我的简介](/example/profile.md)	我的简介[Book](./Book)	Book</t>
    <phoneticPr fontId="3"/>
  </si>
  <si>
    <t>参考式超链接</t>
    <phoneticPr fontId="3"/>
  </si>
  <si>
    <t>参考式超链接一般用在学术论文上面，或者另一种情况，如果某一个链接在文章中多处使用，那么使用引用 的方式创建链接将非常好，它可以让你对链接进行统一的管理。
注意：经测试注脚与注脚之间必须空一行，不然会失效。成功后会发现，即使你没有把注脚写在文末，经Markdown转换后，也会自动归类到文章的最后。
语法说明： 
参考式链接分为两部分，文中的写法 [链接文字][链接标记]，在文本的任意位置添加[链接标记]:链接地址 “链接标题”，链接地址与链接标题前有一个空格。
如果链接文字本身可以做为链接标记，你也可以写成[链接文字][] 
[链接文字]：链接地址的形式，见代码的最后一行。
代码：
1.	我经常去的几个网站[Google][1]、[Leanote][2]以及[自己的博客][3]
2.	[Leanote 笔记][2]是一个不错的[网站][]。
3.	
4.	[1]:http://www.google.com "Google"
5.	[2]:http://www.leanote.com "Leanote"
6.	[3]:http://http://blog.leanote.com/freewalk "梵居闹市"
7.	[网站]:http://http://blog.leanote.com/freewalk</t>
    <phoneticPr fontId="3"/>
  </si>
  <si>
    <t>自动链接</t>
    <phoneticPr fontId="3"/>
  </si>
  <si>
    <t>语法说明： 
Markdown 支持以比较简短的自动链接形式来处理网址和电子邮件信箱，只要是用&lt;&gt;包起来， Markdown 就会自动把它转成链接。一般网址的链接文字就和链接地址一样，例如：
代码：
1.	&lt;http://example.com/&gt;
2.	&lt;address@example.com&gt;
显示效果：
http://example.com/ 
address@example.com</t>
    <phoneticPr fontId="3"/>
  </si>
  <si>
    <t>锚点</t>
    <phoneticPr fontId="3"/>
  </si>
  <si>
    <t>网页中，锚点其实就是页内超链接，也就是链接本文档内部的某些元素，实现当前页面中的跳转。比如我这里写下一个锚点，点击回到目录，就能跳转到目录。 在目录中点击这一节，就能跳过来。还有下一节的注脚。这些根本上都是用锚点来实现的。
注意： 
1. Markdown Extra 只支持在标题后插入锚点，其它地方无效。 
2. Leanote 编辑器右侧显示效果区域暂时不支持锚点跳转，所以点来点去发现没有跳转不必惊慌，但是你发布成笔记或博文后是支持跳转的。
语法描述： 
在你准备跳转到的指定标题后插入锚点{#标记}，然后在文档的其它地方写上连接到锚点的链接。
代码：
1.	## 0. 目录{#index}
2.	
3.	跳转到[目录](#index)</t>
    <phoneticPr fontId="3"/>
  </si>
  <si>
    <t xml:space="preserve">	图片链接</t>
    <phoneticPr fontId="3"/>
  </si>
  <si>
    <t>给图片加链接的本质是混合图片显示语法和普通的链接语法。普通的链接中[ ]内部是链接要显示的文本，而图片链接[ ]里面则是要显示的图片。
直接混合两种语法当然可以，但是十分啰嗦，为此我们可以使用URL标识符的形式。
#	语法	效果
1	[[图片上传失败...(image-ea9c0f-1531809400967)]	[[图片上传失败...(image-562f47-1531809400967)]
2	[[图片上传失败...(image-2b77ee-1531809400967)]][zhihu]	[图片上传失败...(image-d8a872-1531809400967)]3	[![csdn-logo]][csdn]	![csdn-logo]因为图片本身和链接本身都支持URL标识符的形式，所以图片链接也可以很简洁（见例3）。
注意，此时鼠标悬停时显示的文字是图片的title，而非链接本身的title了。
```
![Image](src)
```</t>
    <phoneticPr fontId="3"/>
  </si>
  <si>
    <t>页内锚点</t>
    <phoneticPr fontId="3"/>
  </si>
  <si>
    <t>每一个标题都是一个锚点，和HTML的锚点（#）类似，比如我们
语法	效果
[回到顶部](#readme)	回到顶部不过要注意，标题中的英文字母都被转化为小写字母了。
以前GitHub对中文支持的不好，所以中文标题不能正确识别为锚点，但是现在已经没问题啦！</t>
    <phoneticPr fontId="3"/>
  </si>
  <si>
    <t>文件资源夹</t>
    <phoneticPr fontId="3"/>
  </si>
  <si>
    <t>```
{% asset_img 01.jpg "20170731" %}
```</t>
    <phoneticPr fontId="3"/>
  </si>
  <si>
    <t>引用</t>
    <phoneticPr fontId="3"/>
  </si>
  <si>
    <t>在引用的文字前加&gt;即可。引用也可以嵌套，如加两个&gt;&gt;三个&gt;&gt;&gt;
n个...
貌似可以一直加下去，但没神马卵用
示例：
&gt;这是引用的内容
&gt;&gt;这是引用的内容
&gt;&gt;&gt;&gt;&gt;&gt;&gt;&gt;&gt;&gt;这是引用的内容
效果如下：
这是引用的内容
这是引用的内容
这是引用的内容</t>
    <phoneticPr fontId="3"/>
  </si>
  <si>
    <t>定义表格</t>
    <phoneticPr fontId="3"/>
  </si>
  <si>
    <t>语法：
表头|表头|表头
---|:--:|---:
内容|内容|内容
内容|内容|内容
第二行分割表头和内容。
- 有一个就行，为了对齐，多加了几个
文字默认居左
-两边加：表示文字居中
-右边加：表示文字居右
注：原生的语法两边都要用 | 包起来。此处省略
示例：
姓名|技能|排行
--|:--:|--:
刘备|哭|大哥
关羽|打|二哥
张飞|骂|三弟</t>
    <phoneticPr fontId="3"/>
  </si>
  <si>
    <t>单行代码</t>
    <phoneticPr fontId="3"/>
  </si>
  <si>
    <t>代码之间分别用一个反引号包起来
    `代码内容`
```
`Code` text
```
**效果**   
`Code` text</t>
    <phoneticPr fontId="3"/>
  </si>
  <si>
    <t>缩进式多行代码</t>
    <phoneticPr fontId="3"/>
  </si>
  <si>
    <t>缩进 4 个空格或是 1 个制表符
一个代码区块会一直持续到没有缩进的那一行（或是文件结尾）。
代码：
1.	    #include &lt;stdio.h&gt;
2.	    int main(void)
3.	    {
4.	        printf("Hello world\n");
5.	    }
`create database hero;`</t>
    <phoneticPr fontId="3"/>
  </si>
  <si>
    <t>代码块</t>
    <phoneticPr fontId="3"/>
  </si>
  <si>
    <t>代码之间分别用三个反引号包起来，且两边的反引号单独占一行
(```)
  代码...
  代码...
  代码...
(```)
注：为了防止转译，前后三个反引号处加了小括号，实际是没有的。这里只是用来演示，实际中去掉两边小括号即可。</t>
    <phoneticPr fontId="3"/>
  </si>
  <si>
    <t>代码高亮</t>
    <phoneticPr fontId="3"/>
  </si>
  <si>
    <t>在三个反引号后面加上编程语言的名字，另起一行开始写代码，最后一行再加上三个反引号。
public static void main(String[]args){} //Java
int main(int argc, char *argv[]) //C
echo "hello GitHub" #Bash
document.getElementById("myH1").innerHTML="Welcome to my Homepage"; //javascipt
string &amp;operator+(const string&amp; A,const string&amp; B) //cpp</t>
    <phoneticPr fontId="3"/>
  </si>
  <si>
    <t xml:space="preserve">	流程图</t>
    <phoneticPr fontId="3"/>
  </si>
  <si>
    <t xml:space="preserve">	图片 行内式</t>
    <phoneticPr fontId="3"/>
  </si>
  <si>
    <t xml:space="preserve">![图片alt](图片地址 "图片title")
图片alt就是显示在图片下面的文字，相当于对图片内容的解释。
图片title是图片的标题，当鼠标移到图片上时显示的内容。title可加可不加
如果引用本仓库中的图片，直接使用相对路径就可了，如果引用其他github仓库中的图片要注意格式，即：仓库地址/raw/分支名/图片路径，如：
https://github.com/guodongxiaren/ImageCache/raw/master/Logo/foryou.gif </t>
    <phoneticPr fontId="3"/>
  </si>
  <si>
    <t xml:space="preserve">	图片 参考式</t>
    <phoneticPr fontId="3"/>
  </si>
  <si>
    <t>语法说明： 
在文档要插入图片的地方写![图片Alt][标记] 
在文档的最后写上[标记]:图片地址 “Title”
代码：
1.	美丽花儿：
2.	![美丽花儿][flower]
3.	
4.	[flower]:http://image102.360doc.com/DownloadImg/2016/12/2102/87417504_1.jpg  "美丽花儿"</t>
    <phoneticPr fontId="3"/>
  </si>
  <si>
    <t>音频</t>
    <phoneticPr fontId="3"/>
  </si>
  <si>
    <r>
      <t xml:space="preserve">&lt;audio id="audio" controls="" preload="none"&gt;
&lt;source id="mp3" src="http://oht4nlntk.bkt.clouddn.com/Music_iP%E8%B5%B5%E9%9C%B2%20-%20%E7%A6%BB%E6%AD%8C%20%28Live%29.mp3"&gt;
&lt;/audio&gt;
</t>
    </r>
    <r>
      <rPr>
        <sz val="11"/>
        <color theme="1"/>
        <rFont val="微软雅黑"/>
        <family val="2"/>
        <charset val="134"/>
      </rPr>
      <t>相对路径
&lt;audio id="audio" controls="" preload="none"&gt;
&lt;source id="mp3" src="./listening/n2-1991.mp3"&gt;
&lt;/audio&gt;
绝对路径
&lt;audio id="audio" controls="" preload="none"&gt;
&lt;source id="mp3" src="https://sb-talents.github.io/The-Practice-of-Japanese/listening/n2-1991.mp3"&gt;
&lt;/audio&gt;</t>
    </r>
    <phoneticPr fontId="3"/>
  </si>
  <si>
    <t>视频</t>
    <phoneticPr fontId="3"/>
  </si>
  <si>
    <t>&lt;video id="video" controls="" preload="none" poster="http://om2bks7xs.bkt.clouddn.com/2017-08-26-Markdown-Advance-Video.jpg"&gt;
&lt;source id="mp4" src="http://om2bks7xs.bkt.clouddn.com/2017-08-26-Markdown-Advance-Video.mp4" type="video/mp4"&gt;
&lt;/video&gt;
视频库 哔哩哔哩
&lt;iframe src="//player.bilibili.com/player.html?aid=67086362&amp;bvid=BV1C4411C7sf&amp;cid=116329440&amp;page=1" scrolling="no" border="0" frameborder="no" framespacing="0" allowfullscreen="true"&gt; &lt;/iframe&gt; 
&lt;iframe src="https://www.bilibili.com/html/html5player.html?aid=11200262&amp;cid=18527724&amp;as_wide=1" frameborder="0" width="640" height="430" allowfullscreen&gt;&lt;/iframe&gt;</t>
    <phoneticPr fontId="3"/>
  </si>
  <si>
    <t>表情</t>
    <phoneticPr fontId="3"/>
  </si>
  <si>
    <t>Github的Markdown语法支持添加emoji表情，输入不同的符号码（两个冒号包围的字符）可以显示出不同的表情。
比如:blush:，可以显示:blush:。
具体每一个表情的符号码，可以查询GitHub的官方网页http://www.emoji-cheat-sheet.com。</t>
    <phoneticPr fontId="3"/>
  </si>
  <si>
    <t>diff语法</t>
    <phoneticPr fontId="3"/>
  </si>
  <si>
    <t>版本控制的系统中都少不了diff的功能，即展示一个文件内容的增加与删除。
GFM中可以显示的展示diff效果。使用绿色表示新增，红色表示删除。
其语法与代码高亮类似，只是在三个反引号后面写diff，
并且其内容中，以 +开头表示新增，-开头表示删除。
效果如下：
+ 鸟宿池边树，僧敲月下门
- 鸟宿池边树，僧推月下门</t>
    <phoneticPr fontId="3"/>
  </si>
  <si>
    <t>$ 表示行内公式</t>
    <phoneticPr fontId="3"/>
  </si>
  <si>
    <t>代码：
1.	质能守恒方程可以用一个很简洁的方程式 $E=mc^2$ 来表达。</t>
    <phoneticPr fontId="3"/>
  </si>
  <si>
    <t>$$ 表示整行公式：</t>
    <phoneticPr fontId="3"/>
  </si>
  <si>
    <t>代码：
1.	$$\sum_{i=1}^n a_i=0$$
2.	
3.	$$f(x_1,x_x,\ldots,x_n) = x_1^2 + x_2^2 + \cdots + x_n^2 $$
4.	
5.	$$\sum^{j-1}_{k=0}{\widehat{\gamma}_{kj} z_k}$$</t>
    <phoneticPr fontId="3"/>
  </si>
  <si>
    <t>流程图语法参考</t>
    <phoneticPr fontId="3"/>
  </si>
  <si>
    <t>http://adrai.github.io/flowchart.js/</t>
    <phoneticPr fontId="3"/>
  </si>
  <si>
    <t>Word</t>
    <phoneticPr fontId="3"/>
  </si>
  <si>
    <t>Excel</t>
    <phoneticPr fontId="3"/>
  </si>
  <si>
    <t>取得光标当前位置</t>
    <phoneticPr fontId="3"/>
  </si>
  <si>
    <r>
      <t xml:space="preserve">    RangeAddress = Target.Address
    workaddress = Split(Trim(RangeAddress), "$")
返回</t>
    </r>
    <r>
      <rPr>
        <sz val="11"/>
        <color theme="1"/>
        <rFont val="微软雅黑"/>
        <family val="2"/>
        <charset val="134"/>
      </rPr>
      <t xml:space="preserve"> </t>
    </r>
    <r>
      <rPr>
        <sz val="11"/>
        <color theme="1"/>
        <rFont val="游ゴシック"/>
        <family val="2"/>
        <charset val="128"/>
      </rPr>
      <t>$</t>
    </r>
    <r>
      <rPr>
        <sz val="11"/>
        <color theme="1"/>
        <rFont val="微软雅黑"/>
        <family val="2"/>
        <charset val="134"/>
      </rPr>
      <t>列字母</t>
    </r>
    <r>
      <rPr>
        <sz val="11"/>
        <color theme="1"/>
        <rFont val="游ゴシック"/>
        <family val="2"/>
        <charset val="128"/>
      </rPr>
      <t>$行号</t>
    </r>
    <r>
      <rPr>
        <sz val="11"/>
        <color theme="1"/>
        <rFont val="等线"/>
        <family val="2"/>
        <scheme val="minor"/>
      </rPr>
      <t xml:space="preserve">
MsgBox Selection.Row
MsgBox Selection.Column</t>
    </r>
    <phoneticPr fontId="3"/>
  </si>
  <si>
    <t>Windows</t>
    <phoneticPr fontId="3"/>
  </si>
  <si>
    <t>MAC OS</t>
    <phoneticPr fontId="3"/>
  </si>
  <si>
    <t>株式会社 コウェル</t>
    <phoneticPr fontId="3"/>
  </si>
  <si>
    <t>株式会社 クロノス</t>
    <phoneticPr fontId="3"/>
  </si>
  <si>
    <t>株式会社 メディカルフロンティア</t>
    <phoneticPr fontId="3"/>
  </si>
  <si>
    <t>株式会社 Ｄｏｎｕｔｓ</t>
    <phoneticPr fontId="3"/>
  </si>
  <si>
    <t>スローガン 株式会社</t>
    <phoneticPr fontId="3"/>
  </si>
  <si>
    <t>株式会社 Y's</t>
    <phoneticPr fontId="3"/>
  </si>
  <si>
    <t>コグラフ 株式会社</t>
    <phoneticPr fontId="3"/>
  </si>
  <si>
    <t>弁護士ドットコム 株式会社</t>
    <phoneticPr fontId="3"/>
  </si>
  <si>
    <t>株式会社 アンドゲート</t>
    <phoneticPr fontId="3"/>
  </si>
  <si>
    <t>株式会社 エムアイメイズ</t>
    <phoneticPr fontId="3"/>
  </si>
  <si>
    <t>株式会社 シーエーシー</t>
    <phoneticPr fontId="3"/>
  </si>
  <si>
    <t>株式会社 ブロードリーフ</t>
    <phoneticPr fontId="3"/>
  </si>
  <si>
    <t>TVISION INSIGHTS 株式会社</t>
    <phoneticPr fontId="3"/>
  </si>
  <si>
    <t>株式会社 サイバー・バズ</t>
    <phoneticPr fontId="3"/>
  </si>
  <si>
    <t>オイシックス・ラ・大地 株式会社</t>
    <phoneticPr fontId="3"/>
  </si>
  <si>
    <t>アシアル 株式会社</t>
    <phoneticPr fontId="3"/>
  </si>
  <si>
    <t>株式会社 セブンデックス</t>
    <phoneticPr fontId="3"/>
  </si>
  <si>
    <t>株式会社 ABI</t>
    <phoneticPr fontId="3"/>
  </si>
  <si>
    <t>株式会社 アイティーブレーン</t>
    <phoneticPr fontId="3"/>
  </si>
  <si>
    <t>株式会社 インクル</t>
    <phoneticPr fontId="3"/>
  </si>
  <si>
    <t>株式会社 SUPER STUDIO</t>
    <phoneticPr fontId="3"/>
  </si>
  <si>
    <t>株式会社 ゴーリスト</t>
    <phoneticPr fontId="3"/>
  </si>
  <si>
    <t>住所：東京都千代田区神田須田町1-18
　　　アーバンスクエア神田ビル4F
担当者：大塚（おおつか）
もし急ぎでご連絡されたい事があれば、
こちらまでお電話いただければと思います。
岳田ケータイ：070-1544-2544</t>
    <phoneticPr fontId="3"/>
  </si>
  <si>
    <t>ユナイトアンドグロウ 株式会社</t>
    <phoneticPr fontId="3"/>
  </si>
  <si>
    <t>株式会社 イースト</t>
    <phoneticPr fontId="3"/>
  </si>
  <si>
    <t>日本ハムシステムソリューションズ 株式会社</t>
    <phoneticPr fontId="3"/>
  </si>
  <si>
    <t>株式会社 インプリ</t>
    <phoneticPr fontId="3"/>
  </si>
  <si>
    <t>株式会社 スピードリンクジャパン</t>
    <phoneticPr fontId="3"/>
  </si>
  <si>
    <t>株式会社 オープンハウス</t>
    <phoneticPr fontId="3"/>
  </si>
  <si>
    <t>株式会社 Techouse</t>
    <phoneticPr fontId="3"/>
  </si>
  <si>
    <t>株式会社 トライネット</t>
    <phoneticPr fontId="3"/>
  </si>
  <si>
    <t>株式会社 TMJ</t>
    <phoneticPr fontId="3"/>
  </si>
  <si>
    <t>株式会社 LITALICO</t>
    <phoneticPr fontId="3"/>
  </si>
  <si>
    <t>株式会社 ユニリタ</t>
    <phoneticPr fontId="3"/>
  </si>
  <si>
    <t>株式会社 プロトソリューション</t>
    <phoneticPr fontId="3"/>
  </si>
  <si>
    <t>株式会社 インターナショナルスポーツマーケティング</t>
    <phoneticPr fontId="3"/>
  </si>
  <si>
    <t>株式会社 アッテル</t>
    <phoneticPr fontId="3"/>
  </si>
  <si>
    <t>リノベる 株式会社</t>
    <phoneticPr fontId="3"/>
  </si>
  <si>
    <t>株式会社 チームスピリット</t>
    <phoneticPr fontId="3"/>
  </si>
  <si>
    <t>リビン・テクノロジーズ 株式会社</t>
    <phoneticPr fontId="3"/>
  </si>
  <si>
    <t>株式会社 スーパーソフトウエア</t>
    <phoneticPr fontId="3"/>
  </si>
  <si>
    <t>株式会社 ガイアックス</t>
    <phoneticPr fontId="3"/>
  </si>
  <si>
    <t>株式会社 グラム</t>
    <phoneticPr fontId="3"/>
  </si>
  <si>
    <t>株式会社 アイビス</t>
    <phoneticPr fontId="3"/>
  </si>
  <si>
    <t>株式会社 タンバリン</t>
    <phoneticPr fontId="3"/>
  </si>
  <si>
    <t>アスタミューゼ 株式会社</t>
    <phoneticPr fontId="3"/>
  </si>
  <si>
    <t>ソフトブレーン 株式会社</t>
    <phoneticPr fontId="3"/>
  </si>
  <si>
    <t>　ソフトブレーン株式会社　採用担当
　〒103-0027
　東京都中央区日本橋1-13-1
　日鉄日本橋ビル9階
　TEL　03-6880-9500　FAX　03-6880-9501</t>
    <phoneticPr fontId="3"/>
  </si>
  <si>
    <t>BL</t>
    <phoneticPr fontId="3"/>
  </si>
  <si>
    <t>株式会社 ＭＵＧＥＮＵＰ</t>
    <phoneticPr fontId="3"/>
  </si>
  <si>
    <t>株式会社 コプロシステム</t>
    <phoneticPr fontId="3"/>
  </si>
  <si>
    <t>TVISION INSIGHTS 株式会社</t>
    <phoneticPr fontId="3"/>
  </si>
  <si>
    <t>株式会社 エスキュービズム</t>
    <phoneticPr fontId="3"/>
  </si>
  <si>
    <t>株式会社 CLOCK・ON</t>
    <phoneticPr fontId="3"/>
  </si>
  <si>
    <t>株式会社 トライエッティング</t>
    <phoneticPr fontId="3"/>
  </si>
  <si>
    <t>株式会社 エヌエルプラス</t>
    <phoneticPr fontId="3"/>
  </si>
  <si>
    <t>GROUND 株式会社</t>
    <phoneticPr fontId="3"/>
  </si>
  <si>
    <t>株式会社 情報戦略テクノロジー　コア技術部門</t>
    <phoneticPr fontId="3"/>
  </si>
  <si>
    <t>株式会社 アースサイド</t>
    <phoneticPr fontId="3"/>
  </si>
  <si>
    <t>株式会社 Colorful Palette</t>
    <phoneticPr fontId="3"/>
  </si>
  <si>
    <t>株式会社 日進サイエンティア</t>
    <phoneticPr fontId="3"/>
  </si>
  <si>
    <t>Block list</t>
    <phoneticPr fontId="3"/>
  </si>
  <si>
    <t>パーソルテクノロジースタッフ 株式会社</t>
    <phoneticPr fontId="3"/>
  </si>
  <si>
    <t>株式会社 ウェルクス</t>
    <phoneticPr fontId="3"/>
  </si>
  <si>
    <t>株式会社 エムアイ・ラボ</t>
    <phoneticPr fontId="3"/>
  </si>
  <si>
    <t>株式会社 クラウドナイン</t>
    <phoneticPr fontId="3"/>
  </si>
  <si>
    <t>株式会社 タンバリン</t>
    <phoneticPr fontId="3"/>
  </si>
  <si>
    <t>株式会社 BTM</t>
    <phoneticPr fontId="3"/>
  </si>
  <si>
    <t>株式会社 Hajimari(旧ITプロパートナーズ)</t>
    <phoneticPr fontId="3"/>
  </si>
  <si>
    <t>フェンリル 株式会社</t>
    <phoneticPr fontId="3"/>
  </si>
  <si>
    <t>株式会社 KPIソリューションズ</t>
  </si>
  <si>
    <t>GC 株式会社</t>
    <phoneticPr fontId="3"/>
  </si>
  <si>
    <t>株式会社 ビジネス アソシエイツ</t>
    <phoneticPr fontId="3"/>
  </si>
  <si>
    <t>株式会社 ビジネクスト</t>
    <phoneticPr fontId="3"/>
  </si>
  <si>
    <t>ソシオネット 株式会社</t>
    <phoneticPr fontId="3"/>
  </si>
  <si>
    <t>採用担当: 前盛
連絡先：03-5357-1561
arei.maemori@socionet.co.jp
career@socionet.co.jp</t>
    <phoneticPr fontId="3"/>
  </si>
  <si>
    <t>株式会社 ｈ２ワークス</t>
    <phoneticPr fontId="3"/>
  </si>
  <si>
    <t>株式会社ｈ２ワークス　顧問
　西野 公夫
〒１０１－００２５
東京都千代田区神田佐久間町４－１４
　ニューイワサキビル４F
　TEL：03-5823-4271 Fax：03-5823-4272
k-nishino@h2-works.co.jp
http://h2-works.co.jp</t>
    <phoneticPr fontId="3"/>
  </si>
  <si>
    <t>ナレッジスイート 株式会社</t>
    <phoneticPr fontId="3"/>
  </si>
  <si>
    <t>jinji@b-tm.co.jp</t>
    <phoneticPr fontId="3"/>
  </si>
  <si>
    <t>ITサポートカンパニー 株式会社</t>
    <phoneticPr fontId="3"/>
  </si>
  <si>
    <t>株式会社 インフキュリオン</t>
    <phoneticPr fontId="3"/>
  </si>
  <si>
    <t>株式会社インフキュリオン
採用チーム
〒102−0094
東京都千代田区紀尾井町3−12 紀尾井町ビル11F
TEL: 03-6272-3924
MAIL: hrbp@infcurion.com
https://infcurion.com/
https://infcurion.digital/</t>
    <phoneticPr fontId="3"/>
  </si>
  <si>
    <t>INTLOOP 株式会社</t>
    <phoneticPr fontId="3"/>
  </si>
  <si>
    <t>株式会社 ミナケア</t>
    <phoneticPr fontId="3"/>
  </si>
  <si>
    <t>株式会社 メンバーズ メンバーズエッジカンパニー</t>
    <phoneticPr fontId="3"/>
  </si>
  <si>
    <t>株式会社 Sun Asterisk</t>
    <phoneticPr fontId="3"/>
  </si>
  <si>
    <t>株式会社 ユニトラスト</t>
    <phoneticPr fontId="3"/>
  </si>
  <si>
    <t>株式会社 イープラス</t>
    <phoneticPr fontId="3"/>
  </si>
  <si>
    <t>株式会社 グロービス</t>
    <phoneticPr fontId="3"/>
  </si>
  <si>
    <t>株式会社 ラクスパートナーズ</t>
    <phoneticPr fontId="3"/>
  </si>
  <si>
    <t>株式会社 トライネット</t>
    <phoneticPr fontId="3"/>
  </si>
  <si>
    <t>株式会社 ユニメディア</t>
    <phoneticPr fontId="3"/>
  </si>
  <si>
    <t>株式会社 マイナビ</t>
    <phoneticPr fontId="3"/>
  </si>
  <si>
    <t>株式会社 ビットエー</t>
    <phoneticPr fontId="3"/>
  </si>
  <si>
    <t>KIYOラーニング 株式会社</t>
    <phoneticPr fontId="3"/>
  </si>
  <si>
    <t>株式会社 フェズ</t>
    <phoneticPr fontId="3"/>
  </si>
  <si>
    <t>株式会社 パソナテック</t>
    <phoneticPr fontId="3"/>
  </si>
  <si>
    <t>CBcloud 株式会社</t>
    <phoneticPr fontId="3"/>
  </si>
  <si>
    <t>ポスタス 株式会社</t>
    <phoneticPr fontId="3"/>
  </si>
  <si>
    <t>ポスタス株式会社　採用担当
address：〒104-0045 東京都中央区築地5-4-18 汐留イーストサイドビル2・3Ｆ
tel：03-6264-0170
e-mail：postas_saiyo@persol.co.jp</t>
    <phoneticPr fontId="3"/>
  </si>
  <si>
    <t>メリービズ 株式会社</t>
    <phoneticPr fontId="3"/>
  </si>
  <si>
    <t>ヒューマンデジタルコンサルタンツ 株式会社</t>
    <phoneticPr fontId="3"/>
  </si>
  <si>
    <t>株式会社 ライトワークス</t>
    <phoneticPr fontId="3"/>
  </si>
  <si>
    <t>株式会社 Candee</t>
    <phoneticPr fontId="3"/>
  </si>
  <si>
    <t>株式会社 Roseau Pensant</t>
    <phoneticPr fontId="3"/>
  </si>
  <si>
    <t>株式会社 エグゼクション</t>
    <phoneticPr fontId="3"/>
  </si>
  <si>
    <t>株式会社エグゼクション　採用担当
E-MAIL：entry@exection.co.jp
URL：https://http://www.exection.co.jp/</t>
    <phoneticPr fontId="3"/>
  </si>
  <si>
    <t>ナイル 株式会社</t>
    <phoneticPr fontId="3"/>
  </si>
  <si>
    <t>株式会社 ハカルス</t>
    <phoneticPr fontId="3"/>
  </si>
  <si>
    <t>株式会社 ベーシック</t>
    <phoneticPr fontId="3"/>
  </si>
  <si>
    <t>アスタミューゼ 株式会社</t>
    <phoneticPr fontId="3"/>
  </si>
  <si>
    <t>株式会社 schoo</t>
    <phoneticPr fontId="3"/>
  </si>
  <si>
    <t>日本コムシンク 株式会社</t>
    <phoneticPr fontId="3"/>
  </si>
  <si>
    <t>日本コムシンク株式会社　人事部
〒550-0002 大阪市西区江戸堀1-2-11
Tel : (06)6448-8660 / Fax : (06)6448-8661
E-MAIL：nct_jinji@comthink.co.jp</t>
    <phoneticPr fontId="3"/>
  </si>
  <si>
    <t>ヴァイタル・インフォメーション 株式会社</t>
    <phoneticPr fontId="3"/>
  </si>
  <si>
    <t xml:space="preserve">ヴァイタル・インフォメーション株式会社
人事部 採用課
住所：〒160-0022 東京都新宿区新宿2-13-12 住友不動産新宿御苑ビル10F
電話：03-3354-8260
E-mail：career@vitals.co.jp </t>
    <phoneticPr fontId="3"/>
  </si>
  <si>
    <t>トレノケート 株式会社（旧名：グローバルナレッジネットワーク株式会社）</t>
    <phoneticPr fontId="3"/>
  </si>
  <si>
    <t>株式会社 エウレカ</t>
    <phoneticPr fontId="3"/>
  </si>
  <si>
    <t>株式会社 ペイジェント</t>
    <phoneticPr fontId="3"/>
  </si>
  <si>
    <t>エイムネクスト 株式会社</t>
    <phoneticPr fontId="3"/>
  </si>
  <si>
    <t>シンフォニーマーケティング 株式会社</t>
    <phoneticPr fontId="3"/>
  </si>
  <si>
    <t>株式会社 フォーデジット</t>
    <phoneticPr fontId="3"/>
  </si>
  <si>
    <t>株式会社 テクノモバイル</t>
    <phoneticPr fontId="3"/>
  </si>
  <si>
    <t>株式会社 アイリッジ</t>
    <phoneticPr fontId="3"/>
  </si>
  <si>
    <t>株式会社 ハイペリオン</t>
  </si>
  <si>
    <t>ディップ 株式会社</t>
    <phoneticPr fontId="3"/>
  </si>
  <si>
    <t>株式会社 セラク</t>
    <phoneticPr fontId="3"/>
  </si>
  <si>
    <t>スプリームシステム 株式会社</t>
    <phoneticPr fontId="3"/>
  </si>
  <si>
    <t>株式会社 Showcase Gig</t>
    <phoneticPr fontId="3"/>
  </si>
  <si>
    <t>株式会社 インタラクティブ・コミュニケーション・デザイン</t>
    <phoneticPr fontId="3"/>
  </si>
  <si>
    <t>株式会社 HROTTI</t>
    <phoneticPr fontId="3"/>
  </si>
  <si>
    <t>株式会社 LITALICO</t>
    <phoneticPr fontId="3"/>
  </si>
  <si>
    <t>株式会社 コンセント</t>
    <phoneticPr fontId="3"/>
  </si>
  <si>
    <t>株式会社 FID</t>
    <phoneticPr fontId="3"/>
  </si>
  <si>
    <t>株式会社 シャノン</t>
    <phoneticPr fontId="3"/>
  </si>
  <si>
    <t>パーソルプロセス＆テクノロジー株式会社（旧：株式会社インテリジェンス ビジネスソリューションズ）</t>
    <phoneticPr fontId="3"/>
  </si>
  <si>
    <t>リノベる 株式会社</t>
    <phoneticPr fontId="3"/>
  </si>
  <si>
    <t>株式会社 Touch&amp;Links</t>
    <phoneticPr fontId="3"/>
  </si>
  <si>
    <t>株式会社 ディマージシェア</t>
    <phoneticPr fontId="3"/>
  </si>
  <si>
    <t>株式会社 クオーレ</t>
    <phoneticPr fontId="3"/>
  </si>
  <si>
    <t>株式会社クオーレ　採用担当
粕谷　毅
〒144-0051
東京都大田区西蒲田6-36-11
　　　　　　　　　西蒲田NSビル7F
TEL：03-3730-2441 / FAX：03-3730-2446
Mail：t.kasuya@cuore.jp
URL：www.cuore.jp</t>
    <phoneticPr fontId="3"/>
  </si>
  <si>
    <t>株式会社 フォービス</t>
    <phoneticPr fontId="3"/>
  </si>
  <si>
    <t>メディアリンク 株式会社</t>
    <phoneticPr fontId="3"/>
  </si>
  <si>
    <t>recruit@medialink-ml.co.jp</t>
    <phoneticPr fontId="3"/>
  </si>
  <si>
    <t>株式会社 ロジクラ</t>
    <phoneticPr fontId="3"/>
  </si>
  <si>
    <t>株式会社 Diverse</t>
    <phoneticPr fontId="3"/>
  </si>
  <si>
    <t>株式会社 トップゲート</t>
    <phoneticPr fontId="3"/>
  </si>
  <si>
    <t>アシアル 株式会社</t>
    <phoneticPr fontId="3"/>
  </si>
  <si>
    <t>株式会社 EXIDEA</t>
    <phoneticPr fontId="3"/>
  </si>
  <si>
    <t>株式会社 Regrit Partners</t>
    <phoneticPr fontId="3"/>
  </si>
  <si>
    <t>パーソルキャリア 株式会社</t>
    <phoneticPr fontId="3"/>
  </si>
  <si>
    <t>株式会社 識学</t>
    <phoneticPr fontId="3"/>
  </si>
  <si>
    <t>株式会社 コパイロツト</t>
    <phoneticPr fontId="3"/>
  </si>
  <si>
    <t>株式会社 エージェント</t>
    <phoneticPr fontId="3"/>
  </si>
  <si>
    <t>株式会社 システムシェアード</t>
    <phoneticPr fontId="3"/>
  </si>
  <si>
    <t>ウェルスパーク 株式会社</t>
    <phoneticPr fontId="3"/>
  </si>
  <si>
    <t>hiring@wealth-park.com 宛</t>
    <phoneticPr fontId="3"/>
  </si>
  <si>
    <t>株式会社 ダイヤモンドファンタジー</t>
    <phoneticPr fontId="3"/>
  </si>
  <si>
    <t>株式会社 ロイヤリティ マーケティング</t>
    <phoneticPr fontId="3"/>
  </si>
  <si>
    <t>AnyMind Group</t>
    <phoneticPr fontId="3"/>
  </si>
  <si>
    <t>株式会社 アイデミー</t>
    <phoneticPr fontId="3"/>
  </si>
  <si>
    <t>株式会社アイデミー　本石宛
motoishi-m@aidemy.co.jp</t>
    <phoneticPr fontId="3"/>
  </si>
  <si>
    <t>株式会社 ファミリーコーポレーション</t>
    <phoneticPr fontId="3"/>
  </si>
  <si>
    <t>株式会社 DearOne</t>
    <phoneticPr fontId="3"/>
  </si>
  <si>
    <t>ワークスアイディ 株式会社</t>
    <phoneticPr fontId="3"/>
  </si>
  <si>
    <t>株式会社 ランチェスター</t>
    <phoneticPr fontId="3"/>
  </si>
  <si>
    <t>株式会社 コンテンツワン</t>
    <phoneticPr fontId="3"/>
  </si>
  <si>
    <t>株式会社 ホールハート</t>
    <phoneticPr fontId="3"/>
  </si>
  <si>
    <t>株式会社 アイティ・フォレスト</t>
    <phoneticPr fontId="3"/>
  </si>
  <si>
    <t>株式会社 ケーワン・エンタープライズ</t>
    <phoneticPr fontId="3"/>
  </si>
  <si>
    <t>デジタルサーカス 株式会社</t>
    <phoneticPr fontId="3"/>
  </si>
  <si>
    <t>アイビーシー 株式会社</t>
    <phoneticPr fontId="3"/>
  </si>
  <si>
    <t>SO Technologies 株式会社</t>
    <phoneticPr fontId="3"/>
  </si>
  <si>
    <t>株式会社 データミックス</t>
    <phoneticPr fontId="3"/>
  </si>
  <si>
    <t>サブライムコンサルティング 株式会社</t>
    <phoneticPr fontId="3"/>
  </si>
  <si>
    <t>GRASグループ 株式会社</t>
    <phoneticPr fontId="3"/>
  </si>
  <si>
    <t>株式会社 テコテック</t>
    <phoneticPr fontId="3"/>
  </si>
  <si>
    <t>株式会社 エム・フィールド</t>
    <phoneticPr fontId="3"/>
  </si>
  <si>
    <t>　株式会社エム・フィールド／採用担当　
　電話　 03-6450-3971
　E-Mail　mf_saiyo@m-field.co.jp
　採用サイト　http://mfhp.m-field.mobi/recruit/</t>
    <phoneticPr fontId="3"/>
  </si>
  <si>
    <t>株式会社 プログリット</t>
    <phoneticPr fontId="3"/>
  </si>
  <si>
    <t>株式会社 C-mind</t>
    <phoneticPr fontId="3"/>
  </si>
  <si>
    <t>株式会社 FLINTERS</t>
    <phoneticPr fontId="3"/>
  </si>
  <si>
    <t>CTW 株式会社</t>
    <phoneticPr fontId="3"/>
  </si>
  <si>
    <t>株式会社 パソナグループ</t>
    <phoneticPr fontId="3"/>
  </si>
  <si>
    <t>株式会社 プロポライフグループ</t>
    <phoneticPr fontId="3"/>
  </si>
  <si>
    <t>株式会社 エスト・ルージュ</t>
    <phoneticPr fontId="3"/>
  </si>
  <si>
    <t>株式会社 レアジョブ</t>
    <phoneticPr fontId="3"/>
  </si>
  <si>
    <t>株式会社 SmartHR</t>
    <phoneticPr fontId="3"/>
  </si>
  <si>
    <t>エッジテクノロジー 株式会社</t>
    <phoneticPr fontId="3"/>
  </si>
  <si>
    <t>株式会社 エル・ティー・エス</t>
    <phoneticPr fontId="3"/>
  </si>
  <si>
    <t>株式会社 博報堂プロダクツ</t>
    <phoneticPr fontId="3"/>
  </si>
  <si>
    <t>株式会社 E-Grant</t>
    <phoneticPr fontId="3"/>
  </si>
  <si>
    <t>株式会社 メドレー</t>
    <phoneticPr fontId="3"/>
  </si>
  <si>
    <t>プライマル 株式会社</t>
    <phoneticPr fontId="3"/>
  </si>
  <si>
    <t>合原携帯：080-2252-2301</t>
    <phoneticPr fontId="3"/>
  </si>
  <si>
    <t>株式会社 ネクストビート</t>
    <phoneticPr fontId="3"/>
  </si>
  <si>
    <t>株式会社 モンスター・ラボ</t>
    <phoneticPr fontId="3"/>
  </si>
  <si>
    <t>ヒューマンデジタルコンサルタンツ 株式会社</t>
    <phoneticPr fontId="3"/>
  </si>
  <si>
    <t>株式会社 Ｊストリーム</t>
    <phoneticPr fontId="3"/>
  </si>
  <si>
    <t>株式会社 ミラボ</t>
    <phoneticPr fontId="3"/>
  </si>
  <si>
    <t>サイオステクノロジー 株式会社</t>
    <phoneticPr fontId="3"/>
  </si>
  <si>
    <t>株式会社 アイデミー</t>
    <phoneticPr fontId="3"/>
  </si>
  <si>
    <t>株式会社アイデミー　本石宛
motoishi-m@aidemy.co.jp</t>
    <phoneticPr fontId="3"/>
  </si>
  <si>
    <t>モビルス 株式会社</t>
    <phoneticPr fontId="3"/>
  </si>
  <si>
    <t>株式会社 イースト</t>
    <phoneticPr fontId="3"/>
  </si>
  <si>
    <t>株式会社 ホープス</t>
    <phoneticPr fontId="3"/>
  </si>
  <si>
    <t>株式会社 ラクス</t>
    <phoneticPr fontId="3"/>
  </si>
  <si>
    <t>株式会社 アイティ・フォレスト</t>
    <phoneticPr fontId="3"/>
  </si>
  <si>
    <t>オルターボ 株式会社</t>
    <phoneticPr fontId="3"/>
  </si>
  <si>
    <t>株式会社 インタラクティブ・コミュニケーション・デザイン</t>
    <phoneticPr fontId="3"/>
  </si>
  <si>
    <t>ディーコム 株式会社</t>
    <phoneticPr fontId="3"/>
  </si>
  <si>
    <t>株式会社 シャノン</t>
    <phoneticPr fontId="3"/>
  </si>
  <si>
    <t>株式会社 マトリックス</t>
    <phoneticPr fontId="3"/>
  </si>
  <si>
    <t>株式会社 ウェルクス</t>
    <phoneticPr fontId="3"/>
  </si>
  <si>
    <t>INCLUSIVE 株式会社</t>
    <phoneticPr fontId="3"/>
  </si>
  <si>
    <t>株式会社 イノベーティブ・ソリューションズ</t>
    <phoneticPr fontId="3"/>
  </si>
  <si>
    <t>株式会社 マーケットエンタープライズ</t>
    <phoneticPr fontId="3"/>
  </si>
  <si>
    <t>VISITS Technologies 株式会社</t>
    <phoneticPr fontId="3"/>
  </si>
  <si>
    <t>株式会社 アイリッジ</t>
    <phoneticPr fontId="3"/>
  </si>
  <si>
    <t>株式会社 Sharing Innovations</t>
    <phoneticPr fontId="3"/>
  </si>
  <si>
    <t>READYFOR 株式会社</t>
    <phoneticPr fontId="3"/>
  </si>
  <si>
    <t>株式会社 ネクソン</t>
    <phoneticPr fontId="3"/>
  </si>
  <si>
    <t>株式会社 エヌエルプラス</t>
    <phoneticPr fontId="3"/>
  </si>
  <si>
    <t>株式会社 カイマデータ</t>
    <phoneticPr fontId="3"/>
  </si>
  <si>
    <t>ディップ 株式会社</t>
    <phoneticPr fontId="3"/>
  </si>
  <si>
    <t>フリービット 株式会社</t>
    <phoneticPr fontId="3"/>
  </si>
  <si>
    <t>株式会社 ゲームフリーク</t>
    <phoneticPr fontId="3"/>
  </si>
  <si>
    <t>株式会社 CAMPFIRE</t>
    <phoneticPr fontId="3"/>
  </si>
  <si>
    <t>株式会社 アイ・エス・アイソフトウェアー</t>
    <phoneticPr fontId="3"/>
  </si>
  <si>
    <t>株式会社 メディカルノート</t>
    <phoneticPr fontId="3"/>
  </si>
  <si>
    <t>東京ガスiネット 株式会社</t>
    <phoneticPr fontId="3"/>
  </si>
  <si>
    <t>株式会社 エスキュービズム</t>
    <phoneticPr fontId="3"/>
  </si>
  <si>
    <t>株式会社 デジタルハーツホールディングス</t>
    <phoneticPr fontId="3"/>
  </si>
  <si>
    <t xml:space="preserve">dh_recruit@digitalhearts.com </t>
    <phoneticPr fontId="3"/>
  </si>
  <si>
    <t>株式会社 コドモン</t>
    <phoneticPr fontId="3"/>
  </si>
  <si>
    <t>クレジットエンジン 株式会社</t>
    <phoneticPr fontId="3"/>
  </si>
  <si>
    <t>株式会社 ビデオエイペックス</t>
    <phoneticPr fontId="3"/>
  </si>
  <si>
    <t>ビズメイツ 株式会社</t>
    <phoneticPr fontId="3"/>
  </si>
  <si>
    <t>株式会社 情報戦略テクノロジー</t>
    <phoneticPr fontId="3"/>
  </si>
  <si>
    <t>株式会社 レアジョブ</t>
    <phoneticPr fontId="3"/>
  </si>
  <si>
    <t>株式会社 アローインフォメーション</t>
    <phoneticPr fontId="3"/>
  </si>
  <si>
    <t>株式会社アローインフォメーション
人材開発部　採用グループ
TEL：03-6859-5752
E-Mail：saiyo@arrow-i.co.jp
URL：https://www.arrow-i.co.jp/</t>
    <phoneticPr fontId="3"/>
  </si>
  <si>
    <t>イグニション・ポイント インサイト 株式会社</t>
    <phoneticPr fontId="3"/>
  </si>
  <si>
    <t>株式会社 ミクシィ</t>
    <phoneticPr fontId="3"/>
  </si>
  <si>
    <t>株式会社 ZEN PLACE</t>
    <phoneticPr fontId="3"/>
  </si>
  <si>
    <t>株式会社 C-mind</t>
    <phoneticPr fontId="3"/>
  </si>
  <si>
    <t>株式会社 サイバーエージェント AI事業本部</t>
    <phoneticPr fontId="3"/>
  </si>
  <si>
    <t>株式会社 エス・イー・シー・ハイテック</t>
    <phoneticPr fontId="3"/>
  </si>
  <si>
    <t>エクスコムグローバル 株式会社</t>
    <phoneticPr fontId="3"/>
  </si>
  <si>
    <t>株式会社 コムスクエア</t>
    <phoneticPr fontId="3"/>
  </si>
  <si>
    <t>GMOグローバルサイン・ホールディングス 株式会社</t>
    <phoneticPr fontId="3"/>
  </si>
  <si>
    <t>株式会社 マイナビ</t>
    <phoneticPr fontId="3"/>
  </si>
  <si>
    <t>株式会社 フォーイット</t>
    <phoneticPr fontId="3"/>
  </si>
  <si>
    <t>株式会社 スカイウイル</t>
    <phoneticPr fontId="3"/>
  </si>
  <si>
    <t>株式会社 ケアリッツ・アンド・パートナーズ</t>
    <phoneticPr fontId="3"/>
  </si>
  <si>
    <t>株式会社 博報堂アイ・スタジオ</t>
    <phoneticPr fontId="3"/>
  </si>
  <si>
    <t>パーソルプロセス＆テクノロジー株式会社（旧：株式会社インテリジェンス ビジネスソリューションズ）</t>
    <phoneticPr fontId="3"/>
  </si>
  <si>
    <t>株式会社 トップゲート</t>
    <phoneticPr fontId="3"/>
  </si>
  <si>
    <t>株式会社 SHIFT</t>
    <phoneticPr fontId="3"/>
  </si>
  <si>
    <t>株式会社 マイネット</t>
    <phoneticPr fontId="3"/>
  </si>
  <si>
    <t>レバレジーズ 株式会社</t>
    <phoneticPr fontId="3"/>
  </si>
  <si>
    <t>レバレジーズ株式会社　人事部
〒150-6190 東京都渋谷区渋谷2-24-12 渋谷スクランブルスクエア 24F
TEL ： 03-5774-1634（人事部直通）　　FAX ： 03-5774-1633
中途採用窓口：saiyo@leverages.jp
個人情報保護方針：http://leverages.jp/privacypolicy/</t>
    <phoneticPr fontId="3"/>
  </si>
  <si>
    <t>株式会社 BTM</t>
    <phoneticPr fontId="3"/>
  </si>
  <si>
    <t>株式会社 プロレド・パートナーズ</t>
    <phoneticPr fontId="3"/>
  </si>
  <si>
    <t>株式会社 パイプドビッツ</t>
    <phoneticPr fontId="3"/>
  </si>
  <si>
    <t>株式会社 識学</t>
    <phoneticPr fontId="3"/>
  </si>
  <si>
    <t>株式会社 マイクロウェーブ</t>
    <phoneticPr fontId="3"/>
  </si>
  <si>
    <t>株式会社 システムシェアード</t>
    <phoneticPr fontId="3"/>
  </si>
  <si>
    <t>株式会社 Relic</t>
    <phoneticPr fontId="3"/>
  </si>
  <si>
    <t>株式会社 Regrit Partners</t>
    <phoneticPr fontId="3"/>
  </si>
  <si>
    <t>株式会社 テスク</t>
    <phoneticPr fontId="3"/>
  </si>
  <si>
    <t>ウルシステムズ 株式会社</t>
    <phoneticPr fontId="3"/>
  </si>
  <si>
    <t>学校法人 電子学園　日本電子専門学校</t>
    <phoneticPr fontId="3"/>
  </si>
  <si>
    <t>ARアドバンストテクノロジ 株式会社</t>
    <phoneticPr fontId="3"/>
  </si>
  <si>
    <t>株式会社 エクストリーム</t>
    <phoneticPr fontId="3"/>
  </si>
  <si>
    <t>キヤノンビズアテンダ株式会社</t>
  </si>
  <si>
    <t>PMO(リーダー職)／大手シンクタンクでの大規模システム開発プロジェクト◆月給65万円～◆横浜勤務</t>
  </si>
  <si>
    <t>株式会社Japan technology</t>
  </si>
  <si>
    <t>開発・インフラ系エンジニア◆選べるプロジェクト◆リモート案件多数◆残業少なめ◆年間休日120日！</t>
  </si>
  <si>
    <t>マンパワーグループ株式会社　エクスぺリス</t>
  </si>
  <si>
    <t>PL/PM■これからPLに挑戦したい方も歓迎■受託案件多数■リモート7割■待機時も100％給与支給■定着率93.6%</t>
  </si>
  <si>
    <t>PL/PM◆自由度が高い社風◆事業も社内制度も自分たちで創れる◆独自の福利厚生多数◆定着率90％◆Web面接OK</t>
  </si>
  <si>
    <t>アヴァント株式会社【東証一部上場プロパティエージェント株式会社グループ】</t>
  </si>
  <si>
    <t>株式会社TACSOL</t>
  </si>
  <si>
    <t>開発エンジニア(リーダー層積極採用中)◆月給31万円以上◆前職給与考慮◆テレワーク9割(PC/Wi-Fi貸与)</t>
  </si>
  <si>
    <t>フリービット株式会社</t>
  </si>
  <si>
    <t>QAエンジニア/渋谷オフィス勤務/賞与年2回/残業月20時間程度/充実した福利厚生</t>
  </si>
  <si>
    <t>ユニテックシステム株式会社</t>
  </si>
  <si>
    <t>PL/フルリモート勤務OK/PL経験不問/自社サービス/導入実績2,700社超/最新技術の提案・導入も可能/賞与年4回</t>
  </si>
  <si>
    <t>株式会社ファンリード【東証一部上場企業グループ】</t>
  </si>
  <si>
    <t>コンサル型PM/月給50万以上/最上流の提案・交渉で市場価値を磨く/プロジェクトチームをマネジメント</t>
  </si>
  <si>
    <t>株式会社Ｈａｃｏｂｕ</t>
  </si>
  <si>
    <t>QAエンジニア◆自社プロダクト/スクラム開発◆原則リモート◆フレックス◆物流DX(IoT×クラウド)の最前線</t>
  </si>
  <si>
    <t>株式会社ユーネット</t>
  </si>
  <si>
    <t>PM・PL/3期連続増収/賞与前年実績5～6ヶ月/会社の成長のキーパーソンとして活躍/裁量の大きな環境</t>
  </si>
  <si>
    <t>システム開発ディレクター(PM)募集/前給保証/月給30万～/土日祝休/テレワーク実施中/オンライン面接実施中</t>
  </si>
  <si>
    <t>株式会社ACES</t>
  </si>
  <si>
    <t>Project Manager/AIプロジェクト全体の設計+開発付与/総額約3.2億円の資金調達を実現したスタートアップ</t>
  </si>
  <si>
    <t>株式会社メソドロジック</t>
  </si>
  <si>
    <t>PMOコンサルタント／PMO未経験OK／年収600万円以上／40代からの転職者も多数活躍／毎年昇給</t>
  </si>
  <si>
    <t>希亜思上海信息技術有限公司　東京支店</t>
  </si>
  <si>
    <t>SE(PL・PM候補)◆月給45万円以上◆上流工程メイン/自社オフショア◆自社持ち帰り案件/テレワーク可案件多数</t>
  </si>
  <si>
    <t>株式会社GMW</t>
  </si>
  <si>
    <t>【PMO】PMO経験一切不問／副業OK／大手企業とのプロジェクト多数／途中でのキャリアチェンジもOK</t>
  </si>
  <si>
    <t>汎用系エンジニア【土日祝休/転勤なし/残業少なめ/勤続20年以上社員活躍中/金融系生損保、官公庁向け案件】</t>
  </si>
  <si>
    <t>株式会社デジタルハーツホールディングス【東証一部上場】</t>
  </si>
  <si>
    <t>QAエンジニア*フレックス制*残業少なめ*プライム8割*月給31.8万円以上*業界トップクラスの技術を保有</t>
  </si>
  <si>
    <t>株式会社アグランツ</t>
  </si>
  <si>
    <t>【PMO】開発経験があれば活躍可能◎ DX促進/年休125日以上/大手企業直案件100％</t>
  </si>
  <si>
    <t>弥生株式会社</t>
  </si>
  <si>
    <t>【品質戦略リーダー候補】『 IT×業務支援 』起業家の成長支援として売上・シェアNo.1</t>
  </si>
  <si>
    <t>株式会社トッカシステムズ</t>
  </si>
  <si>
    <t>PL/受託9割/リモートも可能/経営陣と近い距離/最新技術を学ぶ勉強会あり/入社までの期間は希望に合わせます</t>
  </si>
  <si>
    <t>NEXT株式会社【ITbookグループ重要戦略子会社】</t>
  </si>
  <si>
    <t>インフラエンジニア/クラウド(AWS・仮想化)案件多数！／年収700万円以上可／リモート多数／40代～50代活躍</t>
  </si>
  <si>
    <t>株式会社エムツーエム</t>
  </si>
  <si>
    <t>【SE・PG】30～40代活躍中/年収750万円も可能/言語・転職回数不問/リモートOK/家族・住宅手当あり/面接1回</t>
  </si>
  <si>
    <t>PM・PL/95％プライム案件/前職給与保証/年収600万円～/有給消化率ほぼ100％/経験者全員面談</t>
  </si>
  <si>
    <t>株式会社グローバー</t>
  </si>
  <si>
    <t>自社内開発エンジニア(リーダー候補)&lt;増員募集！&gt;年休130日/コロナ禍も増収増益/リモート/Java PHP Python</t>
  </si>
  <si>
    <t>PM・PL◆月給39万円以上◆賞与年5ヶ月分（前年度実績）◆前給以上保障：年収例601万円/34歳・758万円/44歳</t>
  </si>
  <si>
    <t>株式会社サインウェーブ</t>
  </si>
  <si>
    <t>社内SE/2年で1300％成長を遂げる音声認識IT企業/月給40万円/有休消化90％/平均14％昇給/原則テレワーク</t>
  </si>
  <si>
    <t>株式会社 Blue Tiger Consulting</t>
  </si>
  <si>
    <t>人事責任者【組織づくりも担う人事のゼネラリストとして活躍】年収600万円以上/急成長中のベンチャー</t>
  </si>
  <si>
    <t>プロジェクトマネージャ（技術責任者・技術部門幹部候補）顧客システムのコンサル～マネジメント担当</t>
  </si>
  <si>
    <t>サイボウズ株式会社</t>
  </si>
  <si>
    <t>【総合職】適性に合わせて「ビジネス職」「エンジニア職」「サポート職」をご用意</t>
  </si>
  <si>
    <t>合同会社ナソリ</t>
  </si>
  <si>
    <t>PM/PL（Java、C#、Python、PHP等）★自社開発案件にも携われる！★年間休日127日</t>
  </si>
  <si>
    <t>株式会社サテライトオフィス</t>
  </si>
  <si>
    <t>最先端クラウドの技術営業/IT業界未経験の方も歓迎/ノルマ・テレアポなし/残業少なめ/リモートワーク可</t>
  </si>
  <si>
    <t>PM◆コアメンバーとして活躍◆年収500万円以上◆リモート案件あり</t>
  </si>
  <si>
    <t>株式会社Stock</t>
  </si>
  <si>
    <t>事業責任者/1億円調達した情報共有ツール「Stock」の事業責任者に創業メンバーとして参画しませんか？</t>
  </si>
  <si>
    <t>PM・PL(ITコンサルタント候補)/前給保証/コンサル経験不問/直請け7割/リモートOK/自社プロダクト開始</t>
  </si>
  <si>
    <t>株式会社デジタル・ナレッジ</t>
  </si>
  <si>
    <t>PM/100％自社サービス/リモートワーク可/国籍不問/海外PJあり/社員定着率99%/フレックス勤務</t>
  </si>
  <si>
    <t>株式会社ＴＯＰＷＥＬＬ</t>
  </si>
  <si>
    <t>【開発エンジニア】AI・IoTが学べる/プライム案件多数/月1で社内勉強会開催/入社1年でコンサルへ</t>
  </si>
  <si>
    <t>株式会社FLINTERS</t>
  </si>
  <si>
    <t>プロジェクトマネージャー/年収600万円以上/年間休日123日/スキルを磨くサポート制度充実</t>
  </si>
  <si>
    <t>株式会社 コサット</t>
  </si>
  <si>
    <t>PM/サーバ設計・構築◆100％自社内◆大手企業と直取引を実現◆大規模プロジェクトのリード役をお任せします</t>
  </si>
  <si>
    <t>リモート開発チームのPM【PL経験・要員管理経験のみの方歓迎 / 顧客直100%】</t>
  </si>
  <si>
    <t>株式会社らかんスタジオ</t>
  </si>
  <si>
    <t>FileMakerエンジニア【システムの構築・テクニカルサポート】完全自社/残業20h以内/年休120日で働き方◎</t>
  </si>
  <si>
    <t>株式会社バークリーコンサルティング</t>
  </si>
  <si>
    <t>DXコンサルティング型PM◆年収1,000万も可◆設立2年目のスタートアップでPMとしてのネクストステージを</t>
  </si>
  <si>
    <t>ITコンサルタント候補◆コンサル未経験OK◆IoT、AI、RPAなどのDX領域◆年俸450～800万◆スタートアップ</t>
  </si>
  <si>
    <t>PL/PM（インフラ・クラウド系）/上流工程やPMまで幅広く募集/100%エンド直案件/リモートもあり</t>
  </si>
  <si>
    <t>【社内SE】月給40万円～/事業成長率2年で13倍以上/原則テレワーク/平均14％昇給/有休消化90％/10時出社</t>
  </si>
  <si>
    <t>株式会社アクアードコンサルティング</t>
  </si>
  <si>
    <t>【戦略コンサルタント】未経験OK/市場価値を高めるスキルを身に付ける/インセンティブあり/年間休日125日～</t>
  </si>
  <si>
    <t>株式会社ウイルテック【東証二部上場】</t>
  </si>
  <si>
    <t>ITエンジニア(開発)/希望エリアでの案件配属率97.4％/定着率97％/4年で売上200％成長/リモートワークOK</t>
  </si>
  <si>
    <t>伊藤忠インタラクティブ株式会社</t>
  </si>
  <si>
    <t>【システム開発PM（上流特化/新規事業開発）】</t>
  </si>
  <si>
    <t>株式会社グローバルビジョンテクノロジー</t>
  </si>
  <si>
    <t>ブリッジSE／国内外Web系システム開発、インフラ構築・運用保守等※Web面接実施中※テレワーク案件あり</t>
  </si>
  <si>
    <t>PL/PM◆リモートワークOK◆面接基本1回◆オンライン面接実施中◆健康優良企業「銀」認定</t>
  </si>
  <si>
    <t>株式会社クレオ</t>
  </si>
  <si>
    <t>SE(PM/PL候補）／受託開発／プライム案件多数／賞与年4か月／ エンドユーザ直接やりとり ／転勤なし</t>
  </si>
  <si>
    <t>株式会社プラスアドバンス</t>
  </si>
  <si>
    <t>開発エンジニア/リモートワークあり/Java、C、COBOLなど/カジュアル面接/チームでの参画/残業月20h程度</t>
  </si>
  <si>
    <t>吉川紙商事株式会社</t>
  </si>
  <si>
    <t>自社内開発SE/教育研修充実/社員定着率90％以上/創業100年企業/残業月10h程度/年休126日/住宅手当あり</t>
  </si>
  <si>
    <t>株式会社DHI</t>
  </si>
  <si>
    <t>ITコンサルタント/SEからコンサルへ/最上流案件多数/少数精鋭/前職以上給与保障/年間休日125日</t>
  </si>
  <si>
    <t>株式会社 インフキュリオン</t>
    <phoneticPr fontId="3"/>
  </si>
  <si>
    <t>株式会社インフキュリオン
採用チーム
〒102-0083
東京都千代田区麹町5-7-2　MFPR麹町ビル7F
TEL: 03-6272-3924
MAIL: hrbp@infcurion.com
https://infcurion.com/
https://infcurion.digital/</t>
    <phoneticPr fontId="3"/>
  </si>
  <si>
    <t>株式会社 キュービック</t>
    <phoneticPr fontId="3"/>
  </si>
  <si>
    <t>株式会社 マイクロウェーブ</t>
    <phoneticPr fontId="3"/>
  </si>
  <si>
    <t>フォージビジョン 株式会社</t>
    <phoneticPr fontId="3"/>
  </si>
  <si>
    <t>株式会社 エスユーエス</t>
    <phoneticPr fontId="3"/>
  </si>
  <si>
    <t>株式会社 サックル</t>
    <phoneticPr fontId="3"/>
  </si>
  <si>
    <t>株式会社 パイプドビッツ</t>
    <phoneticPr fontId="3"/>
  </si>
  <si>
    <t>パーソルプロセス＆テクノロジー株式会社（旧：株式会社インテリジェンス ビジネスソリューションズ）</t>
    <phoneticPr fontId="3"/>
  </si>
  <si>
    <t>株式会社 エクストリーム</t>
    <phoneticPr fontId="3"/>
  </si>
  <si>
    <t>エクストリームグループ（証券コード：6033）
採用担当
recruit@e-xtreme.co.jp
URL http://www.e-xtreme.co.jp/
〒171-0021
東京都豊島区西池袋1-11-1
メトロポリタンプラザビル21F</t>
    <phoneticPr fontId="3"/>
  </si>
  <si>
    <t>株式会社 イースト</t>
    <phoneticPr fontId="3"/>
  </si>
  <si>
    <t>株式会社 エム・フィールド</t>
    <phoneticPr fontId="3"/>
  </si>
  <si>
    <t>株式会社 ＡＭＳ</t>
    <phoneticPr fontId="3"/>
  </si>
  <si>
    <t>クラスメソッド 株式会社</t>
    <phoneticPr fontId="3"/>
  </si>
  <si>
    <t>株式会社 チームスピリット</t>
    <phoneticPr fontId="3"/>
  </si>
  <si>
    <t xml:space="preserve">野村不動産ソリューションズ株式会社 社内SE／自社サイト運用・システム企画開発／20代歓迎 </t>
  </si>
  <si>
    <t xml:space="preserve">アルフレッサメディカルサービス株式会社 医療用品の供給を支える社内SE／賞与約4カ月分・残業約10H </t>
  </si>
  <si>
    <t xml:space="preserve">セーフィー株式会社 DevRel／テック系のアライアンス企業との事業開発／次世代大型SaaS系スタートアップ </t>
  </si>
  <si>
    <t xml:space="preserve">東京コンピュータサービス株式会社 全国募集／システムエンジニア／安定IT企業で活躍しませんか </t>
  </si>
  <si>
    <t xml:space="preserve">株式会社シンメトリア（Symmetria CO., LTD.） システムエンジニア・PM／前職給与以上を保証／年休120日～ </t>
  </si>
  <si>
    <r>
      <t>株式会社CROSS ONE</t>
    </r>
    <r>
      <rPr>
        <sz val="11"/>
        <rFont val="微软雅黑"/>
        <family val="2"/>
        <charset val="134"/>
      </rPr>
      <t>/</t>
    </r>
    <r>
      <rPr>
        <sz val="11"/>
        <rFont val="等线"/>
        <family val="2"/>
        <scheme val="minor"/>
      </rPr>
      <t xml:space="preserve"> ITエンジニア／在宅あり／前職の給与保証／有給取得率9割 </t>
    </r>
    <phoneticPr fontId="3"/>
  </si>
  <si>
    <t>応募日 ： 2021/05/02</t>
  </si>
  <si>
    <r>
      <t xml:space="preserve">株式会社 ベネッセコーポレーション </t>
    </r>
    <r>
      <rPr>
        <sz val="11"/>
        <rFont val="微软雅黑"/>
        <family val="2"/>
        <charset val="134"/>
      </rPr>
      <t>/</t>
    </r>
    <r>
      <rPr>
        <sz val="11"/>
        <rFont val="等线"/>
        <family val="2"/>
        <scheme val="minor"/>
      </rPr>
      <t xml:space="preserve">システム開発PMO（開発ガバナンス高度化） </t>
    </r>
    <phoneticPr fontId="3"/>
  </si>
  <si>
    <t>応募日 ： 2021/04/27</t>
  </si>
  <si>
    <r>
      <t>トランスコスモスフィールドマーケティング株式会社</t>
    </r>
    <r>
      <rPr>
        <sz val="11"/>
        <rFont val="微软雅黑"/>
        <family val="2"/>
        <charset val="134"/>
      </rPr>
      <t xml:space="preserve"> /</t>
    </r>
    <r>
      <rPr>
        <sz val="11"/>
        <rFont val="等线"/>
        <family val="2"/>
        <scheme val="minor"/>
      </rPr>
      <t xml:space="preserve">【トランスコスモス株式会社100%出資企業】 マネジメント職／バックオフィスやIT運用などプロジェクト多彩 </t>
    </r>
    <phoneticPr fontId="3"/>
  </si>
  <si>
    <t>応募日 ： 2021/04/26</t>
  </si>
  <si>
    <r>
      <t xml:space="preserve">株式会社富士情報 </t>
    </r>
    <r>
      <rPr>
        <sz val="11"/>
        <rFont val="微软雅黑"/>
        <family val="2"/>
        <charset val="134"/>
      </rPr>
      <t>/</t>
    </r>
    <r>
      <rPr>
        <sz val="11"/>
        <rFont val="等线"/>
        <family val="2"/>
        <scheme val="minor"/>
      </rPr>
      <t xml:space="preserve">システムエンジニア／100%自社内案件／開発言語不問 </t>
    </r>
    <phoneticPr fontId="3"/>
  </si>
  <si>
    <r>
      <t xml:space="preserve">株式会社シーエーシー </t>
    </r>
    <r>
      <rPr>
        <sz val="11"/>
        <rFont val="微软雅黑"/>
        <family val="2"/>
        <charset val="134"/>
      </rPr>
      <t>/</t>
    </r>
    <r>
      <rPr>
        <sz val="11"/>
        <rFont val="等线"/>
        <family val="2"/>
        <scheme val="minor"/>
      </rPr>
      <t xml:space="preserve">【オンライン説明会＆選考会／5月22日（土）実施】開発エンジニア※プライム比率9割 </t>
    </r>
    <phoneticPr fontId="3"/>
  </si>
  <si>
    <r>
      <t xml:space="preserve">ＦＰＴジャパンホールディングス株式会社 </t>
    </r>
    <r>
      <rPr>
        <sz val="11"/>
        <rFont val="微软雅黑"/>
        <family val="2"/>
        <charset val="134"/>
      </rPr>
      <t>/</t>
    </r>
    <r>
      <rPr>
        <sz val="11"/>
        <rFont val="等线"/>
        <family val="2"/>
        <scheme val="minor"/>
      </rPr>
      <t xml:space="preserve">【東京】PM（アプリ）※ベトナム最大のICTリーディングカンパニー／年収800～1200万 </t>
    </r>
    <phoneticPr fontId="3"/>
  </si>
  <si>
    <r>
      <t xml:space="preserve">FPTジャパンホールディングス </t>
    </r>
    <r>
      <rPr>
        <sz val="11"/>
        <rFont val="微软雅黑"/>
        <family val="2"/>
        <charset val="134"/>
      </rPr>
      <t>/</t>
    </r>
    <r>
      <rPr>
        <sz val="11"/>
        <rFont val="等线"/>
        <family val="2"/>
        <scheme val="minor"/>
      </rPr>
      <t xml:space="preserve">【東京】上流システムエンジニア※ベトナム最大のICTリーディングカンパニー／年収700～1000万 </t>
    </r>
    <phoneticPr fontId="3"/>
  </si>
  <si>
    <t>応募日 ： 2021/04/23</t>
  </si>
  <si>
    <t>応募日 ： 2021/04/21</t>
  </si>
  <si>
    <r>
      <t xml:space="preserve">ローレルバンクマシン株式会社 </t>
    </r>
    <r>
      <rPr>
        <sz val="11"/>
        <rFont val="微软雅黑"/>
        <family val="2"/>
        <charset val="134"/>
      </rPr>
      <t>/</t>
    </r>
    <r>
      <rPr>
        <sz val="11"/>
        <rFont val="等线"/>
        <family val="2"/>
        <scheme val="minor"/>
      </rPr>
      <t xml:space="preserve">【ポテンシャル歓迎】フロントエンドエンジニア※自社開発/受付システムINC/上流工程/残業15H程度 </t>
    </r>
    <phoneticPr fontId="3"/>
  </si>
  <si>
    <r>
      <t xml:space="preserve">株式会社アソウ・アルファ </t>
    </r>
    <r>
      <rPr>
        <sz val="11"/>
        <rFont val="微软雅黑"/>
        <family val="2"/>
        <charset val="134"/>
      </rPr>
      <t>/</t>
    </r>
    <r>
      <rPr>
        <sz val="11"/>
        <rFont val="等线"/>
        <family val="2"/>
        <scheme val="minor"/>
      </rPr>
      <t xml:space="preserve">【5月9日(日)WEB選考会】【勤務地考慮】ITエンジニア </t>
    </r>
    <phoneticPr fontId="3"/>
  </si>
  <si>
    <r>
      <t xml:space="preserve">株式会社テクニスコ </t>
    </r>
    <r>
      <rPr>
        <sz val="11"/>
        <rFont val="微软雅黑"/>
        <family val="2"/>
        <charset val="134"/>
      </rPr>
      <t>/</t>
    </r>
    <r>
      <rPr>
        <sz val="11"/>
        <rFont val="等线"/>
        <family val="2"/>
        <scheme val="minor"/>
      </rPr>
      <t xml:space="preserve">【品川】社内SE(アプリ) ※独自加工技術が強みの優良受託加工メーカー／残業20Ｈ程度・年休125日 </t>
    </r>
    <phoneticPr fontId="3"/>
  </si>
  <si>
    <t>応募日 ： 2021/04/20</t>
  </si>
  <si>
    <r>
      <t xml:space="preserve">株式会社シノケングループ </t>
    </r>
    <r>
      <rPr>
        <sz val="11"/>
        <rFont val="微软雅黑"/>
        <family val="2"/>
        <charset val="134"/>
      </rPr>
      <t>/</t>
    </r>
    <r>
      <rPr>
        <sz val="11"/>
        <rFont val="等线"/>
        <family val="2"/>
        <scheme val="minor"/>
      </rPr>
      <t xml:space="preserve">【東京】経営企画（アシスタントマネジャー／マネジャー） ～連結売上950億円超の上場グループ～ </t>
    </r>
    <phoneticPr fontId="3"/>
  </si>
  <si>
    <r>
      <t xml:space="preserve">株式会社ブイキューブ </t>
    </r>
    <r>
      <rPr>
        <sz val="11"/>
        <rFont val="微软雅黑"/>
        <family val="2"/>
        <charset val="134"/>
      </rPr>
      <t>/</t>
    </r>
    <r>
      <rPr>
        <sz val="11"/>
        <rFont val="等线"/>
        <family val="2"/>
        <scheme val="minor"/>
      </rPr>
      <t xml:space="preserve">【自社サービス／リモートワーク】プロジェクトリーダー※クラウド型配信サービスV-CUBEセミナー </t>
    </r>
    <phoneticPr fontId="3"/>
  </si>
  <si>
    <r>
      <t xml:space="preserve">株式会社ファーマインド </t>
    </r>
    <r>
      <rPr>
        <sz val="11"/>
        <rFont val="微软雅黑"/>
        <family val="2"/>
        <charset val="134"/>
      </rPr>
      <t>/</t>
    </r>
    <r>
      <rPr>
        <sz val="11"/>
        <rFont val="等线"/>
        <family val="2"/>
        <scheme val="minor"/>
      </rPr>
      <t xml:space="preserve">社内SE※社内システム運用・保守/青果業界のIT化を牽引する企業 </t>
    </r>
    <phoneticPr fontId="3"/>
  </si>
  <si>
    <r>
      <t xml:space="preserve">株式会社GRCS </t>
    </r>
    <r>
      <rPr>
        <sz val="11"/>
        <rFont val="微软雅黑"/>
        <family val="2"/>
        <charset val="134"/>
      </rPr>
      <t>/</t>
    </r>
    <r>
      <rPr>
        <sz val="11"/>
        <rFont val="等线"/>
        <family val="2"/>
        <scheme val="minor"/>
      </rPr>
      <t xml:space="preserve">職種未経験歓迎のITセキュリティコンサルタント・エンジニア </t>
    </r>
    <phoneticPr fontId="3"/>
  </si>
  <si>
    <r>
      <t xml:space="preserve">バルテス株式会社 </t>
    </r>
    <r>
      <rPr>
        <sz val="11"/>
        <rFont val="微软雅黑"/>
        <family val="2"/>
        <charset val="134"/>
      </rPr>
      <t>/</t>
    </r>
    <r>
      <rPr>
        <sz val="11"/>
        <rFont val="等线"/>
        <family val="2"/>
        <scheme val="minor"/>
      </rPr>
      <t xml:space="preserve">【中国語の経験活かせます】クオリティエンジニア（PL・PM） ※上流工程/資格取得推奨 </t>
    </r>
    <phoneticPr fontId="3"/>
  </si>
  <si>
    <r>
      <t xml:space="preserve">株式会社ピーアンドアイ </t>
    </r>
    <r>
      <rPr>
        <sz val="11"/>
        <rFont val="微软雅黑"/>
        <family val="2"/>
        <charset val="134"/>
      </rPr>
      <t>/</t>
    </r>
    <r>
      <rPr>
        <sz val="11"/>
        <rFont val="等线"/>
        <family val="2"/>
        <scheme val="minor"/>
      </rPr>
      <t xml:space="preserve">プロジェクトマネージャー～プライム案件多数／残業19H／社員定着率90％～ </t>
    </r>
    <phoneticPr fontId="3"/>
  </si>
  <si>
    <r>
      <t xml:space="preserve">楽天モバイル株式会社 </t>
    </r>
    <r>
      <rPr>
        <sz val="11"/>
        <rFont val="微软雅黑"/>
        <family val="2"/>
        <charset val="134"/>
      </rPr>
      <t>/</t>
    </r>
    <r>
      <rPr>
        <sz val="11"/>
        <rFont val="等线"/>
        <family val="2"/>
        <scheme val="minor"/>
      </rPr>
      <t xml:space="preserve">人材開発・育成担当/研修制度や育成プログラムの設計・実施～楽天グループ最注力事業～ </t>
    </r>
    <phoneticPr fontId="3"/>
  </si>
  <si>
    <r>
      <t xml:space="preserve">ＩＮＴＬＯＯＰ株式会社 </t>
    </r>
    <r>
      <rPr>
        <sz val="11"/>
        <rFont val="微软雅黑"/>
        <family val="2"/>
        <charset val="134"/>
      </rPr>
      <t>/</t>
    </r>
    <r>
      <rPr>
        <sz val="11"/>
        <rFont val="等线"/>
        <family val="2"/>
        <scheme val="minor"/>
      </rPr>
      <t xml:space="preserve">【事業拡大中】PMOコンサルタント～超大手優良企業多数／コンサル・開発・DX案件のマネジメント担当～ </t>
    </r>
    <phoneticPr fontId="3"/>
  </si>
  <si>
    <r>
      <t>ウルシステムズ株式会社</t>
    </r>
    <r>
      <rPr>
        <sz val="11"/>
        <rFont val="微软雅黑"/>
        <family val="2"/>
        <charset val="134"/>
      </rPr>
      <t>/</t>
    </r>
    <r>
      <rPr>
        <sz val="11"/>
        <rFont val="等线"/>
        <family val="2"/>
        <scheme val="minor"/>
      </rPr>
      <t xml:space="preserve">プロジェクトマネージャー※最上流工程から関われる/大規模案件/JASDAQ上場ULSグループ </t>
    </r>
    <phoneticPr fontId="3"/>
  </si>
  <si>
    <r>
      <t xml:space="preserve">アイマックエンジニアリング株式会社 </t>
    </r>
    <r>
      <rPr>
        <sz val="11"/>
        <rFont val="微软雅黑"/>
        <family val="2"/>
        <charset val="134"/>
      </rPr>
      <t>/</t>
    </r>
    <r>
      <rPr>
        <sz val="11"/>
        <rFont val="等线"/>
        <family val="2"/>
        <scheme val="minor"/>
      </rPr>
      <t xml:space="preserve">【東京】提案営業◇外国人採用支援事業の立ち上げフェーズ </t>
    </r>
    <phoneticPr fontId="3"/>
  </si>
  <si>
    <r>
      <t>株式会社タケエイ</t>
    </r>
    <r>
      <rPr>
        <sz val="11"/>
        <rFont val="微软雅黑"/>
        <family val="2"/>
        <charset val="134"/>
      </rPr>
      <t>/</t>
    </r>
    <r>
      <rPr>
        <sz val="11"/>
        <rFont val="等线"/>
        <family val="2"/>
        <scheme val="minor"/>
      </rPr>
      <t xml:space="preserve"> 【浜松町／社内SE(IT化推進)】東証一部上場企業･売上成長率117%／定時退社可能・就業環境◎～ </t>
    </r>
    <phoneticPr fontId="3"/>
  </si>
  <si>
    <r>
      <t xml:space="preserve">株式会社ネクストビート </t>
    </r>
    <r>
      <rPr>
        <sz val="11"/>
        <rFont val="微软雅黑"/>
        <family val="2"/>
        <charset val="134"/>
      </rPr>
      <t>/</t>
    </r>
    <r>
      <rPr>
        <sz val="11"/>
        <rFont val="等线"/>
        <family val="2"/>
        <scheme val="minor"/>
      </rPr>
      <t xml:space="preserve">【4/19(月)オンライン1DAY選考会】プロジェクトマネージャー※自社サービス/在宅・リモート勤務 </t>
    </r>
    <phoneticPr fontId="3"/>
  </si>
  <si>
    <t>応募日 ： 2021/04/16</t>
  </si>
  <si>
    <r>
      <t xml:space="preserve">株式会社出前館 </t>
    </r>
    <r>
      <rPr>
        <sz val="11"/>
        <rFont val="微软雅黑"/>
        <family val="2"/>
        <charset val="134"/>
      </rPr>
      <t>/</t>
    </r>
    <r>
      <rPr>
        <sz val="11"/>
        <rFont val="等线"/>
        <family val="2"/>
        <scheme val="minor"/>
      </rPr>
      <t xml:space="preserve">「出前館」プロダクト企画（基幹システム） プロダクトマネージャー </t>
    </r>
    <phoneticPr fontId="3"/>
  </si>
  <si>
    <r>
      <t xml:space="preserve">株式会社モンスター・ラボ </t>
    </r>
    <r>
      <rPr>
        <sz val="11"/>
        <rFont val="微软雅黑"/>
        <family val="2"/>
        <charset val="134"/>
      </rPr>
      <t>/</t>
    </r>
    <r>
      <rPr>
        <sz val="11"/>
        <rFont val="等线"/>
        <family val="2"/>
        <scheme val="minor"/>
      </rPr>
      <t xml:space="preserve">QAリード（品質保証）／マネージャー／世界中のプロダクトに輝きを！ </t>
    </r>
    <phoneticPr fontId="3"/>
  </si>
  <si>
    <r>
      <t xml:space="preserve">株式会社野村総合研究所 </t>
    </r>
    <r>
      <rPr>
        <sz val="11"/>
        <rFont val="微软雅黑"/>
        <family val="2"/>
        <charset val="134"/>
      </rPr>
      <t>/</t>
    </r>
    <r>
      <rPr>
        <sz val="11"/>
        <rFont val="等线"/>
        <family val="2"/>
        <scheme val="minor"/>
      </rPr>
      <t xml:space="preserve">【ミドルマネージャ｜フロント系開発グループのマネジメント】アジャイル開発有◆年収600ー1200 </t>
    </r>
    <phoneticPr fontId="3"/>
  </si>
  <si>
    <r>
      <t>ディップ 株式会社</t>
    </r>
    <r>
      <rPr>
        <sz val="11"/>
        <rFont val="微软雅黑"/>
        <family val="2"/>
        <charset val="134"/>
      </rPr>
      <t xml:space="preserve"> /</t>
    </r>
    <r>
      <rPr>
        <sz val="11"/>
        <rFont val="等线"/>
        <family val="2"/>
        <scheme val="minor"/>
      </rPr>
      <t xml:space="preserve"> プロジェクトマネージャー・プロジェクトマネージャー候補（BtoC向けの自社サービス） </t>
    </r>
    <phoneticPr fontId="3"/>
  </si>
  <si>
    <r>
      <t xml:space="preserve">GMOメイクショップ株式会社 </t>
    </r>
    <r>
      <rPr>
        <sz val="11"/>
        <rFont val="微软雅黑"/>
        <family val="2"/>
        <charset val="134"/>
      </rPr>
      <t>/</t>
    </r>
    <r>
      <rPr>
        <sz val="11"/>
        <rFont val="等线"/>
        <family val="2"/>
        <scheme val="minor"/>
      </rPr>
      <t xml:space="preserve">プロジェクトマネージャー ～9年連続EC業界実績トップクラス／在宅勤務／年間休日125日～ </t>
    </r>
    <phoneticPr fontId="3"/>
  </si>
  <si>
    <r>
      <t xml:space="preserve">株式会社エスキュービズム </t>
    </r>
    <r>
      <rPr>
        <sz val="11"/>
        <rFont val="微软雅黑"/>
        <family val="2"/>
        <charset val="134"/>
      </rPr>
      <t>/</t>
    </r>
    <r>
      <rPr>
        <sz val="11"/>
        <rFont val="等线"/>
        <family val="2"/>
        <scheme val="minor"/>
      </rPr>
      <t xml:space="preserve">プロジェクト管理のキャリアを積みたい方へ【開発ディレクター候補／自社プロダクト】カスタマイズ開発 </t>
    </r>
    <phoneticPr fontId="3"/>
  </si>
  <si>
    <r>
      <t>KDDI株式会社</t>
    </r>
    <r>
      <rPr>
        <sz val="11"/>
        <rFont val="微软雅黑"/>
        <family val="2"/>
        <charset val="134"/>
      </rPr>
      <t>/</t>
    </r>
    <r>
      <rPr>
        <sz val="11"/>
        <rFont val="等线"/>
        <family val="2"/>
        <scheme val="minor"/>
      </rPr>
      <t xml:space="preserve"> (K211)新規事業戦略企画・立案担当＜学生向けオンライン教育サービスの立ち上げ・推進＞ </t>
    </r>
    <phoneticPr fontId="3"/>
  </si>
  <si>
    <r>
      <t>ビジネス・デザイン・コンサルティング株式会社</t>
    </r>
    <r>
      <rPr>
        <sz val="11"/>
        <rFont val="微软雅黑"/>
        <family val="2"/>
        <charset val="134"/>
      </rPr>
      <t>/</t>
    </r>
    <r>
      <rPr>
        <sz val="11"/>
        <rFont val="等线"/>
        <family val="2"/>
        <scheme val="minor"/>
      </rPr>
      <t xml:space="preserve"> ITエンジニア／直請け90％以上／自社サービスの企画もできる </t>
    </r>
    <phoneticPr fontId="3"/>
  </si>
  <si>
    <r>
      <t>KDDI株式会社</t>
    </r>
    <r>
      <rPr>
        <sz val="11"/>
        <rFont val="微软雅黑"/>
        <family val="2"/>
        <charset val="134"/>
      </rPr>
      <t>/</t>
    </r>
    <r>
      <rPr>
        <sz val="11"/>
        <rFont val="等线"/>
        <family val="2"/>
        <scheme val="minor"/>
      </rPr>
      <t xml:space="preserve"> (K212)コンテンツ企画担当＜教育サービスのプログラム設計・コンテンツ企画＞ </t>
    </r>
    <phoneticPr fontId="3"/>
  </si>
  <si>
    <t>応募日 ： 2021/04/15</t>
  </si>
  <si>
    <r>
      <t>株式会社アスパーク</t>
    </r>
    <r>
      <rPr>
        <sz val="11"/>
        <rFont val="微软雅黑"/>
        <family val="2"/>
        <charset val="134"/>
      </rPr>
      <t>/</t>
    </r>
    <r>
      <rPr>
        <sz val="11"/>
        <rFont val="等线"/>
        <family val="2"/>
        <scheme val="minor"/>
      </rPr>
      <t xml:space="preserve"> 人材コンサルタント／月給27万5000円！挑戦できる環境！ </t>
    </r>
    <phoneticPr fontId="3"/>
  </si>
  <si>
    <t>応募日 ： 2021/04/14</t>
  </si>
  <si>
    <r>
      <t>株式会社ＮＳパーソナル（日本ソフトウェア株式会社グループ）</t>
    </r>
    <r>
      <rPr>
        <sz val="11"/>
        <rFont val="微软雅黑"/>
        <family val="2"/>
        <charset val="134"/>
      </rPr>
      <t xml:space="preserve">/ </t>
    </r>
    <r>
      <rPr>
        <sz val="11"/>
        <rFont val="等线"/>
        <family val="2"/>
        <scheme val="minor"/>
      </rPr>
      <t xml:space="preserve"> 開発エンジニア／年休120日以上／残業少なめ／上流を目指せる </t>
    </r>
    <phoneticPr fontId="3"/>
  </si>
  <si>
    <t>応募日 ： 2021/04/07</t>
  </si>
  <si>
    <r>
      <t xml:space="preserve">株式会社ベーシック </t>
    </r>
    <r>
      <rPr>
        <sz val="11"/>
        <rFont val="微软雅黑"/>
        <family val="2"/>
        <charset val="134"/>
      </rPr>
      <t>/</t>
    </r>
    <r>
      <rPr>
        <sz val="11"/>
        <rFont val="等线"/>
        <family val="2"/>
        <scheme val="minor"/>
      </rPr>
      <t xml:space="preserve">【フルリモート/プライム案件多数あり】アプリエンジニア（リーダー候補）～残業月平均20時間程度～ </t>
    </r>
    <phoneticPr fontId="3"/>
  </si>
  <si>
    <r>
      <t xml:space="preserve">ニューウェイブシステムラボ株式会社 </t>
    </r>
    <r>
      <rPr>
        <sz val="11"/>
        <rFont val="微软雅黑"/>
        <family val="2"/>
        <charset val="134"/>
      </rPr>
      <t>/</t>
    </r>
    <r>
      <rPr>
        <sz val="11"/>
        <rFont val="等线"/>
        <family val="2"/>
        <scheme val="minor"/>
      </rPr>
      <t xml:space="preserve">何歳になっても現役宣言！最先端技術のシステムエンジニア </t>
    </r>
    <phoneticPr fontId="3"/>
  </si>
  <si>
    <t>応募日 ： 2021/04/06</t>
  </si>
  <si>
    <r>
      <t>株式会社ビジネス・インフォメーション・テクノロジー</t>
    </r>
    <r>
      <rPr>
        <sz val="11"/>
        <rFont val="微软雅黑"/>
        <family val="2"/>
        <charset val="134"/>
      </rPr>
      <t>/</t>
    </r>
    <r>
      <rPr>
        <sz val="11"/>
        <rFont val="等线"/>
        <family val="2"/>
        <scheme val="minor"/>
      </rPr>
      <t xml:space="preserve"> ITエンジニア／自社内開発あり／資格手当多数／年休120日～ </t>
    </r>
    <phoneticPr fontId="3"/>
  </si>
  <si>
    <r>
      <t xml:space="preserve">日本コムシンク株式会社 </t>
    </r>
    <r>
      <rPr>
        <sz val="11"/>
        <rFont val="微软雅黑"/>
        <family val="2"/>
        <charset val="134"/>
      </rPr>
      <t>/</t>
    </r>
    <r>
      <rPr>
        <sz val="11"/>
        <rFont val="等线"/>
        <family val="2"/>
        <scheme val="minor"/>
      </rPr>
      <t xml:space="preserve">開発エンジニア／DX・受託開発案件増加中／プライム8割 </t>
    </r>
    <phoneticPr fontId="3"/>
  </si>
  <si>
    <r>
      <t xml:space="preserve">株式会社マクロセンド </t>
    </r>
    <r>
      <rPr>
        <sz val="11"/>
        <rFont val="微软雅黑"/>
        <family val="2"/>
        <charset val="134"/>
      </rPr>
      <t xml:space="preserve">/ </t>
    </r>
    <r>
      <rPr>
        <sz val="11"/>
        <rFont val="等线"/>
        <family val="2"/>
        <scheme val="minor"/>
      </rPr>
      <t xml:space="preserve">PythonでのAI開発／AIを活用したソフトウエア開発 </t>
    </r>
    <phoneticPr fontId="3"/>
  </si>
  <si>
    <t>応募日 ： 2021/04/02</t>
  </si>
  <si>
    <r>
      <t xml:space="preserve">シオステクノロジー株式会社 </t>
    </r>
    <r>
      <rPr>
        <sz val="11"/>
        <rFont val="微软雅黑"/>
        <family val="2"/>
        <charset val="134"/>
      </rPr>
      <t>/</t>
    </r>
    <r>
      <rPr>
        <sz val="11"/>
        <rFont val="等线"/>
        <family val="2"/>
        <scheme val="minor"/>
      </rPr>
      <t xml:space="preserve">【東京】業務系アプリのプロジェクトリーダー／マネージャー※19期連続黒字で安定成長※コロナの影響無！ </t>
    </r>
    <phoneticPr fontId="3"/>
  </si>
  <si>
    <r>
      <t xml:space="preserve">株式会社世界堂 </t>
    </r>
    <r>
      <rPr>
        <sz val="11"/>
        <rFont val="微软雅黑"/>
        <family val="2"/>
        <charset val="134"/>
      </rPr>
      <t xml:space="preserve">/ </t>
    </r>
    <r>
      <rPr>
        <sz val="11"/>
        <rFont val="等线"/>
        <family val="2"/>
        <scheme val="minor"/>
      </rPr>
      <t xml:space="preserve">社内SE（システム管理者）／新宿本社勤務／残業月5h以下 </t>
    </r>
    <phoneticPr fontId="3"/>
  </si>
  <si>
    <r>
      <t>株式会社テクノエージェント</t>
    </r>
    <r>
      <rPr>
        <sz val="11"/>
        <rFont val="微软雅黑"/>
        <family val="2"/>
        <charset val="134"/>
      </rPr>
      <t>/</t>
    </r>
    <r>
      <rPr>
        <sz val="11"/>
        <rFont val="等线"/>
        <family val="2"/>
        <scheme val="minor"/>
      </rPr>
      <t xml:space="preserve"> ITエンジニアの人材コーディネーター／年休120日／週休2日 </t>
    </r>
    <phoneticPr fontId="3"/>
  </si>
  <si>
    <r>
      <t>株式会社タケエイ</t>
    </r>
    <r>
      <rPr>
        <sz val="11"/>
        <rFont val="微软雅黑"/>
        <family val="2"/>
        <charset val="134"/>
      </rPr>
      <t>/</t>
    </r>
    <r>
      <rPr>
        <sz val="11"/>
        <rFont val="等线"/>
        <family val="2"/>
        <scheme val="minor"/>
      </rPr>
      <t xml:space="preserve"> 社内SE（IT化推進）／東証一部上場企業･売上成長率117% </t>
    </r>
    <phoneticPr fontId="3"/>
  </si>
  <si>
    <r>
      <t xml:space="preserve">株式会社セブン＆アイ・ホールディングス </t>
    </r>
    <r>
      <rPr>
        <sz val="11"/>
        <rFont val="微软雅黑"/>
        <family val="2"/>
        <charset val="134"/>
      </rPr>
      <t xml:space="preserve">/ </t>
    </r>
    <r>
      <rPr>
        <sz val="11"/>
        <rFont val="等线"/>
        <family val="2"/>
        <scheme val="minor"/>
      </rPr>
      <t xml:space="preserve">業界未経験歓迎のPM／在宅勤務可／想定年収500万円～ </t>
    </r>
    <phoneticPr fontId="3"/>
  </si>
  <si>
    <r>
      <t>株式会社フジワーク ITエンジニア</t>
    </r>
    <r>
      <rPr>
        <sz val="11"/>
        <rFont val="微软雅黑"/>
        <family val="2"/>
        <charset val="134"/>
      </rPr>
      <t>/</t>
    </r>
    <r>
      <rPr>
        <sz val="11"/>
        <rFont val="等线"/>
        <family val="2"/>
        <scheme val="minor"/>
      </rPr>
      <t xml:space="preserve">（PM／PL候補）／在宅勤務OK／完全週休2日 </t>
    </r>
    <phoneticPr fontId="3"/>
  </si>
  <si>
    <r>
      <t xml:space="preserve">株式会社セブン＆アイ・ホールディングス </t>
    </r>
    <r>
      <rPr>
        <sz val="11"/>
        <rFont val="微软雅黑"/>
        <family val="2"/>
        <charset val="134"/>
      </rPr>
      <t>/</t>
    </r>
    <r>
      <rPr>
        <sz val="11"/>
        <rFont val="等线"/>
        <family val="2"/>
        <scheme val="minor"/>
      </rPr>
      <t xml:space="preserve">プロジェクト推進（メンバー）/ラストワンマイルDXプラットフォーム案件／ToC案件 </t>
    </r>
    <phoneticPr fontId="3"/>
  </si>
  <si>
    <t>応募日 ： 2021/04/01</t>
  </si>
  <si>
    <r>
      <t>株式会社クリエイティブリソースインスティチュート</t>
    </r>
    <r>
      <rPr>
        <sz val="11"/>
        <rFont val="微软雅黑"/>
        <family val="2"/>
        <charset val="134"/>
      </rPr>
      <t>/</t>
    </r>
    <r>
      <rPr>
        <sz val="11"/>
        <rFont val="等线"/>
        <family val="2"/>
        <scheme val="minor"/>
      </rPr>
      <t xml:space="preserve"> Webディレクター／年休125日（土日祝）／残業月平均12H </t>
    </r>
    <phoneticPr fontId="3"/>
  </si>
  <si>
    <r>
      <t>【東証一部上場】コムチュア株式会社 プロジェクトマネージャー</t>
    </r>
    <r>
      <rPr>
        <sz val="11"/>
        <rFont val="微软雅黑"/>
        <family val="2"/>
        <charset val="134"/>
      </rPr>
      <t>/</t>
    </r>
    <r>
      <rPr>
        <sz val="11"/>
        <rFont val="等线"/>
        <family val="2"/>
        <scheme val="minor"/>
      </rPr>
      <t xml:space="preserve">～金融系プロジェクトにおけるプロジェクト管理を担当～ </t>
    </r>
    <phoneticPr fontId="3"/>
  </si>
  <si>
    <t>応募日 ： 2021/03/31</t>
  </si>
  <si>
    <r>
      <t>株式会社ローソンエンタテインメント</t>
    </r>
    <r>
      <rPr>
        <sz val="11"/>
        <rFont val="微软雅黑"/>
        <family val="2"/>
        <charset val="134"/>
      </rPr>
      <t xml:space="preserve"> /</t>
    </r>
    <r>
      <rPr>
        <sz val="11"/>
        <rFont val="等线"/>
        <family val="2"/>
        <scheme val="minor"/>
      </rPr>
      <t xml:space="preserve"> 自社サービス開発エンジニア／エンタメ市場でシェアトップクラス </t>
    </r>
    <phoneticPr fontId="3"/>
  </si>
  <si>
    <r>
      <t>東急リバブル株式会社</t>
    </r>
    <r>
      <rPr>
        <sz val="11"/>
        <rFont val="微软雅黑"/>
        <family val="2"/>
        <charset val="134"/>
      </rPr>
      <t xml:space="preserve"> /</t>
    </r>
    <r>
      <rPr>
        <sz val="11"/>
        <rFont val="等线"/>
        <family val="2"/>
        <scheme val="minor"/>
      </rPr>
      <t xml:space="preserve"> 社内SE（土日休み／リモートワーク環境あり） </t>
    </r>
    <phoneticPr fontId="3"/>
  </si>
  <si>
    <r>
      <t>株式会社ラフトシステム</t>
    </r>
    <r>
      <rPr>
        <sz val="11"/>
        <rFont val="微软雅黑"/>
        <family val="2"/>
        <charset val="134"/>
      </rPr>
      <t xml:space="preserve"> /</t>
    </r>
    <r>
      <rPr>
        <sz val="11"/>
        <rFont val="等线"/>
        <family val="2"/>
        <scheme val="minor"/>
      </rPr>
      <t xml:space="preserve"> システムエンジニア（汎用系／賞与年2回／基本定時退社） </t>
    </r>
    <phoneticPr fontId="3"/>
  </si>
  <si>
    <t>応募日 ： 2021/03/30</t>
  </si>
  <si>
    <r>
      <t xml:space="preserve">シンプレクス・ホールディングス株式会社 </t>
    </r>
    <r>
      <rPr>
        <sz val="11"/>
        <rFont val="微软雅黑"/>
        <family val="2"/>
        <charset val="134"/>
      </rPr>
      <t xml:space="preserve">/ </t>
    </r>
    <r>
      <rPr>
        <sz val="11"/>
        <rFont val="等线"/>
        <family val="2"/>
        <scheme val="minor"/>
      </rPr>
      <t xml:space="preserve">社内SE※社内システムに関する業務全般をご担当いただきます </t>
    </r>
    <phoneticPr fontId="3"/>
  </si>
  <si>
    <r>
      <t xml:space="preserve">株式会社ＡＲＥＴＥＣＯ　ＨＯＬＤＩＮＧＳ </t>
    </r>
    <r>
      <rPr>
        <sz val="11"/>
        <rFont val="微软雅黑"/>
        <family val="2"/>
        <charset val="134"/>
      </rPr>
      <t>/</t>
    </r>
    <r>
      <rPr>
        <sz val="11"/>
        <rFont val="等线"/>
        <family val="2"/>
        <scheme val="minor"/>
      </rPr>
      <t xml:space="preserve">【社内ITプロジェクト推進】システム移管PJTを予定／システム開発マネジメント～社内セキュリティまで </t>
    </r>
    <phoneticPr fontId="3"/>
  </si>
  <si>
    <r>
      <t xml:space="preserve">株式会社代々木アニメーション学院 </t>
    </r>
    <r>
      <rPr>
        <sz val="11"/>
        <rFont val="微软雅黑"/>
        <family val="2"/>
        <charset val="134"/>
      </rPr>
      <t xml:space="preserve"> /</t>
    </r>
    <r>
      <rPr>
        <sz val="11"/>
        <rFont val="等线"/>
        <family val="2"/>
        <scheme val="minor"/>
      </rPr>
      <t xml:space="preserve">【水道橋】社内SE(システム企画～導入、マニュアル化等)　※老舗アニメ専門予備校／積極的なＩＴ投資 </t>
    </r>
    <phoneticPr fontId="3"/>
  </si>
  <si>
    <r>
      <t xml:space="preserve">株式会社スプリックス </t>
    </r>
    <r>
      <rPr>
        <sz val="11"/>
        <rFont val="微软雅黑"/>
        <family val="2"/>
        <charset val="134"/>
      </rPr>
      <t xml:space="preserve">/ </t>
    </r>
    <r>
      <rPr>
        <sz val="11"/>
        <rFont val="等线"/>
        <family val="2"/>
        <scheme val="minor"/>
      </rPr>
      <t xml:space="preserve">自社教育ITコンテンツの事業推進　※上場企業の新規事業立ち上げに貢献／教育×ITで急成長中／土日休 </t>
    </r>
    <phoneticPr fontId="3"/>
  </si>
  <si>
    <r>
      <t xml:space="preserve">株式会社ＮＴＴデータ・フィナンシャルコア </t>
    </r>
    <r>
      <rPr>
        <sz val="11"/>
        <rFont val="微软雅黑"/>
        <family val="2"/>
        <charset val="134"/>
      </rPr>
      <t>/</t>
    </r>
    <r>
      <rPr>
        <sz val="11"/>
        <rFont val="等线"/>
        <family val="2"/>
        <scheme val="minor"/>
      </rPr>
      <t xml:space="preserve">【NTTデータＧ】【COBOL】金融系業務SE　プロジェクトリーダー候補◆福利厚生◎◆ </t>
    </r>
    <phoneticPr fontId="3"/>
  </si>
  <si>
    <r>
      <t xml:space="preserve">株式会社ＮＴＴデータ・フィナンシャルコア </t>
    </r>
    <r>
      <rPr>
        <sz val="11"/>
        <rFont val="微软雅黑"/>
        <family val="2"/>
        <charset val="134"/>
      </rPr>
      <t>/</t>
    </r>
    <r>
      <rPr>
        <sz val="11"/>
        <rFont val="等线"/>
        <family val="2"/>
        <scheme val="minor"/>
      </rPr>
      <t xml:space="preserve">【NTTデータＧ】【COBOL】金融系業務SE　メンバークラス◆福利厚生◎◆ </t>
    </r>
    <phoneticPr fontId="3"/>
  </si>
  <si>
    <r>
      <t xml:space="preserve">株式会社ヴィンクス </t>
    </r>
    <r>
      <rPr>
        <sz val="11"/>
        <rFont val="微软雅黑"/>
        <family val="2"/>
        <charset val="134"/>
      </rPr>
      <t>/</t>
    </r>
    <r>
      <rPr>
        <sz val="11"/>
        <rFont val="等线"/>
        <family val="2"/>
        <scheme val="minor"/>
      </rPr>
      <t xml:space="preserve">【自社開発/品川】金融系COBOLエンジニア　～大手クレジット企業案件/残業15h～ </t>
    </r>
    <phoneticPr fontId="3"/>
  </si>
  <si>
    <r>
      <t xml:space="preserve">株式会社トヨタユーゼック </t>
    </r>
    <r>
      <rPr>
        <sz val="11"/>
        <rFont val="微软雅黑"/>
        <family val="2"/>
        <charset val="134"/>
      </rPr>
      <t xml:space="preserve">/ </t>
    </r>
    <r>
      <rPr>
        <sz val="11"/>
        <rFont val="等线"/>
        <family val="2"/>
        <scheme val="minor"/>
      </rPr>
      <t xml:space="preserve">社内SE（ベンダー管理とヘルプデスク／年間休日116日） </t>
    </r>
    <phoneticPr fontId="3"/>
  </si>
  <si>
    <r>
      <t xml:space="preserve">株式会社金融情報サービス </t>
    </r>
    <r>
      <rPr>
        <sz val="11"/>
        <rFont val="微软雅黑"/>
        <family val="2"/>
        <charset val="134"/>
      </rPr>
      <t>/</t>
    </r>
    <r>
      <rPr>
        <sz val="11"/>
        <rFont val="等线"/>
        <family val="2"/>
        <scheme val="minor"/>
      </rPr>
      <t xml:space="preserve">【Java・COBOL】システムエンジニア※年間休日126日/チームで常駐・社員を大切にする社風※ </t>
    </r>
    <phoneticPr fontId="3"/>
  </si>
  <si>
    <r>
      <t>株式会社マイネット コーポレート</t>
    </r>
    <r>
      <rPr>
        <sz val="11"/>
        <rFont val="微软雅黑"/>
        <family val="2"/>
        <charset val="134"/>
      </rPr>
      <t>/</t>
    </r>
    <r>
      <rPr>
        <sz val="11"/>
        <rFont val="等线"/>
        <family val="2"/>
        <scheme val="minor"/>
      </rPr>
      <t xml:space="preserve">IT担当（マネージャー候補）※東証一部上場/36タイトルのゲーム運営※ </t>
    </r>
    <phoneticPr fontId="3"/>
  </si>
  <si>
    <r>
      <t xml:space="preserve">キューアンドエー株式会社 </t>
    </r>
    <r>
      <rPr>
        <sz val="11"/>
        <rFont val="微软雅黑"/>
        <family val="2"/>
        <charset val="134"/>
      </rPr>
      <t>/</t>
    </r>
    <r>
      <rPr>
        <sz val="11"/>
        <rFont val="等线"/>
        <family val="2"/>
        <scheme val="minor"/>
      </rPr>
      <t xml:space="preserve">【東京】社内SE／プロマネから組織推進まで担当 ※NECネッツエスアイグループ </t>
    </r>
    <phoneticPr fontId="3"/>
  </si>
  <si>
    <r>
      <t xml:space="preserve">ＧＭＯアドパートナーズ株式会社 </t>
    </r>
    <r>
      <rPr>
        <sz val="11"/>
        <rFont val="微软雅黑"/>
        <family val="2"/>
        <charset val="134"/>
      </rPr>
      <t>/</t>
    </r>
    <r>
      <rPr>
        <sz val="11"/>
        <rFont val="等线"/>
        <family val="2"/>
        <scheme val="minor"/>
      </rPr>
      <t xml:space="preserve">社内SE～福利厚生充実/グループ連結700名のIT環境を支える次期チームリーダー候補～ </t>
    </r>
    <phoneticPr fontId="3"/>
  </si>
  <si>
    <r>
      <t xml:space="preserve">バルミューダ株式会社 </t>
    </r>
    <r>
      <rPr>
        <sz val="11"/>
        <rFont val="微软雅黑"/>
        <family val="2"/>
        <charset val="134"/>
      </rPr>
      <t>/</t>
    </r>
    <r>
      <rPr>
        <sz val="11"/>
        <rFont val="等线"/>
        <family val="2"/>
        <scheme val="minor"/>
      </rPr>
      <t xml:space="preserve">社内SE（アプリ・インフラ） ／転勤無し／残業月20h程度 </t>
    </r>
    <phoneticPr fontId="3"/>
  </si>
  <si>
    <r>
      <t>株式会社パソナテック</t>
    </r>
    <r>
      <rPr>
        <sz val="11"/>
        <rFont val="微软雅黑"/>
        <family val="2"/>
        <charset val="134"/>
      </rPr>
      <t>/</t>
    </r>
    <r>
      <rPr>
        <sz val="11"/>
        <rFont val="等线"/>
        <family val="2"/>
        <scheme val="minor"/>
      </rPr>
      <t xml:space="preserve"> RPAコンサルタント（RPAを軸とした顧客の業務改善）／プライム案件多数 </t>
    </r>
    <phoneticPr fontId="3"/>
  </si>
  <si>
    <r>
      <t xml:space="preserve">アクサス株式会社 </t>
    </r>
    <r>
      <rPr>
        <sz val="11"/>
        <rFont val="微软雅黑"/>
        <family val="2"/>
        <charset val="134"/>
      </rPr>
      <t>/</t>
    </r>
    <r>
      <rPr>
        <sz val="11"/>
        <rFont val="等线"/>
        <family val="2"/>
        <scheme val="minor"/>
      </rPr>
      <t xml:space="preserve">【ポテンシャル歓迎】アプリエンジニア ※第二創業期を一緒に作る仲間を募集/ネオキャリアグループ </t>
    </r>
    <phoneticPr fontId="3"/>
  </si>
  <si>
    <r>
      <t xml:space="preserve">株式会社グローテック </t>
    </r>
    <r>
      <rPr>
        <sz val="11"/>
        <rFont val="微软雅黑"/>
        <family val="2"/>
        <charset val="134"/>
      </rPr>
      <t>/</t>
    </r>
    <r>
      <rPr>
        <sz val="11"/>
        <rFont val="等线"/>
        <family val="2"/>
        <scheme val="minor"/>
      </rPr>
      <t xml:space="preserve">【PM・PL候補（金融系）】100％自社内開発／プライム案件多数／実績に応じた賞与があり年収UP可能 </t>
    </r>
    <phoneticPr fontId="3"/>
  </si>
  <si>
    <t>応募日 ： 2021/03/29</t>
  </si>
  <si>
    <r>
      <t xml:space="preserve">株式会社アウトソーシングテクノロジー </t>
    </r>
    <r>
      <rPr>
        <sz val="11"/>
        <rFont val="微软雅黑"/>
        <family val="2"/>
        <charset val="134"/>
      </rPr>
      <t>/</t>
    </r>
    <r>
      <rPr>
        <sz val="11"/>
        <rFont val="等线"/>
        <family val="2"/>
        <scheme val="minor"/>
      </rPr>
      <t xml:space="preserve">【東京都】システムエンジニア（汎用系）業務 </t>
    </r>
    <phoneticPr fontId="3"/>
  </si>
  <si>
    <t>応募日 ： 2021/03/27</t>
  </si>
  <si>
    <r>
      <t xml:space="preserve">株式会社Cygames </t>
    </r>
    <r>
      <rPr>
        <sz val="11"/>
        <rFont val="微软雅黑"/>
        <family val="2"/>
        <charset val="134"/>
      </rPr>
      <t xml:space="preserve">/ </t>
    </r>
    <r>
      <rPr>
        <sz val="11"/>
        <rFont val="等线"/>
        <family val="2"/>
        <scheme val="minor"/>
      </rPr>
      <t xml:space="preserve">プロジェクトマネージャー／大規模なゲームタイトルのプロジェクト管理 </t>
    </r>
    <phoneticPr fontId="3"/>
  </si>
  <si>
    <r>
      <t xml:space="preserve">株式会社東亜産業 </t>
    </r>
    <r>
      <rPr>
        <sz val="11"/>
        <rFont val="微软雅黑"/>
        <family val="2"/>
        <charset val="134"/>
      </rPr>
      <t xml:space="preserve">/ </t>
    </r>
    <r>
      <rPr>
        <sz val="11"/>
        <rFont val="等线"/>
        <family val="2"/>
        <scheme val="minor"/>
      </rPr>
      <t xml:space="preserve">新事業部立ち上げ／PM／月給60万円以上／年休120日 </t>
    </r>
    <phoneticPr fontId="3"/>
  </si>
  <si>
    <r>
      <t xml:space="preserve">株式会社ヨックモック </t>
    </r>
    <r>
      <rPr>
        <sz val="11"/>
        <rFont val="微软雅黑"/>
        <family val="2"/>
        <charset val="134"/>
      </rPr>
      <t xml:space="preserve">/ </t>
    </r>
    <r>
      <rPr>
        <sz val="11"/>
        <rFont val="等线"/>
        <family val="2"/>
        <scheme val="minor"/>
      </rPr>
      <t xml:space="preserve">社内SE／老舗菓子メーカー／保守・運用からスタート／強化部門 </t>
    </r>
    <phoneticPr fontId="3"/>
  </si>
  <si>
    <r>
      <t>株式会社日立ソリューションズ・クリエイト</t>
    </r>
    <r>
      <rPr>
        <sz val="11"/>
        <rFont val="微软雅黑"/>
        <family val="2"/>
        <charset val="134"/>
      </rPr>
      <t xml:space="preserve"> /</t>
    </r>
    <r>
      <rPr>
        <sz val="11"/>
        <rFont val="等线"/>
        <family val="2"/>
        <scheme val="minor"/>
      </rPr>
      <t xml:space="preserve"> 社内SE（社内システムの開発・導入・運用）／在宅勤務あり </t>
    </r>
    <phoneticPr fontId="3"/>
  </si>
  <si>
    <r>
      <t>アイティーデザイン株式会社</t>
    </r>
    <r>
      <rPr>
        <sz val="11"/>
        <rFont val="微软雅黑"/>
        <family val="2"/>
        <charset val="134"/>
      </rPr>
      <t xml:space="preserve">/ </t>
    </r>
    <r>
      <rPr>
        <sz val="11"/>
        <rFont val="等线"/>
        <family val="2"/>
        <scheme val="minor"/>
      </rPr>
      <t xml:space="preserve">ITエンジニア／在宅勤務あり／30～40代活躍中／年休125 </t>
    </r>
    <phoneticPr fontId="3"/>
  </si>
  <si>
    <t>応募日 ： 2021/03/26</t>
  </si>
  <si>
    <r>
      <t>株式会社モーク・ワン テクニカルディレクター</t>
    </r>
    <r>
      <rPr>
        <sz val="11"/>
        <rFont val="微软雅黑"/>
        <family val="2"/>
        <charset val="134"/>
      </rPr>
      <t xml:space="preserve"> /</t>
    </r>
    <r>
      <rPr>
        <sz val="11"/>
        <rFont val="等线"/>
        <family val="2"/>
        <scheme val="minor"/>
      </rPr>
      <t xml:space="preserve">（バックエンドエンジニア／在宅勤務可） </t>
    </r>
    <phoneticPr fontId="3"/>
  </si>
  <si>
    <r>
      <t>株式会社アセンド</t>
    </r>
    <r>
      <rPr>
        <sz val="11"/>
        <rFont val="微软雅黑"/>
        <family val="2"/>
        <charset val="134"/>
      </rPr>
      <t xml:space="preserve"> /</t>
    </r>
    <r>
      <rPr>
        <sz val="11"/>
        <rFont val="等线"/>
        <family val="2"/>
        <scheme val="minor"/>
      </rPr>
      <t xml:space="preserve"> 開発エンジニア／自社内開発／在宅OK／新技術に挑戦 </t>
    </r>
    <phoneticPr fontId="3"/>
  </si>
  <si>
    <r>
      <t>株式会社スリーエス</t>
    </r>
    <r>
      <rPr>
        <sz val="11"/>
        <rFont val="微软雅黑"/>
        <family val="2"/>
        <charset val="134"/>
      </rPr>
      <t xml:space="preserve"> /</t>
    </r>
    <r>
      <rPr>
        <sz val="11"/>
        <rFont val="等线"/>
        <family val="2"/>
        <scheme val="minor"/>
      </rPr>
      <t xml:space="preserve"> SE・PG／札幌・東京募集／年休126日／賞与3.5カ月以上 </t>
    </r>
    <phoneticPr fontId="3"/>
  </si>
  <si>
    <r>
      <t>株式会社ジー・エス・シー</t>
    </r>
    <r>
      <rPr>
        <sz val="11"/>
        <rFont val="微软雅黑"/>
        <family val="2"/>
        <charset val="134"/>
      </rPr>
      <t xml:space="preserve"> / </t>
    </r>
    <r>
      <rPr>
        <sz val="11"/>
        <rFont val="等线"/>
        <family val="2"/>
        <scheme val="minor"/>
      </rPr>
      <t xml:space="preserve"> ITエンジニア（開発・インフラ）／残業平均0H／前職給与保証 </t>
    </r>
    <phoneticPr fontId="3"/>
  </si>
  <si>
    <t>応募日 ： 2021/03/25</t>
  </si>
  <si>
    <r>
      <t>株式会社ジー・エス・シー</t>
    </r>
    <r>
      <rPr>
        <sz val="11"/>
        <rFont val="微软雅黑"/>
        <family val="2"/>
        <charset val="134"/>
      </rPr>
      <t xml:space="preserve"> /</t>
    </r>
    <r>
      <rPr>
        <sz val="11"/>
        <rFont val="等线"/>
        <family val="2"/>
        <scheme val="minor"/>
      </rPr>
      <t xml:space="preserve"> ITエンジニア（開発・インフラ）／残業平均0H／前職給与保証 </t>
    </r>
    <phoneticPr fontId="3"/>
  </si>
  <si>
    <r>
      <t>株式会社フェーズワン</t>
    </r>
    <r>
      <rPr>
        <sz val="11"/>
        <rFont val="微软雅黑"/>
        <family val="2"/>
        <charset val="134"/>
      </rPr>
      <t xml:space="preserve"> /</t>
    </r>
    <r>
      <rPr>
        <sz val="11"/>
        <rFont val="等线"/>
        <family val="2"/>
        <scheme val="minor"/>
      </rPr>
      <t xml:space="preserve">（Phase1 Inc.） SE・PG募集／前給考慮／7割以上リモート／残業20h未満 </t>
    </r>
    <phoneticPr fontId="3"/>
  </si>
  <si>
    <r>
      <t>株式会社Ｌｉｂｌｏｃｋ システムエンジニア</t>
    </r>
    <r>
      <rPr>
        <sz val="11"/>
        <rFont val="微软雅黑"/>
        <family val="2"/>
        <charset val="134"/>
      </rPr>
      <t xml:space="preserve"> /</t>
    </r>
    <r>
      <rPr>
        <sz val="11"/>
        <rFont val="等线"/>
        <family val="2"/>
        <scheme val="minor"/>
      </rPr>
      <t xml:space="preserve">／未経験歓迎／自社内開発・プライム案件あり </t>
    </r>
    <phoneticPr fontId="3"/>
  </si>
  <si>
    <r>
      <t>株式会社ブール・ジャパン（トーテックアメニティグループ）</t>
    </r>
    <r>
      <rPr>
        <sz val="11"/>
        <rFont val="微软雅黑"/>
        <family val="2"/>
        <charset val="134"/>
      </rPr>
      <t>/</t>
    </r>
    <r>
      <rPr>
        <sz val="11"/>
        <rFont val="等线"/>
        <family val="2"/>
        <scheme val="minor"/>
      </rPr>
      <t xml:space="preserve"> テストエンジニア（ITエンジニア候補）第三者検証のリード企業 </t>
    </r>
    <phoneticPr fontId="3"/>
  </si>
  <si>
    <r>
      <t>株式会社ヨドック（YODOQ co.,ltd.）</t>
    </r>
    <r>
      <rPr>
        <sz val="11"/>
        <rFont val="微软雅黑"/>
        <family val="2"/>
        <charset val="134"/>
      </rPr>
      <t xml:space="preserve">/ </t>
    </r>
    <r>
      <rPr>
        <sz val="11"/>
        <rFont val="等线"/>
        <family val="2"/>
        <scheme val="minor"/>
      </rPr>
      <t xml:space="preserve"> 受託開発エンジニア（リーダー候補）／5年ぶり中途採用 </t>
    </r>
    <phoneticPr fontId="3"/>
  </si>
  <si>
    <r>
      <t xml:space="preserve">ＳＣＳＫ株式会社 </t>
    </r>
    <r>
      <rPr>
        <sz val="11"/>
        <rFont val="微软雅黑"/>
        <family val="2"/>
        <charset val="134"/>
      </rPr>
      <t xml:space="preserve">/ </t>
    </r>
    <r>
      <rPr>
        <sz val="11"/>
        <rFont val="等线"/>
        <family val="2"/>
        <scheme val="minor"/>
      </rPr>
      <t xml:space="preserve">アプリケーションエンジニア／在宅勤務有／残業月平均20h未満 </t>
    </r>
    <phoneticPr fontId="3"/>
  </si>
  <si>
    <r>
      <t xml:space="preserve">株式会社情報技術社 </t>
    </r>
    <r>
      <rPr>
        <sz val="11"/>
        <rFont val="微软雅黑"/>
        <family val="2"/>
        <charset val="134"/>
      </rPr>
      <t>/</t>
    </r>
    <r>
      <rPr>
        <sz val="11"/>
        <rFont val="等线"/>
        <family val="2"/>
        <scheme val="minor"/>
      </rPr>
      <t xml:space="preserve">【東京】システムエンジニア　※上流工程から参画可能/プライム案件多数 </t>
    </r>
    <phoneticPr fontId="3"/>
  </si>
  <si>
    <t>応募日 ： 2021/03/24</t>
  </si>
  <si>
    <r>
      <t>株式会社ＩＣＳＳ</t>
    </r>
    <r>
      <rPr>
        <sz val="11"/>
        <rFont val="微软雅黑"/>
        <family val="2"/>
        <charset val="134"/>
      </rPr>
      <t>/</t>
    </r>
    <r>
      <rPr>
        <sz val="11"/>
        <rFont val="等线"/>
        <family val="2"/>
        <scheme val="minor"/>
      </rPr>
      <t xml:space="preserve"> ITエンジニア（月収40万円以上保証／ほぼ定時18時退社） </t>
    </r>
    <phoneticPr fontId="3"/>
  </si>
  <si>
    <r>
      <t>株式会社富士通ゼネラルＯＳテクノロジー</t>
    </r>
    <r>
      <rPr>
        <sz val="11"/>
        <rFont val="微软雅黑"/>
        <family val="2"/>
        <charset val="134"/>
      </rPr>
      <t>/</t>
    </r>
    <r>
      <rPr>
        <sz val="11"/>
        <rFont val="等线"/>
        <family val="2"/>
        <scheme val="minor"/>
      </rPr>
      <t xml:space="preserve"> 新しい可能性へ自分を変える・会社が変わる！開発エンジニア </t>
    </r>
    <phoneticPr fontId="3"/>
  </si>
  <si>
    <r>
      <t>株式会社シー・エル・エス</t>
    </r>
    <r>
      <rPr>
        <sz val="11"/>
        <rFont val="微软雅黑"/>
        <family val="2"/>
        <charset val="134"/>
      </rPr>
      <t xml:space="preserve"> /</t>
    </r>
    <r>
      <rPr>
        <sz val="11"/>
        <rFont val="等线"/>
        <family val="2"/>
        <scheme val="minor"/>
      </rPr>
      <t xml:space="preserve"> システムエンジニア～マザーズ上場／月平均残業12時間／明確な評価制度／充実の研修ノウハウ有～ </t>
    </r>
    <phoneticPr fontId="3"/>
  </si>
  <si>
    <r>
      <t xml:space="preserve">株式会社クラフトワーク </t>
    </r>
    <r>
      <rPr>
        <sz val="11"/>
        <rFont val="微软雅黑"/>
        <family val="2"/>
        <charset val="134"/>
      </rPr>
      <t xml:space="preserve">/ </t>
    </r>
    <r>
      <rPr>
        <sz val="11"/>
        <rFont val="等线"/>
        <family val="2"/>
        <scheme val="minor"/>
      </rPr>
      <t xml:space="preserve">Webアプリ開発エンジニア／月給39万円～／在宅勤務実施中 </t>
    </r>
    <phoneticPr fontId="3"/>
  </si>
  <si>
    <t>応募日 ： 2021/03/23</t>
  </si>
  <si>
    <r>
      <t xml:space="preserve">株式会社ＳＨＴ </t>
    </r>
    <r>
      <rPr>
        <sz val="11"/>
        <rFont val="微软雅黑"/>
        <family val="2"/>
        <charset val="134"/>
      </rPr>
      <t xml:space="preserve">/ </t>
    </r>
    <r>
      <rPr>
        <sz val="11"/>
        <rFont val="等线"/>
        <family val="2"/>
        <scheme val="minor"/>
      </rPr>
      <t xml:space="preserve">開発エンジニア／給与相談可／土日祝休／完全週休2日／転勤なし </t>
    </r>
    <phoneticPr fontId="3"/>
  </si>
  <si>
    <r>
      <t>株式会社セブン＆アイ・ホールディングス</t>
    </r>
    <r>
      <rPr>
        <sz val="11"/>
        <rFont val="微软雅黑"/>
        <family val="2"/>
        <charset val="134"/>
      </rPr>
      <t xml:space="preserve"> /</t>
    </r>
    <r>
      <rPr>
        <sz val="11"/>
        <rFont val="等线"/>
        <family val="2"/>
        <scheme val="minor"/>
      </rPr>
      <t xml:space="preserve"> 業界未経験歓迎のPM／在宅勤務可／想定年収500万円～ </t>
    </r>
    <phoneticPr fontId="3"/>
  </si>
  <si>
    <r>
      <t>テクノブレイブ株式会社</t>
    </r>
    <r>
      <rPr>
        <sz val="11"/>
        <rFont val="微软雅黑"/>
        <family val="2"/>
        <charset val="134"/>
      </rPr>
      <t xml:space="preserve"> / </t>
    </r>
    <r>
      <rPr>
        <sz val="11"/>
        <rFont val="等线"/>
        <family val="2"/>
        <scheme val="minor"/>
      </rPr>
      <t xml:space="preserve"> ITエンジニア／最先端技術に携われる／社員定着率90％以上！ </t>
    </r>
    <phoneticPr fontId="3"/>
  </si>
  <si>
    <r>
      <t xml:space="preserve">株式会社アクアードコンサルティング </t>
    </r>
    <r>
      <rPr>
        <sz val="11"/>
        <rFont val="微软雅黑"/>
        <family val="2"/>
        <charset val="134"/>
      </rPr>
      <t xml:space="preserve">/ </t>
    </r>
    <r>
      <rPr>
        <sz val="11"/>
        <rFont val="等线"/>
        <family val="2"/>
        <scheme val="minor"/>
      </rPr>
      <t xml:space="preserve">未経験から始めるコンサルタント／教育制度充実／志望動機不問 </t>
    </r>
    <phoneticPr fontId="3"/>
  </si>
  <si>
    <t>応募日 ： 2021/03/22</t>
  </si>
  <si>
    <r>
      <t>GROUND株式会社</t>
    </r>
    <r>
      <rPr>
        <sz val="11"/>
        <rFont val="微软雅黑"/>
        <family val="2"/>
        <charset val="134"/>
      </rPr>
      <t>/</t>
    </r>
    <r>
      <rPr>
        <sz val="11"/>
        <rFont val="等线"/>
        <family val="2"/>
        <scheme val="minor"/>
      </rPr>
      <t xml:space="preserve"> プロジェクトマネジャー兼事業推進※Web面接可／物流現場における生産性向上AIソフトウェア </t>
    </r>
    <phoneticPr fontId="3"/>
  </si>
  <si>
    <r>
      <t xml:space="preserve">ＦｕｔｕｒｅＯｎｅ株式会社 </t>
    </r>
    <r>
      <rPr>
        <sz val="11"/>
        <rFont val="微软雅黑"/>
        <family val="2"/>
        <charset val="134"/>
      </rPr>
      <t xml:space="preserve"> /</t>
    </r>
    <r>
      <rPr>
        <sz val="11"/>
        <rFont val="等线"/>
        <family val="2"/>
        <scheme val="minor"/>
      </rPr>
      <t xml:space="preserve">【東京】プロジェクトマネジャー※東証一部上場フューチャーグループ／プライム案件／大規模PJ／幹部候補 </t>
    </r>
    <phoneticPr fontId="3"/>
  </si>
  <si>
    <r>
      <t xml:space="preserve">株式会社アスカプランニング </t>
    </r>
    <r>
      <rPr>
        <sz val="11"/>
        <rFont val="微软雅黑"/>
        <family val="2"/>
        <charset val="134"/>
      </rPr>
      <t xml:space="preserve">/ </t>
    </r>
    <r>
      <rPr>
        <sz val="11"/>
        <rFont val="等线"/>
        <family val="2"/>
        <scheme val="minor"/>
      </rPr>
      <t xml:space="preserve">SE(リーダー候補)＜開発経験を活かしてマネジメントに挑戦できます＞残業20h／年間休日125日 </t>
    </r>
    <phoneticPr fontId="3"/>
  </si>
  <si>
    <t>応募日 ： 2021/03/15</t>
  </si>
  <si>
    <r>
      <t xml:space="preserve">ケイプラス株式会社 </t>
    </r>
    <r>
      <rPr>
        <sz val="11"/>
        <rFont val="微软雅黑"/>
        <family val="2"/>
        <charset val="134"/>
      </rPr>
      <t xml:space="preserve">/ </t>
    </r>
    <r>
      <rPr>
        <sz val="11"/>
        <rFont val="等线"/>
        <family val="2"/>
        <scheme val="minor"/>
      </rPr>
      <t xml:space="preserve">SE／有休消化率96％／実務経験者は前職給与保証・全員面接 </t>
    </r>
    <phoneticPr fontId="3"/>
  </si>
  <si>
    <t>応募日 ： 2021/03/14</t>
  </si>
  <si>
    <r>
      <t>株式会社プレスク</t>
    </r>
    <r>
      <rPr>
        <sz val="11"/>
        <rFont val="微软雅黑"/>
        <family val="2"/>
        <charset val="134"/>
      </rPr>
      <t xml:space="preserve"> /</t>
    </r>
    <r>
      <rPr>
        <sz val="11"/>
        <rFont val="等线"/>
        <family val="2"/>
        <scheme val="minor"/>
      </rPr>
      <t xml:space="preserve"> 開発エンジニア／PM・PL／残業10h／設立32年の安定企業 </t>
    </r>
    <phoneticPr fontId="3"/>
  </si>
  <si>
    <r>
      <t xml:space="preserve">株式会社インフォプラックス </t>
    </r>
    <r>
      <rPr>
        <sz val="11"/>
        <rFont val="微软雅黑"/>
        <family val="2"/>
        <charset val="134"/>
      </rPr>
      <t xml:space="preserve">/ </t>
    </r>
    <r>
      <rPr>
        <sz val="11"/>
        <rFont val="等线"/>
        <family val="2"/>
        <scheme val="minor"/>
      </rPr>
      <t xml:space="preserve">SE・プログラマ（微経験歓迎）／有休取得90％／毎年昇給 </t>
    </r>
    <phoneticPr fontId="3"/>
  </si>
  <si>
    <r>
      <t>株式会社テクノプロ</t>
    </r>
    <r>
      <rPr>
        <sz val="11"/>
        <rFont val="微软雅黑"/>
        <family val="2"/>
        <charset val="134"/>
      </rPr>
      <t xml:space="preserve"> /</t>
    </r>
    <r>
      <rPr>
        <sz val="11"/>
        <rFont val="等线"/>
        <family val="2"/>
        <scheme val="minor"/>
      </rPr>
      <t xml:space="preserve"> 品川支店【テクノプロ・エンジニアリング社】システムエンジニア（運用保守）※ベテラン歓迎 </t>
    </r>
    <phoneticPr fontId="3"/>
  </si>
  <si>
    <r>
      <t xml:space="preserve">株式会社ウェブレッジ </t>
    </r>
    <r>
      <rPr>
        <sz val="11"/>
        <rFont val="微软雅黑"/>
        <family val="2"/>
        <charset val="134"/>
      </rPr>
      <t xml:space="preserve">/ </t>
    </r>
    <r>
      <rPr>
        <sz val="11"/>
        <rFont val="等线"/>
        <family val="2"/>
        <scheme val="minor"/>
      </rPr>
      <t xml:space="preserve">テクニカルマネージャー/プロジェクト全体の品質管理・要件定義業務/事業責任者・PMOへのキャリア </t>
    </r>
    <phoneticPr fontId="3"/>
  </si>
  <si>
    <r>
      <t xml:space="preserve">株式会社リップル・マーク </t>
    </r>
    <r>
      <rPr>
        <sz val="11"/>
        <rFont val="微软雅黑"/>
        <family val="2"/>
        <charset val="134"/>
      </rPr>
      <t xml:space="preserve">/ </t>
    </r>
    <r>
      <rPr>
        <sz val="11"/>
        <rFont val="等线"/>
        <family val="2"/>
        <scheme val="minor"/>
      </rPr>
      <t xml:space="preserve">プロジェクトリーダー／PMO・PM・コンサルタント補佐 </t>
    </r>
    <phoneticPr fontId="3"/>
  </si>
  <si>
    <r>
      <t xml:space="preserve">株式会社ラフトシステム </t>
    </r>
    <r>
      <rPr>
        <sz val="11"/>
        <rFont val="微软雅黑"/>
        <family val="2"/>
        <charset val="134"/>
      </rPr>
      <t xml:space="preserve">/ </t>
    </r>
    <r>
      <rPr>
        <sz val="11"/>
        <rFont val="等线"/>
        <family val="2"/>
        <scheme val="minor"/>
      </rPr>
      <t xml:space="preserve">システムエンジニア（汎用系／賞与年2回／基本定時退社） </t>
    </r>
    <phoneticPr fontId="3"/>
  </si>
  <si>
    <r>
      <t xml:space="preserve">株式会社ヴィンクス </t>
    </r>
    <r>
      <rPr>
        <sz val="11"/>
        <rFont val="微软雅黑"/>
        <family val="2"/>
        <charset val="134"/>
      </rPr>
      <t>/</t>
    </r>
    <r>
      <rPr>
        <sz val="11"/>
        <rFont val="ＭＳ Ｐゴシック"/>
        <family val="2"/>
      </rPr>
      <t xml:space="preserve">【自社開発/品川】金融系COBOLエンジニア　～大手クレジット企業案件/残業15h～ </t>
    </r>
    <phoneticPr fontId="3"/>
  </si>
  <si>
    <r>
      <t xml:space="preserve">株式会社アイ・エー・アイ </t>
    </r>
    <r>
      <rPr>
        <sz val="11"/>
        <rFont val="微软雅黑"/>
        <family val="2"/>
        <charset val="134"/>
      </rPr>
      <t xml:space="preserve">/ </t>
    </r>
    <r>
      <rPr>
        <sz val="11"/>
        <rFont val="ＭＳ Ｐゴシック"/>
        <family val="2"/>
      </rPr>
      <t xml:space="preserve">PMO・プロジェクト管理※プロジェクトは常時500件以上／土日祝休み／年間休日125日 </t>
    </r>
    <phoneticPr fontId="3"/>
  </si>
  <si>
    <r>
      <t xml:space="preserve">株式会社コムコシステム </t>
    </r>
    <r>
      <rPr>
        <sz val="11"/>
        <rFont val="微软雅黑"/>
        <family val="2"/>
        <charset val="134"/>
      </rPr>
      <t>/</t>
    </r>
    <r>
      <rPr>
        <sz val="11"/>
        <rFont val="ＭＳ Ｐゴシック"/>
        <family val="2"/>
      </rPr>
      <t xml:space="preserve">【PL/PM候補】システムエンジニア（金融案件担当）※COBOL歓迎／残業7.25H／定着率92% </t>
    </r>
    <phoneticPr fontId="3"/>
  </si>
  <si>
    <r>
      <t xml:space="preserve">株式会社システム情報 </t>
    </r>
    <r>
      <rPr>
        <sz val="11"/>
        <rFont val="微软雅黑"/>
        <family val="2"/>
        <charset val="134"/>
      </rPr>
      <t xml:space="preserve"> /</t>
    </r>
    <r>
      <rPr>
        <sz val="11"/>
        <rFont val="ＭＳ Ｐゴシック"/>
        <family val="2"/>
      </rPr>
      <t xml:space="preserve">【COBOL経験者】システムエンジニア ～資格補助充実×働きやすい環境で着実にスキルアップ～ </t>
    </r>
    <phoneticPr fontId="3"/>
  </si>
  <si>
    <r>
      <t xml:space="preserve">株式会社アイディーエス </t>
    </r>
    <r>
      <rPr>
        <sz val="11"/>
        <rFont val="微软雅黑"/>
        <family val="2"/>
        <charset val="134"/>
      </rPr>
      <t>/</t>
    </r>
    <r>
      <rPr>
        <sz val="11"/>
        <rFont val="ＭＳ Ｐゴシック"/>
        <family val="2"/>
      </rPr>
      <t xml:space="preserve">【在宅勤務推奨中】オフショア開発のPM【ベトナム拠点のマネジメント／前職給与以上保証】 </t>
    </r>
    <phoneticPr fontId="3"/>
  </si>
  <si>
    <r>
      <t xml:space="preserve">イ．ソフト株式会社 </t>
    </r>
    <r>
      <rPr>
        <sz val="11"/>
        <rFont val="微软雅黑"/>
        <family val="2"/>
        <charset val="134"/>
      </rPr>
      <t xml:space="preserve"> /</t>
    </r>
    <r>
      <rPr>
        <sz val="11"/>
        <rFont val="ＭＳ Ｐゴシック"/>
        <family val="2"/>
      </rPr>
      <t xml:space="preserve">【自社内開発】プロジェクトマネージャー～プライム案件比率90％以上/残業20H～ </t>
    </r>
    <phoneticPr fontId="3"/>
  </si>
  <si>
    <r>
      <t xml:space="preserve">株式会社アトムシステム </t>
    </r>
    <r>
      <rPr>
        <sz val="11"/>
        <rFont val="微软雅黑"/>
        <family val="2"/>
        <charset val="134"/>
      </rPr>
      <t>/</t>
    </r>
    <r>
      <rPr>
        <sz val="11"/>
        <rFont val="ＭＳ Ｐゴシック"/>
        <family val="2"/>
      </rPr>
      <t xml:space="preserve">【IoT案件多数】プロジェクトマネージャー／充実の福利厚生＜湘南の独立系SIer＞ </t>
    </r>
    <phoneticPr fontId="3"/>
  </si>
  <si>
    <r>
      <t xml:space="preserve">株式会社 フォービス </t>
    </r>
    <r>
      <rPr>
        <sz val="11"/>
        <rFont val="微软雅黑"/>
        <family val="2"/>
        <charset val="134"/>
      </rPr>
      <t xml:space="preserve">/ </t>
    </r>
    <r>
      <rPr>
        <sz val="11"/>
        <rFont val="ＭＳ Ｐゴシック"/>
        <family val="2"/>
      </rPr>
      <t xml:space="preserve">プロジェクトマネージャー　◇フルリモート推進中/キリンビール、ランクアップ等大手企業との取引多数◇ </t>
    </r>
    <phoneticPr fontId="3"/>
  </si>
  <si>
    <r>
      <t xml:space="preserve">アクサス株式会社 </t>
    </r>
    <r>
      <rPr>
        <sz val="11"/>
        <rFont val="微软雅黑"/>
        <family val="2"/>
        <charset val="134"/>
      </rPr>
      <t>/</t>
    </r>
    <r>
      <rPr>
        <sz val="11"/>
        <rFont val="ＭＳ Ｐゴシック"/>
        <family val="2"/>
      </rPr>
      <t xml:space="preserve">【PM・PL採用】アプリケーション開発エンジニア </t>
    </r>
    <phoneticPr fontId="3"/>
  </si>
  <si>
    <r>
      <t xml:space="preserve">ＧＣ株式会社 </t>
    </r>
    <r>
      <rPr>
        <sz val="11"/>
        <rFont val="微软雅黑"/>
        <family val="2"/>
        <charset val="134"/>
      </rPr>
      <t xml:space="preserve"> /</t>
    </r>
    <r>
      <rPr>
        <sz val="11"/>
        <rFont val="ＭＳ Ｐゴシック"/>
        <family val="2"/>
      </rPr>
      <t xml:space="preserve">【プロダクトマネージャー】創業5年で年商10億円を達成している急成長ベンチャー／新規事業に携わる </t>
    </r>
    <phoneticPr fontId="3"/>
  </si>
  <si>
    <r>
      <t xml:space="preserve">株式会社メガリンク </t>
    </r>
    <r>
      <rPr>
        <sz val="11"/>
        <rFont val="微软雅黑"/>
        <family val="2"/>
        <charset val="134"/>
      </rPr>
      <t>/</t>
    </r>
    <r>
      <rPr>
        <sz val="11"/>
        <rFont val="ＭＳ Ｐゴシック"/>
        <family val="2"/>
      </rPr>
      <t xml:space="preserve">【自社勤務】プロジェクトマネージャー/リーダー◆ECサイトのご依頼多数/大手企業の案件あり◆ </t>
    </r>
    <phoneticPr fontId="3"/>
  </si>
  <si>
    <r>
      <t xml:space="preserve">株式会社ブライセン </t>
    </r>
    <r>
      <rPr>
        <sz val="11"/>
        <rFont val="微软雅黑"/>
        <family val="2"/>
        <charset val="134"/>
      </rPr>
      <t>/</t>
    </r>
    <r>
      <rPr>
        <sz val="11"/>
        <rFont val="ＭＳ Ｐゴシック"/>
        <family val="2"/>
      </rPr>
      <t xml:space="preserve">【上流、PMにチャレンジしたい方歓迎】業務系システムプロジェクトリーダー </t>
    </r>
    <phoneticPr fontId="3"/>
  </si>
  <si>
    <r>
      <t xml:space="preserve">チームラボ株式会社 </t>
    </r>
    <r>
      <rPr>
        <sz val="11"/>
        <rFont val="微软雅黑"/>
        <family val="2"/>
        <charset val="134"/>
      </rPr>
      <t xml:space="preserve">/ </t>
    </r>
    <r>
      <rPr>
        <sz val="11"/>
        <rFont val="ＭＳ Ｐゴシック"/>
        <family val="2"/>
      </rPr>
      <t xml:space="preserve">[プロジェクトリーダー]エンジニアからのキャリアチェンジ歓迎！大規模Webシステム開発の新規立ち上げ </t>
    </r>
    <phoneticPr fontId="3"/>
  </si>
  <si>
    <r>
      <t xml:space="preserve">株式会社Everforth </t>
    </r>
    <r>
      <rPr>
        <sz val="11"/>
        <rFont val="微软雅黑"/>
        <family val="2"/>
        <charset val="134"/>
      </rPr>
      <t>/</t>
    </r>
    <r>
      <rPr>
        <sz val="11"/>
        <rFont val="ＭＳ Ｐゴシック"/>
        <family val="2"/>
      </rPr>
      <t xml:space="preserve">【フルリモート可】プロジェクトマネージャー◆大規模エンタープライズEC案件◆年収～1,000万 </t>
    </r>
    <phoneticPr fontId="3"/>
  </si>
  <si>
    <r>
      <t xml:space="preserve">クオリティソフト株式会社 </t>
    </r>
    <r>
      <rPr>
        <sz val="11"/>
        <rFont val="微软雅黑"/>
        <family val="2"/>
        <charset val="134"/>
      </rPr>
      <t>/</t>
    </r>
    <r>
      <rPr>
        <sz val="11"/>
        <rFont val="ＭＳ Ｐゴシック"/>
        <family val="2"/>
      </rPr>
      <t xml:space="preserve">【千代田区】プロジェクトマネージャー ～自社プロダクト／要件定義など上流工程から携わる／土日祝休み～ </t>
    </r>
    <phoneticPr fontId="3"/>
  </si>
  <si>
    <r>
      <t xml:space="preserve">株式会社デジタルハーツ </t>
    </r>
    <r>
      <rPr>
        <sz val="11"/>
        <rFont val="微软雅黑"/>
        <family val="2"/>
        <charset val="134"/>
      </rPr>
      <t>/</t>
    </r>
    <r>
      <rPr>
        <sz val="11"/>
        <rFont val="ＭＳ Ｐゴシック"/>
        <family val="2"/>
      </rPr>
      <t xml:space="preserve">プロジェクトマネージャー／ソフトウェアの安全検証と品質保証のスぺシャリスト集団 </t>
    </r>
    <phoneticPr fontId="3"/>
  </si>
  <si>
    <r>
      <t xml:space="preserve">ミツイワ株式会社 </t>
    </r>
    <r>
      <rPr>
        <sz val="11"/>
        <rFont val="微软雅黑"/>
        <family val="2"/>
        <charset val="134"/>
      </rPr>
      <t>/</t>
    </r>
    <r>
      <rPr>
        <sz val="11"/>
        <rFont val="ＭＳ Ｐゴシック"/>
        <family val="2"/>
      </rPr>
      <t xml:space="preserve">プロジェクトマネージャー ※IoTセキュリティ関連／入退室管理システム「SALTO」／上流工程 </t>
    </r>
    <phoneticPr fontId="3"/>
  </si>
  <si>
    <r>
      <t xml:space="preserve">セーフィー株式会社 </t>
    </r>
    <r>
      <rPr>
        <sz val="11"/>
        <rFont val="微软雅黑"/>
        <family val="2"/>
        <charset val="134"/>
      </rPr>
      <t>/</t>
    </r>
    <r>
      <rPr>
        <sz val="11"/>
        <rFont val="ＭＳ Ｐゴシック"/>
        <family val="2"/>
      </rPr>
      <t xml:space="preserve">【自社サービス】プロジェクトマネージャー　～Nextユニコーン選出/クラウド録画サービス～ </t>
    </r>
    <phoneticPr fontId="3"/>
  </si>
  <si>
    <r>
      <t xml:space="preserve">株式会社ファミリーネット・ジャパン </t>
    </r>
    <r>
      <rPr>
        <sz val="11"/>
        <rFont val="微软雅黑"/>
        <family val="2"/>
        <charset val="134"/>
      </rPr>
      <t>/</t>
    </r>
    <r>
      <rPr>
        <sz val="11"/>
        <rFont val="ＭＳ Ｐゴシック"/>
        <family val="2"/>
      </rPr>
      <t xml:space="preserve">【東京】プロジェクトマネージャー（自社サービス開発・アプリ) ※東京電力グループ／年休128日 </t>
    </r>
    <phoneticPr fontId="3"/>
  </si>
  <si>
    <r>
      <t xml:space="preserve">キッズコネクト株式会社 </t>
    </r>
    <r>
      <rPr>
        <sz val="11"/>
        <rFont val="微软雅黑"/>
        <family val="2"/>
        <charset val="134"/>
      </rPr>
      <t>/</t>
    </r>
    <r>
      <rPr>
        <sz val="11"/>
        <rFont val="ＭＳ Ｐゴシック"/>
        <family val="2"/>
      </rPr>
      <t xml:space="preserve">【自社サービス】プロジェクトマネージャー／子育てプラットフォームシステム「キッズコネクト」など </t>
    </r>
    <phoneticPr fontId="3"/>
  </si>
  <si>
    <r>
      <t>株式会社Ｍｏｂｉｌｉｔｙ　Ｔｅｃｈｎｏｌｏｇｉｅｓ</t>
    </r>
    <r>
      <rPr>
        <sz val="11"/>
        <rFont val="微软雅黑"/>
        <family val="2"/>
        <charset val="134"/>
      </rPr>
      <t xml:space="preserve"> /</t>
    </r>
    <r>
      <rPr>
        <sz val="11"/>
        <rFont val="ＭＳ Ｐゴシック"/>
        <family val="2"/>
      </rPr>
      <t xml:space="preserve"> 【プロジェクトマネージャー】　～日本のモビリティをアップデートするサービスを展開～ </t>
    </r>
    <phoneticPr fontId="3"/>
  </si>
  <si>
    <r>
      <t>株式会社FPG</t>
    </r>
    <r>
      <rPr>
        <sz val="11"/>
        <rFont val="微软雅黑"/>
        <family val="2"/>
        <charset val="134"/>
      </rPr>
      <t xml:space="preserve"> / </t>
    </r>
    <r>
      <rPr>
        <sz val="11"/>
        <rFont val="ＭＳ Ｐゴシック"/>
        <family val="2"/>
      </rPr>
      <t xml:space="preserve">テクノロジー プロジェクトマネージャー／プリセールスエンジニア～有給取得90％以上/東証一部上場企業子会社～ </t>
    </r>
    <phoneticPr fontId="3"/>
  </si>
  <si>
    <r>
      <t xml:space="preserve">株式会社ベネッセインフォシェル </t>
    </r>
    <r>
      <rPr>
        <sz val="11"/>
        <rFont val="微软雅黑"/>
        <family val="2"/>
        <charset val="134"/>
      </rPr>
      <t xml:space="preserve"> /</t>
    </r>
    <r>
      <rPr>
        <sz val="11"/>
        <rFont val="ＭＳ Ｐゴシック"/>
        <family val="2"/>
      </rPr>
      <t xml:space="preserve">【東京】プロジェクトマネージャー（ＰＭ）候補　※ベネッセグループ唯一優良ユーザ系SI／web面接1回 </t>
    </r>
    <phoneticPr fontId="3"/>
  </si>
  <si>
    <r>
      <t xml:space="preserve">株式会社 ビジネスブレイン太田昭和 </t>
    </r>
    <r>
      <rPr>
        <sz val="11"/>
        <rFont val="微软雅黑"/>
        <family val="2"/>
        <charset val="134"/>
      </rPr>
      <t xml:space="preserve">/ </t>
    </r>
    <r>
      <rPr>
        <sz val="11"/>
        <rFont val="ＭＳ Ｐゴシック"/>
        <family val="2"/>
      </rPr>
      <t xml:space="preserve">プロジェクトマネージャー・PMO／会計領域の業務システム構築＜年間休日122日＞ </t>
    </r>
    <phoneticPr fontId="3"/>
  </si>
  <si>
    <r>
      <t xml:space="preserve">ＫＱＲＭホールディングス株式会社 </t>
    </r>
    <r>
      <rPr>
        <sz val="11"/>
        <rFont val="微软雅黑"/>
        <family val="2"/>
        <charset val="134"/>
      </rPr>
      <t>/</t>
    </r>
    <r>
      <rPr>
        <sz val="11"/>
        <rFont val="ＭＳ Ｐゴシック"/>
        <family val="2"/>
      </rPr>
      <t xml:space="preserve">【鹿児島】プロジェクトリーダー・プロジェクトマネージャー※残業月20時間 </t>
    </r>
    <phoneticPr fontId="3"/>
  </si>
  <si>
    <r>
      <t xml:space="preserve">株式会社テクノスジャパン </t>
    </r>
    <r>
      <rPr>
        <sz val="11"/>
        <rFont val="微软雅黑"/>
        <family val="2"/>
        <charset val="134"/>
      </rPr>
      <t xml:space="preserve">/ </t>
    </r>
    <r>
      <rPr>
        <sz val="11"/>
        <rFont val="ＭＳ Ｐゴシック"/>
        <family val="2"/>
      </rPr>
      <t xml:space="preserve">プロジェクトマネージャー※東証一部上場／DX推進事業展開／リモート勤務OK </t>
    </r>
    <phoneticPr fontId="3"/>
  </si>
  <si>
    <r>
      <t>株式会社フレクト</t>
    </r>
    <r>
      <rPr>
        <sz val="11"/>
        <rFont val="微软雅黑"/>
        <family val="2"/>
        <charset val="134"/>
      </rPr>
      <t xml:space="preserve"> /</t>
    </r>
    <r>
      <rPr>
        <sz val="11"/>
        <rFont val="ＭＳ Ｐゴシック"/>
        <family val="2"/>
      </rPr>
      <t xml:space="preserve"> プロジェクトマネージャ／モビリティ業務最適化クラウド「Cariot」のカスタマイズ案件 </t>
    </r>
    <phoneticPr fontId="3"/>
  </si>
  <si>
    <r>
      <t xml:space="preserve">ＫＱＲＭホールディングス株式会社 </t>
    </r>
    <r>
      <rPr>
        <sz val="11"/>
        <rFont val="微软雅黑"/>
        <family val="2"/>
        <charset val="134"/>
      </rPr>
      <t>/</t>
    </r>
    <r>
      <rPr>
        <sz val="11"/>
        <rFont val="ＭＳ Ｐゴシック"/>
        <family val="2"/>
      </rPr>
      <t xml:space="preserve">【東京】プロジェクトリーダー・プロジェクトマネジャー※残業月20時間/WEB面接可能 </t>
    </r>
    <phoneticPr fontId="3"/>
  </si>
  <si>
    <r>
      <t xml:space="preserve">ＳＧシステム株式会社 </t>
    </r>
    <r>
      <rPr>
        <sz val="11"/>
        <rFont val="微软雅黑"/>
        <family val="2"/>
        <charset val="134"/>
      </rPr>
      <t>/</t>
    </r>
    <r>
      <rPr>
        <sz val="11"/>
        <rFont val="ＭＳ Ｐゴシック"/>
        <family val="2"/>
      </rPr>
      <t xml:space="preserve">【東京】プロジェクトマネージャー【新規事業開発/先端技術/物流×ITのリーディングカンパニー】 </t>
    </r>
    <phoneticPr fontId="3"/>
  </si>
  <si>
    <r>
      <t xml:space="preserve">アヴァント株式会社 </t>
    </r>
    <r>
      <rPr>
        <sz val="11"/>
        <rFont val="微软雅黑"/>
        <family val="2"/>
        <charset val="134"/>
      </rPr>
      <t>/</t>
    </r>
    <r>
      <rPr>
        <sz val="11"/>
        <rFont val="ＭＳ Ｐゴシック"/>
        <family val="2"/>
      </rPr>
      <t xml:space="preserve">【PM未経験歓迎】プロジェクトマネージャー／プライム案件70％／自社内開発80％／有給消化率80％ </t>
    </r>
    <phoneticPr fontId="3"/>
  </si>
  <si>
    <r>
      <t xml:space="preserve">株式会社カインズテクノロジーズ </t>
    </r>
    <r>
      <rPr>
        <sz val="11"/>
        <rFont val="微软雅黑"/>
        <family val="2"/>
        <charset val="134"/>
      </rPr>
      <t>/</t>
    </r>
    <r>
      <rPr>
        <sz val="11"/>
        <rFont val="ＭＳ Ｐゴシック"/>
        <family val="2"/>
      </rPr>
      <t xml:space="preserve">【東京】技術支援室立ち上げメンバー（部門育成・仕組最適化・技術選定等）※リアル×デジタルのDX推進 </t>
    </r>
    <phoneticPr fontId="3"/>
  </si>
  <si>
    <r>
      <t xml:space="preserve">株式会社デジタルハーツ </t>
    </r>
    <r>
      <rPr>
        <sz val="11"/>
        <rFont val="微软雅黑"/>
        <family val="2"/>
        <charset val="134"/>
      </rPr>
      <t xml:space="preserve">/ </t>
    </r>
    <r>
      <rPr>
        <sz val="11"/>
        <rFont val="ＭＳ Ｐゴシック"/>
        <family val="2"/>
      </rPr>
      <t xml:space="preserve">QAマネージャー／プロジェクトの全体統括・QAエンジニアチームのテックリード～東証一部上場企業～ </t>
    </r>
    <phoneticPr fontId="3"/>
  </si>
  <si>
    <r>
      <t xml:space="preserve">アヴァント株式会社 </t>
    </r>
    <r>
      <rPr>
        <sz val="11"/>
        <rFont val="微软雅黑"/>
        <family val="2"/>
        <charset val="134"/>
      </rPr>
      <t>/</t>
    </r>
    <r>
      <rPr>
        <sz val="11"/>
        <rFont val="ＭＳ Ｐゴシック"/>
        <family val="2"/>
      </rPr>
      <t xml:space="preserve">【プロジェクトマネージャー】30～60代まで幅広く活躍中／社員定着率96％以上を記録／働きやすさ◎ </t>
    </r>
    <phoneticPr fontId="3"/>
  </si>
  <si>
    <r>
      <t xml:space="preserve">ｗ２ソリューション株式会社 </t>
    </r>
    <r>
      <rPr>
        <sz val="11"/>
        <rFont val="微软雅黑"/>
        <family val="2"/>
        <charset val="134"/>
      </rPr>
      <t xml:space="preserve"> /</t>
    </r>
    <r>
      <rPr>
        <sz val="11"/>
        <rFont val="ＭＳ Ｐゴシック"/>
        <family val="2"/>
      </rPr>
      <t xml:space="preserve">【エンジニア育成担当／自社勤務／カジュアル面談ＯＫ】ECサイト構築国内シェアトップクラス </t>
    </r>
    <phoneticPr fontId="3"/>
  </si>
  <si>
    <r>
      <t>株式会社シー・エル・エス</t>
    </r>
    <r>
      <rPr>
        <sz val="11"/>
        <rFont val="微软雅黑"/>
        <family val="2"/>
        <charset val="134"/>
      </rPr>
      <t xml:space="preserve"> /</t>
    </r>
    <r>
      <rPr>
        <sz val="11"/>
        <rFont val="ＭＳ Ｐゴシック"/>
        <family val="2"/>
      </rPr>
      <t xml:space="preserve"> システムエンジニア～PL・PMを目指すことが可能/残業平均12時間/10年連続増収増益の成長中企業～ </t>
    </r>
    <phoneticPr fontId="3"/>
  </si>
  <si>
    <r>
      <t xml:space="preserve">ビープラッツ株式会社 </t>
    </r>
    <r>
      <rPr>
        <sz val="11"/>
        <rFont val="微软雅黑"/>
        <family val="2"/>
        <charset val="134"/>
      </rPr>
      <t xml:space="preserve"> /</t>
    </r>
    <r>
      <rPr>
        <sz val="11"/>
        <rFont val="ＭＳ Ｐゴシック"/>
        <family val="2"/>
      </rPr>
      <t xml:space="preserve">【PM／PL候補】東証マザーズ上場／自社開発のSaaS型サービス／最新技術に挑戦する事が出来ます！ </t>
    </r>
    <phoneticPr fontId="3"/>
  </si>
  <si>
    <r>
      <t xml:space="preserve">株式会社アソウ・アルファ </t>
    </r>
    <r>
      <rPr>
        <sz val="11"/>
        <rFont val="微软雅黑"/>
        <family val="2"/>
        <charset val="134"/>
      </rPr>
      <t>/</t>
    </r>
    <r>
      <rPr>
        <sz val="11"/>
        <rFont val="ＭＳ Ｐゴシック"/>
        <family val="2"/>
      </rPr>
      <t xml:space="preserve">【3月21日(日)WEB選考会】【勤務地考慮】ITエンジニア　 </t>
    </r>
    <phoneticPr fontId="3"/>
  </si>
  <si>
    <r>
      <t xml:space="preserve">株式会社シーエーシー </t>
    </r>
    <r>
      <rPr>
        <sz val="11"/>
        <rFont val="微软雅黑"/>
        <family val="2"/>
        <charset val="134"/>
      </rPr>
      <t>/</t>
    </r>
    <r>
      <rPr>
        <sz val="11"/>
        <rFont val="ＭＳ Ｐゴシック"/>
        <family val="2"/>
      </rPr>
      <t xml:space="preserve">【オンライン説明会＆選考会／3月20日（土）実施】開発エンジニア※プライム比率9割 </t>
    </r>
    <phoneticPr fontId="3"/>
  </si>
  <si>
    <r>
      <t xml:space="preserve">住信SBIネット銀行株式会社 </t>
    </r>
    <r>
      <rPr>
        <sz val="11"/>
        <rFont val="微软雅黑"/>
        <family val="2"/>
        <charset val="134"/>
      </rPr>
      <t xml:space="preserve"> /</t>
    </r>
    <r>
      <rPr>
        <sz val="11"/>
        <rFont val="ＭＳ Ｐゴシック"/>
        <family val="2"/>
      </rPr>
      <t xml:space="preserve">【社内SE】フロントシステム開発担当 #システム投資熱高 #フルフレックス ＃IT社員職 </t>
    </r>
    <phoneticPr fontId="3"/>
  </si>
  <si>
    <r>
      <t>ライトニング株式会社</t>
    </r>
    <r>
      <rPr>
        <sz val="11"/>
        <rFont val="微软雅黑"/>
        <family val="2"/>
        <charset val="134"/>
      </rPr>
      <t xml:space="preserve"> /</t>
    </r>
    <r>
      <rPr>
        <sz val="11"/>
        <rFont val="ＭＳ Ｐゴシック"/>
        <family val="2"/>
      </rPr>
      <t xml:space="preserve"> 金融系システム運用保守・保守開発◆東証一部上場企業と直取引／残業月平均10時間／案件は希望考慮可能 </t>
    </r>
    <phoneticPr fontId="3"/>
  </si>
  <si>
    <r>
      <t xml:space="preserve">シェアードシステム株式会社 </t>
    </r>
    <r>
      <rPr>
        <sz val="11"/>
        <rFont val="微软雅黑"/>
        <family val="2"/>
        <charset val="134"/>
      </rPr>
      <t>/</t>
    </r>
    <r>
      <rPr>
        <sz val="11"/>
        <rFont val="ＭＳ Ｐゴシック"/>
        <family val="2"/>
      </rPr>
      <t xml:space="preserve">【自社製品開発／PM候補】※上流工程をメインで担当/残業平均11h/男性育休取得実績有り </t>
    </r>
    <phoneticPr fontId="3"/>
  </si>
  <si>
    <r>
      <t xml:space="preserve">株式会社エージェント・スミス </t>
    </r>
    <r>
      <rPr>
        <sz val="11"/>
        <rFont val="微软雅黑"/>
        <family val="2"/>
        <charset val="134"/>
      </rPr>
      <t>/</t>
    </r>
    <r>
      <rPr>
        <sz val="11"/>
        <rFont val="ＭＳ Ｐゴシック"/>
        <family val="2"/>
      </rPr>
      <t xml:space="preserve">【PMマネージャー】業務系アプリケーション開発※上流工程からIT業務を代行 </t>
    </r>
    <phoneticPr fontId="3"/>
  </si>
  <si>
    <r>
      <t xml:space="preserve">株式会社エージェント・スミス </t>
    </r>
    <r>
      <rPr>
        <sz val="11"/>
        <rFont val="微软雅黑"/>
        <family val="2"/>
        <charset val="134"/>
      </rPr>
      <t>/</t>
    </r>
    <r>
      <rPr>
        <sz val="11"/>
        <rFont val="ＭＳ Ｐゴシック"/>
        <family val="2"/>
      </rPr>
      <t xml:space="preserve">【PLリーダー】業務系アプリケーション案件のPM補佐※上流工程からIT業務を代行 </t>
    </r>
    <phoneticPr fontId="3"/>
  </si>
  <si>
    <r>
      <t>株式会社ペイジェント</t>
    </r>
    <r>
      <rPr>
        <sz val="11"/>
        <rFont val="微软雅黑"/>
        <family val="2"/>
        <charset val="134"/>
      </rPr>
      <t xml:space="preserve">/ </t>
    </r>
    <r>
      <rPr>
        <sz val="11"/>
        <rFont val="ＭＳ Ｐゴシック"/>
        <family val="2"/>
      </rPr>
      <t xml:space="preserve">PM ※リーダー候補／マルチペイメント決済事業のシステム開発案件＜多種多様な決済サービスに対応＞ </t>
    </r>
    <phoneticPr fontId="3"/>
  </si>
  <si>
    <r>
      <t xml:space="preserve">株式会社ＪＳＯＬ </t>
    </r>
    <r>
      <rPr>
        <sz val="11"/>
        <rFont val="微软雅黑"/>
        <family val="2"/>
        <charset val="134"/>
      </rPr>
      <t>/</t>
    </r>
    <r>
      <rPr>
        <sz val="11"/>
        <rFont val="ＭＳ Ｐゴシック"/>
        <family val="2"/>
      </rPr>
      <t xml:space="preserve">【CRMプロジェクトPM/PL候補】プライムSI企業/エンタープライズ中心の大規模案件多数~ </t>
    </r>
    <phoneticPr fontId="3"/>
  </si>
  <si>
    <r>
      <t xml:space="preserve">株式会社エージェント・スミス </t>
    </r>
    <r>
      <rPr>
        <sz val="11"/>
        <rFont val="微软雅黑"/>
        <family val="2"/>
        <charset val="134"/>
      </rPr>
      <t xml:space="preserve"> /</t>
    </r>
    <r>
      <rPr>
        <sz val="11"/>
        <rFont val="ＭＳ Ｐゴシック"/>
        <family val="2"/>
      </rPr>
      <t xml:space="preserve">【PLリーダー】基幹系アプリケーション案件のPM支援・PMO※上流工程からIT業務を代行 </t>
    </r>
    <phoneticPr fontId="3"/>
  </si>
  <si>
    <r>
      <t>Ｙｉ株式会社</t>
    </r>
    <r>
      <rPr>
        <sz val="11"/>
        <rFont val="微软雅黑"/>
        <family val="2"/>
        <charset val="134"/>
      </rPr>
      <t xml:space="preserve"> /</t>
    </r>
    <r>
      <rPr>
        <sz val="11"/>
        <rFont val="ＭＳ Ｐゴシック"/>
        <family val="2"/>
      </rPr>
      <t xml:space="preserve">（ィイカブシキガイシャ） 就活プラットフォームのPM／PL（在宅勤務可／前職給与保証） </t>
    </r>
    <phoneticPr fontId="3"/>
  </si>
  <si>
    <r>
      <t xml:space="preserve">フューチャー株式会社 </t>
    </r>
    <r>
      <rPr>
        <sz val="11"/>
        <rFont val="微软雅黑"/>
        <family val="2"/>
        <charset val="134"/>
      </rPr>
      <t xml:space="preserve">/ </t>
    </r>
    <r>
      <rPr>
        <sz val="11"/>
        <rFont val="ＭＳ Ｐゴシック"/>
        <family val="2"/>
      </rPr>
      <t xml:space="preserve">品質管理スペシャリスト（品質管理室／モニタリングチーム）※東証一部上場フューチャーグループ </t>
    </r>
    <phoneticPr fontId="3"/>
  </si>
  <si>
    <r>
      <t xml:space="preserve">株式会社ベリサーブ </t>
    </r>
    <r>
      <rPr>
        <sz val="11"/>
        <rFont val="微软雅黑"/>
        <family val="2"/>
        <charset val="134"/>
      </rPr>
      <t xml:space="preserve"> /</t>
    </r>
    <r>
      <rPr>
        <sz val="11"/>
        <rFont val="ＭＳ Ｐゴシック"/>
        <family val="2"/>
      </rPr>
      <t xml:space="preserve">【東京】品質保証コンサルタント（マネジメント職）【SCSKグループ】 </t>
    </r>
    <phoneticPr fontId="3"/>
  </si>
  <si>
    <r>
      <t xml:space="preserve">テクバン株式会社 </t>
    </r>
    <r>
      <rPr>
        <sz val="11"/>
        <rFont val="微软雅黑"/>
        <family val="2"/>
        <charset val="134"/>
      </rPr>
      <t xml:space="preserve">/ </t>
    </r>
    <r>
      <rPr>
        <sz val="11"/>
        <rFont val="ＭＳ Ｐゴシック"/>
        <family val="2"/>
      </rPr>
      <t xml:space="preserve">ソフトウェア品質保証エンジニア：創業以来23期連続黒字企業／プライム案件約7割/上流工程・第3者評価 </t>
    </r>
    <phoneticPr fontId="3"/>
  </si>
  <si>
    <r>
      <t xml:space="preserve">トヨタコネクティッド株式会社 </t>
    </r>
    <r>
      <rPr>
        <sz val="11"/>
        <rFont val="微软雅黑"/>
        <family val="2"/>
        <charset val="134"/>
      </rPr>
      <t xml:space="preserve"> /</t>
    </r>
    <r>
      <rPr>
        <sz val="11"/>
        <rFont val="ＭＳ Ｐゴシック"/>
        <family val="2"/>
      </rPr>
      <t xml:space="preserve">【Web面接可】【東京】IT技術職＜開発・運用品質プロセス管理＞　※リモートワーク可 </t>
    </r>
    <phoneticPr fontId="3"/>
  </si>
  <si>
    <r>
      <t xml:space="preserve">株式会社カインズテクノロジーズ </t>
    </r>
    <r>
      <rPr>
        <sz val="11"/>
        <rFont val="微软雅黑"/>
        <family val="2"/>
        <charset val="134"/>
      </rPr>
      <t xml:space="preserve"> /</t>
    </r>
    <r>
      <rPr>
        <sz val="11"/>
        <rFont val="ＭＳ Ｐゴシック"/>
        <family val="2"/>
      </rPr>
      <t xml:space="preserve">【東京】品質管理グループMGR（マルチクラウドシステムテスト設計・構築）※小売業のDX推進本部 </t>
    </r>
    <phoneticPr fontId="3"/>
  </si>
  <si>
    <r>
      <t>株式会社クニエ プラクティスサポート</t>
    </r>
    <r>
      <rPr>
        <sz val="11"/>
        <rFont val="微软雅黑"/>
        <family val="2"/>
        <charset val="134"/>
      </rPr>
      <t xml:space="preserve"> /</t>
    </r>
    <r>
      <rPr>
        <sz val="11"/>
        <rFont val="ＭＳ Ｐゴシック"/>
        <family val="2"/>
      </rPr>
      <t xml:space="preserve">（プロフェッショナル職）／プロジェクトリスク品質管理など </t>
    </r>
    <phoneticPr fontId="3"/>
  </si>
  <si>
    <r>
      <t xml:space="preserve">株式会社ウェブレッジ </t>
    </r>
    <r>
      <rPr>
        <sz val="11"/>
        <rFont val="微软雅黑"/>
        <family val="2"/>
        <charset val="134"/>
      </rPr>
      <t xml:space="preserve">/ </t>
    </r>
    <r>
      <rPr>
        <sz val="11"/>
        <rFont val="ＭＳ Ｐゴシック"/>
        <family val="2"/>
      </rPr>
      <t xml:space="preserve">プロジェクトリーダー・マネジャー（QA・品質系）プロジェクト全体の品質管理や、要件定義業務等 </t>
    </r>
    <phoneticPr fontId="3"/>
  </si>
  <si>
    <r>
      <t>株式会社ヒューマンネクスト</t>
    </r>
    <r>
      <rPr>
        <sz val="11"/>
        <rFont val="微软雅黑"/>
        <family val="2"/>
        <charset val="134"/>
      </rPr>
      <t>/</t>
    </r>
    <r>
      <rPr>
        <sz val="11"/>
        <rFont val="ＭＳ Ｐゴシック"/>
        <family val="2"/>
      </rPr>
      <t xml:space="preserve"> 1）テストエンジニア　2）PL・PM　／残業月4.73時間 </t>
    </r>
    <phoneticPr fontId="3"/>
  </si>
  <si>
    <r>
      <t>ＳＢクリエイティブ株式会社</t>
    </r>
    <r>
      <rPr>
        <sz val="11"/>
        <rFont val="微软雅黑"/>
        <family val="2"/>
        <charset val="134"/>
      </rPr>
      <t>/</t>
    </r>
    <r>
      <rPr>
        <sz val="11"/>
        <rFont val="ＭＳ Ｐゴシック"/>
        <family val="2"/>
      </rPr>
      <t xml:space="preserve"> IT書籍編集／未経験歓迎／20～30代活躍／賞与5.7カ月分 </t>
    </r>
    <phoneticPr fontId="3"/>
  </si>
  <si>
    <r>
      <t>コベルコシステム株式会社</t>
    </r>
    <r>
      <rPr>
        <sz val="11"/>
        <rFont val="微软雅黑"/>
        <family val="2"/>
        <charset val="134"/>
      </rPr>
      <t>/</t>
    </r>
    <r>
      <rPr>
        <sz val="11"/>
        <rFont val="ＭＳ Ｐゴシック"/>
        <family val="2"/>
      </rPr>
      <t xml:space="preserve"> ITエンジニア／定着率97％／残業月17h程度／土日祝休 </t>
    </r>
    <phoneticPr fontId="3"/>
  </si>
  <si>
    <r>
      <t xml:space="preserve">株式会社日本ビジネスデータープロセシングセンター </t>
    </r>
    <r>
      <rPr>
        <sz val="11"/>
        <rFont val="微软雅黑"/>
        <family val="2"/>
        <charset val="134"/>
      </rPr>
      <t>/</t>
    </r>
    <r>
      <rPr>
        <sz val="11"/>
        <rFont val="ＭＳ Ｐゴシック"/>
        <family val="2"/>
      </rPr>
      <t xml:space="preserve">官公庁案件メインのITエンジニア（インフラorシステム開発） </t>
    </r>
    <phoneticPr fontId="3"/>
  </si>
  <si>
    <r>
      <t xml:space="preserve">株式会社パソナテック </t>
    </r>
    <r>
      <rPr>
        <sz val="11"/>
        <rFont val="微软雅黑"/>
        <family val="2"/>
        <charset val="134"/>
      </rPr>
      <t>/</t>
    </r>
    <r>
      <rPr>
        <sz val="11"/>
        <rFont val="ＭＳ Ｐゴシック"/>
        <family val="2"/>
      </rPr>
      <t xml:space="preserve">【自社勤務/福利厚生抜群】社内SE／東証一部上場のパソナグループ全体のIT統括担当 </t>
    </r>
    <phoneticPr fontId="3"/>
  </si>
  <si>
    <r>
      <t xml:space="preserve">アートシステム株式会社 </t>
    </r>
    <r>
      <rPr>
        <sz val="11"/>
        <rFont val="微软雅黑"/>
        <family val="2"/>
        <charset val="134"/>
      </rPr>
      <t xml:space="preserve"> /</t>
    </r>
    <r>
      <rPr>
        <sz val="11"/>
        <rFont val="ＭＳ Ｐゴシック"/>
        <family val="2"/>
      </rPr>
      <t xml:space="preserve">【新宿】IT人材の派遣営業（SES営業）◆転勤無◆寮社宅有◆住宅手当あり◆残業20時間程度 </t>
    </r>
    <phoneticPr fontId="3"/>
  </si>
  <si>
    <r>
      <t xml:space="preserve">株式会社ウィルオブ・ワーク </t>
    </r>
    <r>
      <rPr>
        <sz val="11"/>
        <rFont val="微软雅黑"/>
        <family val="2"/>
        <charset val="134"/>
      </rPr>
      <t xml:space="preserve"> /</t>
    </r>
    <r>
      <rPr>
        <sz val="11"/>
        <rFont val="ＭＳ Ｐゴシック"/>
        <family val="2"/>
      </rPr>
      <t xml:space="preserve">【人材コーディネーター】IT領域専任担当/フルフレックス制度/東証一部上場G </t>
    </r>
    <phoneticPr fontId="3"/>
  </si>
  <si>
    <r>
      <t xml:space="preserve">株式会社アウトソーシングテクノロジー </t>
    </r>
    <r>
      <rPr>
        <sz val="11"/>
        <rFont val="微软雅黑"/>
        <family val="2"/>
        <charset val="134"/>
      </rPr>
      <t xml:space="preserve"> /</t>
    </r>
    <r>
      <rPr>
        <sz val="11"/>
        <rFont val="ＭＳ Ｐゴシック"/>
        <family val="2"/>
      </rPr>
      <t xml:space="preserve">【静岡】人材コーディネーター／技術系アウトソーシングサービス ～東証一部上場G～ </t>
    </r>
    <phoneticPr fontId="3"/>
  </si>
  <si>
    <r>
      <t xml:space="preserve">株式会社クラウドナイン </t>
    </r>
    <r>
      <rPr>
        <sz val="11"/>
        <rFont val="微软雅黑"/>
        <family val="2"/>
        <charset val="134"/>
      </rPr>
      <t>/</t>
    </r>
    <r>
      <rPr>
        <sz val="11"/>
        <rFont val="ＭＳ Ｐゴシック"/>
        <family val="2"/>
      </rPr>
      <t xml:space="preserve">【両手形】IT人材コーディネーター ※JASDAQ上場croozグループ／残業20～30h程度 </t>
    </r>
    <phoneticPr fontId="3"/>
  </si>
  <si>
    <r>
      <t xml:space="preserve">アセアン・フィナンシャル・ホールディングス株式会社 </t>
    </r>
    <r>
      <rPr>
        <sz val="11"/>
        <rFont val="微软雅黑"/>
        <family val="2"/>
        <charset val="134"/>
      </rPr>
      <t xml:space="preserve"> /</t>
    </r>
    <r>
      <rPr>
        <sz val="11"/>
        <rFont val="ＭＳ Ｐゴシック"/>
        <family val="2"/>
      </rPr>
      <t xml:space="preserve">【東京】人材コーディネーター◆スタートアップメンバー／海外人材に携われる </t>
    </r>
    <phoneticPr fontId="3"/>
  </si>
  <si>
    <r>
      <t xml:space="preserve">株式会社ＮＥＣＴ </t>
    </r>
    <r>
      <rPr>
        <sz val="11"/>
        <rFont val="微软雅黑"/>
        <family val="2"/>
        <charset val="134"/>
      </rPr>
      <t>/</t>
    </r>
    <r>
      <rPr>
        <sz val="11"/>
        <rFont val="ＭＳ Ｐゴシック"/>
        <family val="2"/>
      </rPr>
      <t xml:space="preserve">人材コーディネーター（転勤なし／残業月10h以内） </t>
    </r>
    <phoneticPr fontId="3"/>
  </si>
  <si>
    <r>
      <t xml:space="preserve">株式会社アプティ </t>
    </r>
    <r>
      <rPr>
        <sz val="11"/>
        <rFont val="微软雅黑"/>
        <family val="2"/>
        <charset val="134"/>
      </rPr>
      <t>/</t>
    </r>
    <r>
      <rPr>
        <sz val="11"/>
        <rFont val="ＭＳ Ｐゴシック"/>
        <family val="2"/>
      </rPr>
      <t xml:space="preserve">人材系営業（派遣・紹介）／月給30万円以上／未経験歓迎 </t>
    </r>
    <phoneticPr fontId="3"/>
  </si>
  <si>
    <r>
      <t>株式会社テクノエージェント</t>
    </r>
    <r>
      <rPr>
        <sz val="11"/>
        <rFont val="微软雅黑"/>
        <family val="2"/>
        <charset val="134"/>
      </rPr>
      <t xml:space="preserve">/ </t>
    </r>
    <r>
      <rPr>
        <sz val="11"/>
        <rFont val="ＭＳ Ｐゴシック"/>
        <family val="2"/>
      </rPr>
      <t xml:space="preserve"> ITエンジニア派遣の提案営業／年休120日／完全週休2日制 </t>
    </r>
    <phoneticPr fontId="3"/>
  </si>
  <si>
    <r>
      <t xml:space="preserve">株式会社エヌ・エイ・シー </t>
    </r>
    <r>
      <rPr>
        <sz val="11"/>
        <rFont val="微软雅黑"/>
        <family val="2"/>
        <charset val="134"/>
      </rPr>
      <t xml:space="preserve">/ </t>
    </r>
    <r>
      <rPr>
        <sz val="11"/>
        <rFont val="ＭＳ Ｐゴシック"/>
        <family val="2"/>
      </rPr>
      <t xml:space="preserve">開発エンジニア・インフラ自社内構築／定着95％／前年収保証 </t>
    </r>
    <phoneticPr fontId="3"/>
  </si>
  <si>
    <r>
      <t xml:space="preserve">株式会社フィッツコーポレーション </t>
    </r>
    <r>
      <rPr>
        <sz val="11"/>
        <rFont val="微软雅黑"/>
        <family val="2"/>
        <charset val="134"/>
      </rPr>
      <t xml:space="preserve">/ </t>
    </r>
    <r>
      <rPr>
        <sz val="11"/>
        <rFont val="ＭＳ Ｐゴシック"/>
        <family val="2"/>
      </rPr>
      <t xml:space="preserve">中国EC担当(戦略～運用)※「メーカー×商社」のビジネスモデル展開／人気商品多数 </t>
    </r>
    <phoneticPr fontId="3"/>
  </si>
  <si>
    <r>
      <t xml:space="preserve">株式会社ハイウェイテックジャパン </t>
    </r>
    <r>
      <rPr>
        <sz val="11"/>
        <rFont val="微软雅黑"/>
        <family val="2"/>
        <charset val="134"/>
      </rPr>
      <t xml:space="preserve"> /</t>
    </r>
    <r>
      <rPr>
        <sz val="11"/>
        <rFont val="ＭＳ Ｐゴシック"/>
        <family val="2"/>
      </rPr>
      <t xml:space="preserve">【自社勤務】バイリンガルSE～中国語が出来る方大歓迎/残業時間10時間/特許取得の自社サービス～ </t>
    </r>
    <phoneticPr fontId="3"/>
  </si>
  <si>
    <r>
      <t xml:space="preserve">テクバン株式会社 </t>
    </r>
    <r>
      <rPr>
        <sz val="11"/>
        <rFont val="微软雅黑"/>
        <family val="2"/>
        <charset val="134"/>
      </rPr>
      <t xml:space="preserve"> /</t>
    </r>
    <r>
      <rPr>
        <sz val="11"/>
        <rFont val="ＭＳ Ｐゴシック"/>
        <family val="2"/>
      </rPr>
      <t xml:space="preserve">アプリケーションエンジニア向け教育企画担当 </t>
    </r>
    <phoneticPr fontId="3"/>
  </si>
  <si>
    <r>
      <t>バルテス株式会社</t>
    </r>
    <r>
      <rPr>
        <sz val="11"/>
        <rFont val="微软雅黑"/>
        <family val="2"/>
        <charset val="134"/>
      </rPr>
      <t xml:space="preserve"> /</t>
    </r>
    <r>
      <rPr>
        <sz val="11"/>
        <rFont val="ＭＳ Ｐゴシック"/>
        <family val="2"/>
      </rPr>
      <t xml:space="preserve"> 【中国語の経験活かせます】クオリティエンジニア（PL・PM） ※上流工程/資格取得推奨 </t>
    </r>
    <phoneticPr fontId="3"/>
  </si>
  <si>
    <r>
      <t xml:space="preserve">株式会社ベリサーブ </t>
    </r>
    <r>
      <rPr>
        <sz val="11"/>
        <rFont val="微软雅黑"/>
        <family val="2"/>
        <charset val="134"/>
      </rPr>
      <t xml:space="preserve">/ </t>
    </r>
    <r>
      <rPr>
        <sz val="11"/>
        <rFont val="ＭＳ Ｐゴシック"/>
        <family val="2"/>
      </rPr>
      <t xml:space="preserve">社内技術教育の企画運営 ～SCSKグループ/スーパーフレックスタイム/年間休日126日/WEB面接～ </t>
    </r>
    <phoneticPr fontId="3"/>
  </si>
  <si>
    <r>
      <t xml:space="preserve">株式会社SHIFT </t>
    </r>
    <r>
      <rPr>
        <sz val="11"/>
        <rFont val="微软雅黑"/>
        <family val="2"/>
        <charset val="134"/>
      </rPr>
      <t xml:space="preserve">/ </t>
    </r>
    <r>
      <rPr>
        <sz val="11"/>
        <rFont val="ＭＳ Ｐゴシック"/>
        <family val="2"/>
      </rPr>
      <t xml:space="preserve">最上流工程を手掛ける品質保証コンサルタント／月給45万円以上 </t>
    </r>
    <phoneticPr fontId="3"/>
  </si>
  <si>
    <r>
      <t xml:space="preserve">株式会社情報技術社 </t>
    </r>
    <r>
      <rPr>
        <sz val="11"/>
        <rFont val="微软雅黑"/>
        <family val="2"/>
        <charset val="134"/>
      </rPr>
      <t xml:space="preserve">/ </t>
    </r>
    <r>
      <rPr>
        <sz val="11"/>
        <rFont val="ＭＳ Ｐゴシック"/>
        <family val="2"/>
      </rPr>
      <t xml:space="preserve">システムエンジニア（PL/PM候補）※上流工程から参画可能/月平均残業13.3時間/プライム案件有 </t>
    </r>
    <phoneticPr fontId="3"/>
  </si>
  <si>
    <r>
      <t xml:space="preserve">住信SBIネット銀行株式会社 </t>
    </r>
    <r>
      <rPr>
        <sz val="11"/>
        <rFont val="微软雅黑"/>
        <family val="2"/>
        <charset val="134"/>
      </rPr>
      <t>/</t>
    </r>
    <r>
      <rPr>
        <sz val="11"/>
        <rFont val="ＭＳ Ｐゴシック"/>
        <family val="2"/>
      </rPr>
      <t xml:space="preserve">【社内SE】勘定系システム担当 #システム投資熱が高い #フルフレックス ＃IT社員職 </t>
    </r>
    <phoneticPr fontId="3"/>
  </si>
  <si>
    <r>
      <t xml:space="preserve">パーソルプロセス＆テクノロジー株式会社 </t>
    </r>
    <r>
      <rPr>
        <sz val="11"/>
        <rFont val="微软雅黑"/>
        <family val="2"/>
        <charset val="134"/>
      </rPr>
      <t>/</t>
    </r>
    <r>
      <rPr>
        <sz val="11"/>
        <rFont val="ＭＳ Ｐゴシック"/>
        <family val="2"/>
      </rPr>
      <t xml:space="preserve">【エンジニア】【PL・BSE】ベトナムオフショア開発を推進していただきます </t>
    </r>
    <phoneticPr fontId="3"/>
  </si>
  <si>
    <r>
      <t xml:space="preserve">パクテラ・テクノロジー・ジャパン株式会社 </t>
    </r>
    <r>
      <rPr>
        <sz val="11"/>
        <rFont val="微软雅黑"/>
        <family val="2"/>
        <charset val="134"/>
      </rPr>
      <t>/</t>
    </r>
    <r>
      <rPr>
        <sz val="11"/>
        <rFont val="ＭＳ Ｐゴシック"/>
        <family val="2"/>
      </rPr>
      <t xml:space="preserve">【文思海輝】自動化テストプロジェクトリーダー/BSE ※中国語が活かせる/AI・IoTなど最新技術 </t>
    </r>
    <phoneticPr fontId="3"/>
  </si>
  <si>
    <r>
      <t xml:space="preserve">株式会社 mediba </t>
    </r>
    <r>
      <rPr>
        <sz val="11"/>
        <rFont val="微软雅黑"/>
        <family val="2"/>
        <charset val="134"/>
      </rPr>
      <t xml:space="preserve">/ </t>
    </r>
    <r>
      <rPr>
        <sz val="11"/>
        <rFont val="ＭＳ Ｐゴシック"/>
        <family val="2"/>
      </rPr>
      <t xml:space="preserve">ブリッジSE※KDDIグループ／ユーザー数4000万超の巨大メディアを運営※ </t>
    </r>
    <phoneticPr fontId="3"/>
  </si>
  <si>
    <r>
      <t xml:space="preserve">情報技術開発株式会社 </t>
    </r>
    <r>
      <rPr>
        <sz val="11"/>
        <rFont val="微软雅黑"/>
        <family val="2"/>
        <charset val="134"/>
      </rPr>
      <t xml:space="preserve">/ </t>
    </r>
    <r>
      <rPr>
        <sz val="11"/>
        <rFont val="ＭＳ Ｐゴシック"/>
        <family val="2"/>
      </rPr>
      <t xml:space="preserve">部長・事業部長相当の組織マネジメント・プロジェクト運営／残業17時間・福利厚生充実 </t>
    </r>
    <phoneticPr fontId="3"/>
  </si>
  <si>
    <r>
      <t xml:space="preserve">株式会社スコア・ジャパン </t>
    </r>
    <r>
      <rPr>
        <sz val="11"/>
        <rFont val="微软雅黑"/>
        <family val="2"/>
        <charset val="134"/>
      </rPr>
      <t xml:space="preserve">/ </t>
    </r>
    <r>
      <rPr>
        <sz val="11"/>
        <rFont val="ＭＳ Ｐゴシック"/>
        <family val="2"/>
      </rPr>
      <t xml:space="preserve">社内SE（IT環境の企画・開発・運用）／年休120日以上 </t>
    </r>
    <phoneticPr fontId="3"/>
  </si>
  <si>
    <r>
      <t xml:space="preserve">株式会社ボールド </t>
    </r>
    <r>
      <rPr>
        <sz val="11"/>
        <rFont val="微软雅黑"/>
        <family val="2"/>
        <charset val="134"/>
      </rPr>
      <t>/</t>
    </r>
    <r>
      <rPr>
        <sz val="11"/>
        <rFont val="ＭＳ Ｐゴシック"/>
        <family val="2"/>
      </rPr>
      <t xml:space="preserve">【ポテンシャル歓迎】システムエンジニア／5年で600%成長／充実の評価・研修制度／平均残業15h </t>
    </r>
    <phoneticPr fontId="3"/>
  </si>
  <si>
    <r>
      <t>株式会社ユニテック</t>
    </r>
    <r>
      <rPr>
        <sz val="11"/>
        <rFont val="微软雅黑"/>
        <family val="2"/>
        <charset val="134"/>
      </rPr>
      <t xml:space="preserve"> /</t>
    </r>
    <r>
      <rPr>
        <sz val="11"/>
        <rFont val="ＭＳ Ｐゴシック"/>
        <family val="2"/>
      </rPr>
      <t xml:space="preserve"> 【東京都】プロジェクトリーダー　～営業所開設予定！オープニングメンバーの募集！～ </t>
    </r>
    <phoneticPr fontId="3"/>
  </si>
  <si>
    <r>
      <t xml:space="preserve">株式会社ウイルテック </t>
    </r>
    <r>
      <rPr>
        <sz val="11"/>
        <rFont val="微软雅黑"/>
        <family val="2"/>
        <charset val="134"/>
      </rPr>
      <t>/</t>
    </r>
    <r>
      <rPr>
        <sz val="11"/>
        <rFont val="ＭＳ Ｐゴシック"/>
        <family val="2"/>
      </rPr>
      <t xml:space="preserve">【オープンポジション】ITエンジニア～経験に応じた多様なプロジェクト/リモート相談可～ </t>
    </r>
    <phoneticPr fontId="3"/>
  </si>
  <si>
    <r>
      <t xml:space="preserve">フィールズ株式会社 </t>
    </r>
    <r>
      <rPr>
        <sz val="11"/>
        <rFont val="微软雅黑"/>
        <family val="2"/>
        <charset val="134"/>
      </rPr>
      <t xml:space="preserve">/ </t>
    </r>
    <r>
      <rPr>
        <sz val="11"/>
        <rFont val="ＭＳ Ｐゴシック"/>
        <family val="2"/>
      </rPr>
      <t xml:space="preserve">社内SE／残業ほぼなし／月給35万円以上／年間休日127日 </t>
    </r>
    <phoneticPr fontId="3"/>
  </si>
  <si>
    <r>
      <t xml:space="preserve">イ．ソフト株式会社 </t>
    </r>
    <r>
      <rPr>
        <sz val="11"/>
        <rFont val="微软雅黑"/>
        <family val="2"/>
        <charset val="134"/>
      </rPr>
      <t xml:space="preserve">/ </t>
    </r>
    <r>
      <rPr>
        <sz val="11"/>
        <rFont val="ＭＳ Ｐゴシック"/>
        <family val="2"/>
      </rPr>
      <t xml:space="preserve">アプリ開発のPL／PM・月残業20h以下・9連休取得可能 </t>
    </r>
    <phoneticPr fontId="3"/>
  </si>
  <si>
    <r>
      <t xml:space="preserve">株式会社ベネフィット・ワン </t>
    </r>
    <r>
      <rPr>
        <sz val="11"/>
        <rFont val="微软雅黑"/>
        <family val="2"/>
        <charset val="134"/>
      </rPr>
      <t xml:space="preserve">/ </t>
    </r>
    <r>
      <rPr>
        <sz val="11"/>
        <rFont val="ＭＳ Ｐゴシック"/>
        <family val="2"/>
      </rPr>
      <t xml:space="preserve">自社サービスを担う社内SE（開発／インフラ／運用／PM） </t>
    </r>
    <phoneticPr fontId="3"/>
  </si>
  <si>
    <r>
      <t xml:space="preserve">株式会社テクノモバイル </t>
    </r>
    <r>
      <rPr>
        <sz val="11"/>
        <rFont val="微软雅黑"/>
        <family val="2"/>
        <charset val="134"/>
      </rPr>
      <t xml:space="preserve">/ </t>
    </r>
    <r>
      <rPr>
        <sz val="11"/>
        <rFont val="ＭＳ Ｐゴシック"/>
        <family val="2"/>
      </rPr>
      <t xml:space="preserve">開発エンジニア（PL・PM候補）プライム案件中心／渋谷 </t>
    </r>
    <phoneticPr fontId="3"/>
  </si>
  <si>
    <r>
      <t xml:space="preserve">株式会社テック・エス・シー </t>
    </r>
    <r>
      <rPr>
        <sz val="11"/>
        <rFont val="微软雅黑"/>
        <family val="2"/>
        <charset val="134"/>
      </rPr>
      <t>/</t>
    </r>
    <r>
      <rPr>
        <sz val="11"/>
        <rFont val="ＭＳ Ｐゴシック"/>
        <family val="2"/>
      </rPr>
      <t xml:space="preserve">【東京／面接1回】システム開発エンジニア／業務未経験可／金融、流通等生活に必要不可欠なシステム </t>
    </r>
    <phoneticPr fontId="3"/>
  </si>
  <si>
    <r>
      <t>ウェルスナビ株式会社</t>
    </r>
    <r>
      <rPr>
        <sz val="11"/>
        <rFont val="微软雅黑"/>
        <family val="2"/>
        <charset val="134"/>
      </rPr>
      <t xml:space="preserve"> /</t>
    </r>
    <r>
      <rPr>
        <sz val="11"/>
        <rFont val="ＭＳ Ｐゴシック"/>
        <family val="2"/>
      </rPr>
      <t xml:space="preserve"> 開発推進 ～マザーズ上場／業界注目の急成長FinTechスタートアップ企業／フレックス制～ </t>
    </r>
    <phoneticPr fontId="3"/>
  </si>
  <si>
    <r>
      <t xml:space="preserve">株式会社東証コンピュータシステム </t>
    </r>
    <r>
      <rPr>
        <sz val="11"/>
        <rFont val="微软雅黑"/>
        <family val="2"/>
        <charset val="134"/>
      </rPr>
      <t xml:space="preserve"> /</t>
    </r>
    <r>
      <rPr>
        <sz val="11"/>
        <rFont val="ＭＳ Ｐゴシック"/>
        <family val="2"/>
      </rPr>
      <t xml:space="preserve">【自社勤務】アプリエンジニア/ＰＭ候補/50代歓迎/残業20時間以下 </t>
    </r>
    <phoneticPr fontId="3"/>
  </si>
  <si>
    <r>
      <t xml:space="preserve">エム・ティ・ストラテジー株式会社 </t>
    </r>
    <r>
      <rPr>
        <sz val="11"/>
        <rFont val="微软雅黑"/>
        <family val="2"/>
        <charset val="134"/>
      </rPr>
      <t xml:space="preserve">/ </t>
    </r>
    <r>
      <rPr>
        <sz val="11"/>
        <rFont val="ＭＳ Ｐゴシック"/>
        <family val="2"/>
      </rPr>
      <t xml:space="preserve">開発経験2年からITマネジメント人材（PM・ITコンサル）へ </t>
    </r>
    <phoneticPr fontId="3"/>
  </si>
  <si>
    <r>
      <t xml:space="preserve">株式会社キャンディル </t>
    </r>
    <r>
      <rPr>
        <sz val="11"/>
        <rFont val="微软雅黑"/>
        <family val="2"/>
        <charset val="134"/>
      </rPr>
      <t xml:space="preserve"> /</t>
    </r>
    <r>
      <rPr>
        <sz val="11"/>
        <rFont val="ＭＳ Ｐゴシック"/>
        <family val="2"/>
      </rPr>
      <t xml:space="preserve">【PM候補】社内SE　※残業月20H程度／システム開発／東証一部上場の成長企業 </t>
    </r>
    <phoneticPr fontId="3"/>
  </si>
  <si>
    <r>
      <t xml:space="preserve">株式会社ライフランド </t>
    </r>
    <r>
      <rPr>
        <sz val="11"/>
        <rFont val="微软雅黑"/>
        <family val="2"/>
        <charset val="134"/>
      </rPr>
      <t xml:space="preserve"> /</t>
    </r>
    <r>
      <rPr>
        <sz val="11"/>
        <rFont val="ＭＳ Ｐゴシック"/>
        <family val="2"/>
      </rPr>
      <t xml:space="preserve">【千葉】社内SE　～COBOL経験者・開発経験者歓迎／社内システムの保守・運用をお任せ～ </t>
    </r>
    <phoneticPr fontId="3"/>
  </si>
  <si>
    <r>
      <t>株式会社ＧＣＡＰｓ</t>
    </r>
    <r>
      <rPr>
        <sz val="11"/>
        <rFont val="微软雅黑"/>
        <family val="2"/>
        <charset val="134"/>
      </rPr>
      <t xml:space="preserve"> /</t>
    </r>
    <r>
      <rPr>
        <sz val="11"/>
        <rFont val="ＭＳ Ｐゴシック"/>
        <family val="2"/>
      </rPr>
      <t xml:space="preserve">（ジーキャップス） PL・PM／希望を最優先／年休120日～／残業20h未満 </t>
    </r>
    <phoneticPr fontId="3"/>
  </si>
  <si>
    <r>
      <t xml:space="preserve">株式会社ドム </t>
    </r>
    <r>
      <rPr>
        <sz val="11"/>
        <rFont val="微软雅黑"/>
        <family val="2"/>
        <charset val="134"/>
      </rPr>
      <t xml:space="preserve">/ </t>
    </r>
    <r>
      <rPr>
        <sz val="11"/>
        <rFont val="ＭＳ Ｐゴシック"/>
        <family val="2"/>
      </rPr>
      <t xml:space="preserve">営業（人材コーディネーター）／未経験OK／月給30万円以上 </t>
    </r>
    <phoneticPr fontId="3"/>
  </si>
  <si>
    <r>
      <t xml:space="preserve">アベールソリューションズ株式会社 </t>
    </r>
    <r>
      <rPr>
        <sz val="11"/>
        <rFont val="微软雅黑"/>
        <family val="2"/>
        <charset val="134"/>
      </rPr>
      <t xml:space="preserve">/ </t>
    </r>
    <r>
      <rPr>
        <sz val="11"/>
        <rFont val="ＭＳ Ｐゴシック"/>
        <family val="2"/>
      </rPr>
      <t xml:space="preserve">PMO・PL・PM／マネジメント未経験も大歓迎／残業月20H </t>
    </r>
    <phoneticPr fontId="3"/>
  </si>
  <si>
    <r>
      <t xml:space="preserve">アイティシージャパン株式会社 </t>
    </r>
    <r>
      <rPr>
        <sz val="11"/>
        <rFont val="微软雅黑"/>
        <family val="2"/>
        <charset val="134"/>
      </rPr>
      <t xml:space="preserve">/ </t>
    </r>
    <r>
      <rPr>
        <sz val="11"/>
        <rFont val="ＭＳ Ｐゴシック"/>
        <family val="2"/>
      </rPr>
      <t xml:space="preserve">プロジェクトマネージャー／プライム案件／100％自社内開発 </t>
    </r>
    <phoneticPr fontId="3"/>
  </si>
  <si>
    <r>
      <t xml:space="preserve">株式会社テレビ朝日サービス </t>
    </r>
    <r>
      <rPr>
        <sz val="11"/>
        <rFont val="微软雅黑"/>
        <family val="2"/>
        <charset val="134"/>
      </rPr>
      <t>/</t>
    </r>
    <r>
      <rPr>
        <sz val="11"/>
        <rFont val="ＭＳ Ｐゴシック"/>
        <family val="2"/>
      </rPr>
      <t xml:space="preserve">プロジェクトマネージャー／PM未経験歓迎／20～30代活躍中 </t>
    </r>
    <phoneticPr fontId="3"/>
  </si>
  <si>
    <t xml:space="preserve"> </t>
    <phoneticPr fontId="3"/>
  </si>
  <si>
    <r>
      <t xml:space="preserve">株式会社asFreed </t>
    </r>
    <r>
      <rPr>
        <sz val="11"/>
        <rFont val="微软雅黑"/>
        <family val="2"/>
        <charset val="134"/>
      </rPr>
      <t xml:space="preserve">/ </t>
    </r>
    <r>
      <rPr>
        <sz val="11"/>
        <rFont val="ＭＳ Ｐゴシック"/>
        <family val="2"/>
      </rPr>
      <t xml:space="preserve">開発エンジニア（オープン・Web系）／年間休日125日以上 </t>
    </r>
    <phoneticPr fontId="3"/>
  </si>
  <si>
    <r>
      <t xml:space="preserve">株式会社アズライト </t>
    </r>
    <r>
      <rPr>
        <sz val="11"/>
        <rFont val="微软雅黑"/>
        <family val="2"/>
        <charset val="134"/>
      </rPr>
      <t xml:space="preserve">/ </t>
    </r>
    <r>
      <rPr>
        <sz val="11"/>
        <rFont val="ＭＳ Ｐゴシック"/>
        <family val="2"/>
      </rPr>
      <t xml:space="preserve">キャリアアドバイザー・リーダー候補／急成長中・月給32万円～ </t>
    </r>
    <phoneticPr fontId="3"/>
  </si>
  <si>
    <r>
      <t>株式会社アイコニックジャパン</t>
    </r>
    <r>
      <rPr>
        <sz val="11"/>
        <rFont val="微软雅黑"/>
        <family val="2"/>
        <charset val="134"/>
      </rPr>
      <t xml:space="preserve"> /</t>
    </r>
    <r>
      <rPr>
        <sz val="11"/>
        <rFont val="ＭＳ Ｐゴシック"/>
        <family val="2"/>
      </rPr>
      <t xml:space="preserve"> スタートアップ向け人材紹介事業の転職コンサルタント </t>
    </r>
    <phoneticPr fontId="3"/>
  </si>
  <si>
    <t>&lt;ruby&gt;中&lt;rt&gt;zhōng&lt;/rt&gt;国&lt;rt&gt;guó&lt;/rt&gt;人&lt;rt&gt;rén&lt;/rt&gt;民&lt;rt&gt;mín&lt;/rt&gt;&lt;/ruby&gt;</t>
    <phoneticPr fontId="3"/>
  </si>
  <si>
    <t>拼音标注</t>
    <phoneticPr fontId="3"/>
  </si>
  <si>
    <r>
      <t>PL/1</t>
    </r>
    <r>
      <rPr>
        <sz val="10"/>
        <rFont val="宋体"/>
        <family val="2"/>
      </rPr>
      <t>程序设计（</t>
    </r>
    <r>
      <rPr>
        <sz val="11"/>
        <color theme="1"/>
        <rFont val="等线"/>
        <family val="2"/>
        <scheme val="minor"/>
      </rPr>
      <t>Z/os</t>
    </r>
    <r>
      <rPr>
        <sz val="10"/>
        <rFont val="宋体"/>
        <family val="2"/>
      </rPr>
      <t>环境）</t>
    </r>
  </si>
  <si>
    <r>
      <t>Cobol</t>
    </r>
    <r>
      <rPr>
        <sz val="10"/>
        <rFont val="宋体"/>
        <family val="2"/>
      </rPr>
      <t>程序设计（</t>
    </r>
    <r>
      <rPr>
        <sz val="11"/>
        <color theme="1"/>
        <rFont val="等线"/>
        <family val="2"/>
        <scheme val="minor"/>
      </rPr>
      <t>Z/os</t>
    </r>
    <r>
      <rPr>
        <sz val="10"/>
        <rFont val="宋体"/>
        <family val="2"/>
      </rPr>
      <t>环境）</t>
    </r>
  </si>
  <si>
    <t>VSAM基础</t>
  </si>
  <si>
    <t>JCL基础</t>
  </si>
  <si>
    <t>Tso操作基础</t>
  </si>
  <si>
    <t>Cobol程序设计（WinXP&amp;Eclipse）</t>
  </si>
  <si>
    <t>DB2&amp;SQL基础（WinXP&amp;Eclipse）</t>
  </si>
  <si>
    <t>软件测试基础</t>
  </si>
  <si>
    <t>Excel&amp;VBA</t>
  </si>
  <si>
    <t>1-1-1</t>
  </si>
  <si>
    <t>程序设计方法</t>
  </si>
  <si>
    <t>91-1-1</t>
  </si>
  <si>
    <t>01020201JLPT N1</t>
  </si>
  <si>
    <t>Compose</t>
  </si>
  <si>
    <t>Voice</t>
  </si>
  <si>
    <t>PPT</t>
  </si>
  <si>
    <t>Coursework</t>
  </si>
  <si>
    <t>Section</t>
  </si>
  <si>
    <t>Chapter</t>
  </si>
  <si>
    <t>Codification</t>
  </si>
  <si>
    <t>Courses</t>
  </si>
  <si>
    <t>Create one simple Web Application using Java, Jsp, servlet,struts technology.</t>
  </si>
  <si>
    <t>Contents</t>
  </si>
  <si>
    <t>3-5</t>
  </si>
  <si>
    <t>Web Application Development workshop</t>
  </si>
  <si>
    <t xml:space="preserve">UDDI Overview </t>
  </si>
  <si>
    <t xml:space="preserve">JAXR </t>
  </si>
  <si>
    <t>JAXM</t>
  </si>
  <si>
    <t xml:space="preserve">JAX-RPC </t>
  </si>
  <si>
    <t xml:space="preserve">WSDL Binding </t>
  </si>
  <si>
    <t xml:space="preserve">   JAXR, JAX-RPC, SAAJ, JAXB, JAXM</t>
  </si>
  <si>
    <t>API’s to develop Web Services -</t>
  </si>
  <si>
    <t>Web Services Standard – SOAP,UDDI, WSDL</t>
  </si>
  <si>
    <t xml:space="preserve">Life Cycle of a Web Service </t>
  </si>
  <si>
    <t xml:space="preserve">Roles of Web Service  </t>
  </si>
  <si>
    <t xml:space="preserve">SOA            </t>
  </si>
  <si>
    <t xml:space="preserve">Distributed Architecture   </t>
  </si>
  <si>
    <t xml:space="preserve">Web Application Vs Web Services </t>
  </si>
  <si>
    <t xml:space="preserve">Web Services Concept, Features      </t>
  </si>
  <si>
    <t>0.5 - 1</t>
  </si>
  <si>
    <t>Web Service</t>
  </si>
  <si>
    <t>View Components</t>
  </si>
  <si>
    <t>Struts-config.xml</t>
  </si>
  <si>
    <t>Model Components</t>
  </si>
  <si>
    <t>Controller Components</t>
  </si>
  <si>
    <t>Struts Framework</t>
  </si>
  <si>
    <t>Struts</t>
  </si>
  <si>
    <t>Setting Java Bean compone</t>
  </si>
  <si>
    <t>Creating and using Java Beans</t>
  </si>
  <si>
    <t>Why use Java Beans</t>
  </si>
  <si>
    <t>Java Beans Component Design Conventions</t>
  </si>
  <si>
    <t>Java Beans</t>
  </si>
  <si>
    <t>Param element</t>
  </si>
  <si>
    <t>Transferring control to other Web Component</t>
  </si>
  <si>
    <t>Custom Error Pages</t>
  </si>
  <si>
    <t xml:space="preserve">Using Implicit Objects within JSP Pages </t>
  </si>
  <si>
    <t>JSP Directives</t>
  </si>
  <si>
    <t xml:space="preserve"> JSP Declarations</t>
  </si>
  <si>
    <t xml:space="preserve"> Scriptlets</t>
  </si>
  <si>
    <t xml:space="preserve">JSP Scripting Elements </t>
  </si>
  <si>
    <t>JSP Scripting Elements – JSP Expressions</t>
  </si>
  <si>
    <t xml:space="preserve">Creating Dynamic Content </t>
  </si>
  <si>
    <t xml:space="preserve">Creating Static Content </t>
  </si>
  <si>
    <t>Execution of a JSP page</t>
  </si>
  <si>
    <t xml:space="preserve">The Life Cycle of a JSP Page </t>
  </si>
  <si>
    <t xml:space="preserve">What Is a JSP Page? </t>
  </si>
  <si>
    <t>Java Server Pages</t>
  </si>
  <si>
    <t xml:space="preserve"> Threading Model in Servlet</t>
  </si>
  <si>
    <t xml:space="preserve"> Threads</t>
  </si>
  <si>
    <t>Java Servlet Technology</t>
  </si>
  <si>
    <t xml:space="preserve"> Filtering Request &amp; Responses</t>
  </si>
  <si>
    <t xml:space="preserve"> redirect</t>
  </si>
  <si>
    <t xml:space="preserve"> forward</t>
  </si>
  <si>
    <t xml:space="preserve"> include</t>
  </si>
  <si>
    <t xml:space="preserve">Servlet Communication </t>
  </si>
  <si>
    <t xml:space="preserve">HTTPSession </t>
  </si>
  <si>
    <t>Cookies</t>
  </si>
  <si>
    <t>URL Rewriting</t>
  </si>
  <si>
    <t>Hidden Form Fields</t>
  </si>
  <si>
    <t>Session Management</t>
  </si>
  <si>
    <t xml:space="preserve"> Constructing Responses</t>
  </si>
  <si>
    <t xml:space="preserve"> Getting Information from Requests </t>
  </si>
  <si>
    <t xml:space="preserve"> Writing Service Methods</t>
  </si>
  <si>
    <t xml:space="preserve"> Initializing a Servlet</t>
  </si>
  <si>
    <t xml:space="preserve"> Servlet Life Cycle</t>
  </si>
  <si>
    <t xml:space="preserve"> Servlet API</t>
  </si>
  <si>
    <t xml:space="preserve"> HTTP Basics</t>
  </si>
  <si>
    <t xml:space="preserve"> CGI Vs Servlets</t>
  </si>
  <si>
    <t xml:space="preserve"> What is Servlet</t>
  </si>
  <si>
    <t xml:space="preserve"> About servlet container</t>
  </si>
  <si>
    <t xml:space="preserve"> About Web Server / Application Server</t>
  </si>
  <si>
    <t>About Web Component</t>
  </si>
  <si>
    <t>3-4</t>
  </si>
  <si>
    <t>Servlet, JSP</t>
  </si>
  <si>
    <t>Xpointers</t>
  </si>
  <si>
    <t>XLinks</t>
  </si>
  <si>
    <t>XSL Transformations</t>
  </si>
  <si>
    <t>XSL (Extensible Style sheet Language)</t>
  </si>
  <si>
    <t>XML Schemas</t>
  </si>
  <si>
    <t>XML Namespaces</t>
  </si>
  <si>
    <t>Embedding Non – XML Data</t>
  </si>
  <si>
    <t>Entities and External DTD Subsets</t>
  </si>
  <si>
    <t>Document Type Definitions and Validity</t>
  </si>
  <si>
    <t>What is XML</t>
  </si>
  <si>
    <t>XML</t>
  </si>
  <si>
    <t>Using Standard Form Controls</t>
  </si>
  <si>
    <t>Introducing Forms</t>
  </si>
  <si>
    <t>Developing Forms</t>
  </si>
  <si>
    <t>Using Span</t>
  </si>
  <si>
    <t>Div tag, Span Tag</t>
  </si>
  <si>
    <t>Defining classes</t>
  </si>
  <si>
    <t>Attaching Style Sheet</t>
  </si>
  <si>
    <t>Style Rules</t>
  </si>
  <si>
    <t>Purpose of Style Sheet</t>
  </si>
  <si>
    <t>Style Sheet</t>
  </si>
  <si>
    <t>Using Frames</t>
  </si>
  <si>
    <t>Using Links &amp; Images</t>
  </si>
  <si>
    <t>Special Characters</t>
  </si>
  <si>
    <t>Font Size, Color and Typeface</t>
  </si>
  <si>
    <t>Boldfaces and Italics</t>
  </si>
  <si>
    <t>Text Formatting And Alignment</t>
  </si>
  <si>
    <t>Creating Ordered and Unordered List</t>
  </si>
  <si>
    <t>Headings</t>
  </si>
  <si>
    <t>Paragraphs and Line breaks</t>
  </si>
  <si>
    <t>Introduction table, tr, td tags</t>
  </si>
  <si>
    <t>Creating a Web Page</t>
  </si>
  <si>
    <t xml:space="preserve"> Structure of HTML page</t>
  </si>
  <si>
    <t xml:space="preserve"> Introduction to Tags</t>
  </si>
  <si>
    <t xml:space="preserve"> How Web pages work</t>
  </si>
  <si>
    <t xml:space="preserve"> Introducing HTML</t>
  </si>
  <si>
    <t>Getting Started With HTML</t>
  </si>
  <si>
    <t>HTML Java Script</t>
  </si>
  <si>
    <t>Input and Output Streams</t>
  </si>
  <si>
    <t>Exception Handling</t>
  </si>
  <si>
    <t>Creating User Defined Packages</t>
  </si>
  <si>
    <t>Overview of predefined packages</t>
  </si>
  <si>
    <t>Exercise on Abstract class &amp; Interface</t>
  </si>
  <si>
    <t>Abstract Class</t>
  </si>
  <si>
    <t>Exercise on Interface</t>
  </si>
  <si>
    <t>Interface</t>
  </si>
  <si>
    <t>Method Overriding</t>
  </si>
  <si>
    <t xml:space="preserve">Inheritance     </t>
  </si>
  <si>
    <t>Data Types</t>
  </si>
  <si>
    <t>Operators</t>
  </si>
  <si>
    <t>Programming Logics &amp; Techniques</t>
  </si>
  <si>
    <t>Java Architecture</t>
  </si>
  <si>
    <t>Java Language Basics</t>
  </si>
  <si>
    <t>Java语言基础</t>
  </si>
  <si>
    <t xml:space="preserve">object-oriented programming </t>
  </si>
  <si>
    <t>面向对象程序设计</t>
  </si>
  <si>
    <t>Basic Java</t>
  </si>
  <si>
    <r>
      <rPr>
        <sz val="10"/>
        <color rgb="FF000000"/>
        <rFont val="Microsoft YaHei"/>
        <family val="2"/>
        <charset val="134"/>
      </rPr>
      <t>技术支持</t>
    </r>
    <phoneticPr fontId="15" type="noConversion"/>
  </si>
  <si>
    <r>
      <rPr>
        <sz val="10"/>
        <color rgb="FF000000"/>
        <rFont val="Microsoft YaHei"/>
        <family val="2"/>
        <charset val="134"/>
      </rPr>
      <t>成本管理</t>
    </r>
    <phoneticPr fontId="15" type="noConversion"/>
  </si>
  <si>
    <r>
      <rPr>
        <sz val="10"/>
        <color rgb="FF000000"/>
        <rFont val="Microsoft YaHei"/>
        <family val="2"/>
        <charset val="134"/>
      </rPr>
      <t>日志管理</t>
    </r>
    <phoneticPr fontId="15" type="noConversion"/>
  </si>
  <si>
    <r>
      <rPr>
        <sz val="10"/>
        <color rgb="FF000000"/>
        <rFont val="Microsoft YaHei"/>
        <family val="2"/>
        <charset val="134"/>
      </rPr>
      <t>备份</t>
    </r>
    <phoneticPr fontId="15" type="noConversion"/>
  </si>
  <si>
    <r>
      <rPr>
        <sz val="10"/>
        <color rgb="FF000000"/>
        <rFont val="Microsoft YaHei"/>
        <family val="2"/>
        <charset val="134"/>
      </rPr>
      <t>通知</t>
    </r>
    <phoneticPr fontId="15" type="noConversion"/>
  </si>
  <si>
    <r>
      <rPr>
        <sz val="10"/>
        <color rgb="FF000000"/>
        <rFont val="Microsoft YaHei"/>
        <family val="2"/>
        <charset val="134"/>
      </rPr>
      <t>系统监视</t>
    </r>
    <phoneticPr fontId="15" type="noConversion"/>
  </si>
  <si>
    <r>
      <rPr>
        <sz val="10"/>
        <color rgb="FF000000"/>
        <rFont val="Microsoft YaHei"/>
        <family val="2"/>
        <charset val="134"/>
      </rPr>
      <t>作业管理</t>
    </r>
    <phoneticPr fontId="15" type="noConversion"/>
  </si>
  <si>
    <r>
      <rPr>
        <sz val="10"/>
        <color rgb="FF000000"/>
        <rFont val="Microsoft YaHei"/>
        <family val="2"/>
        <charset val="134"/>
      </rPr>
      <t>管理和运用</t>
    </r>
    <phoneticPr fontId="15" type="noConversion"/>
  </si>
  <si>
    <r>
      <rPr>
        <sz val="10"/>
        <color rgb="FF000000"/>
        <rFont val="Microsoft YaHei"/>
        <family val="2"/>
        <charset val="134"/>
      </rPr>
      <t>脆弱性诊断</t>
    </r>
    <phoneticPr fontId="15" type="noConversion"/>
  </si>
  <si>
    <r>
      <rPr>
        <sz val="10"/>
        <color rgb="FF000000"/>
        <rFont val="Microsoft YaHei"/>
        <family val="2"/>
        <charset val="134"/>
      </rPr>
      <t>VPC网络安全</t>
    </r>
    <phoneticPr fontId="15" type="noConversion"/>
  </si>
  <si>
    <r>
      <rPr>
        <sz val="10"/>
        <color rgb="FF000000"/>
        <rFont val="Microsoft YaHei"/>
        <family val="2"/>
        <charset val="134"/>
      </rPr>
      <t>外部攻击对策</t>
    </r>
    <phoneticPr fontId="15" type="noConversion"/>
  </si>
  <si>
    <r>
      <rPr>
        <sz val="10"/>
        <color rgb="FF000000"/>
        <rFont val="Microsoft YaHei"/>
        <family val="2"/>
        <charset val="134"/>
      </rPr>
      <t>数据加密</t>
    </r>
    <phoneticPr fontId="15" type="noConversion"/>
  </si>
  <si>
    <r>
      <rPr>
        <sz val="10"/>
        <color rgb="FF000000"/>
        <rFont val="Microsoft YaHei"/>
        <family val="2"/>
        <charset val="134"/>
      </rPr>
      <t>IAM</t>
    </r>
    <phoneticPr fontId="15" type="noConversion"/>
  </si>
  <si>
    <r>
      <rPr>
        <sz val="10"/>
        <color rgb="FF000000"/>
        <rFont val="Microsoft YaHei"/>
        <family val="2"/>
        <charset val="134"/>
      </rPr>
      <t>安全构成</t>
    </r>
    <phoneticPr fontId="15" type="noConversion"/>
  </si>
  <si>
    <r>
      <rPr>
        <sz val="10"/>
        <color rgb="FF000000"/>
        <rFont val="Microsoft YaHei"/>
        <family val="2"/>
        <charset val="134"/>
      </rPr>
      <t>AWS安全</t>
    </r>
    <phoneticPr fontId="15" type="noConversion"/>
  </si>
  <si>
    <r>
      <rPr>
        <sz val="10"/>
        <color rgb="FF000000"/>
        <rFont val="Microsoft YaHei"/>
        <family val="2"/>
        <charset val="134"/>
      </rPr>
      <t>EC2</t>
    </r>
    <phoneticPr fontId="15" type="noConversion"/>
  </si>
  <si>
    <r>
      <rPr>
        <sz val="10"/>
        <color rgb="FF000000"/>
        <rFont val="Microsoft YaHei"/>
        <family val="2"/>
        <charset val="134"/>
      </rPr>
      <t>SES</t>
    </r>
    <phoneticPr fontId="15" type="noConversion"/>
  </si>
  <si>
    <r>
      <rPr>
        <sz val="10"/>
        <color rgb="FF000000"/>
        <rFont val="Microsoft YaHei"/>
        <family val="2"/>
        <charset val="134"/>
      </rPr>
      <t>Mail</t>
    </r>
    <phoneticPr fontId="15" type="noConversion"/>
  </si>
  <si>
    <r>
      <rPr>
        <sz val="10"/>
        <color rgb="FF000000"/>
        <rFont val="Microsoft YaHei"/>
        <family val="2"/>
        <charset val="134"/>
      </rPr>
      <t>CloudFormation</t>
    </r>
    <phoneticPr fontId="15" type="noConversion"/>
  </si>
  <si>
    <r>
      <rPr>
        <sz val="10"/>
        <color rgb="FF000000"/>
        <rFont val="Microsoft YaHei"/>
        <family val="2"/>
        <charset val="134"/>
      </rPr>
      <t>Elastic Beanstalk和Lambda</t>
    </r>
    <phoneticPr fontId="15" type="noConversion"/>
  </si>
  <si>
    <r>
      <rPr>
        <sz val="10"/>
        <color rgb="FF000000"/>
        <rFont val="Microsoft YaHei"/>
        <family val="2"/>
        <charset val="134"/>
      </rPr>
      <t>AWS Auto Scaling</t>
    </r>
    <phoneticPr fontId="15" type="noConversion"/>
  </si>
  <si>
    <r>
      <rPr>
        <sz val="10"/>
        <color rgb="FF000000"/>
        <rFont val="Microsoft YaHei"/>
        <family val="2"/>
        <charset val="134"/>
      </rPr>
      <t>S3</t>
    </r>
    <phoneticPr fontId="15" type="noConversion"/>
  </si>
  <si>
    <r>
      <rPr>
        <sz val="10"/>
        <color rgb="FF000000"/>
        <rFont val="Microsoft YaHei"/>
        <family val="2"/>
        <charset val="134"/>
      </rPr>
      <t>Elastic Beanstalk</t>
    </r>
    <phoneticPr fontId="15" type="noConversion"/>
  </si>
  <si>
    <r>
      <rPr>
        <sz val="10"/>
        <color rgb="FF000000"/>
        <rFont val="Microsoft YaHei"/>
        <family val="2"/>
        <charset val="134"/>
      </rPr>
      <t>Https</t>
    </r>
    <phoneticPr fontId="15" type="noConversion"/>
  </si>
  <si>
    <r>
      <rPr>
        <sz val="10"/>
        <color rgb="FF000000"/>
        <rFont val="Microsoft YaHei"/>
        <family val="2"/>
        <charset val="134"/>
      </rPr>
      <t>使用WordPress构筑WEB</t>
    </r>
    <phoneticPr fontId="15" type="noConversion"/>
  </si>
  <si>
    <r>
      <rPr>
        <sz val="10"/>
        <color rgb="FF000000"/>
        <rFont val="Microsoft YaHei"/>
        <family val="2"/>
        <charset val="134"/>
      </rPr>
      <t>WEB</t>
    </r>
    <phoneticPr fontId="15" type="noConversion"/>
  </si>
  <si>
    <r>
      <rPr>
        <sz val="10"/>
        <color rgb="FF000000"/>
        <rFont val="Microsoft YaHei"/>
        <family val="2"/>
        <charset val="134"/>
      </rPr>
      <t>ELB使用</t>
    </r>
    <phoneticPr fontId="15" type="noConversion"/>
  </si>
  <si>
    <r>
      <rPr>
        <sz val="10"/>
        <color rgb="FF000000"/>
        <rFont val="Microsoft YaHei"/>
        <family val="2"/>
        <charset val="134"/>
      </rPr>
      <t>EC2的使用</t>
    </r>
    <phoneticPr fontId="15" type="noConversion"/>
  </si>
  <si>
    <r>
      <rPr>
        <sz val="10"/>
        <color rgb="FF000000"/>
        <rFont val="Microsoft YaHei"/>
        <family val="2"/>
        <charset val="134"/>
      </rPr>
      <t>VPC网络</t>
    </r>
    <phoneticPr fontId="15" type="noConversion"/>
  </si>
  <si>
    <r>
      <rPr>
        <sz val="10"/>
        <color rgb="FF000000"/>
        <rFont val="Microsoft YaHei"/>
        <family val="2"/>
        <charset val="134"/>
      </rPr>
      <t>AWS SDK</t>
    </r>
    <phoneticPr fontId="15" type="noConversion"/>
  </si>
  <si>
    <r>
      <rPr>
        <sz val="10"/>
        <color rgb="FF000000"/>
        <rFont val="Microsoft YaHei"/>
        <family val="2"/>
        <charset val="134"/>
      </rPr>
      <t>AWS CLI</t>
    </r>
    <phoneticPr fontId="15" type="noConversion"/>
  </si>
  <si>
    <r>
      <rPr>
        <sz val="10"/>
        <color rgb="FF000000"/>
        <rFont val="Microsoft YaHei"/>
        <family val="2"/>
        <charset val="134"/>
      </rPr>
      <t>账号</t>
    </r>
    <phoneticPr fontId="15" type="noConversion"/>
  </si>
  <si>
    <r>
      <rPr>
        <sz val="10"/>
        <color rgb="FF000000"/>
        <rFont val="Microsoft YaHei"/>
        <family val="2"/>
        <charset val="134"/>
      </rPr>
      <t>准备工作</t>
    </r>
    <phoneticPr fontId="15" type="noConversion"/>
  </si>
  <si>
    <r>
      <rPr>
        <sz val="10"/>
        <color rgb="FF000000"/>
        <rFont val="Microsoft YaHei"/>
        <family val="2"/>
        <charset val="134"/>
      </rPr>
      <t>AWS的使用</t>
    </r>
    <phoneticPr fontId="15" type="noConversion"/>
  </si>
  <si>
    <r>
      <rPr>
        <sz val="10"/>
        <color rgb="FF000000"/>
        <rFont val="Microsoft YaHei"/>
        <family val="2"/>
        <charset val="134"/>
      </rPr>
      <t>费用计算方法</t>
    </r>
    <phoneticPr fontId="15" type="noConversion"/>
  </si>
  <si>
    <r>
      <rPr>
        <sz val="10"/>
        <color rgb="FF000000"/>
        <rFont val="Microsoft YaHei"/>
        <family val="2"/>
        <charset val="134"/>
      </rPr>
      <t>AWS费用体系</t>
    </r>
    <phoneticPr fontId="15" type="noConversion"/>
  </si>
  <si>
    <r>
      <rPr>
        <sz val="10"/>
        <color rgb="FF000000"/>
        <rFont val="Microsoft YaHei"/>
        <family val="2"/>
        <charset val="134"/>
      </rPr>
      <t>SES和SQS</t>
    </r>
    <phoneticPr fontId="15" type="noConversion"/>
  </si>
  <si>
    <r>
      <rPr>
        <sz val="10"/>
        <color rgb="FF000000"/>
        <rFont val="Microsoft YaHei"/>
        <family val="2"/>
        <charset val="134"/>
      </rPr>
      <t>应用服务</t>
    </r>
    <phoneticPr fontId="15" type="noConversion"/>
  </si>
  <si>
    <r>
      <rPr>
        <sz val="10"/>
        <color rgb="FF000000"/>
        <rFont val="Microsoft YaHei"/>
        <family val="2"/>
        <charset val="134"/>
      </rPr>
      <t>ElastCache</t>
    </r>
    <phoneticPr fontId="15" type="noConversion"/>
  </si>
  <si>
    <r>
      <rPr>
        <sz val="10"/>
        <color rgb="FF000000"/>
        <rFont val="Microsoft YaHei"/>
        <family val="2"/>
        <charset val="134"/>
      </rPr>
      <t>RDS</t>
    </r>
    <phoneticPr fontId="15" type="noConversion"/>
  </si>
  <si>
    <r>
      <rPr>
        <sz val="10"/>
        <color rgb="FF000000"/>
        <rFont val="Microsoft YaHei"/>
        <family val="2"/>
        <charset val="134"/>
      </rPr>
      <t>应用基盘服务</t>
    </r>
    <phoneticPr fontId="15" type="noConversion"/>
  </si>
  <si>
    <r>
      <rPr>
        <sz val="10"/>
        <color rgb="FF000000"/>
        <rFont val="Microsoft YaHei"/>
        <family val="2"/>
        <charset val="134"/>
      </rPr>
      <t>EBS</t>
    </r>
    <phoneticPr fontId="15" type="noConversion"/>
  </si>
  <si>
    <r>
      <rPr>
        <sz val="10"/>
        <color rgb="FF000000"/>
        <rFont val="Microsoft YaHei"/>
        <family val="2"/>
        <charset val="134"/>
      </rPr>
      <t>AWS的硬件服务</t>
    </r>
    <phoneticPr fontId="15" type="noConversion"/>
  </si>
  <si>
    <r>
      <rPr>
        <sz val="10"/>
        <color rgb="FF000000"/>
        <rFont val="Microsoft YaHei"/>
        <family val="2"/>
        <charset val="134"/>
      </rPr>
      <t>AWS网络服务</t>
    </r>
    <phoneticPr fontId="15" type="noConversion"/>
  </si>
  <si>
    <r>
      <rPr>
        <sz val="10"/>
        <color rgb="FF000000"/>
        <rFont val="Microsoft YaHei"/>
        <family val="2"/>
        <charset val="134"/>
      </rPr>
      <t>AWS认证</t>
    </r>
    <phoneticPr fontId="15" type="noConversion"/>
  </si>
  <si>
    <r>
      <rPr>
        <sz val="10"/>
        <color rgb="FF000000"/>
        <rFont val="Microsoft YaHei"/>
        <family val="2"/>
        <charset val="134"/>
      </rPr>
      <t>AWS API</t>
    </r>
    <phoneticPr fontId="15" type="noConversion"/>
  </si>
  <si>
    <r>
      <rPr>
        <sz val="10"/>
        <color rgb="FF000000"/>
        <rFont val="Microsoft YaHei"/>
        <family val="2"/>
        <charset val="134"/>
      </rPr>
      <t>基于AWS的应用的分类</t>
    </r>
    <phoneticPr fontId="15" type="noConversion"/>
  </si>
  <si>
    <r>
      <rPr>
        <sz val="10"/>
        <color rgb="FF000000"/>
        <rFont val="Microsoft YaHei"/>
        <family val="2"/>
        <charset val="134"/>
      </rPr>
      <t>AWS服务的架构</t>
    </r>
    <phoneticPr fontId="15" type="noConversion"/>
  </si>
  <si>
    <r>
      <rPr>
        <sz val="10"/>
        <color rgb="FF000000"/>
        <rFont val="Microsoft YaHei"/>
        <family val="2"/>
        <charset val="134"/>
      </rPr>
      <t>AWS服务</t>
    </r>
    <phoneticPr fontId="15" type="noConversion"/>
  </si>
  <si>
    <r>
      <rPr>
        <sz val="10"/>
        <color rgb="FF000000"/>
        <rFont val="Microsoft YaHei"/>
        <family val="2"/>
        <charset val="134"/>
      </rPr>
      <t>AWS概要</t>
    </r>
    <phoneticPr fontId="15" type="noConversion"/>
  </si>
  <si>
    <r>
      <rPr>
        <sz val="10"/>
        <color rgb="FF000000"/>
        <rFont val="Microsoft YaHei"/>
        <family val="2"/>
        <charset val="134"/>
      </rPr>
      <t>AWS基本</t>
    </r>
    <phoneticPr fontId="15" type="noConversion"/>
  </si>
  <si>
    <r>
      <rPr>
        <sz val="10"/>
        <color rgb="FF000000"/>
        <rFont val="Microsoft YaHei"/>
        <family val="2"/>
        <charset val="134"/>
      </rPr>
      <t>云服务</t>
    </r>
    <phoneticPr fontId="15" type="noConversion"/>
  </si>
  <si>
    <r>
      <rPr>
        <sz val="10"/>
        <color rgb="FF000000"/>
        <rFont val="Microsoft YaHei"/>
        <family val="2"/>
        <charset val="134"/>
      </rPr>
      <t>文本解析</t>
    </r>
    <phoneticPr fontId="15" type="noConversion"/>
  </si>
  <si>
    <r>
      <rPr>
        <sz val="10"/>
        <color rgb="FF000000"/>
        <rFont val="Microsoft YaHei"/>
        <family val="2"/>
        <charset val="134"/>
      </rPr>
      <t>Pandas/NumPy</t>
    </r>
    <phoneticPr fontId="15" type="noConversion"/>
  </si>
  <si>
    <r>
      <rPr>
        <sz val="10"/>
        <color rgb="FF000000"/>
        <rFont val="Microsoft YaHei"/>
        <family val="2"/>
        <charset val="134"/>
      </rPr>
      <t>Keras</t>
    </r>
    <phoneticPr fontId="15" type="noConversion"/>
  </si>
  <si>
    <r>
      <rPr>
        <sz val="10"/>
        <color rgb="FF000000"/>
        <rFont val="Microsoft YaHei"/>
        <family val="2"/>
        <charset val="134"/>
      </rPr>
      <t>MNIST</t>
    </r>
    <phoneticPr fontId="15" type="noConversion"/>
  </si>
  <si>
    <r>
      <rPr>
        <sz val="10"/>
        <color rgb="FF000000"/>
        <rFont val="Microsoft YaHei"/>
        <family val="2"/>
        <charset val="134"/>
      </rPr>
      <t>实践</t>
    </r>
    <phoneticPr fontId="15" type="noConversion"/>
  </si>
  <si>
    <r>
      <rPr>
        <sz val="10"/>
        <color rgb="FF000000"/>
        <rFont val="Microsoft YaHei"/>
        <family val="2"/>
        <charset val="134"/>
      </rPr>
      <t>TensorBoard</t>
    </r>
    <phoneticPr fontId="15" type="noConversion"/>
  </si>
  <si>
    <r>
      <rPr>
        <sz val="10"/>
        <rFont val="Microsoft YaHei"/>
        <family val="2"/>
        <charset val="134"/>
      </rPr>
      <t>基础</t>
    </r>
    <phoneticPr fontId="15" type="noConversion"/>
  </si>
  <si>
    <r>
      <rPr>
        <sz val="10"/>
        <color rgb="FF000000"/>
        <rFont val="Microsoft YaHei"/>
        <family val="2"/>
        <charset val="134"/>
      </rPr>
      <t>TensorFlow</t>
    </r>
    <phoneticPr fontId="15" type="noConversion"/>
  </si>
  <si>
    <r>
      <rPr>
        <sz val="10"/>
        <color rgb="FF000000"/>
        <rFont val="Microsoft YaHei"/>
        <family val="2"/>
        <charset val="134"/>
      </rPr>
      <t xml:space="preserve">
TensofFlow</t>
    </r>
    <phoneticPr fontId="15" type="noConversion"/>
  </si>
  <si>
    <r>
      <rPr>
        <sz val="10"/>
        <color rgb="FF000000"/>
        <rFont val="Microsoft YaHei"/>
        <family val="2"/>
        <charset val="134"/>
      </rPr>
      <t>深度学习基本概念</t>
    </r>
    <phoneticPr fontId="15" type="noConversion"/>
  </si>
  <si>
    <r>
      <rPr>
        <sz val="10"/>
        <color rgb="FF000000"/>
        <rFont val="Microsoft YaHei"/>
        <family val="2"/>
        <charset val="134"/>
      </rPr>
      <t>概要</t>
    </r>
    <phoneticPr fontId="15" type="noConversion"/>
  </si>
  <si>
    <r>
      <rPr>
        <sz val="10"/>
        <color rgb="FF000000"/>
        <rFont val="Microsoft YaHei"/>
        <family val="2"/>
        <charset val="134"/>
      </rPr>
      <t>深度学习</t>
    </r>
    <phoneticPr fontId="15" type="noConversion"/>
  </si>
  <si>
    <r>
      <rPr>
        <sz val="10"/>
        <color rgb="FF000000"/>
        <rFont val="Microsoft YaHei"/>
        <family val="2"/>
        <charset val="134"/>
      </rPr>
      <t>交叉验证</t>
    </r>
    <phoneticPr fontId="15" type="noConversion"/>
  </si>
  <si>
    <r>
      <rPr>
        <sz val="10"/>
        <color rgb="FF000000"/>
        <rFont val="Microsoft YaHei"/>
        <family val="2"/>
        <charset val="134"/>
      </rPr>
      <t>检证方法</t>
    </r>
    <phoneticPr fontId="15" type="noConversion"/>
  </si>
  <si>
    <r>
      <rPr>
        <sz val="10"/>
        <color rgb="FF000000"/>
        <rFont val="Microsoft YaHei"/>
        <family val="2"/>
        <charset val="134"/>
      </rPr>
      <t>随机森林</t>
    </r>
    <phoneticPr fontId="15" type="noConversion"/>
  </si>
  <si>
    <r>
      <rPr>
        <sz val="10"/>
        <color rgb="FF000000"/>
        <rFont val="Microsoft YaHei"/>
        <family val="2"/>
        <charset val="134"/>
      </rPr>
      <t>SVM</t>
    </r>
    <phoneticPr fontId="15" type="noConversion"/>
  </si>
  <si>
    <r>
      <rPr>
        <sz val="10"/>
        <color rgb="FF000000"/>
        <rFont val="Microsoft YaHei"/>
        <family val="2"/>
        <charset val="134"/>
      </rPr>
      <t>分类器</t>
    </r>
    <phoneticPr fontId="15" type="noConversion"/>
  </si>
  <si>
    <r>
      <rPr>
        <sz val="10"/>
        <color rgb="FF000000"/>
        <rFont val="Microsoft YaHei"/>
        <family val="2"/>
        <charset val="134"/>
      </rPr>
      <t>文字识别</t>
    </r>
    <phoneticPr fontId="15" type="noConversion"/>
  </si>
  <si>
    <r>
      <rPr>
        <sz val="10"/>
        <color rgb="FF000000"/>
        <rFont val="Microsoft YaHei"/>
        <family val="2"/>
        <charset val="134"/>
      </rPr>
      <t>scikit-learn</t>
    </r>
    <phoneticPr fontId="15" type="noConversion"/>
  </si>
  <si>
    <r>
      <rPr>
        <sz val="10"/>
        <color rgb="FF000000"/>
        <rFont val="Microsoft YaHei"/>
        <family val="2"/>
        <charset val="134"/>
      </rPr>
      <t>分类</t>
    </r>
    <phoneticPr fontId="15" type="noConversion"/>
  </si>
  <si>
    <r>
      <rPr>
        <sz val="10"/>
        <color rgb="FF000000"/>
        <rFont val="Microsoft YaHei"/>
        <family val="2"/>
        <charset val="134"/>
      </rPr>
      <t>机器学习的应用</t>
    </r>
    <phoneticPr fontId="15" type="noConversion"/>
  </si>
  <si>
    <r>
      <rPr>
        <sz val="10"/>
        <color rgb="FF000000"/>
        <rFont val="Microsoft YaHei"/>
        <family val="2"/>
        <charset val="134"/>
      </rPr>
      <t>机器学习的流程</t>
    </r>
    <phoneticPr fontId="15" type="noConversion"/>
  </si>
  <si>
    <r>
      <rPr>
        <sz val="10"/>
        <color rgb="FF000000"/>
        <rFont val="Microsoft YaHei"/>
        <family val="2"/>
        <charset val="134"/>
      </rPr>
      <t>机器学习的分类</t>
    </r>
    <phoneticPr fontId="15" type="noConversion"/>
  </si>
  <si>
    <r>
      <rPr>
        <sz val="10"/>
        <color rgb="FF000000"/>
        <rFont val="Microsoft YaHei"/>
        <family val="2"/>
        <charset val="134"/>
      </rPr>
      <t>回归分析</t>
    </r>
    <phoneticPr fontId="15" type="noConversion"/>
  </si>
  <si>
    <r>
      <rPr>
        <sz val="10"/>
        <color rgb="FF000000"/>
        <rFont val="Microsoft YaHei"/>
        <family val="2"/>
        <charset val="134"/>
      </rPr>
      <t>机器学习的特征</t>
    </r>
    <phoneticPr fontId="15" type="noConversion"/>
  </si>
  <si>
    <r>
      <rPr>
        <sz val="10"/>
        <color rgb="FF000000"/>
        <rFont val="Microsoft YaHei"/>
        <family val="2"/>
        <charset val="134"/>
      </rPr>
      <t>机器学习概要</t>
    </r>
    <phoneticPr fontId="15" type="noConversion"/>
  </si>
  <si>
    <r>
      <rPr>
        <sz val="10"/>
        <color rgb="FF000000"/>
        <rFont val="Microsoft YaHei"/>
        <family val="2"/>
        <charset val="134"/>
      </rPr>
      <t>机器学习</t>
    </r>
    <phoneticPr fontId="15" type="noConversion"/>
  </si>
  <si>
    <r>
      <rPr>
        <sz val="10"/>
        <color rgb="FF000000"/>
        <rFont val="Microsoft YaHei"/>
        <family val="2"/>
        <charset val="134"/>
      </rPr>
      <t>使用Docker构建Python+MySQL环境</t>
    </r>
    <phoneticPr fontId="15" type="noConversion"/>
  </si>
  <si>
    <r>
      <rPr>
        <sz val="10"/>
        <color rgb="FF000000"/>
        <rFont val="Microsoft YaHei"/>
        <family val="2"/>
        <charset val="134"/>
      </rPr>
      <t>数据库接续</t>
    </r>
    <phoneticPr fontId="15" type="noConversion"/>
  </si>
  <si>
    <r>
      <rPr>
        <sz val="10"/>
        <color rgb="FF000000"/>
        <rFont val="Microsoft YaHei"/>
        <family val="2"/>
        <charset val="134"/>
      </rPr>
      <t>数据库</t>
    </r>
    <phoneticPr fontId="15" type="noConversion"/>
  </si>
  <si>
    <r>
      <rPr>
        <sz val="10"/>
        <color rgb="FF000000"/>
        <rFont val="Microsoft YaHei"/>
        <family val="2"/>
        <charset val="134"/>
      </rPr>
      <t>Excel解析</t>
    </r>
    <phoneticPr fontId="15" type="noConversion"/>
  </si>
  <si>
    <r>
      <rPr>
        <sz val="10"/>
        <color rgb="FF000000"/>
        <rFont val="Microsoft YaHei"/>
        <family val="2"/>
        <charset val="134"/>
      </rPr>
      <t>CSV/TSV解析</t>
    </r>
    <phoneticPr fontId="15" type="noConversion"/>
  </si>
  <si>
    <r>
      <rPr>
        <sz val="10"/>
        <color rgb="FF000000"/>
        <rFont val="Microsoft YaHei"/>
        <family val="2"/>
        <charset val="134"/>
      </rPr>
      <t>YAML解析</t>
    </r>
    <phoneticPr fontId="15" type="noConversion"/>
  </si>
  <si>
    <r>
      <rPr>
        <sz val="10"/>
        <color rgb="FF000000"/>
        <rFont val="Microsoft YaHei"/>
        <family val="2"/>
        <charset val="134"/>
      </rPr>
      <t>JSON解析</t>
    </r>
    <phoneticPr fontId="15" type="noConversion"/>
  </si>
  <si>
    <r>
      <rPr>
        <sz val="10"/>
        <color rgb="FF000000"/>
        <rFont val="Microsoft YaHei"/>
        <family val="2"/>
        <charset val="134"/>
      </rPr>
      <t>XML解析</t>
    </r>
    <phoneticPr fontId="15" type="noConversion"/>
  </si>
  <si>
    <r>
      <rPr>
        <sz val="10"/>
        <color rgb="FF000000"/>
        <rFont val="Microsoft YaHei"/>
        <family val="2"/>
        <charset val="134"/>
      </rPr>
      <t>WEB数据</t>
    </r>
    <phoneticPr fontId="15" type="noConversion"/>
  </si>
  <si>
    <r>
      <rPr>
        <sz val="10"/>
        <color rgb="FF000000"/>
        <rFont val="Microsoft YaHei"/>
        <family val="2"/>
        <charset val="134"/>
      </rPr>
      <t>机器学习使用的数据结构</t>
    </r>
    <phoneticPr fontId="15" type="noConversion"/>
  </si>
  <si>
    <r>
      <rPr>
        <sz val="10"/>
        <color rgb="FF000000"/>
        <rFont val="Microsoft YaHei"/>
        <family val="2"/>
        <charset val="134"/>
      </rPr>
      <t>cron定期抓取</t>
    </r>
    <phoneticPr fontId="15" type="noConversion"/>
  </si>
  <si>
    <r>
      <rPr>
        <sz val="10"/>
        <color rgb="FF000000"/>
        <rFont val="Microsoft YaHei"/>
        <family val="2"/>
        <charset val="134"/>
      </rPr>
      <t>Selenium+Phantom</t>
    </r>
    <phoneticPr fontId="15" type="noConversion"/>
  </si>
  <si>
    <r>
      <rPr>
        <sz val="10"/>
        <color rgb="FF000000"/>
        <rFont val="Microsoft YaHei"/>
        <family val="2"/>
        <charset val="134"/>
      </rPr>
      <t>CSS与正则表现</t>
    </r>
    <phoneticPr fontId="15" type="noConversion"/>
  </si>
  <si>
    <r>
      <rPr>
        <sz val="10"/>
        <color rgb="FF000000"/>
        <rFont val="Microsoft YaHei"/>
        <family val="2"/>
        <charset val="134"/>
      </rPr>
      <t>BeautirulSoup</t>
    </r>
    <phoneticPr fontId="15" type="noConversion"/>
  </si>
  <si>
    <r>
      <rPr>
        <sz val="10"/>
        <color rgb="FF000000"/>
        <rFont val="Microsoft YaHei"/>
        <family val="2"/>
        <charset val="134"/>
      </rPr>
      <t>urllib.request</t>
    </r>
    <phoneticPr fontId="15" type="noConversion"/>
  </si>
  <si>
    <r>
      <rPr>
        <sz val="10"/>
        <color rgb="FF000000"/>
        <rFont val="Microsoft YaHei"/>
        <family val="2"/>
        <charset val="134"/>
      </rPr>
      <t>微博数据抓取</t>
    </r>
    <phoneticPr fontId="15" type="noConversion"/>
  </si>
  <si>
    <r>
      <rPr>
        <sz val="10"/>
        <color rgb="FF000000"/>
        <rFont val="Microsoft YaHei"/>
        <family val="2"/>
        <charset val="134"/>
      </rPr>
      <t>网络爬虫与数据抓取</t>
    </r>
    <phoneticPr fontId="15" type="noConversion"/>
  </si>
  <si>
    <r>
      <rPr>
        <sz val="10"/>
        <color rgb="FF000000"/>
        <rFont val="Microsoft YaHei"/>
        <family val="2"/>
        <charset val="134"/>
      </rPr>
      <t>网站开发技术</t>
    </r>
    <phoneticPr fontId="15" type="noConversion"/>
  </si>
  <si>
    <r>
      <rPr>
        <sz val="10"/>
        <color rgb="FF000000"/>
        <rFont val="Microsoft YaHei"/>
        <family val="2"/>
        <charset val="134"/>
      </rPr>
      <t>网站开发</t>
    </r>
    <phoneticPr fontId="15" type="noConversion"/>
  </si>
  <si>
    <r>
      <rPr>
        <sz val="10"/>
        <color rgb="FF000000"/>
        <rFont val="Microsoft YaHei"/>
        <family val="2"/>
        <charset val="134"/>
      </rPr>
      <t>WEB相关</t>
    </r>
    <phoneticPr fontId="15" type="noConversion"/>
  </si>
  <si>
    <r>
      <rPr>
        <sz val="12"/>
        <color rgb="FF000000"/>
        <rFont val="Microsoft YaHei"/>
        <family val="2"/>
        <charset val="134"/>
      </rPr>
      <t>主讲</t>
    </r>
    <phoneticPr fontId="15" type="noConversion"/>
  </si>
  <si>
    <r>
      <rPr>
        <sz val="12"/>
        <color rgb="FF000000"/>
        <rFont val="Microsoft YaHei"/>
        <family val="2"/>
        <charset val="134"/>
      </rPr>
      <t>课程内容</t>
    </r>
    <phoneticPr fontId="15" type="noConversion"/>
  </si>
  <si>
    <r>
      <rPr>
        <sz val="12"/>
        <color rgb="FF000000"/>
        <rFont val="Microsoft YaHei"/>
        <family val="2"/>
        <charset val="134"/>
      </rPr>
      <t>能力</t>
    </r>
    <phoneticPr fontId="15" type="noConversion"/>
  </si>
  <si>
    <r>
      <rPr>
        <sz val="12"/>
        <color rgb="FF000000"/>
        <rFont val="Microsoft YaHei"/>
        <family val="2"/>
        <charset val="134"/>
      </rPr>
      <t>子项目</t>
    </r>
    <phoneticPr fontId="15" type="noConversion"/>
  </si>
  <si>
    <r>
      <rPr>
        <sz val="12"/>
        <color rgb="FF000000"/>
        <rFont val="Microsoft YaHei"/>
        <family val="2"/>
        <charset val="134"/>
      </rPr>
      <t>项目</t>
    </r>
    <phoneticPr fontId="15" type="noConversion"/>
  </si>
  <si>
    <r>
      <rPr>
        <sz val="14"/>
        <color rgb="FF000000"/>
        <rFont val="Microsoft YaHei"/>
        <family val="2"/>
        <charset val="134"/>
      </rPr>
      <t>2月</t>
    </r>
    <phoneticPr fontId="15" type="noConversion"/>
  </si>
  <si>
    <r>
      <rPr>
        <sz val="14"/>
        <color rgb="FF000000"/>
        <rFont val="Microsoft YaHei"/>
        <family val="2"/>
        <charset val="134"/>
      </rPr>
      <t>1月</t>
    </r>
    <phoneticPr fontId="15" type="noConversion"/>
  </si>
  <si>
    <t>教学计划</t>
    <phoneticPr fontId="15" type="noConversion"/>
  </si>
  <si>
    <t>课时差额</t>
    <phoneticPr fontId="92"/>
  </si>
  <si>
    <r>
      <t>已分配</t>
    </r>
    <r>
      <rPr>
        <sz val="11"/>
        <color indexed="8"/>
        <rFont val="宋体"/>
        <family val="3"/>
        <charset val="134"/>
      </rPr>
      <t>课时</t>
    </r>
    <phoneticPr fontId="92"/>
  </si>
  <si>
    <t>计划课时</t>
    <phoneticPr fontId="92"/>
  </si>
  <si>
    <t>课程总课时</t>
    <phoneticPr fontId="92"/>
  </si>
  <si>
    <t>答辩</t>
    <phoneticPr fontId="92"/>
  </si>
  <si>
    <t>难</t>
  </si>
  <si>
    <t>实践：</t>
    <phoneticPr fontId="92"/>
  </si>
  <si>
    <r>
      <t>需求定</t>
    </r>
    <r>
      <rPr>
        <b/>
        <sz val="11"/>
        <color indexed="8"/>
        <rFont val="宋体"/>
        <family val="3"/>
        <charset val="134"/>
      </rPr>
      <t>义</t>
    </r>
    <r>
      <rPr>
        <b/>
        <sz val="11"/>
        <color indexed="8"/>
        <rFont val="宋体"/>
        <family val="3"/>
        <charset val="134"/>
      </rPr>
      <t>、模</t>
    </r>
    <r>
      <rPr>
        <b/>
        <sz val="11"/>
        <color indexed="8"/>
        <rFont val="宋体"/>
        <family val="3"/>
        <charset val="134"/>
      </rPr>
      <t>块</t>
    </r>
    <r>
      <rPr>
        <b/>
        <sz val="11"/>
        <color indexed="8"/>
        <rFont val="宋体"/>
        <family val="3"/>
        <charset val="134"/>
      </rPr>
      <t>分拆，数据定</t>
    </r>
    <r>
      <rPr>
        <b/>
        <sz val="11"/>
        <color indexed="8"/>
        <rFont val="宋体"/>
        <family val="3"/>
        <charset val="134"/>
      </rPr>
      <t>义，顺</t>
    </r>
    <r>
      <rPr>
        <b/>
        <sz val="11"/>
        <color indexed="8"/>
        <rFont val="宋体"/>
        <family val="3"/>
        <charset val="134"/>
      </rPr>
      <t>序文件</t>
    </r>
    <r>
      <rPr>
        <b/>
        <sz val="11"/>
        <color indexed="8"/>
        <rFont val="宋体"/>
        <family val="3"/>
        <charset val="134"/>
      </rPr>
      <t>读</t>
    </r>
    <r>
      <rPr>
        <b/>
        <sz val="11"/>
        <color indexed="8"/>
        <rFont val="宋体"/>
        <family val="3"/>
        <charset val="134"/>
      </rPr>
      <t>写、索引文件</t>
    </r>
    <r>
      <rPr>
        <b/>
        <sz val="11"/>
        <color indexed="8"/>
        <rFont val="宋体"/>
        <family val="3"/>
        <charset val="134"/>
      </rPr>
      <t>读写、DB2插入、检索、更新、删除，DAO设计</t>
    </r>
    <phoneticPr fontId="92"/>
  </si>
  <si>
    <r>
      <t>综</t>
    </r>
    <r>
      <rPr>
        <b/>
        <sz val="11"/>
        <color indexed="8"/>
        <rFont val="宋体"/>
        <family val="3"/>
        <charset val="134"/>
      </rPr>
      <t>合</t>
    </r>
    <r>
      <rPr>
        <b/>
        <sz val="11"/>
        <color indexed="8"/>
        <rFont val="宋体"/>
        <family val="3"/>
        <charset val="134"/>
      </rPr>
      <t>练习</t>
    </r>
    <phoneticPr fontId="92"/>
  </si>
  <si>
    <t>*</t>
    <phoneticPr fontId="92"/>
  </si>
  <si>
    <t>简单</t>
  </si>
  <si>
    <t>CICS概述</t>
    <phoneticPr fontId="92"/>
  </si>
  <si>
    <r>
      <t>zos确</t>
    </r>
    <r>
      <rPr>
        <b/>
        <sz val="11"/>
        <color indexed="8"/>
        <rFont val="宋体"/>
        <family val="3"/>
        <charset val="134"/>
      </rPr>
      <t>认</t>
    </r>
    <phoneticPr fontId="92"/>
  </si>
  <si>
    <t>客户联机控制系统</t>
    <phoneticPr fontId="92"/>
  </si>
  <si>
    <t>考试3</t>
    <phoneticPr fontId="92"/>
  </si>
  <si>
    <t>Utilities</t>
    <phoneticPr fontId="92"/>
  </si>
  <si>
    <t>Cobol运行JCL详解</t>
    <phoneticPr fontId="92"/>
  </si>
  <si>
    <t>Cobol编译JCL详解</t>
    <phoneticPr fontId="92"/>
  </si>
  <si>
    <t>JCL概述</t>
    <phoneticPr fontId="92"/>
  </si>
  <si>
    <t>作业控制语言</t>
    <phoneticPr fontId="92"/>
  </si>
  <si>
    <t>中等</t>
  </si>
  <si>
    <t>实践：DB2程序编译与运行</t>
    <phoneticPr fontId="92"/>
  </si>
  <si>
    <t>实践：DB2表访问</t>
    <phoneticPr fontId="92"/>
  </si>
  <si>
    <t>DB2操作(SPUFI)</t>
    <phoneticPr fontId="92"/>
  </si>
  <si>
    <t>SDSF基础</t>
    <phoneticPr fontId="92"/>
  </si>
  <si>
    <t>实践：COBOL编译与运行（文件版）</t>
    <phoneticPr fontId="92"/>
  </si>
  <si>
    <t>实践：COBOL编辑</t>
    <phoneticPr fontId="92"/>
  </si>
  <si>
    <t>ISPF常用操作</t>
    <phoneticPr fontId="92"/>
  </si>
  <si>
    <t>Dataset的增删改</t>
    <phoneticPr fontId="92"/>
  </si>
  <si>
    <t>TSO概述</t>
    <phoneticPr fontId="92"/>
  </si>
  <si>
    <t>Zos基本操作</t>
    <phoneticPr fontId="92"/>
  </si>
  <si>
    <t>考试2</t>
    <phoneticPr fontId="92"/>
  </si>
  <si>
    <t>结合测试</t>
    <phoneticPr fontId="92"/>
  </si>
  <si>
    <t>SaaS系统的实现</t>
    <phoneticPr fontId="92"/>
  </si>
  <si>
    <t>单体测试练习</t>
    <phoneticPr fontId="92"/>
  </si>
  <si>
    <t>单体测试设计书</t>
    <phoneticPr fontId="92"/>
  </si>
  <si>
    <r>
      <t>测试用例设计</t>
    </r>
    <r>
      <rPr>
        <sz val="11"/>
        <color theme="1"/>
        <rFont val="等线"/>
        <family val="3"/>
        <charset val="134"/>
        <scheme val="minor"/>
      </rPr>
      <t>原</t>
    </r>
    <r>
      <rPr>
        <sz val="11"/>
        <color indexed="8"/>
        <rFont val="宋体"/>
        <family val="3"/>
        <charset val="134"/>
      </rPr>
      <t>则</t>
    </r>
    <r>
      <rPr>
        <sz val="11"/>
        <color theme="1"/>
        <rFont val="等线"/>
        <family val="3"/>
        <charset val="134"/>
        <scheme val="minor"/>
      </rPr>
      <t>与方法</t>
    </r>
    <phoneticPr fontId="92"/>
  </si>
  <si>
    <t>单体测试基本概念</t>
    <phoneticPr fontId="92"/>
  </si>
  <si>
    <t>Testing相关</t>
    <phoneticPr fontId="92"/>
  </si>
  <si>
    <t>系统模块的详细设计</t>
    <phoneticPr fontId="92"/>
  </si>
  <si>
    <t>系统的数据流分析与模块封装</t>
    <phoneticPr fontId="92"/>
  </si>
  <si>
    <t>银行会计业务数据库设计</t>
    <phoneticPr fontId="92"/>
  </si>
  <si>
    <t>系统账户数据库设计</t>
    <phoneticPr fontId="92"/>
  </si>
  <si>
    <t>检索、插入、更新、删除</t>
    <phoneticPr fontId="92"/>
  </si>
  <si>
    <t>项目实践</t>
    <phoneticPr fontId="92"/>
  </si>
  <si>
    <t>DAO程序设计</t>
    <phoneticPr fontId="92"/>
  </si>
  <si>
    <t>游标定义、打开、遍历、关闭</t>
    <phoneticPr fontId="92"/>
  </si>
  <si>
    <t>SQL语句：查询、更新、插入、删除、确认与回滚处理</t>
  </si>
  <si>
    <t>连结数据库的方法（PC开发）</t>
    <phoneticPr fontId="92"/>
  </si>
  <si>
    <t>SQL变量的定义</t>
    <phoneticPr fontId="92"/>
  </si>
  <si>
    <t>数据库访问程序设计之Cobol</t>
    <phoneticPr fontId="92"/>
  </si>
  <si>
    <t>存储过程及触发器</t>
    <phoneticPr fontId="92"/>
  </si>
  <si>
    <t>数据对象</t>
    <phoneticPr fontId="92"/>
  </si>
  <si>
    <t>基本SQL——查询</t>
    <phoneticPr fontId="92"/>
  </si>
  <si>
    <t>基本SQL——增删改</t>
    <phoneticPr fontId="92"/>
  </si>
  <si>
    <t>数据库表关系与设计基础</t>
    <phoneticPr fontId="92"/>
  </si>
  <si>
    <t>数据库基本概念</t>
    <phoneticPr fontId="92"/>
  </si>
  <si>
    <t>数据库原理相关知识</t>
    <phoneticPr fontId="92"/>
  </si>
  <si>
    <r>
      <t>PC版</t>
    </r>
    <r>
      <rPr>
        <b/>
        <sz val="11"/>
        <color indexed="8"/>
        <rFont val="宋体"/>
        <family val="3"/>
        <charset val="134"/>
      </rPr>
      <t>编译器，i5以上CPU，4G以上内存，硬盘80G以上可用空间</t>
    </r>
    <phoneticPr fontId="92"/>
  </si>
  <si>
    <t>数据库（DB2）程序设计</t>
    <phoneticPr fontId="92"/>
  </si>
  <si>
    <t>实践：文件操作</t>
    <phoneticPr fontId="92"/>
  </si>
  <si>
    <t>PL/I文件操作</t>
    <phoneticPr fontId="92"/>
  </si>
  <si>
    <t>实践：九九乘法表</t>
    <phoneticPr fontId="92"/>
  </si>
  <si>
    <t>PL/I逻辑语句</t>
    <phoneticPr fontId="92"/>
  </si>
  <si>
    <t>PL/I概述</t>
    <phoneticPr fontId="92"/>
  </si>
  <si>
    <t>程序设计语言之PL/I</t>
    <phoneticPr fontId="92"/>
  </si>
  <si>
    <t>考试1</t>
    <phoneticPr fontId="92"/>
  </si>
  <si>
    <t>项目实践：统计报表</t>
    <phoneticPr fontId="92"/>
  </si>
  <si>
    <t>项目实践：会计分录</t>
    <phoneticPr fontId="92"/>
  </si>
  <si>
    <t>项目实践：系统设计</t>
    <phoneticPr fontId="92"/>
  </si>
  <si>
    <t>内部函数概述</t>
    <phoneticPr fontId="92"/>
  </si>
  <si>
    <t>稍难</t>
  </si>
  <si>
    <t>合并</t>
    <phoneticPr fontId="92"/>
  </si>
  <si>
    <t>排序</t>
    <phoneticPr fontId="92"/>
  </si>
  <si>
    <t>中等</t>
    <phoneticPr fontId="92"/>
  </si>
  <si>
    <t>文件</t>
    <phoneticPr fontId="92"/>
  </si>
  <si>
    <t>使用表存储、过程</t>
    <phoneticPr fontId="92"/>
  </si>
  <si>
    <r>
      <t>实</t>
    </r>
    <r>
      <rPr>
        <sz val="11"/>
        <color indexed="8"/>
        <rFont val="宋体"/>
        <family val="3"/>
        <charset val="134"/>
      </rPr>
      <t>践：九九乘法表</t>
    </r>
    <phoneticPr fontId="92"/>
  </si>
  <si>
    <r>
      <t>表与</t>
    </r>
    <r>
      <rPr>
        <sz val="11"/>
        <color indexed="8"/>
        <rFont val="宋体"/>
        <family val="3"/>
        <charset val="134"/>
      </rPr>
      <t>检</t>
    </r>
    <r>
      <rPr>
        <sz val="11"/>
        <color indexed="8"/>
        <rFont val="宋体"/>
        <family val="3"/>
        <charset val="134"/>
      </rPr>
      <t>索</t>
    </r>
    <phoneticPr fontId="92"/>
  </si>
  <si>
    <r>
      <t>过</t>
    </r>
    <r>
      <rPr>
        <sz val="11"/>
        <color indexed="8"/>
        <rFont val="宋体"/>
        <family val="3"/>
        <charset val="134"/>
      </rPr>
      <t>程</t>
    </r>
    <phoneticPr fontId="92"/>
  </si>
  <si>
    <t>逻辑语句进阶——循环</t>
    <phoneticPr fontId="92"/>
  </si>
  <si>
    <t>逻辑语句进阶——判断</t>
    <phoneticPr fontId="92"/>
  </si>
  <si>
    <r>
      <t>字符串</t>
    </r>
    <r>
      <rPr>
        <sz val="11"/>
        <color indexed="8"/>
        <rFont val="宋体"/>
        <family val="3"/>
        <charset val="134"/>
      </rPr>
      <t>处</t>
    </r>
    <r>
      <rPr>
        <sz val="11"/>
        <color indexed="8"/>
        <rFont val="宋体"/>
        <family val="3"/>
        <charset val="134"/>
      </rPr>
      <t>理</t>
    </r>
    <phoneticPr fontId="92"/>
  </si>
  <si>
    <t>程序：2个文件数据匹配处理
功能描述：读顺序文件，然后检索索引文件，找到相应的记录，如数据库中有，则进行出力记录的编辑并输出，全部记录处理完毕后输出处理日志
处理请参照下图
文件各字段自行设计（字段不宜过长），入力索引文件自行写代码生成</t>
    <phoneticPr fontId="92"/>
  </si>
  <si>
    <t>匹配处理</t>
  </si>
  <si>
    <t>抽出处理</t>
    <phoneticPr fontId="92"/>
  </si>
  <si>
    <t>读、追加、更新、删除</t>
    <phoneticPr fontId="92"/>
  </si>
  <si>
    <t>实践：相对文件操作</t>
    <phoneticPr fontId="92"/>
  </si>
  <si>
    <t>实践：索引文件操作</t>
    <phoneticPr fontId="92"/>
  </si>
  <si>
    <t>相对文件</t>
  </si>
  <si>
    <t>索引文件</t>
  </si>
  <si>
    <r>
      <t>读</t>
    </r>
    <r>
      <rPr>
        <sz val="11"/>
        <color indexed="8"/>
        <rFont val="宋体"/>
        <family val="3"/>
        <charset val="134"/>
      </rPr>
      <t>、写</t>
    </r>
    <phoneticPr fontId="92"/>
  </si>
  <si>
    <t>实践：顺序文件操作</t>
    <phoneticPr fontId="92"/>
  </si>
  <si>
    <t>顺序文件</t>
  </si>
  <si>
    <t>文件概念</t>
  </si>
  <si>
    <r>
      <t>编译</t>
    </r>
    <r>
      <rPr>
        <sz val="11"/>
        <color indexed="8"/>
        <rFont val="宋体"/>
        <family val="3"/>
        <charset val="134"/>
      </rPr>
      <t>器使用方法，</t>
    </r>
    <r>
      <rPr>
        <sz val="11"/>
        <color theme="1"/>
        <rFont val="等线"/>
        <family val="3"/>
        <charset val="134"/>
        <scheme val="minor"/>
      </rPr>
      <t>控制台</t>
    </r>
    <r>
      <rPr>
        <sz val="11"/>
        <color indexed="8"/>
        <rFont val="宋体"/>
        <family val="3"/>
        <charset val="134"/>
      </rPr>
      <t>输</t>
    </r>
    <r>
      <rPr>
        <sz val="11"/>
        <color theme="1"/>
        <rFont val="等线"/>
        <family val="3"/>
        <charset val="134"/>
        <scheme val="minor"/>
      </rPr>
      <t>出，程序：九九乘法表
功能描述：</t>
    </r>
    <r>
      <rPr>
        <sz val="11"/>
        <color indexed="8"/>
        <rFont val="宋体"/>
        <family val="3"/>
        <charset val="134"/>
      </rPr>
      <t>实现结</t>
    </r>
    <r>
      <rPr>
        <sz val="11"/>
        <color theme="1"/>
        <rFont val="等线"/>
        <family val="3"/>
        <charset val="134"/>
        <scheme val="minor"/>
      </rPr>
      <t>果如下</t>
    </r>
    <r>
      <rPr>
        <sz val="11"/>
        <color indexed="8"/>
        <rFont val="宋体"/>
        <family val="3"/>
        <charset val="134"/>
      </rPr>
      <t xml:space="preserve">图
</t>
    </r>
    <r>
      <rPr>
        <sz val="11"/>
        <color theme="1"/>
        <rFont val="等线"/>
        <family val="3"/>
        <charset val="134"/>
        <scheme val="minor"/>
      </rPr>
      <t>1*1= 1
2*1= 2 2*2= 4
3*1= 3 3*2= 6 3*3= 9
4*1= 4 4*2= 8 4*3=12 4*4=16
略
第1本：用IF-Go to</t>
    </r>
    <r>
      <rPr>
        <sz val="11"/>
        <color indexed="8"/>
        <rFont val="宋体"/>
        <family val="3"/>
        <charset val="134"/>
      </rPr>
      <t xml:space="preserve">实现
</t>
    </r>
    <r>
      <rPr>
        <sz val="11"/>
        <color theme="1"/>
        <rFont val="等线"/>
        <family val="3"/>
        <charset val="134"/>
        <scheme val="minor"/>
      </rPr>
      <t>第2本：用Perform times</t>
    </r>
    <r>
      <rPr>
        <sz val="11"/>
        <color indexed="8"/>
        <rFont val="宋体"/>
        <family val="3"/>
        <charset val="134"/>
      </rPr>
      <t xml:space="preserve">实现
</t>
    </r>
    <r>
      <rPr>
        <sz val="11"/>
        <color theme="1"/>
        <rFont val="等线"/>
        <family val="3"/>
        <charset val="134"/>
        <scheme val="minor"/>
      </rPr>
      <t>第3本：用Perform Until</t>
    </r>
    <r>
      <rPr>
        <sz val="11"/>
        <color indexed="8"/>
        <rFont val="宋体"/>
        <family val="3"/>
        <charset val="134"/>
      </rPr>
      <t xml:space="preserve">实现
</t>
    </r>
    <r>
      <rPr>
        <sz val="11"/>
        <color theme="1"/>
        <rFont val="等线"/>
        <family val="3"/>
        <charset val="134"/>
        <scheme val="minor"/>
      </rPr>
      <t>第4本：用有双循</t>
    </r>
    <r>
      <rPr>
        <sz val="11"/>
        <color indexed="8"/>
        <rFont val="宋体"/>
        <family val="3"/>
        <charset val="134"/>
      </rPr>
      <t>环变</t>
    </r>
    <r>
      <rPr>
        <sz val="11"/>
        <color theme="1"/>
        <rFont val="等线"/>
        <family val="3"/>
        <charset val="134"/>
        <scheme val="minor"/>
      </rPr>
      <t>量的Perform</t>
    </r>
    <r>
      <rPr>
        <sz val="11"/>
        <color indexed="8"/>
        <rFont val="宋体"/>
        <family val="3"/>
        <charset val="134"/>
      </rPr>
      <t xml:space="preserve">实现
</t>
    </r>
    <r>
      <rPr>
        <sz val="11"/>
        <color theme="1"/>
        <rFont val="等线"/>
        <family val="3"/>
        <charset val="134"/>
        <scheme val="minor"/>
      </rPr>
      <t>第5本：子程序
第6本：用表存</t>
    </r>
    <r>
      <rPr>
        <sz val="11"/>
        <color indexed="8"/>
        <rFont val="宋体"/>
        <family val="3"/>
        <charset val="134"/>
      </rPr>
      <t>储</t>
    </r>
    <r>
      <rPr>
        <sz val="11"/>
        <color theme="1"/>
        <rFont val="等线"/>
        <family val="3"/>
        <charset val="134"/>
        <scheme val="minor"/>
      </rPr>
      <t>99表</t>
    </r>
    <phoneticPr fontId="92"/>
  </si>
  <si>
    <t>课堂与作业：九九乘法表</t>
    <phoneticPr fontId="92"/>
  </si>
  <si>
    <t>表处理</t>
    <phoneticPr fontId="92"/>
  </si>
  <si>
    <t>子程序</t>
    <phoneticPr fontId="92"/>
  </si>
  <si>
    <t>循环处理</t>
    <phoneticPr fontId="92"/>
  </si>
  <si>
    <t>逻辑判断</t>
    <phoneticPr fontId="92"/>
  </si>
  <si>
    <t>计算</t>
    <phoneticPr fontId="92"/>
  </si>
  <si>
    <r>
      <t>数据定</t>
    </r>
    <r>
      <rPr>
        <sz val="11"/>
        <color indexed="8"/>
        <rFont val="宋体"/>
        <family val="3"/>
        <charset val="134"/>
      </rPr>
      <t>义</t>
    </r>
    <phoneticPr fontId="92"/>
  </si>
  <si>
    <t>输入输出语句</t>
    <phoneticPr fontId="92"/>
  </si>
  <si>
    <t>基本概念</t>
    <phoneticPr fontId="92"/>
  </si>
  <si>
    <t>程序设计语言之Cobol</t>
    <phoneticPr fontId="92"/>
  </si>
  <si>
    <t>示例程序操作</t>
    <phoneticPr fontId="92"/>
  </si>
  <si>
    <t>编译器的了解与使用</t>
    <phoneticPr fontId="92"/>
  </si>
  <si>
    <t>会计分录文件形式存储的实现</t>
    <phoneticPr fontId="92"/>
  </si>
  <si>
    <t>会计分录数据定义</t>
    <phoneticPr fontId="92"/>
  </si>
  <si>
    <t>数据定义</t>
    <phoneticPr fontId="92"/>
  </si>
  <si>
    <t>文件的操作</t>
    <phoneticPr fontId="92"/>
  </si>
  <si>
    <t>文件类型</t>
    <phoneticPr fontId="92"/>
  </si>
  <si>
    <t>文件存储</t>
    <phoneticPr fontId="92"/>
  </si>
  <si>
    <t>99乘法表的算法实现</t>
    <phoneticPr fontId="92"/>
  </si>
  <si>
    <t>三种基本结构流程图</t>
    <phoneticPr fontId="92"/>
  </si>
  <si>
    <t>程序设计三种基本结构</t>
    <phoneticPr fontId="92"/>
  </si>
  <si>
    <t>复试记账法</t>
    <phoneticPr fontId="92"/>
  </si>
  <si>
    <t>会计分录</t>
    <phoneticPr fontId="92"/>
  </si>
  <si>
    <t>会计学基本原理介绍</t>
    <phoneticPr fontId="92"/>
  </si>
  <si>
    <t>微型银行业务算法设计</t>
    <phoneticPr fontId="92"/>
  </si>
  <si>
    <t>程序设计语言概述</t>
    <phoneticPr fontId="92"/>
  </si>
  <si>
    <t>备注</t>
    <phoneticPr fontId="92"/>
  </si>
  <si>
    <t>事前准备</t>
    <phoneticPr fontId="92"/>
  </si>
  <si>
    <t>CASE</t>
    <phoneticPr fontId="92"/>
  </si>
  <si>
    <t>PAGE</t>
    <phoneticPr fontId="92"/>
  </si>
  <si>
    <t>实施日期</t>
    <phoneticPr fontId="92"/>
  </si>
  <si>
    <t>计划日期</t>
    <phoneticPr fontId="92"/>
  </si>
  <si>
    <t>实际</t>
    <phoneticPr fontId="92"/>
  </si>
  <si>
    <r>
      <t>计</t>
    </r>
    <r>
      <rPr>
        <sz val="11"/>
        <color indexed="8"/>
        <rFont val="宋体"/>
        <family val="3"/>
        <charset val="134"/>
      </rPr>
      <t>划</t>
    </r>
    <phoneticPr fontId="92"/>
  </si>
  <si>
    <t>时长(分钟)</t>
    <phoneticPr fontId="92"/>
  </si>
  <si>
    <t>难度</t>
    <phoneticPr fontId="92"/>
  </si>
  <si>
    <t>课程名称</t>
    <phoneticPr fontId="92"/>
  </si>
  <si>
    <t>课次</t>
    <phoneticPr fontId="92"/>
  </si>
  <si>
    <t>序号</t>
    <phoneticPr fontId="92"/>
  </si>
  <si>
    <t>项目总结</t>
    <phoneticPr fontId="28" type="noConversion"/>
  </si>
  <si>
    <t>上线</t>
    <phoneticPr fontId="28" type="noConversion"/>
  </si>
  <si>
    <t>测试</t>
    <phoneticPr fontId="28" type="noConversion"/>
  </si>
  <si>
    <t>编码</t>
    <phoneticPr fontId="28" type="noConversion"/>
  </si>
  <si>
    <t>详细设计</t>
    <phoneticPr fontId="28" type="noConversion"/>
  </si>
  <si>
    <t>概要设计</t>
    <phoneticPr fontId="28" type="noConversion"/>
  </si>
  <si>
    <t>需求分析</t>
    <phoneticPr fontId="28" type="noConversion"/>
  </si>
  <si>
    <t>业务理解</t>
    <phoneticPr fontId="28" type="noConversion"/>
  </si>
  <si>
    <t>项目启动</t>
    <phoneticPr fontId="28" type="noConversion"/>
  </si>
  <si>
    <t>大型项目内部人员的协同工作</t>
    <phoneticPr fontId="28" type="noConversion"/>
  </si>
  <si>
    <t>了解应用开发项目的完整过程</t>
    <phoneticPr fontId="28" type="noConversion"/>
  </si>
  <si>
    <t>培训内容：</t>
    <phoneticPr fontId="28" type="noConversion"/>
  </si>
  <si>
    <t>Dummy Project</t>
    <phoneticPr fontId="28" type="noConversion"/>
  </si>
  <si>
    <t>SQLCA的介绍</t>
    <phoneticPr fontId="28" type="noConversion"/>
  </si>
  <si>
    <t>DCL数据控制语言</t>
    <phoneticPr fontId="28" type="noConversion"/>
  </si>
  <si>
    <t>DDL数据定义语言</t>
    <phoneticPr fontId="28" type="noConversion"/>
  </si>
  <si>
    <t>DML数据操作语言</t>
    <phoneticPr fontId="28" type="noConversion"/>
  </si>
  <si>
    <t>BD2在COBOL中的应用</t>
    <phoneticPr fontId="28" type="noConversion"/>
  </si>
  <si>
    <t>DB2数据库系统简介</t>
    <phoneticPr fontId="28" type="noConversion"/>
  </si>
  <si>
    <t>DB2</t>
    <phoneticPr fontId="28" type="noConversion"/>
  </si>
  <si>
    <t>CICS and Operating System</t>
    <phoneticPr fontId="28" type="noConversion"/>
  </si>
  <si>
    <t>CICS and Application Program</t>
    <phoneticPr fontId="28" type="noConversion"/>
  </si>
  <si>
    <t>CICS</t>
    <phoneticPr fontId="28" type="noConversion"/>
  </si>
  <si>
    <t>Control Blocks</t>
    <phoneticPr fontId="28" type="noConversion"/>
  </si>
  <si>
    <t>Control Tables.</t>
    <phoneticPr fontId="28" type="noConversion"/>
  </si>
  <si>
    <t>Management Modules.</t>
    <phoneticPr fontId="28" type="noConversion"/>
  </si>
  <si>
    <t>Use IDCAMS</t>
    <phoneticPr fontId="28" type="noConversion"/>
  </si>
  <si>
    <t>VSAM in Cobol</t>
    <phoneticPr fontId="28" type="noConversion"/>
  </si>
  <si>
    <t>VSAM数据集的访问方法，文件结构及管理</t>
    <phoneticPr fontId="28" type="noConversion"/>
  </si>
  <si>
    <t>VSAM Fundamental</t>
    <phoneticPr fontId="28" type="noConversion"/>
  </si>
  <si>
    <t>Introduce to Utilities</t>
    <phoneticPr fontId="28" type="noConversion"/>
  </si>
  <si>
    <t>DD Parameters</t>
    <phoneticPr fontId="28" type="noConversion"/>
  </si>
  <si>
    <t>JOB,EXEC, DD Statements</t>
    <phoneticPr fontId="28" type="noConversion"/>
  </si>
  <si>
    <t>Introduction to JCL</t>
    <phoneticPr fontId="28" type="noConversion"/>
  </si>
  <si>
    <t>Data Organization</t>
    <phoneticPr fontId="28" type="noConversion"/>
  </si>
  <si>
    <t>MVS JCL and Utilities</t>
    <phoneticPr fontId="28" type="noConversion"/>
  </si>
  <si>
    <t>COBOL的编译、连接、测试和调试等</t>
    <phoneticPr fontId="28" type="noConversion"/>
  </si>
  <si>
    <t>COBOL中文件的使用</t>
    <phoneticPr fontId="28" type="noConversion"/>
  </si>
  <si>
    <t>COBOL程序结构</t>
    <phoneticPr fontId="28" type="noConversion"/>
  </si>
  <si>
    <t>COBOL语言特点</t>
    <phoneticPr fontId="28" type="noConversion"/>
  </si>
  <si>
    <t>COBOL基本语法</t>
    <phoneticPr fontId="28" type="noConversion"/>
  </si>
  <si>
    <t>VS-COBOL</t>
    <phoneticPr fontId="28" type="noConversion"/>
  </si>
  <si>
    <t>ISPF/PDF With TSO/E</t>
    <phoneticPr fontId="28" type="noConversion"/>
  </si>
  <si>
    <t>任务管理、输入输出进程、RACF、SDSF、SMS、JES2系统等概念。</t>
    <phoneticPr fontId="28" type="noConversion"/>
  </si>
  <si>
    <t xml:space="preserve">  描述mainframe的历史、优势和基本概念；解释mainframe操作系统下的系统管理、存储管理、</t>
    <phoneticPr fontId="28" type="noConversion"/>
  </si>
  <si>
    <t>IBM MAINFRAME CONCEPT</t>
    <phoneticPr fontId="28" type="noConversion"/>
  </si>
  <si>
    <t>IBM-ETP Mainframe课程纲要</t>
    <phoneticPr fontId="28" type="noConversion"/>
  </si>
  <si>
    <t>Windows8 X64，Office2013，VMWare10 X64</t>
    <phoneticPr fontId="2" type="noConversion"/>
  </si>
  <si>
    <t>i5以上CPU，4G以上内存，推荐8G内存，硬盘120G以上可用空间</t>
    <phoneticPr fontId="2" type="noConversion"/>
  </si>
  <si>
    <t>硬件配置</t>
    <phoneticPr fontId="2" type="noConversion"/>
  </si>
  <si>
    <t>熟练使用Office 2013、VMWare</t>
    <phoneticPr fontId="2" type="noConversion"/>
  </si>
  <si>
    <t>有问题及时反馈，严谨制造舆论</t>
    <phoneticPr fontId="2" type="noConversion"/>
  </si>
  <si>
    <t>按要求提周报</t>
    <phoneticPr fontId="2" type="noConversion"/>
  </si>
  <si>
    <t>按要求交作业</t>
    <phoneticPr fontId="2" type="noConversion"/>
  </si>
  <si>
    <t>自备铅笔和多色修改用笔，A4白纸500张以上，每次课结束时上交课堂练习</t>
    <phoneticPr fontId="2" type="noConversion"/>
  </si>
  <si>
    <t>学生60名，要求：</t>
    <phoneticPr fontId="2" type="noConversion"/>
  </si>
  <si>
    <t>日报整理，每日成绩反馈</t>
    <phoneticPr fontId="2" type="noConversion"/>
  </si>
  <si>
    <t>作业收发，日常收作业压缩包，授课结束，收课堂练习纸</t>
    <phoneticPr fontId="2" type="noConversion"/>
  </si>
  <si>
    <t>考勤，遵守时间</t>
    <phoneticPr fontId="2" type="noConversion"/>
  </si>
  <si>
    <t>2名校方日常管理人员（含张晓芳），职责：</t>
    <phoneticPr fontId="2" type="noConversion"/>
  </si>
  <si>
    <t>专用教室1间，70人座位</t>
    <phoneticPr fontId="2" type="noConversion"/>
  </si>
  <si>
    <t>第17周</t>
  </si>
  <si>
    <t>第16周</t>
  </si>
  <si>
    <t>第15周</t>
  </si>
  <si>
    <t>第14周</t>
  </si>
  <si>
    <t>第13周</t>
  </si>
  <si>
    <t>第12周</t>
  </si>
  <si>
    <t>第11周</t>
  </si>
  <si>
    <t>第10周</t>
  </si>
  <si>
    <t>db2</t>
    <phoneticPr fontId="23" type="noConversion"/>
  </si>
  <si>
    <t>第9周</t>
  </si>
  <si>
    <t>第8周</t>
  </si>
  <si>
    <t>cobol</t>
    <phoneticPr fontId="23" type="noConversion"/>
  </si>
  <si>
    <t>第7周</t>
  </si>
  <si>
    <t>第6周</t>
  </si>
  <si>
    <t>第5周</t>
  </si>
  <si>
    <t>第4周</t>
    <phoneticPr fontId="23" type="noConversion"/>
  </si>
  <si>
    <t>星期日</t>
  </si>
  <si>
    <t>星期六</t>
  </si>
  <si>
    <t>星期五</t>
  </si>
  <si>
    <t>星期四</t>
  </si>
  <si>
    <t>星期三</t>
  </si>
  <si>
    <t>星期二</t>
  </si>
  <si>
    <t>星期一</t>
    <phoneticPr fontId="23" type="noConversion"/>
  </si>
  <si>
    <t>座位表</t>
    <phoneticPr fontId="23" type="noConversion"/>
  </si>
  <si>
    <t>5组</t>
    <phoneticPr fontId="23" type="noConversion"/>
  </si>
  <si>
    <t>1组</t>
    <phoneticPr fontId="23" type="noConversion"/>
  </si>
  <si>
    <t>2组</t>
    <phoneticPr fontId="23" type="noConversion"/>
  </si>
  <si>
    <t>7组</t>
    <phoneticPr fontId="23" type="noConversion"/>
  </si>
  <si>
    <t>3组</t>
    <phoneticPr fontId="23" type="noConversion"/>
  </si>
  <si>
    <t>6组</t>
    <phoneticPr fontId="23" type="noConversion"/>
  </si>
  <si>
    <t>4组</t>
    <phoneticPr fontId="23" type="noConversion"/>
  </si>
  <si>
    <t>8组</t>
    <phoneticPr fontId="23" type="noConversion"/>
  </si>
  <si>
    <t>software</t>
    <phoneticPr fontId="4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</si>
</sst>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7" formatCode="&quot;¥&quot;#,##0.00;&quot;¥&quot;\-#,##0.00"/>
    <numFmt numFmtId="176" formatCode="yyyy/m/d\ h:mm:ss"/>
    <numFmt numFmtId="177" formatCode="&quot;¥&quot;#,##0.00;[Red]\-&quot;¥&quot;#,##0.00"/>
    <numFmt numFmtId="178" formatCode="h:mm;@"/>
    <numFmt numFmtId="179" formatCode="[$-804]yyyy/mm/ddaaaa;@"/>
    <numFmt numFmtId="180" formatCode="yyyy&quot;年&quot;m&quot;月&quot;;@"/>
    <numFmt numFmtId="181" formatCode="0_);[Red]\(0\)"/>
    <numFmt numFmtId="182" formatCode="yyyy\-m\-d\ hh:mm:ss"/>
    <numFmt numFmtId="183" formatCode="yyyy/m/d\ aaa"/>
    <numFmt numFmtId="184" formatCode="yyyy/mm/dd\ aaa\ hh:mm:ss"/>
    <numFmt numFmtId="185" formatCode="0.00_ ;[Red]\-0.00\ "/>
    <numFmt numFmtId="186" formatCode="yy/m/d"/>
  </numFmts>
  <fonts count="108">
    <font>
      <sz val="11"/>
      <color theme="1"/>
      <name val="等线"/>
      <family val="2"/>
      <scheme val="minor"/>
    </font>
    <font>
      <sz val="11"/>
      <color theme="1"/>
      <name val="等线"/>
      <family val="2"/>
      <charset val="134"/>
      <scheme val="minor"/>
    </font>
    <font>
      <sz val="9"/>
      <name val="等线"/>
      <family val="3"/>
      <charset val="134"/>
      <scheme val="minor"/>
    </font>
    <font>
      <sz val="6"/>
      <name val="等线"/>
      <family val="3"/>
      <charset val="128"/>
      <scheme val="minor"/>
    </font>
    <font>
      <sz val="11"/>
      <color theme="1"/>
      <name val="宋体"/>
      <family val="3"/>
      <charset val="134"/>
    </font>
    <font>
      <sz val="11"/>
      <color theme="1"/>
      <name val="微软雅黑"/>
      <family val="2"/>
      <charset val="134"/>
    </font>
    <font>
      <sz val="11"/>
      <color theme="1"/>
      <name val="宋体"/>
      <family val="2"/>
      <charset val="128"/>
    </font>
    <font>
      <sz val="11"/>
      <color theme="1"/>
      <name val="Yu Gothic"/>
      <family val="2"/>
      <charset val="128"/>
    </font>
    <font>
      <sz val="11"/>
      <color theme="1"/>
      <name val="宋体"/>
      <family val="2"/>
      <charset val="134"/>
    </font>
    <font>
      <sz val="11"/>
      <color theme="1"/>
      <name val="等线"/>
      <family val="2"/>
      <scheme val="minor"/>
    </font>
    <font>
      <sz val="11"/>
      <color theme="1"/>
      <name val="Calibri"/>
      <family val="2"/>
    </font>
    <font>
      <sz val="11"/>
      <color theme="1"/>
      <name val="微软雅黑"/>
      <family val="2"/>
      <charset val="128"/>
    </font>
    <font>
      <sz val="12"/>
      <color theme="1"/>
      <name val="等线"/>
      <family val="3"/>
      <charset val="128"/>
      <scheme val="minor"/>
    </font>
    <font>
      <sz val="10"/>
      <color rgb="FF000000"/>
      <name val="微软雅黑"/>
      <family val="2"/>
      <charset val="134"/>
    </font>
    <font>
      <sz val="11"/>
      <color theme="1"/>
      <name val="MS UI Gothic"/>
      <family val="2"/>
      <charset val="128"/>
    </font>
    <font>
      <sz val="12"/>
      <color theme="1"/>
      <name val="微软雅黑"/>
      <family val="2"/>
    </font>
    <font>
      <sz val="10"/>
      <color rgb="FF000000"/>
      <name val="Microsoft YaHei"/>
      <family val="2"/>
      <charset val="134"/>
    </font>
    <font>
      <sz val="10"/>
      <name val="Microsoft YaHei"/>
      <family val="2"/>
      <charset val="134"/>
    </font>
    <font>
      <sz val="12"/>
      <name val="宋体"/>
      <family val="3"/>
      <charset val="134"/>
    </font>
    <font>
      <sz val="10.5"/>
      <color theme="1"/>
      <name val="等线"/>
      <family val="3"/>
      <charset val="134"/>
      <scheme val="minor"/>
    </font>
    <font>
      <sz val="10.5"/>
      <color theme="1"/>
      <name val="Segoe UI Symbol"/>
      <family val="2"/>
    </font>
    <font>
      <sz val="10"/>
      <name val="Arial"/>
      <family val="2"/>
    </font>
    <font>
      <sz val="10"/>
      <name val="宋体"/>
      <family val="3"/>
      <charset val="134"/>
    </font>
    <font>
      <sz val="9"/>
      <name val="宋体"/>
      <family val="3"/>
      <charset val="134"/>
    </font>
    <font>
      <sz val="10"/>
      <name val="Arial"/>
      <family val="3"/>
      <charset val="128"/>
    </font>
    <font>
      <sz val="10"/>
      <name val="MS Gothic"/>
      <family val="3"/>
      <charset val="128"/>
    </font>
    <font>
      <sz val="10"/>
      <name val="HGGothicE"/>
      <family val="3"/>
      <charset val="128"/>
    </font>
    <font>
      <sz val="11"/>
      <color theme="1"/>
      <name val="等线"/>
      <family val="3"/>
      <charset val="128"/>
      <scheme val="minor"/>
    </font>
    <font>
      <sz val="9"/>
      <name val="等线"/>
      <family val="3"/>
      <charset val="128"/>
      <scheme val="minor"/>
    </font>
    <font>
      <sz val="11"/>
      <color theme="1"/>
      <name val="等线"/>
      <family val="3"/>
      <charset val="134"/>
      <scheme val="minor"/>
    </font>
    <font>
      <u/>
      <sz val="11"/>
      <color theme="10"/>
      <name val="等线"/>
      <family val="3"/>
      <charset val="128"/>
      <scheme val="minor"/>
    </font>
    <font>
      <sz val="10"/>
      <color rgb="FF262626"/>
      <name val="等线"/>
      <family val="3"/>
      <charset val="134"/>
      <scheme val="minor"/>
    </font>
    <font>
      <u/>
      <sz val="12"/>
      <color theme="10"/>
      <name val="宋体"/>
      <family val="3"/>
      <charset val="134"/>
    </font>
    <font>
      <sz val="9"/>
      <name val="等线"/>
      <family val="2"/>
      <charset val="134"/>
      <scheme val="minor"/>
    </font>
    <font>
      <sz val="10.5"/>
      <color theme="1"/>
      <name val="宋体"/>
      <family val="3"/>
      <charset val="134"/>
    </font>
    <font>
      <sz val="10"/>
      <name val="微软雅黑"/>
      <family val="2"/>
      <charset val="134"/>
    </font>
    <font>
      <sz val="6"/>
      <name val="等线"/>
      <family val="2"/>
      <charset val="128"/>
      <scheme val="minor"/>
    </font>
    <font>
      <sz val="12"/>
      <color theme="1"/>
      <name val="等线"/>
      <family val="2"/>
      <scheme val="minor"/>
    </font>
    <font>
      <sz val="11"/>
      <color theme="1"/>
      <name val="Microsoft JhengHei"/>
      <family val="2"/>
      <charset val="134"/>
    </font>
    <font>
      <sz val="11"/>
      <color theme="1"/>
      <name val="游ゴシック"/>
      <family val="2"/>
      <charset val="136"/>
    </font>
    <font>
      <sz val="11"/>
      <color theme="1"/>
      <name val="Microsoft JhengHei"/>
      <family val="2"/>
      <charset val="136"/>
    </font>
    <font>
      <sz val="11"/>
      <color rgb="FF000000"/>
      <name val="等线"/>
      <family val="3"/>
      <charset val="134"/>
    </font>
    <font>
      <sz val="11"/>
      <name val="等线"/>
      <family val="3"/>
      <charset val="134"/>
    </font>
    <font>
      <sz val="12"/>
      <color theme="1"/>
      <name val="微软雅黑"/>
      <family val="2"/>
      <charset val="134"/>
    </font>
    <font>
      <u/>
      <sz val="11"/>
      <color theme="10"/>
      <name val="等线"/>
      <family val="2"/>
      <scheme val="minor"/>
    </font>
    <font>
      <sz val="11"/>
      <color theme="1"/>
      <name val="等线"/>
      <family val="2"/>
      <charset val="128"/>
      <scheme val="minor"/>
    </font>
    <font>
      <sz val="11"/>
      <color theme="1"/>
      <name val="游ゴシック"/>
      <family val="2"/>
      <charset val="128"/>
    </font>
    <font>
      <sz val="11"/>
      <color theme="1"/>
      <name val="ＭＳ 明朝"/>
      <family val="1"/>
      <charset val="128"/>
    </font>
    <font>
      <sz val="11"/>
      <color rgb="FF333333"/>
      <name val="ＭＳ 明朝"/>
      <family val="1"/>
      <charset val="128"/>
    </font>
    <font>
      <sz val="11"/>
      <color rgb="FF333333"/>
      <name val="微软雅黑"/>
      <family val="2"/>
      <charset val="134"/>
    </font>
    <font>
      <sz val="11"/>
      <color theme="1"/>
      <name val="等线"/>
      <family val="2"/>
    </font>
    <font>
      <sz val="11"/>
      <color theme="1"/>
      <name val="DengXian"/>
      <family val="1"/>
      <charset val="134"/>
    </font>
    <font>
      <sz val="11"/>
      <color theme="1"/>
      <name val="ＭＳ 明朝"/>
      <family val="2"/>
      <charset val="134"/>
    </font>
    <font>
      <sz val="11"/>
      <color rgb="FF333333"/>
      <name val="SimSun"/>
      <family val="3"/>
      <charset val="134"/>
    </font>
    <font>
      <sz val="11"/>
      <color rgb="FF333333"/>
      <name val="Microsoft YaHei"/>
      <family val="2"/>
      <charset val="134"/>
    </font>
    <font>
      <sz val="11"/>
      <color rgb="FF333333"/>
      <name val="微软雅黑"/>
      <family val="1"/>
      <charset val="134"/>
    </font>
    <font>
      <b/>
      <sz val="10.5"/>
      <color rgb="FF000000"/>
      <name val="ＭＳ 明朝"/>
      <family val="1"/>
      <charset val="128"/>
    </font>
    <font>
      <sz val="11"/>
      <name val="ＭＳ Ｐゴシック"/>
      <family val="2"/>
    </font>
    <font>
      <sz val="11"/>
      <name val="ＭＳ 明朝"/>
      <family val="1"/>
      <charset val="128"/>
    </font>
    <font>
      <sz val="11"/>
      <name val="DengXian"/>
      <family val="1"/>
      <charset val="134"/>
    </font>
    <font>
      <sz val="6"/>
      <name val="HGGothicE"/>
      <family val="3"/>
      <charset val="128"/>
    </font>
    <font>
      <sz val="11"/>
      <color rgb="FF333333"/>
      <name val="ＭＳ Ｐゴシック"/>
      <family val="2"/>
      <charset val="134"/>
    </font>
    <font>
      <sz val="11"/>
      <name val="宋体"/>
      <family val="3"/>
      <charset val="134"/>
    </font>
    <font>
      <sz val="10.5"/>
      <name val="Tahoma"/>
      <family val="2"/>
    </font>
    <font>
      <sz val="11"/>
      <name val="微软雅黑"/>
      <family val="2"/>
      <charset val="134"/>
    </font>
    <font>
      <u/>
      <sz val="11"/>
      <color theme="10"/>
      <name val="等线"/>
      <family val="2"/>
      <charset val="134"/>
      <scheme val="minor"/>
    </font>
    <font>
      <sz val="11"/>
      <color rgb="FF0000FF"/>
      <name val="ＭＳ Ｐゴシック"/>
      <family val="2"/>
      <charset val="134"/>
    </font>
    <font>
      <sz val="11"/>
      <color rgb="FF333333"/>
      <name val="宋体"/>
      <family val="2"/>
      <charset val="134"/>
    </font>
    <font>
      <u/>
      <sz val="11"/>
      <color rgb="FF0000FF"/>
      <name val="ＭＳ Ｐゴシック"/>
      <family val="2"/>
      <charset val="134"/>
    </font>
    <font>
      <sz val="11"/>
      <name val="HGGothicE"/>
      <family val="2"/>
      <charset val="128"/>
    </font>
    <font>
      <sz val="11"/>
      <name val="微软雅黑"/>
      <family val="2"/>
      <charset val="128"/>
    </font>
    <font>
      <sz val="12"/>
      <color theme="1"/>
      <name val="Microsoft JhengHei"/>
      <family val="3"/>
      <charset val="134"/>
    </font>
    <font>
      <sz val="12"/>
      <color theme="1"/>
      <name val="Microsoft JhengHei"/>
      <family val="3"/>
    </font>
    <font>
      <sz val="11"/>
      <name val="ＭＳ 明朝"/>
      <family val="1"/>
      <charset val="134"/>
    </font>
    <font>
      <sz val="11"/>
      <name val="微软雅黑"/>
      <family val="1"/>
      <charset val="134"/>
    </font>
    <font>
      <sz val="11"/>
      <color theme="1"/>
      <name val="宋体"/>
      <family val="3"/>
      <charset val="128"/>
    </font>
    <font>
      <u/>
      <sz val="11"/>
      <color indexed="12"/>
      <name val="ＭＳ Ｐゴシック"/>
      <family val="2"/>
    </font>
    <font>
      <b/>
      <sz val="11"/>
      <color theme="1"/>
      <name val="等线"/>
      <family val="2"/>
      <scheme val="minor"/>
    </font>
    <font>
      <sz val="11"/>
      <color theme="1"/>
      <name val="游ゴシック"/>
      <family val="2"/>
      <charset val="134"/>
    </font>
    <font>
      <sz val="11"/>
      <color theme="1"/>
      <name val="Yu Gothic"/>
      <family val="2"/>
    </font>
    <font>
      <sz val="11"/>
      <color theme="1"/>
      <name val="Wingdings"/>
      <family val="2"/>
      <charset val="2"/>
    </font>
    <font>
      <sz val="11"/>
      <name val="ＭＳ Ｐゴシック"/>
    </font>
    <font>
      <sz val="11"/>
      <color theme="1"/>
      <name val="等线"/>
      <scheme val="minor"/>
    </font>
    <font>
      <sz val="11"/>
      <name val="ＭＳ Ｐゴシック"/>
      <family val="2"/>
      <charset val="134"/>
    </font>
    <font>
      <sz val="11"/>
      <name val="等线"/>
      <family val="2"/>
      <scheme val="minor"/>
    </font>
    <font>
      <sz val="10"/>
      <name val="宋体"/>
      <family val="2"/>
      <charset val="134"/>
    </font>
    <font>
      <sz val="10"/>
      <name val="Arial Unicode MS"/>
      <family val="2"/>
      <charset val="134"/>
    </font>
    <font>
      <sz val="10"/>
      <name val="宋体"/>
      <family val="2"/>
    </font>
    <font>
      <sz val="12"/>
      <color rgb="FF000000"/>
      <name val="微软雅黑"/>
      <family val="2"/>
      <charset val="134"/>
    </font>
    <font>
      <sz val="12"/>
      <color rgb="FF000000"/>
      <name val="Microsoft YaHei"/>
      <family val="2"/>
      <charset val="134"/>
    </font>
    <font>
      <sz val="14"/>
      <color rgb="FF000000"/>
      <name val="Microsoft YaHei"/>
      <family val="2"/>
      <charset val="134"/>
    </font>
    <font>
      <b/>
      <sz val="36"/>
      <color rgb="FFFFFFFF"/>
      <name val="Microsoft YaHei"/>
      <family val="2"/>
      <charset val="134"/>
    </font>
    <font>
      <sz val="6"/>
      <name val="宋体"/>
      <family val="3"/>
      <charset val="134"/>
    </font>
    <font>
      <sz val="11"/>
      <color indexed="8"/>
      <name val="宋体"/>
      <family val="3"/>
      <charset val="134"/>
    </font>
    <font>
      <b/>
      <sz val="11"/>
      <color indexed="8"/>
      <name val="宋体"/>
      <family val="3"/>
      <charset val="134"/>
    </font>
    <font>
      <strike/>
      <sz val="11"/>
      <color theme="1"/>
      <name val="等线"/>
      <family val="3"/>
      <charset val="134"/>
      <scheme val="minor"/>
    </font>
    <font>
      <b/>
      <strike/>
      <sz val="11"/>
      <color indexed="8"/>
      <name val="宋体"/>
      <family val="3"/>
      <charset val="134"/>
    </font>
    <font>
      <strike/>
      <sz val="11"/>
      <color indexed="8"/>
      <name val="宋体"/>
      <family val="3"/>
      <charset val="134"/>
    </font>
    <font>
      <b/>
      <sz val="11"/>
      <color theme="1"/>
      <name val="等线"/>
      <family val="3"/>
      <charset val="134"/>
      <scheme val="minor"/>
    </font>
    <font>
      <b/>
      <strike/>
      <sz val="11"/>
      <color theme="1"/>
      <name val="等线"/>
      <family val="3"/>
      <charset val="134"/>
      <scheme val="minor"/>
    </font>
    <font>
      <sz val="20"/>
      <color theme="1"/>
      <name val="宋体"/>
      <family val="3"/>
      <charset val="134"/>
    </font>
    <font>
      <sz val="20"/>
      <color rgb="FFFF0000"/>
      <name val="宋体"/>
      <family val="3"/>
      <charset val="134"/>
    </font>
    <font>
      <b/>
      <sz val="20"/>
      <color theme="1"/>
      <name val="宋体"/>
      <family val="3"/>
      <charset val="134"/>
    </font>
    <font>
      <b/>
      <sz val="24"/>
      <color theme="1"/>
      <name val="宋体"/>
      <family val="3"/>
      <charset val="134"/>
    </font>
    <font>
      <b/>
      <sz val="20"/>
      <color rgb="FFFF0000"/>
      <name val="宋体"/>
      <family val="3"/>
      <charset val="134"/>
    </font>
    <font>
      <sz val="22"/>
      <name val="宋体"/>
      <family val="3"/>
      <charset val="134"/>
    </font>
    <font>
      <sz val="20"/>
      <color theme="8"/>
      <name val="宋体"/>
      <family val="3"/>
      <charset val="134"/>
    </font>
    <font>
      <sz val="20"/>
      <name val="宋体"/>
      <family val="3"/>
      <charset val="134"/>
    </font>
  </fonts>
  <fills count="20">
    <fill>
      <patternFill patternType="none"/>
    </fill>
    <fill>
      <patternFill patternType="gray125"/>
    </fill>
    <fill>
      <patternFill patternType="solid">
        <fgColor rgb="FFFF0000"/>
        <bgColor indexed="64"/>
      </patternFill>
    </fill>
    <fill>
      <patternFill patternType="solid">
        <fgColor rgb="FFFFC000"/>
        <bgColor indexed="64"/>
      </patternFill>
    </fill>
    <fill>
      <patternFill patternType="solid">
        <fgColor rgb="FFFFFF00"/>
        <bgColor indexed="64"/>
      </patternFill>
    </fill>
    <fill>
      <patternFill patternType="solid">
        <fgColor indexed="8"/>
        <bgColor indexed="64"/>
      </patternFill>
    </fill>
    <fill>
      <patternFill patternType="solid">
        <fgColor rgb="FF92D050"/>
        <bgColor indexed="64"/>
      </patternFill>
    </fill>
    <fill>
      <patternFill patternType="solid">
        <fgColor rgb="FFD9D9D9"/>
        <bgColor indexed="64"/>
      </patternFill>
    </fill>
    <fill>
      <patternFill patternType="solid">
        <fgColor rgb="FFFFB700"/>
        <bgColor indexed="64"/>
      </patternFill>
    </fill>
    <fill>
      <patternFill patternType="solid">
        <fgColor theme="0" tint="-0.14999847407452621"/>
        <bgColor indexed="64"/>
      </patternFill>
    </fill>
    <fill>
      <patternFill patternType="solid">
        <fgColor rgb="FFFFFFFF"/>
        <bgColor indexed="64"/>
      </patternFill>
    </fill>
    <fill>
      <patternFill patternType="solid">
        <fgColor theme="0" tint="-4.9989318521683403E-2"/>
        <bgColor indexed="64"/>
      </patternFill>
    </fill>
    <fill>
      <patternFill patternType="solid">
        <fgColor indexed="43"/>
        <bgColor indexed="13"/>
      </patternFill>
    </fill>
    <fill>
      <patternFill patternType="solid">
        <fgColor rgb="FF91D051"/>
        <bgColor indexed="64"/>
      </patternFill>
    </fill>
    <fill>
      <patternFill patternType="solid">
        <fgColor rgb="FF9D9D9D"/>
        <bgColor indexed="64"/>
      </patternFill>
    </fill>
    <fill>
      <patternFill patternType="solid">
        <fgColor rgb="FF87C120"/>
        <bgColor indexed="64"/>
      </patternFill>
    </fill>
    <fill>
      <patternFill patternType="solid">
        <fgColor indexed="51"/>
        <bgColor indexed="64"/>
      </patternFill>
    </fill>
    <fill>
      <patternFill patternType="solid">
        <fgColor indexed="13"/>
        <bgColor indexed="64"/>
      </patternFill>
    </fill>
    <fill>
      <patternFill patternType="solid">
        <fgColor indexed="17"/>
        <bgColor indexed="64"/>
      </patternFill>
    </fill>
    <fill>
      <patternFill patternType="solid">
        <fgColor indexed="9"/>
        <bgColor indexed="64"/>
      </patternFill>
    </fill>
  </fills>
  <borders count="23">
    <border>
      <left/>
      <right/>
      <top/>
      <bottom/>
      <diagonal/>
    </border>
    <border>
      <left style="medium">
        <color rgb="FFA3A3A3"/>
      </left>
      <right style="medium">
        <color rgb="FFA3A3A3"/>
      </right>
      <top style="medium">
        <color rgb="FFA3A3A3"/>
      </top>
      <bottom style="medium">
        <color rgb="FFA3A3A3"/>
      </bottom>
      <diagonal/>
    </border>
    <border>
      <left style="thin">
        <color rgb="FFD9D9D9"/>
      </left>
      <right style="thin">
        <color rgb="FFD9D9D9"/>
      </right>
      <top style="thin">
        <color rgb="FFD9D9D9"/>
      </top>
      <bottom style="thin">
        <color rgb="FFD9D9D9"/>
      </bottom>
      <diagonal/>
    </border>
    <border>
      <left style="thin">
        <color rgb="FFFFB700"/>
      </left>
      <right style="thin">
        <color rgb="FFFFB700"/>
      </right>
      <top style="thin">
        <color rgb="FFFFB700"/>
      </top>
      <bottom style="thin">
        <color rgb="FFFFB700"/>
      </bottom>
      <diagonal/>
    </border>
    <border>
      <left style="thin">
        <color rgb="FFFFFF00"/>
      </left>
      <right style="thin">
        <color rgb="FFFFFF00"/>
      </right>
      <top style="thin">
        <color rgb="FFFFFF00"/>
      </top>
      <bottom style="thin">
        <color rgb="FFFFFF00"/>
      </bottom>
      <diagonal/>
    </border>
    <border>
      <left style="medium">
        <color rgb="FFE3EDF5"/>
      </left>
      <right style="medium">
        <color rgb="FFE3EDF5"/>
      </right>
      <top style="medium">
        <color rgb="FFE3EDF5"/>
      </top>
      <bottom/>
      <diagonal/>
    </border>
    <border>
      <left style="medium">
        <color rgb="FFE3EDF5"/>
      </left>
      <right style="medium">
        <color rgb="FFE3EDF5"/>
      </right>
      <top style="medium">
        <color rgb="FFE3EDF5"/>
      </top>
      <bottom style="medium">
        <color rgb="FFE3EDF5"/>
      </bottom>
      <diagonal/>
    </border>
    <border>
      <left/>
      <right/>
      <top/>
      <bottom style="medium">
        <color rgb="FFE3EDF5"/>
      </bottom>
      <diagonal/>
    </border>
    <border>
      <left style="thin">
        <color indexed="64"/>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style="thin">
        <color rgb="FFFFFFFF"/>
      </right>
      <top/>
      <bottom style="thin">
        <color rgb="FFFFFFFF"/>
      </bottom>
      <diagonal/>
    </border>
    <border>
      <left style="thin">
        <color rgb="FFFFFFFF"/>
      </left>
      <right/>
      <top/>
      <bottom style="thin">
        <color rgb="FFFFFFFF"/>
      </bottom>
      <diagonal/>
    </border>
    <border>
      <left/>
      <right style="thin">
        <color rgb="FFFFFFFF"/>
      </right>
      <top/>
      <bottom/>
      <diagonal/>
    </border>
    <border>
      <left style="thin">
        <color rgb="FFFFFFFF"/>
      </left>
      <right/>
      <top/>
      <bottom/>
      <diagonal/>
    </border>
    <border>
      <left/>
      <right style="thin">
        <color rgb="FFFFFFFF"/>
      </right>
      <top style="thin">
        <color rgb="FFFFFFFF"/>
      </top>
      <bottom/>
      <diagonal/>
    </border>
    <border>
      <left/>
      <right/>
      <top/>
      <bottom style="thin">
        <color rgb="FFFFFFFF"/>
      </bottom>
      <diagonal/>
    </border>
    <border>
      <left style="thin">
        <color rgb="FF91D051"/>
      </left>
      <right style="thin">
        <color rgb="FF91D051"/>
      </right>
      <top style="thin">
        <color rgb="FF91D051"/>
      </top>
      <bottom style="thin">
        <color rgb="FF91D051"/>
      </bottom>
      <diagonal/>
    </border>
    <border>
      <left style="thin">
        <color rgb="FFFF0000"/>
      </left>
      <right style="thin">
        <color rgb="FFFF0000"/>
      </right>
      <top style="thin">
        <color rgb="FFFF0000"/>
      </top>
      <bottom style="thin">
        <color rgb="FFFF0000"/>
      </bottom>
      <diagonal/>
    </border>
    <border>
      <left style="thin">
        <color rgb="FF9D9D9D"/>
      </left>
      <right style="thin">
        <color rgb="FF9D9D9D"/>
      </right>
      <top style="thin">
        <color rgb="FF9D9D9D"/>
      </top>
      <bottom style="thin">
        <color rgb="FF9D9D9D"/>
      </bottom>
      <diagonal/>
    </border>
    <border>
      <left style="thin">
        <color rgb="FF87C120"/>
      </left>
      <right style="thin">
        <color rgb="FF87C120"/>
      </right>
      <top style="thin">
        <color rgb="FF87C120"/>
      </top>
      <bottom style="thin">
        <color rgb="FF87C120"/>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s>
  <cellStyleXfs count="25">
    <xf numFmtId="0" fontId="0" fillId="0" borderId="0"/>
    <xf numFmtId="0" fontId="9" fillId="0" borderId="0"/>
    <xf numFmtId="0" fontId="12" fillId="0" borderId="0">
      <alignment vertical="center"/>
    </xf>
    <xf numFmtId="0" fontId="1" fillId="0" borderId="0">
      <alignment vertical="center"/>
    </xf>
    <xf numFmtId="0" fontId="18" fillId="0" borderId="0">
      <alignment vertical="center"/>
    </xf>
    <xf numFmtId="0" fontId="21" fillId="0" borderId="0"/>
    <xf numFmtId="0" fontId="21" fillId="0" borderId="0"/>
    <xf numFmtId="0" fontId="1" fillId="0" borderId="0">
      <alignment vertical="center"/>
    </xf>
    <xf numFmtId="0" fontId="27" fillId="0" borderId="0"/>
    <xf numFmtId="0" fontId="30" fillId="0" borderId="0" applyNumberFormat="0" applyFill="0" applyBorder="0" applyAlignment="0" applyProtection="0"/>
    <xf numFmtId="0" fontId="18" fillId="0" borderId="0">
      <alignment vertical="center"/>
    </xf>
    <xf numFmtId="0" fontId="32" fillId="0" borderId="0" applyNumberFormat="0" applyFill="0" applyBorder="0" applyAlignment="0" applyProtection="0">
      <alignment vertical="center"/>
    </xf>
    <xf numFmtId="0" fontId="12" fillId="0" borderId="0">
      <alignment vertical="center"/>
    </xf>
    <xf numFmtId="0" fontId="12" fillId="0" borderId="0">
      <alignment vertical="center"/>
    </xf>
    <xf numFmtId="0" fontId="9" fillId="0" borderId="0"/>
    <xf numFmtId="0" fontId="9" fillId="0" borderId="0"/>
    <xf numFmtId="0" fontId="44" fillId="0" borderId="0" applyNumberFormat="0" applyFill="0" applyBorder="0" applyAlignment="0" applyProtection="0"/>
    <xf numFmtId="0" fontId="1" fillId="0" borderId="0">
      <alignment vertical="center"/>
    </xf>
    <xf numFmtId="0" fontId="45" fillId="0" borderId="0">
      <alignment vertical="center"/>
    </xf>
    <xf numFmtId="0" fontId="57" fillId="0" borderId="0"/>
    <xf numFmtId="0" fontId="65" fillId="0" borderId="0" applyNumberFormat="0" applyFill="0" applyBorder="0" applyAlignment="0" applyProtection="0">
      <alignment vertical="center"/>
    </xf>
    <xf numFmtId="0" fontId="76" fillId="0" borderId="0" applyNumberFormat="0" applyFill="0" applyBorder="0" applyAlignment="0" applyProtection="0">
      <alignment vertical="top"/>
      <protection locked="0"/>
    </xf>
    <xf numFmtId="0" fontId="12" fillId="0" borderId="0">
      <alignment vertical="center"/>
    </xf>
    <xf numFmtId="0" fontId="85" fillId="0" borderId="0"/>
    <xf numFmtId="0" fontId="18" fillId="0" borderId="0"/>
  </cellStyleXfs>
  <cellXfs count="428">
    <xf numFmtId="0" fontId="0" fillId="0" borderId="0" xfId="0"/>
    <xf numFmtId="0" fontId="0" fillId="0" borderId="0" xfId="0" applyAlignment="1">
      <alignment horizontal="left" vertical="center" wrapText="1"/>
    </xf>
    <xf numFmtId="0" fontId="0" fillId="0" borderId="0" xfId="0" applyAlignment="1">
      <alignment horizontal="center" vertical="top" wrapText="1"/>
    </xf>
    <xf numFmtId="0" fontId="0" fillId="0" borderId="0" xfId="0"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4" fillId="0" borderId="0" xfId="0" applyFont="1" applyAlignment="1">
      <alignment vertical="center" wrapText="1"/>
    </xf>
    <xf numFmtId="0" fontId="1" fillId="0" borderId="0" xfId="0" applyFont="1" applyAlignment="1">
      <alignment horizontal="center" vertical="center"/>
    </xf>
    <xf numFmtId="176" fontId="6" fillId="0" borderId="0" xfId="0" applyNumberFormat="1" applyFont="1" applyAlignment="1">
      <alignment horizontal="center" vertical="center"/>
    </xf>
    <xf numFmtId="0" fontId="6" fillId="0" borderId="0" xfId="0" applyFont="1" applyAlignment="1">
      <alignment horizontal="center" vertical="center"/>
    </xf>
    <xf numFmtId="0" fontId="8" fillId="2" borderId="0" xfId="0" applyFont="1" applyFill="1" applyAlignment="1">
      <alignment horizontal="center" vertical="center"/>
    </xf>
    <xf numFmtId="0" fontId="8" fillId="0" borderId="0" xfId="0" applyFont="1" applyAlignment="1">
      <alignment horizontal="center" vertical="center" wrapText="1"/>
    </xf>
    <xf numFmtId="0" fontId="7" fillId="0" borderId="0" xfId="0" applyFont="1" applyAlignment="1">
      <alignment horizontal="center" vertical="top" wrapText="1"/>
    </xf>
    <xf numFmtId="0" fontId="8" fillId="0" borderId="0" xfId="0" applyFont="1" applyAlignment="1">
      <alignment horizontal="left" vertical="center" wrapText="1"/>
    </xf>
    <xf numFmtId="0" fontId="8" fillId="0" borderId="0" xfId="0" applyFont="1" applyAlignment="1">
      <alignment horizontal="center" vertical="center"/>
    </xf>
    <xf numFmtId="0" fontId="6" fillId="0" borderId="0" xfId="0" applyFont="1" applyAlignment="1">
      <alignment horizontal="center" vertical="center" wrapText="1"/>
    </xf>
    <xf numFmtId="0" fontId="4" fillId="0" borderId="0" xfId="0" applyFont="1" applyAlignment="1">
      <alignment horizontal="left" vertical="center" wrapText="1"/>
    </xf>
    <xf numFmtId="0" fontId="7" fillId="0" borderId="0" xfId="0" applyFont="1" applyAlignment="1">
      <alignment horizontal="center" vertical="center" wrapText="1"/>
    </xf>
    <xf numFmtId="0" fontId="5" fillId="0" borderId="0" xfId="0" applyFont="1" applyAlignment="1">
      <alignment horizontal="left" vertical="top" wrapText="1"/>
    </xf>
    <xf numFmtId="0" fontId="5" fillId="0" borderId="0" xfId="0" applyFont="1" applyAlignment="1">
      <alignment horizontal="center" vertical="center"/>
    </xf>
    <xf numFmtId="176" fontId="0" fillId="0" borderId="0" xfId="0" applyNumberFormat="1" applyAlignment="1">
      <alignment horizontal="center" vertical="center"/>
    </xf>
    <xf numFmtId="0" fontId="8" fillId="0" borderId="0" xfId="0" applyFont="1" applyAlignment="1">
      <alignment horizontal="left" vertical="top" wrapText="1"/>
    </xf>
    <xf numFmtId="14" fontId="0" fillId="0" borderId="0" xfId="0" applyNumberFormat="1" applyAlignment="1">
      <alignment horizontal="center" vertical="center"/>
    </xf>
    <xf numFmtId="0" fontId="6" fillId="0" borderId="0" xfId="0" applyFont="1" applyAlignment="1">
      <alignment horizontal="left" vertical="center" wrapText="1"/>
    </xf>
    <xf numFmtId="0" fontId="5" fillId="0" borderId="0" xfId="0" applyFont="1" applyAlignment="1">
      <alignment horizontal="center" vertical="center" wrapText="1"/>
    </xf>
    <xf numFmtId="0" fontId="0" fillId="3" borderId="0" xfId="0" applyFill="1" applyAlignment="1">
      <alignment horizontal="left" vertical="center" wrapText="1"/>
    </xf>
    <xf numFmtId="0" fontId="0" fillId="3" borderId="0" xfId="0" applyFill="1" applyAlignment="1">
      <alignment horizontal="center" vertical="top" wrapText="1"/>
    </xf>
    <xf numFmtId="0" fontId="0" fillId="3" borderId="0" xfId="0" applyFill="1" applyAlignment="1">
      <alignment horizontal="center" vertical="center" wrapText="1"/>
    </xf>
    <xf numFmtId="0" fontId="0" fillId="3" borderId="0" xfId="0" applyFill="1" applyAlignment="1">
      <alignment horizontal="center" vertical="center"/>
    </xf>
    <xf numFmtId="176" fontId="0" fillId="3" borderId="0" xfId="0" applyNumberFormat="1" applyFill="1" applyAlignment="1">
      <alignment horizontal="center" vertical="center"/>
    </xf>
    <xf numFmtId="0" fontId="0" fillId="0" borderId="0" xfId="0" applyAlignment="1">
      <alignment vertical="center" wrapText="1"/>
    </xf>
    <xf numFmtId="0" fontId="0" fillId="0" borderId="0" xfId="0" applyAlignment="1">
      <alignment wrapText="1"/>
    </xf>
    <xf numFmtId="0" fontId="5" fillId="0" borderId="0" xfId="0" applyFont="1" applyAlignment="1">
      <alignment vertical="center" wrapText="1"/>
    </xf>
    <xf numFmtId="176" fontId="0" fillId="0" borderId="0" xfId="0" applyNumberFormat="1" applyAlignment="1">
      <alignment horizontal="right" vertical="center"/>
    </xf>
    <xf numFmtId="176" fontId="0" fillId="3" borderId="0" xfId="0" applyNumberFormat="1" applyFill="1" applyAlignment="1">
      <alignment horizontal="right" vertical="center"/>
    </xf>
    <xf numFmtId="0" fontId="5" fillId="0" borderId="0" xfId="0" applyFont="1" applyAlignment="1">
      <alignment wrapText="1"/>
    </xf>
    <xf numFmtId="0" fontId="5" fillId="0" borderId="0" xfId="0" applyFont="1" applyAlignment="1">
      <alignment vertical="center"/>
    </xf>
    <xf numFmtId="0" fontId="5" fillId="0" borderId="0" xfId="0" applyFont="1" applyAlignment="1">
      <alignment horizontal="left" vertical="center" wrapText="1"/>
    </xf>
    <xf numFmtId="0" fontId="0" fillId="0" borderId="0" xfId="0" applyAlignment="1">
      <alignment vertical="top" wrapText="1"/>
    </xf>
    <xf numFmtId="0" fontId="5" fillId="0" borderId="0" xfId="0" applyFont="1" applyAlignment="1">
      <alignment vertical="top" wrapText="1"/>
    </xf>
    <xf numFmtId="0" fontId="7" fillId="0" borderId="0" xfId="0" applyFont="1" applyAlignment="1">
      <alignment vertical="top" wrapText="1"/>
    </xf>
    <xf numFmtId="176" fontId="6" fillId="0" borderId="0" xfId="0" applyNumberFormat="1" applyFont="1" applyAlignment="1">
      <alignment horizontal="right" vertical="center"/>
    </xf>
    <xf numFmtId="0" fontId="11" fillId="0" borderId="0" xfId="0" applyFont="1" applyAlignment="1">
      <alignment vertical="top" wrapText="1"/>
    </xf>
    <xf numFmtId="0" fontId="5" fillId="0" borderId="0" xfId="0" applyFont="1" applyAlignment="1">
      <alignment vertical="top"/>
    </xf>
    <xf numFmtId="14" fontId="5" fillId="0" borderId="0" xfId="0" applyNumberFormat="1" applyFont="1" applyAlignment="1">
      <alignment horizontal="left" vertical="center"/>
    </xf>
    <xf numFmtId="0" fontId="9" fillId="0" borderId="0" xfId="1" applyAlignment="1">
      <alignment vertical="center" wrapText="1"/>
    </xf>
    <xf numFmtId="0" fontId="0" fillId="0" borderId="0" xfId="1" applyFont="1" applyAlignment="1">
      <alignment horizontal="left" vertical="center" wrapText="1"/>
    </xf>
    <xf numFmtId="0" fontId="13" fillId="0" borderId="0" xfId="2" applyFont="1" applyAlignment="1">
      <alignment vertical="center" wrapText="1"/>
    </xf>
    <xf numFmtId="0" fontId="13" fillId="0" borderId="0" xfId="2" applyFont="1" applyAlignment="1">
      <alignment horizontal="left" vertical="center" wrapText="1"/>
    </xf>
    <xf numFmtId="0" fontId="9" fillId="0" borderId="0" xfId="1" applyAlignment="1">
      <alignment horizontal="left" vertical="center" wrapText="1"/>
    </xf>
    <xf numFmtId="0" fontId="0" fillId="0" borderId="0" xfId="1" applyFont="1" applyAlignment="1">
      <alignment vertical="center" wrapText="1"/>
    </xf>
    <xf numFmtId="0" fontId="14" fillId="0" borderId="0" xfId="0" applyFont="1" applyAlignment="1">
      <alignment horizontal="left" vertical="center" wrapText="1"/>
    </xf>
    <xf numFmtId="14" fontId="8" fillId="0" borderId="0" xfId="0" applyNumberFormat="1" applyFont="1" applyAlignment="1">
      <alignment horizontal="center" vertical="center"/>
    </xf>
    <xf numFmtId="176" fontId="8" fillId="0" borderId="0" xfId="0" applyNumberFormat="1" applyFont="1" applyAlignment="1">
      <alignment horizontal="center" vertical="center"/>
    </xf>
    <xf numFmtId="0" fontId="16" fillId="0" borderId="0" xfId="2" applyFont="1" applyAlignment="1">
      <alignment vertical="center" wrapText="1"/>
    </xf>
    <xf numFmtId="0" fontId="16" fillId="0" borderId="0" xfId="2" applyFont="1" applyAlignment="1">
      <alignment horizontal="left" vertical="center" wrapText="1"/>
    </xf>
    <xf numFmtId="0" fontId="1" fillId="0" borderId="0" xfId="3">
      <alignment vertical="center"/>
    </xf>
    <xf numFmtId="0" fontId="1" fillId="0" borderId="0" xfId="3" applyAlignment="1">
      <alignment horizontal="center" vertical="center"/>
    </xf>
    <xf numFmtId="0" fontId="1" fillId="0" borderId="0" xfId="3" applyAlignment="1">
      <alignment vertical="center" wrapText="1"/>
    </xf>
    <xf numFmtId="0" fontId="1" fillId="4" borderId="0" xfId="3" applyFill="1" applyAlignment="1">
      <alignment horizontal="center" vertical="center"/>
    </xf>
    <xf numFmtId="0" fontId="1" fillId="4" borderId="0" xfId="3" applyFill="1">
      <alignment vertical="center"/>
    </xf>
    <xf numFmtId="0" fontId="1" fillId="4" borderId="0" xfId="3" applyFill="1" applyAlignment="1">
      <alignment vertical="center" wrapText="1"/>
    </xf>
    <xf numFmtId="0" fontId="18" fillId="0" borderId="0" xfId="4">
      <alignment vertical="center"/>
    </xf>
    <xf numFmtId="0" fontId="19" fillId="0" borderId="1" xfId="3" applyFont="1" applyBorder="1" applyAlignment="1">
      <alignment vertical="center" wrapText="1"/>
    </xf>
    <xf numFmtId="0" fontId="20" fillId="0" borderId="1" xfId="3" applyFont="1" applyBorder="1" applyAlignment="1">
      <alignment vertical="center" wrapText="1"/>
    </xf>
    <xf numFmtId="0" fontId="1" fillId="0" borderId="0" xfId="3" applyAlignment="1"/>
    <xf numFmtId="0" fontId="21" fillId="0" borderId="0" xfId="5"/>
    <xf numFmtId="0" fontId="21" fillId="5" borderId="0" xfId="5" applyFill="1"/>
    <xf numFmtId="0" fontId="21" fillId="5" borderId="0" xfId="5" applyFill="1" applyAlignment="1">
      <alignment horizontal="center"/>
    </xf>
    <xf numFmtId="0" fontId="21" fillId="0" borderId="0" xfId="5" applyAlignment="1">
      <alignment horizontal="center"/>
    </xf>
    <xf numFmtId="0" fontId="22" fillId="0" borderId="0" xfId="5" applyFont="1" applyAlignment="1">
      <alignment horizontal="center"/>
    </xf>
    <xf numFmtId="0" fontId="22" fillId="0" borderId="0" xfId="5" applyFont="1"/>
    <xf numFmtId="0" fontId="21" fillId="0" borderId="0" xfId="6"/>
    <xf numFmtId="0" fontId="21" fillId="0" borderId="0" xfId="6" applyAlignment="1">
      <alignment horizontal="center"/>
    </xf>
    <xf numFmtId="0" fontId="22" fillId="0" borderId="0" xfId="6" applyFont="1"/>
    <xf numFmtId="0" fontId="1" fillId="0" borderId="0" xfId="7">
      <alignment vertical="center"/>
    </xf>
    <xf numFmtId="0" fontId="24" fillId="0" borderId="0" xfId="5" applyFont="1" applyAlignment="1">
      <alignment horizontal="center"/>
    </xf>
    <xf numFmtId="0" fontId="19" fillId="0" borderId="0" xfId="7" applyFont="1" applyAlignment="1">
      <alignment vertical="center" wrapText="1"/>
    </xf>
    <xf numFmtId="0" fontId="19" fillId="0" borderId="1" xfId="7" applyFont="1" applyBorder="1" applyAlignment="1">
      <alignment vertical="center" wrapText="1"/>
    </xf>
    <xf numFmtId="0" fontId="22" fillId="0" borderId="0" xfId="6" applyFont="1" applyAlignment="1">
      <alignment horizontal="center"/>
    </xf>
    <xf numFmtId="0" fontId="19" fillId="0" borderId="0" xfId="3" applyFont="1" applyAlignment="1">
      <alignment vertical="center" wrapText="1"/>
    </xf>
    <xf numFmtId="0" fontId="26" fillId="0" borderId="0" xfId="5" applyFont="1" applyAlignment="1">
      <alignment horizontal="center"/>
    </xf>
    <xf numFmtId="0" fontId="27" fillId="0" borderId="0" xfId="8"/>
    <xf numFmtId="7" fontId="27" fillId="0" borderId="0" xfId="8" applyNumberFormat="1"/>
    <xf numFmtId="0" fontId="29" fillId="0" borderId="0" xfId="8" applyFont="1"/>
    <xf numFmtId="0" fontId="30" fillId="0" borderId="0" xfId="9"/>
    <xf numFmtId="0" fontId="31" fillId="0" borderId="0" xfId="8" applyFont="1"/>
    <xf numFmtId="0" fontId="18" fillId="0" borderId="0" xfId="10">
      <alignment vertical="center"/>
    </xf>
    <xf numFmtId="0" fontId="18" fillId="0" borderId="0" xfId="10" applyAlignment="1">
      <alignment horizontal="center" vertical="center"/>
    </xf>
    <xf numFmtId="0" fontId="18" fillId="6" borderId="0" xfId="10" applyFill="1" applyAlignment="1">
      <alignment horizontal="center" vertical="center"/>
    </xf>
    <xf numFmtId="0" fontId="32" fillId="0" borderId="0" xfId="11" applyAlignment="1">
      <alignment horizontal="center" vertical="center"/>
    </xf>
    <xf numFmtId="0" fontId="18" fillId="0" borderId="0" xfId="10" applyAlignment="1">
      <alignment horizontal="left" vertical="center"/>
    </xf>
    <xf numFmtId="0" fontId="18" fillId="0" borderId="0" xfId="10" applyAlignment="1">
      <alignment vertical="center" wrapText="1"/>
    </xf>
    <xf numFmtId="0" fontId="32" fillId="0" borderId="0" xfId="11">
      <alignment vertical="center"/>
    </xf>
    <xf numFmtId="0" fontId="18" fillId="4" borderId="0" xfId="10" applyFill="1" applyAlignment="1">
      <alignment horizontal="center" vertical="center"/>
    </xf>
    <xf numFmtId="0" fontId="1" fillId="0" borderId="0" xfId="7" applyAlignment="1">
      <alignment horizontal="center" vertical="center"/>
    </xf>
    <xf numFmtId="0" fontId="1" fillId="0" borderId="0" xfId="7" applyAlignment="1">
      <alignment horizontal="center" vertical="center" wrapText="1"/>
    </xf>
    <xf numFmtId="0" fontId="1" fillId="0" borderId="0" xfId="7" applyAlignment="1">
      <alignment vertical="center" wrapText="1"/>
    </xf>
    <xf numFmtId="0" fontId="34" fillId="0" borderId="0" xfId="3" applyFont="1" applyAlignment="1">
      <alignment vertical="center" wrapText="1"/>
    </xf>
    <xf numFmtId="0" fontId="34" fillId="0" borderId="1" xfId="3" applyFont="1" applyBorder="1" applyAlignment="1">
      <alignment vertical="center" wrapText="1"/>
    </xf>
    <xf numFmtId="0" fontId="5" fillId="0" borderId="0" xfId="3" applyFont="1" applyAlignment="1">
      <alignment horizontal="center" vertical="center"/>
    </xf>
    <xf numFmtId="0" fontId="1" fillId="0" borderId="0" xfId="3" applyAlignment="1">
      <alignment horizontal="center" vertical="center" wrapText="1"/>
    </xf>
    <xf numFmtId="0" fontId="12" fillId="0" borderId="0" xfId="12">
      <alignment vertical="center"/>
    </xf>
    <xf numFmtId="0" fontId="13" fillId="0" borderId="0" xfId="12" applyFont="1">
      <alignment vertical="center"/>
    </xf>
    <xf numFmtId="0" fontId="13" fillId="0" borderId="0" xfId="12" applyFont="1" applyAlignment="1">
      <alignment vertical="center" wrapText="1"/>
    </xf>
    <xf numFmtId="177" fontId="13" fillId="0" borderId="0" xfId="12" applyNumberFormat="1" applyFont="1">
      <alignment vertical="center"/>
    </xf>
    <xf numFmtId="0" fontId="13" fillId="7" borderId="0" xfId="12" applyFont="1" applyFill="1" applyAlignment="1">
      <alignment vertical="center" wrapText="1"/>
    </xf>
    <xf numFmtId="0" fontId="13" fillId="7" borderId="2" xfId="12" applyFont="1" applyFill="1" applyBorder="1" applyAlignment="1">
      <alignment vertical="center" wrapText="1"/>
    </xf>
    <xf numFmtId="0" fontId="16" fillId="0" borderId="0" xfId="12" applyFont="1" applyAlignment="1">
      <alignment horizontal="center" vertical="center"/>
    </xf>
    <xf numFmtId="0" fontId="16" fillId="0" borderId="0" xfId="12" applyFont="1">
      <alignment vertical="center"/>
    </xf>
    <xf numFmtId="0" fontId="16" fillId="0" borderId="0" xfId="12" applyFont="1" applyAlignment="1">
      <alignment vertical="center" wrapText="1"/>
    </xf>
    <xf numFmtId="0" fontId="16" fillId="7" borderId="2" xfId="12" applyFont="1" applyFill="1" applyBorder="1" applyAlignment="1">
      <alignment vertical="center" wrapText="1"/>
    </xf>
    <xf numFmtId="0" fontId="13" fillId="0" borderId="0" xfId="12" applyFont="1" applyAlignment="1">
      <alignment horizontal="center" vertical="center"/>
    </xf>
    <xf numFmtId="177" fontId="13" fillId="0" borderId="0" xfId="12" applyNumberFormat="1" applyFont="1" applyAlignment="1">
      <alignment horizontal="right" vertical="center"/>
    </xf>
    <xf numFmtId="177" fontId="16" fillId="0" borderId="0" xfId="12" applyNumberFormat="1" applyFont="1" applyAlignment="1">
      <alignment horizontal="right" vertical="center"/>
    </xf>
    <xf numFmtId="0" fontId="37" fillId="0" borderId="0" xfId="0" applyFont="1" applyAlignment="1">
      <alignment horizontal="center" vertical="center"/>
    </xf>
    <xf numFmtId="14" fontId="37" fillId="0" borderId="0" xfId="0" applyNumberFormat="1" applyFont="1" applyAlignment="1">
      <alignment horizontal="right" vertical="center"/>
    </xf>
    <xf numFmtId="0" fontId="37" fillId="0" borderId="0" xfId="0" applyFont="1" applyAlignment="1">
      <alignment vertical="center"/>
    </xf>
    <xf numFmtId="0" fontId="37" fillId="0" borderId="0" xfId="0" applyFont="1" applyAlignment="1">
      <alignment horizontal="left" vertical="center"/>
    </xf>
    <xf numFmtId="0" fontId="37" fillId="0" borderId="0" xfId="0" applyFont="1" applyAlignment="1">
      <alignment horizontal="right" vertical="center"/>
    </xf>
    <xf numFmtId="14" fontId="0" fillId="0" borderId="0" xfId="0" applyNumberFormat="1"/>
    <xf numFmtId="0" fontId="16" fillId="0" borderId="0" xfId="12" applyFont="1" applyAlignment="1">
      <alignment horizontal="center" vertical="center" wrapText="1"/>
    </xf>
    <xf numFmtId="0" fontId="38" fillId="0" borderId="0" xfId="3" applyFont="1" applyAlignment="1">
      <alignment horizontal="center" vertical="center"/>
    </xf>
    <xf numFmtId="0" fontId="5" fillId="0" borderId="0" xfId="3" applyFont="1" applyAlignment="1">
      <alignment horizontal="center" vertical="center" wrapText="1"/>
    </xf>
    <xf numFmtId="0" fontId="39" fillId="0" borderId="0" xfId="3" applyFont="1" applyAlignment="1">
      <alignment horizontal="center" vertical="center" wrapText="1"/>
    </xf>
    <xf numFmtId="0" fontId="16" fillId="8" borderId="3" xfId="12" applyFont="1" applyFill="1" applyBorder="1" applyAlignment="1">
      <alignment horizontal="center" vertical="center"/>
    </xf>
    <xf numFmtId="0" fontId="16" fillId="4" borderId="4" xfId="12" applyFont="1" applyFill="1" applyBorder="1" applyAlignment="1">
      <alignment horizontal="center" vertical="center"/>
    </xf>
    <xf numFmtId="0" fontId="16" fillId="4" borderId="4" xfId="12" applyFont="1" applyFill="1" applyBorder="1" applyAlignment="1">
      <alignment horizontal="center" vertical="center" wrapText="1"/>
    </xf>
    <xf numFmtId="0" fontId="5" fillId="4" borderId="0" xfId="3" applyFont="1" applyFill="1" applyAlignment="1">
      <alignment horizontal="center" vertical="center"/>
    </xf>
    <xf numFmtId="0" fontId="38" fillId="4" borderId="0" xfId="3" applyFont="1" applyFill="1" applyAlignment="1">
      <alignment horizontal="center" vertical="center"/>
    </xf>
    <xf numFmtId="0" fontId="5" fillId="4" borderId="0" xfId="3" applyFont="1" applyFill="1" applyAlignment="1">
      <alignment horizontal="center" vertical="center" wrapText="1"/>
    </xf>
    <xf numFmtId="0" fontId="16" fillId="4" borderId="0" xfId="12" applyFont="1" applyFill="1" applyAlignment="1">
      <alignment horizontal="center" vertical="center"/>
    </xf>
    <xf numFmtId="0" fontId="39" fillId="4" borderId="0" xfId="3" applyFont="1" applyFill="1" applyAlignment="1">
      <alignment horizontal="center" vertical="center" wrapText="1"/>
    </xf>
    <xf numFmtId="0" fontId="11" fillId="0" borderId="0" xfId="0" applyFont="1" applyAlignment="1">
      <alignment horizontal="center" vertical="center"/>
    </xf>
    <xf numFmtId="0" fontId="12" fillId="0" borderId="0" xfId="13">
      <alignment vertical="center"/>
    </xf>
    <xf numFmtId="0" fontId="13" fillId="0" borderId="0" xfId="13" applyFont="1">
      <alignment vertical="center"/>
    </xf>
    <xf numFmtId="0" fontId="41" fillId="0" borderId="0" xfId="13" applyFont="1" applyAlignment="1">
      <alignment horizontal="center" vertical="center"/>
    </xf>
    <xf numFmtId="0" fontId="41" fillId="0" borderId="0" xfId="13" applyFont="1" applyAlignment="1"/>
    <xf numFmtId="0" fontId="16" fillId="0" borderId="0" xfId="13" applyFont="1">
      <alignment vertical="center"/>
    </xf>
    <xf numFmtId="0" fontId="41" fillId="0" borderId="0" xfId="13" applyFont="1" applyAlignment="1">
      <alignment horizontal="center"/>
    </xf>
    <xf numFmtId="0" fontId="41" fillId="0" borderId="0" xfId="13" applyFont="1" applyAlignment="1">
      <alignment horizontal="center" wrapText="1"/>
    </xf>
    <xf numFmtId="0" fontId="41" fillId="0" borderId="0" xfId="13" applyFont="1" applyAlignment="1">
      <alignment horizontal="left" vertical="center"/>
    </xf>
    <xf numFmtId="178" fontId="41" fillId="0" borderId="0" xfId="13" applyNumberFormat="1" applyFont="1" applyAlignment="1">
      <alignment horizontal="center" vertical="center"/>
    </xf>
    <xf numFmtId="179" fontId="41" fillId="0" borderId="0" xfId="13" applyNumberFormat="1" applyFont="1" applyAlignment="1">
      <alignment horizontal="center" vertical="center"/>
    </xf>
    <xf numFmtId="0" fontId="47" fillId="0" borderId="0" xfId="0" applyFont="1" applyAlignment="1">
      <alignment vertical="center"/>
    </xf>
    <xf numFmtId="0" fontId="47" fillId="0" borderId="0" xfId="17" applyFont="1" applyAlignment="1">
      <alignment horizontal="center" vertical="center" wrapText="1"/>
    </xf>
    <xf numFmtId="0" fontId="48" fillId="9" borderId="0" xfId="17" applyFont="1" applyFill="1" applyAlignment="1">
      <alignment horizontal="center" vertical="center" wrapText="1"/>
    </xf>
    <xf numFmtId="180" fontId="48" fillId="9" borderId="5" xfId="17" applyNumberFormat="1" applyFont="1" applyFill="1" applyBorder="1" applyAlignment="1">
      <alignment horizontal="center" vertical="center" wrapText="1"/>
    </xf>
    <xf numFmtId="0" fontId="50" fillId="0" borderId="0" xfId="0" applyFont="1" applyAlignment="1">
      <alignment horizontal="center" vertical="center" wrapText="1"/>
    </xf>
    <xf numFmtId="0" fontId="51" fillId="0" borderId="0" xfId="17" applyFont="1" applyAlignment="1">
      <alignment vertical="center" wrapText="1"/>
    </xf>
    <xf numFmtId="0" fontId="48" fillId="9" borderId="5" xfId="17" applyFont="1" applyFill="1" applyBorder="1" applyAlignment="1">
      <alignment horizontal="center" vertical="center" wrapText="1"/>
    </xf>
    <xf numFmtId="181" fontId="48" fillId="9" borderId="5" xfId="17" applyNumberFormat="1" applyFont="1" applyFill="1" applyBorder="1" applyAlignment="1">
      <alignment horizontal="center" vertical="center" wrapText="1"/>
    </xf>
    <xf numFmtId="0" fontId="48" fillId="9" borderId="6" xfId="17" applyFont="1" applyFill="1" applyBorder="1" applyAlignment="1">
      <alignment horizontal="center" vertical="center" wrapText="1"/>
    </xf>
    <xf numFmtId="0" fontId="52" fillId="0" borderId="0" xfId="17" applyFont="1" applyAlignment="1">
      <alignment vertical="center" wrapText="1"/>
    </xf>
    <xf numFmtId="0" fontId="47" fillId="9" borderId="0" xfId="17" applyFont="1" applyFill="1" applyAlignment="1">
      <alignment horizontal="center" vertical="center" wrapText="1"/>
    </xf>
    <xf numFmtId="0" fontId="47" fillId="0" borderId="7" xfId="17" applyFont="1" applyBorder="1" applyAlignment="1">
      <alignment vertical="center" wrapText="1"/>
    </xf>
    <xf numFmtId="0" fontId="48" fillId="0" borderId="0" xfId="17" applyFont="1" applyAlignment="1">
      <alignment horizontal="center" vertical="center" wrapText="1"/>
    </xf>
    <xf numFmtId="0" fontId="47" fillId="0" borderId="0" xfId="18" applyFont="1" applyAlignment="1">
      <alignment horizontal="center" vertical="center" wrapText="1"/>
    </xf>
    <xf numFmtId="0" fontId="47" fillId="0" borderId="0" xfId="17" applyFont="1" applyAlignment="1">
      <alignment vertical="center" wrapText="1"/>
    </xf>
    <xf numFmtId="0" fontId="51" fillId="9" borderId="0" xfId="17" applyFont="1" applyFill="1" applyAlignment="1">
      <alignment horizontal="center" vertical="center" wrapText="1"/>
    </xf>
    <xf numFmtId="0" fontId="56" fillId="0" borderId="0" xfId="0" applyFont="1" applyAlignment="1">
      <alignment horizontal="center" vertical="center"/>
    </xf>
    <xf numFmtId="176" fontId="58" fillId="0" borderId="0" xfId="19" applyNumberFormat="1" applyFont="1" applyAlignment="1">
      <alignment vertical="center"/>
    </xf>
    <xf numFmtId="182" fontId="47" fillId="0" borderId="0" xfId="0" applyNumberFormat="1" applyFont="1" applyAlignment="1">
      <alignment horizontal="center" vertical="center" wrapText="1"/>
    </xf>
    <xf numFmtId="0" fontId="48" fillId="3" borderId="0" xfId="17" applyFont="1" applyFill="1" applyAlignment="1">
      <alignment horizontal="center" vertical="center" wrapText="1"/>
    </xf>
    <xf numFmtId="0" fontId="45" fillId="0" borderId="6" xfId="18" applyBorder="1" applyAlignment="1">
      <alignment vertical="center" wrapText="1"/>
    </xf>
    <xf numFmtId="0" fontId="1" fillId="0" borderId="0" xfId="17">
      <alignment vertical="center"/>
    </xf>
    <xf numFmtId="0" fontId="45" fillId="0" borderId="6" xfId="18" applyBorder="1">
      <alignment vertical="center"/>
    </xf>
    <xf numFmtId="180" fontId="45" fillId="0" borderId="6" xfId="18" applyNumberFormat="1" applyBorder="1">
      <alignment vertical="center"/>
    </xf>
    <xf numFmtId="0" fontId="1" fillId="0" borderId="6" xfId="17" applyBorder="1">
      <alignment vertical="center"/>
    </xf>
    <xf numFmtId="0" fontId="45" fillId="0" borderId="0" xfId="18">
      <alignment vertical="center"/>
    </xf>
    <xf numFmtId="0" fontId="1" fillId="0" borderId="0" xfId="17" applyAlignment="1">
      <alignment vertical="center" wrapText="1"/>
    </xf>
    <xf numFmtId="0" fontId="1" fillId="0" borderId="0" xfId="17" applyAlignment="1">
      <alignment horizontal="center" vertical="center"/>
    </xf>
    <xf numFmtId="183" fontId="57" fillId="0" borderId="0" xfId="19" applyNumberFormat="1"/>
    <xf numFmtId="182" fontId="1" fillId="0" borderId="6" xfId="17" applyNumberFormat="1" applyBorder="1">
      <alignment vertical="center"/>
    </xf>
    <xf numFmtId="182" fontId="1" fillId="0" borderId="0" xfId="17" applyNumberFormat="1">
      <alignment vertical="center"/>
    </xf>
    <xf numFmtId="3" fontId="45" fillId="0" borderId="6" xfId="18" applyNumberFormat="1" applyBorder="1">
      <alignment vertical="center"/>
    </xf>
    <xf numFmtId="3" fontId="45" fillId="0" borderId="0" xfId="18" applyNumberFormat="1">
      <alignment vertical="center"/>
    </xf>
    <xf numFmtId="0" fontId="61" fillId="10" borderId="6" xfId="17" applyFont="1" applyFill="1" applyBorder="1" applyAlignment="1">
      <alignment horizontal="center" vertical="center" wrapText="1"/>
    </xf>
    <xf numFmtId="182" fontId="61" fillId="10" borderId="6" xfId="17" applyNumberFormat="1" applyFont="1" applyFill="1" applyBorder="1" applyAlignment="1">
      <alignment vertical="center" wrapText="1"/>
    </xf>
    <xf numFmtId="182" fontId="61" fillId="10" borderId="0" xfId="17" applyNumberFormat="1" applyFont="1" applyFill="1" applyAlignment="1">
      <alignment vertical="center" wrapText="1"/>
    </xf>
    <xf numFmtId="0" fontId="61" fillId="10" borderId="6" xfId="17" applyFont="1" applyFill="1" applyBorder="1" applyAlignment="1">
      <alignment vertical="center" wrapText="1"/>
    </xf>
    <xf numFmtId="180" fontId="61" fillId="10" borderId="6" xfId="17" applyNumberFormat="1" applyFont="1" applyFill="1" applyBorder="1" applyAlignment="1">
      <alignment vertical="center" wrapText="1"/>
    </xf>
    <xf numFmtId="181" fontId="61" fillId="10" borderId="6" xfId="17" applyNumberFormat="1" applyFont="1" applyFill="1" applyBorder="1" applyAlignment="1">
      <alignment vertical="center" wrapText="1"/>
    </xf>
    <xf numFmtId="3" fontId="61" fillId="10" borderId="6" xfId="17" applyNumberFormat="1" applyFont="1" applyFill="1" applyBorder="1" applyAlignment="1">
      <alignment vertical="center" wrapText="1"/>
    </xf>
    <xf numFmtId="3" fontId="61" fillId="10" borderId="0" xfId="17" applyNumberFormat="1" applyFont="1" applyFill="1" applyAlignment="1">
      <alignment vertical="center" wrapText="1"/>
    </xf>
    <xf numFmtId="0" fontId="61" fillId="10" borderId="0" xfId="17" applyFont="1" applyFill="1" applyAlignment="1">
      <alignment horizontal="center" vertical="center" wrapText="1"/>
    </xf>
    <xf numFmtId="181" fontId="61" fillId="10" borderId="0" xfId="17" applyNumberFormat="1" applyFont="1" applyFill="1" applyAlignment="1">
      <alignment vertical="center" wrapText="1"/>
    </xf>
    <xf numFmtId="0" fontId="57" fillId="0" borderId="6" xfId="19" applyBorder="1"/>
    <xf numFmtId="0" fontId="57" fillId="0" borderId="0" xfId="19"/>
    <xf numFmtId="180" fontId="57" fillId="0" borderId="6" xfId="19" applyNumberFormat="1" applyBorder="1"/>
    <xf numFmtId="0" fontId="62" fillId="0" borderId="6" xfId="19" applyFont="1" applyBorder="1"/>
    <xf numFmtId="14" fontId="57" fillId="0" borderId="6" xfId="19" applyNumberFormat="1" applyBorder="1"/>
    <xf numFmtId="0" fontId="63" fillId="0" borderId="0" xfId="19" applyFont="1"/>
    <xf numFmtId="0" fontId="64" fillId="0" borderId="0" xfId="19" applyFont="1"/>
    <xf numFmtId="0" fontId="5" fillId="0" borderId="0" xfId="17" applyFont="1" applyAlignment="1">
      <alignment horizontal="center" vertical="center"/>
    </xf>
    <xf numFmtId="0" fontId="5" fillId="0" borderId="0" xfId="17" applyFont="1">
      <alignment vertical="center"/>
    </xf>
    <xf numFmtId="22" fontId="57" fillId="0" borderId="0" xfId="19" applyNumberFormat="1" applyAlignment="1">
      <alignment wrapText="1"/>
    </xf>
    <xf numFmtId="183" fontId="57" fillId="0" borderId="0" xfId="19" applyNumberFormat="1" applyAlignment="1">
      <alignment wrapText="1"/>
    </xf>
    <xf numFmtId="0" fontId="8" fillId="0" borderId="0" xfId="17" applyFont="1" applyAlignment="1">
      <alignment horizontal="center" vertical="center"/>
    </xf>
    <xf numFmtId="0" fontId="57" fillId="0" borderId="6" xfId="19" applyBorder="1" applyAlignment="1">
      <alignment wrapText="1"/>
    </xf>
    <xf numFmtId="0" fontId="61" fillId="0" borderId="6" xfId="17" applyFont="1" applyBorder="1" applyAlignment="1">
      <alignment vertical="center" wrapText="1"/>
    </xf>
    <xf numFmtId="0" fontId="61" fillId="4" borderId="6" xfId="17" applyFont="1" applyFill="1" applyBorder="1" applyAlignment="1">
      <alignment vertical="center" wrapText="1"/>
    </xf>
    <xf numFmtId="180" fontId="1" fillId="0" borderId="6" xfId="17" applyNumberFormat="1" applyBorder="1">
      <alignment vertical="center"/>
    </xf>
    <xf numFmtId="181" fontId="1" fillId="0" borderId="6" xfId="17" applyNumberFormat="1" applyBorder="1">
      <alignment vertical="center"/>
    </xf>
    <xf numFmtId="181" fontId="1" fillId="0" borderId="0" xfId="17" applyNumberFormat="1">
      <alignment vertical="center"/>
    </xf>
    <xf numFmtId="0" fontId="65" fillId="0" borderId="0" xfId="20">
      <alignment vertical="center"/>
    </xf>
    <xf numFmtId="0" fontId="1" fillId="0" borderId="6" xfId="17" applyBorder="1" applyAlignment="1">
      <alignment vertical="center" wrapText="1"/>
    </xf>
    <xf numFmtId="0" fontId="61" fillId="0" borderId="0" xfId="17" applyFont="1" applyAlignment="1">
      <alignment horizontal="center" vertical="center" wrapText="1"/>
    </xf>
    <xf numFmtId="0" fontId="5" fillId="0" borderId="6" xfId="17" applyFont="1" applyBorder="1">
      <alignment vertical="center"/>
    </xf>
    <xf numFmtId="0" fontId="45" fillId="0" borderId="0" xfId="18" applyAlignment="1">
      <alignment vertical="center" wrapText="1"/>
    </xf>
    <xf numFmtId="0" fontId="57" fillId="0" borderId="6" xfId="0" applyFont="1" applyBorder="1"/>
    <xf numFmtId="0" fontId="61" fillId="10" borderId="0" xfId="17" applyFont="1" applyFill="1" applyAlignment="1">
      <alignment vertical="center" wrapText="1"/>
    </xf>
    <xf numFmtId="0" fontId="66" fillId="10" borderId="0" xfId="17" applyFont="1" applyFill="1" applyAlignment="1">
      <alignment vertical="center" wrapText="1"/>
    </xf>
    <xf numFmtId="182" fontId="0" fillId="0" borderId="6" xfId="0" applyNumberFormat="1" applyBorder="1" applyAlignment="1">
      <alignment vertical="center"/>
    </xf>
    <xf numFmtId="182" fontId="0" fillId="0" borderId="0" xfId="0" applyNumberFormat="1" applyAlignment="1">
      <alignment vertical="center"/>
    </xf>
    <xf numFmtId="0" fontId="0" fillId="0" borderId="0" xfId="0" applyAlignment="1">
      <alignment vertical="center"/>
    </xf>
    <xf numFmtId="0" fontId="45" fillId="0" borderId="8" xfId="18" applyBorder="1" applyAlignment="1">
      <alignment vertical="center" wrapText="1"/>
    </xf>
    <xf numFmtId="180" fontId="45" fillId="0" borderId="8" xfId="18" applyNumberFormat="1" applyBorder="1">
      <alignment vertical="center"/>
    </xf>
    <xf numFmtId="0" fontId="1" fillId="0" borderId="8" xfId="17" applyBorder="1">
      <alignment vertical="center"/>
    </xf>
    <xf numFmtId="0" fontId="45" fillId="0" borderId="8" xfId="18" applyBorder="1">
      <alignment vertical="center"/>
    </xf>
    <xf numFmtId="0" fontId="61" fillId="4" borderId="0" xfId="17" applyFont="1" applyFill="1" applyAlignment="1">
      <alignment vertical="center" wrapText="1"/>
    </xf>
    <xf numFmtId="180" fontId="61" fillId="10" borderId="0" xfId="17" applyNumberFormat="1" applyFont="1" applyFill="1" applyAlignment="1">
      <alignment vertical="center" wrapText="1"/>
    </xf>
    <xf numFmtId="180" fontId="0" fillId="0" borderId="0" xfId="0" applyNumberFormat="1" applyAlignment="1">
      <alignment vertical="center"/>
    </xf>
    <xf numFmtId="180" fontId="45" fillId="0" borderId="0" xfId="18" applyNumberFormat="1">
      <alignment vertical="center"/>
    </xf>
    <xf numFmtId="180" fontId="1" fillId="0" borderId="0" xfId="17" applyNumberFormat="1">
      <alignment vertical="center"/>
    </xf>
    <xf numFmtId="0" fontId="9" fillId="0" borderId="0" xfId="18" applyFont="1" applyAlignment="1">
      <alignment vertical="center" wrapText="1"/>
    </xf>
    <xf numFmtId="57" fontId="61" fillId="10" borderId="0" xfId="17" applyNumberFormat="1" applyFont="1" applyFill="1" applyAlignment="1">
      <alignment vertical="center" wrapText="1"/>
    </xf>
    <xf numFmtId="180" fontId="57" fillId="0" borderId="0" xfId="19" applyNumberFormat="1"/>
    <xf numFmtId="14" fontId="57" fillId="0" borderId="0" xfId="19" applyNumberFormat="1"/>
    <xf numFmtId="0" fontId="1" fillId="0" borderId="0" xfId="17" applyAlignment="1">
      <alignment horizontal="center" vertical="center" wrapText="1"/>
    </xf>
    <xf numFmtId="22" fontId="57" fillId="0" borderId="0" xfId="19" applyNumberFormat="1"/>
    <xf numFmtId="0" fontId="68" fillId="10" borderId="0" xfId="17" applyFont="1" applyFill="1" applyAlignment="1">
      <alignment vertical="center" wrapText="1"/>
    </xf>
    <xf numFmtId="14" fontId="1" fillId="0" borderId="0" xfId="17" applyNumberFormat="1">
      <alignment vertical="center"/>
    </xf>
    <xf numFmtId="180" fontId="69" fillId="0" borderId="0" xfId="19" applyNumberFormat="1" applyFont="1"/>
    <xf numFmtId="176" fontId="70" fillId="0" borderId="0" xfId="19" applyNumberFormat="1" applyFont="1"/>
    <xf numFmtId="0" fontId="62" fillId="0" borderId="0" xfId="19" applyFont="1"/>
    <xf numFmtId="176" fontId="64" fillId="0" borderId="0" xfId="19" applyNumberFormat="1" applyFont="1"/>
    <xf numFmtId="0" fontId="57" fillId="0" borderId="0" xfId="19" applyAlignment="1">
      <alignment wrapText="1"/>
    </xf>
    <xf numFmtId="0" fontId="8" fillId="9" borderId="6" xfId="17" applyFont="1" applyFill="1" applyBorder="1" applyAlignment="1">
      <alignment vertical="center" wrapText="1"/>
    </xf>
    <xf numFmtId="0" fontId="1" fillId="9" borderId="0" xfId="17" applyFill="1">
      <alignment vertical="center"/>
    </xf>
    <xf numFmtId="0" fontId="1" fillId="9" borderId="6" xfId="17" applyFill="1" applyBorder="1">
      <alignment vertical="center"/>
    </xf>
    <xf numFmtId="180" fontId="1" fillId="9" borderId="6" xfId="17" applyNumberFormat="1" applyFill="1" applyBorder="1">
      <alignment vertical="center"/>
    </xf>
    <xf numFmtId="0" fontId="1" fillId="9" borderId="6" xfId="17" applyFill="1" applyBorder="1" applyAlignment="1">
      <alignment vertical="center" wrapText="1"/>
    </xf>
    <xf numFmtId="0" fontId="1" fillId="9" borderId="0" xfId="17" applyFill="1" applyAlignment="1">
      <alignment vertical="center" wrapText="1"/>
    </xf>
    <xf numFmtId="0" fontId="1" fillId="9" borderId="0" xfId="17" applyFill="1" applyAlignment="1">
      <alignment horizontal="center" vertical="center"/>
    </xf>
    <xf numFmtId="182" fontId="1" fillId="9" borderId="6" xfId="17" applyNumberFormat="1" applyFill="1" applyBorder="1">
      <alignment vertical="center"/>
    </xf>
    <xf numFmtId="182" fontId="1" fillId="9" borderId="0" xfId="17" applyNumberFormat="1" applyFill="1">
      <alignment vertical="center"/>
    </xf>
    <xf numFmtId="0" fontId="57" fillId="0" borderId="0" xfId="19" applyAlignment="1">
      <alignment vertical="top" wrapText="1"/>
    </xf>
    <xf numFmtId="0" fontId="0" fillId="4" borderId="0" xfId="0" applyFill="1" applyAlignment="1">
      <alignment horizontal="center" vertical="center"/>
    </xf>
    <xf numFmtId="0" fontId="5" fillId="4" borderId="0" xfId="0" applyFont="1" applyFill="1" applyAlignment="1">
      <alignment horizontal="center" vertical="center"/>
    </xf>
    <xf numFmtId="0" fontId="38" fillId="4" borderId="0" xfId="0" applyFont="1" applyFill="1" applyAlignment="1">
      <alignment horizontal="center" vertical="center"/>
    </xf>
    <xf numFmtId="0" fontId="38" fillId="2" borderId="0" xfId="0" applyFont="1" applyFill="1" applyAlignment="1">
      <alignment horizontal="center" vertical="center"/>
    </xf>
    <xf numFmtId="0" fontId="0" fillId="9" borderId="0" xfId="0" applyFill="1"/>
    <xf numFmtId="0" fontId="1" fillId="4" borderId="0" xfId="0" applyFont="1" applyFill="1" applyAlignment="1">
      <alignment horizontal="center" vertical="center"/>
    </xf>
    <xf numFmtId="0" fontId="5" fillId="2" borderId="0" xfId="0" applyFont="1" applyFill="1" applyAlignment="1">
      <alignment horizontal="center" vertical="center"/>
    </xf>
    <xf numFmtId="0" fontId="5" fillId="2" borderId="0" xfId="0" applyFont="1" applyFill="1"/>
    <xf numFmtId="0" fontId="71" fillId="0" borderId="0" xfId="12" applyFont="1">
      <alignment vertical="center"/>
    </xf>
    <xf numFmtId="0" fontId="16" fillId="2" borderId="3" xfId="12" applyFont="1" applyFill="1" applyBorder="1" applyAlignment="1">
      <alignment horizontal="center" vertical="center"/>
    </xf>
    <xf numFmtId="0" fontId="16" fillId="0" borderId="2" xfId="12" applyFont="1" applyBorder="1" applyAlignment="1">
      <alignment vertical="center" wrapText="1"/>
    </xf>
    <xf numFmtId="0" fontId="13" fillId="0" borderId="2" xfId="12" applyFont="1" applyBorder="1" applyAlignment="1">
      <alignment vertical="center" wrapText="1"/>
    </xf>
    <xf numFmtId="0" fontId="13" fillId="9" borderId="0" xfId="12" applyFont="1" applyFill="1" applyAlignment="1">
      <alignment vertical="center" wrapText="1"/>
    </xf>
    <xf numFmtId="0" fontId="13" fillId="9" borderId="0" xfId="12" applyFont="1" applyFill="1">
      <alignment vertical="center"/>
    </xf>
    <xf numFmtId="0" fontId="12" fillId="9" borderId="0" xfId="12" applyFill="1">
      <alignment vertical="center"/>
    </xf>
    <xf numFmtId="0" fontId="5" fillId="11" borderId="0" xfId="0" applyFont="1" applyFill="1" applyAlignment="1">
      <alignment horizontal="center" vertical="center"/>
    </xf>
    <xf numFmtId="0" fontId="0" fillId="11" borderId="0" xfId="0" applyFill="1" applyAlignment="1">
      <alignment horizontal="center" vertical="center" wrapText="1"/>
    </xf>
    <xf numFmtId="0" fontId="0" fillId="11" borderId="0" xfId="0" applyFill="1" applyAlignment="1">
      <alignment horizontal="center" vertical="center"/>
    </xf>
    <xf numFmtId="0" fontId="0" fillId="9" borderId="0" xfId="0" applyFill="1" applyAlignment="1">
      <alignment horizontal="center" vertical="center"/>
    </xf>
    <xf numFmtId="184" fontId="57" fillId="0" borderId="0" xfId="19" applyNumberFormat="1" applyAlignment="1">
      <alignment vertical="center"/>
    </xf>
    <xf numFmtId="0" fontId="75" fillId="0" borderId="0" xfId="0" applyFont="1" applyAlignment="1">
      <alignment horizontal="center" vertical="center" wrapText="1"/>
    </xf>
    <xf numFmtId="0" fontId="57" fillId="2" borderId="0" xfId="19" applyFill="1"/>
    <xf numFmtId="0" fontId="64" fillId="4" borderId="0" xfId="19" applyFont="1" applyFill="1"/>
    <xf numFmtId="0" fontId="64" fillId="6" borderId="0" xfId="19" applyFont="1" applyFill="1"/>
    <xf numFmtId="0" fontId="0" fillId="0" borderId="0" xfId="0" applyAlignment="1">
      <alignment horizontal="right" vertical="center"/>
    </xf>
    <xf numFmtId="0" fontId="0" fillId="9" borderId="0" xfId="0" applyFill="1" applyAlignment="1">
      <alignment vertical="center"/>
    </xf>
    <xf numFmtId="0" fontId="0" fillId="0" borderId="0" xfId="0" applyAlignment="1">
      <alignment vertical="center" wrapText="1"/>
    </xf>
    <xf numFmtId="0" fontId="77" fillId="0" borderId="0" xfId="0" applyFont="1" applyAlignment="1">
      <alignment vertical="center" wrapText="1"/>
    </xf>
    <xf numFmtId="0" fontId="44" fillId="0" borderId="0" xfId="16" applyAlignment="1">
      <alignment vertical="center" wrapText="1"/>
    </xf>
    <xf numFmtId="0" fontId="0" fillId="2" borderId="0" xfId="0" applyFill="1" applyAlignment="1">
      <alignment horizontal="left" vertical="center" wrapText="1"/>
    </xf>
    <xf numFmtId="0" fontId="8" fillId="0" borderId="0" xfId="0" applyFont="1" applyAlignment="1">
      <alignment horizontal="center" vertical="top" wrapText="1"/>
    </xf>
    <xf numFmtId="0" fontId="0" fillId="0" borderId="0" xfId="0" applyAlignment="1">
      <alignment horizontal="left" vertical="top" wrapText="1"/>
    </xf>
    <xf numFmtId="0" fontId="78" fillId="0" borderId="0" xfId="0" applyFont="1" applyAlignment="1">
      <alignment horizontal="left" vertical="top" wrapText="1"/>
    </xf>
    <xf numFmtId="0" fontId="0" fillId="3" borderId="0" xfId="0" applyFill="1" applyAlignment="1">
      <alignment horizontal="left" vertical="top" wrapText="1"/>
    </xf>
    <xf numFmtId="0" fontId="0" fillId="0" borderId="0" xfId="0" applyAlignment="1">
      <alignment vertical="center" wrapText="1"/>
    </xf>
    <xf numFmtId="185" fontId="0" fillId="0" borderId="0" xfId="0" applyNumberFormat="1" applyAlignment="1">
      <alignment vertical="center"/>
    </xf>
    <xf numFmtId="184" fontId="57" fillId="0" borderId="0" xfId="19" applyNumberFormat="1" applyAlignment="1">
      <alignment vertical="center" wrapText="1"/>
    </xf>
    <xf numFmtId="184" fontId="81" fillId="0" borderId="0" xfId="19" applyNumberFormat="1" applyFont="1" applyAlignment="1">
      <alignment vertical="center"/>
    </xf>
    <xf numFmtId="0" fontId="0" fillId="0" borderId="0" xfId="0" applyAlignment="1">
      <alignment vertical="center" wrapText="1"/>
    </xf>
    <xf numFmtId="176" fontId="73" fillId="0" borderId="0" xfId="19" applyNumberFormat="1" applyFont="1" applyAlignment="1">
      <alignment horizontal="center" vertical="center"/>
    </xf>
    <xf numFmtId="176" fontId="58" fillId="0" borderId="0" xfId="19" applyNumberFormat="1" applyFont="1" applyAlignment="1">
      <alignment horizontal="center" vertical="center"/>
    </xf>
    <xf numFmtId="0" fontId="5" fillId="11" borderId="0" xfId="0" applyFont="1" applyFill="1" applyAlignment="1">
      <alignment horizontal="center" vertical="center" wrapText="1"/>
    </xf>
    <xf numFmtId="0" fontId="0" fillId="0" borderId="6" xfId="0" applyBorder="1" applyAlignment="1">
      <alignment vertical="center" wrapText="1"/>
    </xf>
    <xf numFmtId="0" fontId="0" fillId="0" borderId="6" xfId="0" applyBorder="1" applyAlignment="1">
      <alignment wrapText="1"/>
    </xf>
    <xf numFmtId="14" fontId="57" fillId="0" borderId="0" xfId="19" applyNumberFormat="1" applyAlignment="1">
      <alignment wrapText="1"/>
    </xf>
    <xf numFmtId="0" fontId="82" fillId="0" borderId="0" xfId="0" applyFont="1" applyAlignment="1">
      <alignment vertical="center" wrapText="1"/>
    </xf>
    <xf numFmtId="0" fontId="0" fillId="9" borderId="0" xfId="0" applyFill="1" applyAlignment="1">
      <alignment horizontal="center" vertical="center" wrapText="1"/>
    </xf>
    <xf numFmtId="184" fontId="83" fillId="0" borderId="0" xfId="19" applyNumberFormat="1" applyFont="1" applyAlignment="1">
      <alignment vertical="center"/>
    </xf>
    <xf numFmtId="0" fontId="0" fillId="0" borderId="0" xfId="0" applyAlignment="1">
      <alignment vertical="center" wrapText="1"/>
    </xf>
    <xf numFmtId="22" fontId="0" fillId="0" borderId="0" xfId="0" applyNumberFormat="1"/>
    <xf numFmtId="0" fontId="0" fillId="0" borderId="0" xfId="0" applyAlignment="1">
      <alignment vertical="center" wrapText="1"/>
    </xf>
    <xf numFmtId="0" fontId="57" fillId="0" borderId="0" xfId="19" applyFont="1" applyFill="1"/>
    <xf numFmtId="0" fontId="57" fillId="0" borderId="0" xfId="19" applyFont="1" applyFill="1" applyAlignment="1">
      <alignment horizontal="left" vertical="center" indent="1"/>
    </xf>
    <xf numFmtId="0" fontId="84" fillId="0" borderId="0" xfId="0" applyFont="1" applyFill="1" applyAlignment="1">
      <alignment horizontal="left" vertical="center" indent="1"/>
    </xf>
    <xf numFmtId="0" fontId="84" fillId="0" borderId="0" xfId="0" applyFont="1" applyFill="1"/>
    <xf numFmtId="0" fontId="57" fillId="0" borderId="0" xfId="21" applyFont="1" applyFill="1" applyAlignment="1" applyProtection="1">
      <alignment vertical="center"/>
    </xf>
    <xf numFmtId="0" fontId="64" fillId="0" borderId="0" xfId="19" applyFont="1" applyFill="1"/>
    <xf numFmtId="0" fontId="0" fillId="0" borderId="0" xfId="0" applyAlignment="1">
      <alignment vertical="center" wrapText="1"/>
    </xf>
    <xf numFmtId="14" fontId="0" fillId="0" borderId="0" xfId="0" applyNumberFormat="1" applyAlignment="1">
      <alignment vertical="center" wrapText="1"/>
    </xf>
    <xf numFmtId="0" fontId="12" fillId="0" borderId="0" xfId="22">
      <alignment vertical="center"/>
    </xf>
    <xf numFmtId="0" fontId="13" fillId="0" borderId="9" xfId="22" applyFont="1" applyBorder="1">
      <alignment vertical="center"/>
    </xf>
    <xf numFmtId="0" fontId="13" fillId="0" borderId="9" xfId="22" applyFont="1" applyBorder="1" applyAlignment="1">
      <alignment horizontal="left" vertical="center"/>
    </xf>
    <xf numFmtId="0" fontId="85" fillId="0" borderId="0" xfId="23"/>
    <xf numFmtId="186" fontId="85" fillId="0" borderId="0" xfId="23" applyNumberFormat="1"/>
    <xf numFmtId="49" fontId="86" fillId="0" borderId="0" xfId="23" applyNumberFormat="1" applyFont="1"/>
    <xf numFmtId="0" fontId="86" fillId="0" borderId="0" xfId="23" applyFont="1"/>
    <xf numFmtId="0" fontId="85" fillId="12" borderId="0" xfId="23" applyFill="1"/>
    <xf numFmtId="0" fontId="86" fillId="12" borderId="0" xfId="23" applyFont="1" applyFill="1" applyAlignment="1">
      <alignment horizontal="center"/>
    </xf>
    <xf numFmtId="0" fontId="13" fillId="0" borderId="10" xfId="22" applyFont="1" applyBorder="1">
      <alignment vertical="center"/>
    </xf>
    <xf numFmtId="0" fontId="13" fillId="0" borderId="11" xfId="22" applyFont="1" applyBorder="1">
      <alignment vertical="center"/>
    </xf>
    <xf numFmtId="0" fontId="18" fillId="0" borderId="0" xfId="4" applyAlignment="1">
      <alignment vertical="center" wrapText="1"/>
    </xf>
    <xf numFmtId="0" fontId="18" fillId="0" borderId="0" xfId="4" applyAlignment="1">
      <alignment horizontal="center" vertical="center"/>
    </xf>
    <xf numFmtId="0" fontId="18" fillId="0" borderId="0" xfId="4" applyAlignment="1">
      <alignment horizontal="left" vertical="center" wrapText="1"/>
    </xf>
    <xf numFmtId="58" fontId="18" fillId="0" borderId="0" xfId="4" applyNumberFormat="1" applyAlignment="1">
      <alignment horizontal="center" vertical="center"/>
    </xf>
    <xf numFmtId="0" fontId="18" fillId="0" borderId="0" xfId="4" applyAlignment="1">
      <alignment horizontal="center" vertical="center" wrapText="1"/>
    </xf>
    <xf numFmtId="58" fontId="18" fillId="0" borderId="0" xfId="4" quotePrefix="1" applyNumberFormat="1" applyAlignment="1">
      <alignment horizontal="center" vertical="center"/>
    </xf>
    <xf numFmtId="0" fontId="18" fillId="0" borderId="0" xfId="4" applyAlignment="1">
      <alignment horizontal="center" vertical="center"/>
    </xf>
    <xf numFmtId="0" fontId="18" fillId="0" borderId="0" xfId="4" applyAlignment="1">
      <alignment horizontal="left" vertical="center" wrapText="1"/>
    </xf>
    <xf numFmtId="0" fontId="16" fillId="0" borderId="9" xfId="22" applyFont="1" applyBorder="1">
      <alignment vertical="center"/>
    </xf>
    <xf numFmtId="0" fontId="13" fillId="0" borderId="10" xfId="22" applyFont="1" applyBorder="1">
      <alignment vertical="center"/>
    </xf>
    <xf numFmtId="0" fontId="13" fillId="0" borderId="11" xfId="22" applyFont="1" applyBorder="1">
      <alignment vertical="center"/>
    </xf>
    <xf numFmtId="0" fontId="13" fillId="0" borderId="12" xfId="22" applyFont="1" applyBorder="1">
      <alignment vertical="center"/>
    </xf>
    <xf numFmtId="0" fontId="13" fillId="0" borderId="13" xfId="22" applyFont="1" applyBorder="1">
      <alignment vertical="center"/>
    </xf>
    <xf numFmtId="0" fontId="13" fillId="0" borderId="14" xfId="22" applyFont="1" applyBorder="1">
      <alignment vertical="center"/>
    </xf>
    <xf numFmtId="0" fontId="16" fillId="0" borderId="9" xfId="22" applyFont="1" applyBorder="1">
      <alignment vertical="center"/>
    </xf>
    <xf numFmtId="0" fontId="16" fillId="0" borderId="9" xfId="22" applyFont="1" applyBorder="1" applyAlignment="1">
      <alignment vertical="center" wrapText="1"/>
    </xf>
    <xf numFmtId="0" fontId="16" fillId="0" borderId="9" xfId="22" applyFont="1" applyBorder="1" applyAlignment="1">
      <alignment horizontal="left" vertical="center"/>
    </xf>
    <xf numFmtId="0" fontId="13" fillId="0" borderId="15" xfId="22" applyFont="1" applyBorder="1">
      <alignment vertical="center"/>
    </xf>
    <xf numFmtId="0" fontId="13" fillId="0" borderId="0" xfId="22" applyFont="1">
      <alignment vertical="center"/>
    </xf>
    <xf numFmtId="0" fontId="13" fillId="0" borderId="0" xfId="22" applyFont="1" applyAlignment="1">
      <alignment horizontal="left" vertical="center"/>
    </xf>
    <xf numFmtId="0" fontId="16" fillId="0" borderId="15" xfId="22" applyFont="1" applyBorder="1">
      <alignment vertical="center"/>
    </xf>
    <xf numFmtId="0" fontId="13" fillId="0" borderId="0" xfId="22" applyFont="1">
      <alignment vertical="center"/>
    </xf>
    <xf numFmtId="0" fontId="16" fillId="0" borderId="15" xfId="22" applyFont="1" applyBorder="1">
      <alignment vertical="center"/>
    </xf>
    <xf numFmtId="0" fontId="16" fillId="0" borderId="0" xfId="22" applyFont="1" applyAlignment="1">
      <alignment horizontal="left" vertical="center"/>
    </xf>
    <xf numFmtId="0" fontId="13" fillId="13" borderId="16" xfId="22" applyFont="1" applyFill="1" applyBorder="1">
      <alignment vertical="center"/>
    </xf>
    <xf numFmtId="0" fontId="16" fillId="10" borderId="9" xfId="22" applyFont="1" applyFill="1" applyBorder="1">
      <alignment vertical="center"/>
    </xf>
    <xf numFmtId="0" fontId="13" fillId="10" borderId="9" xfId="22" applyFont="1" applyFill="1" applyBorder="1">
      <alignment vertical="center"/>
    </xf>
    <xf numFmtId="0" fontId="13" fillId="2" borderId="17" xfId="22" applyFont="1" applyFill="1" applyBorder="1">
      <alignment vertical="center"/>
    </xf>
    <xf numFmtId="0" fontId="16" fillId="0" borderId="0" xfId="22" applyFont="1" applyAlignment="1">
      <alignment vertical="center" wrapText="1"/>
    </xf>
    <xf numFmtId="0" fontId="16" fillId="0" borderId="0" xfId="22" applyFont="1" applyAlignment="1">
      <alignment horizontal="left" vertical="center"/>
    </xf>
    <xf numFmtId="0" fontId="16" fillId="0" borderId="15" xfId="22" applyFont="1" applyBorder="1" applyAlignment="1">
      <alignment horizontal="center" vertical="center"/>
    </xf>
    <xf numFmtId="0" fontId="16" fillId="0" borderId="0" xfId="22" applyFont="1" applyAlignment="1">
      <alignment horizontal="center" vertical="center" wrapText="1"/>
    </xf>
    <xf numFmtId="0" fontId="16" fillId="0" borderId="0" xfId="22" applyFont="1" applyAlignment="1">
      <alignment horizontal="left" vertical="center" wrapText="1"/>
    </xf>
    <xf numFmtId="0" fontId="16" fillId="10" borderId="9" xfId="22" applyFont="1" applyFill="1" applyBorder="1" applyAlignment="1">
      <alignment horizontal="center" vertical="center"/>
    </xf>
    <xf numFmtId="0" fontId="13" fillId="13" borderId="0" xfId="22" applyFont="1" applyFill="1">
      <alignment vertical="center"/>
    </xf>
    <xf numFmtId="0" fontId="16" fillId="0" borderId="0" xfId="22" applyFont="1">
      <alignment vertical="center"/>
    </xf>
    <xf numFmtId="0" fontId="16" fillId="0" borderId="0" xfId="22" applyFont="1" applyAlignment="1">
      <alignment horizontal="center" vertical="center"/>
    </xf>
    <xf numFmtId="0" fontId="16" fillId="0" borderId="0" xfId="22" applyFont="1" applyAlignment="1">
      <alignment horizontal="center" vertical="center" wrapText="1"/>
    </xf>
    <xf numFmtId="0" fontId="13" fillId="0" borderId="12" xfId="22" applyFont="1" applyBorder="1">
      <alignment vertical="center"/>
    </xf>
    <xf numFmtId="0" fontId="13" fillId="0" borderId="13" xfId="22" applyFont="1" applyBorder="1">
      <alignment vertical="center"/>
    </xf>
    <xf numFmtId="0" fontId="13" fillId="0" borderId="14" xfId="22" applyFont="1" applyBorder="1">
      <alignment vertical="center"/>
    </xf>
    <xf numFmtId="0" fontId="16" fillId="0" borderId="0" xfId="22" applyFont="1" applyAlignment="1">
      <alignment horizontal="left" vertical="center" wrapText="1"/>
    </xf>
    <xf numFmtId="0" fontId="16" fillId="0" borderId="15" xfId="22" applyFont="1" applyBorder="1" applyAlignment="1">
      <alignment horizontal="center" vertical="center"/>
    </xf>
    <xf numFmtId="0" fontId="88" fillId="10" borderId="9" xfId="22" applyFont="1" applyFill="1" applyBorder="1" applyAlignment="1">
      <alignment horizontal="center" vertical="center"/>
    </xf>
    <xf numFmtId="0" fontId="89" fillId="14" borderId="18" xfId="22" applyFont="1" applyFill="1" applyBorder="1" applyAlignment="1">
      <alignment horizontal="center" vertical="center"/>
    </xf>
    <xf numFmtId="0" fontId="89" fillId="14" borderId="18" xfId="22" applyFont="1" applyFill="1" applyBorder="1" applyAlignment="1">
      <alignment horizontal="center" vertical="center"/>
    </xf>
    <xf numFmtId="0" fontId="13" fillId="10" borderId="9" xfId="22" applyFont="1" applyFill="1" applyBorder="1">
      <alignment vertical="center"/>
    </xf>
    <xf numFmtId="0" fontId="90" fillId="10" borderId="9" xfId="22" applyFont="1" applyFill="1" applyBorder="1" applyAlignment="1">
      <alignment horizontal="center" vertical="center"/>
    </xf>
    <xf numFmtId="0" fontId="13" fillId="10" borderId="9" xfId="22" applyFont="1" applyFill="1" applyBorder="1" applyAlignment="1">
      <alignment horizontal="center" vertical="center"/>
    </xf>
    <xf numFmtId="0" fontId="91" fillId="15" borderId="19" xfId="22" applyFont="1" applyFill="1" applyBorder="1" applyAlignment="1">
      <alignment horizontal="center" vertical="center"/>
    </xf>
    <xf numFmtId="0" fontId="91" fillId="15" borderId="19" xfId="22" applyFont="1" applyFill="1" applyBorder="1" applyAlignment="1">
      <alignment horizontal="left" vertical="center"/>
    </xf>
    <xf numFmtId="0" fontId="27" fillId="0" borderId="0" xfId="8" applyAlignment="1">
      <alignment horizontal="center" vertical="center"/>
    </xf>
    <xf numFmtId="14" fontId="27" fillId="0" borderId="0" xfId="8" applyNumberFormat="1" applyAlignment="1">
      <alignment horizontal="center" vertical="center"/>
    </xf>
    <xf numFmtId="0" fontId="27" fillId="16" borderId="0" xfId="8" applyFill="1"/>
    <xf numFmtId="0" fontId="29" fillId="16" borderId="0" xfId="8" applyFont="1" applyFill="1" applyAlignment="1">
      <alignment horizontal="center" vertical="center"/>
    </xf>
    <xf numFmtId="0" fontId="27" fillId="16" borderId="0" xfId="8" applyFill="1" applyAlignment="1">
      <alignment horizontal="center" vertical="center"/>
    </xf>
    <xf numFmtId="14" fontId="27" fillId="16" borderId="0" xfId="8" applyNumberFormat="1" applyFill="1" applyAlignment="1">
      <alignment horizontal="center" vertical="center"/>
    </xf>
    <xf numFmtId="0" fontId="93" fillId="16" borderId="0" xfId="8" applyFont="1" applyFill="1" applyAlignment="1">
      <alignment horizontal="left" indent="1"/>
    </xf>
    <xf numFmtId="0" fontId="93" fillId="16" borderId="0" xfId="8" applyFont="1" applyFill="1"/>
    <xf numFmtId="0" fontId="27" fillId="16" borderId="0" xfId="8" applyFill="1" applyAlignment="1">
      <alignment horizontal="center"/>
    </xf>
    <xf numFmtId="0" fontId="93" fillId="16" borderId="0" xfId="8" applyFont="1" applyFill="1" applyAlignment="1">
      <alignment horizontal="center" vertical="center"/>
    </xf>
    <xf numFmtId="0" fontId="27" fillId="0" borderId="0" xfId="8" applyAlignment="1">
      <alignment horizontal="left" vertical="center"/>
    </xf>
    <xf numFmtId="0" fontId="93" fillId="0" borderId="0" xfId="8" applyFont="1" applyAlignment="1">
      <alignment horizontal="center" vertical="center"/>
    </xf>
    <xf numFmtId="0" fontId="93" fillId="0" borderId="0" xfId="8" applyFont="1" applyAlignment="1">
      <alignment horizontal="left" vertical="center"/>
    </xf>
    <xf numFmtId="0" fontId="94" fillId="0" borderId="0" xfId="8" applyFont="1" applyAlignment="1">
      <alignment horizontal="center" vertical="center"/>
    </xf>
    <xf numFmtId="0" fontId="94" fillId="0" borderId="0" xfId="8" applyFont="1" applyAlignment="1">
      <alignment horizontal="left" vertical="center" wrapText="1"/>
    </xf>
    <xf numFmtId="14" fontId="94" fillId="0" borderId="0" xfId="8" applyNumberFormat="1" applyFont="1" applyAlignment="1">
      <alignment horizontal="center" vertical="center"/>
    </xf>
    <xf numFmtId="0" fontId="95" fillId="0" borderId="0" xfId="8" applyFont="1" applyAlignment="1">
      <alignment horizontal="left" vertical="center"/>
    </xf>
    <xf numFmtId="0" fontId="94" fillId="0" borderId="0" xfId="8" applyFont="1" applyAlignment="1">
      <alignment horizontal="left" vertical="center"/>
    </xf>
    <xf numFmtId="0" fontId="96" fillId="0" borderId="0" xfId="8" applyFont="1" applyAlignment="1">
      <alignment horizontal="center" vertical="center"/>
    </xf>
    <xf numFmtId="0" fontId="97" fillId="0" borderId="0" xfId="8" applyFont="1" applyAlignment="1">
      <alignment horizontal="left" vertical="center"/>
    </xf>
    <xf numFmtId="0" fontId="29" fillId="0" borderId="0" xfId="8" applyFont="1" applyAlignment="1">
      <alignment horizontal="left" vertical="center"/>
    </xf>
    <xf numFmtId="14" fontId="93" fillId="0" borderId="0" xfId="8" applyNumberFormat="1" applyFont="1" applyAlignment="1">
      <alignment horizontal="center" vertical="center"/>
    </xf>
    <xf numFmtId="0" fontId="93" fillId="0" borderId="0" xfId="8" applyFont="1" applyAlignment="1">
      <alignment horizontal="center" vertical="center"/>
    </xf>
    <xf numFmtId="0" fontId="27" fillId="0" borderId="0" xfId="8" applyAlignment="1">
      <alignment horizontal="center" vertical="center"/>
    </xf>
    <xf numFmtId="0" fontId="93" fillId="0" borderId="0" xfId="8" applyFont="1" applyAlignment="1">
      <alignment vertical="center" wrapText="1"/>
    </xf>
    <xf numFmtId="0" fontId="95" fillId="0" borderId="0" xfId="8" applyFont="1" applyAlignment="1">
      <alignment horizontal="center" vertical="center"/>
    </xf>
    <xf numFmtId="0" fontId="27" fillId="0" borderId="0" xfId="8" applyAlignment="1">
      <alignment horizontal="left" vertical="center" wrapText="1"/>
    </xf>
    <xf numFmtId="0" fontId="93" fillId="0" borderId="0" xfId="8" applyFont="1" applyAlignment="1">
      <alignment horizontal="left" vertical="center" wrapText="1"/>
    </xf>
    <xf numFmtId="0" fontId="94" fillId="0" borderId="0" xfId="8" applyFont="1" applyAlignment="1">
      <alignment horizontal="center" vertical="center"/>
    </xf>
    <xf numFmtId="0" fontId="93" fillId="0" borderId="0" xfId="8" applyFont="1" applyAlignment="1">
      <alignment horizontal="left" vertical="center" indent="2"/>
    </xf>
    <xf numFmtId="0" fontId="94" fillId="0" borderId="0" xfId="8" applyFont="1" applyAlignment="1">
      <alignment vertical="center"/>
    </xf>
    <xf numFmtId="0" fontId="93" fillId="0" borderId="0" xfId="8" applyFont="1" applyAlignment="1">
      <alignment horizontal="left" vertical="center" indent="1"/>
    </xf>
    <xf numFmtId="0" fontId="93" fillId="17" borderId="0" xfId="8" applyFont="1" applyFill="1" applyAlignment="1">
      <alignment horizontal="center" vertical="center"/>
    </xf>
    <xf numFmtId="14" fontId="93" fillId="17" borderId="0" xfId="8" applyNumberFormat="1" applyFont="1" applyFill="1" applyAlignment="1">
      <alignment horizontal="center" vertical="center"/>
    </xf>
    <xf numFmtId="0" fontId="27" fillId="0" borderId="0" xfId="8" applyAlignment="1">
      <alignment horizontal="left" vertical="center"/>
    </xf>
    <xf numFmtId="0" fontId="29" fillId="0" borderId="0" xfId="8" applyFont="1" applyAlignment="1">
      <alignment horizontal="left" vertical="center"/>
    </xf>
    <xf numFmtId="0" fontId="29" fillId="0" borderId="0" xfId="8" applyFont="1" applyAlignment="1">
      <alignment horizontal="left" vertical="center" wrapText="1"/>
    </xf>
    <xf numFmtId="0" fontId="98" fillId="0" borderId="0" xfId="8" applyFont="1" applyAlignment="1">
      <alignment horizontal="left" vertical="center"/>
    </xf>
    <xf numFmtId="0" fontId="95" fillId="0" borderId="0" xfId="8" applyFont="1" applyAlignment="1">
      <alignment horizontal="left" vertical="center"/>
    </xf>
    <xf numFmtId="0" fontId="99" fillId="0" borderId="0" xfId="8" applyFont="1" applyAlignment="1">
      <alignment horizontal="left" vertical="center"/>
    </xf>
    <xf numFmtId="0" fontId="95" fillId="0" borderId="0" xfId="8" applyFont="1" applyAlignment="1">
      <alignment horizontal="left" vertical="center" wrapText="1"/>
    </xf>
    <xf numFmtId="0" fontId="29" fillId="0" borderId="0" xfId="8" applyFont="1" applyAlignment="1">
      <alignment horizontal="left" indent="1"/>
    </xf>
    <xf numFmtId="14" fontId="27" fillId="18" borderId="0" xfId="8" applyNumberFormat="1" applyFill="1" applyAlignment="1">
      <alignment horizontal="center" vertical="center"/>
    </xf>
    <xf numFmtId="14" fontId="27" fillId="19" borderId="0" xfId="8" applyNumberFormat="1" applyFill="1" applyAlignment="1">
      <alignment horizontal="center" vertical="center"/>
    </xf>
    <xf numFmtId="0" fontId="18" fillId="0" borderId="0" xfId="24"/>
    <xf numFmtId="0" fontId="100" fillId="0" borderId="8" xfId="24" applyFont="1" applyBorder="1" applyAlignment="1">
      <alignment horizontal="center" vertical="center"/>
    </xf>
    <xf numFmtId="0" fontId="101" fillId="0" borderId="8" xfId="24" applyFont="1" applyBorder="1" applyAlignment="1">
      <alignment horizontal="center" vertical="center"/>
    </xf>
    <xf numFmtId="0" fontId="100" fillId="0" borderId="20" xfId="24" applyFont="1" applyBorder="1" applyAlignment="1">
      <alignment horizontal="center" vertical="center"/>
    </xf>
    <xf numFmtId="0" fontId="100" fillId="0" borderId="21" xfId="24" applyFont="1" applyBorder="1" applyAlignment="1">
      <alignment horizontal="center" vertical="center"/>
    </xf>
    <xf numFmtId="0" fontId="102" fillId="0" borderId="8" xfId="24" applyFont="1" applyBorder="1" applyAlignment="1">
      <alignment horizontal="center" vertical="center"/>
    </xf>
    <xf numFmtId="0" fontId="100" fillId="0" borderId="22" xfId="24" applyFont="1" applyBorder="1" applyAlignment="1">
      <alignment horizontal="center" vertical="center"/>
    </xf>
    <xf numFmtId="0" fontId="103" fillId="0" borderId="8" xfId="24" applyFont="1" applyBorder="1" applyAlignment="1">
      <alignment horizontal="center" vertical="center"/>
    </xf>
    <xf numFmtId="0" fontId="104" fillId="0" borderId="8" xfId="24" applyFont="1" applyBorder="1" applyAlignment="1">
      <alignment horizontal="center" vertical="center"/>
    </xf>
    <xf numFmtId="0" fontId="104" fillId="0" borderId="0" xfId="24" applyFont="1" applyAlignment="1">
      <alignment horizontal="center" vertical="center"/>
    </xf>
    <xf numFmtId="0" fontId="105" fillId="0" borderId="0" xfId="24" applyFont="1" applyAlignment="1">
      <alignment horizontal="center" vertical="center"/>
    </xf>
    <xf numFmtId="0" fontId="106" fillId="0" borderId="8" xfId="24" applyFont="1" applyBorder="1" applyAlignment="1">
      <alignment horizontal="center" vertical="center"/>
    </xf>
    <xf numFmtId="0" fontId="100" fillId="0" borderId="0" xfId="24" applyFont="1" applyAlignment="1">
      <alignment horizontal="center" vertical="center"/>
    </xf>
    <xf numFmtId="0" fontId="107" fillId="0" borderId="8" xfId="24" applyFont="1" applyBorder="1" applyAlignment="1">
      <alignment horizontal="center" vertical="center"/>
    </xf>
    <xf numFmtId="0" fontId="100" fillId="0" borderId="8" xfId="24" applyFont="1" applyBorder="1" applyAlignment="1">
      <alignment horizontal="center" vertical="center"/>
    </xf>
  </cellXfs>
  <cellStyles count="25">
    <cellStyle name="ハイパーリンク 2" xfId="21" xr:uid="{C6500D39-864A-4FE4-B706-2EBA94A7B5B8}"/>
    <cellStyle name="ハイパーリンク 3" xfId="20" xr:uid="{7C37BD00-E1A1-4677-81C7-28D0CC7AE1FB}"/>
    <cellStyle name="標準 10" xfId="3" xr:uid="{64212718-6AD3-4E89-9A8F-77CC36DE695A}"/>
    <cellStyle name="標準 2" xfId="19" xr:uid="{95C10A9D-00C1-46BD-AD50-A093A20D623C}"/>
    <cellStyle name="標準 2 2" xfId="17" xr:uid="{3096B078-6A00-4966-940A-A4E28F0C567D}"/>
    <cellStyle name="標準 2 3" xfId="22" xr:uid="{AC57D9C2-14A1-434F-A4A1-3DC154B79D14}"/>
    <cellStyle name="標準 3" xfId="12" xr:uid="{79BDF87A-5567-4FF7-B0FA-CBF086B0B8E3}"/>
    <cellStyle name="標準 5" xfId="2" xr:uid="{E651119E-94D2-4FD4-8106-ACE3DA4AA77F}"/>
    <cellStyle name="標準 6" xfId="23" xr:uid="{0182C765-B36F-40DC-ACDD-57913AD89E62}"/>
    <cellStyle name="標準 7" xfId="4" xr:uid="{0768B6B2-31FF-4EF3-A1F1-4A821966518D}"/>
    <cellStyle name="標準 9" xfId="18" xr:uid="{FFA5F5F8-B351-4C7F-8536-8DEF3E76E18D}"/>
    <cellStyle name="常规" xfId="0" builtinId="0"/>
    <cellStyle name="常规 2" xfId="1" xr:uid="{515E0FA5-71FE-4DD7-AE5A-8B2099178078}"/>
    <cellStyle name="常规 2 2" xfId="5" xr:uid="{29E5D9BF-FCCE-426E-B1EB-EDFED64A2C38}"/>
    <cellStyle name="常规 3" xfId="7" xr:uid="{E52533B0-3454-49D5-A56B-83815DEF106E}"/>
    <cellStyle name="常规 3 2" xfId="6" xr:uid="{3FD920D3-C384-43CF-8FC4-31792DEAAD77}"/>
    <cellStyle name="常规 3 3" xfId="14" xr:uid="{2622FFE5-6C7B-45B5-8468-31855EC7DA97}"/>
    <cellStyle name="常规 4 2" xfId="10" xr:uid="{67B43FA0-589F-4857-B25F-9F0A73BAE46F}"/>
    <cellStyle name="常规 4 2 2" xfId="24" xr:uid="{FB80CE13-1091-45C1-90FC-A770DDD92FAA}"/>
    <cellStyle name="常规 4 3" xfId="13" xr:uid="{AB253657-9912-4B2D-A9CC-8E8B2B097A12}"/>
    <cellStyle name="常规 5" xfId="8" xr:uid="{E02786C1-E622-4004-9333-D2C83986D27E}"/>
    <cellStyle name="超链接" xfId="16" builtinId="8"/>
    <cellStyle name="超链接 3 2" xfId="11" xr:uid="{0B890284-B28D-4FD6-BFC8-CF7E0B97ECF0}"/>
    <cellStyle name="超链接 4" xfId="9" xr:uid="{745B89AC-5200-46B5-81A4-548DC25C5338}"/>
    <cellStyle name="一般 2" xfId="15" xr:uid="{72EC76E5-0332-4C6C-A294-6E46F6CC1FF7}"/>
  </cellStyles>
  <dxfs count="2">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4.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MyData/SB-Promotion_Tools/SB-Promotion_0.3.X.X_Dict.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H:\Mybackup\SDLlearnpub\00Day%20Day%20UP\MyLanguage.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contentSBGBTS_TrainingPlan_0_1_X_X.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contentSBGBTS_TrainingPlan_0_1_1_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ct"/>
    </sheet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d "/>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小组"/>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nlinePlan"/>
      <sheetName val="Training Plan"/>
      <sheetName val="Plan (2)"/>
      <sheetName val="Mainframe课程内容"/>
      <sheetName val="东软培训要求"/>
      <sheetName val="日历"/>
      <sheetName val="座位表"/>
      <sheetName val="小组"/>
      <sheetName val="资料矩阵"/>
      <sheetName val="发布矩阵"/>
      <sheetName val="资源矩阵"/>
      <sheetName val="Group List废 (2)"/>
      <sheetName val="Q群List"/>
      <sheetName val="公众号"/>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product.dangdang.com/22774689.html" TargetMode="External"/><Relationship Id="rId1" Type="http://schemas.openxmlformats.org/officeDocument/2006/relationships/hyperlink" Target="http://product.dangdang.com/23517093.html"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mailto:eigyou@lyc.co.jp"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17" Type="http://schemas.openxmlformats.org/officeDocument/2006/relationships/hyperlink" Target="https://type.jp/mypage/apply_interview.do?entryId=9927602" TargetMode="External"/><Relationship Id="rId21" Type="http://schemas.openxmlformats.org/officeDocument/2006/relationships/hyperlink" Target="https://type.jp/mypage/apply_interview.do?entryId=10134660" TargetMode="External"/><Relationship Id="rId42" Type="http://schemas.openxmlformats.org/officeDocument/2006/relationships/hyperlink" Target="https://type.jp/mypage/apply_interview.do?entryId=10081610" TargetMode="External"/><Relationship Id="rId63" Type="http://schemas.openxmlformats.org/officeDocument/2006/relationships/hyperlink" Target="https://type.jp/mypage/apply_interview.do?entryId=10026065" TargetMode="External"/><Relationship Id="rId84" Type="http://schemas.openxmlformats.org/officeDocument/2006/relationships/hyperlink" Target="https://type.jp/mypage/apply_interview.do?entryId=9995197" TargetMode="External"/><Relationship Id="rId138" Type="http://schemas.openxmlformats.org/officeDocument/2006/relationships/hyperlink" Target="https://type.jp/mypage/apply_interview.do?entryId=10184407" TargetMode="External"/><Relationship Id="rId159" Type="http://schemas.openxmlformats.org/officeDocument/2006/relationships/hyperlink" Target="https://type.jp/mypage/apply_interview.do?entryId=10155281" TargetMode="External"/><Relationship Id="rId107" Type="http://schemas.openxmlformats.org/officeDocument/2006/relationships/hyperlink" Target="https://type.jp/mypage/apply_interview.do?entryId=9964203" TargetMode="External"/><Relationship Id="rId11" Type="http://schemas.openxmlformats.org/officeDocument/2006/relationships/hyperlink" Target="https://type.jp/mypage/apply_interview.do?entryId=10152117" TargetMode="External"/><Relationship Id="rId32" Type="http://schemas.openxmlformats.org/officeDocument/2006/relationships/hyperlink" Target="https://type.jp/mypage/apply_interview.do?entryId=10116569" TargetMode="External"/><Relationship Id="rId53" Type="http://schemas.openxmlformats.org/officeDocument/2006/relationships/hyperlink" Target="https://type.jp/mypage/apply_interview.do?entryId=10040884" TargetMode="External"/><Relationship Id="rId74" Type="http://schemas.openxmlformats.org/officeDocument/2006/relationships/hyperlink" Target="https://type.jp/mypage/apply_interview.do?entryId=10014917" TargetMode="External"/><Relationship Id="rId128" Type="http://schemas.openxmlformats.org/officeDocument/2006/relationships/hyperlink" Target="https://type.jp/mypage/apply_interview.do?entryId=9854732" TargetMode="External"/><Relationship Id="rId149" Type="http://schemas.openxmlformats.org/officeDocument/2006/relationships/hyperlink" Target="https://type.jp/mypage/apply_interview.do?entryId=10168636" TargetMode="External"/><Relationship Id="rId5" Type="http://schemas.openxmlformats.org/officeDocument/2006/relationships/hyperlink" Target="https://type.jp/mypage/apply_interview.do?entryId=10152128" TargetMode="External"/><Relationship Id="rId95" Type="http://schemas.openxmlformats.org/officeDocument/2006/relationships/hyperlink" Target="https://type.jp/mypage/apply_interview.do?entryId=9966866" TargetMode="External"/><Relationship Id="rId160" Type="http://schemas.openxmlformats.org/officeDocument/2006/relationships/hyperlink" Target="https://type.jp/mypage/apply_interview.do?entryId=10155279" TargetMode="External"/><Relationship Id="rId22" Type="http://schemas.openxmlformats.org/officeDocument/2006/relationships/hyperlink" Target="https://type.jp/mypage/apply_interview.do?entryId=10134656" TargetMode="External"/><Relationship Id="rId43" Type="http://schemas.openxmlformats.org/officeDocument/2006/relationships/hyperlink" Target="https://type.jp/mypage/apply_interview.do?entryId=10080855" TargetMode="External"/><Relationship Id="rId64" Type="http://schemas.openxmlformats.org/officeDocument/2006/relationships/hyperlink" Target="https://type.jp/mypage/apply_interview.do?entryId=10023868" TargetMode="External"/><Relationship Id="rId118" Type="http://schemas.openxmlformats.org/officeDocument/2006/relationships/hyperlink" Target="https://type.jp/mypage/apply_interview.do?entryId=9926277" TargetMode="External"/><Relationship Id="rId139" Type="http://schemas.openxmlformats.org/officeDocument/2006/relationships/hyperlink" Target="https://type.jp/mypage/apply_interview.do?entryId=10183887" TargetMode="External"/><Relationship Id="rId85" Type="http://schemas.openxmlformats.org/officeDocument/2006/relationships/hyperlink" Target="https://type.jp/mypage/apply_interview.do?entryId=9995195" TargetMode="External"/><Relationship Id="rId150" Type="http://schemas.openxmlformats.org/officeDocument/2006/relationships/hyperlink" Target="https://type.jp/mypage/apply_interview.do?entryId=10168633" TargetMode="External"/><Relationship Id="rId12" Type="http://schemas.openxmlformats.org/officeDocument/2006/relationships/hyperlink" Target="https://type.jp/mypage/apply_interview.do?entryId=10151656" TargetMode="External"/><Relationship Id="rId17" Type="http://schemas.openxmlformats.org/officeDocument/2006/relationships/hyperlink" Target="https://type.jp/mypage/apply_interview.do?entryId=10137037" TargetMode="External"/><Relationship Id="rId33" Type="http://schemas.openxmlformats.org/officeDocument/2006/relationships/hyperlink" Target="https://type.jp/mypage/apply_interview.do?entryId=10116479" TargetMode="External"/><Relationship Id="rId38" Type="http://schemas.openxmlformats.org/officeDocument/2006/relationships/hyperlink" Target="https://type.jp/mypage/apply_interview.do?entryId=10107649" TargetMode="External"/><Relationship Id="rId59" Type="http://schemas.openxmlformats.org/officeDocument/2006/relationships/hyperlink" Target="https://type.jp/mypage/apply_interview.do?entryId=10026418" TargetMode="External"/><Relationship Id="rId103" Type="http://schemas.openxmlformats.org/officeDocument/2006/relationships/hyperlink" Target="https://type.jp/mypage/apply_interview.do?entryId=9964209" TargetMode="External"/><Relationship Id="rId108" Type="http://schemas.openxmlformats.org/officeDocument/2006/relationships/hyperlink" Target="https://type.jp/mypage/apply_interview.do?entryId=9951036" TargetMode="External"/><Relationship Id="rId124" Type="http://schemas.openxmlformats.org/officeDocument/2006/relationships/hyperlink" Target="https://type.jp/mypage/apply_interview.do?entryId=9860693" TargetMode="External"/><Relationship Id="rId129" Type="http://schemas.openxmlformats.org/officeDocument/2006/relationships/hyperlink" Target="https://type.jp/mypage/apply_interview.do?entryId=9743333" TargetMode="External"/><Relationship Id="rId54" Type="http://schemas.openxmlformats.org/officeDocument/2006/relationships/hyperlink" Target="https://type.jp/mypage/apply_interview.do?entryId=10039685" TargetMode="External"/><Relationship Id="rId70" Type="http://schemas.openxmlformats.org/officeDocument/2006/relationships/hyperlink" Target="https://type.jp/mypage/apply_interview.do?entryId=10020547" TargetMode="External"/><Relationship Id="rId75" Type="http://schemas.openxmlformats.org/officeDocument/2006/relationships/hyperlink" Target="https://type.jp/mypage/apply_interview.do?entryId=10013849" TargetMode="External"/><Relationship Id="rId91" Type="http://schemas.openxmlformats.org/officeDocument/2006/relationships/hyperlink" Target="https://type.jp/mypage/apply_interview.do?entryId=9969951" TargetMode="External"/><Relationship Id="rId96" Type="http://schemas.openxmlformats.org/officeDocument/2006/relationships/hyperlink" Target="https://type.jp/mypage/apply_interview.do?entryId=9964222" TargetMode="External"/><Relationship Id="rId140" Type="http://schemas.openxmlformats.org/officeDocument/2006/relationships/hyperlink" Target="https://type.jp/mypage/apply_interview.do?entryId=10180257" TargetMode="External"/><Relationship Id="rId145" Type="http://schemas.openxmlformats.org/officeDocument/2006/relationships/hyperlink" Target="https://type.jp/mypage/apply_interview.do?entryId=10169264" TargetMode="External"/><Relationship Id="rId161" Type="http://schemas.openxmlformats.org/officeDocument/2006/relationships/hyperlink" Target="https://type.jp/mypage/apply_interview.do?entryId=10155234" TargetMode="External"/><Relationship Id="rId1" Type="http://schemas.openxmlformats.org/officeDocument/2006/relationships/hyperlink" Target="https://type.jp/mypage/apply_interview.do?entryId=10152627" TargetMode="External"/><Relationship Id="rId6" Type="http://schemas.openxmlformats.org/officeDocument/2006/relationships/hyperlink" Target="https://type.jp/mypage/apply_interview.do?entryId=10152127" TargetMode="External"/><Relationship Id="rId23" Type="http://schemas.openxmlformats.org/officeDocument/2006/relationships/hyperlink" Target="https://type.jp/mypage/apply_interview.do?entryId=10133088" TargetMode="External"/><Relationship Id="rId28" Type="http://schemas.openxmlformats.org/officeDocument/2006/relationships/hyperlink" Target="https://type.jp/mypage/apply_interview.do?entryId=10125254" TargetMode="External"/><Relationship Id="rId49" Type="http://schemas.openxmlformats.org/officeDocument/2006/relationships/hyperlink" Target="https://type.jp/mypage/apply_interview.do?entryId=10076191" TargetMode="External"/><Relationship Id="rId114" Type="http://schemas.openxmlformats.org/officeDocument/2006/relationships/hyperlink" Target="https://type.jp/mypage/apply_interview.do?entryId=9929765" TargetMode="External"/><Relationship Id="rId119" Type="http://schemas.openxmlformats.org/officeDocument/2006/relationships/hyperlink" Target="https://type.jp/mypage/apply_interview.do?entryId=9926248" TargetMode="External"/><Relationship Id="rId44" Type="http://schemas.openxmlformats.org/officeDocument/2006/relationships/hyperlink" Target="https://type.jp/mypage/apply_interview.do?entryId=10080838" TargetMode="External"/><Relationship Id="rId60" Type="http://schemas.openxmlformats.org/officeDocument/2006/relationships/hyperlink" Target="https://type.jp/mypage/apply_interview.do?entryId=10026070" TargetMode="External"/><Relationship Id="rId65" Type="http://schemas.openxmlformats.org/officeDocument/2006/relationships/hyperlink" Target="https://type.jp/mypage/apply_interview.do?entryId=10023853" TargetMode="External"/><Relationship Id="rId81" Type="http://schemas.openxmlformats.org/officeDocument/2006/relationships/hyperlink" Target="https://type.jp/mypage/apply_interview.do?entryId=10002207" TargetMode="External"/><Relationship Id="rId86" Type="http://schemas.openxmlformats.org/officeDocument/2006/relationships/hyperlink" Target="https://type.jp/mypage/apply_interview.do?entryId=9995075" TargetMode="External"/><Relationship Id="rId130" Type="http://schemas.openxmlformats.org/officeDocument/2006/relationships/hyperlink" Target="https://type.jp/mypage/apply_interview.do?entryId=10199065" TargetMode="External"/><Relationship Id="rId135" Type="http://schemas.openxmlformats.org/officeDocument/2006/relationships/hyperlink" Target="https://type.jp/mypage/apply_interview.do?entryId=10184664" TargetMode="External"/><Relationship Id="rId151" Type="http://schemas.openxmlformats.org/officeDocument/2006/relationships/hyperlink" Target="https://type.jp/mypage/apply_interview.do?entryId=10166998" TargetMode="External"/><Relationship Id="rId156" Type="http://schemas.openxmlformats.org/officeDocument/2006/relationships/hyperlink" Target="https://type.jp/mypage/apply_interview.do?entryId=10157728" TargetMode="External"/><Relationship Id="rId13" Type="http://schemas.openxmlformats.org/officeDocument/2006/relationships/hyperlink" Target="https://type.jp/mypage/apply_interview.do?entryId=10148668" TargetMode="External"/><Relationship Id="rId18" Type="http://schemas.openxmlformats.org/officeDocument/2006/relationships/hyperlink" Target="https://type.jp/mypage/apply_interview.do?entryId=10137036" TargetMode="External"/><Relationship Id="rId39" Type="http://schemas.openxmlformats.org/officeDocument/2006/relationships/hyperlink" Target="https://type.jp/mypage/apply_interview.do?entryId=10092629" TargetMode="External"/><Relationship Id="rId109" Type="http://schemas.openxmlformats.org/officeDocument/2006/relationships/hyperlink" Target="https://type.jp/mypage/apply_interview.do?entryId=9951030" TargetMode="External"/><Relationship Id="rId34" Type="http://schemas.openxmlformats.org/officeDocument/2006/relationships/hyperlink" Target="https://type.jp/mypage/apply_interview.do?entryId=10115858" TargetMode="External"/><Relationship Id="rId50" Type="http://schemas.openxmlformats.org/officeDocument/2006/relationships/hyperlink" Target="https://type.jp/mypage/apply_interview.do?entryId=10072797" TargetMode="External"/><Relationship Id="rId55" Type="http://schemas.openxmlformats.org/officeDocument/2006/relationships/hyperlink" Target="https://type.jp/mypage/apply_interview.do?entryId=10039668" TargetMode="External"/><Relationship Id="rId76" Type="http://schemas.openxmlformats.org/officeDocument/2006/relationships/hyperlink" Target="https://type.jp/mypage/apply_interview.do?entryId=10009986" TargetMode="External"/><Relationship Id="rId97" Type="http://schemas.openxmlformats.org/officeDocument/2006/relationships/hyperlink" Target="https://type.jp/mypage/apply_interview.do?entryId=9964221" TargetMode="External"/><Relationship Id="rId104" Type="http://schemas.openxmlformats.org/officeDocument/2006/relationships/hyperlink" Target="https://type.jp/mypage/apply_interview.do?entryId=9964207" TargetMode="External"/><Relationship Id="rId120" Type="http://schemas.openxmlformats.org/officeDocument/2006/relationships/hyperlink" Target="https://type.jp/mypage/apply_interview.do?entryId=9890100" TargetMode="External"/><Relationship Id="rId125" Type="http://schemas.openxmlformats.org/officeDocument/2006/relationships/hyperlink" Target="https://type.jp/mypage/apply_interview.do?entryId=9857285" TargetMode="External"/><Relationship Id="rId141" Type="http://schemas.openxmlformats.org/officeDocument/2006/relationships/hyperlink" Target="https://type.jp/mypage/apply_interview.do?entryId=10169364" TargetMode="External"/><Relationship Id="rId146" Type="http://schemas.openxmlformats.org/officeDocument/2006/relationships/hyperlink" Target="https://type.jp/mypage/apply_interview.do?entryId=10169254" TargetMode="External"/><Relationship Id="rId7" Type="http://schemas.openxmlformats.org/officeDocument/2006/relationships/hyperlink" Target="https://type.jp/mypage/apply_interview.do?entryId=10152126" TargetMode="External"/><Relationship Id="rId71" Type="http://schemas.openxmlformats.org/officeDocument/2006/relationships/hyperlink" Target="https://type.jp/mypage/apply_interview.do?entryId=10019526" TargetMode="External"/><Relationship Id="rId92" Type="http://schemas.openxmlformats.org/officeDocument/2006/relationships/hyperlink" Target="https://type.jp/mypage/apply_interview.do?entryId=9969926" TargetMode="External"/><Relationship Id="rId2" Type="http://schemas.openxmlformats.org/officeDocument/2006/relationships/hyperlink" Target="https://type.jp/mypage/apply_interview.do?entryId=10152147" TargetMode="External"/><Relationship Id="rId29" Type="http://schemas.openxmlformats.org/officeDocument/2006/relationships/hyperlink" Target="https://type.jp/mypage/apply_interview.do?entryId=10118144" TargetMode="External"/><Relationship Id="rId24" Type="http://schemas.openxmlformats.org/officeDocument/2006/relationships/hyperlink" Target="https://type.jp/mypage/apply_interview.do?entryId=10133073" TargetMode="External"/><Relationship Id="rId40" Type="http://schemas.openxmlformats.org/officeDocument/2006/relationships/hyperlink" Target="https://type.jp/mypage/apply_interview.do?entryId=10090744" TargetMode="External"/><Relationship Id="rId45" Type="http://schemas.openxmlformats.org/officeDocument/2006/relationships/hyperlink" Target="https://type.jp/mypage/apply_interview.do?entryId=10079575" TargetMode="External"/><Relationship Id="rId66" Type="http://schemas.openxmlformats.org/officeDocument/2006/relationships/hyperlink" Target="https://type.jp/mypage/apply_interview.do?entryId=10022581" TargetMode="External"/><Relationship Id="rId87" Type="http://schemas.openxmlformats.org/officeDocument/2006/relationships/hyperlink" Target="https://type.jp/mypage/apply_interview.do?entryId=9985926" TargetMode="External"/><Relationship Id="rId110" Type="http://schemas.openxmlformats.org/officeDocument/2006/relationships/hyperlink" Target="https://type.jp/mypage/apply_interview.do?entryId=9951028" TargetMode="External"/><Relationship Id="rId115" Type="http://schemas.openxmlformats.org/officeDocument/2006/relationships/hyperlink" Target="https://type.jp/mypage/apply_interview.do?entryId=9929762" TargetMode="External"/><Relationship Id="rId131" Type="http://schemas.openxmlformats.org/officeDocument/2006/relationships/hyperlink" Target="https://type.jp/mypage/apply_interview.do?entryId=10195236" TargetMode="External"/><Relationship Id="rId136" Type="http://schemas.openxmlformats.org/officeDocument/2006/relationships/hyperlink" Target="https://type.jp/mypage/apply_interview.do?entryId=10184600" TargetMode="External"/><Relationship Id="rId157" Type="http://schemas.openxmlformats.org/officeDocument/2006/relationships/hyperlink" Target="https://type.jp/mypage/apply_interview.do?entryId=10155289" TargetMode="External"/><Relationship Id="rId61" Type="http://schemas.openxmlformats.org/officeDocument/2006/relationships/hyperlink" Target="https://type.jp/mypage/apply_interview.do?entryId=10026069" TargetMode="External"/><Relationship Id="rId82" Type="http://schemas.openxmlformats.org/officeDocument/2006/relationships/hyperlink" Target="https://type.jp/mypage/apply_interview.do?entryId=10002176" TargetMode="External"/><Relationship Id="rId152" Type="http://schemas.openxmlformats.org/officeDocument/2006/relationships/hyperlink" Target="https://type.jp/mypage/apply_interview.do?entryId=10158013" TargetMode="External"/><Relationship Id="rId19" Type="http://schemas.openxmlformats.org/officeDocument/2006/relationships/hyperlink" Target="https://type.jp/mypage/apply_interview.do?entryId=10136032" TargetMode="External"/><Relationship Id="rId14" Type="http://schemas.openxmlformats.org/officeDocument/2006/relationships/hyperlink" Target="https://type.jp/mypage/apply_interview.do?entryId=10141194" TargetMode="External"/><Relationship Id="rId30" Type="http://schemas.openxmlformats.org/officeDocument/2006/relationships/hyperlink" Target="https://type.jp/mypage/apply_interview.do?entryId=10118134" TargetMode="External"/><Relationship Id="rId35" Type="http://schemas.openxmlformats.org/officeDocument/2006/relationships/hyperlink" Target="https://type.jp/mypage/apply_interview.do?entryId=10115251" TargetMode="External"/><Relationship Id="rId56" Type="http://schemas.openxmlformats.org/officeDocument/2006/relationships/hyperlink" Target="https://type.jp/mypage/apply_interview.do?entryId=10037670" TargetMode="External"/><Relationship Id="rId77" Type="http://schemas.openxmlformats.org/officeDocument/2006/relationships/hyperlink" Target="https://type.jp/mypage/apply_interview.do?entryId=10008725" TargetMode="External"/><Relationship Id="rId100" Type="http://schemas.openxmlformats.org/officeDocument/2006/relationships/hyperlink" Target="https://type.jp/mypage/apply_interview.do?entryId=9964214" TargetMode="External"/><Relationship Id="rId105" Type="http://schemas.openxmlformats.org/officeDocument/2006/relationships/hyperlink" Target="https://type.jp/mypage/apply_interview.do?entryId=9964206" TargetMode="External"/><Relationship Id="rId126" Type="http://schemas.openxmlformats.org/officeDocument/2006/relationships/hyperlink" Target="https://type.jp/mypage/apply_interview.do?entryId=9857231" TargetMode="External"/><Relationship Id="rId147" Type="http://schemas.openxmlformats.org/officeDocument/2006/relationships/hyperlink" Target="https://type.jp/mypage/apply_interview.do?entryId=10168914" TargetMode="External"/><Relationship Id="rId8" Type="http://schemas.openxmlformats.org/officeDocument/2006/relationships/hyperlink" Target="https://type.jp/mypage/apply_interview.do?entryId=10152124" TargetMode="External"/><Relationship Id="rId51" Type="http://schemas.openxmlformats.org/officeDocument/2006/relationships/hyperlink" Target="https://type.jp/mypage/apply_interview.do?entryId=10072793" TargetMode="External"/><Relationship Id="rId72" Type="http://schemas.openxmlformats.org/officeDocument/2006/relationships/hyperlink" Target="https://type.jp/mypage/apply_interview.do?entryId=10014937" TargetMode="External"/><Relationship Id="rId93" Type="http://schemas.openxmlformats.org/officeDocument/2006/relationships/hyperlink" Target="https://type.jp/mypage/apply_interview.do?entryId=9969917" TargetMode="External"/><Relationship Id="rId98" Type="http://schemas.openxmlformats.org/officeDocument/2006/relationships/hyperlink" Target="https://type.jp/mypage/apply_interview.do?entryId=9964220" TargetMode="External"/><Relationship Id="rId121" Type="http://schemas.openxmlformats.org/officeDocument/2006/relationships/hyperlink" Target="https://type.jp/mypage/apply_interview.do?entryId=9863619" TargetMode="External"/><Relationship Id="rId142" Type="http://schemas.openxmlformats.org/officeDocument/2006/relationships/hyperlink" Target="https://type.jp/mypage/apply_interview.do?entryId=10169362" TargetMode="External"/><Relationship Id="rId3" Type="http://schemas.openxmlformats.org/officeDocument/2006/relationships/hyperlink" Target="https://type.jp/mypage/apply_interview.do?entryId=10152143" TargetMode="External"/><Relationship Id="rId25" Type="http://schemas.openxmlformats.org/officeDocument/2006/relationships/hyperlink" Target="https://type.jp/mypage/apply_interview.do?entryId=10131647" TargetMode="External"/><Relationship Id="rId46" Type="http://schemas.openxmlformats.org/officeDocument/2006/relationships/hyperlink" Target="https://type.jp/mypage/apply_interview.do?entryId=10079573" TargetMode="External"/><Relationship Id="rId67" Type="http://schemas.openxmlformats.org/officeDocument/2006/relationships/hyperlink" Target="https://type.jp/mypage/apply_interview.do?entryId=10022572" TargetMode="External"/><Relationship Id="rId116" Type="http://schemas.openxmlformats.org/officeDocument/2006/relationships/hyperlink" Target="https://type.jp/mypage/apply_interview.do?entryId=9929757" TargetMode="External"/><Relationship Id="rId137" Type="http://schemas.openxmlformats.org/officeDocument/2006/relationships/hyperlink" Target="https://type.jp/mypage/apply_interview.do?entryId=10184586" TargetMode="External"/><Relationship Id="rId158" Type="http://schemas.openxmlformats.org/officeDocument/2006/relationships/hyperlink" Target="https://type.jp/mypage/apply_interview.do?entryId=10155285" TargetMode="External"/><Relationship Id="rId20" Type="http://schemas.openxmlformats.org/officeDocument/2006/relationships/hyperlink" Target="https://type.jp/mypage/apply_interview.do?entryId=10135364" TargetMode="External"/><Relationship Id="rId41" Type="http://schemas.openxmlformats.org/officeDocument/2006/relationships/hyperlink" Target="https://type.jp/mypage/apply_interview.do?entryId=10085588" TargetMode="External"/><Relationship Id="rId62" Type="http://schemas.openxmlformats.org/officeDocument/2006/relationships/hyperlink" Target="https://type.jp/mypage/apply_interview.do?entryId=10026068" TargetMode="External"/><Relationship Id="rId83" Type="http://schemas.openxmlformats.org/officeDocument/2006/relationships/hyperlink" Target="https://type.jp/mypage/apply_interview.do?entryId=9995203" TargetMode="External"/><Relationship Id="rId88" Type="http://schemas.openxmlformats.org/officeDocument/2006/relationships/hyperlink" Target="https://type.jp/mypage/apply_interview.do?entryId=9983370" TargetMode="External"/><Relationship Id="rId111" Type="http://schemas.openxmlformats.org/officeDocument/2006/relationships/hyperlink" Target="https://type.jp/mypage/apply_interview.do?entryId=9950976" TargetMode="External"/><Relationship Id="rId132" Type="http://schemas.openxmlformats.org/officeDocument/2006/relationships/hyperlink" Target="https://type.jp/mypage/apply_interview.do?entryId=10193034" TargetMode="External"/><Relationship Id="rId153" Type="http://schemas.openxmlformats.org/officeDocument/2006/relationships/hyperlink" Target="https://type.jp/mypage/apply_interview.do?entryId=10158011" TargetMode="External"/><Relationship Id="rId15" Type="http://schemas.openxmlformats.org/officeDocument/2006/relationships/hyperlink" Target="https://type.jp/mypage/apply_interview.do?entryId=10141164" TargetMode="External"/><Relationship Id="rId36" Type="http://schemas.openxmlformats.org/officeDocument/2006/relationships/hyperlink" Target="https://type.jp/mypage/apply_interview.do?entryId=10115109" TargetMode="External"/><Relationship Id="rId57" Type="http://schemas.openxmlformats.org/officeDocument/2006/relationships/hyperlink" Target="https://type.jp/mypage/apply_interview.do?entryId=10036949" TargetMode="External"/><Relationship Id="rId106" Type="http://schemas.openxmlformats.org/officeDocument/2006/relationships/hyperlink" Target="https://type.jp/mypage/apply_interview.do?entryId=9964204" TargetMode="External"/><Relationship Id="rId127" Type="http://schemas.openxmlformats.org/officeDocument/2006/relationships/hyperlink" Target="https://type.jp/mypage/apply_interview.do?entryId=9857146" TargetMode="External"/><Relationship Id="rId10" Type="http://schemas.openxmlformats.org/officeDocument/2006/relationships/hyperlink" Target="https://type.jp/mypage/apply_interview.do?entryId=10152121" TargetMode="External"/><Relationship Id="rId31" Type="http://schemas.openxmlformats.org/officeDocument/2006/relationships/hyperlink" Target="https://type.jp/mypage/apply_interview.do?entryId=10117895" TargetMode="External"/><Relationship Id="rId52" Type="http://schemas.openxmlformats.org/officeDocument/2006/relationships/hyperlink" Target="https://type.jp/mypage/apply_interview.do?entryId=10047426" TargetMode="External"/><Relationship Id="rId73" Type="http://schemas.openxmlformats.org/officeDocument/2006/relationships/hyperlink" Target="https://type.jp/mypage/apply_interview.do?entryId=10014934" TargetMode="External"/><Relationship Id="rId78" Type="http://schemas.openxmlformats.org/officeDocument/2006/relationships/hyperlink" Target="https://type.jp/mypage/apply_interview.do?entryId=10008704" TargetMode="External"/><Relationship Id="rId94" Type="http://schemas.openxmlformats.org/officeDocument/2006/relationships/hyperlink" Target="https://type.jp/mypage/apply_interview.do?entryId=9967257" TargetMode="External"/><Relationship Id="rId99" Type="http://schemas.openxmlformats.org/officeDocument/2006/relationships/hyperlink" Target="https://type.jp/mypage/apply_interview.do?entryId=9964216" TargetMode="External"/><Relationship Id="rId101" Type="http://schemas.openxmlformats.org/officeDocument/2006/relationships/hyperlink" Target="https://type.jp/mypage/apply_interview.do?entryId=9964213" TargetMode="External"/><Relationship Id="rId122" Type="http://schemas.openxmlformats.org/officeDocument/2006/relationships/hyperlink" Target="https://type.jp/mypage/apply_interview.do?entryId=9863584" TargetMode="External"/><Relationship Id="rId143" Type="http://schemas.openxmlformats.org/officeDocument/2006/relationships/hyperlink" Target="https://type.jp/mypage/apply_interview.do?entryId=10169360" TargetMode="External"/><Relationship Id="rId148" Type="http://schemas.openxmlformats.org/officeDocument/2006/relationships/hyperlink" Target="https://type.jp/mypage/apply_interview.do?entryId=10168902" TargetMode="External"/><Relationship Id="rId4" Type="http://schemas.openxmlformats.org/officeDocument/2006/relationships/hyperlink" Target="https://type.jp/mypage/apply_interview.do?entryId=10152129" TargetMode="External"/><Relationship Id="rId9" Type="http://schemas.openxmlformats.org/officeDocument/2006/relationships/hyperlink" Target="https://type.jp/mypage/apply_interview.do?entryId=10152123" TargetMode="External"/><Relationship Id="rId26" Type="http://schemas.openxmlformats.org/officeDocument/2006/relationships/hyperlink" Target="https://type.jp/mypage/apply_interview.do?entryId=10131641" TargetMode="External"/><Relationship Id="rId47" Type="http://schemas.openxmlformats.org/officeDocument/2006/relationships/hyperlink" Target="https://type.jp/mypage/apply_interview.do?entryId=10079568" TargetMode="External"/><Relationship Id="rId68" Type="http://schemas.openxmlformats.org/officeDocument/2006/relationships/hyperlink" Target="https://type.jp/mypage/apply_interview.do?entryId=10022568" TargetMode="External"/><Relationship Id="rId89" Type="http://schemas.openxmlformats.org/officeDocument/2006/relationships/hyperlink" Target="https://type.jp/mypage/apply_interview.do?entryId=9970167" TargetMode="External"/><Relationship Id="rId112" Type="http://schemas.openxmlformats.org/officeDocument/2006/relationships/hyperlink" Target="https://type.jp/mypage/apply_interview.do?entryId=9944664" TargetMode="External"/><Relationship Id="rId133" Type="http://schemas.openxmlformats.org/officeDocument/2006/relationships/hyperlink" Target="https://type.jp/mypage/apply_interview.do?entryId=10192987" TargetMode="External"/><Relationship Id="rId154" Type="http://schemas.openxmlformats.org/officeDocument/2006/relationships/hyperlink" Target="https://type.jp/mypage/apply_interview.do?entryId=10157991" TargetMode="External"/><Relationship Id="rId16" Type="http://schemas.openxmlformats.org/officeDocument/2006/relationships/hyperlink" Target="https://type.jp/mypage/apply_interview.do?entryId=10138123" TargetMode="External"/><Relationship Id="rId37" Type="http://schemas.openxmlformats.org/officeDocument/2006/relationships/hyperlink" Target="https://type.jp/mypage/apply_interview.do?entryId=10107759" TargetMode="External"/><Relationship Id="rId58" Type="http://schemas.openxmlformats.org/officeDocument/2006/relationships/hyperlink" Target="https://type.jp/mypage/apply_interview.do?entryId=10034542" TargetMode="External"/><Relationship Id="rId79" Type="http://schemas.openxmlformats.org/officeDocument/2006/relationships/hyperlink" Target="https://type.jp/mypage/apply_interview.do?entryId=10006181" TargetMode="External"/><Relationship Id="rId102" Type="http://schemas.openxmlformats.org/officeDocument/2006/relationships/hyperlink" Target="https://type.jp/mypage/apply_interview.do?entryId=9964211" TargetMode="External"/><Relationship Id="rId123" Type="http://schemas.openxmlformats.org/officeDocument/2006/relationships/hyperlink" Target="https://type.jp/mypage/apply_interview.do?entryId=9860894" TargetMode="External"/><Relationship Id="rId144" Type="http://schemas.openxmlformats.org/officeDocument/2006/relationships/hyperlink" Target="https://type.jp/mypage/apply_interview.do?entryId=10169291" TargetMode="External"/><Relationship Id="rId90" Type="http://schemas.openxmlformats.org/officeDocument/2006/relationships/hyperlink" Target="https://type.jp/mypage/apply_interview.do?entryId=9969969" TargetMode="External"/><Relationship Id="rId27" Type="http://schemas.openxmlformats.org/officeDocument/2006/relationships/hyperlink" Target="https://type.jp/mypage/apply_interview.do?entryId=10131541" TargetMode="External"/><Relationship Id="rId48" Type="http://schemas.openxmlformats.org/officeDocument/2006/relationships/hyperlink" Target="https://type.jp/mypage/apply_interview.do?entryId=10076587" TargetMode="External"/><Relationship Id="rId69" Type="http://schemas.openxmlformats.org/officeDocument/2006/relationships/hyperlink" Target="https://type.jp/mypage/apply_interview.do?entryId=10020549" TargetMode="External"/><Relationship Id="rId113" Type="http://schemas.openxmlformats.org/officeDocument/2006/relationships/hyperlink" Target="https://type.jp/mypage/apply_interview.do?entryId=9942841" TargetMode="External"/><Relationship Id="rId134" Type="http://schemas.openxmlformats.org/officeDocument/2006/relationships/hyperlink" Target="https://type.jp/mypage/apply_interview.do?entryId=10184698" TargetMode="External"/><Relationship Id="rId80" Type="http://schemas.openxmlformats.org/officeDocument/2006/relationships/hyperlink" Target="https://type.jp/mypage/apply_interview.do?entryId=10005884" TargetMode="External"/><Relationship Id="rId155" Type="http://schemas.openxmlformats.org/officeDocument/2006/relationships/hyperlink" Target="https://type.jp/mypage/apply_interview.do?entryId=10157967"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04877F-8979-4975-93B7-20C1886BEB84}">
  <dimension ref="A1:T281"/>
  <sheetViews>
    <sheetView tabSelected="1" zoomScaleNormal="100" zoomScaleSheetLayoutView="100" workbookViewId="0">
      <selection activeCell="A2" sqref="A2:A8"/>
    </sheetView>
  </sheetViews>
  <sheetFormatPr defaultColWidth="8.75" defaultRowHeight="15.75"/>
  <cols>
    <col min="1" max="1" width="19.75" style="134" customWidth="1"/>
    <col min="2" max="3" width="11.625" style="134" customWidth="1"/>
    <col min="4" max="4" width="10.625" style="134" customWidth="1"/>
    <col min="5" max="5" width="12.25" style="134" customWidth="1"/>
    <col min="6" max="7" width="23.25" style="134" customWidth="1"/>
    <col min="8" max="8" width="18.625" style="134" customWidth="1"/>
    <col min="9" max="9" width="26.875" style="134" customWidth="1"/>
    <col min="10" max="10" width="21.125" style="134" customWidth="1"/>
    <col min="11" max="20" width="10.375" style="134" customWidth="1"/>
    <col min="21" max="16384" width="8.75" style="134"/>
  </cols>
  <sheetData>
    <row r="1" spans="1:20">
      <c r="A1" s="136" t="s">
        <v>1176</v>
      </c>
      <c r="B1" s="136" t="s">
        <v>4159</v>
      </c>
      <c r="C1" s="136" t="s">
        <v>1175</v>
      </c>
      <c r="D1" s="136" t="s">
        <v>1174</v>
      </c>
      <c r="E1" s="136" t="s">
        <v>1173</v>
      </c>
      <c r="F1" s="136" t="s">
        <v>1172</v>
      </c>
      <c r="G1" s="136" t="s">
        <v>1171</v>
      </c>
      <c r="H1" s="136" t="s">
        <v>1170</v>
      </c>
      <c r="I1" s="136" t="s">
        <v>1169</v>
      </c>
      <c r="J1" s="136" t="s">
        <v>1168</v>
      </c>
      <c r="K1" s="136"/>
      <c r="L1" s="136"/>
      <c r="M1" s="136"/>
      <c r="N1" s="136"/>
      <c r="O1" s="136"/>
      <c r="P1" s="136"/>
      <c r="Q1" s="136"/>
      <c r="R1" s="136"/>
      <c r="S1" s="136"/>
      <c r="T1" s="136"/>
    </row>
    <row r="2" spans="1:20">
      <c r="A2" s="143">
        <v>44277</v>
      </c>
      <c r="B2" s="136" t="s">
        <v>1156</v>
      </c>
      <c r="C2" s="136" t="s">
        <v>1149</v>
      </c>
      <c r="D2" s="142">
        <v>0.20833333333333334</v>
      </c>
      <c r="E2" s="142">
        <v>0.29166666666666669</v>
      </c>
      <c r="F2" s="136" t="s">
        <v>1152</v>
      </c>
      <c r="G2" s="136" t="s">
        <v>1164</v>
      </c>
      <c r="H2" s="136"/>
      <c r="I2" s="136"/>
      <c r="J2" s="136"/>
      <c r="K2" s="136"/>
      <c r="L2" s="136"/>
      <c r="M2" s="136"/>
      <c r="N2" s="136"/>
      <c r="O2" s="136"/>
      <c r="P2" s="136"/>
      <c r="Q2" s="136"/>
      <c r="R2" s="136"/>
      <c r="S2" s="136"/>
      <c r="T2" s="136"/>
    </row>
    <row r="3" spans="1:20">
      <c r="A3" s="143">
        <v>44277</v>
      </c>
      <c r="B3" s="136" t="s">
        <v>1156</v>
      </c>
      <c r="C3" s="136" t="s">
        <v>1149</v>
      </c>
      <c r="D3" s="142">
        <v>0.29166666666666669</v>
      </c>
      <c r="E3" s="142">
        <v>0.33333333333333331</v>
      </c>
      <c r="F3" s="136" t="s">
        <v>1148</v>
      </c>
      <c r="G3" s="136"/>
      <c r="H3" s="136"/>
      <c r="I3" s="136"/>
      <c r="J3" s="136"/>
      <c r="K3" s="136"/>
      <c r="L3" s="136"/>
      <c r="M3" s="136"/>
      <c r="N3" s="136"/>
      <c r="O3" s="136"/>
      <c r="P3" s="136"/>
      <c r="Q3" s="136"/>
      <c r="R3" s="136"/>
      <c r="S3" s="136"/>
      <c r="T3" s="136"/>
    </row>
    <row r="4" spans="1:20" ht="16.5">
      <c r="A4" s="143">
        <v>44277</v>
      </c>
      <c r="B4" s="136" t="s">
        <v>1156</v>
      </c>
      <c r="C4" s="136" t="s">
        <v>1149</v>
      </c>
      <c r="D4" s="142">
        <v>0.50694444444444442</v>
      </c>
      <c r="E4" s="142">
        <v>0.52777777777777779</v>
      </c>
      <c r="F4" s="136" t="s">
        <v>1158</v>
      </c>
      <c r="G4" s="139"/>
      <c r="H4" s="137"/>
      <c r="I4" s="137"/>
      <c r="J4" s="135"/>
      <c r="K4" s="135"/>
      <c r="L4" s="135"/>
      <c r="M4" s="135"/>
      <c r="N4" s="135"/>
      <c r="O4" s="135"/>
      <c r="P4" s="135"/>
      <c r="Q4" s="135"/>
      <c r="R4" s="135"/>
      <c r="S4" s="135"/>
      <c r="T4" s="135"/>
    </row>
    <row r="5" spans="1:20" ht="16.5">
      <c r="A5" s="143">
        <v>44277</v>
      </c>
      <c r="B5" s="136" t="s">
        <v>1156</v>
      </c>
      <c r="C5" s="136" t="s">
        <v>1149</v>
      </c>
      <c r="D5" s="142">
        <v>0.77083333333333337</v>
      </c>
      <c r="E5" s="142">
        <v>0.8125</v>
      </c>
      <c r="F5" s="136" t="s">
        <v>1152</v>
      </c>
      <c r="G5" s="139" t="s">
        <v>1163</v>
      </c>
      <c r="H5" s="137"/>
      <c r="I5" s="137"/>
      <c r="J5" s="135"/>
      <c r="K5" s="135"/>
      <c r="L5" s="135"/>
      <c r="M5" s="135"/>
      <c r="N5" s="135"/>
      <c r="O5" s="135"/>
      <c r="P5" s="135"/>
      <c r="Q5" s="135"/>
      <c r="R5" s="135"/>
      <c r="S5" s="135"/>
      <c r="T5" s="135"/>
    </row>
    <row r="6" spans="1:20" ht="16.5">
      <c r="A6" s="143">
        <v>44277</v>
      </c>
      <c r="B6" s="136" t="s">
        <v>1150</v>
      </c>
      <c r="C6" s="136" t="s">
        <v>1149</v>
      </c>
      <c r="D6" s="142">
        <v>0.83333333333333337</v>
      </c>
      <c r="E6" s="142">
        <v>0.875</v>
      </c>
      <c r="F6" s="136" t="s">
        <v>1154</v>
      </c>
      <c r="G6" s="139"/>
      <c r="H6" s="137"/>
      <c r="I6" s="137"/>
      <c r="J6" s="135"/>
      <c r="K6" s="135"/>
      <c r="L6" s="135"/>
      <c r="M6" s="135"/>
      <c r="N6" s="135"/>
      <c r="O6" s="135"/>
      <c r="P6" s="135"/>
      <c r="Q6" s="135"/>
      <c r="R6" s="135"/>
      <c r="S6" s="135"/>
      <c r="T6" s="135"/>
    </row>
    <row r="7" spans="1:20" ht="16.5">
      <c r="A7" s="143">
        <v>44277</v>
      </c>
      <c r="B7" s="136" t="s">
        <v>1150</v>
      </c>
      <c r="C7" s="136" t="s">
        <v>1149</v>
      </c>
      <c r="D7" s="142">
        <v>0.875</v>
      </c>
      <c r="E7" s="142">
        <v>0.91666666666666663</v>
      </c>
      <c r="F7" s="136" t="s">
        <v>1152</v>
      </c>
      <c r="G7" s="139" t="s">
        <v>1162</v>
      </c>
      <c r="H7" s="139"/>
      <c r="I7" s="139"/>
      <c r="J7" s="135"/>
      <c r="K7" s="135"/>
      <c r="L7" s="135"/>
      <c r="M7" s="135"/>
      <c r="N7" s="135"/>
      <c r="O7" s="135"/>
      <c r="P7" s="135"/>
      <c r="Q7" s="135"/>
      <c r="R7" s="135"/>
      <c r="S7" s="135"/>
      <c r="T7" s="135"/>
    </row>
    <row r="8" spans="1:20" ht="16.5">
      <c r="A8" s="143">
        <v>44277</v>
      </c>
      <c r="B8" s="136" t="s">
        <v>1150</v>
      </c>
      <c r="C8" s="136" t="s">
        <v>1149</v>
      </c>
      <c r="D8" s="142">
        <v>0.91666666666666663</v>
      </c>
      <c r="E8" s="142">
        <v>0.95833333333333337</v>
      </c>
      <c r="F8" s="136" t="s">
        <v>1148</v>
      </c>
      <c r="G8" s="139" t="s">
        <v>1161</v>
      </c>
      <c r="H8" s="139"/>
      <c r="I8" s="139"/>
      <c r="J8" s="135"/>
      <c r="K8" s="135"/>
      <c r="L8" s="135"/>
      <c r="M8" s="135"/>
      <c r="N8" s="135"/>
      <c r="O8" s="135"/>
      <c r="P8" s="135"/>
      <c r="Q8" s="135"/>
      <c r="R8" s="135"/>
      <c r="S8" s="135"/>
      <c r="T8" s="135"/>
    </row>
    <row r="9" spans="1:20">
      <c r="A9" s="143">
        <v>44278</v>
      </c>
      <c r="B9" s="136" t="s">
        <v>1156</v>
      </c>
      <c r="C9" s="136" t="s">
        <v>1149</v>
      </c>
      <c r="D9" s="142">
        <v>0.20833333333333334</v>
      </c>
      <c r="E9" s="142">
        <v>0.29166666666666669</v>
      </c>
      <c r="F9" s="136" t="s">
        <v>1152</v>
      </c>
      <c r="G9" s="136" t="s">
        <v>1164</v>
      </c>
      <c r="H9" s="136"/>
      <c r="I9" s="136"/>
      <c r="J9" s="136"/>
      <c r="K9" s="136"/>
      <c r="L9" s="136"/>
      <c r="M9" s="136"/>
      <c r="N9" s="136"/>
      <c r="O9" s="136"/>
      <c r="P9" s="136"/>
      <c r="Q9" s="136"/>
      <c r="R9" s="136"/>
      <c r="S9" s="136"/>
      <c r="T9" s="136"/>
    </row>
    <row r="10" spans="1:20">
      <c r="A10" s="143">
        <v>44278</v>
      </c>
      <c r="B10" s="136" t="s">
        <v>1156</v>
      </c>
      <c r="C10" s="136" t="s">
        <v>1149</v>
      </c>
      <c r="D10" s="142">
        <v>0.29166666666666669</v>
      </c>
      <c r="E10" s="142">
        <v>0.33333333333333331</v>
      </c>
      <c r="F10" s="136" t="s">
        <v>1148</v>
      </c>
      <c r="G10" s="136"/>
      <c r="H10" s="136"/>
      <c r="I10" s="136"/>
      <c r="J10" s="136"/>
      <c r="K10" s="136"/>
      <c r="L10" s="136"/>
      <c r="M10" s="136"/>
      <c r="N10" s="136"/>
      <c r="O10" s="136"/>
      <c r="P10" s="136"/>
      <c r="Q10" s="136"/>
      <c r="R10" s="136"/>
      <c r="S10" s="136"/>
      <c r="T10" s="136"/>
    </row>
    <row r="11" spans="1:20" ht="16.5">
      <c r="A11" s="143">
        <v>44278</v>
      </c>
      <c r="B11" s="136" t="s">
        <v>1156</v>
      </c>
      <c r="C11" s="136" t="s">
        <v>1149</v>
      </c>
      <c r="D11" s="142">
        <v>0.50694444444444442</v>
      </c>
      <c r="E11" s="142">
        <v>0.52777777777777779</v>
      </c>
      <c r="F11" s="136" t="s">
        <v>1158</v>
      </c>
      <c r="G11" s="139"/>
      <c r="H11" s="137"/>
      <c r="I11" s="137"/>
      <c r="J11" s="135"/>
      <c r="K11" s="135"/>
      <c r="L11" s="135"/>
      <c r="M11" s="135"/>
      <c r="N11" s="135"/>
      <c r="O11" s="135"/>
      <c r="P11" s="135"/>
      <c r="Q11" s="135"/>
      <c r="R11" s="135"/>
      <c r="S11" s="135"/>
      <c r="T11" s="135"/>
    </row>
    <row r="12" spans="1:20" ht="16.5">
      <c r="A12" s="143">
        <v>44278</v>
      </c>
      <c r="B12" s="136" t="s">
        <v>1156</v>
      </c>
      <c r="C12" s="136" t="s">
        <v>1149</v>
      </c>
      <c r="D12" s="142">
        <v>0.77083333333333337</v>
      </c>
      <c r="E12" s="142">
        <v>0.8125</v>
      </c>
      <c r="F12" s="136" t="s">
        <v>1152</v>
      </c>
      <c r="G12" s="139" t="s">
        <v>1163</v>
      </c>
      <c r="H12" s="137"/>
      <c r="I12" s="137"/>
      <c r="J12" s="135"/>
      <c r="K12" s="135"/>
      <c r="L12" s="135"/>
      <c r="M12" s="135"/>
      <c r="N12" s="135"/>
      <c r="O12" s="135"/>
      <c r="P12" s="135"/>
      <c r="Q12" s="135"/>
      <c r="R12" s="135"/>
      <c r="S12" s="135"/>
      <c r="T12" s="135"/>
    </row>
    <row r="13" spans="1:20" ht="16.5">
      <c r="A13" s="143">
        <v>44278</v>
      </c>
      <c r="B13" s="136" t="s">
        <v>1150</v>
      </c>
      <c r="C13" s="136" t="s">
        <v>1149</v>
      </c>
      <c r="D13" s="142">
        <v>0.83333333333333337</v>
      </c>
      <c r="E13" s="142">
        <v>0.875</v>
      </c>
      <c r="F13" s="136" t="s">
        <v>1154</v>
      </c>
      <c r="G13" s="139"/>
      <c r="H13" s="137"/>
      <c r="I13" s="137"/>
      <c r="J13" s="135"/>
      <c r="K13" s="135"/>
      <c r="L13" s="135"/>
      <c r="M13" s="135"/>
      <c r="N13" s="135"/>
      <c r="O13" s="135"/>
      <c r="P13" s="135"/>
      <c r="Q13" s="135"/>
      <c r="R13" s="135"/>
      <c r="S13" s="135"/>
      <c r="T13" s="135"/>
    </row>
    <row r="14" spans="1:20" ht="16.5">
      <c r="A14" s="143">
        <v>44278</v>
      </c>
      <c r="B14" s="136" t="s">
        <v>1150</v>
      </c>
      <c r="C14" s="136" t="s">
        <v>1149</v>
      </c>
      <c r="D14" s="142">
        <v>0.875</v>
      </c>
      <c r="E14" s="142">
        <v>0.91666666666666663</v>
      </c>
      <c r="F14" s="136" t="s">
        <v>1152</v>
      </c>
      <c r="G14" s="139" t="s">
        <v>1162</v>
      </c>
      <c r="H14" s="139"/>
      <c r="I14" s="139"/>
      <c r="J14" s="135"/>
      <c r="K14" s="135"/>
      <c r="L14" s="135"/>
      <c r="M14" s="135"/>
      <c r="N14" s="135"/>
      <c r="O14" s="135"/>
      <c r="P14" s="135"/>
      <c r="Q14" s="135"/>
      <c r="R14" s="135"/>
      <c r="S14" s="135"/>
      <c r="T14" s="135"/>
    </row>
    <row r="15" spans="1:20" ht="16.5">
      <c r="A15" s="143">
        <v>44278</v>
      </c>
      <c r="B15" s="136" t="s">
        <v>1150</v>
      </c>
      <c r="C15" s="136" t="s">
        <v>1149</v>
      </c>
      <c r="D15" s="142">
        <v>0.91666666666666663</v>
      </c>
      <c r="E15" s="142">
        <v>0.95833333333333337</v>
      </c>
      <c r="F15" s="136" t="s">
        <v>1148</v>
      </c>
      <c r="G15" s="139" t="s">
        <v>1161</v>
      </c>
      <c r="H15" s="139"/>
      <c r="I15" s="139"/>
      <c r="J15" s="135"/>
      <c r="K15" s="135"/>
      <c r="L15" s="135"/>
      <c r="M15" s="135"/>
      <c r="N15" s="135"/>
      <c r="O15" s="135"/>
      <c r="P15" s="135"/>
      <c r="Q15" s="135"/>
      <c r="R15" s="135"/>
      <c r="S15" s="135"/>
      <c r="T15" s="135"/>
    </row>
    <row r="16" spans="1:20">
      <c r="A16" s="143">
        <v>44279</v>
      </c>
      <c r="B16" s="136" t="s">
        <v>1156</v>
      </c>
      <c r="C16" s="136" t="s">
        <v>1149</v>
      </c>
      <c r="D16" s="142">
        <v>0.20833333333333334</v>
      </c>
      <c r="E16" s="142">
        <v>0.29166666666666669</v>
      </c>
      <c r="F16" s="136" t="s">
        <v>1152</v>
      </c>
      <c r="G16" s="136" t="s">
        <v>1164</v>
      </c>
      <c r="H16" s="136"/>
      <c r="I16" s="136"/>
      <c r="J16" s="136"/>
      <c r="K16" s="136"/>
      <c r="L16" s="136"/>
      <c r="M16" s="136"/>
      <c r="N16" s="136"/>
      <c r="O16" s="136"/>
      <c r="P16" s="136"/>
      <c r="Q16" s="136"/>
      <c r="R16" s="136"/>
      <c r="S16" s="136"/>
      <c r="T16" s="136"/>
    </row>
    <row r="17" spans="1:20">
      <c r="A17" s="143">
        <v>44279</v>
      </c>
      <c r="B17" s="136" t="s">
        <v>1156</v>
      </c>
      <c r="C17" s="136" t="s">
        <v>1149</v>
      </c>
      <c r="D17" s="142">
        <v>0.29166666666666669</v>
      </c>
      <c r="E17" s="142">
        <v>0.33333333333333331</v>
      </c>
      <c r="F17" s="136" t="s">
        <v>1148</v>
      </c>
      <c r="G17" s="136"/>
      <c r="H17" s="136"/>
      <c r="I17" s="136"/>
      <c r="J17" s="136"/>
      <c r="K17" s="136"/>
      <c r="L17" s="136"/>
      <c r="M17" s="136"/>
      <c r="N17" s="136"/>
      <c r="O17" s="136"/>
      <c r="P17" s="136"/>
      <c r="Q17" s="136"/>
      <c r="R17" s="136"/>
      <c r="S17" s="136"/>
      <c r="T17" s="136"/>
    </row>
    <row r="18" spans="1:20" ht="16.5">
      <c r="A18" s="143">
        <v>44279</v>
      </c>
      <c r="B18" s="136" t="s">
        <v>1156</v>
      </c>
      <c r="C18" s="136" t="s">
        <v>1149</v>
      </c>
      <c r="D18" s="142">
        <v>0.50694444444444442</v>
      </c>
      <c r="E18" s="142">
        <v>0.52777777777777779</v>
      </c>
      <c r="F18" s="136" t="s">
        <v>1158</v>
      </c>
      <c r="G18" s="139"/>
      <c r="H18" s="137"/>
      <c r="I18" s="137"/>
      <c r="J18" s="135"/>
      <c r="K18" s="135"/>
      <c r="L18" s="135"/>
      <c r="M18" s="135"/>
      <c r="N18" s="135"/>
      <c r="O18" s="135"/>
      <c r="P18" s="135"/>
      <c r="Q18" s="135"/>
      <c r="R18" s="135"/>
      <c r="S18" s="135"/>
      <c r="T18" s="135"/>
    </row>
    <row r="19" spans="1:20" ht="16.5">
      <c r="A19" s="143">
        <v>44279</v>
      </c>
      <c r="B19" s="136" t="s">
        <v>1156</v>
      </c>
      <c r="C19" s="136" t="s">
        <v>1149</v>
      </c>
      <c r="D19" s="142">
        <v>0.77083333333333337</v>
      </c>
      <c r="E19" s="142">
        <v>0.8125</v>
      </c>
      <c r="F19" s="136" t="s">
        <v>1152</v>
      </c>
      <c r="G19" s="139" t="s">
        <v>1163</v>
      </c>
      <c r="H19" s="137"/>
      <c r="I19" s="137"/>
      <c r="J19" s="135"/>
      <c r="K19" s="135"/>
      <c r="L19" s="135"/>
      <c r="M19" s="135"/>
      <c r="N19" s="135"/>
      <c r="O19" s="135"/>
      <c r="P19" s="135"/>
      <c r="Q19" s="135"/>
      <c r="R19" s="135"/>
      <c r="S19" s="135"/>
      <c r="T19" s="135"/>
    </row>
    <row r="20" spans="1:20" ht="16.5">
      <c r="A20" s="143">
        <v>44279</v>
      </c>
      <c r="B20" s="136" t="s">
        <v>1150</v>
      </c>
      <c r="C20" s="136" t="s">
        <v>1149</v>
      </c>
      <c r="D20" s="142">
        <v>0.83333333333333337</v>
      </c>
      <c r="E20" s="142">
        <v>0.875</v>
      </c>
      <c r="F20" s="136" t="s">
        <v>1154</v>
      </c>
      <c r="G20" s="139"/>
      <c r="H20" s="137"/>
      <c r="I20" s="137"/>
      <c r="J20" s="135"/>
      <c r="K20" s="135"/>
      <c r="L20" s="135"/>
      <c r="M20" s="135"/>
      <c r="N20" s="135"/>
      <c r="O20" s="135"/>
      <c r="P20" s="135"/>
      <c r="Q20" s="135"/>
      <c r="R20" s="135"/>
      <c r="S20" s="135"/>
      <c r="T20" s="135"/>
    </row>
    <row r="21" spans="1:20" ht="16.5">
      <c r="A21" s="143">
        <v>44279</v>
      </c>
      <c r="B21" s="136" t="s">
        <v>1150</v>
      </c>
      <c r="C21" s="136" t="s">
        <v>1149</v>
      </c>
      <c r="D21" s="142">
        <v>0.875</v>
      </c>
      <c r="E21" s="142">
        <v>0.91666666666666663</v>
      </c>
      <c r="F21" s="136" t="s">
        <v>1152</v>
      </c>
      <c r="G21" s="139" t="s">
        <v>1162</v>
      </c>
      <c r="H21" s="139"/>
      <c r="I21" s="139"/>
      <c r="J21" s="135"/>
      <c r="K21" s="135"/>
      <c r="L21" s="135"/>
      <c r="M21" s="135"/>
      <c r="N21" s="135"/>
      <c r="O21" s="135"/>
      <c r="P21" s="135"/>
      <c r="Q21" s="135"/>
      <c r="R21" s="135"/>
      <c r="S21" s="135"/>
      <c r="T21" s="135"/>
    </row>
    <row r="22" spans="1:20" ht="16.5">
      <c r="A22" s="143">
        <v>44279</v>
      </c>
      <c r="B22" s="136" t="s">
        <v>1150</v>
      </c>
      <c r="C22" s="136" t="s">
        <v>1149</v>
      </c>
      <c r="D22" s="142">
        <v>0.91666666666666663</v>
      </c>
      <c r="E22" s="142">
        <v>0.95833333333333337</v>
      </c>
      <c r="F22" s="136" t="s">
        <v>1148</v>
      </c>
      <c r="G22" s="139" t="s">
        <v>1161</v>
      </c>
      <c r="H22" s="139"/>
      <c r="I22" s="139"/>
      <c r="J22" s="135"/>
      <c r="K22" s="135"/>
      <c r="L22" s="135"/>
      <c r="M22" s="135"/>
      <c r="N22" s="135"/>
      <c r="O22" s="135"/>
      <c r="P22" s="135"/>
      <c r="Q22" s="135"/>
      <c r="R22" s="135"/>
      <c r="S22" s="135"/>
      <c r="T22" s="135"/>
    </row>
    <row r="23" spans="1:20">
      <c r="A23" s="143">
        <v>44280</v>
      </c>
      <c r="B23" s="136" t="s">
        <v>1156</v>
      </c>
      <c r="C23" s="136" t="s">
        <v>1149</v>
      </c>
      <c r="D23" s="142">
        <v>0.20833333333333334</v>
      </c>
      <c r="E23" s="142">
        <v>0.29166666666666669</v>
      </c>
      <c r="F23" s="136" t="s">
        <v>1152</v>
      </c>
      <c r="G23" s="136" t="s">
        <v>1164</v>
      </c>
      <c r="H23" s="136"/>
      <c r="I23" s="136"/>
      <c r="J23" s="136"/>
      <c r="K23" s="136"/>
      <c r="L23" s="136"/>
      <c r="M23" s="136"/>
      <c r="N23" s="136"/>
      <c r="O23" s="136"/>
      <c r="P23" s="136"/>
      <c r="Q23" s="136"/>
      <c r="R23" s="136"/>
      <c r="S23" s="136"/>
      <c r="T23" s="136"/>
    </row>
    <row r="24" spans="1:20">
      <c r="A24" s="143">
        <v>44280</v>
      </c>
      <c r="B24" s="136" t="s">
        <v>1156</v>
      </c>
      <c r="C24" s="136" t="s">
        <v>1149</v>
      </c>
      <c r="D24" s="142">
        <v>0.29166666666666669</v>
      </c>
      <c r="E24" s="142">
        <v>0.33333333333333331</v>
      </c>
      <c r="F24" s="136" t="s">
        <v>1148</v>
      </c>
      <c r="G24" s="136"/>
      <c r="H24" s="136"/>
      <c r="I24" s="136"/>
      <c r="J24" s="136"/>
      <c r="K24" s="136"/>
      <c r="L24" s="136"/>
      <c r="M24" s="136"/>
      <c r="N24" s="136"/>
      <c r="O24" s="136"/>
      <c r="P24" s="136"/>
      <c r="Q24" s="136"/>
      <c r="R24" s="136"/>
      <c r="S24" s="136"/>
      <c r="T24" s="136"/>
    </row>
    <row r="25" spans="1:20" ht="16.5">
      <c r="A25" s="143">
        <v>44280</v>
      </c>
      <c r="B25" s="136" t="s">
        <v>1156</v>
      </c>
      <c r="C25" s="136" t="s">
        <v>1149</v>
      </c>
      <c r="D25" s="142">
        <v>0.50694444444444442</v>
      </c>
      <c r="E25" s="142">
        <v>0.52777777777777779</v>
      </c>
      <c r="F25" s="136" t="s">
        <v>1158</v>
      </c>
      <c r="G25" s="139"/>
      <c r="H25" s="137"/>
      <c r="I25" s="137"/>
      <c r="J25" s="135"/>
      <c r="K25" s="135"/>
      <c r="L25" s="135"/>
      <c r="M25" s="135"/>
      <c r="N25" s="135"/>
      <c r="O25" s="135"/>
      <c r="P25" s="135"/>
      <c r="Q25" s="135"/>
      <c r="R25" s="135"/>
      <c r="S25" s="135"/>
      <c r="T25" s="135"/>
    </row>
    <row r="26" spans="1:20" ht="16.5">
      <c r="A26" s="143">
        <v>44280</v>
      </c>
      <c r="B26" s="136" t="s">
        <v>1156</v>
      </c>
      <c r="C26" s="136" t="s">
        <v>1149</v>
      </c>
      <c r="D26" s="142">
        <v>0.77083333333333337</v>
      </c>
      <c r="E26" s="142">
        <v>0.8125</v>
      </c>
      <c r="F26" s="136" t="s">
        <v>1152</v>
      </c>
      <c r="G26" s="139" t="s">
        <v>1163</v>
      </c>
      <c r="H26" s="137"/>
      <c r="I26" s="137"/>
      <c r="J26" s="135"/>
      <c r="K26" s="135"/>
      <c r="L26" s="135"/>
      <c r="M26" s="135"/>
      <c r="N26" s="135"/>
      <c r="O26" s="135"/>
      <c r="P26" s="135"/>
      <c r="Q26" s="135"/>
      <c r="R26" s="135"/>
      <c r="S26" s="135"/>
      <c r="T26" s="135"/>
    </row>
    <row r="27" spans="1:20" ht="16.5">
      <c r="A27" s="143">
        <v>44280</v>
      </c>
      <c r="B27" s="136" t="s">
        <v>1150</v>
      </c>
      <c r="C27" s="136" t="s">
        <v>1149</v>
      </c>
      <c r="D27" s="142">
        <v>0.83333333333333337</v>
      </c>
      <c r="E27" s="142">
        <v>0.875</v>
      </c>
      <c r="F27" s="136" t="s">
        <v>1154</v>
      </c>
      <c r="G27" s="139"/>
      <c r="H27" s="137"/>
      <c r="I27" s="137"/>
      <c r="J27" s="135"/>
      <c r="K27" s="135"/>
      <c r="L27" s="135"/>
      <c r="M27" s="135"/>
      <c r="N27" s="135"/>
      <c r="O27" s="135"/>
      <c r="P27" s="135"/>
      <c r="Q27" s="135"/>
      <c r="R27" s="135"/>
      <c r="S27" s="135"/>
      <c r="T27" s="135"/>
    </row>
    <row r="28" spans="1:20" ht="16.5">
      <c r="A28" s="143">
        <v>44280</v>
      </c>
      <c r="B28" s="136" t="s">
        <v>1150</v>
      </c>
      <c r="C28" s="136" t="s">
        <v>1149</v>
      </c>
      <c r="D28" s="142">
        <v>0.875</v>
      </c>
      <c r="E28" s="142">
        <v>0.91666666666666663</v>
      </c>
      <c r="F28" s="136" t="s">
        <v>1152</v>
      </c>
      <c r="G28" s="139" t="s">
        <v>1162</v>
      </c>
      <c r="H28" s="139"/>
      <c r="I28" s="139"/>
      <c r="J28" s="135"/>
      <c r="K28" s="135"/>
      <c r="L28" s="135"/>
      <c r="M28" s="135"/>
      <c r="N28" s="135"/>
      <c r="O28" s="135"/>
      <c r="P28" s="135"/>
      <c r="Q28" s="135"/>
      <c r="R28" s="135"/>
      <c r="S28" s="135"/>
      <c r="T28" s="135"/>
    </row>
    <row r="29" spans="1:20" ht="16.5">
      <c r="A29" s="143">
        <v>44280</v>
      </c>
      <c r="B29" s="136" t="s">
        <v>1150</v>
      </c>
      <c r="C29" s="136" t="s">
        <v>1149</v>
      </c>
      <c r="D29" s="142">
        <v>0.91666666666666663</v>
      </c>
      <c r="E29" s="142">
        <v>0.95833333333333337</v>
      </c>
      <c r="F29" s="136" t="s">
        <v>1148</v>
      </c>
      <c r="G29" s="139" t="s">
        <v>1161</v>
      </c>
      <c r="H29" s="139"/>
      <c r="I29" s="139"/>
      <c r="J29" s="135"/>
      <c r="K29" s="135"/>
      <c r="L29" s="135"/>
      <c r="M29" s="135"/>
      <c r="N29" s="135"/>
      <c r="O29" s="135"/>
      <c r="P29" s="135"/>
      <c r="Q29" s="135"/>
      <c r="R29" s="135"/>
      <c r="S29" s="135"/>
      <c r="T29" s="135"/>
    </row>
    <row r="30" spans="1:20" ht="16.5">
      <c r="A30" s="143">
        <v>44281</v>
      </c>
      <c r="B30" s="136" t="s">
        <v>1156</v>
      </c>
      <c r="C30" s="136" t="s">
        <v>1149</v>
      </c>
      <c r="D30" s="142">
        <v>0.20833333333333334</v>
      </c>
      <c r="E30" s="142">
        <v>0.29166666666666669</v>
      </c>
      <c r="F30" s="136" t="s">
        <v>1152</v>
      </c>
      <c r="G30" s="139" t="s">
        <v>1160</v>
      </c>
      <c r="H30" s="139"/>
      <c r="I30" s="139"/>
      <c r="J30" s="135"/>
      <c r="K30" s="135"/>
      <c r="L30" s="135"/>
      <c r="M30" s="135"/>
      <c r="N30" s="135"/>
      <c r="O30" s="135"/>
      <c r="P30" s="135"/>
      <c r="Q30" s="135"/>
      <c r="R30" s="135"/>
      <c r="S30" s="135"/>
      <c r="T30" s="135"/>
    </row>
    <row r="31" spans="1:20" ht="16.5">
      <c r="A31" s="143">
        <v>44281</v>
      </c>
      <c r="B31" s="136" t="s">
        <v>1156</v>
      </c>
      <c r="C31" s="136" t="s">
        <v>1149</v>
      </c>
      <c r="D31" s="142">
        <v>0.29166666666666669</v>
      </c>
      <c r="E31" s="142">
        <v>0.33333333333333331</v>
      </c>
      <c r="F31" s="136" t="s">
        <v>1148</v>
      </c>
      <c r="G31" s="139" t="s">
        <v>1159</v>
      </c>
      <c r="H31" s="140"/>
      <c r="I31" s="140"/>
      <c r="J31" s="135"/>
      <c r="K31" s="135"/>
      <c r="L31" s="135"/>
      <c r="M31" s="135"/>
      <c r="N31" s="135"/>
      <c r="O31" s="135"/>
      <c r="P31" s="135"/>
      <c r="Q31" s="135"/>
      <c r="R31" s="135"/>
      <c r="S31" s="135"/>
      <c r="T31" s="135"/>
    </row>
    <row r="32" spans="1:20" ht="16.5">
      <c r="A32" s="143">
        <v>44281</v>
      </c>
      <c r="B32" s="136" t="s">
        <v>1156</v>
      </c>
      <c r="C32" s="136" t="s">
        <v>1149</v>
      </c>
      <c r="D32" s="142">
        <v>0.50694444444444442</v>
      </c>
      <c r="E32" s="142">
        <v>0.52777777777777779</v>
      </c>
      <c r="F32" s="136" t="s">
        <v>1158</v>
      </c>
      <c r="G32" s="139" t="s">
        <v>1157</v>
      </c>
      <c r="H32" s="140"/>
      <c r="I32" s="140"/>
      <c r="J32" s="135"/>
      <c r="K32" s="135"/>
      <c r="L32" s="135"/>
      <c r="M32" s="135"/>
      <c r="N32" s="135"/>
      <c r="O32" s="135"/>
      <c r="P32" s="135"/>
      <c r="Q32" s="135"/>
      <c r="R32" s="135"/>
      <c r="S32" s="135"/>
      <c r="T32" s="135"/>
    </row>
    <row r="33" spans="1:20" ht="16.5">
      <c r="A33" s="143">
        <v>44281</v>
      </c>
      <c r="B33" s="136" t="s">
        <v>1156</v>
      </c>
      <c r="C33" s="136" t="s">
        <v>1149</v>
      </c>
      <c r="D33" s="142">
        <v>0.77083333333333337</v>
      </c>
      <c r="E33" s="142">
        <v>0.8125</v>
      </c>
      <c r="F33" s="136" t="s">
        <v>1152</v>
      </c>
      <c r="G33" s="139" t="s">
        <v>1155</v>
      </c>
      <c r="H33" s="140"/>
      <c r="I33" s="140"/>
      <c r="J33" s="135"/>
      <c r="K33" s="135"/>
      <c r="L33" s="135"/>
      <c r="M33" s="135"/>
      <c r="N33" s="135"/>
      <c r="O33" s="135"/>
      <c r="P33" s="135"/>
      <c r="Q33" s="135"/>
      <c r="R33" s="135"/>
      <c r="S33" s="135"/>
      <c r="T33" s="135"/>
    </row>
    <row r="34" spans="1:20" ht="16.5">
      <c r="A34" s="143">
        <v>44281</v>
      </c>
      <c r="B34" s="136" t="s">
        <v>1150</v>
      </c>
      <c r="C34" s="136" t="s">
        <v>1149</v>
      </c>
      <c r="D34" s="142">
        <v>0.83333333333333337</v>
      </c>
      <c r="E34" s="142">
        <v>0.875</v>
      </c>
      <c r="F34" s="136" t="s">
        <v>1154</v>
      </c>
      <c r="G34" s="139" t="s">
        <v>1153</v>
      </c>
      <c r="H34" s="139"/>
      <c r="I34" s="139"/>
      <c r="J34" s="135"/>
      <c r="K34" s="135"/>
      <c r="L34" s="135"/>
      <c r="M34" s="135"/>
      <c r="N34" s="135"/>
      <c r="O34" s="135"/>
      <c r="P34" s="135"/>
      <c r="Q34" s="135"/>
      <c r="R34" s="135"/>
      <c r="S34" s="135"/>
      <c r="T34" s="135"/>
    </row>
    <row r="35" spans="1:20" ht="16.5">
      <c r="A35" s="143">
        <v>44281</v>
      </c>
      <c r="B35" s="136" t="s">
        <v>1150</v>
      </c>
      <c r="C35" s="136" t="s">
        <v>1149</v>
      </c>
      <c r="D35" s="142">
        <v>0.875</v>
      </c>
      <c r="E35" s="142">
        <v>0.91666666666666663</v>
      </c>
      <c r="F35" s="136" t="s">
        <v>1152</v>
      </c>
      <c r="G35" s="139" t="s">
        <v>1151</v>
      </c>
      <c r="H35" s="139"/>
      <c r="I35" s="139"/>
      <c r="J35" s="135"/>
      <c r="K35" s="135"/>
      <c r="L35" s="135"/>
      <c r="M35" s="135"/>
      <c r="N35" s="135"/>
      <c r="O35" s="135"/>
      <c r="P35" s="135"/>
      <c r="Q35" s="135"/>
      <c r="R35" s="135"/>
      <c r="S35" s="135"/>
      <c r="T35" s="135"/>
    </row>
    <row r="36" spans="1:20" ht="16.5">
      <c r="A36" s="143">
        <v>44281</v>
      </c>
      <c r="B36" s="136" t="s">
        <v>1150</v>
      </c>
      <c r="C36" s="136" t="s">
        <v>1149</v>
      </c>
      <c r="D36" s="142">
        <v>0.91666666666666663</v>
      </c>
      <c r="E36" s="142">
        <v>0.95833333333333337</v>
      </c>
      <c r="F36" s="136" t="s">
        <v>1148</v>
      </c>
      <c r="G36" s="137" t="s">
        <v>1147</v>
      </c>
      <c r="H36" s="137"/>
      <c r="I36" s="137"/>
      <c r="J36" s="135"/>
      <c r="K36" s="135"/>
      <c r="L36" s="135"/>
      <c r="M36" s="135"/>
      <c r="N36" s="135"/>
      <c r="O36" s="135"/>
      <c r="P36" s="135"/>
      <c r="Q36" s="135"/>
      <c r="R36" s="135"/>
      <c r="S36" s="135"/>
      <c r="T36" s="135"/>
    </row>
    <row r="37" spans="1:20" ht="16.5">
      <c r="A37" s="143">
        <v>44282</v>
      </c>
      <c r="B37" s="136" t="s">
        <v>1150</v>
      </c>
      <c r="C37" s="136" t="s">
        <v>1149</v>
      </c>
      <c r="D37" s="142">
        <v>0.375</v>
      </c>
      <c r="E37" s="142" t="s">
        <v>1166</v>
      </c>
      <c r="F37" s="136" t="s">
        <v>1167</v>
      </c>
      <c r="G37" s="139"/>
      <c r="H37" s="140"/>
      <c r="I37" s="140"/>
      <c r="J37" s="135"/>
      <c r="K37" s="135"/>
      <c r="L37" s="135"/>
      <c r="M37" s="135"/>
      <c r="N37" s="135"/>
      <c r="O37" s="135"/>
      <c r="P37" s="135"/>
      <c r="Q37" s="135"/>
      <c r="R37" s="135"/>
      <c r="S37" s="135"/>
      <c r="T37" s="135"/>
    </row>
    <row r="38" spans="1:20" ht="16.5">
      <c r="A38" s="143">
        <v>44283</v>
      </c>
      <c r="B38" s="136" t="s">
        <v>1150</v>
      </c>
      <c r="C38" s="136" t="s">
        <v>1149</v>
      </c>
      <c r="D38" s="142">
        <v>0.375</v>
      </c>
      <c r="E38" s="142" t="s">
        <v>1166</v>
      </c>
      <c r="F38" s="136" t="s">
        <v>1165</v>
      </c>
      <c r="G38" s="139"/>
      <c r="H38" s="140"/>
      <c r="I38" s="140"/>
      <c r="J38" s="135"/>
      <c r="K38" s="135"/>
      <c r="L38" s="135"/>
      <c r="M38" s="135"/>
      <c r="N38" s="135"/>
      <c r="O38" s="135"/>
      <c r="P38" s="135"/>
      <c r="Q38" s="135"/>
      <c r="R38" s="135"/>
      <c r="S38" s="135"/>
      <c r="T38" s="135"/>
    </row>
    <row r="39" spans="1:20">
      <c r="A39" s="143">
        <v>44284</v>
      </c>
      <c r="B39" s="136" t="s">
        <v>1156</v>
      </c>
      <c r="C39" s="136" t="s">
        <v>1149</v>
      </c>
      <c r="D39" s="142">
        <v>0.20833333333333334</v>
      </c>
      <c r="E39" s="142">
        <v>0.29166666666666669</v>
      </c>
      <c r="F39" s="136" t="s">
        <v>1152</v>
      </c>
      <c r="G39" s="136" t="s">
        <v>1164</v>
      </c>
      <c r="H39" s="136"/>
      <c r="I39" s="136"/>
      <c r="J39" s="136"/>
      <c r="K39" s="136"/>
      <c r="L39" s="136"/>
      <c r="M39" s="136"/>
      <c r="N39" s="136"/>
      <c r="O39" s="136"/>
      <c r="P39" s="136"/>
      <c r="Q39" s="136"/>
      <c r="R39" s="136"/>
      <c r="S39" s="136"/>
      <c r="T39" s="136"/>
    </row>
    <row r="40" spans="1:20">
      <c r="A40" s="143">
        <v>44284</v>
      </c>
      <c r="B40" s="136" t="s">
        <v>1156</v>
      </c>
      <c r="C40" s="136" t="s">
        <v>1149</v>
      </c>
      <c r="D40" s="142">
        <v>0.29166666666666669</v>
      </c>
      <c r="E40" s="142">
        <v>0.33333333333333331</v>
      </c>
      <c r="F40" s="136" t="s">
        <v>1148</v>
      </c>
      <c r="G40" s="136"/>
      <c r="H40" s="136"/>
      <c r="I40" s="136"/>
      <c r="J40" s="136"/>
      <c r="K40" s="136"/>
      <c r="L40" s="136"/>
      <c r="M40" s="136"/>
      <c r="N40" s="136"/>
      <c r="O40" s="136"/>
      <c r="P40" s="136"/>
      <c r="Q40" s="136"/>
      <c r="R40" s="136"/>
      <c r="S40" s="136"/>
      <c r="T40" s="136"/>
    </row>
    <row r="41" spans="1:20" ht="16.5">
      <c r="A41" s="143">
        <v>44284</v>
      </c>
      <c r="B41" s="136" t="s">
        <v>1156</v>
      </c>
      <c r="C41" s="136" t="s">
        <v>1149</v>
      </c>
      <c r="D41" s="142">
        <v>0.50694444444444442</v>
      </c>
      <c r="E41" s="142">
        <v>0.52777777777777779</v>
      </c>
      <c r="F41" s="136" t="s">
        <v>1158</v>
      </c>
      <c r="G41" s="139"/>
      <c r="H41" s="137"/>
      <c r="I41" s="137"/>
      <c r="J41" s="135"/>
      <c r="K41" s="135"/>
      <c r="L41" s="135"/>
      <c r="M41" s="135"/>
      <c r="N41" s="135"/>
      <c r="O41" s="135"/>
      <c r="P41" s="135"/>
      <c r="Q41" s="135"/>
      <c r="R41" s="135"/>
      <c r="S41" s="135"/>
      <c r="T41" s="135"/>
    </row>
    <row r="42" spans="1:20" ht="16.5">
      <c r="A42" s="143">
        <v>44284</v>
      </c>
      <c r="B42" s="136" t="s">
        <v>1156</v>
      </c>
      <c r="C42" s="136" t="s">
        <v>1149</v>
      </c>
      <c r="D42" s="142">
        <v>0.77083333333333337</v>
      </c>
      <c r="E42" s="142">
        <v>0.8125</v>
      </c>
      <c r="F42" s="136" t="s">
        <v>1152</v>
      </c>
      <c r="G42" s="139" t="s">
        <v>1163</v>
      </c>
      <c r="H42" s="137"/>
      <c r="I42" s="137"/>
      <c r="J42" s="135"/>
      <c r="K42" s="135"/>
      <c r="L42" s="135"/>
      <c r="M42" s="135"/>
      <c r="N42" s="135"/>
      <c r="O42" s="135"/>
      <c r="P42" s="135"/>
      <c r="Q42" s="135"/>
      <c r="R42" s="135"/>
      <c r="S42" s="135"/>
      <c r="T42" s="135"/>
    </row>
    <row r="43" spans="1:20" ht="16.5">
      <c r="A43" s="143">
        <v>44284</v>
      </c>
      <c r="B43" s="136" t="s">
        <v>1150</v>
      </c>
      <c r="C43" s="136" t="s">
        <v>1149</v>
      </c>
      <c r="D43" s="142">
        <v>0.83333333333333337</v>
      </c>
      <c r="E43" s="142">
        <v>0.875</v>
      </c>
      <c r="F43" s="136" t="s">
        <v>1154</v>
      </c>
      <c r="G43" s="139"/>
      <c r="H43" s="137"/>
      <c r="I43" s="137"/>
      <c r="J43" s="135"/>
      <c r="K43" s="135"/>
      <c r="L43" s="135"/>
      <c r="M43" s="135"/>
      <c r="N43" s="135"/>
      <c r="O43" s="135"/>
      <c r="P43" s="135"/>
      <c r="Q43" s="135"/>
      <c r="R43" s="135"/>
      <c r="S43" s="135"/>
      <c r="T43" s="135"/>
    </row>
    <row r="44" spans="1:20" ht="16.5">
      <c r="A44" s="143">
        <v>44284</v>
      </c>
      <c r="B44" s="136" t="s">
        <v>1150</v>
      </c>
      <c r="C44" s="136" t="s">
        <v>1149</v>
      </c>
      <c r="D44" s="142">
        <v>0.875</v>
      </c>
      <c r="E44" s="142">
        <v>0.91666666666666663</v>
      </c>
      <c r="F44" s="136" t="s">
        <v>1152</v>
      </c>
      <c r="G44" s="139" t="s">
        <v>1162</v>
      </c>
      <c r="H44" s="139"/>
      <c r="I44" s="139"/>
      <c r="J44" s="135"/>
      <c r="K44" s="135"/>
      <c r="L44" s="135"/>
      <c r="M44" s="135"/>
      <c r="N44" s="135"/>
      <c r="O44" s="135"/>
      <c r="P44" s="135"/>
      <c r="Q44" s="135"/>
      <c r="R44" s="135"/>
      <c r="S44" s="135"/>
      <c r="T44" s="135"/>
    </row>
    <row r="45" spans="1:20" ht="16.5">
      <c r="A45" s="143">
        <v>44284</v>
      </c>
      <c r="B45" s="136" t="s">
        <v>1150</v>
      </c>
      <c r="C45" s="136" t="s">
        <v>1149</v>
      </c>
      <c r="D45" s="142">
        <v>0.91666666666666663</v>
      </c>
      <c r="E45" s="142">
        <v>0.95833333333333337</v>
      </c>
      <c r="F45" s="136" t="s">
        <v>1148</v>
      </c>
      <c r="G45" s="139" t="s">
        <v>1161</v>
      </c>
      <c r="H45" s="139"/>
      <c r="I45" s="139"/>
      <c r="J45" s="135"/>
      <c r="K45" s="135"/>
      <c r="L45" s="135"/>
      <c r="M45" s="135"/>
      <c r="N45" s="135"/>
      <c r="O45" s="135"/>
      <c r="P45" s="135"/>
      <c r="Q45" s="135"/>
      <c r="R45" s="135"/>
      <c r="S45" s="135"/>
      <c r="T45" s="135"/>
    </row>
    <row r="46" spans="1:20">
      <c r="A46" s="143">
        <v>44285</v>
      </c>
      <c r="B46" s="136" t="s">
        <v>1156</v>
      </c>
      <c r="C46" s="136" t="s">
        <v>1149</v>
      </c>
      <c r="D46" s="142">
        <v>0.20833333333333334</v>
      </c>
      <c r="E46" s="142">
        <v>0.29166666666666669</v>
      </c>
      <c r="F46" s="136" t="s">
        <v>1152</v>
      </c>
      <c r="G46" s="136" t="s">
        <v>1164</v>
      </c>
      <c r="H46" s="136"/>
      <c r="I46" s="136"/>
      <c r="J46" s="136"/>
      <c r="K46" s="136"/>
      <c r="L46" s="136"/>
      <c r="M46" s="136"/>
      <c r="N46" s="136"/>
      <c r="O46" s="136"/>
      <c r="P46" s="136"/>
      <c r="Q46" s="136"/>
      <c r="R46" s="136"/>
      <c r="S46" s="136"/>
      <c r="T46" s="136"/>
    </row>
    <row r="47" spans="1:20">
      <c r="A47" s="143">
        <v>44285</v>
      </c>
      <c r="B47" s="136" t="s">
        <v>1156</v>
      </c>
      <c r="C47" s="136" t="s">
        <v>1149</v>
      </c>
      <c r="D47" s="142">
        <v>0.29166666666666669</v>
      </c>
      <c r="E47" s="142">
        <v>0.33333333333333331</v>
      </c>
      <c r="F47" s="136" t="s">
        <v>1148</v>
      </c>
      <c r="G47" s="136"/>
      <c r="H47" s="136"/>
      <c r="I47" s="136"/>
      <c r="J47" s="136"/>
      <c r="K47" s="136"/>
      <c r="L47" s="136"/>
      <c r="M47" s="136"/>
      <c r="N47" s="136"/>
      <c r="O47" s="136"/>
      <c r="P47" s="136"/>
      <c r="Q47" s="136"/>
      <c r="R47" s="136"/>
      <c r="S47" s="136"/>
      <c r="T47" s="136"/>
    </row>
    <row r="48" spans="1:20" ht="16.5">
      <c r="A48" s="143">
        <v>44285</v>
      </c>
      <c r="B48" s="136" t="s">
        <v>1156</v>
      </c>
      <c r="C48" s="136" t="s">
        <v>1149</v>
      </c>
      <c r="D48" s="142">
        <v>0.50694444444444442</v>
      </c>
      <c r="E48" s="142">
        <v>0.52777777777777779</v>
      </c>
      <c r="F48" s="136" t="s">
        <v>1158</v>
      </c>
      <c r="G48" s="139"/>
      <c r="H48" s="137"/>
      <c r="I48" s="137"/>
      <c r="J48" s="135"/>
      <c r="K48" s="135"/>
      <c r="L48" s="135"/>
      <c r="M48" s="135"/>
      <c r="N48" s="135"/>
      <c r="O48" s="135"/>
      <c r="P48" s="135"/>
      <c r="Q48" s="135"/>
      <c r="R48" s="135"/>
      <c r="S48" s="135"/>
      <c r="T48" s="135"/>
    </row>
    <row r="49" spans="1:20" ht="16.5">
      <c r="A49" s="143">
        <v>44285</v>
      </c>
      <c r="B49" s="136" t="s">
        <v>1156</v>
      </c>
      <c r="C49" s="136" t="s">
        <v>1149</v>
      </c>
      <c r="D49" s="142">
        <v>0.77083333333333337</v>
      </c>
      <c r="E49" s="142">
        <v>0.8125</v>
      </c>
      <c r="F49" s="136" t="s">
        <v>1152</v>
      </c>
      <c r="G49" s="139" t="s">
        <v>1163</v>
      </c>
      <c r="H49" s="137"/>
      <c r="I49" s="137"/>
      <c r="J49" s="135"/>
      <c r="K49" s="135"/>
      <c r="L49" s="135"/>
      <c r="M49" s="135"/>
      <c r="N49" s="135"/>
      <c r="O49" s="135"/>
      <c r="P49" s="135"/>
      <c r="Q49" s="135"/>
      <c r="R49" s="135"/>
      <c r="S49" s="135"/>
      <c r="T49" s="135"/>
    </row>
    <row r="50" spans="1:20" ht="16.5">
      <c r="A50" s="143">
        <v>44285</v>
      </c>
      <c r="B50" s="136" t="s">
        <v>1150</v>
      </c>
      <c r="C50" s="136" t="s">
        <v>1149</v>
      </c>
      <c r="D50" s="142">
        <v>0.83333333333333337</v>
      </c>
      <c r="E50" s="142">
        <v>0.875</v>
      </c>
      <c r="F50" s="136" t="s">
        <v>1154</v>
      </c>
      <c r="G50" s="139"/>
      <c r="H50" s="137"/>
      <c r="I50" s="137"/>
      <c r="J50" s="135"/>
      <c r="K50" s="135"/>
      <c r="L50" s="135"/>
      <c r="M50" s="135"/>
      <c r="N50" s="135"/>
      <c r="O50" s="135"/>
      <c r="P50" s="135"/>
      <c r="Q50" s="135"/>
      <c r="R50" s="135"/>
      <c r="S50" s="135"/>
      <c r="T50" s="135"/>
    </row>
    <row r="51" spans="1:20" ht="16.5">
      <c r="A51" s="143">
        <v>44285</v>
      </c>
      <c r="B51" s="136" t="s">
        <v>1150</v>
      </c>
      <c r="C51" s="136" t="s">
        <v>1149</v>
      </c>
      <c r="D51" s="142">
        <v>0.875</v>
      </c>
      <c r="E51" s="142">
        <v>0.91666666666666663</v>
      </c>
      <c r="F51" s="136" t="s">
        <v>1152</v>
      </c>
      <c r="G51" s="139" t="s">
        <v>1162</v>
      </c>
      <c r="H51" s="139"/>
      <c r="I51" s="139"/>
      <c r="J51" s="135"/>
      <c r="K51" s="135"/>
      <c r="L51" s="135"/>
      <c r="M51" s="135"/>
      <c r="N51" s="135"/>
      <c r="O51" s="135"/>
      <c r="P51" s="135"/>
      <c r="Q51" s="135"/>
      <c r="R51" s="135"/>
      <c r="S51" s="135"/>
      <c r="T51" s="135"/>
    </row>
    <row r="52" spans="1:20" ht="16.5">
      <c r="A52" s="143">
        <v>44285</v>
      </c>
      <c r="B52" s="136" t="s">
        <v>1150</v>
      </c>
      <c r="C52" s="136" t="s">
        <v>1149</v>
      </c>
      <c r="D52" s="142">
        <v>0.91666666666666663</v>
      </c>
      <c r="E52" s="142">
        <v>0.95833333333333337</v>
      </c>
      <c r="F52" s="136" t="s">
        <v>1148</v>
      </c>
      <c r="G52" s="139" t="s">
        <v>1161</v>
      </c>
      <c r="H52" s="139"/>
      <c r="I52" s="139"/>
      <c r="J52" s="135"/>
      <c r="K52" s="135"/>
      <c r="L52" s="135"/>
      <c r="M52" s="135"/>
      <c r="N52" s="135"/>
      <c r="O52" s="135"/>
      <c r="P52" s="135"/>
      <c r="Q52" s="135"/>
      <c r="R52" s="135"/>
      <c r="S52" s="135"/>
      <c r="T52" s="135"/>
    </row>
    <row r="53" spans="1:20">
      <c r="A53" s="143">
        <v>44286</v>
      </c>
      <c r="B53" s="136" t="s">
        <v>1156</v>
      </c>
      <c r="C53" s="136" t="s">
        <v>1149</v>
      </c>
      <c r="D53" s="142">
        <v>0.20833333333333334</v>
      </c>
      <c r="E53" s="142">
        <v>0.29166666666666669</v>
      </c>
      <c r="F53" s="136" t="s">
        <v>1152</v>
      </c>
      <c r="G53" s="136" t="s">
        <v>1164</v>
      </c>
      <c r="H53" s="136"/>
      <c r="I53" s="136"/>
      <c r="J53" s="136"/>
      <c r="K53" s="136"/>
      <c r="L53" s="136"/>
      <c r="M53" s="136"/>
      <c r="N53" s="136"/>
      <c r="O53" s="136"/>
      <c r="P53" s="136"/>
      <c r="Q53" s="136"/>
      <c r="R53" s="136"/>
      <c r="S53" s="136"/>
      <c r="T53" s="136"/>
    </row>
    <row r="54" spans="1:20">
      <c r="A54" s="143">
        <v>44286</v>
      </c>
      <c r="B54" s="136" t="s">
        <v>1156</v>
      </c>
      <c r="C54" s="136" t="s">
        <v>1149</v>
      </c>
      <c r="D54" s="142">
        <v>0.29166666666666669</v>
      </c>
      <c r="E54" s="142">
        <v>0.33333333333333331</v>
      </c>
      <c r="F54" s="136" t="s">
        <v>1148</v>
      </c>
      <c r="G54" s="136"/>
      <c r="H54" s="136"/>
      <c r="I54" s="136"/>
      <c r="J54" s="136"/>
      <c r="K54" s="136"/>
      <c r="L54" s="136"/>
      <c r="M54" s="136"/>
      <c r="N54" s="136"/>
      <c r="O54" s="136"/>
      <c r="P54" s="136"/>
      <c r="Q54" s="136"/>
      <c r="R54" s="136"/>
      <c r="S54" s="136"/>
      <c r="T54" s="136"/>
    </row>
    <row r="55" spans="1:20" ht="16.5">
      <c r="A55" s="143">
        <v>44286</v>
      </c>
      <c r="B55" s="136" t="s">
        <v>1156</v>
      </c>
      <c r="C55" s="136" t="s">
        <v>1149</v>
      </c>
      <c r="D55" s="142">
        <v>0.50694444444444442</v>
      </c>
      <c r="E55" s="142">
        <v>0.52777777777777779</v>
      </c>
      <c r="F55" s="136" t="s">
        <v>1158</v>
      </c>
      <c r="G55" s="139"/>
      <c r="H55" s="137"/>
      <c r="I55" s="137"/>
      <c r="J55" s="135"/>
      <c r="K55" s="135"/>
      <c r="L55" s="135"/>
      <c r="M55" s="135"/>
      <c r="N55" s="135"/>
      <c r="O55" s="135"/>
      <c r="P55" s="135"/>
      <c r="Q55" s="135"/>
      <c r="R55" s="135"/>
      <c r="S55" s="135"/>
      <c r="T55" s="135"/>
    </row>
    <row r="56" spans="1:20" ht="16.5">
      <c r="A56" s="143">
        <v>44286</v>
      </c>
      <c r="B56" s="136" t="s">
        <v>1156</v>
      </c>
      <c r="C56" s="136" t="s">
        <v>1149</v>
      </c>
      <c r="D56" s="142">
        <v>0.77083333333333337</v>
      </c>
      <c r="E56" s="142">
        <v>0.8125</v>
      </c>
      <c r="F56" s="136" t="s">
        <v>1152</v>
      </c>
      <c r="G56" s="139" t="s">
        <v>1163</v>
      </c>
      <c r="H56" s="137"/>
      <c r="I56" s="137"/>
      <c r="J56" s="135"/>
      <c r="K56" s="135"/>
      <c r="L56" s="135"/>
      <c r="M56" s="135"/>
      <c r="N56" s="135"/>
      <c r="O56" s="135"/>
      <c r="P56" s="135"/>
      <c r="Q56" s="135"/>
      <c r="R56" s="135"/>
      <c r="S56" s="135"/>
      <c r="T56" s="135"/>
    </row>
    <row r="57" spans="1:20" ht="16.5">
      <c r="A57" s="143">
        <v>44286</v>
      </c>
      <c r="B57" s="136" t="s">
        <v>1150</v>
      </c>
      <c r="C57" s="136" t="s">
        <v>1149</v>
      </c>
      <c r="D57" s="142">
        <v>0.83333333333333337</v>
      </c>
      <c r="E57" s="142">
        <v>0.875</v>
      </c>
      <c r="F57" s="136" t="s">
        <v>1154</v>
      </c>
      <c r="G57" s="139"/>
      <c r="H57" s="137"/>
      <c r="I57" s="137"/>
      <c r="J57" s="135"/>
      <c r="K57" s="135"/>
      <c r="L57" s="135"/>
      <c r="M57" s="135"/>
      <c r="N57" s="135"/>
      <c r="O57" s="135"/>
      <c r="P57" s="135"/>
      <c r="Q57" s="135"/>
      <c r="R57" s="135"/>
      <c r="S57" s="135"/>
      <c r="T57" s="135"/>
    </row>
    <row r="58" spans="1:20" ht="16.5">
      <c r="A58" s="143">
        <v>44286</v>
      </c>
      <c r="B58" s="136" t="s">
        <v>1150</v>
      </c>
      <c r="C58" s="136" t="s">
        <v>1149</v>
      </c>
      <c r="D58" s="142">
        <v>0.875</v>
      </c>
      <c r="E58" s="142">
        <v>0.91666666666666663</v>
      </c>
      <c r="F58" s="136" t="s">
        <v>1152</v>
      </c>
      <c r="G58" s="139" t="s">
        <v>1162</v>
      </c>
      <c r="H58" s="139"/>
      <c r="I58" s="139"/>
      <c r="J58" s="135"/>
      <c r="K58" s="135"/>
      <c r="L58" s="135"/>
      <c r="M58" s="135"/>
      <c r="N58" s="135"/>
      <c r="O58" s="135"/>
      <c r="P58" s="135"/>
      <c r="Q58" s="135"/>
      <c r="R58" s="135"/>
      <c r="S58" s="135"/>
      <c r="T58" s="135"/>
    </row>
    <row r="59" spans="1:20" ht="16.5">
      <c r="A59" s="143">
        <v>44286</v>
      </c>
      <c r="B59" s="136" t="s">
        <v>1150</v>
      </c>
      <c r="C59" s="136" t="s">
        <v>1149</v>
      </c>
      <c r="D59" s="142">
        <v>0.91666666666666663</v>
      </c>
      <c r="E59" s="142">
        <v>0.95833333333333337</v>
      </c>
      <c r="F59" s="136" t="s">
        <v>1148</v>
      </c>
      <c r="G59" s="139" t="s">
        <v>1161</v>
      </c>
      <c r="H59" s="139"/>
      <c r="I59" s="139"/>
      <c r="J59" s="135"/>
      <c r="K59" s="135"/>
      <c r="L59" s="135"/>
      <c r="M59" s="135"/>
      <c r="N59" s="135"/>
      <c r="O59" s="135"/>
      <c r="P59" s="135"/>
      <c r="Q59" s="135"/>
      <c r="R59" s="135"/>
      <c r="S59" s="135"/>
      <c r="T59" s="135"/>
    </row>
    <row r="60" spans="1:20">
      <c r="A60" s="143">
        <v>44287</v>
      </c>
      <c r="B60" s="136" t="s">
        <v>1156</v>
      </c>
      <c r="C60" s="136" t="s">
        <v>1149</v>
      </c>
      <c r="D60" s="142">
        <v>0.20833333333333334</v>
      </c>
      <c r="E60" s="142">
        <v>0.29166666666666669</v>
      </c>
      <c r="F60" s="136" t="s">
        <v>1152</v>
      </c>
      <c r="G60" s="136" t="s">
        <v>1164</v>
      </c>
      <c r="H60" s="136"/>
      <c r="I60" s="136"/>
      <c r="J60" s="136"/>
      <c r="K60" s="136"/>
      <c r="L60" s="136"/>
      <c r="M60" s="136"/>
      <c r="N60" s="136"/>
      <c r="O60" s="136"/>
      <c r="P60" s="136"/>
      <c r="Q60" s="136"/>
      <c r="R60" s="136"/>
      <c r="S60" s="136"/>
      <c r="T60" s="136"/>
    </row>
    <row r="61" spans="1:20">
      <c r="A61" s="143">
        <v>44287</v>
      </c>
      <c r="B61" s="136" t="s">
        <v>1156</v>
      </c>
      <c r="C61" s="136" t="s">
        <v>1149</v>
      </c>
      <c r="D61" s="142">
        <v>0.29166666666666669</v>
      </c>
      <c r="E61" s="142">
        <v>0.33333333333333331</v>
      </c>
      <c r="F61" s="136" t="s">
        <v>1148</v>
      </c>
      <c r="G61" s="136"/>
      <c r="H61" s="136"/>
      <c r="I61" s="136"/>
      <c r="J61" s="136"/>
      <c r="K61" s="136"/>
      <c r="L61" s="136"/>
      <c r="M61" s="136"/>
      <c r="N61" s="136"/>
      <c r="O61" s="136"/>
      <c r="P61" s="136"/>
      <c r="Q61" s="136"/>
      <c r="R61" s="136"/>
      <c r="S61" s="136"/>
      <c r="T61" s="136"/>
    </row>
    <row r="62" spans="1:20" ht="16.5">
      <c r="A62" s="143">
        <v>44287</v>
      </c>
      <c r="B62" s="136" t="s">
        <v>1156</v>
      </c>
      <c r="C62" s="136" t="s">
        <v>1149</v>
      </c>
      <c r="D62" s="142">
        <v>0.50694444444444442</v>
      </c>
      <c r="E62" s="142">
        <v>0.52777777777777779</v>
      </c>
      <c r="F62" s="136" t="s">
        <v>1158</v>
      </c>
      <c r="G62" s="139"/>
      <c r="H62" s="137"/>
      <c r="I62" s="137"/>
      <c r="J62" s="135"/>
      <c r="K62" s="135"/>
      <c r="L62" s="135"/>
      <c r="M62" s="135"/>
      <c r="N62" s="135"/>
      <c r="O62" s="135"/>
      <c r="P62" s="135"/>
      <c r="Q62" s="135"/>
      <c r="R62" s="135"/>
      <c r="S62" s="135"/>
      <c r="T62" s="135"/>
    </row>
    <row r="63" spans="1:20" ht="16.5">
      <c r="A63" s="143">
        <v>44287</v>
      </c>
      <c r="B63" s="136" t="s">
        <v>1156</v>
      </c>
      <c r="C63" s="136" t="s">
        <v>1149</v>
      </c>
      <c r="D63" s="142">
        <v>0.77083333333333337</v>
      </c>
      <c r="E63" s="142">
        <v>0.8125</v>
      </c>
      <c r="F63" s="136" t="s">
        <v>1152</v>
      </c>
      <c r="G63" s="139" t="s">
        <v>1163</v>
      </c>
      <c r="H63" s="137"/>
      <c r="I63" s="137"/>
      <c r="J63" s="135"/>
      <c r="K63" s="135"/>
      <c r="L63" s="135"/>
      <c r="M63" s="135"/>
      <c r="N63" s="135"/>
      <c r="O63" s="135"/>
      <c r="P63" s="135"/>
      <c r="Q63" s="135"/>
      <c r="R63" s="135"/>
      <c r="S63" s="135"/>
      <c r="T63" s="135"/>
    </row>
    <row r="64" spans="1:20" ht="16.5">
      <c r="A64" s="143">
        <v>44287</v>
      </c>
      <c r="B64" s="136" t="s">
        <v>1150</v>
      </c>
      <c r="C64" s="136" t="s">
        <v>1149</v>
      </c>
      <c r="D64" s="142">
        <v>0.83333333333333337</v>
      </c>
      <c r="E64" s="142">
        <v>0.875</v>
      </c>
      <c r="F64" s="136" t="s">
        <v>1154</v>
      </c>
      <c r="G64" s="139"/>
      <c r="H64" s="137"/>
      <c r="I64" s="137"/>
      <c r="J64" s="135"/>
      <c r="K64" s="135"/>
      <c r="L64" s="135"/>
      <c r="M64" s="135"/>
      <c r="N64" s="135"/>
      <c r="O64" s="135"/>
      <c r="P64" s="135"/>
      <c r="Q64" s="135"/>
      <c r="R64" s="135"/>
      <c r="S64" s="135"/>
      <c r="T64" s="135"/>
    </row>
    <row r="65" spans="1:20" ht="16.5">
      <c r="A65" s="143">
        <v>44287</v>
      </c>
      <c r="B65" s="136" t="s">
        <v>1150</v>
      </c>
      <c r="C65" s="136" t="s">
        <v>1149</v>
      </c>
      <c r="D65" s="142">
        <v>0.875</v>
      </c>
      <c r="E65" s="142">
        <v>0.91666666666666663</v>
      </c>
      <c r="F65" s="136" t="s">
        <v>1152</v>
      </c>
      <c r="G65" s="139" t="s">
        <v>1162</v>
      </c>
      <c r="H65" s="139"/>
      <c r="I65" s="139"/>
      <c r="J65" s="135"/>
      <c r="K65" s="135"/>
      <c r="L65" s="135"/>
      <c r="M65" s="135"/>
      <c r="N65" s="135"/>
      <c r="O65" s="135"/>
      <c r="P65" s="135"/>
      <c r="Q65" s="135"/>
      <c r="R65" s="135"/>
      <c r="S65" s="135"/>
      <c r="T65" s="135"/>
    </row>
    <row r="66" spans="1:20" ht="16.5">
      <c r="A66" s="143">
        <v>44287</v>
      </c>
      <c r="B66" s="136" t="s">
        <v>1150</v>
      </c>
      <c r="C66" s="136" t="s">
        <v>1149</v>
      </c>
      <c r="D66" s="142">
        <v>0.91666666666666663</v>
      </c>
      <c r="E66" s="142">
        <v>0.95833333333333337</v>
      </c>
      <c r="F66" s="136" t="s">
        <v>1148</v>
      </c>
      <c r="G66" s="139" t="s">
        <v>1161</v>
      </c>
      <c r="H66" s="139"/>
      <c r="I66" s="139"/>
      <c r="J66" s="135"/>
      <c r="K66" s="135"/>
      <c r="L66" s="135"/>
      <c r="M66" s="135"/>
      <c r="N66" s="135"/>
      <c r="O66" s="135"/>
      <c r="P66" s="135"/>
      <c r="Q66" s="135"/>
      <c r="R66" s="135"/>
      <c r="S66" s="135"/>
      <c r="T66" s="135"/>
    </row>
    <row r="67" spans="1:20" ht="16.5">
      <c r="A67" s="143">
        <v>44288</v>
      </c>
      <c r="B67" s="136" t="s">
        <v>1156</v>
      </c>
      <c r="C67" s="136" t="s">
        <v>1149</v>
      </c>
      <c r="D67" s="142">
        <v>0.20833333333333334</v>
      </c>
      <c r="E67" s="142">
        <v>0.29166666666666669</v>
      </c>
      <c r="F67" s="136" t="s">
        <v>1152</v>
      </c>
      <c r="G67" s="139" t="s">
        <v>1160</v>
      </c>
      <c r="H67" s="139"/>
      <c r="I67" s="139"/>
      <c r="J67" s="135"/>
      <c r="K67" s="135"/>
      <c r="L67" s="135"/>
      <c r="M67" s="135"/>
      <c r="N67" s="135"/>
      <c r="O67" s="135"/>
      <c r="P67" s="135"/>
      <c r="Q67" s="135"/>
      <c r="R67" s="135"/>
      <c r="S67" s="135"/>
      <c r="T67" s="135"/>
    </row>
    <row r="68" spans="1:20" ht="16.5">
      <c r="A68" s="143">
        <v>44288</v>
      </c>
      <c r="B68" s="136" t="s">
        <v>1156</v>
      </c>
      <c r="C68" s="136" t="s">
        <v>1149</v>
      </c>
      <c r="D68" s="142">
        <v>0.29166666666666669</v>
      </c>
      <c r="E68" s="142">
        <v>0.33333333333333331</v>
      </c>
      <c r="F68" s="136" t="s">
        <v>1148</v>
      </c>
      <c r="G68" s="139" t="s">
        <v>1159</v>
      </c>
      <c r="H68" s="140"/>
      <c r="I68" s="140"/>
      <c r="J68" s="135"/>
      <c r="K68" s="135"/>
      <c r="L68" s="135"/>
      <c r="M68" s="135"/>
      <c r="N68" s="135"/>
      <c r="O68" s="135"/>
      <c r="P68" s="135"/>
      <c r="Q68" s="135"/>
      <c r="R68" s="135"/>
      <c r="S68" s="135"/>
      <c r="T68" s="135"/>
    </row>
    <row r="69" spans="1:20" ht="16.5">
      <c r="A69" s="143">
        <v>44288</v>
      </c>
      <c r="B69" s="136" t="s">
        <v>1156</v>
      </c>
      <c r="C69" s="136" t="s">
        <v>1149</v>
      </c>
      <c r="D69" s="142">
        <v>0.50694444444444442</v>
      </c>
      <c r="E69" s="142">
        <v>0.52777777777777779</v>
      </c>
      <c r="F69" s="136" t="s">
        <v>1158</v>
      </c>
      <c r="G69" s="139" t="s">
        <v>1157</v>
      </c>
      <c r="H69" s="140"/>
      <c r="I69" s="140"/>
      <c r="J69" s="135"/>
      <c r="K69" s="135"/>
      <c r="L69" s="135"/>
      <c r="M69" s="135"/>
      <c r="N69" s="135"/>
      <c r="O69" s="135"/>
      <c r="P69" s="135"/>
      <c r="Q69" s="135"/>
      <c r="R69" s="135"/>
      <c r="S69" s="135"/>
      <c r="T69" s="135"/>
    </row>
    <row r="70" spans="1:20" ht="16.5">
      <c r="A70" s="143">
        <v>44288</v>
      </c>
      <c r="B70" s="136" t="s">
        <v>1156</v>
      </c>
      <c r="C70" s="136" t="s">
        <v>1149</v>
      </c>
      <c r="D70" s="142">
        <v>0.77083333333333337</v>
      </c>
      <c r="E70" s="142">
        <v>0.8125</v>
      </c>
      <c r="F70" s="136" t="s">
        <v>1152</v>
      </c>
      <c r="G70" s="139" t="s">
        <v>1155</v>
      </c>
      <c r="H70" s="140"/>
      <c r="I70" s="140"/>
      <c r="J70" s="135"/>
      <c r="K70" s="135"/>
      <c r="L70" s="135"/>
      <c r="M70" s="135"/>
      <c r="N70" s="135"/>
      <c r="O70" s="135"/>
      <c r="P70" s="135"/>
      <c r="Q70" s="135"/>
      <c r="R70" s="135"/>
      <c r="S70" s="135"/>
      <c r="T70" s="135"/>
    </row>
    <row r="71" spans="1:20" ht="16.5">
      <c r="A71" s="143">
        <v>44288</v>
      </c>
      <c r="B71" s="136" t="s">
        <v>1150</v>
      </c>
      <c r="C71" s="136" t="s">
        <v>1149</v>
      </c>
      <c r="D71" s="142">
        <v>0.83333333333333337</v>
      </c>
      <c r="E71" s="142">
        <v>0.875</v>
      </c>
      <c r="F71" s="136" t="s">
        <v>1154</v>
      </c>
      <c r="G71" s="139" t="s">
        <v>1153</v>
      </c>
      <c r="H71" s="139"/>
      <c r="I71" s="139"/>
      <c r="J71" s="135"/>
      <c r="K71" s="135"/>
      <c r="L71" s="135"/>
      <c r="M71" s="135"/>
      <c r="N71" s="135"/>
      <c r="O71" s="135"/>
      <c r="P71" s="135"/>
      <c r="Q71" s="135"/>
      <c r="R71" s="135"/>
      <c r="S71" s="135"/>
      <c r="T71" s="135"/>
    </row>
    <row r="72" spans="1:20" ht="16.5">
      <c r="A72" s="143">
        <v>44288</v>
      </c>
      <c r="B72" s="136" t="s">
        <v>1150</v>
      </c>
      <c r="C72" s="136" t="s">
        <v>1149</v>
      </c>
      <c r="D72" s="142">
        <v>0.875</v>
      </c>
      <c r="E72" s="142">
        <v>0.91666666666666663</v>
      </c>
      <c r="F72" s="136" t="s">
        <v>1152</v>
      </c>
      <c r="G72" s="139" t="s">
        <v>1151</v>
      </c>
      <c r="H72" s="139"/>
      <c r="I72" s="139"/>
      <c r="J72" s="135"/>
      <c r="K72" s="135"/>
      <c r="L72" s="135"/>
      <c r="M72" s="135"/>
      <c r="N72" s="135"/>
      <c r="O72" s="135"/>
      <c r="P72" s="135"/>
      <c r="Q72" s="135"/>
      <c r="R72" s="135"/>
      <c r="S72" s="135"/>
      <c r="T72" s="135"/>
    </row>
    <row r="73" spans="1:20" ht="16.5">
      <c r="A73" s="143">
        <v>44288</v>
      </c>
      <c r="B73" s="136" t="s">
        <v>1150</v>
      </c>
      <c r="C73" s="136" t="s">
        <v>1149</v>
      </c>
      <c r="D73" s="142">
        <v>0.91666666666666663</v>
      </c>
      <c r="E73" s="142">
        <v>0.95833333333333337</v>
      </c>
      <c r="F73" s="136" t="s">
        <v>1148</v>
      </c>
      <c r="G73" s="137" t="s">
        <v>1147</v>
      </c>
      <c r="H73" s="137"/>
      <c r="I73" s="137"/>
      <c r="J73" s="135"/>
      <c r="K73" s="135"/>
      <c r="L73" s="135"/>
      <c r="M73" s="135"/>
      <c r="N73" s="135"/>
      <c r="O73" s="135"/>
      <c r="P73" s="135"/>
      <c r="Q73" s="135"/>
      <c r="R73" s="135"/>
      <c r="S73" s="135"/>
      <c r="T73" s="135"/>
    </row>
    <row r="74" spans="1:20" ht="16.5">
      <c r="A74" s="143">
        <v>44289</v>
      </c>
      <c r="B74" s="136" t="s">
        <v>1150</v>
      </c>
      <c r="C74" s="136" t="s">
        <v>1149</v>
      </c>
      <c r="D74" s="142">
        <v>0.375</v>
      </c>
      <c r="E74" s="142" t="s">
        <v>1166</v>
      </c>
      <c r="F74" s="136" t="s">
        <v>1167</v>
      </c>
      <c r="G74" s="139"/>
      <c r="H74" s="140"/>
      <c r="I74" s="140"/>
      <c r="J74" s="135"/>
      <c r="K74" s="135"/>
      <c r="L74" s="135"/>
      <c r="M74" s="135"/>
      <c r="N74" s="135"/>
      <c r="O74" s="135"/>
      <c r="P74" s="135"/>
      <c r="Q74" s="135"/>
      <c r="R74" s="135"/>
      <c r="S74" s="135"/>
      <c r="T74" s="135"/>
    </row>
    <row r="75" spans="1:20" ht="16.5">
      <c r="A75" s="143">
        <v>44290</v>
      </c>
      <c r="B75" s="136" t="s">
        <v>1150</v>
      </c>
      <c r="C75" s="136" t="s">
        <v>1149</v>
      </c>
      <c r="D75" s="142">
        <v>0.375</v>
      </c>
      <c r="E75" s="142" t="s">
        <v>1166</v>
      </c>
      <c r="F75" s="136" t="s">
        <v>1165</v>
      </c>
      <c r="G75" s="139"/>
      <c r="H75" s="140"/>
      <c r="I75" s="140"/>
      <c r="J75" s="135"/>
      <c r="K75" s="135"/>
      <c r="L75" s="135"/>
      <c r="M75" s="135"/>
      <c r="N75" s="135"/>
      <c r="O75" s="135"/>
      <c r="P75" s="135"/>
      <c r="Q75" s="135"/>
      <c r="R75" s="135"/>
      <c r="S75" s="135"/>
      <c r="T75" s="135"/>
    </row>
    <row r="76" spans="1:20">
      <c r="A76" s="143">
        <v>44291</v>
      </c>
      <c r="B76" s="136" t="s">
        <v>1156</v>
      </c>
      <c r="C76" s="136" t="s">
        <v>1149</v>
      </c>
      <c r="D76" s="142">
        <v>0.20833333333333334</v>
      </c>
      <c r="E76" s="142">
        <v>0.29166666666666669</v>
      </c>
      <c r="F76" s="136" t="s">
        <v>1152</v>
      </c>
      <c r="G76" s="136" t="s">
        <v>1164</v>
      </c>
      <c r="H76" s="136"/>
      <c r="I76" s="136"/>
      <c r="J76" s="136"/>
      <c r="K76" s="136"/>
      <c r="L76" s="136"/>
      <c r="M76" s="136"/>
      <c r="N76" s="136"/>
      <c r="O76" s="136"/>
      <c r="P76" s="136"/>
      <c r="Q76" s="136"/>
      <c r="R76" s="136"/>
      <c r="S76" s="136"/>
      <c r="T76" s="136"/>
    </row>
    <row r="77" spans="1:20">
      <c r="A77" s="143">
        <v>44291</v>
      </c>
      <c r="B77" s="136" t="s">
        <v>1156</v>
      </c>
      <c r="C77" s="136" t="s">
        <v>1149</v>
      </c>
      <c r="D77" s="142">
        <v>0.29166666666666669</v>
      </c>
      <c r="E77" s="142">
        <v>0.33333333333333331</v>
      </c>
      <c r="F77" s="136" t="s">
        <v>1148</v>
      </c>
      <c r="G77" s="136"/>
      <c r="H77" s="136"/>
      <c r="I77" s="136"/>
      <c r="J77" s="136"/>
      <c r="K77" s="136"/>
      <c r="L77" s="136"/>
      <c r="M77" s="136"/>
      <c r="N77" s="136"/>
      <c r="O77" s="136"/>
      <c r="P77" s="136"/>
      <c r="Q77" s="136"/>
      <c r="R77" s="136"/>
      <c r="S77" s="136"/>
      <c r="T77" s="136"/>
    </row>
    <row r="78" spans="1:20" ht="16.5">
      <c r="A78" s="143">
        <v>44291</v>
      </c>
      <c r="B78" s="136" t="s">
        <v>1156</v>
      </c>
      <c r="C78" s="136" t="s">
        <v>1149</v>
      </c>
      <c r="D78" s="142">
        <v>0.50694444444444442</v>
      </c>
      <c r="E78" s="142">
        <v>0.52777777777777779</v>
      </c>
      <c r="F78" s="136" t="s">
        <v>1158</v>
      </c>
      <c r="G78" s="139"/>
      <c r="H78" s="137"/>
      <c r="I78" s="137"/>
      <c r="J78" s="135"/>
      <c r="K78" s="135"/>
      <c r="L78" s="135"/>
      <c r="M78" s="135"/>
      <c r="N78" s="135"/>
      <c r="O78" s="135"/>
      <c r="P78" s="135"/>
      <c r="Q78" s="135"/>
      <c r="R78" s="135"/>
      <c r="S78" s="135"/>
      <c r="T78" s="135"/>
    </row>
    <row r="79" spans="1:20" ht="16.5">
      <c r="A79" s="143">
        <v>44291</v>
      </c>
      <c r="B79" s="136" t="s">
        <v>1156</v>
      </c>
      <c r="C79" s="136" t="s">
        <v>1149</v>
      </c>
      <c r="D79" s="142">
        <v>0.77083333333333337</v>
      </c>
      <c r="E79" s="142">
        <v>0.8125</v>
      </c>
      <c r="F79" s="136" t="s">
        <v>1152</v>
      </c>
      <c r="G79" s="139" t="s">
        <v>1163</v>
      </c>
      <c r="H79" s="137"/>
      <c r="I79" s="137"/>
      <c r="J79" s="135"/>
      <c r="K79" s="135"/>
      <c r="L79" s="135"/>
      <c r="M79" s="135"/>
      <c r="N79" s="135"/>
      <c r="O79" s="135"/>
      <c r="P79" s="135"/>
      <c r="Q79" s="135"/>
      <c r="R79" s="135"/>
      <c r="S79" s="135"/>
      <c r="T79" s="135"/>
    </row>
    <row r="80" spans="1:20" ht="16.5">
      <c r="A80" s="143">
        <v>44291</v>
      </c>
      <c r="B80" s="136" t="s">
        <v>1150</v>
      </c>
      <c r="C80" s="136" t="s">
        <v>1149</v>
      </c>
      <c r="D80" s="142">
        <v>0.83333333333333337</v>
      </c>
      <c r="E80" s="142">
        <v>0.875</v>
      </c>
      <c r="F80" s="136" t="s">
        <v>1154</v>
      </c>
      <c r="G80" s="139"/>
      <c r="H80" s="137"/>
      <c r="I80" s="137"/>
      <c r="J80" s="135"/>
      <c r="K80" s="135"/>
      <c r="L80" s="135"/>
      <c r="M80" s="135"/>
      <c r="N80" s="135"/>
      <c r="O80" s="135"/>
      <c r="P80" s="135"/>
      <c r="Q80" s="135"/>
      <c r="R80" s="135"/>
      <c r="S80" s="135"/>
      <c r="T80" s="135"/>
    </row>
    <row r="81" spans="1:20" ht="16.5">
      <c r="A81" s="143">
        <v>44291</v>
      </c>
      <c r="B81" s="136" t="s">
        <v>1150</v>
      </c>
      <c r="C81" s="136" t="s">
        <v>1149</v>
      </c>
      <c r="D81" s="142">
        <v>0.875</v>
      </c>
      <c r="E81" s="142">
        <v>0.91666666666666663</v>
      </c>
      <c r="F81" s="136" t="s">
        <v>1152</v>
      </c>
      <c r="G81" s="139" t="s">
        <v>1162</v>
      </c>
      <c r="H81" s="139"/>
      <c r="I81" s="139"/>
      <c r="J81" s="135"/>
      <c r="K81" s="135"/>
      <c r="L81" s="135"/>
      <c r="M81" s="135"/>
      <c r="N81" s="135"/>
      <c r="O81" s="135"/>
      <c r="P81" s="135"/>
      <c r="Q81" s="135"/>
      <c r="R81" s="135"/>
      <c r="S81" s="135"/>
      <c r="T81" s="135"/>
    </row>
    <row r="82" spans="1:20" ht="16.5">
      <c r="A82" s="143">
        <v>44291</v>
      </c>
      <c r="B82" s="136" t="s">
        <v>1150</v>
      </c>
      <c r="C82" s="136" t="s">
        <v>1149</v>
      </c>
      <c r="D82" s="142">
        <v>0.91666666666666663</v>
      </c>
      <c r="E82" s="142">
        <v>0.95833333333333337</v>
      </c>
      <c r="F82" s="136" t="s">
        <v>1148</v>
      </c>
      <c r="G82" s="139" t="s">
        <v>1161</v>
      </c>
      <c r="H82" s="139"/>
      <c r="I82" s="139"/>
      <c r="J82" s="135"/>
      <c r="K82" s="135"/>
      <c r="L82" s="135"/>
      <c r="M82" s="135"/>
      <c r="N82" s="135"/>
      <c r="O82" s="135"/>
      <c r="P82" s="135"/>
      <c r="Q82" s="135"/>
      <c r="R82" s="135"/>
      <c r="S82" s="135"/>
      <c r="T82" s="135"/>
    </row>
    <row r="83" spans="1:20" ht="16.5">
      <c r="A83" s="143">
        <v>44292</v>
      </c>
      <c r="B83" s="136" t="s">
        <v>1156</v>
      </c>
      <c r="C83" s="136" t="s">
        <v>1149</v>
      </c>
      <c r="D83" s="142">
        <v>0.20833333333333334</v>
      </c>
      <c r="E83" s="142">
        <v>0.29166666666666669</v>
      </c>
      <c r="F83" s="136" t="s">
        <v>1152</v>
      </c>
      <c r="G83" s="139" t="s">
        <v>1160</v>
      </c>
      <c r="H83" s="139"/>
      <c r="I83" s="139"/>
      <c r="J83" s="135"/>
      <c r="K83" s="135"/>
      <c r="L83" s="135"/>
      <c r="M83" s="135"/>
      <c r="N83" s="135"/>
      <c r="O83" s="135"/>
      <c r="P83" s="135"/>
      <c r="Q83" s="135"/>
      <c r="R83" s="135"/>
      <c r="S83" s="135"/>
      <c r="T83" s="135"/>
    </row>
    <row r="84" spans="1:20" ht="16.5">
      <c r="A84" s="143">
        <v>44292</v>
      </c>
      <c r="B84" s="136" t="s">
        <v>1156</v>
      </c>
      <c r="C84" s="136" t="s">
        <v>1149</v>
      </c>
      <c r="D84" s="142">
        <v>0.29166666666666669</v>
      </c>
      <c r="E84" s="142">
        <v>0.33333333333333331</v>
      </c>
      <c r="F84" s="136" t="s">
        <v>1148</v>
      </c>
      <c r="G84" s="139" t="s">
        <v>1159</v>
      </c>
      <c r="H84" s="140"/>
      <c r="I84" s="140"/>
      <c r="J84" s="135"/>
      <c r="K84" s="135"/>
      <c r="L84" s="135"/>
      <c r="M84" s="135"/>
      <c r="N84" s="135"/>
      <c r="O84" s="135"/>
      <c r="P84" s="135"/>
      <c r="Q84" s="135"/>
      <c r="R84" s="135"/>
      <c r="S84" s="135"/>
      <c r="T84" s="135"/>
    </row>
    <row r="85" spans="1:20" ht="16.5">
      <c r="A85" s="143">
        <v>44292</v>
      </c>
      <c r="B85" s="136" t="s">
        <v>1156</v>
      </c>
      <c r="C85" s="136" t="s">
        <v>1149</v>
      </c>
      <c r="D85" s="142">
        <v>0.50694444444444442</v>
      </c>
      <c r="E85" s="142">
        <v>0.52777777777777779</v>
      </c>
      <c r="F85" s="136" t="s">
        <v>1158</v>
      </c>
      <c r="G85" s="139" t="s">
        <v>1157</v>
      </c>
      <c r="H85" s="140"/>
      <c r="I85" s="140"/>
      <c r="J85" s="135"/>
      <c r="K85" s="135"/>
      <c r="L85" s="135"/>
      <c r="M85" s="135"/>
      <c r="N85" s="135"/>
      <c r="O85" s="135"/>
      <c r="P85" s="135"/>
      <c r="Q85" s="135"/>
      <c r="R85" s="135"/>
      <c r="S85" s="135"/>
      <c r="T85" s="135"/>
    </row>
    <row r="86" spans="1:20" ht="16.5">
      <c r="A86" s="143">
        <v>44292</v>
      </c>
      <c r="B86" s="136" t="s">
        <v>1156</v>
      </c>
      <c r="C86" s="136" t="s">
        <v>1149</v>
      </c>
      <c r="D86" s="142">
        <v>0.77083333333333337</v>
      </c>
      <c r="E86" s="142">
        <v>0.8125</v>
      </c>
      <c r="F86" s="136" t="s">
        <v>1152</v>
      </c>
      <c r="G86" s="139" t="s">
        <v>1155</v>
      </c>
      <c r="H86" s="140"/>
      <c r="I86" s="140"/>
      <c r="J86" s="135"/>
      <c r="K86" s="135"/>
      <c r="L86" s="135"/>
      <c r="M86" s="135"/>
      <c r="N86" s="135"/>
      <c r="O86" s="135"/>
      <c r="P86" s="135"/>
      <c r="Q86" s="135"/>
      <c r="R86" s="135"/>
      <c r="S86" s="135"/>
      <c r="T86" s="135"/>
    </row>
    <row r="87" spans="1:20" ht="16.5">
      <c r="A87" s="143">
        <v>44292</v>
      </c>
      <c r="B87" s="136" t="s">
        <v>1150</v>
      </c>
      <c r="C87" s="136" t="s">
        <v>1149</v>
      </c>
      <c r="D87" s="142">
        <v>0.83333333333333337</v>
      </c>
      <c r="E87" s="142">
        <v>0.875</v>
      </c>
      <c r="F87" s="136" t="s">
        <v>1154</v>
      </c>
      <c r="G87" s="139" t="s">
        <v>1153</v>
      </c>
      <c r="H87" s="139"/>
      <c r="I87" s="139"/>
      <c r="J87" s="135"/>
      <c r="K87" s="135"/>
      <c r="L87" s="135"/>
      <c r="M87" s="135"/>
      <c r="N87" s="135"/>
      <c r="O87" s="135"/>
      <c r="P87" s="135"/>
      <c r="Q87" s="135"/>
      <c r="R87" s="135"/>
      <c r="S87" s="135"/>
      <c r="T87" s="135"/>
    </row>
    <row r="88" spans="1:20" ht="16.5">
      <c r="A88" s="143">
        <v>44292</v>
      </c>
      <c r="B88" s="136" t="s">
        <v>1150</v>
      </c>
      <c r="C88" s="136" t="s">
        <v>1149</v>
      </c>
      <c r="D88" s="142">
        <v>0.875</v>
      </c>
      <c r="E88" s="142">
        <v>0.91666666666666663</v>
      </c>
      <c r="F88" s="136" t="s">
        <v>1152</v>
      </c>
      <c r="G88" s="139" t="s">
        <v>1151</v>
      </c>
      <c r="H88" s="139"/>
      <c r="I88" s="139"/>
      <c r="J88" s="135"/>
      <c r="K88" s="135"/>
      <c r="L88" s="135"/>
      <c r="M88" s="135"/>
      <c r="N88" s="135"/>
      <c r="O88" s="135"/>
      <c r="P88" s="135"/>
      <c r="Q88" s="135"/>
      <c r="R88" s="135"/>
      <c r="S88" s="135"/>
      <c r="T88" s="135"/>
    </row>
    <row r="89" spans="1:20" ht="16.5">
      <c r="A89" s="143">
        <v>44292</v>
      </c>
      <c r="B89" s="136" t="s">
        <v>1150</v>
      </c>
      <c r="C89" s="136" t="s">
        <v>1149</v>
      </c>
      <c r="D89" s="142">
        <v>0.91666666666666663</v>
      </c>
      <c r="E89" s="142">
        <v>0.95833333333333337</v>
      </c>
      <c r="F89" s="136" t="s">
        <v>1148</v>
      </c>
      <c r="G89" s="137" t="s">
        <v>1147</v>
      </c>
      <c r="H89" s="137"/>
      <c r="I89" s="137"/>
      <c r="J89" s="135"/>
      <c r="K89" s="135"/>
      <c r="L89" s="135"/>
      <c r="M89" s="135"/>
      <c r="N89" s="135"/>
      <c r="O89" s="135"/>
      <c r="P89" s="135"/>
      <c r="Q89" s="135"/>
      <c r="R89" s="135"/>
      <c r="S89" s="135"/>
      <c r="T89" s="135"/>
    </row>
    <row r="90" spans="1:20" ht="16.5">
      <c r="A90" s="136"/>
      <c r="B90" s="136"/>
      <c r="C90" s="136"/>
      <c r="D90" s="136"/>
      <c r="E90" s="136"/>
      <c r="F90" s="136"/>
      <c r="G90" s="139"/>
      <c r="H90" s="138"/>
      <c r="I90" s="138"/>
      <c r="J90" s="135"/>
      <c r="K90" s="135"/>
      <c r="L90" s="135"/>
      <c r="M90" s="135"/>
      <c r="N90" s="135"/>
      <c r="O90" s="135"/>
      <c r="P90" s="135"/>
      <c r="Q90" s="135"/>
      <c r="R90" s="135"/>
      <c r="S90" s="135"/>
      <c r="T90" s="135"/>
    </row>
    <row r="91" spans="1:20" ht="16.5">
      <c r="A91" s="136"/>
      <c r="B91" s="136"/>
      <c r="C91" s="136"/>
      <c r="D91" s="136"/>
      <c r="E91" s="136"/>
      <c r="F91" s="136"/>
      <c r="G91" s="137"/>
      <c r="H91" s="139"/>
      <c r="I91" s="139"/>
      <c r="J91" s="135"/>
      <c r="K91" s="135"/>
      <c r="L91" s="135"/>
      <c r="M91" s="135"/>
      <c r="N91" s="135"/>
      <c r="O91" s="135"/>
      <c r="P91" s="135"/>
      <c r="Q91" s="135"/>
      <c r="R91" s="135"/>
      <c r="S91" s="135"/>
      <c r="T91" s="135"/>
    </row>
    <row r="92" spans="1:20" ht="16.5">
      <c r="A92" s="136"/>
      <c r="B92" s="136"/>
      <c r="C92" s="136"/>
      <c r="D92" s="136"/>
      <c r="E92" s="136"/>
      <c r="F92" s="136"/>
      <c r="G92" s="139"/>
      <c r="H92" s="139"/>
      <c r="I92" s="139"/>
      <c r="J92" s="135"/>
      <c r="K92" s="135"/>
      <c r="L92" s="135"/>
      <c r="M92" s="135"/>
      <c r="N92" s="135"/>
      <c r="O92" s="135"/>
      <c r="P92" s="135"/>
      <c r="Q92" s="135"/>
      <c r="R92" s="135"/>
      <c r="S92" s="135"/>
      <c r="T92" s="135"/>
    </row>
    <row r="93" spans="1:20" ht="16.5">
      <c r="A93" s="136"/>
      <c r="B93" s="136"/>
      <c r="C93" s="136"/>
      <c r="D93" s="136"/>
      <c r="E93" s="136"/>
      <c r="F93" s="136"/>
      <c r="G93" s="139"/>
      <c r="H93" s="139"/>
      <c r="I93" s="139"/>
      <c r="J93" s="135"/>
      <c r="K93" s="135"/>
      <c r="L93" s="135"/>
      <c r="M93" s="135"/>
      <c r="N93" s="135"/>
      <c r="O93" s="135"/>
      <c r="P93" s="135"/>
      <c r="Q93" s="135"/>
      <c r="R93" s="135"/>
      <c r="S93" s="135"/>
      <c r="T93" s="135"/>
    </row>
    <row r="94" spans="1:20" ht="16.5">
      <c r="A94" s="136"/>
      <c r="B94" s="136"/>
      <c r="C94" s="136"/>
      <c r="D94" s="136"/>
      <c r="E94" s="136"/>
      <c r="F94" s="136"/>
      <c r="G94" s="136"/>
      <c r="H94" s="136"/>
      <c r="I94" s="136"/>
      <c r="J94" s="141"/>
      <c r="K94" s="135"/>
      <c r="L94" s="135"/>
      <c r="M94" s="135"/>
      <c r="N94" s="135"/>
      <c r="O94" s="135"/>
      <c r="P94" s="135"/>
      <c r="Q94" s="135"/>
      <c r="R94" s="135"/>
      <c r="S94" s="135"/>
      <c r="T94" s="135"/>
    </row>
    <row r="95" spans="1:20" ht="16.5">
      <c r="A95" s="136"/>
      <c r="B95" s="136"/>
      <c r="C95" s="136"/>
      <c r="D95" s="136"/>
      <c r="E95" s="136"/>
      <c r="F95" s="136"/>
      <c r="G95" s="139"/>
      <c r="H95" s="139"/>
      <c r="I95" s="139"/>
      <c r="J95" s="135"/>
      <c r="K95" s="135"/>
      <c r="L95" s="135"/>
      <c r="M95" s="135"/>
      <c r="N95" s="135"/>
      <c r="O95" s="135"/>
      <c r="P95" s="135"/>
      <c r="Q95" s="135"/>
      <c r="R95" s="135"/>
      <c r="S95" s="135"/>
      <c r="T95" s="135"/>
    </row>
    <row r="96" spans="1:20" ht="16.5">
      <c r="A96" s="136"/>
      <c r="B96" s="136"/>
      <c r="C96" s="136"/>
      <c r="D96" s="136"/>
      <c r="E96" s="136"/>
      <c r="F96" s="136"/>
      <c r="G96" s="139"/>
      <c r="H96" s="139"/>
      <c r="I96" s="139"/>
      <c r="J96" s="135"/>
      <c r="K96" s="135"/>
      <c r="L96" s="135"/>
      <c r="M96" s="135"/>
      <c r="N96" s="135"/>
      <c r="O96" s="135"/>
      <c r="P96" s="135"/>
      <c r="Q96" s="135"/>
      <c r="R96" s="135"/>
      <c r="S96" s="135"/>
      <c r="T96" s="135"/>
    </row>
    <row r="97" spans="1:20" ht="16.5">
      <c r="A97" s="136"/>
      <c r="B97" s="136"/>
      <c r="C97" s="136"/>
      <c r="D97" s="136"/>
      <c r="E97" s="136"/>
      <c r="F97" s="136"/>
      <c r="G97" s="139"/>
      <c r="H97" s="139"/>
      <c r="I97" s="139"/>
      <c r="J97" s="135"/>
      <c r="K97" s="135"/>
      <c r="L97" s="135"/>
      <c r="M97" s="135"/>
      <c r="N97" s="135"/>
      <c r="O97" s="135"/>
      <c r="P97" s="135"/>
      <c r="Q97" s="135"/>
      <c r="R97" s="135"/>
      <c r="S97" s="135"/>
      <c r="T97" s="135"/>
    </row>
    <row r="98" spans="1:20" ht="16.5">
      <c r="A98" s="136"/>
      <c r="B98" s="136"/>
      <c r="C98" s="136"/>
      <c r="D98" s="136"/>
      <c r="E98" s="136"/>
      <c r="F98" s="136"/>
      <c r="G98" s="139"/>
      <c r="H98" s="139"/>
      <c r="I98" s="139"/>
      <c r="J98" s="135"/>
      <c r="K98" s="135"/>
      <c r="L98" s="135"/>
      <c r="M98" s="135"/>
      <c r="N98" s="135"/>
      <c r="O98" s="135"/>
      <c r="P98" s="135"/>
      <c r="Q98" s="135"/>
      <c r="R98" s="135"/>
      <c r="S98" s="135"/>
      <c r="T98" s="135"/>
    </row>
    <row r="99" spans="1:20" ht="16.5">
      <c r="A99" s="136"/>
      <c r="B99" s="136"/>
      <c r="C99" s="136"/>
      <c r="D99" s="136"/>
      <c r="E99" s="136"/>
      <c r="F99" s="136"/>
      <c r="G99" s="139"/>
      <c r="H99" s="139"/>
      <c r="I99" s="139"/>
      <c r="J99" s="135"/>
      <c r="K99" s="135"/>
      <c r="L99" s="135"/>
      <c r="M99" s="135"/>
      <c r="N99" s="135"/>
      <c r="O99" s="135"/>
      <c r="P99" s="135"/>
      <c r="Q99" s="135"/>
      <c r="R99" s="135"/>
      <c r="S99" s="135"/>
      <c r="T99" s="135"/>
    </row>
    <row r="100" spans="1:20" ht="16.5">
      <c r="A100" s="136"/>
      <c r="B100" s="136"/>
      <c r="C100" s="136"/>
      <c r="D100" s="136"/>
      <c r="E100" s="136"/>
      <c r="F100" s="136"/>
      <c r="G100" s="139"/>
      <c r="H100" s="140"/>
      <c r="I100" s="140"/>
      <c r="J100" s="135"/>
      <c r="K100" s="135"/>
      <c r="L100" s="135"/>
      <c r="M100" s="135"/>
      <c r="N100" s="135"/>
      <c r="O100" s="135"/>
      <c r="P100" s="135"/>
      <c r="Q100" s="135"/>
      <c r="R100" s="135"/>
      <c r="S100" s="135"/>
      <c r="T100" s="135"/>
    </row>
    <row r="101" spans="1:20" ht="16.5">
      <c r="A101" s="136"/>
      <c r="B101" s="136"/>
      <c r="C101" s="136"/>
      <c r="D101" s="136"/>
      <c r="E101" s="136"/>
      <c r="F101" s="136"/>
      <c r="G101" s="139"/>
      <c r="H101" s="140"/>
      <c r="I101" s="140"/>
      <c r="J101" s="135"/>
      <c r="K101" s="135"/>
      <c r="L101" s="135"/>
      <c r="M101" s="135"/>
      <c r="N101" s="135"/>
      <c r="O101" s="135"/>
      <c r="P101" s="135"/>
      <c r="Q101" s="135"/>
      <c r="R101" s="135"/>
      <c r="S101" s="135"/>
      <c r="T101" s="135"/>
    </row>
    <row r="102" spans="1:20" ht="16.5">
      <c r="A102" s="136"/>
      <c r="B102" s="136"/>
      <c r="C102" s="136"/>
      <c r="D102" s="136"/>
      <c r="E102" s="136"/>
      <c r="F102" s="136"/>
      <c r="G102" s="139"/>
      <c r="H102" s="140"/>
      <c r="I102" s="140"/>
      <c r="J102" s="135"/>
      <c r="K102" s="135"/>
      <c r="L102" s="135"/>
      <c r="M102" s="135"/>
      <c r="N102" s="135"/>
      <c r="O102" s="135"/>
      <c r="P102" s="135"/>
      <c r="Q102" s="135"/>
      <c r="R102" s="135"/>
      <c r="S102" s="135"/>
      <c r="T102" s="135"/>
    </row>
    <row r="103" spans="1:20" ht="16.5">
      <c r="A103" s="139"/>
      <c r="B103" s="139"/>
      <c r="C103" s="139"/>
      <c r="D103" s="139"/>
      <c r="E103" s="139"/>
      <c r="F103" s="136"/>
      <c r="G103" s="139"/>
      <c r="H103" s="135"/>
      <c r="I103" s="135"/>
      <c r="J103" s="135"/>
      <c r="K103" s="135"/>
      <c r="L103" s="135"/>
      <c r="M103" s="135"/>
      <c r="N103" s="135"/>
      <c r="O103" s="135"/>
      <c r="P103" s="135"/>
      <c r="Q103" s="135"/>
      <c r="R103" s="135"/>
      <c r="S103" s="135"/>
      <c r="T103" s="135"/>
    </row>
    <row r="104" spans="1:20" ht="16.5">
      <c r="A104" s="139"/>
      <c r="B104" s="139"/>
      <c r="C104" s="139"/>
      <c r="D104" s="139"/>
      <c r="E104" s="139"/>
      <c r="F104" s="136"/>
      <c r="G104" s="139"/>
      <c r="H104" s="135"/>
      <c r="I104" s="135"/>
      <c r="J104" s="135"/>
      <c r="K104" s="135"/>
      <c r="L104" s="135"/>
      <c r="M104" s="135"/>
      <c r="N104" s="135"/>
      <c r="O104" s="135"/>
      <c r="P104" s="135"/>
      <c r="Q104" s="135"/>
      <c r="R104" s="135"/>
      <c r="S104" s="135"/>
      <c r="T104" s="135"/>
    </row>
    <row r="105" spans="1:20" ht="16.5">
      <c r="A105" s="139"/>
      <c r="B105" s="139"/>
      <c r="C105" s="139"/>
      <c r="D105" s="139"/>
      <c r="E105" s="139"/>
      <c r="F105" s="136"/>
      <c r="G105" s="139"/>
      <c r="H105" s="135"/>
      <c r="I105" s="135"/>
      <c r="J105" s="135"/>
      <c r="K105" s="135"/>
      <c r="L105" s="135"/>
      <c r="M105" s="135"/>
      <c r="N105" s="135"/>
      <c r="O105" s="135"/>
      <c r="P105" s="135"/>
      <c r="Q105" s="135"/>
      <c r="R105" s="135"/>
      <c r="S105" s="135"/>
      <c r="T105" s="135"/>
    </row>
    <row r="106" spans="1:20" ht="16.5">
      <c r="A106" s="139"/>
      <c r="B106" s="139"/>
      <c r="C106" s="139"/>
      <c r="D106" s="139"/>
      <c r="E106" s="139"/>
      <c r="F106" s="136"/>
      <c r="G106" s="139"/>
      <c r="H106" s="135"/>
      <c r="I106" s="135"/>
      <c r="J106" s="135"/>
      <c r="K106" s="135"/>
      <c r="L106" s="135"/>
      <c r="M106" s="135"/>
      <c r="N106" s="135"/>
      <c r="O106" s="135"/>
      <c r="P106" s="135"/>
      <c r="Q106" s="135"/>
      <c r="R106" s="135"/>
      <c r="S106" s="135"/>
      <c r="T106" s="135"/>
    </row>
    <row r="107" spans="1:20" ht="16.5">
      <c r="A107" s="139"/>
      <c r="B107" s="139"/>
      <c r="C107" s="139"/>
      <c r="D107" s="139"/>
      <c r="E107" s="139"/>
      <c r="F107" s="136"/>
      <c r="G107" s="135"/>
      <c r="H107" s="135"/>
      <c r="I107" s="135"/>
      <c r="J107" s="135"/>
      <c r="K107" s="135"/>
      <c r="L107" s="135"/>
      <c r="M107" s="135"/>
      <c r="N107" s="135"/>
      <c r="O107" s="135"/>
      <c r="P107" s="135"/>
      <c r="Q107" s="135"/>
      <c r="R107" s="135"/>
      <c r="S107" s="135"/>
      <c r="T107" s="135"/>
    </row>
    <row r="108" spans="1:20" ht="16.5">
      <c r="A108" s="139"/>
      <c r="B108" s="139"/>
      <c r="C108" s="139"/>
      <c r="D108" s="139"/>
      <c r="E108" s="139"/>
      <c r="F108" s="136"/>
      <c r="G108" s="138"/>
      <c r="H108" s="135"/>
      <c r="I108" s="135"/>
      <c r="J108" s="135"/>
      <c r="K108" s="135"/>
      <c r="L108" s="135"/>
      <c r="M108" s="135"/>
      <c r="N108" s="135"/>
      <c r="O108" s="135"/>
      <c r="P108" s="135"/>
      <c r="Q108" s="135"/>
      <c r="R108" s="135"/>
      <c r="S108" s="135"/>
      <c r="T108" s="135"/>
    </row>
    <row r="109" spans="1:20" ht="16.5">
      <c r="A109" s="135"/>
      <c r="B109" s="135"/>
      <c r="C109" s="135"/>
      <c r="D109" s="135"/>
      <c r="E109" s="135"/>
      <c r="F109" s="136"/>
      <c r="G109" s="137"/>
      <c r="H109" s="135"/>
      <c r="I109" s="135"/>
      <c r="J109" s="135"/>
      <c r="K109" s="135"/>
      <c r="L109" s="135"/>
      <c r="M109" s="135"/>
      <c r="N109" s="135"/>
      <c r="O109" s="135"/>
      <c r="P109" s="135"/>
      <c r="Q109" s="135"/>
      <c r="R109" s="135"/>
      <c r="S109" s="135"/>
      <c r="T109" s="135"/>
    </row>
    <row r="110" spans="1:20" ht="16.5">
      <c r="A110" s="135"/>
      <c r="B110" s="135"/>
      <c r="C110" s="135"/>
      <c r="D110" s="135"/>
      <c r="E110" s="135"/>
      <c r="F110" s="136"/>
      <c r="G110" s="137"/>
      <c r="H110" s="135"/>
      <c r="I110" s="135"/>
      <c r="J110" s="135"/>
      <c r="K110" s="135"/>
      <c r="L110" s="135"/>
      <c r="M110" s="135"/>
      <c r="N110" s="135"/>
      <c r="O110" s="135"/>
      <c r="P110" s="135"/>
      <c r="Q110" s="135"/>
      <c r="R110" s="135"/>
      <c r="S110" s="135"/>
      <c r="T110" s="135"/>
    </row>
    <row r="111" spans="1:20" ht="16.5">
      <c r="A111" s="135"/>
      <c r="B111" s="135"/>
      <c r="C111" s="135"/>
      <c r="D111" s="135"/>
      <c r="E111" s="135"/>
      <c r="F111" s="136"/>
      <c r="G111" s="137"/>
      <c r="H111" s="135"/>
      <c r="I111" s="135"/>
      <c r="J111" s="135"/>
      <c r="K111" s="135"/>
      <c r="L111" s="135"/>
      <c r="M111" s="135"/>
      <c r="N111" s="135"/>
      <c r="O111" s="135"/>
      <c r="P111" s="135"/>
      <c r="Q111" s="135"/>
      <c r="R111" s="135"/>
      <c r="S111" s="135"/>
      <c r="T111" s="135"/>
    </row>
    <row r="112" spans="1:20" ht="16.5">
      <c r="A112" s="135"/>
      <c r="B112" s="135"/>
      <c r="C112" s="135"/>
      <c r="D112" s="135"/>
      <c r="E112" s="135"/>
      <c r="F112" s="136"/>
      <c r="G112" s="135"/>
      <c r="H112" s="135"/>
      <c r="I112" s="135"/>
      <c r="J112" s="135"/>
      <c r="K112" s="135"/>
      <c r="L112" s="135"/>
      <c r="M112" s="135"/>
      <c r="N112" s="135"/>
      <c r="O112" s="135"/>
      <c r="P112" s="135"/>
      <c r="Q112" s="135"/>
      <c r="R112" s="135"/>
      <c r="S112" s="135"/>
      <c r="T112" s="135"/>
    </row>
    <row r="113" spans="1:20" ht="16.5">
      <c r="A113" s="135"/>
      <c r="B113" s="135"/>
      <c r="C113" s="135"/>
      <c r="D113" s="135"/>
      <c r="E113" s="135"/>
      <c r="F113" s="136"/>
      <c r="G113" s="137"/>
      <c r="H113" s="135"/>
      <c r="I113" s="135"/>
      <c r="J113" s="135"/>
      <c r="K113" s="135"/>
      <c r="L113" s="135"/>
      <c r="M113" s="135"/>
      <c r="N113" s="135"/>
      <c r="O113" s="135"/>
      <c r="P113" s="135"/>
      <c r="Q113" s="135"/>
      <c r="R113" s="135"/>
      <c r="S113" s="135"/>
      <c r="T113" s="135"/>
    </row>
    <row r="114" spans="1:20" ht="16.5">
      <c r="A114" s="135"/>
      <c r="B114" s="135"/>
      <c r="C114" s="135"/>
      <c r="D114" s="135"/>
      <c r="E114" s="135"/>
      <c r="F114" s="136"/>
      <c r="G114" s="135"/>
      <c r="H114" s="135"/>
      <c r="I114" s="135"/>
      <c r="J114" s="135"/>
      <c r="K114" s="135"/>
      <c r="L114" s="135"/>
      <c r="M114" s="135"/>
      <c r="N114" s="135"/>
      <c r="O114" s="135"/>
      <c r="P114" s="135"/>
      <c r="Q114" s="135"/>
      <c r="R114" s="135"/>
      <c r="S114" s="135"/>
      <c r="T114" s="135"/>
    </row>
    <row r="115" spans="1:20" ht="16.5">
      <c r="A115" s="135"/>
      <c r="B115" s="135"/>
      <c r="C115" s="135"/>
      <c r="D115" s="135"/>
      <c r="E115" s="135"/>
      <c r="F115" s="136"/>
      <c r="G115" s="135"/>
      <c r="H115" s="135"/>
      <c r="I115" s="135"/>
      <c r="J115" s="135"/>
      <c r="K115" s="135"/>
      <c r="L115" s="135"/>
      <c r="M115" s="135"/>
      <c r="N115" s="135"/>
      <c r="O115" s="135"/>
      <c r="P115" s="135"/>
      <c r="Q115" s="135"/>
      <c r="R115" s="135"/>
      <c r="S115" s="135"/>
      <c r="T115" s="135"/>
    </row>
    <row r="116" spans="1:20" ht="16.5">
      <c r="A116" s="135" t="s">
        <v>1146</v>
      </c>
      <c r="B116" s="135"/>
      <c r="C116" s="135"/>
      <c r="D116" s="135"/>
      <c r="E116" s="135"/>
      <c r="F116" s="136"/>
      <c r="G116" s="135"/>
      <c r="H116" s="135"/>
      <c r="I116" s="135"/>
      <c r="J116" s="135"/>
      <c r="K116" s="135"/>
      <c r="L116" s="135"/>
      <c r="M116" s="135"/>
      <c r="N116" s="135"/>
      <c r="O116" s="135"/>
      <c r="P116" s="135"/>
      <c r="Q116" s="135"/>
      <c r="R116" s="135"/>
      <c r="S116" s="135"/>
      <c r="T116" s="135"/>
    </row>
    <row r="117" spans="1:20" ht="16.5">
      <c r="A117" s="135"/>
      <c r="B117" s="135"/>
      <c r="C117" s="135"/>
      <c r="D117" s="135"/>
      <c r="E117" s="135"/>
      <c r="F117" s="136"/>
      <c r="G117" s="135"/>
      <c r="H117" s="135"/>
      <c r="I117" s="135"/>
      <c r="J117" s="135"/>
      <c r="K117" s="135"/>
      <c r="L117" s="135"/>
      <c r="M117" s="135"/>
      <c r="N117" s="135"/>
      <c r="O117" s="135"/>
      <c r="P117" s="135"/>
      <c r="Q117" s="135"/>
      <c r="R117" s="135"/>
      <c r="S117" s="135"/>
      <c r="T117" s="135"/>
    </row>
    <row r="118" spans="1:20" ht="16.5">
      <c r="A118" s="135"/>
      <c r="B118" s="135"/>
      <c r="C118" s="135"/>
      <c r="D118" s="135"/>
      <c r="E118" s="135"/>
      <c r="F118" s="136"/>
      <c r="G118" s="135"/>
      <c r="H118" s="135"/>
      <c r="I118" s="135"/>
      <c r="J118" s="135"/>
      <c r="K118" s="135"/>
      <c r="L118" s="135"/>
      <c r="M118" s="135"/>
      <c r="N118" s="135"/>
      <c r="O118" s="135"/>
      <c r="P118" s="135"/>
      <c r="Q118" s="135"/>
      <c r="R118" s="135"/>
      <c r="S118" s="135"/>
      <c r="T118" s="135"/>
    </row>
    <row r="119" spans="1:20" ht="16.5">
      <c r="A119" s="135"/>
      <c r="B119" s="135"/>
      <c r="C119" s="135"/>
      <c r="D119" s="135"/>
      <c r="E119" s="135"/>
      <c r="F119" s="136"/>
      <c r="G119" s="135"/>
      <c r="H119" s="135"/>
      <c r="I119" s="135"/>
      <c r="J119" s="135"/>
      <c r="K119" s="135"/>
      <c r="L119" s="135"/>
      <c r="M119" s="135"/>
      <c r="N119" s="135"/>
      <c r="O119" s="135"/>
      <c r="P119" s="135"/>
      <c r="Q119" s="135"/>
      <c r="R119" s="135"/>
      <c r="S119" s="135"/>
      <c r="T119" s="135"/>
    </row>
    <row r="120" spans="1:20" ht="16.5">
      <c r="A120" s="135"/>
      <c r="B120" s="135"/>
      <c r="C120" s="135"/>
      <c r="D120" s="135"/>
      <c r="E120" s="135"/>
      <c r="F120" s="136"/>
      <c r="G120" s="135"/>
      <c r="H120" s="135"/>
      <c r="I120" s="135"/>
      <c r="J120" s="135"/>
      <c r="K120" s="135"/>
      <c r="L120" s="135"/>
      <c r="M120" s="135"/>
      <c r="N120" s="135"/>
      <c r="O120" s="135"/>
      <c r="P120" s="135"/>
      <c r="Q120" s="135"/>
      <c r="R120" s="135"/>
      <c r="S120" s="135"/>
      <c r="T120" s="135"/>
    </row>
    <row r="121" spans="1:20" ht="16.5">
      <c r="A121" s="135"/>
      <c r="B121" s="135"/>
      <c r="C121" s="135"/>
      <c r="D121" s="135"/>
      <c r="E121" s="135"/>
      <c r="F121" s="136"/>
      <c r="G121" s="135"/>
      <c r="H121" s="135"/>
      <c r="I121" s="135"/>
      <c r="J121" s="135"/>
      <c r="K121" s="135"/>
      <c r="L121" s="135"/>
      <c r="M121" s="135"/>
      <c r="N121" s="135"/>
      <c r="O121" s="135"/>
      <c r="P121" s="135"/>
      <c r="Q121" s="135"/>
      <c r="R121" s="135"/>
      <c r="S121" s="135"/>
      <c r="T121" s="135"/>
    </row>
    <row r="122" spans="1:20" ht="16.5">
      <c r="A122" s="135"/>
      <c r="B122" s="135"/>
      <c r="C122" s="135"/>
      <c r="D122" s="135"/>
      <c r="E122" s="135"/>
      <c r="F122" s="136"/>
      <c r="G122" s="135"/>
      <c r="H122" s="135"/>
      <c r="I122" s="135"/>
      <c r="J122" s="135"/>
      <c r="K122" s="135"/>
      <c r="L122" s="135"/>
      <c r="M122" s="135"/>
      <c r="N122" s="135"/>
      <c r="O122" s="135"/>
      <c r="P122" s="135"/>
      <c r="Q122" s="135"/>
      <c r="R122" s="135"/>
      <c r="S122" s="135"/>
      <c r="T122" s="135"/>
    </row>
    <row r="123" spans="1:20" ht="16.5">
      <c r="A123" s="135"/>
      <c r="B123" s="135"/>
      <c r="C123" s="135"/>
      <c r="D123" s="135"/>
      <c r="E123" s="135"/>
      <c r="F123" s="136"/>
      <c r="G123" s="135"/>
      <c r="H123" s="135"/>
      <c r="I123" s="135"/>
      <c r="J123" s="135"/>
      <c r="K123" s="135"/>
      <c r="L123" s="135"/>
      <c r="M123" s="135"/>
      <c r="N123" s="135"/>
      <c r="O123" s="135"/>
      <c r="P123" s="135"/>
      <c r="Q123" s="135"/>
      <c r="R123" s="135"/>
      <c r="S123" s="135"/>
      <c r="T123" s="135"/>
    </row>
    <row r="124" spans="1:20" ht="16.5">
      <c r="A124" s="135"/>
      <c r="B124" s="135"/>
      <c r="C124" s="135"/>
      <c r="D124" s="135"/>
      <c r="E124" s="135"/>
      <c r="F124" s="136"/>
      <c r="G124" s="135"/>
      <c r="H124" s="135"/>
      <c r="I124" s="135"/>
      <c r="J124" s="135"/>
      <c r="K124" s="135"/>
      <c r="L124" s="135"/>
      <c r="M124" s="135"/>
      <c r="N124" s="135"/>
      <c r="O124" s="135"/>
      <c r="P124" s="135"/>
      <c r="Q124" s="135"/>
      <c r="R124" s="135"/>
      <c r="S124" s="135"/>
      <c r="T124" s="135"/>
    </row>
    <row r="125" spans="1:20" ht="16.5">
      <c r="A125" s="135"/>
      <c r="B125" s="135"/>
      <c r="C125" s="135"/>
      <c r="D125" s="135"/>
      <c r="E125" s="135"/>
      <c r="F125" s="136"/>
      <c r="G125" s="135"/>
      <c r="H125" s="135"/>
      <c r="I125" s="135"/>
      <c r="J125" s="135"/>
      <c r="K125" s="135"/>
      <c r="L125" s="135"/>
      <c r="M125" s="135"/>
      <c r="N125" s="135"/>
      <c r="O125" s="135"/>
      <c r="P125" s="135"/>
      <c r="Q125" s="135"/>
      <c r="R125" s="135"/>
      <c r="S125" s="135"/>
      <c r="T125" s="135"/>
    </row>
    <row r="126" spans="1:20" ht="16.5">
      <c r="A126" s="135"/>
      <c r="B126" s="135"/>
      <c r="C126" s="135"/>
      <c r="D126" s="135"/>
      <c r="E126" s="135"/>
      <c r="F126" s="136"/>
      <c r="G126" s="135"/>
      <c r="H126" s="135"/>
      <c r="I126" s="135"/>
      <c r="J126" s="135"/>
      <c r="K126" s="135"/>
      <c r="L126" s="135"/>
      <c r="M126" s="135"/>
      <c r="N126" s="135"/>
      <c r="O126" s="135"/>
      <c r="P126" s="135"/>
      <c r="Q126" s="135"/>
      <c r="R126" s="135"/>
      <c r="S126" s="135"/>
      <c r="T126" s="135"/>
    </row>
    <row r="127" spans="1:20" ht="16.5">
      <c r="A127" s="135"/>
      <c r="B127" s="135"/>
      <c r="C127" s="135"/>
      <c r="D127" s="135"/>
      <c r="E127" s="135"/>
      <c r="F127" s="136"/>
      <c r="G127" s="135"/>
      <c r="H127" s="135"/>
      <c r="I127" s="135"/>
      <c r="J127" s="135"/>
      <c r="K127" s="135"/>
      <c r="L127" s="135"/>
      <c r="M127" s="135"/>
      <c r="N127" s="135"/>
      <c r="O127" s="135"/>
      <c r="P127" s="135"/>
      <c r="Q127" s="135"/>
      <c r="R127" s="135"/>
      <c r="S127" s="135"/>
      <c r="T127" s="135"/>
    </row>
    <row r="128" spans="1:20" ht="16.5">
      <c r="A128" s="135"/>
      <c r="B128" s="135"/>
      <c r="C128" s="135"/>
      <c r="D128" s="135"/>
      <c r="E128" s="135"/>
      <c r="F128" s="136"/>
      <c r="G128" s="135"/>
      <c r="H128" s="135"/>
      <c r="I128" s="135"/>
      <c r="J128" s="135"/>
      <c r="K128" s="135"/>
      <c r="L128" s="135"/>
      <c r="M128" s="135"/>
      <c r="N128" s="135"/>
      <c r="O128" s="135"/>
      <c r="P128" s="135"/>
      <c r="Q128" s="135"/>
      <c r="R128" s="135"/>
      <c r="S128" s="135"/>
      <c r="T128" s="135"/>
    </row>
    <row r="129" spans="1:20" ht="16.5">
      <c r="A129" s="135"/>
      <c r="B129" s="135"/>
      <c r="C129" s="135"/>
      <c r="D129" s="135"/>
      <c r="E129" s="135"/>
      <c r="F129" s="136"/>
      <c r="G129" s="135"/>
      <c r="H129" s="135"/>
      <c r="I129" s="135"/>
      <c r="J129" s="135"/>
      <c r="K129" s="135"/>
      <c r="L129" s="135"/>
      <c r="M129" s="135"/>
      <c r="N129" s="135"/>
      <c r="O129" s="135"/>
      <c r="P129" s="135"/>
      <c r="Q129" s="135"/>
      <c r="R129" s="135"/>
      <c r="S129" s="135"/>
      <c r="T129" s="135"/>
    </row>
    <row r="130" spans="1:20" ht="16.5">
      <c r="A130" s="135"/>
      <c r="B130" s="135"/>
      <c r="C130" s="135"/>
      <c r="D130" s="135"/>
      <c r="E130" s="135"/>
      <c r="F130" s="136"/>
      <c r="G130" s="135"/>
      <c r="H130" s="135"/>
      <c r="I130" s="135"/>
      <c r="J130" s="135"/>
      <c r="K130" s="135"/>
      <c r="L130" s="135"/>
      <c r="M130" s="135"/>
      <c r="N130" s="135"/>
      <c r="O130" s="135"/>
      <c r="P130" s="135"/>
      <c r="Q130" s="135"/>
      <c r="R130" s="135"/>
      <c r="S130" s="135"/>
      <c r="T130" s="135"/>
    </row>
    <row r="131" spans="1:20" ht="16.5">
      <c r="A131" s="135"/>
      <c r="B131" s="135"/>
      <c r="C131" s="135"/>
      <c r="D131" s="135"/>
      <c r="E131" s="135"/>
      <c r="F131" s="136"/>
      <c r="G131" s="135"/>
      <c r="H131" s="135"/>
      <c r="I131" s="135"/>
      <c r="J131" s="135"/>
      <c r="K131" s="135"/>
      <c r="L131" s="135"/>
      <c r="M131" s="135"/>
      <c r="N131" s="135"/>
      <c r="O131" s="135"/>
      <c r="P131" s="135"/>
      <c r="Q131" s="135"/>
      <c r="R131" s="135"/>
      <c r="S131" s="135"/>
      <c r="T131" s="135"/>
    </row>
    <row r="132" spans="1:20" ht="16.5">
      <c r="A132" s="135"/>
      <c r="B132" s="135"/>
      <c r="C132" s="135"/>
      <c r="D132" s="135"/>
      <c r="E132" s="135"/>
      <c r="F132" s="136"/>
      <c r="G132" s="135"/>
      <c r="H132" s="135"/>
      <c r="I132" s="135"/>
      <c r="J132" s="135"/>
      <c r="K132" s="135"/>
      <c r="L132" s="135"/>
      <c r="M132" s="135"/>
      <c r="N132" s="135"/>
      <c r="O132" s="135"/>
      <c r="P132" s="135"/>
      <c r="Q132" s="135"/>
      <c r="R132" s="135"/>
      <c r="S132" s="135"/>
      <c r="T132" s="135"/>
    </row>
    <row r="133" spans="1:20" ht="16.5">
      <c r="A133" s="135"/>
      <c r="B133" s="135"/>
      <c r="C133" s="135"/>
      <c r="D133" s="135"/>
      <c r="E133" s="135"/>
      <c r="F133" s="136"/>
      <c r="G133" s="135"/>
      <c r="H133" s="135"/>
      <c r="I133" s="135"/>
      <c r="J133" s="135"/>
      <c r="K133" s="135"/>
      <c r="L133" s="135"/>
      <c r="M133" s="135"/>
      <c r="N133" s="135"/>
      <c r="O133" s="135"/>
      <c r="P133" s="135"/>
      <c r="Q133" s="135"/>
      <c r="R133" s="135"/>
      <c r="S133" s="135"/>
      <c r="T133" s="135"/>
    </row>
    <row r="134" spans="1:20" ht="16.5">
      <c r="A134" s="135"/>
      <c r="B134" s="135"/>
      <c r="C134" s="135"/>
      <c r="D134" s="135"/>
      <c r="E134" s="135"/>
      <c r="F134" s="136"/>
      <c r="G134" s="135"/>
      <c r="H134" s="135"/>
      <c r="I134" s="135"/>
      <c r="J134" s="135"/>
      <c r="K134" s="135"/>
      <c r="L134" s="135"/>
      <c r="M134" s="135"/>
      <c r="N134" s="135"/>
      <c r="O134" s="135"/>
      <c r="P134" s="135"/>
      <c r="Q134" s="135"/>
      <c r="R134" s="135"/>
      <c r="S134" s="135"/>
      <c r="T134" s="135"/>
    </row>
    <row r="135" spans="1:20" ht="16.5">
      <c r="A135" s="135"/>
      <c r="B135" s="135"/>
      <c r="C135" s="135"/>
      <c r="D135" s="135"/>
      <c r="E135" s="135"/>
      <c r="F135" s="136"/>
      <c r="G135" s="135"/>
      <c r="H135" s="135"/>
      <c r="I135" s="135"/>
      <c r="J135" s="135"/>
      <c r="K135" s="135"/>
      <c r="L135" s="135"/>
      <c r="M135" s="135"/>
      <c r="N135" s="135"/>
      <c r="O135" s="135"/>
      <c r="P135" s="135"/>
      <c r="Q135" s="135"/>
      <c r="R135" s="135"/>
      <c r="S135" s="135"/>
      <c r="T135" s="135"/>
    </row>
    <row r="136" spans="1:20" ht="16.5">
      <c r="A136" s="135"/>
      <c r="B136" s="135"/>
      <c r="C136" s="135"/>
      <c r="D136" s="135"/>
      <c r="E136" s="135"/>
      <c r="F136" s="136"/>
      <c r="G136" s="135"/>
      <c r="H136" s="135"/>
      <c r="I136" s="135"/>
      <c r="J136" s="135"/>
      <c r="K136" s="135"/>
      <c r="L136" s="135"/>
      <c r="M136" s="135"/>
      <c r="N136" s="135"/>
      <c r="O136" s="135"/>
      <c r="P136" s="135"/>
      <c r="Q136" s="135"/>
      <c r="R136" s="135"/>
      <c r="S136" s="135"/>
      <c r="T136" s="135"/>
    </row>
    <row r="137" spans="1:20" ht="16.5">
      <c r="A137" s="135"/>
      <c r="B137" s="135"/>
      <c r="C137" s="135"/>
      <c r="D137" s="135"/>
      <c r="E137" s="135"/>
      <c r="F137" s="136"/>
      <c r="G137" s="135"/>
      <c r="H137" s="135"/>
      <c r="I137" s="135"/>
      <c r="J137" s="135"/>
      <c r="K137" s="135"/>
      <c r="L137" s="135"/>
      <c r="M137" s="135"/>
      <c r="N137" s="135"/>
      <c r="O137" s="135"/>
      <c r="P137" s="135"/>
      <c r="Q137" s="135"/>
      <c r="R137" s="135"/>
      <c r="S137" s="135"/>
      <c r="T137" s="135"/>
    </row>
    <row r="138" spans="1:20" ht="16.5">
      <c r="A138" s="135"/>
      <c r="B138" s="135"/>
      <c r="C138" s="135"/>
      <c r="D138" s="135"/>
      <c r="E138" s="135"/>
      <c r="F138" s="136"/>
      <c r="G138" s="135"/>
      <c r="H138" s="135"/>
      <c r="I138" s="135"/>
      <c r="J138" s="135"/>
      <c r="K138" s="135"/>
      <c r="L138" s="135"/>
      <c r="M138" s="135"/>
      <c r="N138" s="135"/>
      <c r="O138" s="135"/>
      <c r="P138" s="135"/>
      <c r="Q138" s="135"/>
      <c r="R138" s="135"/>
      <c r="S138" s="135"/>
      <c r="T138" s="135"/>
    </row>
    <row r="139" spans="1:20" ht="16.5">
      <c r="A139" s="135"/>
      <c r="B139" s="135"/>
      <c r="C139" s="135"/>
      <c r="D139" s="135"/>
      <c r="E139" s="135"/>
      <c r="F139" s="136"/>
      <c r="G139" s="135"/>
      <c r="H139" s="135"/>
      <c r="I139" s="135"/>
      <c r="J139" s="135"/>
      <c r="K139" s="135"/>
      <c r="L139" s="135"/>
      <c r="M139" s="135"/>
      <c r="N139" s="135"/>
      <c r="O139" s="135"/>
      <c r="P139" s="135"/>
      <c r="Q139" s="135"/>
      <c r="R139" s="135"/>
      <c r="S139" s="135"/>
      <c r="T139" s="135"/>
    </row>
    <row r="140" spans="1:20" ht="16.5">
      <c r="A140" s="135"/>
      <c r="B140" s="135"/>
      <c r="C140" s="135"/>
      <c r="D140" s="135"/>
      <c r="E140" s="135"/>
      <c r="F140" s="136"/>
      <c r="G140" s="135"/>
      <c r="H140" s="135"/>
      <c r="I140" s="135"/>
      <c r="J140" s="135"/>
      <c r="K140" s="135"/>
      <c r="L140" s="135"/>
      <c r="M140" s="135"/>
      <c r="N140" s="135"/>
      <c r="O140" s="135"/>
      <c r="P140" s="135"/>
      <c r="Q140" s="135"/>
      <c r="R140" s="135"/>
      <c r="S140" s="135"/>
      <c r="T140" s="135"/>
    </row>
    <row r="141" spans="1:20" ht="16.5">
      <c r="A141" s="135"/>
      <c r="B141" s="135"/>
      <c r="C141" s="135"/>
      <c r="D141" s="135"/>
      <c r="E141" s="135"/>
      <c r="F141" s="136"/>
      <c r="G141" s="135"/>
      <c r="H141" s="135"/>
      <c r="I141" s="135"/>
      <c r="J141" s="135"/>
      <c r="K141" s="135"/>
      <c r="L141" s="135"/>
      <c r="M141" s="135"/>
      <c r="N141" s="135"/>
      <c r="O141" s="135"/>
      <c r="P141" s="135"/>
      <c r="Q141" s="135"/>
      <c r="R141" s="135"/>
      <c r="S141" s="135"/>
      <c r="T141" s="135"/>
    </row>
    <row r="142" spans="1:20" ht="16.5">
      <c r="A142" s="135"/>
      <c r="B142" s="135"/>
      <c r="C142" s="135"/>
      <c r="D142" s="135"/>
      <c r="E142" s="135"/>
      <c r="F142" s="136"/>
      <c r="G142" s="135"/>
      <c r="H142" s="135"/>
      <c r="I142" s="135"/>
      <c r="J142" s="135"/>
      <c r="K142" s="135"/>
      <c r="L142" s="135"/>
      <c r="M142" s="135"/>
      <c r="N142" s="135"/>
      <c r="O142" s="135"/>
      <c r="P142" s="135"/>
      <c r="Q142" s="135"/>
      <c r="R142" s="135"/>
      <c r="S142" s="135"/>
      <c r="T142" s="135"/>
    </row>
    <row r="143" spans="1:20" ht="16.5">
      <c r="A143" s="135"/>
      <c r="B143" s="135"/>
      <c r="C143" s="135"/>
      <c r="D143" s="135"/>
      <c r="E143" s="135"/>
      <c r="F143" s="136"/>
      <c r="G143" s="135"/>
      <c r="H143" s="135"/>
      <c r="I143" s="135"/>
      <c r="J143" s="135"/>
      <c r="K143" s="135"/>
      <c r="L143" s="135"/>
      <c r="M143" s="135"/>
      <c r="N143" s="135"/>
      <c r="O143" s="135"/>
      <c r="P143" s="135"/>
      <c r="Q143" s="135"/>
      <c r="R143" s="135"/>
      <c r="S143" s="135"/>
      <c r="T143" s="135"/>
    </row>
    <row r="144" spans="1:20" ht="16.5">
      <c r="A144" s="135"/>
      <c r="B144" s="135"/>
      <c r="C144" s="135"/>
      <c r="D144" s="135"/>
      <c r="E144" s="135"/>
      <c r="F144" s="136"/>
      <c r="G144" s="135"/>
      <c r="H144" s="135"/>
      <c r="I144" s="135"/>
      <c r="J144" s="135"/>
      <c r="K144" s="135"/>
      <c r="L144" s="135"/>
      <c r="M144" s="135"/>
      <c r="N144" s="135"/>
      <c r="O144" s="135"/>
      <c r="P144" s="135"/>
      <c r="Q144" s="135"/>
      <c r="R144" s="135"/>
      <c r="S144" s="135"/>
      <c r="T144" s="135"/>
    </row>
    <row r="145" spans="1:20" ht="16.5">
      <c r="A145" s="135"/>
      <c r="B145" s="135"/>
      <c r="C145" s="135"/>
      <c r="D145" s="135"/>
      <c r="E145" s="135"/>
      <c r="F145" s="136"/>
      <c r="G145" s="135"/>
      <c r="H145" s="135"/>
      <c r="I145" s="135"/>
      <c r="J145" s="135"/>
      <c r="K145" s="135"/>
      <c r="L145" s="135"/>
      <c r="M145" s="135"/>
      <c r="N145" s="135"/>
      <c r="O145" s="135"/>
      <c r="P145" s="135"/>
      <c r="Q145" s="135"/>
      <c r="R145" s="135"/>
      <c r="S145" s="135"/>
      <c r="T145" s="135"/>
    </row>
    <row r="146" spans="1:20" ht="16.5">
      <c r="A146" s="135"/>
      <c r="B146" s="135"/>
      <c r="C146" s="135"/>
      <c r="D146" s="135"/>
      <c r="E146" s="135"/>
      <c r="F146" s="136"/>
      <c r="G146" s="135"/>
      <c r="H146" s="135"/>
      <c r="I146" s="135"/>
      <c r="J146" s="135"/>
      <c r="K146" s="135"/>
      <c r="L146" s="135"/>
      <c r="M146" s="135"/>
      <c r="N146" s="135"/>
      <c r="O146" s="135"/>
      <c r="P146" s="135"/>
      <c r="Q146" s="135"/>
      <c r="R146" s="135"/>
      <c r="S146" s="135"/>
      <c r="T146" s="135"/>
    </row>
    <row r="147" spans="1:20" ht="16.5">
      <c r="A147" s="135"/>
      <c r="B147" s="135"/>
      <c r="C147" s="135"/>
      <c r="D147" s="135"/>
      <c r="E147" s="135"/>
      <c r="F147" s="136"/>
      <c r="G147" s="135"/>
      <c r="H147" s="135"/>
      <c r="I147" s="135"/>
      <c r="J147" s="135"/>
      <c r="K147" s="135"/>
      <c r="L147" s="135"/>
      <c r="M147" s="135"/>
      <c r="N147" s="135"/>
      <c r="O147" s="135"/>
      <c r="P147" s="135"/>
      <c r="Q147" s="135"/>
      <c r="R147" s="135"/>
      <c r="S147" s="135"/>
      <c r="T147" s="135"/>
    </row>
    <row r="148" spans="1:20" ht="16.5">
      <c r="A148" s="135"/>
      <c r="B148" s="135"/>
      <c r="C148" s="135"/>
      <c r="D148" s="135"/>
      <c r="E148" s="135"/>
      <c r="F148" s="136"/>
      <c r="G148" s="135"/>
      <c r="H148" s="135"/>
      <c r="I148" s="135"/>
      <c r="J148" s="135"/>
      <c r="K148" s="135"/>
      <c r="L148" s="135"/>
      <c r="M148" s="135"/>
      <c r="N148" s="135"/>
      <c r="O148" s="135"/>
      <c r="P148" s="135"/>
      <c r="Q148" s="135"/>
      <c r="R148" s="135"/>
      <c r="S148" s="135"/>
      <c r="T148" s="135"/>
    </row>
    <row r="149" spans="1:20" ht="16.5">
      <c r="A149" s="135"/>
      <c r="B149" s="135"/>
      <c r="C149" s="135"/>
      <c r="D149" s="135"/>
      <c r="E149" s="135"/>
      <c r="F149" s="136"/>
      <c r="G149" s="135"/>
      <c r="H149" s="135"/>
      <c r="I149" s="135"/>
      <c r="J149" s="135"/>
      <c r="K149" s="135"/>
      <c r="L149" s="135"/>
      <c r="M149" s="135"/>
      <c r="N149" s="135"/>
      <c r="O149" s="135"/>
      <c r="P149" s="135"/>
      <c r="Q149" s="135"/>
      <c r="R149" s="135"/>
      <c r="S149" s="135"/>
      <c r="T149" s="135"/>
    </row>
    <row r="150" spans="1:20" ht="16.5">
      <c r="A150" s="135"/>
      <c r="B150" s="135"/>
      <c r="C150" s="135"/>
      <c r="D150" s="135"/>
      <c r="E150" s="135"/>
      <c r="F150" s="136"/>
      <c r="G150" s="135"/>
      <c r="H150" s="135"/>
      <c r="I150" s="135"/>
      <c r="J150" s="135"/>
      <c r="K150" s="135"/>
      <c r="L150" s="135"/>
      <c r="M150" s="135"/>
      <c r="N150" s="135"/>
      <c r="O150" s="135"/>
      <c r="P150" s="135"/>
      <c r="Q150" s="135"/>
      <c r="R150" s="135"/>
      <c r="S150" s="135"/>
      <c r="T150" s="135"/>
    </row>
    <row r="151" spans="1:20" ht="16.5">
      <c r="A151" s="135"/>
      <c r="B151" s="135"/>
      <c r="C151" s="135"/>
      <c r="D151" s="135"/>
      <c r="E151" s="135"/>
      <c r="F151" s="136"/>
      <c r="G151" s="135"/>
      <c r="H151" s="135"/>
      <c r="I151" s="135"/>
      <c r="J151" s="135"/>
      <c r="K151" s="135"/>
      <c r="L151" s="135"/>
      <c r="M151" s="135"/>
      <c r="N151" s="135"/>
      <c r="O151" s="135"/>
      <c r="P151" s="135"/>
      <c r="Q151" s="135"/>
      <c r="R151" s="135"/>
      <c r="S151" s="135"/>
      <c r="T151" s="135"/>
    </row>
    <row r="152" spans="1:20" ht="16.5">
      <c r="A152" s="135"/>
      <c r="B152" s="135"/>
      <c r="C152" s="135"/>
      <c r="D152" s="135"/>
      <c r="E152" s="135"/>
      <c r="F152" s="136"/>
      <c r="G152" s="135"/>
      <c r="H152" s="135"/>
      <c r="I152" s="135"/>
      <c r="J152" s="135"/>
      <c r="K152" s="135"/>
      <c r="L152" s="135"/>
      <c r="M152" s="135"/>
      <c r="N152" s="135"/>
      <c r="O152" s="135"/>
      <c r="P152" s="135"/>
      <c r="Q152" s="135"/>
      <c r="R152" s="135"/>
      <c r="S152" s="135"/>
      <c r="T152" s="135"/>
    </row>
    <row r="153" spans="1:20" ht="16.5">
      <c r="A153" s="135"/>
      <c r="B153" s="135"/>
      <c r="C153" s="135"/>
      <c r="D153" s="135"/>
      <c r="E153" s="135"/>
      <c r="F153" s="136"/>
      <c r="G153" s="135"/>
      <c r="H153" s="135"/>
      <c r="I153" s="135"/>
      <c r="J153" s="135"/>
      <c r="K153" s="135"/>
      <c r="L153" s="135"/>
      <c r="M153" s="135"/>
      <c r="N153" s="135"/>
      <c r="O153" s="135"/>
      <c r="P153" s="135"/>
      <c r="Q153" s="135"/>
      <c r="R153" s="135"/>
      <c r="S153" s="135"/>
      <c r="T153" s="135"/>
    </row>
    <row r="154" spans="1:20" ht="16.5">
      <c r="A154" s="135"/>
      <c r="B154" s="135"/>
      <c r="C154" s="135"/>
      <c r="D154" s="135"/>
      <c r="E154" s="135"/>
      <c r="F154" s="136"/>
      <c r="G154" s="135"/>
      <c r="H154" s="135"/>
      <c r="I154" s="135"/>
      <c r="J154" s="135"/>
      <c r="K154" s="135"/>
      <c r="L154" s="135"/>
      <c r="M154" s="135"/>
      <c r="N154" s="135"/>
      <c r="O154" s="135"/>
      <c r="P154" s="135"/>
      <c r="Q154" s="135"/>
      <c r="R154" s="135"/>
      <c r="S154" s="135"/>
      <c r="T154" s="135"/>
    </row>
    <row r="155" spans="1:20" ht="16.5">
      <c r="A155" s="135"/>
      <c r="B155" s="135"/>
      <c r="C155" s="135"/>
      <c r="D155" s="135"/>
      <c r="E155" s="135"/>
      <c r="F155" s="136"/>
      <c r="G155" s="135"/>
      <c r="H155" s="135"/>
      <c r="I155" s="135"/>
      <c r="J155" s="135"/>
      <c r="K155" s="135"/>
      <c r="L155" s="135"/>
      <c r="M155" s="135"/>
      <c r="N155" s="135"/>
      <c r="O155" s="135"/>
      <c r="P155" s="135"/>
      <c r="Q155" s="135"/>
      <c r="R155" s="135"/>
      <c r="S155" s="135"/>
      <c r="T155" s="135"/>
    </row>
    <row r="156" spans="1:20" ht="16.5">
      <c r="A156" s="135"/>
      <c r="B156" s="135"/>
      <c r="C156" s="135"/>
      <c r="D156" s="135"/>
      <c r="E156" s="135"/>
      <c r="F156" s="136"/>
      <c r="G156" s="135"/>
      <c r="H156" s="135"/>
      <c r="I156" s="135"/>
      <c r="J156" s="135"/>
      <c r="K156" s="135"/>
      <c r="L156" s="135"/>
      <c r="M156" s="135"/>
      <c r="N156" s="135"/>
      <c r="O156" s="135"/>
      <c r="P156" s="135"/>
      <c r="Q156" s="135"/>
      <c r="R156" s="135"/>
      <c r="S156" s="135"/>
      <c r="T156" s="135"/>
    </row>
    <row r="157" spans="1:20" ht="16.5">
      <c r="A157" s="135"/>
      <c r="B157" s="135"/>
      <c r="C157" s="135"/>
      <c r="D157" s="135"/>
      <c r="E157" s="135"/>
      <c r="F157" s="136"/>
      <c r="G157" s="135"/>
      <c r="H157" s="135"/>
      <c r="I157" s="135"/>
      <c r="J157" s="135"/>
      <c r="K157" s="135"/>
      <c r="L157" s="135"/>
      <c r="M157" s="135"/>
      <c r="N157" s="135"/>
      <c r="O157" s="135"/>
      <c r="P157" s="135"/>
      <c r="Q157" s="135"/>
      <c r="R157" s="135"/>
      <c r="S157" s="135"/>
      <c r="T157" s="135"/>
    </row>
    <row r="158" spans="1:20" ht="16.5">
      <c r="A158" s="135"/>
      <c r="B158" s="135"/>
      <c r="C158" s="135"/>
      <c r="D158" s="135"/>
      <c r="E158" s="135"/>
      <c r="F158" s="136"/>
      <c r="G158" s="135"/>
      <c r="H158" s="135"/>
      <c r="I158" s="135"/>
      <c r="J158" s="135"/>
      <c r="K158" s="135"/>
      <c r="L158" s="135"/>
      <c r="M158" s="135"/>
      <c r="N158" s="135"/>
      <c r="O158" s="135"/>
      <c r="P158" s="135"/>
      <c r="Q158" s="135"/>
      <c r="R158" s="135"/>
      <c r="S158" s="135"/>
      <c r="T158" s="135"/>
    </row>
    <row r="159" spans="1:20" ht="16.5">
      <c r="A159" s="135"/>
      <c r="B159" s="135"/>
      <c r="C159" s="135"/>
      <c r="D159" s="135"/>
      <c r="E159" s="135"/>
      <c r="F159" s="136"/>
      <c r="G159" s="135"/>
      <c r="H159" s="135"/>
      <c r="I159" s="135"/>
      <c r="J159" s="135"/>
      <c r="K159" s="135"/>
      <c r="L159" s="135"/>
      <c r="M159" s="135"/>
      <c r="N159" s="135"/>
      <c r="O159" s="135"/>
      <c r="P159" s="135"/>
      <c r="Q159" s="135"/>
      <c r="R159" s="135"/>
      <c r="S159" s="135"/>
      <c r="T159" s="135"/>
    </row>
    <row r="160" spans="1:20" ht="16.5">
      <c r="A160" s="135"/>
      <c r="B160" s="135"/>
      <c r="C160" s="135"/>
      <c r="D160" s="135"/>
      <c r="E160" s="135"/>
      <c r="F160" s="136"/>
      <c r="G160" s="135"/>
      <c r="H160" s="135"/>
      <c r="I160" s="135"/>
      <c r="J160" s="135"/>
      <c r="K160" s="135"/>
      <c r="L160" s="135"/>
      <c r="M160" s="135"/>
      <c r="N160" s="135"/>
      <c r="O160" s="135"/>
      <c r="P160" s="135"/>
      <c r="Q160" s="135"/>
      <c r="R160" s="135"/>
      <c r="S160" s="135"/>
      <c r="T160" s="135"/>
    </row>
    <row r="161" spans="1:20" ht="16.5">
      <c r="A161" s="135"/>
      <c r="B161" s="135"/>
      <c r="C161" s="135"/>
      <c r="D161" s="135"/>
      <c r="E161" s="135"/>
      <c r="F161" s="136"/>
      <c r="G161" s="135"/>
      <c r="H161" s="135"/>
      <c r="I161" s="135"/>
      <c r="J161" s="135"/>
      <c r="K161" s="135"/>
      <c r="L161" s="135"/>
      <c r="M161" s="135"/>
      <c r="N161" s="135"/>
      <c r="O161" s="135"/>
      <c r="P161" s="135"/>
      <c r="Q161" s="135"/>
      <c r="R161" s="135"/>
      <c r="S161" s="135"/>
      <c r="T161" s="135"/>
    </row>
    <row r="162" spans="1:20" ht="16.5">
      <c r="A162" s="135"/>
      <c r="B162" s="135"/>
      <c r="C162" s="135"/>
      <c r="D162" s="135"/>
      <c r="E162" s="135"/>
      <c r="F162" s="136"/>
      <c r="G162" s="135"/>
      <c r="H162" s="135"/>
      <c r="I162" s="135"/>
      <c r="J162" s="135"/>
      <c r="K162" s="135"/>
      <c r="L162" s="135"/>
      <c r="M162" s="135"/>
      <c r="N162" s="135"/>
      <c r="O162" s="135"/>
      <c r="P162" s="135"/>
      <c r="Q162" s="135"/>
      <c r="R162" s="135"/>
      <c r="S162" s="135"/>
      <c r="T162" s="135"/>
    </row>
    <row r="163" spans="1:20" ht="16.5">
      <c r="A163" s="135"/>
      <c r="B163" s="135"/>
      <c r="C163" s="135"/>
      <c r="D163" s="135"/>
      <c r="E163" s="135"/>
      <c r="F163" s="136"/>
      <c r="G163" s="135"/>
      <c r="H163" s="135"/>
      <c r="I163" s="135"/>
      <c r="J163" s="135"/>
      <c r="K163" s="135"/>
      <c r="L163" s="135"/>
      <c r="M163" s="135"/>
      <c r="N163" s="135"/>
      <c r="O163" s="135"/>
      <c r="P163" s="135"/>
      <c r="Q163" s="135"/>
      <c r="R163" s="135"/>
      <c r="S163" s="135"/>
      <c r="T163" s="135"/>
    </row>
    <row r="164" spans="1:20" ht="16.5">
      <c r="A164" s="135"/>
      <c r="B164" s="135"/>
      <c r="C164" s="135"/>
      <c r="D164" s="135"/>
      <c r="E164" s="135"/>
      <c r="F164" s="136"/>
      <c r="G164" s="135"/>
      <c r="H164" s="135"/>
      <c r="I164" s="135"/>
      <c r="J164" s="135"/>
      <c r="K164" s="135"/>
      <c r="L164" s="135"/>
      <c r="M164" s="135"/>
      <c r="N164" s="135"/>
      <c r="O164" s="135"/>
      <c r="P164" s="135"/>
      <c r="Q164" s="135"/>
      <c r="R164" s="135"/>
      <c r="S164" s="135"/>
      <c r="T164" s="135"/>
    </row>
    <row r="165" spans="1:20" ht="16.5">
      <c r="A165" s="135"/>
      <c r="B165" s="135"/>
      <c r="C165" s="135"/>
      <c r="D165" s="135"/>
      <c r="E165" s="135"/>
      <c r="F165" s="136"/>
      <c r="G165" s="135"/>
      <c r="H165" s="135"/>
      <c r="I165" s="135"/>
      <c r="J165" s="135"/>
      <c r="K165" s="135"/>
      <c r="L165" s="135"/>
      <c r="M165" s="135"/>
      <c r="N165" s="135"/>
      <c r="O165" s="135"/>
      <c r="P165" s="135"/>
      <c r="Q165" s="135"/>
      <c r="R165" s="135"/>
      <c r="S165" s="135"/>
      <c r="T165" s="135"/>
    </row>
    <row r="166" spans="1:20" ht="16.5">
      <c r="A166" s="135"/>
      <c r="B166" s="135"/>
      <c r="C166" s="135"/>
      <c r="D166" s="135"/>
      <c r="E166" s="135"/>
      <c r="F166" s="136"/>
      <c r="G166" s="135"/>
      <c r="H166" s="135"/>
      <c r="I166" s="135"/>
      <c r="J166" s="135"/>
      <c r="K166" s="135"/>
      <c r="L166" s="135"/>
      <c r="M166" s="135"/>
      <c r="N166" s="135"/>
      <c r="O166" s="135"/>
      <c r="P166" s="135"/>
      <c r="Q166" s="135"/>
      <c r="R166" s="135"/>
      <c r="S166" s="135"/>
      <c r="T166" s="135"/>
    </row>
    <row r="167" spans="1:20" ht="16.5">
      <c r="A167" s="135"/>
      <c r="B167" s="135"/>
      <c r="C167" s="135"/>
      <c r="D167" s="135"/>
      <c r="E167" s="135"/>
      <c r="F167" s="136"/>
      <c r="G167" s="135"/>
      <c r="H167" s="135"/>
      <c r="I167" s="135"/>
      <c r="J167" s="135"/>
      <c r="K167" s="135"/>
      <c r="L167" s="135"/>
      <c r="M167" s="135"/>
      <c r="N167" s="135"/>
      <c r="O167" s="135"/>
      <c r="P167" s="135"/>
      <c r="Q167" s="135"/>
      <c r="R167" s="135"/>
      <c r="S167" s="135"/>
      <c r="T167" s="135"/>
    </row>
    <row r="168" spans="1:20" ht="16.5">
      <c r="A168" s="135"/>
      <c r="B168" s="135"/>
      <c r="C168" s="135"/>
      <c r="D168" s="135"/>
      <c r="E168" s="135"/>
      <c r="F168" s="136"/>
      <c r="G168" s="135"/>
      <c r="H168" s="135"/>
      <c r="I168" s="135"/>
      <c r="J168" s="135"/>
      <c r="K168" s="135"/>
      <c r="L168" s="135"/>
      <c r="M168" s="135"/>
      <c r="N168" s="135"/>
      <c r="O168" s="135"/>
      <c r="P168" s="135"/>
      <c r="Q168" s="135"/>
      <c r="R168" s="135"/>
      <c r="S168" s="135"/>
      <c r="T168" s="135"/>
    </row>
    <row r="169" spans="1:20" ht="16.5">
      <c r="A169" s="135"/>
      <c r="B169" s="135"/>
      <c r="C169" s="135"/>
      <c r="D169" s="135"/>
      <c r="E169" s="135"/>
      <c r="F169" s="136"/>
      <c r="G169" s="135"/>
      <c r="H169" s="135"/>
      <c r="I169" s="135"/>
      <c r="J169" s="135"/>
      <c r="K169" s="135"/>
      <c r="L169" s="135"/>
      <c r="M169" s="135"/>
      <c r="N169" s="135"/>
      <c r="O169" s="135"/>
      <c r="P169" s="135"/>
      <c r="Q169" s="135"/>
      <c r="R169" s="135"/>
      <c r="S169" s="135"/>
      <c r="T169" s="135"/>
    </row>
    <row r="170" spans="1:20" ht="16.5">
      <c r="A170" s="135"/>
      <c r="B170" s="135"/>
      <c r="C170" s="135"/>
      <c r="D170" s="135"/>
      <c r="E170" s="135"/>
      <c r="F170" s="136"/>
      <c r="G170" s="135"/>
      <c r="H170" s="135"/>
      <c r="I170" s="135"/>
      <c r="J170" s="135"/>
      <c r="K170" s="135"/>
      <c r="L170" s="135"/>
      <c r="M170" s="135"/>
      <c r="N170" s="135"/>
      <c r="O170" s="135"/>
      <c r="P170" s="135"/>
      <c r="Q170" s="135"/>
      <c r="R170" s="135"/>
      <c r="S170" s="135"/>
      <c r="T170" s="135"/>
    </row>
    <row r="171" spans="1:20" ht="16.5">
      <c r="A171" s="135"/>
      <c r="B171" s="135"/>
      <c r="C171" s="135"/>
      <c r="D171" s="135"/>
      <c r="E171" s="135"/>
      <c r="F171" s="136"/>
      <c r="G171" s="135"/>
      <c r="H171" s="135"/>
      <c r="I171" s="135"/>
      <c r="J171" s="135"/>
      <c r="K171" s="135"/>
      <c r="L171" s="135"/>
      <c r="M171" s="135"/>
      <c r="N171" s="135"/>
      <c r="O171" s="135"/>
      <c r="P171" s="135"/>
      <c r="Q171" s="135"/>
      <c r="R171" s="135"/>
      <c r="S171" s="135"/>
      <c r="T171" s="135"/>
    </row>
    <row r="172" spans="1:20" ht="16.5">
      <c r="A172" s="135"/>
      <c r="B172" s="135"/>
      <c r="C172" s="135"/>
      <c r="D172" s="135"/>
      <c r="E172" s="135"/>
      <c r="F172" s="136"/>
      <c r="G172" s="135"/>
      <c r="H172" s="135"/>
      <c r="I172" s="135"/>
      <c r="J172" s="135"/>
      <c r="K172" s="135"/>
      <c r="L172" s="135"/>
      <c r="M172" s="135"/>
      <c r="N172" s="135"/>
      <c r="O172" s="135"/>
      <c r="P172" s="135"/>
      <c r="Q172" s="135"/>
      <c r="R172" s="135"/>
      <c r="S172" s="135"/>
      <c r="T172" s="135"/>
    </row>
    <row r="173" spans="1:20" ht="16.5">
      <c r="A173" s="135"/>
      <c r="B173" s="135"/>
      <c r="C173" s="135"/>
      <c r="D173" s="135"/>
      <c r="E173" s="135"/>
      <c r="F173" s="136"/>
      <c r="G173" s="135"/>
      <c r="H173" s="135"/>
      <c r="I173" s="135"/>
      <c r="J173" s="135"/>
      <c r="K173" s="135"/>
      <c r="L173" s="135"/>
      <c r="M173" s="135"/>
      <c r="N173" s="135"/>
      <c r="O173" s="135"/>
      <c r="P173" s="135"/>
      <c r="Q173" s="135"/>
      <c r="R173" s="135"/>
      <c r="S173" s="135"/>
      <c r="T173" s="135"/>
    </row>
    <row r="174" spans="1:20" ht="16.5">
      <c r="A174" s="135"/>
      <c r="B174" s="135"/>
      <c r="C174" s="135"/>
      <c r="D174" s="135"/>
      <c r="E174" s="135"/>
      <c r="F174" s="136"/>
      <c r="G174" s="135"/>
      <c r="H174" s="135"/>
      <c r="I174" s="135"/>
      <c r="J174" s="135"/>
      <c r="K174" s="135"/>
      <c r="L174" s="135"/>
      <c r="M174" s="135"/>
      <c r="N174" s="135"/>
      <c r="O174" s="135"/>
      <c r="P174" s="135"/>
      <c r="Q174" s="135"/>
      <c r="R174" s="135"/>
      <c r="S174" s="135"/>
      <c r="T174" s="135"/>
    </row>
    <row r="175" spans="1:20" ht="16.5">
      <c r="A175" s="135"/>
      <c r="B175" s="135"/>
      <c r="C175" s="135"/>
      <c r="D175" s="135"/>
      <c r="E175" s="135"/>
      <c r="F175" s="136"/>
      <c r="G175" s="135"/>
      <c r="H175" s="135"/>
      <c r="I175" s="135"/>
      <c r="J175" s="135"/>
      <c r="K175" s="135"/>
      <c r="L175" s="135"/>
      <c r="M175" s="135"/>
      <c r="N175" s="135"/>
      <c r="O175" s="135"/>
      <c r="P175" s="135"/>
      <c r="Q175" s="135"/>
      <c r="R175" s="135"/>
      <c r="S175" s="135"/>
      <c r="T175" s="135"/>
    </row>
    <row r="176" spans="1:20" ht="16.5">
      <c r="A176" s="135"/>
      <c r="B176" s="135"/>
      <c r="C176" s="135"/>
      <c r="D176" s="135"/>
      <c r="E176" s="135"/>
      <c r="F176" s="136"/>
      <c r="G176" s="135"/>
      <c r="H176" s="135"/>
      <c r="I176" s="135"/>
      <c r="J176" s="135"/>
      <c r="K176" s="135"/>
      <c r="L176" s="135"/>
      <c r="M176" s="135"/>
      <c r="N176" s="135"/>
      <c r="O176" s="135"/>
      <c r="P176" s="135"/>
      <c r="Q176" s="135"/>
      <c r="R176" s="135"/>
      <c r="S176" s="135"/>
      <c r="T176" s="135"/>
    </row>
    <row r="177" spans="1:20" ht="16.5">
      <c r="A177" s="135"/>
      <c r="B177" s="135"/>
      <c r="C177" s="135"/>
      <c r="D177" s="135"/>
      <c r="E177" s="135"/>
      <c r="F177" s="136"/>
      <c r="G177" s="135"/>
      <c r="H177" s="135"/>
      <c r="I177" s="135"/>
      <c r="J177" s="135"/>
      <c r="K177" s="135"/>
      <c r="L177" s="135"/>
      <c r="M177" s="135"/>
      <c r="N177" s="135"/>
      <c r="O177" s="135"/>
      <c r="P177" s="135"/>
      <c r="Q177" s="135"/>
      <c r="R177" s="135"/>
      <c r="S177" s="135"/>
      <c r="T177" s="135"/>
    </row>
    <row r="178" spans="1:20" ht="16.5">
      <c r="A178" s="135"/>
      <c r="B178" s="135"/>
      <c r="C178" s="135"/>
      <c r="D178" s="135"/>
      <c r="E178" s="135"/>
      <c r="F178" s="136"/>
      <c r="G178" s="135"/>
      <c r="H178" s="135"/>
      <c r="I178" s="135"/>
      <c r="J178" s="135"/>
      <c r="K178" s="135"/>
      <c r="L178" s="135"/>
      <c r="M178" s="135"/>
      <c r="N178" s="135"/>
      <c r="O178" s="135"/>
      <c r="P178" s="135"/>
      <c r="Q178" s="135"/>
      <c r="R178" s="135"/>
      <c r="S178" s="135"/>
      <c r="T178" s="135"/>
    </row>
    <row r="179" spans="1:20" ht="16.5">
      <c r="A179" s="135"/>
      <c r="B179" s="135"/>
      <c r="C179" s="135"/>
      <c r="D179" s="135"/>
      <c r="E179" s="135"/>
      <c r="F179" s="136"/>
      <c r="G179" s="135"/>
      <c r="H179" s="135"/>
      <c r="I179" s="135"/>
      <c r="J179" s="135"/>
      <c r="K179" s="135"/>
      <c r="L179" s="135"/>
      <c r="M179" s="135"/>
      <c r="N179" s="135"/>
      <c r="O179" s="135"/>
      <c r="P179" s="135"/>
      <c r="Q179" s="135"/>
      <c r="R179" s="135"/>
      <c r="S179" s="135"/>
      <c r="T179" s="135"/>
    </row>
    <row r="180" spans="1:20" ht="16.5">
      <c r="A180" s="135"/>
      <c r="B180" s="135"/>
      <c r="C180" s="135"/>
      <c r="D180" s="135"/>
      <c r="E180" s="135"/>
      <c r="F180" s="136"/>
      <c r="G180" s="135"/>
      <c r="H180" s="135"/>
      <c r="I180" s="135"/>
      <c r="J180" s="135"/>
      <c r="K180" s="135"/>
      <c r="L180" s="135"/>
      <c r="M180" s="135"/>
      <c r="N180" s="135"/>
      <c r="O180" s="135"/>
      <c r="P180" s="135"/>
      <c r="Q180" s="135"/>
      <c r="R180" s="135"/>
      <c r="S180" s="135"/>
      <c r="T180" s="135"/>
    </row>
    <row r="181" spans="1:20" ht="16.5">
      <c r="A181" s="135"/>
      <c r="B181" s="135"/>
      <c r="C181" s="135"/>
      <c r="D181" s="135"/>
      <c r="E181" s="135"/>
      <c r="F181" s="136"/>
      <c r="G181" s="135"/>
      <c r="H181" s="135"/>
      <c r="I181" s="135"/>
      <c r="J181" s="135"/>
      <c r="K181" s="135"/>
      <c r="L181" s="135"/>
      <c r="M181" s="135"/>
      <c r="N181" s="135"/>
      <c r="O181" s="135"/>
      <c r="P181" s="135"/>
      <c r="Q181" s="135"/>
      <c r="R181" s="135"/>
      <c r="S181" s="135"/>
      <c r="T181" s="135"/>
    </row>
    <row r="182" spans="1:20" ht="16.5">
      <c r="A182" s="135"/>
      <c r="B182" s="135"/>
      <c r="C182" s="135"/>
      <c r="D182" s="135"/>
      <c r="E182" s="135"/>
      <c r="F182" s="136"/>
      <c r="G182" s="135"/>
      <c r="H182" s="135"/>
      <c r="I182" s="135"/>
      <c r="J182" s="135"/>
      <c r="K182" s="135"/>
      <c r="L182" s="135"/>
      <c r="M182" s="135"/>
      <c r="N182" s="135"/>
      <c r="O182" s="135"/>
      <c r="P182" s="135"/>
      <c r="Q182" s="135"/>
      <c r="R182" s="135"/>
      <c r="S182" s="135"/>
      <c r="T182" s="135"/>
    </row>
    <row r="183" spans="1:20" ht="16.5">
      <c r="A183" s="135"/>
      <c r="B183" s="135"/>
      <c r="C183" s="135"/>
      <c r="D183" s="135"/>
      <c r="E183" s="135"/>
      <c r="F183" s="136"/>
      <c r="G183" s="135"/>
      <c r="H183" s="135"/>
      <c r="I183" s="135"/>
      <c r="J183" s="135"/>
      <c r="K183" s="135"/>
      <c r="L183" s="135"/>
      <c r="M183" s="135"/>
      <c r="N183" s="135"/>
      <c r="O183" s="135"/>
      <c r="P183" s="135"/>
      <c r="Q183" s="135"/>
      <c r="R183" s="135"/>
      <c r="S183" s="135"/>
      <c r="T183" s="135"/>
    </row>
    <row r="184" spans="1:20" ht="16.5">
      <c r="A184" s="135"/>
      <c r="B184" s="135"/>
      <c r="C184" s="135"/>
      <c r="D184" s="135"/>
      <c r="E184" s="135"/>
      <c r="F184" s="136"/>
      <c r="G184" s="135"/>
      <c r="H184" s="135"/>
      <c r="I184" s="135"/>
      <c r="J184" s="135"/>
      <c r="K184" s="135"/>
      <c r="L184" s="135"/>
      <c r="M184" s="135"/>
      <c r="N184" s="135"/>
      <c r="O184" s="135"/>
      <c r="P184" s="135"/>
      <c r="Q184" s="135"/>
      <c r="R184" s="135"/>
      <c r="S184" s="135"/>
      <c r="T184" s="135"/>
    </row>
    <row r="185" spans="1:20" ht="16.5">
      <c r="A185" s="135"/>
      <c r="B185" s="135"/>
      <c r="C185" s="135"/>
      <c r="D185" s="135"/>
      <c r="E185" s="135"/>
      <c r="F185" s="136"/>
      <c r="G185" s="135"/>
      <c r="H185" s="135"/>
      <c r="I185" s="135"/>
      <c r="J185" s="135"/>
      <c r="K185" s="135"/>
      <c r="L185" s="135"/>
      <c r="M185" s="135"/>
      <c r="N185" s="135"/>
      <c r="O185" s="135"/>
      <c r="P185" s="135"/>
      <c r="Q185" s="135"/>
      <c r="R185" s="135"/>
      <c r="S185" s="135"/>
      <c r="T185" s="135"/>
    </row>
    <row r="186" spans="1:20" ht="16.5">
      <c r="A186" s="135"/>
      <c r="B186" s="135"/>
      <c r="C186" s="135"/>
      <c r="D186" s="135"/>
      <c r="E186" s="135"/>
      <c r="F186" s="136"/>
      <c r="G186" s="135"/>
      <c r="H186" s="135"/>
      <c r="I186" s="135"/>
      <c r="J186" s="135"/>
      <c r="K186" s="135"/>
      <c r="L186" s="135"/>
      <c r="M186" s="135"/>
      <c r="N186" s="135"/>
      <c r="O186" s="135"/>
      <c r="P186" s="135"/>
      <c r="Q186" s="135"/>
      <c r="R186" s="135"/>
      <c r="S186" s="135"/>
      <c r="T186" s="135"/>
    </row>
    <row r="187" spans="1:20" ht="16.5">
      <c r="A187" s="135"/>
      <c r="B187" s="135"/>
      <c r="C187" s="135"/>
      <c r="D187" s="135"/>
      <c r="E187" s="135"/>
      <c r="F187" s="136"/>
      <c r="G187" s="135"/>
      <c r="H187" s="135"/>
      <c r="I187" s="135"/>
      <c r="J187" s="135"/>
      <c r="K187" s="135"/>
      <c r="L187" s="135"/>
      <c r="M187" s="135"/>
      <c r="N187" s="135"/>
      <c r="O187" s="135"/>
      <c r="P187" s="135"/>
      <c r="Q187" s="135"/>
      <c r="R187" s="135"/>
      <c r="S187" s="135"/>
      <c r="T187" s="135"/>
    </row>
    <row r="188" spans="1:20" ht="16.5">
      <c r="A188" s="135"/>
      <c r="B188" s="135"/>
      <c r="C188" s="135"/>
      <c r="D188" s="135"/>
      <c r="E188" s="135"/>
      <c r="F188" s="136"/>
      <c r="G188" s="135"/>
      <c r="H188" s="135"/>
      <c r="I188" s="135"/>
      <c r="J188" s="135"/>
      <c r="K188" s="135"/>
      <c r="L188" s="135"/>
      <c r="M188" s="135"/>
      <c r="N188" s="135"/>
      <c r="O188" s="135"/>
      <c r="P188" s="135"/>
      <c r="Q188" s="135"/>
      <c r="R188" s="135"/>
      <c r="S188" s="135"/>
      <c r="T188" s="135"/>
    </row>
    <row r="189" spans="1:20" ht="16.5">
      <c r="A189" s="135"/>
      <c r="B189" s="135"/>
      <c r="C189" s="135"/>
      <c r="D189" s="135"/>
      <c r="E189" s="135"/>
      <c r="F189" s="136"/>
      <c r="G189" s="135"/>
      <c r="H189" s="135"/>
      <c r="I189" s="135"/>
      <c r="J189" s="135"/>
      <c r="K189" s="135"/>
      <c r="L189" s="135"/>
      <c r="M189" s="135"/>
      <c r="N189" s="135"/>
      <c r="O189" s="135"/>
      <c r="P189" s="135"/>
      <c r="Q189" s="135"/>
      <c r="R189" s="135"/>
      <c r="S189" s="135"/>
      <c r="T189" s="135"/>
    </row>
    <row r="190" spans="1:20" ht="16.5">
      <c r="A190" s="135"/>
      <c r="B190" s="135"/>
      <c r="C190" s="135"/>
      <c r="D190" s="135"/>
      <c r="E190" s="135"/>
      <c r="F190" s="136"/>
      <c r="G190" s="135"/>
      <c r="H190" s="135"/>
      <c r="I190" s="135"/>
      <c r="J190" s="135"/>
      <c r="K190" s="135"/>
      <c r="L190" s="135"/>
      <c r="M190" s="135"/>
      <c r="N190" s="135"/>
      <c r="O190" s="135"/>
      <c r="P190" s="135"/>
      <c r="Q190" s="135"/>
      <c r="R190" s="135"/>
      <c r="S190" s="135"/>
      <c r="T190" s="135"/>
    </row>
    <row r="191" spans="1:20" ht="16.5">
      <c r="A191" s="135"/>
      <c r="B191" s="135"/>
      <c r="C191" s="135"/>
      <c r="D191" s="135"/>
      <c r="E191" s="135"/>
      <c r="F191" s="136"/>
      <c r="G191" s="135"/>
      <c r="H191" s="135"/>
      <c r="I191" s="135"/>
      <c r="J191" s="135"/>
      <c r="K191" s="135"/>
      <c r="L191" s="135"/>
      <c r="M191" s="135"/>
      <c r="N191" s="135"/>
      <c r="O191" s="135"/>
      <c r="P191" s="135"/>
      <c r="Q191" s="135"/>
      <c r="R191" s="135"/>
      <c r="S191" s="135"/>
      <c r="T191" s="135"/>
    </row>
    <row r="192" spans="1:20" ht="16.5">
      <c r="A192" s="135"/>
      <c r="B192" s="135"/>
      <c r="C192" s="135"/>
      <c r="D192" s="135"/>
      <c r="E192" s="135"/>
      <c r="F192" s="136"/>
      <c r="G192" s="135"/>
      <c r="H192" s="135"/>
      <c r="I192" s="135"/>
      <c r="J192" s="135"/>
      <c r="K192" s="135"/>
      <c r="L192" s="135"/>
      <c r="M192" s="135"/>
      <c r="N192" s="135"/>
      <c r="O192" s="135"/>
      <c r="P192" s="135"/>
      <c r="Q192" s="135"/>
      <c r="R192" s="135"/>
      <c r="S192" s="135"/>
      <c r="T192" s="135"/>
    </row>
    <row r="193" spans="1:20" ht="16.5">
      <c r="A193" s="135"/>
      <c r="B193" s="135"/>
      <c r="C193" s="135"/>
      <c r="D193" s="135"/>
      <c r="E193" s="135"/>
      <c r="F193" s="136"/>
      <c r="G193" s="135"/>
      <c r="H193" s="135"/>
      <c r="I193" s="135"/>
      <c r="J193" s="135"/>
      <c r="K193" s="135"/>
      <c r="L193" s="135"/>
      <c r="M193" s="135"/>
      <c r="N193" s="135"/>
      <c r="O193" s="135"/>
      <c r="P193" s="135"/>
      <c r="Q193" s="135"/>
      <c r="R193" s="135"/>
      <c r="S193" s="135"/>
      <c r="T193" s="135"/>
    </row>
    <row r="194" spans="1:20" ht="16.5">
      <c r="A194" s="135"/>
      <c r="B194" s="135"/>
      <c r="C194" s="135"/>
      <c r="D194" s="135"/>
      <c r="E194" s="135"/>
      <c r="F194" s="136"/>
      <c r="G194" s="135"/>
      <c r="H194" s="135"/>
      <c r="I194" s="135"/>
      <c r="J194" s="135"/>
      <c r="K194" s="135"/>
      <c r="L194" s="135"/>
      <c r="M194" s="135"/>
      <c r="N194" s="135"/>
      <c r="O194" s="135"/>
      <c r="P194" s="135"/>
      <c r="Q194" s="135"/>
      <c r="R194" s="135"/>
      <c r="S194" s="135"/>
      <c r="T194" s="135"/>
    </row>
    <row r="195" spans="1:20" ht="16.5">
      <c r="A195" s="135"/>
      <c r="B195" s="135"/>
      <c r="C195" s="135"/>
      <c r="D195" s="135"/>
      <c r="E195" s="135"/>
      <c r="F195" s="136"/>
      <c r="G195" s="135"/>
      <c r="H195" s="135"/>
      <c r="I195" s="135"/>
      <c r="J195" s="135"/>
      <c r="K195" s="135"/>
      <c r="L195" s="135"/>
      <c r="M195" s="135"/>
      <c r="N195" s="135"/>
      <c r="O195" s="135"/>
      <c r="P195" s="135"/>
      <c r="Q195" s="135"/>
      <c r="R195" s="135"/>
      <c r="S195" s="135"/>
      <c r="T195" s="135"/>
    </row>
    <row r="196" spans="1:20" ht="16.5">
      <c r="A196" s="135"/>
      <c r="B196" s="135"/>
      <c r="C196" s="135"/>
      <c r="D196" s="135"/>
      <c r="E196" s="135"/>
      <c r="F196" s="136"/>
      <c r="G196" s="135"/>
      <c r="H196" s="135"/>
      <c r="I196" s="135"/>
      <c r="J196" s="135"/>
      <c r="K196" s="135"/>
      <c r="L196" s="135"/>
      <c r="M196" s="135"/>
      <c r="N196" s="135"/>
      <c r="O196" s="135"/>
      <c r="P196" s="135"/>
      <c r="Q196" s="135"/>
      <c r="R196" s="135"/>
      <c r="S196" s="135"/>
      <c r="T196" s="135"/>
    </row>
    <row r="197" spans="1:20" ht="16.5">
      <c r="A197" s="135"/>
      <c r="B197" s="135"/>
      <c r="C197" s="135"/>
      <c r="D197" s="135"/>
      <c r="E197" s="135"/>
      <c r="F197" s="136"/>
      <c r="G197" s="135"/>
      <c r="H197" s="135"/>
      <c r="I197" s="135"/>
      <c r="J197" s="135"/>
      <c r="K197" s="135"/>
      <c r="L197" s="135"/>
      <c r="M197" s="135"/>
      <c r="N197" s="135"/>
      <c r="O197" s="135"/>
      <c r="P197" s="135"/>
      <c r="Q197" s="135"/>
      <c r="R197" s="135"/>
      <c r="S197" s="135"/>
      <c r="T197" s="135"/>
    </row>
    <row r="198" spans="1:20" ht="16.5">
      <c r="A198" s="135"/>
      <c r="B198" s="135"/>
      <c r="C198" s="135"/>
      <c r="D198" s="135"/>
      <c r="E198" s="135"/>
      <c r="F198" s="136"/>
      <c r="G198" s="135"/>
      <c r="H198" s="135"/>
      <c r="I198" s="135"/>
      <c r="J198" s="135"/>
      <c r="K198" s="135"/>
      <c r="L198" s="135"/>
      <c r="M198" s="135"/>
      <c r="N198" s="135"/>
      <c r="O198" s="135"/>
      <c r="P198" s="135"/>
      <c r="Q198" s="135"/>
      <c r="R198" s="135"/>
      <c r="S198" s="135"/>
      <c r="T198" s="135"/>
    </row>
    <row r="199" spans="1:20" ht="16.5">
      <c r="A199" s="135"/>
      <c r="B199" s="135"/>
      <c r="C199" s="135"/>
      <c r="D199" s="135"/>
      <c r="E199" s="135"/>
      <c r="F199" s="136"/>
      <c r="G199" s="135"/>
      <c r="H199" s="135"/>
      <c r="I199" s="135"/>
      <c r="J199" s="135"/>
      <c r="K199" s="135"/>
      <c r="L199" s="135"/>
      <c r="M199" s="135"/>
      <c r="N199" s="135"/>
      <c r="O199" s="135"/>
      <c r="P199" s="135"/>
      <c r="Q199" s="135"/>
      <c r="R199" s="135"/>
      <c r="S199" s="135"/>
      <c r="T199" s="135"/>
    </row>
    <row r="200" spans="1:20" ht="16.5">
      <c r="A200" s="135"/>
      <c r="B200" s="135"/>
      <c r="C200" s="135"/>
      <c r="D200" s="135"/>
      <c r="E200" s="135"/>
      <c r="F200" s="136"/>
      <c r="G200" s="135"/>
      <c r="H200" s="135"/>
      <c r="I200" s="135"/>
      <c r="J200" s="135"/>
      <c r="K200" s="135"/>
      <c r="L200" s="135"/>
      <c r="M200" s="135"/>
      <c r="N200" s="135"/>
      <c r="O200" s="135"/>
      <c r="P200" s="135"/>
      <c r="Q200" s="135"/>
      <c r="R200" s="135"/>
      <c r="S200" s="135"/>
      <c r="T200" s="135"/>
    </row>
    <row r="201" spans="1:20" ht="16.5">
      <c r="A201" s="135"/>
      <c r="B201" s="135"/>
      <c r="C201" s="135"/>
      <c r="D201" s="135"/>
      <c r="E201" s="135"/>
      <c r="F201" s="136"/>
      <c r="G201" s="135"/>
      <c r="H201" s="135"/>
      <c r="I201" s="135"/>
      <c r="J201" s="135"/>
      <c r="K201" s="135"/>
      <c r="L201" s="135"/>
      <c r="M201" s="135"/>
      <c r="N201" s="135"/>
      <c r="O201" s="135"/>
      <c r="P201" s="135"/>
      <c r="Q201" s="135"/>
      <c r="R201" s="135"/>
      <c r="S201" s="135"/>
      <c r="T201" s="135"/>
    </row>
    <row r="202" spans="1:20" ht="16.5">
      <c r="A202" s="135"/>
      <c r="B202" s="135"/>
      <c r="C202" s="135"/>
      <c r="D202" s="135"/>
      <c r="E202" s="135"/>
      <c r="F202" s="136"/>
      <c r="G202" s="135"/>
      <c r="H202" s="135"/>
      <c r="I202" s="135"/>
      <c r="J202" s="135"/>
      <c r="K202" s="135"/>
      <c r="L202" s="135"/>
      <c r="M202" s="135"/>
      <c r="N202" s="135"/>
      <c r="O202" s="135"/>
      <c r="P202" s="135"/>
      <c r="Q202" s="135"/>
      <c r="R202" s="135"/>
      <c r="S202" s="135"/>
      <c r="T202" s="135"/>
    </row>
    <row r="203" spans="1:20" ht="16.5">
      <c r="A203" s="135"/>
      <c r="B203" s="135"/>
      <c r="C203" s="135"/>
      <c r="D203" s="135"/>
      <c r="E203" s="135"/>
      <c r="F203" s="136"/>
      <c r="G203" s="135"/>
      <c r="H203" s="135"/>
      <c r="I203" s="135"/>
      <c r="J203" s="135"/>
      <c r="K203" s="135"/>
      <c r="L203" s="135"/>
      <c r="M203" s="135"/>
      <c r="N203" s="135"/>
      <c r="O203" s="135"/>
      <c r="P203" s="135"/>
      <c r="Q203" s="135"/>
      <c r="R203" s="135"/>
      <c r="S203" s="135"/>
      <c r="T203" s="135"/>
    </row>
    <row r="204" spans="1:20" ht="16.5">
      <c r="A204" s="135"/>
      <c r="B204" s="135"/>
      <c r="C204" s="135"/>
      <c r="D204" s="135"/>
      <c r="E204" s="135"/>
      <c r="F204" s="136"/>
      <c r="G204" s="135"/>
      <c r="H204" s="135"/>
      <c r="I204" s="135"/>
      <c r="J204" s="135"/>
      <c r="K204" s="135"/>
      <c r="L204" s="135"/>
      <c r="M204" s="135"/>
      <c r="N204" s="135"/>
      <c r="O204" s="135"/>
      <c r="P204" s="135"/>
      <c r="Q204" s="135"/>
      <c r="R204" s="135"/>
      <c r="S204" s="135"/>
      <c r="T204" s="135"/>
    </row>
    <row r="205" spans="1:20" ht="16.5">
      <c r="A205" s="135"/>
      <c r="B205" s="135"/>
      <c r="C205" s="135"/>
      <c r="D205" s="135"/>
      <c r="E205" s="135"/>
      <c r="F205" s="136"/>
      <c r="G205" s="135"/>
      <c r="H205" s="135"/>
      <c r="I205" s="135"/>
      <c r="J205" s="135"/>
      <c r="K205" s="135"/>
      <c r="L205" s="135"/>
      <c r="M205" s="135"/>
      <c r="N205" s="135"/>
      <c r="O205" s="135"/>
      <c r="P205" s="135"/>
      <c r="Q205" s="135"/>
      <c r="R205" s="135"/>
      <c r="S205" s="135"/>
      <c r="T205" s="135"/>
    </row>
    <row r="206" spans="1:20" ht="16.5">
      <c r="A206" s="135"/>
      <c r="B206" s="135"/>
      <c r="C206" s="135"/>
      <c r="D206" s="135"/>
      <c r="E206" s="135"/>
      <c r="F206" s="136"/>
      <c r="G206" s="135"/>
      <c r="H206" s="135"/>
      <c r="I206" s="135"/>
      <c r="J206" s="135"/>
      <c r="K206" s="135"/>
      <c r="L206" s="135"/>
      <c r="M206" s="135"/>
      <c r="N206" s="135"/>
      <c r="O206" s="135"/>
      <c r="P206" s="135"/>
      <c r="Q206" s="135"/>
      <c r="R206" s="135"/>
      <c r="S206" s="135"/>
      <c r="T206" s="135"/>
    </row>
    <row r="207" spans="1:20" ht="16.5">
      <c r="A207" s="135"/>
      <c r="B207" s="135"/>
      <c r="C207" s="135"/>
      <c r="D207" s="135"/>
      <c r="E207" s="135"/>
      <c r="F207" s="136"/>
      <c r="G207" s="135"/>
      <c r="H207" s="135"/>
      <c r="I207" s="135"/>
      <c r="J207" s="135"/>
      <c r="K207" s="135"/>
      <c r="L207" s="135"/>
      <c r="M207" s="135"/>
      <c r="N207" s="135"/>
      <c r="O207" s="135"/>
      <c r="P207" s="135"/>
      <c r="Q207" s="135"/>
      <c r="R207" s="135"/>
      <c r="S207" s="135"/>
      <c r="T207" s="135"/>
    </row>
    <row r="208" spans="1:20" ht="16.5">
      <c r="A208" s="135"/>
      <c r="B208" s="135"/>
      <c r="C208" s="135"/>
      <c r="D208" s="135"/>
      <c r="E208" s="135"/>
      <c r="F208" s="136"/>
      <c r="G208" s="135"/>
      <c r="H208" s="135"/>
      <c r="I208" s="135"/>
      <c r="J208" s="135"/>
      <c r="K208" s="135"/>
      <c r="L208" s="135"/>
      <c r="M208" s="135"/>
      <c r="N208" s="135"/>
      <c r="O208" s="135"/>
      <c r="P208" s="135"/>
      <c r="Q208" s="135"/>
      <c r="R208" s="135"/>
      <c r="S208" s="135"/>
      <c r="T208" s="135"/>
    </row>
    <row r="209" spans="1:20" ht="16.5">
      <c r="A209" s="135"/>
      <c r="B209" s="135"/>
      <c r="C209" s="135"/>
      <c r="D209" s="135"/>
      <c r="E209" s="135"/>
      <c r="F209" s="136"/>
      <c r="G209" s="135"/>
      <c r="H209" s="135"/>
      <c r="I209" s="135"/>
      <c r="J209" s="135"/>
      <c r="K209" s="135"/>
      <c r="L209" s="135"/>
      <c r="M209" s="135"/>
      <c r="N209" s="135"/>
      <c r="O209" s="135"/>
      <c r="P209" s="135"/>
      <c r="Q209" s="135"/>
      <c r="R209" s="135"/>
      <c r="S209" s="135"/>
      <c r="T209" s="135"/>
    </row>
    <row r="210" spans="1:20" ht="16.5">
      <c r="A210" s="135"/>
      <c r="B210" s="135"/>
      <c r="C210" s="135"/>
      <c r="D210" s="135"/>
      <c r="E210" s="135"/>
      <c r="F210" s="136"/>
      <c r="G210" s="135"/>
      <c r="H210" s="135"/>
      <c r="I210" s="135"/>
      <c r="J210" s="135"/>
      <c r="K210" s="135"/>
      <c r="L210" s="135"/>
      <c r="M210" s="135"/>
      <c r="N210" s="135"/>
      <c r="O210" s="135"/>
      <c r="P210" s="135"/>
      <c r="Q210" s="135"/>
      <c r="R210" s="135"/>
      <c r="S210" s="135"/>
      <c r="T210" s="135"/>
    </row>
    <row r="211" spans="1:20" ht="16.5">
      <c r="A211" s="135"/>
      <c r="B211" s="135"/>
      <c r="C211" s="135"/>
      <c r="D211" s="135"/>
      <c r="E211" s="135"/>
      <c r="F211" s="136"/>
      <c r="G211" s="135"/>
      <c r="H211" s="135"/>
      <c r="I211" s="135"/>
      <c r="J211" s="135"/>
      <c r="K211" s="135"/>
      <c r="L211" s="135"/>
      <c r="M211" s="135"/>
      <c r="N211" s="135"/>
      <c r="O211" s="135"/>
      <c r="P211" s="135"/>
      <c r="Q211" s="135"/>
      <c r="R211" s="135"/>
      <c r="S211" s="135"/>
      <c r="T211" s="135"/>
    </row>
    <row r="212" spans="1:20" ht="16.5">
      <c r="A212" s="135"/>
      <c r="B212" s="135"/>
      <c r="C212" s="135"/>
      <c r="D212" s="135"/>
      <c r="E212" s="135"/>
      <c r="F212" s="136"/>
      <c r="G212" s="135"/>
      <c r="H212" s="135"/>
      <c r="I212" s="135"/>
      <c r="J212" s="135"/>
      <c r="K212" s="135"/>
      <c r="L212" s="135"/>
      <c r="M212" s="135"/>
      <c r="N212" s="135"/>
      <c r="O212" s="135"/>
      <c r="P212" s="135"/>
      <c r="Q212" s="135"/>
      <c r="R212" s="135"/>
      <c r="S212" s="135"/>
      <c r="T212" s="135"/>
    </row>
    <row r="213" spans="1:20" ht="16.5">
      <c r="A213" s="135"/>
      <c r="B213" s="135"/>
      <c r="C213" s="135"/>
      <c r="D213" s="135"/>
      <c r="E213" s="135"/>
      <c r="F213" s="136"/>
      <c r="G213" s="135"/>
      <c r="H213" s="135"/>
      <c r="I213" s="135"/>
      <c r="J213" s="135"/>
      <c r="K213" s="135"/>
      <c r="L213" s="135"/>
      <c r="M213" s="135"/>
      <c r="N213" s="135"/>
      <c r="O213" s="135"/>
      <c r="P213" s="135"/>
      <c r="Q213" s="135"/>
      <c r="R213" s="135"/>
      <c r="S213" s="135"/>
      <c r="T213" s="135"/>
    </row>
    <row r="214" spans="1:20" ht="16.5">
      <c r="A214" s="135"/>
      <c r="B214" s="135"/>
      <c r="C214" s="135"/>
      <c r="D214" s="135"/>
      <c r="E214" s="135"/>
      <c r="F214" s="136"/>
      <c r="G214" s="135"/>
      <c r="H214" s="135"/>
      <c r="I214" s="135"/>
      <c r="J214" s="135"/>
      <c r="K214" s="135"/>
      <c r="L214" s="135"/>
      <c r="M214" s="135"/>
      <c r="N214" s="135"/>
      <c r="O214" s="135"/>
      <c r="P214" s="135"/>
      <c r="Q214" s="135"/>
      <c r="R214" s="135"/>
      <c r="S214" s="135"/>
      <c r="T214" s="135"/>
    </row>
    <row r="215" spans="1:20" ht="16.5">
      <c r="A215" s="135"/>
      <c r="B215" s="135"/>
      <c r="C215" s="135"/>
      <c r="D215" s="135"/>
      <c r="E215" s="135"/>
      <c r="F215" s="136"/>
      <c r="G215" s="135"/>
      <c r="H215" s="135"/>
      <c r="I215" s="135"/>
      <c r="J215" s="135"/>
      <c r="K215" s="135"/>
      <c r="L215" s="135"/>
      <c r="M215" s="135"/>
      <c r="N215" s="135"/>
      <c r="O215" s="135"/>
      <c r="P215" s="135"/>
      <c r="Q215" s="135"/>
      <c r="R215" s="135"/>
      <c r="S215" s="135"/>
      <c r="T215" s="135"/>
    </row>
    <row r="216" spans="1:20" ht="16.5">
      <c r="A216" s="135"/>
      <c r="B216" s="135"/>
      <c r="C216" s="135"/>
      <c r="D216" s="135"/>
      <c r="E216" s="135"/>
      <c r="F216" s="136"/>
      <c r="G216" s="135"/>
      <c r="H216" s="135"/>
      <c r="I216" s="135"/>
      <c r="J216" s="135"/>
      <c r="K216" s="135"/>
      <c r="L216" s="135"/>
      <c r="M216" s="135"/>
      <c r="N216" s="135"/>
      <c r="O216" s="135"/>
      <c r="P216" s="135"/>
      <c r="Q216" s="135"/>
      <c r="R216" s="135"/>
      <c r="S216" s="135"/>
      <c r="T216" s="135"/>
    </row>
    <row r="217" spans="1:20" ht="16.5">
      <c r="A217" s="135"/>
      <c r="B217" s="135"/>
      <c r="C217" s="135"/>
      <c r="D217" s="135"/>
      <c r="E217" s="135"/>
      <c r="F217" s="136"/>
      <c r="G217" s="135"/>
      <c r="H217" s="135"/>
      <c r="I217" s="135"/>
      <c r="J217" s="135"/>
      <c r="K217" s="135"/>
      <c r="L217" s="135"/>
      <c r="M217" s="135"/>
      <c r="N217" s="135"/>
      <c r="O217" s="135"/>
      <c r="P217" s="135"/>
      <c r="Q217" s="135"/>
      <c r="R217" s="135"/>
      <c r="S217" s="135"/>
      <c r="T217" s="135"/>
    </row>
    <row r="218" spans="1:20" ht="16.5">
      <c r="A218" s="135"/>
      <c r="B218" s="135"/>
      <c r="C218" s="135"/>
      <c r="D218" s="135"/>
      <c r="E218" s="135"/>
      <c r="F218" s="136"/>
      <c r="G218" s="135"/>
      <c r="H218" s="135"/>
      <c r="I218" s="135"/>
      <c r="J218" s="135"/>
      <c r="K218" s="135"/>
      <c r="L218" s="135"/>
      <c r="M218" s="135"/>
      <c r="N218" s="135"/>
      <c r="O218" s="135"/>
      <c r="P218" s="135"/>
      <c r="Q218" s="135"/>
      <c r="R218" s="135"/>
      <c r="S218" s="135"/>
      <c r="T218" s="135"/>
    </row>
    <row r="219" spans="1:20" ht="16.5">
      <c r="A219" s="135"/>
      <c r="B219" s="135"/>
      <c r="C219" s="135"/>
      <c r="D219" s="135"/>
      <c r="E219" s="135"/>
      <c r="F219" s="136"/>
      <c r="G219" s="135"/>
      <c r="H219" s="135"/>
      <c r="I219" s="135"/>
      <c r="J219" s="135"/>
      <c r="K219" s="135"/>
      <c r="L219" s="135"/>
      <c r="M219" s="135"/>
      <c r="N219" s="135"/>
      <c r="O219" s="135"/>
      <c r="P219" s="135"/>
      <c r="Q219" s="135"/>
      <c r="R219" s="135"/>
      <c r="S219" s="135"/>
      <c r="T219" s="135"/>
    </row>
    <row r="220" spans="1:20" ht="16.5">
      <c r="A220" s="135"/>
      <c r="B220" s="135"/>
      <c r="C220" s="135"/>
      <c r="D220" s="135"/>
      <c r="E220" s="135"/>
      <c r="F220" s="136"/>
      <c r="G220" s="135"/>
      <c r="H220" s="135"/>
      <c r="I220" s="135"/>
      <c r="J220" s="135"/>
      <c r="K220" s="135"/>
      <c r="L220" s="135"/>
      <c r="M220" s="135"/>
      <c r="N220" s="135"/>
      <c r="O220" s="135"/>
      <c r="P220" s="135"/>
      <c r="Q220" s="135"/>
      <c r="R220" s="135"/>
      <c r="S220" s="135"/>
      <c r="T220" s="135"/>
    </row>
    <row r="221" spans="1:20" ht="16.5">
      <c r="A221" s="135"/>
      <c r="B221" s="135"/>
      <c r="C221" s="135"/>
      <c r="D221" s="135"/>
      <c r="E221" s="135"/>
      <c r="F221" s="136"/>
      <c r="G221" s="135"/>
      <c r="H221" s="135"/>
      <c r="I221" s="135"/>
      <c r="J221" s="135"/>
      <c r="K221" s="135"/>
      <c r="L221" s="135"/>
      <c r="M221" s="135"/>
      <c r="N221" s="135"/>
      <c r="O221" s="135"/>
      <c r="P221" s="135"/>
      <c r="Q221" s="135"/>
      <c r="R221" s="135"/>
      <c r="S221" s="135"/>
      <c r="T221" s="135"/>
    </row>
    <row r="222" spans="1:20" ht="16.5">
      <c r="A222" s="135"/>
      <c r="B222" s="135"/>
      <c r="C222" s="135"/>
      <c r="D222" s="135"/>
      <c r="E222" s="135"/>
      <c r="F222" s="136"/>
      <c r="G222" s="135"/>
      <c r="H222" s="135"/>
      <c r="I222" s="135"/>
      <c r="J222" s="135"/>
      <c r="K222" s="135"/>
      <c r="L222" s="135"/>
      <c r="M222" s="135"/>
      <c r="N222" s="135"/>
      <c r="O222" s="135"/>
      <c r="P222" s="135"/>
      <c r="Q222" s="135"/>
      <c r="R222" s="135"/>
      <c r="S222" s="135"/>
      <c r="T222" s="135"/>
    </row>
    <row r="223" spans="1:20" ht="16.5">
      <c r="A223" s="135"/>
      <c r="B223" s="135"/>
      <c r="C223" s="135"/>
      <c r="D223" s="135"/>
      <c r="E223" s="135"/>
      <c r="F223" s="136"/>
      <c r="G223" s="135"/>
      <c r="H223" s="135"/>
      <c r="I223" s="135"/>
      <c r="J223" s="135"/>
      <c r="K223" s="135"/>
      <c r="L223" s="135"/>
      <c r="M223" s="135"/>
      <c r="N223" s="135"/>
      <c r="O223" s="135"/>
      <c r="P223" s="135"/>
      <c r="Q223" s="135"/>
      <c r="R223" s="135"/>
      <c r="S223" s="135"/>
      <c r="T223" s="135"/>
    </row>
    <row r="224" spans="1:20" ht="16.5">
      <c r="A224" s="135"/>
      <c r="B224" s="135"/>
      <c r="C224" s="135"/>
      <c r="D224" s="135"/>
      <c r="E224" s="135"/>
      <c r="F224" s="136"/>
      <c r="G224" s="135"/>
      <c r="H224" s="135"/>
      <c r="I224" s="135"/>
      <c r="J224" s="135"/>
      <c r="K224" s="135"/>
      <c r="L224" s="135"/>
      <c r="M224" s="135"/>
      <c r="N224" s="135"/>
      <c r="O224" s="135"/>
      <c r="P224" s="135"/>
      <c r="Q224" s="135"/>
      <c r="R224" s="135"/>
      <c r="S224" s="135"/>
      <c r="T224" s="135"/>
    </row>
    <row r="225" spans="1:20" ht="16.5">
      <c r="A225" s="135"/>
      <c r="B225" s="135"/>
      <c r="C225" s="135"/>
      <c r="D225" s="135"/>
      <c r="E225" s="135"/>
      <c r="F225" s="136"/>
      <c r="G225" s="135"/>
      <c r="H225" s="135"/>
      <c r="I225" s="135"/>
      <c r="J225" s="135"/>
      <c r="K225" s="135"/>
      <c r="L225" s="135"/>
      <c r="M225" s="135"/>
      <c r="N225" s="135"/>
      <c r="O225" s="135"/>
      <c r="P225" s="135"/>
      <c r="Q225" s="135"/>
      <c r="R225" s="135"/>
      <c r="S225" s="135"/>
      <c r="T225" s="135"/>
    </row>
    <row r="226" spans="1:20" ht="16.5">
      <c r="A226" s="135"/>
      <c r="B226" s="135"/>
      <c r="C226" s="135"/>
      <c r="D226" s="135"/>
      <c r="E226" s="135"/>
      <c r="F226" s="136"/>
      <c r="G226" s="135"/>
      <c r="H226" s="135"/>
      <c r="I226" s="135"/>
      <c r="J226" s="135"/>
      <c r="K226" s="135"/>
      <c r="L226" s="135"/>
      <c r="M226" s="135"/>
      <c r="N226" s="135"/>
      <c r="O226" s="135"/>
      <c r="P226" s="135"/>
      <c r="Q226" s="135"/>
      <c r="R226" s="135"/>
      <c r="S226" s="135"/>
      <c r="T226" s="135"/>
    </row>
    <row r="227" spans="1:20" ht="16.5">
      <c r="A227" s="135"/>
      <c r="B227" s="135"/>
      <c r="C227" s="135"/>
      <c r="D227" s="135"/>
      <c r="E227" s="135"/>
      <c r="F227" s="136"/>
      <c r="G227" s="135"/>
      <c r="H227" s="135"/>
      <c r="I227" s="135"/>
      <c r="J227" s="135"/>
      <c r="K227" s="135"/>
      <c r="L227" s="135"/>
      <c r="M227" s="135"/>
      <c r="N227" s="135"/>
      <c r="O227" s="135"/>
      <c r="P227" s="135"/>
      <c r="Q227" s="135"/>
      <c r="R227" s="135"/>
      <c r="S227" s="135"/>
      <c r="T227" s="135"/>
    </row>
    <row r="228" spans="1:20" ht="16.5">
      <c r="A228" s="135"/>
      <c r="B228" s="135"/>
      <c r="C228" s="135"/>
      <c r="D228" s="135"/>
      <c r="E228" s="135"/>
      <c r="F228" s="136"/>
      <c r="G228" s="135"/>
      <c r="H228" s="135"/>
      <c r="I228" s="135"/>
      <c r="J228" s="135"/>
      <c r="K228" s="135"/>
      <c r="L228" s="135"/>
      <c r="M228" s="135"/>
      <c r="N228" s="135"/>
      <c r="O228" s="135"/>
      <c r="P228" s="135"/>
      <c r="Q228" s="135"/>
      <c r="R228" s="135"/>
      <c r="S228" s="135"/>
      <c r="T228" s="135"/>
    </row>
    <row r="229" spans="1:20" ht="16.5">
      <c r="A229" s="135"/>
      <c r="B229" s="135"/>
      <c r="C229" s="135"/>
      <c r="D229" s="135"/>
      <c r="E229" s="135"/>
      <c r="F229" s="136"/>
      <c r="G229" s="135"/>
      <c r="H229" s="135"/>
      <c r="I229" s="135"/>
      <c r="J229" s="135"/>
      <c r="K229" s="135"/>
      <c r="L229" s="135"/>
      <c r="M229" s="135"/>
      <c r="N229" s="135"/>
      <c r="O229" s="135"/>
      <c r="P229" s="135"/>
      <c r="Q229" s="135"/>
      <c r="R229" s="135"/>
      <c r="S229" s="135"/>
      <c r="T229" s="135"/>
    </row>
    <row r="230" spans="1:20" ht="16.5">
      <c r="A230" s="135"/>
      <c r="B230" s="135"/>
      <c r="C230" s="135"/>
      <c r="D230" s="135"/>
      <c r="E230" s="135"/>
      <c r="F230" s="136"/>
      <c r="G230" s="135"/>
      <c r="H230" s="135"/>
      <c r="I230" s="135"/>
      <c r="J230" s="135"/>
      <c r="K230" s="135"/>
      <c r="L230" s="135"/>
      <c r="M230" s="135"/>
      <c r="N230" s="135"/>
      <c r="O230" s="135"/>
      <c r="P230" s="135"/>
      <c r="Q230" s="135"/>
      <c r="R230" s="135"/>
      <c r="S230" s="135"/>
      <c r="T230" s="135"/>
    </row>
    <row r="231" spans="1:20" ht="16.5">
      <c r="A231" s="135"/>
      <c r="B231" s="135"/>
      <c r="C231" s="135"/>
      <c r="D231" s="135"/>
      <c r="E231" s="135"/>
      <c r="F231" s="136"/>
      <c r="G231" s="135"/>
      <c r="H231" s="135"/>
      <c r="I231" s="135"/>
      <c r="J231" s="135"/>
      <c r="K231" s="135"/>
      <c r="L231" s="135"/>
      <c r="M231" s="135"/>
      <c r="N231" s="135"/>
      <c r="O231" s="135"/>
      <c r="P231" s="135"/>
      <c r="Q231" s="135"/>
      <c r="R231" s="135"/>
      <c r="S231" s="135"/>
      <c r="T231" s="135"/>
    </row>
    <row r="232" spans="1:20" ht="16.5">
      <c r="A232" s="135"/>
      <c r="B232" s="135"/>
      <c r="C232" s="135"/>
      <c r="D232" s="135"/>
      <c r="E232" s="135"/>
      <c r="F232" s="136"/>
      <c r="G232" s="135"/>
      <c r="H232" s="135"/>
      <c r="I232" s="135"/>
      <c r="J232" s="135"/>
      <c r="K232" s="135"/>
      <c r="L232" s="135"/>
      <c r="M232" s="135"/>
      <c r="N232" s="135"/>
      <c r="O232" s="135"/>
      <c r="P232" s="135"/>
      <c r="Q232" s="135"/>
      <c r="R232" s="135"/>
      <c r="S232" s="135"/>
      <c r="T232" s="135"/>
    </row>
    <row r="233" spans="1:20" ht="16.5">
      <c r="A233" s="135"/>
      <c r="B233" s="135"/>
      <c r="C233" s="135"/>
      <c r="D233" s="135"/>
      <c r="E233" s="135"/>
      <c r="F233" s="136"/>
      <c r="G233" s="135"/>
      <c r="H233" s="135"/>
      <c r="I233" s="135"/>
      <c r="J233" s="135"/>
      <c r="K233" s="135"/>
      <c r="L233" s="135"/>
      <c r="M233" s="135"/>
      <c r="N233" s="135"/>
      <c r="O233" s="135"/>
      <c r="P233" s="135"/>
      <c r="Q233" s="135"/>
      <c r="R233" s="135"/>
      <c r="S233" s="135"/>
      <c r="T233" s="135"/>
    </row>
    <row r="234" spans="1:20" ht="16.5">
      <c r="A234" s="135"/>
      <c r="B234" s="135"/>
      <c r="C234" s="135"/>
      <c r="D234" s="135"/>
      <c r="E234" s="135"/>
      <c r="F234" s="136"/>
      <c r="G234" s="135"/>
      <c r="H234" s="135"/>
      <c r="I234" s="135"/>
      <c r="J234" s="135"/>
      <c r="K234" s="135"/>
      <c r="L234" s="135"/>
      <c r="M234" s="135"/>
      <c r="N234" s="135"/>
      <c r="O234" s="135"/>
      <c r="P234" s="135"/>
      <c r="Q234" s="135"/>
      <c r="R234" s="135"/>
      <c r="S234" s="135"/>
      <c r="T234" s="135"/>
    </row>
    <row r="235" spans="1:20" ht="16.5">
      <c r="A235" s="135"/>
      <c r="B235" s="135"/>
      <c r="C235" s="135"/>
      <c r="D235" s="135"/>
      <c r="E235" s="135"/>
      <c r="F235" s="136"/>
      <c r="G235" s="135"/>
      <c r="H235" s="135"/>
      <c r="I235" s="135"/>
      <c r="J235" s="135"/>
      <c r="K235" s="135"/>
      <c r="L235" s="135"/>
      <c r="M235" s="135"/>
      <c r="N235" s="135"/>
      <c r="O235" s="135"/>
      <c r="P235" s="135"/>
      <c r="Q235" s="135"/>
      <c r="R235" s="135"/>
      <c r="S235" s="135"/>
      <c r="T235" s="135"/>
    </row>
    <row r="236" spans="1:20" ht="16.5">
      <c r="A236" s="135"/>
      <c r="B236" s="135"/>
      <c r="C236" s="135"/>
      <c r="D236" s="135"/>
      <c r="E236" s="135"/>
      <c r="F236" s="136"/>
      <c r="G236" s="135"/>
      <c r="H236" s="135"/>
      <c r="I236" s="135"/>
      <c r="J236" s="135"/>
      <c r="K236" s="135"/>
      <c r="L236" s="135"/>
      <c r="M236" s="135"/>
      <c r="N236" s="135"/>
      <c r="O236" s="135"/>
      <c r="P236" s="135"/>
      <c r="Q236" s="135"/>
      <c r="R236" s="135"/>
      <c r="S236" s="135"/>
      <c r="T236" s="135"/>
    </row>
    <row r="237" spans="1:20" ht="16.5">
      <c r="A237" s="135"/>
      <c r="B237" s="135"/>
      <c r="C237" s="135"/>
      <c r="D237" s="135"/>
      <c r="E237" s="135"/>
      <c r="F237" s="136"/>
      <c r="G237" s="135"/>
      <c r="H237" s="135"/>
      <c r="I237" s="135"/>
      <c r="J237" s="135"/>
      <c r="K237" s="135"/>
      <c r="L237" s="135"/>
      <c r="M237" s="135"/>
      <c r="N237" s="135"/>
      <c r="O237" s="135"/>
      <c r="P237" s="135"/>
      <c r="Q237" s="135"/>
      <c r="R237" s="135"/>
      <c r="S237" s="135"/>
      <c r="T237" s="135"/>
    </row>
    <row r="238" spans="1:20" ht="16.5">
      <c r="A238" s="135"/>
      <c r="B238" s="135"/>
      <c r="C238" s="135"/>
      <c r="D238" s="135"/>
      <c r="E238" s="135"/>
      <c r="F238" s="136"/>
      <c r="G238" s="135"/>
      <c r="H238" s="135"/>
      <c r="I238" s="135"/>
      <c r="J238" s="135"/>
      <c r="K238" s="135"/>
      <c r="L238" s="135"/>
      <c r="M238" s="135"/>
      <c r="N238" s="135"/>
      <c r="O238" s="135"/>
      <c r="P238" s="135"/>
      <c r="Q238" s="135"/>
      <c r="R238" s="135"/>
      <c r="S238" s="135"/>
      <c r="T238" s="135"/>
    </row>
    <row r="239" spans="1:20" ht="16.5">
      <c r="A239" s="135"/>
      <c r="B239" s="135"/>
      <c r="C239" s="135"/>
      <c r="D239" s="135"/>
      <c r="E239" s="135"/>
      <c r="F239" s="136"/>
      <c r="G239" s="135"/>
      <c r="H239" s="135"/>
      <c r="I239" s="135"/>
      <c r="J239" s="135"/>
      <c r="K239" s="135"/>
      <c r="L239" s="135"/>
      <c r="M239" s="135"/>
      <c r="N239" s="135"/>
      <c r="O239" s="135"/>
      <c r="P239" s="135"/>
      <c r="Q239" s="135"/>
      <c r="R239" s="135"/>
      <c r="S239" s="135"/>
      <c r="T239" s="135"/>
    </row>
    <row r="240" spans="1:20" ht="16.5">
      <c r="A240" s="135"/>
      <c r="B240" s="135"/>
      <c r="C240" s="135"/>
      <c r="D240" s="135"/>
      <c r="E240" s="135"/>
      <c r="F240" s="136"/>
      <c r="G240" s="135"/>
      <c r="H240" s="135"/>
      <c r="I240" s="135"/>
      <c r="J240" s="135"/>
      <c r="K240" s="135"/>
      <c r="L240" s="135"/>
      <c r="M240" s="135"/>
      <c r="N240" s="135"/>
      <c r="O240" s="135"/>
      <c r="P240" s="135"/>
      <c r="Q240" s="135"/>
      <c r="R240" s="135"/>
      <c r="S240" s="135"/>
      <c r="T240" s="135"/>
    </row>
    <row r="241" spans="1:20" ht="16.5">
      <c r="A241" s="135"/>
      <c r="B241" s="135"/>
      <c r="C241" s="135"/>
      <c r="D241" s="135"/>
      <c r="E241" s="135"/>
      <c r="F241" s="136"/>
      <c r="G241" s="135"/>
      <c r="H241" s="135"/>
      <c r="I241" s="135"/>
      <c r="J241" s="135"/>
      <c r="K241" s="135"/>
      <c r="L241" s="135"/>
      <c r="M241" s="135"/>
      <c r="N241" s="135"/>
      <c r="O241" s="135"/>
      <c r="P241" s="135"/>
      <c r="Q241" s="135"/>
      <c r="R241" s="135"/>
      <c r="S241" s="135"/>
      <c r="T241" s="135"/>
    </row>
    <row r="242" spans="1:20" ht="16.5">
      <c r="A242" s="135"/>
      <c r="B242" s="135"/>
      <c r="C242" s="135"/>
      <c r="D242" s="135"/>
      <c r="E242" s="135"/>
      <c r="F242" s="136"/>
      <c r="G242" s="135"/>
      <c r="H242" s="135"/>
      <c r="I242" s="135"/>
      <c r="J242" s="135"/>
      <c r="K242" s="135"/>
      <c r="L242" s="135"/>
      <c r="M242" s="135"/>
      <c r="N242" s="135"/>
      <c r="O242" s="135"/>
      <c r="P242" s="135"/>
      <c r="Q242" s="135"/>
      <c r="R242" s="135"/>
      <c r="S242" s="135"/>
      <c r="T242" s="135"/>
    </row>
    <row r="243" spans="1:20" ht="16.5">
      <c r="A243" s="135"/>
      <c r="B243" s="135"/>
      <c r="C243" s="135"/>
      <c r="D243" s="135"/>
      <c r="E243" s="135"/>
      <c r="F243" s="136"/>
      <c r="G243" s="135"/>
      <c r="H243" s="135"/>
      <c r="I243" s="135"/>
      <c r="J243" s="135"/>
      <c r="K243" s="135"/>
      <c r="L243" s="135"/>
      <c r="M243" s="135"/>
      <c r="N243" s="135"/>
      <c r="O243" s="135"/>
      <c r="P243" s="135"/>
      <c r="Q243" s="135"/>
      <c r="R243" s="135"/>
      <c r="S243" s="135"/>
      <c r="T243" s="135"/>
    </row>
    <row r="244" spans="1:20" ht="16.5">
      <c r="A244" s="135"/>
      <c r="B244" s="135"/>
      <c r="C244" s="135"/>
      <c r="D244" s="135"/>
      <c r="E244" s="135"/>
      <c r="F244" s="136"/>
      <c r="G244" s="135"/>
      <c r="H244" s="135"/>
      <c r="I244" s="135"/>
      <c r="J244" s="135"/>
      <c r="K244" s="135"/>
      <c r="L244" s="135"/>
      <c r="M244" s="135"/>
      <c r="N244" s="135"/>
      <c r="O244" s="135"/>
      <c r="P244" s="135"/>
      <c r="Q244" s="135"/>
      <c r="R244" s="135"/>
      <c r="S244" s="135"/>
      <c r="T244" s="135"/>
    </row>
    <row r="245" spans="1:20" ht="16.5">
      <c r="A245" s="135"/>
      <c r="B245" s="135"/>
      <c r="C245" s="135"/>
      <c r="D245" s="135"/>
      <c r="E245" s="135"/>
      <c r="F245" s="136"/>
      <c r="G245" s="135"/>
      <c r="H245" s="135"/>
      <c r="I245" s="135"/>
      <c r="J245" s="135"/>
      <c r="K245" s="135"/>
      <c r="L245" s="135"/>
      <c r="M245" s="135"/>
      <c r="N245" s="135"/>
      <c r="O245" s="135"/>
      <c r="P245" s="135"/>
      <c r="Q245" s="135"/>
      <c r="R245" s="135"/>
      <c r="S245" s="135"/>
      <c r="T245" s="135"/>
    </row>
    <row r="246" spans="1:20" ht="16.5">
      <c r="A246" s="135"/>
      <c r="B246" s="135"/>
      <c r="C246" s="135"/>
      <c r="D246" s="135"/>
      <c r="E246" s="135"/>
      <c r="F246" s="136"/>
      <c r="G246" s="135"/>
      <c r="H246" s="135"/>
      <c r="I246" s="135"/>
      <c r="J246" s="135"/>
      <c r="K246" s="135"/>
      <c r="L246" s="135"/>
      <c r="M246" s="135"/>
      <c r="N246" s="135"/>
      <c r="O246" s="135"/>
      <c r="P246" s="135"/>
      <c r="Q246" s="135"/>
      <c r="R246" s="135"/>
      <c r="S246" s="135"/>
      <c r="T246" s="135"/>
    </row>
    <row r="247" spans="1:20" ht="16.5">
      <c r="A247" s="135"/>
      <c r="B247" s="135"/>
      <c r="C247" s="135"/>
      <c r="D247" s="135"/>
      <c r="E247" s="135"/>
      <c r="F247" s="136"/>
      <c r="G247" s="135"/>
      <c r="H247" s="135"/>
      <c r="I247" s="135"/>
      <c r="J247" s="135"/>
      <c r="K247" s="135"/>
      <c r="L247" s="135"/>
      <c r="M247" s="135"/>
      <c r="N247" s="135"/>
      <c r="O247" s="135"/>
      <c r="P247" s="135"/>
      <c r="Q247" s="135"/>
      <c r="R247" s="135"/>
      <c r="S247" s="135"/>
      <c r="T247" s="135"/>
    </row>
    <row r="248" spans="1:20" ht="16.5">
      <c r="A248" s="135"/>
      <c r="B248" s="135"/>
      <c r="C248" s="135"/>
      <c r="D248" s="135"/>
      <c r="E248" s="135"/>
      <c r="F248" s="136"/>
      <c r="G248" s="135"/>
      <c r="H248" s="135"/>
      <c r="I248" s="135"/>
      <c r="J248" s="135"/>
      <c r="K248" s="135"/>
      <c r="L248" s="135"/>
      <c r="M248" s="135"/>
      <c r="N248" s="135"/>
      <c r="O248" s="135"/>
      <c r="P248" s="135"/>
      <c r="Q248" s="135"/>
      <c r="R248" s="135"/>
      <c r="S248" s="135"/>
      <c r="T248" s="135"/>
    </row>
    <row r="249" spans="1:20" ht="16.5">
      <c r="A249" s="135"/>
      <c r="B249" s="135"/>
      <c r="C249" s="135"/>
      <c r="D249" s="135"/>
      <c r="E249" s="135"/>
      <c r="F249" s="136"/>
      <c r="G249" s="135"/>
      <c r="H249" s="135"/>
      <c r="I249" s="135"/>
      <c r="J249" s="135"/>
      <c r="K249" s="135"/>
      <c r="L249" s="135"/>
      <c r="M249" s="135"/>
      <c r="N249" s="135"/>
      <c r="O249" s="135"/>
      <c r="P249" s="135"/>
      <c r="Q249" s="135"/>
      <c r="R249" s="135"/>
      <c r="S249" s="135"/>
      <c r="T249" s="135"/>
    </row>
    <row r="250" spans="1:20" ht="16.5">
      <c r="A250" s="135"/>
      <c r="B250" s="135"/>
      <c r="C250" s="135"/>
      <c r="D250" s="135"/>
      <c r="E250" s="135"/>
      <c r="F250" s="136"/>
      <c r="G250" s="135"/>
      <c r="H250" s="135"/>
      <c r="I250" s="135"/>
      <c r="J250" s="135"/>
      <c r="K250" s="135"/>
      <c r="L250" s="135"/>
      <c r="M250" s="135"/>
      <c r="N250" s="135"/>
      <c r="O250" s="135"/>
      <c r="P250" s="135"/>
      <c r="Q250" s="135"/>
      <c r="R250" s="135"/>
      <c r="S250" s="135"/>
      <c r="T250" s="135"/>
    </row>
    <row r="251" spans="1:20" ht="16.5">
      <c r="A251" s="135"/>
      <c r="B251" s="135"/>
      <c r="C251" s="135"/>
      <c r="D251" s="135"/>
      <c r="E251" s="135"/>
      <c r="F251" s="136"/>
      <c r="G251" s="135"/>
      <c r="H251" s="135"/>
      <c r="I251" s="135"/>
      <c r="J251" s="135"/>
      <c r="K251" s="135"/>
      <c r="L251" s="135"/>
      <c r="M251" s="135"/>
      <c r="N251" s="135"/>
      <c r="O251" s="135"/>
      <c r="P251" s="135"/>
      <c r="Q251" s="135"/>
      <c r="R251" s="135"/>
      <c r="S251" s="135"/>
      <c r="T251" s="135"/>
    </row>
    <row r="252" spans="1:20" ht="16.5">
      <c r="A252" s="135"/>
      <c r="B252" s="135"/>
      <c r="C252" s="135"/>
      <c r="D252" s="135"/>
      <c r="E252" s="135"/>
      <c r="F252" s="136"/>
      <c r="G252" s="135"/>
      <c r="H252" s="135"/>
      <c r="I252" s="135"/>
      <c r="J252" s="135"/>
      <c r="K252" s="135"/>
      <c r="L252" s="135"/>
      <c r="M252" s="135"/>
      <c r="N252" s="135"/>
      <c r="O252" s="135"/>
      <c r="P252" s="135"/>
      <c r="Q252" s="135"/>
      <c r="R252" s="135"/>
      <c r="S252" s="135"/>
      <c r="T252" s="135"/>
    </row>
    <row r="253" spans="1:20" ht="16.5">
      <c r="A253" s="135"/>
      <c r="B253" s="135"/>
      <c r="C253" s="135"/>
      <c r="D253" s="135"/>
      <c r="E253" s="135"/>
      <c r="F253" s="136"/>
      <c r="G253" s="135"/>
      <c r="H253" s="135"/>
      <c r="I253" s="135"/>
      <c r="J253" s="135"/>
      <c r="K253" s="135"/>
      <c r="L253" s="135"/>
      <c r="M253" s="135"/>
      <c r="N253" s="135"/>
      <c r="O253" s="135"/>
      <c r="P253" s="135"/>
      <c r="Q253" s="135"/>
      <c r="R253" s="135"/>
      <c r="S253" s="135"/>
      <c r="T253" s="135"/>
    </row>
    <row r="254" spans="1:20" ht="16.5">
      <c r="A254" s="135"/>
      <c r="B254" s="135"/>
      <c r="C254" s="135"/>
      <c r="D254" s="135"/>
      <c r="E254" s="135"/>
      <c r="F254" s="136"/>
      <c r="G254" s="135"/>
      <c r="H254" s="135"/>
      <c r="I254" s="135"/>
      <c r="J254" s="135"/>
      <c r="K254" s="135"/>
      <c r="L254" s="135"/>
      <c r="M254" s="135"/>
      <c r="N254" s="135"/>
      <c r="O254" s="135"/>
      <c r="P254" s="135"/>
      <c r="Q254" s="135"/>
      <c r="R254" s="135"/>
      <c r="S254" s="135"/>
      <c r="T254" s="135"/>
    </row>
    <row r="255" spans="1:20" ht="16.5">
      <c r="A255" s="135"/>
      <c r="B255" s="135"/>
      <c r="C255" s="135"/>
      <c r="D255" s="135"/>
      <c r="E255" s="135"/>
      <c r="F255" s="136"/>
      <c r="G255" s="135"/>
      <c r="H255" s="135"/>
      <c r="I255" s="135"/>
      <c r="J255" s="135"/>
      <c r="K255" s="135"/>
      <c r="L255" s="135"/>
      <c r="M255" s="135"/>
      <c r="N255" s="135"/>
      <c r="O255" s="135"/>
      <c r="P255" s="135"/>
      <c r="Q255" s="135"/>
      <c r="R255" s="135"/>
      <c r="S255" s="135"/>
      <c r="T255" s="135"/>
    </row>
    <row r="256" spans="1:20" ht="16.5">
      <c r="A256" s="135"/>
      <c r="B256" s="135"/>
      <c r="C256" s="135"/>
      <c r="D256" s="135"/>
      <c r="E256" s="135"/>
      <c r="F256" s="136"/>
      <c r="G256" s="135"/>
      <c r="H256" s="135"/>
      <c r="I256" s="135"/>
      <c r="J256" s="135"/>
      <c r="K256" s="135"/>
      <c r="L256" s="135"/>
      <c r="M256" s="135"/>
      <c r="N256" s="135"/>
      <c r="O256" s="135"/>
      <c r="P256" s="135"/>
      <c r="Q256" s="135"/>
      <c r="R256" s="135"/>
      <c r="S256" s="135"/>
      <c r="T256" s="135"/>
    </row>
    <row r="257" spans="1:20" ht="16.5">
      <c r="A257" s="135"/>
      <c r="B257" s="135"/>
      <c r="C257" s="135"/>
      <c r="D257" s="135"/>
      <c r="E257" s="135"/>
      <c r="F257" s="136"/>
      <c r="G257" s="135"/>
      <c r="H257" s="135"/>
      <c r="I257" s="135"/>
      <c r="J257" s="135"/>
      <c r="K257" s="135"/>
      <c r="L257" s="135"/>
      <c r="M257" s="135"/>
      <c r="N257" s="135"/>
      <c r="O257" s="135"/>
      <c r="P257" s="135"/>
      <c r="Q257" s="135"/>
      <c r="R257" s="135"/>
      <c r="S257" s="135"/>
      <c r="T257" s="135"/>
    </row>
    <row r="258" spans="1:20" ht="16.5">
      <c r="A258" s="135"/>
      <c r="B258" s="135"/>
      <c r="C258" s="135"/>
      <c r="D258" s="135"/>
      <c r="E258" s="135"/>
      <c r="F258" s="136"/>
      <c r="G258" s="135"/>
      <c r="H258" s="135"/>
      <c r="I258" s="135"/>
      <c r="J258" s="135"/>
      <c r="K258" s="135"/>
      <c r="L258" s="135"/>
      <c r="M258" s="135"/>
      <c r="N258" s="135"/>
      <c r="O258" s="135"/>
      <c r="P258" s="135"/>
      <c r="Q258" s="135"/>
      <c r="R258" s="135"/>
      <c r="S258" s="135"/>
      <c r="T258" s="135"/>
    </row>
    <row r="259" spans="1:20" ht="16.5">
      <c r="A259" s="135"/>
      <c r="B259" s="135"/>
      <c r="C259" s="135"/>
      <c r="D259" s="135"/>
      <c r="E259" s="135"/>
      <c r="F259" s="136"/>
      <c r="G259" s="135"/>
      <c r="H259" s="135"/>
      <c r="I259" s="135"/>
      <c r="J259" s="135"/>
      <c r="K259" s="135"/>
      <c r="L259" s="135"/>
      <c r="M259" s="135"/>
      <c r="N259" s="135"/>
      <c r="O259" s="135"/>
      <c r="P259" s="135"/>
      <c r="Q259" s="135"/>
      <c r="R259" s="135"/>
      <c r="S259" s="135"/>
      <c r="T259" s="135"/>
    </row>
    <row r="260" spans="1:20" ht="16.5">
      <c r="A260" s="135"/>
      <c r="B260" s="135"/>
      <c r="C260" s="135"/>
      <c r="D260" s="135"/>
      <c r="E260" s="135"/>
      <c r="F260" s="136"/>
      <c r="G260" s="135"/>
      <c r="H260" s="135"/>
      <c r="I260" s="135"/>
      <c r="J260" s="135"/>
      <c r="K260" s="135"/>
      <c r="L260" s="135"/>
      <c r="M260" s="135"/>
      <c r="N260" s="135"/>
      <c r="O260" s="135"/>
      <c r="P260" s="135"/>
      <c r="Q260" s="135"/>
      <c r="R260" s="135"/>
      <c r="S260" s="135"/>
      <c r="T260" s="135"/>
    </row>
    <row r="261" spans="1:20" ht="16.5">
      <c r="A261" s="135"/>
      <c r="B261" s="135"/>
      <c r="C261" s="135"/>
      <c r="D261" s="135"/>
      <c r="E261" s="135"/>
      <c r="F261" s="136"/>
      <c r="G261" s="135"/>
      <c r="H261" s="135"/>
      <c r="I261" s="135"/>
      <c r="J261" s="135"/>
      <c r="K261" s="135"/>
      <c r="L261" s="135"/>
      <c r="M261" s="135"/>
      <c r="N261" s="135"/>
      <c r="O261" s="135"/>
      <c r="P261" s="135"/>
      <c r="Q261" s="135"/>
      <c r="R261" s="135"/>
      <c r="S261" s="135"/>
      <c r="T261" s="135"/>
    </row>
    <row r="262" spans="1:20" ht="16.5">
      <c r="A262" s="135"/>
      <c r="B262" s="135"/>
      <c r="C262" s="135"/>
      <c r="D262" s="135"/>
      <c r="E262" s="135"/>
      <c r="F262" s="136"/>
      <c r="G262" s="135"/>
      <c r="H262" s="135"/>
      <c r="I262" s="135"/>
      <c r="J262" s="135"/>
      <c r="K262" s="135"/>
      <c r="L262" s="135"/>
      <c r="M262" s="135"/>
      <c r="N262" s="135"/>
      <c r="O262" s="135"/>
      <c r="P262" s="135"/>
      <c r="Q262" s="135"/>
      <c r="R262" s="135"/>
      <c r="S262" s="135"/>
      <c r="T262" s="135"/>
    </row>
    <row r="263" spans="1:20" ht="16.5">
      <c r="A263" s="135"/>
      <c r="B263" s="135"/>
      <c r="C263" s="135"/>
      <c r="D263" s="135"/>
      <c r="E263" s="135"/>
      <c r="F263" s="136"/>
      <c r="G263" s="135"/>
      <c r="H263" s="135"/>
      <c r="I263" s="135"/>
      <c r="J263" s="135"/>
      <c r="K263" s="135"/>
      <c r="L263" s="135"/>
      <c r="M263" s="135"/>
      <c r="N263" s="135"/>
      <c r="O263" s="135"/>
      <c r="P263" s="135"/>
      <c r="Q263" s="135"/>
      <c r="R263" s="135"/>
      <c r="S263" s="135"/>
      <c r="T263" s="135"/>
    </row>
    <row r="264" spans="1:20" ht="16.5">
      <c r="A264" s="135"/>
      <c r="B264" s="135"/>
      <c r="C264" s="135"/>
      <c r="D264" s="135"/>
      <c r="E264" s="135"/>
      <c r="F264" s="136"/>
      <c r="G264" s="135"/>
      <c r="H264" s="135"/>
      <c r="I264" s="135"/>
      <c r="J264" s="135"/>
      <c r="K264" s="135"/>
      <c r="L264" s="135"/>
      <c r="M264" s="135"/>
      <c r="N264" s="135"/>
      <c r="O264" s="135"/>
      <c r="P264" s="135"/>
      <c r="Q264" s="135"/>
      <c r="R264" s="135"/>
      <c r="S264" s="135"/>
      <c r="T264" s="135"/>
    </row>
    <row r="265" spans="1:20" ht="16.5">
      <c r="A265" s="135"/>
      <c r="B265" s="135"/>
      <c r="C265" s="135"/>
      <c r="D265" s="135"/>
      <c r="E265" s="135"/>
      <c r="F265" s="136"/>
      <c r="G265" s="135"/>
      <c r="H265" s="135"/>
      <c r="I265" s="135"/>
      <c r="J265" s="135"/>
      <c r="K265" s="135"/>
      <c r="L265" s="135"/>
      <c r="M265" s="135"/>
      <c r="N265" s="135"/>
      <c r="O265" s="135"/>
      <c r="P265" s="135"/>
      <c r="Q265" s="135"/>
      <c r="R265" s="135"/>
      <c r="S265" s="135"/>
      <c r="T265" s="135"/>
    </row>
    <row r="266" spans="1:20" ht="16.5">
      <c r="A266" s="135"/>
      <c r="B266" s="135"/>
      <c r="C266" s="135"/>
      <c r="D266" s="135"/>
      <c r="E266" s="135"/>
      <c r="F266" s="136"/>
      <c r="G266" s="135"/>
      <c r="H266" s="135"/>
      <c r="I266" s="135"/>
      <c r="J266" s="135"/>
      <c r="K266" s="135"/>
      <c r="L266" s="135"/>
      <c r="M266" s="135"/>
      <c r="N266" s="135"/>
      <c r="O266" s="135"/>
      <c r="P266" s="135"/>
      <c r="Q266" s="135"/>
      <c r="R266" s="135"/>
      <c r="S266" s="135"/>
      <c r="T266" s="135"/>
    </row>
    <row r="267" spans="1:20" ht="16.5">
      <c r="A267" s="135"/>
      <c r="B267" s="135"/>
      <c r="C267" s="135"/>
      <c r="D267" s="135"/>
      <c r="E267" s="135"/>
      <c r="F267" s="136"/>
      <c r="G267" s="135"/>
      <c r="H267" s="135"/>
      <c r="I267" s="135"/>
      <c r="J267" s="135"/>
      <c r="K267" s="135"/>
      <c r="L267" s="135"/>
      <c r="M267" s="135"/>
      <c r="N267" s="135"/>
      <c r="O267" s="135"/>
      <c r="P267" s="135"/>
      <c r="Q267" s="135"/>
      <c r="R267" s="135"/>
      <c r="S267" s="135"/>
      <c r="T267" s="135"/>
    </row>
    <row r="268" spans="1:20" ht="16.5">
      <c r="A268" s="135"/>
      <c r="B268" s="135"/>
      <c r="C268" s="135"/>
      <c r="D268" s="135"/>
      <c r="E268" s="135"/>
      <c r="F268" s="136"/>
      <c r="G268" s="135"/>
      <c r="H268" s="135"/>
      <c r="I268" s="135"/>
      <c r="J268" s="135"/>
      <c r="K268" s="135"/>
      <c r="L268" s="135"/>
      <c r="M268" s="135"/>
      <c r="N268" s="135"/>
      <c r="O268" s="135"/>
      <c r="P268" s="135"/>
      <c r="Q268" s="135"/>
      <c r="R268" s="135"/>
      <c r="S268" s="135"/>
      <c r="T268" s="135"/>
    </row>
    <row r="269" spans="1:20" ht="16.5">
      <c r="A269" s="135"/>
      <c r="B269" s="135"/>
      <c r="C269" s="135"/>
      <c r="D269" s="135"/>
      <c r="E269" s="135"/>
      <c r="F269" s="136"/>
      <c r="G269" s="135"/>
      <c r="H269" s="135"/>
      <c r="I269" s="135"/>
      <c r="J269" s="135"/>
      <c r="K269" s="135"/>
      <c r="L269" s="135"/>
      <c r="M269" s="135"/>
      <c r="N269" s="135"/>
      <c r="O269" s="135"/>
      <c r="P269" s="135"/>
      <c r="Q269" s="135"/>
      <c r="R269" s="135"/>
      <c r="S269" s="135"/>
      <c r="T269" s="135"/>
    </row>
    <row r="270" spans="1:20" ht="16.5">
      <c r="A270" s="135"/>
      <c r="B270" s="135"/>
      <c r="C270" s="135"/>
      <c r="D270" s="135"/>
      <c r="E270" s="135"/>
      <c r="F270" s="136"/>
      <c r="G270" s="135"/>
      <c r="H270" s="135"/>
      <c r="I270" s="135"/>
      <c r="J270" s="135"/>
      <c r="K270" s="135"/>
      <c r="L270" s="135"/>
      <c r="M270" s="135"/>
      <c r="N270" s="135"/>
      <c r="O270" s="135"/>
      <c r="P270" s="135"/>
      <c r="Q270" s="135"/>
      <c r="R270" s="135"/>
      <c r="S270" s="135"/>
      <c r="T270" s="135"/>
    </row>
    <row r="271" spans="1:20" ht="16.5">
      <c r="A271" s="135"/>
      <c r="B271" s="135"/>
      <c r="C271" s="135"/>
      <c r="D271" s="135"/>
      <c r="E271" s="135"/>
      <c r="F271" s="136"/>
      <c r="G271" s="135"/>
      <c r="H271" s="135"/>
      <c r="I271" s="135"/>
      <c r="J271" s="135"/>
      <c r="K271" s="135"/>
      <c r="L271" s="135"/>
      <c r="M271" s="135"/>
      <c r="N271" s="135"/>
      <c r="O271" s="135"/>
      <c r="P271" s="135"/>
      <c r="Q271" s="135"/>
      <c r="R271" s="135"/>
      <c r="S271" s="135"/>
      <c r="T271" s="135"/>
    </row>
    <row r="272" spans="1:20" ht="16.5">
      <c r="A272" s="135"/>
      <c r="B272" s="135"/>
      <c r="C272" s="135"/>
      <c r="D272" s="135"/>
      <c r="E272" s="135"/>
      <c r="F272" s="136"/>
      <c r="G272" s="135"/>
      <c r="H272" s="135"/>
      <c r="I272" s="135"/>
      <c r="J272" s="135"/>
      <c r="K272" s="135"/>
      <c r="L272" s="135"/>
      <c r="M272" s="135"/>
      <c r="N272" s="135"/>
      <c r="O272" s="135"/>
      <c r="P272" s="135"/>
      <c r="Q272" s="135"/>
      <c r="R272" s="135"/>
      <c r="S272" s="135"/>
      <c r="T272" s="135"/>
    </row>
    <row r="273" spans="1:20" ht="16.5">
      <c r="A273" s="135"/>
      <c r="B273" s="135"/>
      <c r="C273" s="135"/>
      <c r="D273" s="135"/>
      <c r="E273" s="135"/>
      <c r="F273" s="136"/>
      <c r="G273" s="135"/>
      <c r="H273" s="135"/>
      <c r="I273" s="135"/>
      <c r="J273" s="135"/>
      <c r="K273" s="135"/>
      <c r="L273" s="135"/>
      <c r="M273" s="135"/>
      <c r="N273" s="135"/>
      <c r="O273" s="135"/>
      <c r="P273" s="135"/>
      <c r="Q273" s="135"/>
      <c r="R273" s="135"/>
      <c r="S273" s="135"/>
      <c r="T273" s="135"/>
    </row>
    <row r="274" spans="1:20" ht="16.5">
      <c r="A274" s="135"/>
      <c r="B274" s="135"/>
      <c r="C274" s="135"/>
      <c r="D274" s="135"/>
      <c r="E274" s="135"/>
      <c r="F274" s="136"/>
      <c r="G274" s="135"/>
      <c r="H274" s="135"/>
      <c r="I274" s="135"/>
      <c r="J274" s="135"/>
      <c r="K274" s="135"/>
      <c r="L274" s="135"/>
      <c r="M274" s="135"/>
      <c r="N274" s="135"/>
      <c r="O274" s="135"/>
      <c r="P274" s="135"/>
      <c r="Q274" s="135"/>
      <c r="R274" s="135"/>
      <c r="S274" s="135"/>
      <c r="T274" s="135"/>
    </row>
    <row r="275" spans="1:20" ht="16.5">
      <c r="A275" s="135"/>
      <c r="B275" s="135"/>
      <c r="C275" s="135"/>
      <c r="D275" s="135"/>
      <c r="E275" s="135"/>
      <c r="F275" s="136"/>
      <c r="G275" s="135"/>
      <c r="H275" s="135"/>
      <c r="I275" s="135"/>
      <c r="J275" s="135"/>
      <c r="K275" s="135"/>
      <c r="L275" s="135"/>
      <c r="M275" s="135"/>
      <c r="N275" s="135"/>
      <c r="O275" s="135"/>
      <c r="P275" s="135"/>
      <c r="Q275" s="135"/>
      <c r="R275" s="135"/>
      <c r="S275" s="135"/>
      <c r="T275" s="135"/>
    </row>
    <row r="276" spans="1:20" ht="16.5">
      <c r="A276" s="135"/>
      <c r="B276" s="135"/>
      <c r="C276" s="135"/>
      <c r="D276" s="135"/>
      <c r="E276" s="135"/>
      <c r="F276" s="136"/>
      <c r="G276" s="135"/>
      <c r="H276" s="135"/>
      <c r="I276" s="135"/>
      <c r="J276" s="135"/>
      <c r="K276" s="135"/>
      <c r="L276" s="135"/>
      <c r="M276" s="135"/>
      <c r="N276" s="135"/>
      <c r="O276" s="135"/>
      <c r="P276" s="135"/>
      <c r="Q276" s="135"/>
      <c r="R276" s="135"/>
      <c r="S276" s="135"/>
      <c r="T276" s="135"/>
    </row>
    <row r="277" spans="1:20" ht="16.5">
      <c r="A277" s="135"/>
      <c r="B277" s="135"/>
      <c r="C277" s="135"/>
      <c r="D277" s="135"/>
      <c r="E277" s="135"/>
      <c r="F277" s="136"/>
      <c r="G277" s="135"/>
      <c r="H277" s="135"/>
      <c r="I277" s="135"/>
      <c r="J277" s="135"/>
      <c r="K277" s="135"/>
      <c r="L277" s="135"/>
      <c r="M277" s="135"/>
      <c r="N277" s="135"/>
      <c r="O277" s="135"/>
      <c r="P277" s="135"/>
      <c r="Q277" s="135"/>
      <c r="R277" s="135"/>
      <c r="S277" s="135"/>
      <c r="T277" s="135"/>
    </row>
    <row r="278" spans="1:20" ht="16.5">
      <c r="A278" s="135"/>
      <c r="B278" s="135"/>
      <c r="C278" s="135"/>
      <c r="D278" s="135"/>
      <c r="E278" s="135"/>
      <c r="F278" s="136"/>
      <c r="G278" s="135"/>
      <c r="H278" s="135"/>
      <c r="I278" s="135"/>
      <c r="J278" s="135"/>
      <c r="K278" s="135"/>
      <c r="L278" s="135"/>
      <c r="M278" s="135"/>
      <c r="N278" s="135"/>
      <c r="O278" s="135"/>
      <c r="P278" s="135"/>
      <c r="Q278" s="135"/>
      <c r="R278" s="135"/>
      <c r="S278" s="135"/>
      <c r="T278" s="135"/>
    </row>
    <row r="279" spans="1:20" ht="16.5">
      <c r="A279" s="135"/>
      <c r="B279" s="135"/>
      <c r="C279" s="135"/>
      <c r="D279" s="135"/>
      <c r="E279" s="135"/>
      <c r="F279" s="136"/>
      <c r="G279" s="135"/>
      <c r="H279" s="135"/>
      <c r="I279" s="135"/>
      <c r="J279" s="135"/>
      <c r="K279" s="135"/>
      <c r="L279" s="135"/>
      <c r="M279" s="135"/>
      <c r="N279" s="135"/>
      <c r="O279" s="135"/>
      <c r="P279" s="135"/>
      <c r="Q279" s="135"/>
      <c r="R279" s="135"/>
      <c r="S279" s="135"/>
      <c r="T279" s="135"/>
    </row>
    <row r="280" spans="1:20" ht="16.5">
      <c r="A280" s="135"/>
      <c r="B280" s="135"/>
      <c r="C280" s="135"/>
      <c r="D280" s="135"/>
      <c r="E280" s="135"/>
      <c r="F280" s="136"/>
      <c r="G280" s="135"/>
      <c r="H280" s="135"/>
      <c r="I280" s="135"/>
      <c r="J280" s="135"/>
      <c r="K280" s="135"/>
      <c r="L280" s="135"/>
      <c r="M280" s="135"/>
      <c r="N280" s="135"/>
      <c r="O280" s="135"/>
      <c r="P280" s="135"/>
      <c r="Q280" s="135"/>
      <c r="R280" s="135"/>
      <c r="S280" s="135"/>
      <c r="T280" s="135"/>
    </row>
    <row r="281" spans="1:20" ht="16.5">
      <c r="A281" s="135"/>
      <c r="B281" s="135"/>
      <c r="C281" s="135"/>
      <c r="D281" s="135"/>
      <c r="E281" s="135"/>
      <c r="F281" s="136"/>
      <c r="G281" s="135"/>
      <c r="H281" s="135"/>
      <c r="I281" s="135"/>
      <c r="J281" s="135"/>
      <c r="K281" s="135"/>
      <c r="L281" s="135"/>
      <c r="M281" s="135"/>
      <c r="N281" s="135"/>
      <c r="O281" s="135"/>
      <c r="P281" s="135"/>
      <c r="Q281" s="135"/>
      <c r="R281" s="135"/>
      <c r="S281" s="135"/>
      <c r="T281" s="135"/>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D6FA7-06FE-456F-8BCA-CA972F466A16}">
  <sheetPr codeName="essay1"/>
  <dimension ref="A1:CC14"/>
  <sheetViews>
    <sheetView zoomScale="90" zoomScaleNormal="90" workbookViewId="0">
      <pane xSplit="4" ySplit="2" topLeftCell="BL9" activePane="bottomRight" state="frozen"/>
      <selection pane="topRight" activeCell="E1" sqref="E1"/>
      <selection pane="bottomLeft" activeCell="A3" sqref="A3"/>
      <selection pane="bottomRight" activeCell="D8" sqref="D8"/>
    </sheetView>
  </sheetViews>
  <sheetFormatPr defaultRowHeight="14.25"/>
  <cols>
    <col min="1" max="1" width="17.625" style="1" customWidth="1"/>
    <col min="2" max="2" width="54.875" style="2" customWidth="1"/>
    <col min="3" max="3" width="11.125" style="1" customWidth="1"/>
    <col min="4" max="4" width="10.125" style="3" customWidth="1"/>
    <col min="5" max="5" width="12.125" style="3" customWidth="1"/>
    <col min="6" max="6" width="16.625" style="5" customWidth="1"/>
    <col min="7" max="7" width="10.125" style="3" customWidth="1"/>
    <col min="8" max="8" width="8.5" style="3" customWidth="1"/>
    <col min="9" max="10" width="8.5" style="5" customWidth="1"/>
    <col min="11" max="13" width="9.625" style="5" customWidth="1"/>
    <col min="14" max="14" width="14" style="5" customWidth="1"/>
    <col min="15" max="15" width="16.625" style="5" customWidth="1"/>
    <col min="16" max="16" width="11.625" style="3" customWidth="1"/>
    <col min="17" max="22" width="9.625" style="5" customWidth="1"/>
    <col min="23" max="23" width="14" style="5" customWidth="1"/>
    <col min="24" max="24" width="16.625" style="5" customWidth="1"/>
    <col min="25" max="25" width="11.625" style="3" customWidth="1"/>
    <col min="26" max="31" width="9.625" style="5" customWidth="1"/>
    <col min="32" max="32" width="14" style="5" customWidth="1"/>
    <col min="33" max="33" width="16.625" style="5" customWidth="1"/>
    <col min="34" max="34" width="11.625" style="3" customWidth="1"/>
    <col min="35" max="40" width="9.625" style="5" customWidth="1"/>
    <col min="41" max="41" width="13" style="5" customWidth="1"/>
    <col min="42" max="42" width="16.625" style="5" customWidth="1"/>
    <col min="43" max="43" width="11.625" style="3" customWidth="1"/>
    <col min="44" max="49" width="9.625" style="5" customWidth="1"/>
    <col min="50" max="50" width="13" style="5" customWidth="1"/>
    <col min="51" max="51" width="16.625" style="5" customWidth="1"/>
    <col min="52" max="52" width="11.625" style="3" customWidth="1"/>
    <col min="53" max="58" width="9.625" style="5" customWidth="1"/>
    <col min="59" max="59" width="13" style="5" customWidth="1"/>
    <col min="60" max="60" width="16.625" style="5" customWidth="1"/>
    <col min="61" max="61" width="11.625" style="3" customWidth="1"/>
    <col min="62" max="67" width="9.625" style="5" customWidth="1"/>
    <col min="68" max="68" width="13" style="5" customWidth="1"/>
    <col min="69" max="69" width="16.625" style="5" customWidth="1"/>
    <col min="70" max="70" width="11.625" style="3" customWidth="1"/>
    <col min="71" max="77" width="9.625" style="5" customWidth="1"/>
    <col min="78" max="78" width="21.125" style="20" customWidth="1"/>
    <col min="79" max="79" width="17.625" style="20" customWidth="1"/>
    <col min="80" max="80" width="12" style="5" customWidth="1"/>
    <col min="81" max="81" width="11.375" style="5" customWidth="1"/>
    <col min="82" max="82" width="14.875" style="5" customWidth="1"/>
    <col min="83" max="16384" width="9" style="5"/>
  </cols>
  <sheetData>
    <row r="1" spans="1:81" ht="27">
      <c r="E1" s="4" t="s">
        <v>0</v>
      </c>
      <c r="N1" s="6" t="s">
        <v>1</v>
      </c>
      <c r="W1" s="6" t="s">
        <v>2</v>
      </c>
      <c r="AF1" s="4" t="s">
        <v>3</v>
      </c>
      <c r="AO1" s="7" t="s">
        <v>4</v>
      </c>
      <c r="AX1" s="6" t="s">
        <v>5</v>
      </c>
      <c r="BG1" s="6" t="s">
        <v>6</v>
      </c>
      <c r="BP1" s="6" t="s">
        <v>7</v>
      </c>
      <c r="BZ1" s="8" t="s">
        <v>8</v>
      </c>
      <c r="CA1" s="8" t="s">
        <v>9</v>
      </c>
      <c r="CB1" s="9"/>
      <c r="CC1" s="10" t="s">
        <v>10</v>
      </c>
    </row>
    <row r="2" spans="1:81" ht="40.5">
      <c r="A2" s="11" t="s">
        <v>11</v>
      </c>
      <c r="B2" s="12" t="s">
        <v>12</v>
      </c>
      <c r="C2" s="13" t="s">
        <v>13</v>
      </c>
      <c r="D2" s="11" t="s">
        <v>14</v>
      </c>
      <c r="E2" s="4" t="s">
        <v>15</v>
      </c>
      <c r="F2" s="14" t="s">
        <v>16</v>
      </c>
      <c r="G2" s="11" t="s">
        <v>17</v>
      </c>
      <c r="H2" s="15" t="s">
        <v>18</v>
      </c>
      <c r="I2" s="9" t="s">
        <v>18</v>
      </c>
      <c r="J2" s="9" t="s">
        <v>18</v>
      </c>
      <c r="K2" s="9" t="s">
        <v>18</v>
      </c>
      <c r="L2" s="9" t="s">
        <v>18</v>
      </c>
      <c r="M2" s="9" t="s">
        <v>18</v>
      </c>
      <c r="N2" s="4" t="s">
        <v>19</v>
      </c>
      <c r="O2" s="14" t="s">
        <v>16</v>
      </c>
      <c r="P2" s="11" t="s">
        <v>17</v>
      </c>
      <c r="Q2" s="9" t="s">
        <v>18</v>
      </c>
      <c r="R2" s="9" t="s">
        <v>18</v>
      </c>
      <c r="S2" s="9" t="s">
        <v>18</v>
      </c>
      <c r="T2" s="9" t="s">
        <v>18</v>
      </c>
      <c r="U2" s="9" t="s">
        <v>18</v>
      </c>
      <c r="V2" s="9" t="s">
        <v>18</v>
      </c>
      <c r="W2" s="4" t="s">
        <v>20</v>
      </c>
      <c r="X2" s="14" t="s">
        <v>16</v>
      </c>
      <c r="Y2" s="11" t="s">
        <v>17</v>
      </c>
      <c r="Z2" s="9" t="s">
        <v>18</v>
      </c>
      <c r="AA2" s="9" t="s">
        <v>18</v>
      </c>
      <c r="AB2" s="9" t="s">
        <v>18</v>
      </c>
      <c r="AC2" s="9" t="s">
        <v>18</v>
      </c>
      <c r="AD2" s="9" t="s">
        <v>18</v>
      </c>
      <c r="AE2" s="9" t="s">
        <v>18</v>
      </c>
      <c r="AF2" s="4" t="s">
        <v>21</v>
      </c>
      <c r="AG2" s="14" t="s">
        <v>16</v>
      </c>
      <c r="AH2" s="11" t="s">
        <v>17</v>
      </c>
      <c r="AI2" s="9" t="s">
        <v>18</v>
      </c>
      <c r="AJ2" s="9" t="s">
        <v>18</v>
      </c>
      <c r="AK2" s="9" t="s">
        <v>18</v>
      </c>
      <c r="AL2" s="9" t="s">
        <v>18</v>
      </c>
      <c r="AM2" s="9" t="s">
        <v>18</v>
      </c>
      <c r="AN2" s="9" t="s">
        <v>18</v>
      </c>
      <c r="AO2" s="16" t="s">
        <v>22</v>
      </c>
      <c r="AP2" s="14" t="s">
        <v>16</v>
      </c>
      <c r="AQ2" s="11" t="s">
        <v>17</v>
      </c>
      <c r="AR2" s="9" t="s">
        <v>18</v>
      </c>
      <c r="AS2" s="9" t="s">
        <v>18</v>
      </c>
      <c r="AT2" s="9" t="s">
        <v>18</v>
      </c>
      <c r="AU2" s="9" t="s">
        <v>18</v>
      </c>
      <c r="AV2" s="9" t="s">
        <v>18</v>
      </c>
      <c r="AW2" s="9" t="s">
        <v>18</v>
      </c>
      <c r="AX2" s="4" t="s">
        <v>23</v>
      </c>
      <c r="AY2" s="14" t="s">
        <v>16</v>
      </c>
      <c r="AZ2" s="11" t="s">
        <v>17</v>
      </c>
      <c r="BA2" s="9" t="s">
        <v>18</v>
      </c>
      <c r="BB2" s="9" t="s">
        <v>18</v>
      </c>
      <c r="BC2" s="9" t="s">
        <v>18</v>
      </c>
      <c r="BD2" s="9" t="s">
        <v>18</v>
      </c>
      <c r="BE2" s="9" t="s">
        <v>18</v>
      </c>
      <c r="BF2" s="9" t="s">
        <v>18</v>
      </c>
      <c r="BG2" s="4" t="s">
        <v>24</v>
      </c>
      <c r="BH2" s="14" t="s">
        <v>16</v>
      </c>
      <c r="BI2" s="11" t="s">
        <v>17</v>
      </c>
      <c r="BJ2" s="9" t="s">
        <v>18</v>
      </c>
      <c r="BK2" s="9" t="s">
        <v>18</v>
      </c>
      <c r="BL2" s="9" t="s">
        <v>18</v>
      </c>
      <c r="BM2" s="9" t="s">
        <v>18</v>
      </c>
      <c r="BN2" s="9" t="s">
        <v>18</v>
      </c>
      <c r="BO2" s="9" t="s">
        <v>18</v>
      </c>
      <c r="BP2" s="4" t="s">
        <v>25</v>
      </c>
      <c r="BQ2" s="14" t="s">
        <v>16</v>
      </c>
      <c r="BR2" s="11" t="s">
        <v>17</v>
      </c>
      <c r="BS2" s="9" t="s">
        <v>18</v>
      </c>
      <c r="BT2" s="9" t="s">
        <v>18</v>
      </c>
      <c r="BU2" s="9" t="s">
        <v>18</v>
      </c>
      <c r="BV2" s="9" t="s">
        <v>18</v>
      </c>
      <c r="BW2" s="9" t="s">
        <v>18</v>
      </c>
      <c r="BX2" s="9" t="s">
        <v>18</v>
      </c>
      <c r="BY2" s="9"/>
      <c r="BZ2" s="8" t="s">
        <v>8</v>
      </c>
      <c r="CA2" s="8" t="s">
        <v>9</v>
      </c>
      <c r="CB2" s="9" t="s">
        <v>26</v>
      </c>
      <c r="CC2" s="10" t="s">
        <v>10</v>
      </c>
    </row>
    <row r="3" spans="1:81" ht="264" customHeight="1">
      <c r="A3" s="17" t="s">
        <v>27</v>
      </c>
      <c r="B3" s="18" t="s">
        <v>28</v>
      </c>
      <c r="D3" s="1" t="s">
        <v>29</v>
      </c>
      <c r="E3" s="5"/>
      <c r="N3" s="19" t="s">
        <v>30</v>
      </c>
      <c r="Q3" s="5" t="s">
        <v>31</v>
      </c>
      <c r="BZ3" s="20">
        <v>44243</v>
      </c>
      <c r="CA3" s="8">
        <v>44270.364351851851</v>
      </c>
      <c r="CB3" s="9"/>
    </row>
    <row r="4" spans="1:81" ht="228.75" customHeight="1">
      <c r="A4" s="13" t="s">
        <v>32</v>
      </c>
      <c r="B4" s="21" t="s">
        <v>33</v>
      </c>
      <c r="D4" s="1" t="s">
        <v>29</v>
      </c>
      <c r="E4" s="5"/>
      <c r="Q4" s="5" t="s">
        <v>31</v>
      </c>
      <c r="BZ4" s="20">
        <v>44241</v>
      </c>
      <c r="CA4" s="20">
        <v>44266</v>
      </c>
      <c r="CB4" s="22"/>
    </row>
    <row r="5" spans="1:81" ht="108.75" customHeight="1">
      <c r="A5" s="23" t="s">
        <v>34</v>
      </c>
      <c r="B5" s="21" t="s">
        <v>35</v>
      </c>
      <c r="D5" s="1" t="s">
        <v>29</v>
      </c>
      <c r="E5" s="5"/>
      <c r="Q5" s="5" t="s">
        <v>31</v>
      </c>
      <c r="BZ5" s="20">
        <v>44261</v>
      </c>
      <c r="CA5" s="20">
        <v>44266</v>
      </c>
      <c r="CB5" s="22"/>
    </row>
    <row r="6" spans="1:81" ht="108.75" customHeight="1">
      <c r="A6" s="23" t="s">
        <v>36</v>
      </c>
      <c r="B6" s="21" t="s">
        <v>37</v>
      </c>
      <c r="D6" s="1" t="s">
        <v>29</v>
      </c>
      <c r="E6" s="19" t="s">
        <v>38</v>
      </c>
      <c r="H6" s="24" t="s">
        <v>39</v>
      </c>
      <c r="I6" s="19" t="s">
        <v>40</v>
      </c>
      <c r="J6" s="19" t="s">
        <v>41</v>
      </c>
      <c r="K6" s="5" t="s">
        <v>42</v>
      </c>
      <c r="W6" s="19" t="s">
        <v>38</v>
      </c>
      <c r="Z6" s="24" t="s">
        <v>39</v>
      </c>
      <c r="AA6" s="19" t="s">
        <v>40</v>
      </c>
      <c r="AB6" s="19" t="s">
        <v>41</v>
      </c>
      <c r="AC6" s="5" t="s">
        <v>42</v>
      </c>
      <c r="BZ6" s="20">
        <v>44271.589502314811</v>
      </c>
      <c r="CB6" s="22"/>
    </row>
    <row r="7" spans="1:81" ht="108.75" customHeight="1">
      <c r="A7" s="23" t="s">
        <v>43</v>
      </c>
      <c r="B7" s="21" t="s">
        <v>43</v>
      </c>
      <c r="D7" s="1" t="s">
        <v>29</v>
      </c>
      <c r="E7" s="19"/>
      <c r="H7" s="24"/>
      <c r="I7" s="19"/>
      <c r="J7" s="19"/>
      <c r="W7" s="19"/>
      <c r="Z7" s="24"/>
      <c r="AA7" s="19"/>
      <c r="AB7" s="19"/>
      <c r="AX7" s="19" t="s">
        <v>44</v>
      </c>
      <c r="AZ7" s="3">
        <v>88888888</v>
      </c>
      <c r="BA7" s="5" t="s">
        <v>45</v>
      </c>
      <c r="BG7" s="19" t="s">
        <v>44</v>
      </c>
      <c r="BI7" s="3">
        <v>88888888</v>
      </c>
      <c r="BJ7" s="5" t="s">
        <v>45</v>
      </c>
      <c r="BP7" s="19" t="s">
        <v>44</v>
      </c>
      <c r="BR7" s="3">
        <v>88888888</v>
      </c>
      <c r="BS7" s="5" t="s">
        <v>45</v>
      </c>
      <c r="BZ7" s="20">
        <v>44277.695057870369</v>
      </c>
      <c r="CA7" s="20">
        <v>44277.695208333331</v>
      </c>
      <c r="CB7" s="22"/>
    </row>
    <row r="8" spans="1:81" ht="108.75" customHeight="1">
      <c r="A8" s="23" t="s">
        <v>46</v>
      </c>
      <c r="B8" s="21" t="s">
        <v>47</v>
      </c>
      <c r="D8" s="1" t="s">
        <v>29</v>
      </c>
      <c r="E8" s="19"/>
      <c r="H8" s="24"/>
      <c r="I8" s="19"/>
      <c r="J8" s="19"/>
      <c r="W8" s="19"/>
      <c r="Z8" s="24"/>
      <c r="AA8" s="19"/>
      <c r="AB8" s="19"/>
      <c r="AX8" s="19" t="s">
        <v>44</v>
      </c>
      <c r="BA8" s="5" t="s">
        <v>45</v>
      </c>
      <c r="BG8" s="19" t="s">
        <v>44</v>
      </c>
      <c r="BJ8" s="5" t="s">
        <v>45</v>
      </c>
      <c r="BP8" s="19" t="s">
        <v>44</v>
      </c>
      <c r="BS8" s="5" t="s">
        <v>45</v>
      </c>
      <c r="BZ8" s="20">
        <v>44277.697939814818</v>
      </c>
      <c r="CA8" s="20">
        <v>44277.698796296296</v>
      </c>
      <c r="CB8" s="22"/>
    </row>
    <row r="9" spans="1:81" ht="56.25" customHeight="1">
      <c r="A9" s="23" t="s">
        <v>48</v>
      </c>
      <c r="B9" s="21" t="s">
        <v>49</v>
      </c>
      <c r="D9" s="1" t="s">
        <v>29</v>
      </c>
      <c r="E9" s="19"/>
      <c r="H9" s="24"/>
      <c r="I9" s="19"/>
      <c r="J9" s="19"/>
      <c r="W9" s="19"/>
      <c r="Z9" s="24"/>
      <c r="AA9" s="19"/>
      <c r="AB9" s="19"/>
      <c r="AX9" s="19"/>
      <c r="BG9" s="19" t="s">
        <v>44</v>
      </c>
      <c r="BJ9" s="5" t="s">
        <v>45</v>
      </c>
      <c r="BP9" s="19" t="s">
        <v>44</v>
      </c>
      <c r="BS9" s="5" t="s">
        <v>45</v>
      </c>
      <c r="BZ9" s="20">
        <v>44277.701909722222</v>
      </c>
      <c r="CA9" s="20">
        <v>44277.714016203703</v>
      </c>
      <c r="CB9" s="22"/>
    </row>
    <row r="10" spans="1:81" ht="56.25" customHeight="1">
      <c r="A10" s="23" t="s">
        <v>50</v>
      </c>
      <c r="B10" s="21" t="s">
        <v>51</v>
      </c>
      <c r="D10" s="1" t="s">
        <v>29</v>
      </c>
      <c r="E10" s="19"/>
      <c r="H10" s="24"/>
      <c r="I10" s="19"/>
      <c r="J10" s="19"/>
      <c r="W10" s="19"/>
      <c r="Z10" s="24"/>
      <c r="AA10" s="19"/>
      <c r="AB10" s="19"/>
      <c r="AX10" s="19"/>
      <c r="BG10" s="19" t="s">
        <v>44</v>
      </c>
      <c r="BJ10" s="5" t="s">
        <v>45</v>
      </c>
      <c r="BP10" s="19" t="s">
        <v>44</v>
      </c>
      <c r="BS10" s="5" t="s">
        <v>45</v>
      </c>
      <c r="BZ10" s="20">
        <v>44277.706157407411</v>
      </c>
      <c r="CA10" s="20">
        <v>44277.714074074072</v>
      </c>
      <c r="CB10" s="22"/>
    </row>
    <row r="11" spans="1:81" ht="56.25" customHeight="1">
      <c r="A11" s="23" t="s">
        <v>52</v>
      </c>
      <c r="B11" s="21" t="s">
        <v>53</v>
      </c>
      <c r="D11" s="1" t="s">
        <v>29</v>
      </c>
      <c r="E11" s="19"/>
      <c r="H11" s="24"/>
      <c r="I11" s="19"/>
      <c r="J11" s="19"/>
      <c r="W11" s="19"/>
      <c r="Z11" s="24"/>
      <c r="AA11" s="19"/>
      <c r="AB11" s="19"/>
      <c r="AX11" s="19"/>
      <c r="BG11" s="19"/>
      <c r="BP11" s="19" t="s">
        <v>44</v>
      </c>
      <c r="BS11" s="5" t="s">
        <v>45</v>
      </c>
      <c r="BZ11" s="20">
        <v>44277.707650462966</v>
      </c>
      <c r="CA11" s="20">
        <v>44277.74359953704</v>
      </c>
      <c r="CB11" s="22"/>
    </row>
    <row r="12" spans="1:81" ht="70.5" customHeight="1">
      <c r="A12" s="23" t="s">
        <v>54</v>
      </c>
      <c r="B12" s="21" t="s">
        <v>55</v>
      </c>
      <c r="D12" s="1" t="s">
        <v>29</v>
      </c>
      <c r="E12" s="19"/>
      <c r="H12" s="24"/>
      <c r="I12" s="19"/>
      <c r="J12" s="19"/>
      <c r="W12" s="19"/>
      <c r="Z12" s="24"/>
      <c r="AA12" s="19"/>
      <c r="AB12" s="19"/>
      <c r="AX12" s="19"/>
      <c r="BG12" s="19"/>
      <c r="BP12" s="19" t="s">
        <v>44</v>
      </c>
      <c r="BS12" s="5" t="s">
        <v>45</v>
      </c>
      <c r="BZ12" s="20">
        <v>44277.709745370368</v>
      </c>
      <c r="CA12" s="20">
        <v>44277.743773148148</v>
      </c>
      <c r="CB12" s="22"/>
    </row>
    <row r="13" spans="1:81" ht="33" customHeight="1">
      <c r="A13" s="13"/>
      <c r="B13" s="21"/>
      <c r="D13" s="1"/>
      <c r="E13" s="19"/>
      <c r="H13" s="19"/>
      <c r="I13" s="19"/>
      <c r="AO13" s="19"/>
      <c r="AR13" s="19"/>
      <c r="AS13" s="19"/>
      <c r="AX13" s="19"/>
      <c r="BA13" s="19"/>
      <c r="BB13" s="19"/>
      <c r="BG13" s="19"/>
      <c r="BJ13" s="19"/>
      <c r="BK13" s="19"/>
      <c r="BP13" s="19"/>
      <c r="BS13" s="19"/>
      <c r="BT13" s="19"/>
      <c r="BZ13" s="20">
        <v>44271.589421296296</v>
      </c>
      <c r="CB13" s="22"/>
    </row>
    <row r="14" spans="1:81" ht="28.5" customHeight="1">
      <c r="A14" s="25" t="s">
        <v>10</v>
      </c>
      <c r="B14" s="26"/>
      <c r="C14" s="25"/>
      <c r="D14" s="27"/>
      <c r="E14" s="27"/>
      <c r="F14" s="28"/>
      <c r="G14" s="27"/>
      <c r="H14" s="27"/>
      <c r="I14" s="28"/>
      <c r="J14" s="28"/>
      <c r="K14" s="28"/>
      <c r="L14" s="28"/>
      <c r="M14" s="28"/>
      <c r="N14" s="28"/>
      <c r="O14" s="28"/>
      <c r="P14" s="27"/>
      <c r="Q14" s="28"/>
      <c r="R14" s="28"/>
      <c r="S14" s="28"/>
      <c r="T14" s="28"/>
      <c r="U14" s="28"/>
      <c r="V14" s="28"/>
      <c r="W14" s="28"/>
      <c r="X14" s="28"/>
      <c r="Y14" s="27"/>
      <c r="Z14" s="28"/>
      <c r="AA14" s="28"/>
      <c r="AB14" s="28"/>
      <c r="AC14" s="28"/>
      <c r="AD14" s="28"/>
      <c r="AE14" s="28"/>
      <c r="AF14" s="28"/>
      <c r="AG14" s="28"/>
      <c r="AH14" s="27"/>
      <c r="AI14" s="28"/>
      <c r="AJ14" s="28"/>
      <c r="AK14" s="28"/>
      <c r="AL14" s="28"/>
      <c r="AM14" s="28"/>
      <c r="AN14" s="28"/>
      <c r="AO14" s="28"/>
      <c r="AP14" s="28"/>
      <c r="AQ14" s="27"/>
      <c r="AR14" s="28"/>
      <c r="AS14" s="28"/>
      <c r="AT14" s="28"/>
      <c r="AU14" s="28"/>
      <c r="AV14" s="28"/>
      <c r="AW14" s="28"/>
      <c r="AX14" s="28"/>
      <c r="AY14" s="28"/>
      <c r="AZ14" s="27"/>
      <c r="BA14" s="28"/>
      <c r="BB14" s="28"/>
      <c r="BC14" s="28"/>
      <c r="BD14" s="28"/>
      <c r="BE14" s="28"/>
      <c r="BF14" s="28"/>
      <c r="BG14" s="28"/>
      <c r="BH14" s="28"/>
      <c r="BI14" s="27"/>
      <c r="BJ14" s="28"/>
      <c r="BK14" s="28"/>
      <c r="BL14" s="28"/>
      <c r="BM14" s="28"/>
      <c r="BN14" s="28"/>
      <c r="BO14" s="28"/>
      <c r="BP14" s="28"/>
      <c r="BQ14" s="28"/>
      <c r="BR14" s="27"/>
      <c r="BS14" s="28"/>
      <c r="BT14" s="28"/>
      <c r="BU14" s="28"/>
      <c r="BV14" s="28"/>
      <c r="BW14" s="28"/>
      <c r="BX14" s="28"/>
      <c r="BY14" s="28"/>
      <c r="BZ14" s="29"/>
      <c r="CA14" s="29"/>
      <c r="CB14" s="28"/>
    </row>
  </sheetData>
  <autoFilter ref="A2:CA13" xr:uid="{27AAE171-7668-4C1B-AADB-82994DD79567}">
    <sortState xmlns:xlrd2="http://schemas.microsoft.com/office/spreadsheetml/2017/richdata2" ref="A3:CA13">
      <sortCondition ref="F3:F13"/>
      <sortCondition ref="A3:A13"/>
    </sortState>
  </autoFilter>
  <phoneticPr fontId="2" type="noConversion"/>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1738AD-D456-4B7B-8F8E-91FC33714636}">
  <sheetPr codeName="Note1"/>
  <dimension ref="A1:AJ7"/>
  <sheetViews>
    <sheetView workbookViewId="0">
      <pane xSplit="4" ySplit="2" topLeftCell="E7" activePane="bottomRight" state="frozen"/>
      <selection pane="topRight" activeCell="E1" sqref="E1"/>
      <selection pane="bottomLeft" activeCell="A3" sqref="A3"/>
      <selection pane="bottomRight" activeCell="F1" sqref="F1:F1048576"/>
    </sheetView>
  </sheetViews>
  <sheetFormatPr defaultRowHeight="14.25"/>
  <cols>
    <col min="1" max="1" width="17.625" style="1" customWidth="1"/>
    <col min="2" max="2" width="84.875" style="3" customWidth="1"/>
    <col min="3" max="3" width="6.375" style="1" customWidth="1"/>
    <col min="4" max="4" width="10.125" style="3" customWidth="1"/>
    <col min="5" max="5" width="19.625" style="3" customWidth="1"/>
    <col min="6" max="6" width="10.125" style="3" customWidth="1"/>
    <col min="7" max="7" width="16.625" style="5" customWidth="1"/>
    <col min="8" max="8" width="8.5" style="3" customWidth="1"/>
    <col min="9" max="10" width="8.5" style="5" customWidth="1"/>
    <col min="11" max="13" width="9.625" style="5" customWidth="1"/>
    <col min="14" max="14" width="13" style="5" customWidth="1"/>
    <col min="15" max="15" width="16.625" style="5" customWidth="1"/>
    <col min="16" max="16" width="11.625" style="3" customWidth="1"/>
    <col min="17" max="22" width="9.625" style="5" customWidth="1"/>
    <col min="23" max="23" width="13" style="5" customWidth="1"/>
    <col min="24" max="24" width="16.625" style="5" customWidth="1"/>
    <col min="25" max="25" width="11.625" style="3" customWidth="1"/>
    <col min="26" max="32" width="9.625" style="5" customWidth="1"/>
    <col min="33" max="33" width="21.125" style="33" customWidth="1"/>
    <col min="34" max="34" width="17.625" style="20" customWidth="1"/>
    <col min="35" max="35" width="12" style="5" customWidth="1"/>
    <col min="36" max="36" width="11.375" style="5" customWidth="1"/>
    <col min="37" max="37" width="14.875" style="5" customWidth="1"/>
    <col min="38" max="16384" width="9" style="5"/>
  </cols>
  <sheetData>
    <row r="1" spans="1:36" ht="19.5" customHeight="1">
      <c r="E1" s="6" t="s">
        <v>56</v>
      </c>
      <c r="N1" s="5" t="s">
        <v>57</v>
      </c>
      <c r="W1" s="7" t="s">
        <v>4</v>
      </c>
      <c r="AG1" s="41" t="s">
        <v>8</v>
      </c>
      <c r="AH1" s="8" t="s">
        <v>9</v>
      </c>
      <c r="AI1" s="9"/>
      <c r="AJ1" s="10" t="s">
        <v>10</v>
      </c>
    </row>
    <row r="2" spans="1:36" ht="27.75" customHeight="1">
      <c r="A2" s="11" t="s">
        <v>11</v>
      </c>
      <c r="B2" s="17" t="s">
        <v>12</v>
      </c>
      <c r="C2" s="13" t="s">
        <v>13</v>
      </c>
      <c r="D2" s="11" t="s">
        <v>14</v>
      </c>
      <c r="E2" s="4" t="s">
        <v>58</v>
      </c>
      <c r="F2" s="11" t="s">
        <v>17</v>
      </c>
      <c r="G2" s="14" t="s">
        <v>16</v>
      </c>
      <c r="H2" s="15" t="s">
        <v>18</v>
      </c>
      <c r="I2" s="9" t="s">
        <v>18</v>
      </c>
      <c r="J2" s="9" t="s">
        <v>18</v>
      </c>
      <c r="K2" s="9" t="s">
        <v>18</v>
      </c>
      <c r="L2" s="9" t="s">
        <v>18</v>
      </c>
      <c r="M2" s="9" t="s">
        <v>18</v>
      </c>
      <c r="N2" s="16" t="s">
        <v>59</v>
      </c>
      <c r="O2" s="14" t="s">
        <v>16</v>
      </c>
      <c r="P2" s="11" t="s">
        <v>17</v>
      </c>
      <c r="Q2" s="9" t="s">
        <v>18</v>
      </c>
      <c r="R2" s="9" t="s">
        <v>18</v>
      </c>
      <c r="S2" s="9" t="s">
        <v>18</v>
      </c>
      <c r="T2" s="9" t="s">
        <v>18</v>
      </c>
      <c r="U2" s="9" t="s">
        <v>18</v>
      </c>
      <c r="V2" s="9" t="s">
        <v>18</v>
      </c>
      <c r="W2" s="16" t="s">
        <v>22</v>
      </c>
      <c r="X2" s="14" t="s">
        <v>16</v>
      </c>
      <c r="Y2" s="11" t="s">
        <v>17</v>
      </c>
      <c r="Z2" s="9" t="s">
        <v>18</v>
      </c>
      <c r="AA2" s="9" t="s">
        <v>18</v>
      </c>
      <c r="AB2" s="9" t="s">
        <v>18</v>
      </c>
      <c r="AC2" s="9" t="s">
        <v>18</v>
      </c>
      <c r="AD2" s="9" t="s">
        <v>18</v>
      </c>
      <c r="AE2" s="9" t="s">
        <v>18</v>
      </c>
      <c r="AF2" s="9"/>
      <c r="AG2" s="41" t="s">
        <v>8</v>
      </c>
      <c r="AH2" s="8" t="s">
        <v>9</v>
      </c>
      <c r="AI2" s="9" t="s">
        <v>26</v>
      </c>
      <c r="AJ2" s="10" t="s">
        <v>10</v>
      </c>
    </row>
    <row r="3" spans="1:36" ht="385.5">
      <c r="A3" s="40" t="s">
        <v>73</v>
      </c>
      <c r="B3" s="38" t="s">
        <v>72</v>
      </c>
      <c r="D3" s="37" t="s">
        <v>60</v>
      </c>
      <c r="E3" s="5"/>
      <c r="N3" s="5" t="s">
        <v>71</v>
      </c>
      <c r="O3" s="19"/>
      <c r="Q3" s="19"/>
      <c r="AG3" s="33">
        <v>44272.560289351852</v>
      </c>
      <c r="AH3" s="20">
        <v>44272.561168981483</v>
      </c>
      <c r="AI3" s="22"/>
    </row>
    <row r="4" spans="1:36" ht="33">
      <c r="A4" s="39" t="s">
        <v>70</v>
      </c>
      <c r="B4" s="38" t="s">
        <v>69</v>
      </c>
      <c r="D4" s="37" t="s">
        <v>60</v>
      </c>
      <c r="E4" s="5"/>
      <c r="N4" s="5" t="s">
        <v>68</v>
      </c>
      <c r="O4" s="19" t="s">
        <v>67</v>
      </c>
      <c r="Q4" s="19" t="s">
        <v>67</v>
      </c>
      <c r="AG4" s="33">
        <v>44272.540335648147</v>
      </c>
      <c r="AH4" s="20">
        <v>44272.542118055557</v>
      </c>
      <c r="AI4" s="22"/>
    </row>
    <row r="5" spans="1:36" ht="75">
      <c r="A5" s="36" t="s">
        <v>66</v>
      </c>
      <c r="B5" s="31" t="s">
        <v>65</v>
      </c>
      <c r="D5" s="1" t="s">
        <v>29</v>
      </c>
      <c r="E5" s="5"/>
      <c r="N5" s="14" t="s">
        <v>64</v>
      </c>
      <c r="O5" s="14" t="s">
        <v>63</v>
      </c>
      <c r="Q5" s="14" t="s">
        <v>63</v>
      </c>
      <c r="AG5" s="33">
        <v>44256</v>
      </c>
      <c r="AH5" s="20">
        <v>44269.929131944446</v>
      </c>
      <c r="AI5" s="22"/>
    </row>
    <row r="6" spans="1:36" ht="330">
      <c r="A6" s="32" t="s">
        <v>62</v>
      </c>
      <c r="B6" s="35" t="s">
        <v>61</v>
      </c>
      <c r="D6" s="1"/>
      <c r="E6" s="5"/>
      <c r="N6" s="14"/>
      <c r="O6" s="14"/>
      <c r="Q6" s="14"/>
      <c r="AG6" s="33">
        <v>44286.724780092591</v>
      </c>
      <c r="AH6" s="20">
        <v>44286.725254629629</v>
      </c>
      <c r="AI6" s="22"/>
    </row>
    <row r="7" spans="1:36" ht="28.5" customHeight="1">
      <c r="A7" s="25" t="s">
        <v>10</v>
      </c>
      <c r="B7" s="27"/>
      <c r="C7" s="25"/>
      <c r="D7" s="27"/>
      <c r="E7" s="27"/>
      <c r="F7" s="27"/>
      <c r="G7" s="28"/>
      <c r="H7" s="27"/>
      <c r="I7" s="28"/>
      <c r="J7" s="28"/>
      <c r="K7" s="28"/>
      <c r="L7" s="28"/>
      <c r="M7" s="28"/>
      <c r="N7" s="28"/>
      <c r="O7" s="28"/>
      <c r="P7" s="27"/>
      <c r="Q7" s="28"/>
      <c r="R7" s="28"/>
      <c r="S7" s="28"/>
      <c r="T7" s="28"/>
      <c r="U7" s="28"/>
      <c r="V7" s="28"/>
      <c r="W7" s="28"/>
      <c r="X7" s="28"/>
      <c r="Y7" s="27"/>
      <c r="Z7" s="28"/>
      <c r="AA7" s="28"/>
      <c r="AB7" s="28"/>
      <c r="AC7" s="28"/>
      <c r="AD7" s="28"/>
      <c r="AE7" s="28"/>
      <c r="AF7" s="28"/>
      <c r="AG7" s="34"/>
      <c r="AH7" s="29"/>
      <c r="AI7" s="28"/>
    </row>
  </sheetData>
  <autoFilter ref="A2:AH5" xr:uid="{27AAE171-7668-4C1B-AADB-82994DD79567}">
    <sortState xmlns:xlrd2="http://schemas.microsoft.com/office/spreadsheetml/2017/richdata2" ref="A3:AH5">
      <sortCondition ref="G3:G5"/>
      <sortCondition ref="A3:A5"/>
    </sortState>
  </autoFilter>
  <phoneticPr fontId="2" type="noConversion"/>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71CB6-95B7-4D97-800B-513734C21A8D}">
  <sheetPr codeName="Note"/>
  <dimension ref="A1:AJ19"/>
  <sheetViews>
    <sheetView workbookViewId="0">
      <pane xSplit="4" ySplit="2" topLeftCell="E3" activePane="bottomRight" state="frozen"/>
      <selection pane="topRight" activeCell="E1" sqref="E1"/>
      <selection pane="bottomLeft" activeCell="A3" sqref="A3"/>
      <selection pane="bottomRight" activeCell="C4" sqref="C4"/>
    </sheetView>
  </sheetViews>
  <sheetFormatPr defaultRowHeight="14.25"/>
  <cols>
    <col min="1" max="1" width="17.625" style="1" customWidth="1"/>
    <col min="2" max="2" width="85.125" style="3" customWidth="1"/>
    <col min="3" max="3" width="6.375" style="1" customWidth="1"/>
    <col min="4" max="4" width="10.125" style="3" customWidth="1"/>
    <col min="5" max="5" width="15.5" style="3" customWidth="1"/>
    <col min="6" max="6" width="10.125" style="3" customWidth="1"/>
    <col min="7" max="7" width="9.125" style="5" customWidth="1"/>
    <col min="8" max="8" width="8.5" style="3" customWidth="1"/>
    <col min="9" max="10" width="8.5" style="5" customWidth="1"/>
    <col min="11" max="13" width="9.625" style="5" customWidth="1"/>
    <col min="14" max="14" width="13" style="5" customWidth="1"/>
    <col min="15" max="15" width="16.625" style="5" customWidth="1"/>
    <col min="16" max="16" width="11.625" style="3" customWidth="1"/>
    <col min="17" max="22" width="9.625" style="5" customWidth="1"/>
    <col min="23" max="23" width="13" style="5" customWidth="1"/>
    <col min="24" max="24" width="16.625" style="5" customWidth="1"/>
    <col min="25" max="25" width="11.625" style="3" customWidth="1"/>
    <col min="26" max="32" width="9.625" style="5" customWidth="1"/>
    <col min="33" max="33" width="21.125" style="33" customWidth="1"/>
    <col min="34" max="34" width="17.625" style="20" customWidth="1"/>
    <col min="35" max="35" width="12" style="5" customWidth="1"/>
    <col min="36" max="36" width="11.375" style="5" customWidth="1"/>
    <col min="37" max="37" width="14.875" style="5" customWidth="1"/>
    <col min="38" max="16384" width="9" style="5"/>
  </cols>
  <sheetData>
    <row r="1" spans="1:36" ht="27">
      <c r="E1" s="6" t="s">
        <v>56</v>
      </c>
      <c r="N1" s="5" t="s">
        <v>57</v>
      </c>
      <c r="W1" s="7" t="s">
        <v>4</v>
      </c>
      <c r="AG1" s="41" t="s">
        <v>8</v>
      </c>
      <c r="AH1" s="8" t="s">
        <v>9</v>
      </c>
      <c r="AI1" s="9"/>
      <c r="AJ1" s="10" t="s">
        <v>10</v>
      </c>
    </row>
    <row r="2" spans="1:36" ht="40.5">
      <c r="A2" s="11" t="s">
        <v>11</v>
      </c>
      <c r="B2" s="17" t="s">
        <v>12</v>
      </c>
      <c r="C2" s="13" t="s">
        <v>13</v>
      </c>
      <c r="D2" s="11" t="s">
        <v>14</v>
      </c>
      <c r="E2" s="4" t="s">
        <v>58</v>
      </c>
      <c r="F2" s="11" t="s">
        <v>92</v>
      </c>
      <c r="G2" s="11" t="s">
        <v>16</v>
      </c>
      <c r="H2" s="15" t="s">
        <v>91</v>
      </c>
      <c r="I2" s="9" t="s">
        <v>18</v>
      </c>
      <c r="J2" s="9" t="s">
        <v>18</v>
      </c>
      <c r="K2" s="9" t="s">
        <v>18</v>
      </c>
      <c r="L2" s="9" t="s">
        <v>18</v>
      </c>
      <c r="M2" s="9" t="s">
        <v>18</v>
      </c>
      <c r="N2" s="16" t="s">
        <v>59</v>
      </c>
      <c r="O2" s="14" t="s">
        <v>16</v>
      </c>
      <c r="P2" s="11" t="s">
        <v>17</v>
      </c>
      <c r="Q2" s="9" t="s">
        <v>18</v>
      </c>
      <c r="R2" s="9" t="s">
        <v>18</v>
      </c>
      <c r="S2" s="9" t="s">
        <v>18</v>
      </c>
      <c r="T2" s="9" t="s">
        <v>18</v>
      </c>
      <c r="U2" s="9" t="s">
        <v>18</v>
      </c>
      <c r="V2" s="9" t="s">
        <v>18</v>
      </c>
      <c r="W2" s="16" t="s">
        <v>22</v>
      </c>
      <c r="X2" s="14" t="s">
        <v>16</v>
      </c>
      <c r="Y2" s="11" t="s">
        <v>17</v>
      </c>
      <c r="Z2" s="9" t="s">
        <v>18</v>
      </c>
      <c r="AA2" s="9" t="s">
        <v>18</v>
      </c>
      <c r="AB2" s="9" t="s">
        <v>18</v>
      </c>
      <c r="AC2" s="9" t="s">
        <v>18</v>
      </c>
      <c r="AD2" s="9" t="s">
        <v>18</v>
      </c>
      <c r="AE2" s="9" t="s">
        <v>18</v>
      </c>
      <c r="AF2" s="9"/>
      <c r="AG2" s="41" t="s">
        <v>8</v>
      </c>
      <c r="AH2" s="8" t="s">
        <v>9</v>
      </c>
      <c r="AI2" s="9" t="s">
        <v>26</v>
      </c>
      <c r="AJ2" s="10" t="s">
        <v>10</v>
      </c>
    </row>
    <row r="3" spans="1:36" ht="108">
      <c r="A3" s="1" t="s">
        <v>90</v>
      </c>
      <c r="B3" s="13" t="s">
        <v>89</v>
      </c>
      <c r="D3" s="1" t="s">
        <v>29</v>
      </c>
      <c r="E3" s="14"/>
      <c r="G3" s="14"/>
      <c r="N3" s="14" t="s">
        <v>64</v>
      </c>
      <c r="O3" s="14" t="s">
        <v>63</v>
      </c>
      <c r="Q3" s="14" t="s">
        <v>63</v>
      </c>
      <c r="W3" s="14"/>
      <c r="X3" s="14"/>
      <c r="AG3" s="33">
        <v>44208</v>
      </c>
      <c r="AH3" s="20">
        <v>44266</v>
      </c>
      <c r="AI3" s="22"/>
    </row>
    <row r="4" spans="1:36" ht="342.75">
      <c r="A4" s="1" t="s">
        <v>88</v>
      </c>
      <c r="B4" s="13" t="s">
        <v>87</v>
      </c>
      <c r="D4" s="1" t="s">
        <v>29</v>
      </c>
      <c r="E4" s="14"/>
      <c r="G4" s="14"/>
      <c r="N4" s="14" t="s">
        <v>64</v>
      </c>
      <c r="O4" s="14" t="s">
        <v>86</v>
      </c>
      <c r="Q4" s="19" t="s">
        <v>85</v>
      </c>
      <c r="W4" s="14"/>
      <c r="X4" s="14"/>
      <c r="AG4" s="33">
        <v>44208</v>
      </c>
      <c r="AH4" s="20">
        <v>44272.560023148151</v>
      </c>
      <c r="AI4" s="22"/>
    </row>
    <row r="5" spans="1:36" ht="145.5">
      <c r="A5" s="43" t="s">
        <v>84</v>
      </c>
      <c r="B5" s="38" t="s">
        <v>83</v>
      </c>
      <c r="D5" s="1" t="s">
        <v>29</v>
      </c>
      <c r="E5" s="5"/>
      <c r="AG5" s="33">
        <v>44255</v>
      </c>
      <c r="AH5" s="20">
        <v>44266</v>
      </c>
      <c r="AI5" s="22"/>
    </row>
    <row r="6" spans="1:36" ht="75">
      <c r="A6" s="43" t="s">
        <v>82</v>
      </c>
      <c r="B6" s="38" t="s">
        <v>81</v>
      </c>
      <c r="D6" s="1" t="s">
        <v>29</v>
      </c>
      <c r="E6" s="5"/>
      <c r="N6" s="14" t="s">
        <v>64</v>
      </c>
      <c r="O6" s="14" t="s">
        <v>63</v>
      </c>
      <c r="Q6" s="14" t="s">
        <v>63</v>
      </c>
      <c r="AG6" s="33">
        <v>44255</v>
      </c>
      <c r="AH6" s="20">
        <v>44269.928993055553</v>
      </c>
      <c r="AI6" s="22"/>
    </row>
    <row r="7" spans="1:36" ht="142.5">
      <c r="A7" s="39" t="s">
        <v>80</v>
      </c>
      <c r="B7" s="38" t="s">
        <v>79</v>
      </c>
      <c r="D7" s="37" t="s">
        <v>60</v>
      </c>
      <c r="E7" s="5"/>
      <c r="N7" s="5" t="s">
        <v>71</v>
      </c>
      <c r="O7" s="19" t="s">
        <v>78</v>
      </c>
      <c r="Q7" s="19" t="s">
        <v>78</v>
      </c>
      <c r="AG7" s="33">
        <v>44272.537453703706</v>
      </c>
      <c r="AH7" s="20">
        <v>44272.561712962961</v>
      </c>
      <c r="AI7" s="22"/>
    </row>
    <row r="8" spans="1:36" ht="57">
      <c r="A8" s="42" t="s">
        <v>77</v>
      </c>
      <c r="B8" s="38" t="s">
        <v>76</v>
      </c>
      <c r="D8" s="37" t="s">
        <v>60</v>
      </c>
      <c r="E8" s="5"/>
      <c r="N8" s="5" t="s">
        <v>71</v>
      </c>
      <c r="O8" s="19"/>
      <c r="Q8" s="19"/>
      <c r="AG8" s="33">
        <v>44272.560289351852</v>
      </c>
      <c r="AH8" s="20">
        <v>44272.561168981483</v>
      </c>
      <c r="AI8" s="22"/>
    </row>
    <row r="9" spans="1:36" ht="33">
      <c r="A9" s="39" t="s">
        <v>70</v>
      </c>
      <c r="B9" s="38" t="s">
        <v>69</v>
      </c>
      <c r="D9" s="37" t="s">
        <v>60</v>
      </c>
      <c r="E9" s="5"/>
      <c r="N9" s="5" t="s">
        <v>68</v>
      </c>
      <c r="O9" s="19" t="s">
        <v>67</v>
      </c>
      <c r="Q9" s="19" t="s">
        <v>67</v>
      </c>
      <c r="AG9" s="33">
        <v>44272.540335648147</v>
      </c>
      <c r="AH9" s="20">
        <v>44272.542118055557</v>
      </c>
      <c r="AI9" s="22"/>
    </row>
    <row r="10" spans="1:36" ht="75">
      <c r="A10" s="36" t="s">
        <v>66</v>
      </c>
      <c r="B10" s="31" t="s">
        <v>65</v>
      </c>
      <c r="D10" s="1" t="s">
        <v>29</v>
      </c>
      <c r="E10" s="5"/>
      <c r="N10" s="14" t="s">
        <v>64</v>
      </c>
      <c r="O10" s="14" t="s">
        <v>63</v>
      </c>
      <c r="Q10" s="14" t="s">
        <v>63</v>
      </c>
      <c r="AG10" s="33">
        <v>44256</v>
      </c>
      <c r="AH10" s="20">
        <v>44269.929131944446</v>
      </c>
      <c r="AI10" s="22"/>
    </row>
    <row r="11" spans="1:36" ht="242.25">
      <c r="A11" s="32" t="s">
        <v>75</v>
      </c>
      <c r="B11" s="31" t="s">
        <v>74</v>
      </c>
      <c r="D11" s="1"/>
      <c r="E11" s="5">
        <v>0</v>
      </c>
      <c r="N11" s="14"/>
      <c r="O11" s="14"/>
      <c r="Q11" s="14"/>
      <c r="AI11" s="22"/>
    </row>
    <row r="12" spans="1:36" ht="16.5">
      <c r="A12" s="36"/>
      <c r="B12" s="31"/>
      <c r="D12" s="1"/>
      <c r="E12" s="5"/>
      <c r="N12" s="14"/>
      <c r="O12" s="14"/>
      <c r="Q12" s="14"/>
      <c r="AI12" s="22"/>
    </row>
    <row r="13" spans="1:36" ht="16.5">
      <c r="A13" s="36"/>
      <c r="B13" s="31"/>
      <c r="D13" s="1"/>
      <c r="E13" s="5"/>
      <c r="N13" s="14"/>
      <c r="O13" s="14"/>
      <c r="Q13" s="14"/>
      <c r="AI13" s="22"/>
    </row>
    <row r="14" spans="1:36" ht="16.5">
      <c r="A14" s="36"/>
      <c r="B14" s="31"/>
      <c r="D14" s="1"/>
      <c r="E14" s="5"/>
      <c r="N14" s="14"/>
      <c r="O14" s="14"/>
      <c r="Q14" s="14"/>
      <c r="AI14" s="22"/>
    </row>
    <row r="15" spans="1:36" ht="16.5">
      <c r="A15" s="36"/>
      <c r="B15" s="31"/>
      <c r="D15" s="1"/>
      <c r="E15" s="5"/>
      <c r="N15" s="14"/>
      <c r="O15" s="14"/>
      <c r="Q15" s="14"/>
      <c r="AI15" s="22"/>
    </row>
    <row r="16" spans="1:36" ht="16.5">
      <c r="A16" s="36"/>
      <c r="B16" s="31"/>
      <c r="D16" s="1"/>
      <c r="E16" s="5"/>
      <c r="N16" s="14"/>
      <c r="O16" s="14"/>
      <c r="Q16" s="14"/>
      <c r="AI16" s="22"/>
    </row>
    <row r="17" spans="1:35" ht="16.5">
      <c r="A17" s="36"/>
      <c r="B17" s="31"/>
      <c r="D17" s="1"/>
      <c r="E17" s="5"/>
      <c r="N17" s="14"/>
      <c r="O17" s="14"/>
      <c r="Q17" s="14"/>
      <c r="AI17" s="22"/>
    </row>
    <row r="19" spans="1:35" ht="28.5" customHeight="1">
      <c r="A19" s="25" t="s">
        <v>10</v>
      </c>
      <c r="B19" s="27"/>
      <c r="C19" s="25"/>
      <c r="D19" s="27"/>
      <c r="E19" s="27"/>
      <c r="F19" s="27"/>
      <c r="G19" s="28"/>
      <c r="H19" s="27"/>
      <c r="I19" s="28"/>
      <c r="J19" s="28"/>
      <c r="K19" s="28"/>
      <c r="L19" s="28"/>
      <c r="M19" s="28"/>
      <c r="N19" s="28"/>
      <c r="O19" s="28"/>
      <c r="P19" s="27"/>
      <c r="Q19" s="28"/>
      <c r="R19" s="28"/>
      <c r="S19" s="28"/>
      <c r="T19" s="28"/>
      <c r="U19" s="28"/>
      <c r="V19" s="28"/>
      <c r="W19" s="28"/>
      <c r="X19" s="28"/>
      <c r="Y19" s="27"/>
      <c r="Z19" s="28"/>
      <c r="AA19" s="28"/>
      <c r="AB19" s="28"/>
      <c r="AC19" s="28"/>
      <c r="AD19" s="28"/>
      <c r="AE19" s="28"/>
      <c r="AF19" s="28"/>
      <c r="AG19" s="34"/>
      <c r="AH19" s="29"/>
      <c r="AI19" s="28"/>
    </row>
  </sheetData>
  <autoFilter ref="A2:AH10" xr:uid="{27AAE171-7668-4C1B-AADB-82994DD79567}">
    <sortState xmlns:xlrd2="http://schemas.microsoft.com/office/spreadsheetml/2017/richdata2" ref="A3:AH10">
      <sortCondition ref="G3:G10"/>
      <sortCondition ref="A3:A10"/>
    </sortState>
  </autoFilter>
  <phoneticPr fontId="2" type="noConversion"/>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EFB1F-C777-40C9-8FF2-C379DE766941}">
  <sheetPr codeName="Link"/>
  <dimension ref="A1:U59"/>
  <sheetViews>
    <sheetView workbookViewId="0">
      <pane xSplit="4" ySplit="2" topLeftCell="E33" activePane="bottomRight" state="frozen"/>
      <selection pane="topRight" activeCell="E1" sqref="E1"/>
      <selection pane="bottomLeft" activeCell="A3" sqref="A3"/>
      <selection pane="bottomRight" activeCell="C49" sqref="C49"/>
    </sheetView>
  </sheetViews>
  <sheetFormatPr defaultRowHeight="14.25"/>
  <cols>
    <col min="1" max="1" width="17.625" style="1" customWidth="1"/>
    <col min="2" max="2" width="47.875" style="3" customWidth="1"/>
    <col min="3" max="3" width="25.75" style="1" customWidth="1"/>
    <col min="4" max="4" width="10.125" style="3" customWidth="1"/>
    <col min="5" max="10" width="9.625" style="5" customWidth="1"/>
    <col min="11" max="11" width="11.625" style="3" customWidth="1"/>
    <col min="12" max="12" width="13" style="5" customWidth="1"/>
    <col min="13" max="13" width="16.625" style="5" customWidth="1"/>
    <col min="14" max="14" width="13" style="5" customWidth="1"/>
    <col min="15" max="15" width="16.625" style="5" customWidth="1"/>
    <col min="16" max="16" width="11.625" style="3" customWidth="1"/>
    <col min="17" max="17" width="9.625" style="5" customWidth="1"/>
    <col min="18" max="18" width="21.125" style="20" customWidth="1"/>
    <col min="19" max="19" width="17.625" style="20" customWidth="1"/>
    <col min="20" max="20" width="12" style="5" customWidth="1"/>
    <col min="21" max="21" width="11.375" style="5" customWidth="1"/>
    <col min="22" max="22" width="14.875" style="5" customWidth="1"/>
    <col min="23" max="16384" width="9" style="5"/>
  </cols>
  <sheetData>
    <row r="1" spans="1:21" ht="18.75">
      <c r="K1" s="5" t="s">
        <v>57</v>
      </c>
      <c r="N1" s="7" t="s">
        <v>4</v>
      </c>
      <c r="R1" s="8" t="s">
        <v>8</v>
      </c>
      <c r="S1" s="8" t="s">
        <v>9</v>
      </c>
      <c r="T1" s="9"/>
      <c r="U1" s="10" t="s">
        <v>10</v>
      </c>
    </row>
    <row r="2" spans="1:21" ht="40.5">
      <c r="A2" s="11" t="s">
        <v>11</v>
      </c>
      <c r="B2" s="17" t="s">
        <v>12</v>
      </c>
      <c r="C2" s="13" t="s">
        <v>13</v>
      </c>
      <c r="D2" s="11" t="s">
        <v>14</v>
      </c>
      <c r="E2" s="9" t="s">
        <v>1134</v>
      </c>
      <c r="F2" s="133" t="s">
        <v>120</v>
      </c>
      <c r="G2" s="133" t="s">
        <v>1126</v>
      </c>
      <c r="H2" s="133" t="s">
        <v>1136</v>
      </c>
      <c r="I2" s="9" t="s">
        <v>18</v>
      </c>
      <c r="J2" s="9" t="s">
        <v>1133</v>
      </c>
      <c r="K2" s="16" t="s">
        <v>59</v>
      </c>
      <c r="L2" s="14" t="s">
        <v>156</v>
      </c>
      <c r="M2" s="14" t="s">
        <v>16</v>
      </c>
      <c r="N2" s="16" t="s">
        <v>22</v>
      </c>
      <c r="O2" s="14" t="s">
        <v>16</v>
      </c>
      <c r="P2" s="11" t="s">
        <v>17</v>
      </c>
      <c r="Q2" s="9"/>
      <c r="R2" s="8" t="s">
        <v>8</v>
      </c>
      <c r="S2" s="8" t="s">
        <v>9</v>
      </c>
      <c r="T2" s="9" t="s">
        <v>26</v>
      </c>
      <c r="U2" s="10" t="s">
        <v>10</v>
      </c>
    </row>
    <row r="3" spans="1:21" ht="27.75">
      <c r="A3" s="1" t="s">
        <v>155</v>
      </c>
      <c r="B3" s="3" t="s">
        <v>154</v>
      </c>
      <c r="C3" s="1" t="s">
        <v>153</v>
      </c>
      <c r="D3" s="1" t="s">
        <v>29</v>
      </c>
      <c r="K3" s="1"/>
      <c r="L3" s="14" t="s">
        <v>71</v>
      </c>
      <c r="M3" s="14"/>
      <c r="N3" s="14"/>
      <c r="O3" s="14"/>
      <c r="P3" s="1"/>
      <c r="R3" s="20">
        <v>44256</v>
      </c>
      <c r="S3" s="20">
        <v>44269.922974537039</v>
      </c>
      <c r="T3" s="22"/>
    </row>
    <row r="4" spans="1:21" ht="16.5">
      <c r="A4" s="55" t="s">
        <v>152</v>
      </c>
      <c r="B4" s="54"/>
      <c r="C4" s="1" t="s">
        <v>151</v>
      </c>
      <c r="D4" s="1" t="s">
        <v>29</v>
      </c>
      <c r="K4" s="30"/>
      <c r="L4" s="14" t="s">
        <v>143</v>
      </c>
      <c r="M4" s="14"/>
      <c r="N4" s="14"/>
      <c r="O4" s="14"/>
      <c r="P4" s="30"/>
      <c r="R4" s="20">
        <v>44256</v>
      </c>
    </row>
    <row r="5" spans="1:21" ht="49.5">
      <c r="A5" s="48" t="s">
        <v>150</v>
      </c>
      <c r="B5" s="47" t="s">
        <v>150</v>
      </c>
      <c r="C5" s="48" t="s">
        <v>149</v>
      </c>
      <c r="D5" s="1" t="s">
        <v>29</v>
      </c>
      <c r="K5" s="47"/>
      <c r="L5" s="14" t="s">
        <v>143</v>
      </c>
      <c r="M5" s="14"/>
      <c r="N5" s="14"/>
      <c r="O5" s="14"/>
      <c r="P5" s="47"/>
      <c r="R5" s="20">
        <v>44256</v>
      </c>
    </row>
    <row r="6" spans="1:21">
      <c r="A6" s="46" t="s">
        <v>147</v>
      </c>
      <c r="C6" s="1" t="s">
        <v>148</v>
      </c>
      <c r="D6" s="1" t="s">
        <v>29</v>
      </c>
      <c r="K6" s="1"/>
      <c r="L6" s="14" t="s">
        <v>143</v>
      </c>
      <c r="M6" s="14"/>
      <c r="N6" s="14"/>
      <c r="O6" s="14"/>
      <c r="P6" s="1"/>
      <c r="R6" s="20">
        <v>44256</v>
      </c>
    </row>
    <row r="7" spans="1:21">
      <c r="A7" s="49" t="s">
        <v>147</v>
      </c>
      <c r="C7" s="1" t="s">
        <v>146</v>
      </c>
      <c r="D7" s="1" t="s">
        <v>29</v>
      </c>
      <c r="K7" s="1"/>
      <c r="L7" s="14" t="s">
        <v>143</v>
      </c>
      <c r="M7" s="14"/>
      <c r="N7" s="14"/>
      <c r="O7" s="14"/>
      <c r="P7" s="1"/>
      <c r="R7" s="20">
        <v>44256</v>
      </c>
    </row>
    <row r="8" spans="1:21" ht="16.5">
      <c r="A8" s="55" t="s">
        <v>145</v>
      </c>
      <c r="B8" s="54"/>
      <c r="C8" s="1" t="s">
        <v>144</v>
      </c>
      <c r="D8" s="1" t="s">
        <v>29</v>
      </c>
      <c r="K8" s="30"/>
      <c r="L8" s="14" t="s">
        <v>143</v>
      </c>
      <c r="M8" s="14"/>
      <c r="N8" s="14"/>
      <c r="O8" s="14"/>
      <c r="P8" s="30"/>
      <c r="R8" s="20">
        <v>44256</v>
      </c>
    </row>
    <row r="9" spans="1:21">
      <c r="A9" s="1" t="s">
        <v>142</v>
      </c>
      <c r="C9" s="46" t="s">
        <v>141</v>
      </c>
      <c r="D9" s="1" t="s">
        <v>29</v>
      </c>
      <c r="K9" s="45"/>
      <c r="P9" s="45"/>
      <c r="R9" s="20">
        <v>44208</v>
      </c>
      <c r="T9" s="22"/>
    </row>
    <row r="10" spans="1:21" ht="28.5">
      <c r="A10" s="1" t="s">
        <v>140</v>
      </c>
      <c r="C10" s="1" t="s">
        <v>139</v>
      </c>
      <c r="D10" s="1" t="s">
        <v>118</v>
      </c>
      <c r="E10" s="14"/>
      <c r="F10" s="14"/>
      <c r="G10" s="14"/>
      <c r="H10" s="14"/>
      <c r="I10" s="14"/>
      <c r="J10" s="14"/>
      <c r="K10" s="1"/>
      <c r="L10" s="14" t="s">
        <v>71</v>
      </c>
      <c r="M10" s="14"/>
      <c r="N10" s="14"/>
      <c r="O10" s="14"/>
      <c r="P10" s="1"/>
      <c r="Q10" s="14"/>
      <c r="R10" s="53">
        <v>44208</v>
      </c>
      <c r="S10" s="53"/>
      <c r="T10" s="52"/>
    </row>
    <row r="11" spans="1:21">
      <c r="A11" s="1" t="s">
        <v>138</v>
      </c>
      <c r="B11" s="51"/>
      <c r="C11" s="1" t="s">
        <v>137</v>
      </c>
      <c r="D11" s="3" t="s">
        <v>118</v>
      </c>
      <c r="L11" s="14" t="s">
        <v>71</v>
      </c>
      <c r="M11" s="14"/>
      <c r="N11" s="14"/>
      <c r="O11" s="14"/>
      <c r="R11" s="20">
        <v>44206</v>
      </c>
      <c r="S11" s="20">
        <v>44256</v>
      </c>
      <c r="T11" s="22"/>
    </row>
    <row r="12" spans="1:21" ht="28.5">
      <c r="A12" s="37" t="s">
        <v>136</v>
      </c>
      <c r="B12" s="13"/>
      <c r="C12" s="1" t="s">
        <v>135</v>
      </c>
      <c r="D12" s="3" t="s">
        <v>118</v>
      </c>
      <c r="L12" s="14" t="s">
        <v>71</v>
      </c>
      <c r="M12" s="14"/>
      <c r="N12" s="14"/>
      <c r="O12" s="14"/>
      <c r="R12" s="20">
        <v>44208</v>
      </c>
      <c r="S12" s="20">
        <v>44256</v>
      </c>
      <c r="T12" s="22"/>
    </row>
    <row r="13" spans="1:21">
      <c r="A13" s="1" t="s">
        <v>134</v>
      </c>
      <c r="B13" s="13"/>
      <c r="C13" s="1" t="s">
        <v>133</v>
      </c>
      <c r="D13" s="3" t="s">
        <v>118</v>
      </c>
      <c r="L13" s="14" t="s">
        <v>71</v>
      </c>
      <c r="M13" s="14"/>
      <c r="N13" s="14"/>
      <c r="O13" s="14"/>
      <c r="R13" s="20">
        <v>44208</v>
      </c>
      <c r="S13" s="20">
        <v>44256</v>
      </c>
      <c r="T13" s="22"/>
    </row>
    <row r="14" spans="1:21" ht="28.5">
      <c r="A14" s="1" t="s">
        <v>132</v>
      </c>
      <c r="B14" s="13"/>
      <c r="C14" s="1" t="s">
        <v>131</v>
      </c>
      <c r="D14" s="3" t="s">
        <v>118</v>
      </c>
      <c r="L14" s="14" t="s">
        <v>71</v>
      </c>
      <c r="M14" s="14"/>
      <c r="N14" s="14"/>
      <c r="O14" s="14"/>
      <c r="R14" s="20">
        <v>44208</v>
      </c>
      <c r="S14" s="20">
        <v>44256</v>
      </c>
      <c r="T14" s="22"/>
    </row>
    <row r="15" spans="1:21" ht="28.5">
      <c r="A15" s="1" t="s">
        <v>130</v>
      </c>
      <c r="C15" s="46" t="s">
        <v>129</v>
      </c>
      <c r="D15" s="3" t="s">
        <v>118</v>
      </c>
      <c r="K15" s="50"/>
      <c r="P15" s="50"/>
      <c r="R15" s="20">
        <v>44269.923842592594</v>
      </c>
    </row>
    <row r="16" spans="1:21" ht="36" customHeight="1">
      <c r="A16" s="1" t="s">
        <v>128</v>
      </c>
      <c r="C16" s="49" t="s">
        <v>127</v>
      </c>
      <c r="D16" s="3" t="s">
        <v>118</v>
      </c>
      <c r="K16" s="45"/>
      <c r="P16" s="45"/>
      <c r="R16" s="20">
        <v>44269.923576388886</v>
      </c>
      <c r="S16" s="20">
        <v>44269.924004629633</v>
      </c>
    </row>
    <row r="17" spans="1:20" ht="32.25" customHeight="1">
      <c r="A17" s="48" t="s">
        <v>126</v>
      </c>
      <c r="B17" s="47"/>
      <c r="C17" s="48" t="s">
        <v>125</v>
      </c>
      <c r="D17" s="3" t="s">
        <v>118</v>
      </c>
      <c r="K17" s="47"/>
      <c r="P17" s="47"/>
      <c r="R17" s="20">
        <v>44208</v>
      </c>
      <c r="T17" s="22"/>
    </row>
    <row r="18" spans="1:20" ht="27" customHeight="1">
      <c r="A18" s="1" t="s">
        <v>124</v>
      </c>
      <c r="C18" s="1" t="s">
        <v>123</v>
      </c>
      <c r="D18" s="3" t="s">
        <v>118</v>
      </c>
      <c r="R18" s="20">
        <v>44208</v>
      </c>
      <c r="T18" s="22"/>
    </row>
    <row r="19" spans="1:20" ht="27.75" customHeight="1">
      <c r="A19" s="1" t="s">
        <v>122</v>
      </c>
      <c r="C19" s="1" t="s">
        <v>121</v>
      </c>
      <c r="D19" s="3" t="s">
        <v>118</v>
      </c>
      <c r="R19" s="20">
        <v>44208</v>
      </c>
      <c r="T19" s="22"/>
    </row>
    <row r="20" spans="1:20" ht="63" customHeight="1">
      <c r="A20" s="1" t="s">
        <v>120</v>
      </c>
      <c r="C20" s="46" t="s">
        <v>119</v>
      </c>
      <c r="D20" s="3" t="s">
        <v>118</v>
      </c>
      <c r="K20" s="45"/>
      <c r="P20" s="45"/>
      <c r="R20" s="20">
        <v>44208</v>
      </c>
      <c r="S20" s="20">
        <v>44269.924780092595</v>
      </c>
      <c r="T20" s="22"/>
    </row>
    <row r="21" spans="1:20">
      <c r="A21" s="1" t="s">
        <v>117</v>
      </c>
      <c r="C21" s="1" t="s">
        <v>116</v>
      </c>
      <c r="R21" s="20">
        <v>44256</v>
      </c>
      <c r="S21" s="20">
        <v>44269.926423611112</v>
      </c>
      <c r="T21" s="22"/>
    </row>
    <row r="22" spans="1:20" ht="16.5">
      <c r="A22" s="13" t="s">
        <v>112</v>
      </c>
      <c r="B22" s="13"/>
      <c r="C22" s="1" t="s">
        <v>115</v>
      </c>
      <c r="D22" s="1" t="s">
        <v>29</v>
      </c>
      <c r="L22" s="5" t="s">
        <v>93</v>
      </c>
      <c r="M22" s="19" t="s">
        <v>101</v>
      </c>
      <c r="R22" s="20">
        <v>44266</v>
      </c>
      <c r="T22" s="44" t="s">
        <v>100</v>
      </c>
    </row>
    <row r="23" spans="1:20" ht="16.5">
      <c r="A23" s="13" t="s">
        <v>114</v>
      </c>
      <c r="B23" s="13"/>
      <c r="C23" s="1" t="s">
        <v>113</v>
      </c>
      <c r="D23" s="1" t="s">
        <v>29</v>
      </c>
      <c r="L23" s="5" t="s">
        <v>93</v>
      </c>
      <c r="M23" s="19" t="s">
        <v>101</v>
      </c>
      <c r="R23" s="20">
        <v>44266</v>
      </c>
      <c r="T23" s="44" t="s">
        <v>100</v>
      </c>
    </row>
    <row r="24" spans="1:20" ht="16.5">
      <c r="A24" s="13" t="s">
        <v>112</v>
      </c>
      <c r="B24" s="13"/>
      <c r="C24" s="1" t="s">
        <v>111</v>
      </c>
      <c r="D24" s="1" t="s">
        <v>29</v>
      </c>
      <c r="L24" s="5" t="s">
        <v>93</v>
      </c>
      <c r="M24" s="19" t="s">
        <v>101</v>
      </c>
      <c r="R24" s="20">
        <v>44266</v>
      </c>
      <c r="S24" s="20">
        <v>44269.751354166663</v>
      </c>
      <c r="T24" s="44" t="s">
        <v>100</v>
      </c>
    </row>
    <row r="25" spans="1:20" ht="16.5">
      <c r="A25" s="13" t="s">
        <v>110</v>
      </c>
      <c r="B25" s="13"/>
      <c r="C25" s="1" t="s">
        <v>109</v>
      </c>
      <c r="D25" s="1" t="s">
        <v>29</v>
      </c>
      <c r="L25" s="5" t="s">
        <v>93</v>
      </c>
      <c r="M25" s="19" t="s">
        <v>101</v>
      </c>
      <c r="R25" s="20">
        <v>44266</v>
      </c>
      <c r="T25" s="44" t="s">
        <v>100</v>
      </c>
    </row>
    <row r="26" spans="1:20" ht="16.5">
      <c r="A26" s="13"/>
      <c r="B26" s="13"/>
      <c r="C26" s="1" t="s">
        <v>108</v>
      </c>
      <c r="D26" s="1" t="s">
        <v>29</v>
      </c>
      <c r="R26" s="20">
        <v>44266</v>
      </c>
      <c r="T26" s="44" t="s">
        <v>100</v>
      </c>
    </row>
    <row r="27" spans="1:20" ht="16.5">
      <c r="A27" s="13" t="s">
        <v>107</v>
      </c>
      <c r="B27" s="13"/>
      <c r="C27" s="1" t="s">
        <v>106</v>
      </c>
      <c r="D27" s="1" t="s">
        <v>29</v>
      </c>
      <c r="L27" s="5" t="s">
        <v>93</v>
      </c>
      <c r="M27" s="19" t="s">
        <v>101</v>
      </c>
      <c r="R27" s="20">
        <v>44266</v>
      </c>
      <c r="T27" s="44" t="s">
        <v>100</v>
      </c>
    </row>
    <row r="28" spans="1:20" ht="16.5">
      <c r="A28" s="13" t="s">
        <v>105</v>
      </c>
      <c r="B28" s="13"/>
      <c r="C28" s="1" t="s">
        <v>104</v>
      </c>
      <c r="D28" s="1" t="s">
        <v>29</v>
      </c>
      <c r="L28" s="5" t="s">
        <v>93</v>
      </c>
      <c r="M28" s="19" t="s">
        <v>97</v>
      </c>
      <c r="R28" s="20">
        <v>44266</v>
      </c>
      <c r="T28" s="44" t="s">
        <v>100</v>
      </c>
    </row>
    <row r="29" spans="1:20" ht="27">
      <c r="A29" s="13" t="s">
        <v>103</v>
      </c>
      <c r="B29" s="13"/>
      <c r="C29" s="1" t="s">
        <v>102</v>
      </c>
      <c r="D29" s="1" t="s">
        <v>29</v>
      </c>
      <c r="L29" s="5" t="s">
        <v>93</v>
      </c>
      <c r="M29" s="19" t="s">
        <v>101</v>
      </c>
      <c r="R29" s="20">
        <v>44266</v>
      </c>
      <c r="T29" s="44" t="s">
        <v>100</v>
      </c>
    </row>
    <row r="30" spans="1:20" ht="28.5">
      <c r="A30" s="13" t="s">
        <v>99</v>
      </c>
      <c r="B30" s="13"/>
      <c r="C30" s="1" t="s">
        <v>98</v>
      </c>
      <c r="D30" s="1" t="s">
        <v>29</v>
      </c>
      <c r="E30" s="19" t="s">
        <v>96</v>
      </c>
      <c r="L30" s="5" t="s">
        <v>93</v>
      </c>
      <c r="M30" s="19" t="s">
        <v>97</v>
      </c>
      <c r="R30" s="20">
        <v>44266</v>
      </c>
      <c r="T30" s="22"/>
    </row>
    <row r="31" spans="1:20" ht="40.5">
      <c r="A31" s="13" t="s">
        <v>95</v>
      </c>
      <c r="B31" s="13"/>
      <c r="C31" s="1" t="s">
        <v>94</v>
      </c>
      <c r="D31" s="1" t="s">
        <v>29</v>
      </c>
      <c r="E31" s="19"/>
      <c r="L31" s="5" t="s">
        <v>93</v>
      </c>
      <c r="M31" s="19"/>
      <c r="T31" s="22"/>
    </row>
    <row r="32" spans="1:20" ht="28.5">
      <c r="A32" s="13" t="s">
        <v>1125</v>
      </c>
      <c r="B32" s="13"/>
      <c r="C32" s="1" t="s">
        <v>1128</v>
      </c>
      <c r="D32" s="1"/>
      <c r="E32" s="19"/>
      <c r="F32" s="5">
        <v>1</v>
      </c>
      <c r="G32" s="5">
        <v>1</v>
      </c>
      <c r="M32" s="19"/>
      <c r="T32" s="22"/>
    </row>
    <row r="33" spans="1:20" ht="16.5">
      <c r="A33" s="13" t="s">
        <v>1127</v>
      </c>
      <c r="B33" s="13"/>
      <c r="C33" s="1" t="s">
        <v>1129</v>
      </c>
      <c r="D33" s="1"/>
      <c r="E33" s="19"/>
      <c r="F33" s="5">
        <v>1</v>
      </c>
      <c r="G33" s="5">
        <v>1</v>
      </c>
      <c r="M33" s="19"/>
      <c r="T33" s="22"/>
    </row>
    <row r="34" spans="1:20" ht="16.5">
      <c r="A34" s="13" t="s">
        <v>1130</v>
      </c>
      <c r="B34" s="13"/>
      <c r="D34" s="1"/>
      <c r="E34" s="19"/>
      <c r="F34" s="5">
        <v>1</v>
      </c>
      <c r="G34" s="5">
        <v>1</v>
      </c>
      <c r="M34" s="19"/>
      <c r="T34" s="22"/>
    </row>
    <row r="35" spans="1:20" ht="16.5">
      <c r="A35" s="13" t="s">
        <v>1131</v>
      </c>
      <c r="B35" s="13"/>
      <c r="D35" s="1"/>
      <c r="E35" s="19"/>
      <c r="F35" s="5">
        <v>1</v>
      </c>
      <c r="G35" s="5">
        <v>1</v>
      </c>
      <c r="M35" s="19"/>
      <c r="T35" s="22"/>
    </row>
    <row r="36" spans="1:20" ht="16.5">
      <c r="A36" s="13" t="s">
        <v>1132</v>
      </c>
      <c r="B36" s="13"/>
      <c r="D36" s="1"/>
      <c r="E36" s="19"/>
      <c r="F36" s="5">
        <v>1</v>
      </c>
      <c r="G36" s="5">
        <v>1</v>
      </c>
      <c r="M36" s="19"/>
      <c r="T36" s="22"/>
    </row>
    <row r="37" spans="1:20" ht="16.5">
      <c r="A37" s="13" t="s">
        <v>1135</v>
      </c>
      <c r="B37" s="13"/>
      <c r="D37" s="1"/>
      <c r="E37" s="19"/>
      <c r="F37" s="5">
        <v>1</v>
      </c>
      <c r="G37" s="5">
        <v>1</v>
      </c>
      <c r="M37" s="19"/>
      <c r="R37" s="20">
        <v>44291.40315972222</v>
      </c>
      <c r="S37" s="20">
        <v>44291.40353009259</v>
      </c>
      <c r="T37" s="22"/>
    </row>
    <row r="38" spans="1:20" ht="16.5">
      <c r="A38" s="13" t="s">
        <v>1137</v>
      </c>
      <c r="B38" s="13"/>
      <c r="D38" s="1"/>
      <c r="E38" s="19"/>
      <c r="F38" s="5">
        <v>1</v>
      </c>
      <c r="H38" s="5">
        <v>1</v>
      </c>
      <c r="M38" s="19"/>
      <c r="R38" s="20">
        <v>44291.403437499997</v>
      </c>
      <c r="S38" s="20">
        <v>44291.403831018521</v>
      </c>
      <c r="T38" s="22"/>
    </row>
    <row r="39" spans="1:20" ht="16.5">
      <c r="A39" s="13" t="s">
        <v>1138</v>
      </c>
      <c r="B39" s="13"/>
      <c r="D39" s="1"/>
      <c r="E39" s="19"/>
      <c r="F39" s="5">
        <v>1</v>
      </c>
      <c r="H39" s="5">
        <v>1</v>
      </c>
      <c r="M39" s="19"/>
      <c r="R39" s="20">
        <v>44291.403923611113</v>
      </c>
      <c r="T39" s="22"/>
    </row>
    <row r="40" spans="1:20" ht="16.5">
      <c r="A40" s="13" t="s">
        <v>1139</v>
      </c>
      <c r="B40" s="13"/>
      <c r="D40" s="1"/>
      <c r="E40" s="19"/>
      <c r="F40" s="5">
        <v>1</v>
      </c>
      <c r="H40" s="5">
        <v>1</v>
      </c>
      <c r="M40" s="19"/>
      <c r="R40" s="20">
        <v>44291.404050925928</v>
      </c>
      <c r="T40" s="22"/>
    </row>
    <row r="41" spans="1:20" ht="16.5">
      <c r="A41" s="13" t="s">
        <v>1140</v>
      </c>
      <c r="B41" s="13"/>
      <c r="D41" s="1"/>
      <c r="E41" s="19"/>
      <c r="F41" s="5">
        <v>1</v>
      </c>
      <c r="H41" s="5">
        <v>1</v>
      </c>
      <c r="M41" s="19"/>
      <c r="R41" s="20">
        <v>44291.404131944444</v>
      </c>
      <c r="T41" s="22"/>
    </row>
    <row r="42" spans="1:20" ht="16.5">
      <c r="A42" s="13" t="s">
        <v>1141</v>
      </c>
      <c r="B42" s="13"/>
      <c r="D42" s="1"/>
      <c r="E42" s="19"/>
      <c r="F42" s="5">
        <v>1</v>
      </c>
      <c r="H42" s="5">
        <v>1</v>
      </c>
      <c r="M42" s="19"/>
      <c r="R42" s="20">
        <v>44291.40421296296</v>
      </c>
      <c r="T42" s="22"/>
    </row>
    <row r="43" spans="1:20" ht="16.5">
      <c r="A43" s="13" t="s">
        <v>1142</v>
      </c>
      <c r="B43" s="13"/>
      <c r="D43" s="1"/>
      <c r="E43" s="19"/>
      <c r="F43" s="5">
        <v>1</v>
      </c>
      <c r="H43" s="5">
        <v>1</v>
      </c>
      <c r="M43" s="19"/>
      <c r="R43" s="20">
        <v>44291.404421296298</v>
      </c>
      <c r="T43" s="22"/>
    </row>
    <row r="44" spans="1:20" ht="16.5">
      <c r="A44" s="13" t="s">
        <v>1143</v>
      </c>
      <c r="B44" s="13"/>
      <c r="D44" s="1"/>
      <c r="E44" s="19"/>
      <c r="F44" s="5">
        <v>1</v>
      </c>
      <c r="H44" s="5">
        <v>1</v>
      </c>
      <c r="M44" s="19"/>
      <c r="R44" s="20">
        <v>44291.40452546296</v>
      </c>
      <c r="T44" s="22"/>
    </row>
    <row r="45" spans="1:20" ht="30">
      <c r="A45" s="13" t="s">
        <v>1145</v>
      </c>
      <c r="B45" s="13"/>
      <c r="C45" s="1" t="s">
        <v>1144</v>
      </c>
      <c r="D45" s="1"/>
      <c r="E45" s="19"/>
      <c r="M45" s="19"/>
      <c r="R45" s="20">
        <v>44291.474317129629</v>
      </c>
      <c r="S45" s="20">
        <v>44291.474490740744</v>
      </c>
      <c r="T45" s="22"/>
    </row>
    <row r="46" spans="1:20" ht="16.5">
      <c r="A46" s="13"/>
      <c r="B46" s="13"/>
      <c r="D46" s="1"/>
      <c r="E46" s="19"/>
      <c r="M46" s="19"/>
      <c r="T46" s="22"/>
    </row>
    <row r="47" spans="1:20" ht="16.5">
      <c r="A47" s="13"/>
      <c r="B47" s="13"/>
      <c r="D47" s="1"/>
      <c r="E47" s="19"/>
      <c r="M47" s="19"/>
      <c r="T47" s="22"/>
    </row>
    <row r="48" spans="1:20" ht="16.5">
      <c r="A48" s="13"/>
      <c r="B48" s="13"/>
      <c r="D48" s="1"/>
      <c r="E48" s="19"/>
      <c r="M48" s="19"/>
      <c r="T48" s="22"/>
    </row>
    <row r="49" spans="1:20" ht="16.5">
      <c r="A49" s="13"/>
      <c r="B49" s="13"/>
      <c r="D49" s="1"/>
      <c r="E49" s="19"/>
      <c r="M49" s="19"/>
      <c r="T49" s="22"/>
    </row>
    <row r="50" spans="1:20" ht="16.5">
      <c r="A50" s="13"/>
      <c r="B50" s="13"/>
      <c r="D50" s="1"/>
      <c r="E50" s="19"/>
      <c r="M50" s="19"/>
      <c r="T50" s="22"/>
    </row>
    <row r="51" spans="1:20" ht="16.5">
      <c r="A51" s="13"/>
      <c r="B51" s="13"/>
      <c r="D51" s="1"/>
      <c r="E51" s="19"/>
      <c r="M51" s="19"/>
      <c r="T51" s="22"/>
    </row>
    <row r="52" spans="1:20" ht="16.5">
      <c r="A52" s="13"/>
      <c r="B52" s="13"/>
      <c r="D52" s="1"/>
      <c r="E52" s="19"/>
      <c r="M52" s="19"/>
      <c r="T52" s="22"/>
    </row>
    <row r="53" spans="1:20" ht="16.5">
      <c r="A53" s="13"/>
      <c r="B53" s="13"/>
      <c r="D53" s="1"/>
      <c r="E53" s="19"/>
      <c r="M53" s="19"/>
      <c r="T53" s="22"/>
    </row>
    <row r="54" spans="1:20" ht="16.5">
      <c r="A54" s="13"/>
      <c r="B54" s="13"/>
      <c r="D54" s="1"/>
      <c r="E54" s="19"/>
      <c r="M54" s="19"/>
      <c r="T54" s="22"/>
    </row>
    <row r="55" spans="1:20" ht="16.5">
      <c r="A55" s="13"/>
      <c r="B55" s="13"/>
      <c r="D55" s="1"/>
      <c r="E55" s="19"/>
      <c r="M55" s="19"/>
      <c r="T55" s="22"/>
    </row>
    <row r="56" spans="1:20" ht="16.5">
      <c r="A56" s="13"/>
      <c r="B56" s="13"/>
      <c r="D56" s="1"/>
      <c r="E56" s="19"/>
      <c r="M56" s="19"/>
      <c r="T56" s="22"/>
    </row>
    <row r="57" spans="1:20" ht="16.5">
      <c r="A57" s="13"/>
      <c r="B57" s="13"/>
      <c r="D57" s="1"/>
      <c r="E57" s="19"/>
      <c r="M57" s="19"/>
      <c r="T57" s="22"/>
    </row>
    <row r="58" spans="1:20" ht="16.5">
      <c r="A58" s="13"/>
      <c r="B58" s="13"/>
      <c r="D58" s="1"/>
      <c r="E58" s="19"/>
      <c r="M58" s="19"/>
      <c r="T58" s="22"/>
    </row>
    <row r="59" spans="1:20" ht="28.5" customHeight="1">
      <c r="A59" s="25" t="s">
        <v>10</v>
      </c>
      <c r="B59" s="27"/>
      <c r="C59" s="25"/>
      <c r="D59" s="27"/>
      <c r="E59" s="28"/>
      <c r="F59" s="28"/>
      <c r="G59" s="28"/>
      <c r="H59" s="28"/>
      <c r="I59" s="28"/>
      <c r="J59" s="28"/>
      <c r="K59" s="27"/>
      <c r="L59" s="28"/>
      <c r="M59" s="28"/>
      <c r="N59" s="28"/>
      <c r="O59" s="28"/>
      <c r="P59" s="27"/>
      <c r="Q59" s="28"/>
      <c r="R59" s="29"/>
      <c r="S59" s="29"/>
      <c r="T59" s="28"/>
    </row>
  </sheetData>
  <autoFilter ref="A2:S30" xr:uid="{27AAE171-7668-4C1B-AADB-82994DD79567}">
    <sortState xmlns:xlrd2="http://schemas.microsoft.com/office/spreadsheetml/2017/richdata2" ref="A3:S30">
      <sortCondition ref="A3:A30"/>
    </sortState>
  </autoFilter>
  <phoneticPr fontId="2" type="noConversion"/>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03687-B4EA-458A-BD89-54CD1FD0EF56}">
  <sheetPr codeName="Sheet3"/>
  <dimension ref="A1:T281"/>
  <sheetViews>
    <sheetView zoomScaleNormal="100" zoomScaleSheetLayoutView="100" workbookViewId="0">
      <selection activeCell="F16" sqref="F16"/>
    </sheetView>
  </sheetViews>
  <sheetFormatPr defaultColWidth="8.75" defaultRowHeight="15.75"/>
  <cols>
    <col min="1" max="1" width="20" style="134" customWidth="1"/>
    <col min="2" max="2" width="23.25" style="134" customWidth="1"/>
    <col min="3" max="3" width="11.625" style="134" customWidth="1"/>
    <col min="4" max="4" width="26.875" style="134" customWidth="1"/>
    <col min="5" max="5" width="11.625" style="134" customWidth="1"/>
    <col min="6" max="6" width="19.125" style="134" customWidth="1"/>
    <col min="7" max="7" width="10.625" style="134" customWidth="1"/>
    <col min="8" max="8" width="12.25" style="134" customWidth="1"/>
    <col min="9" max="9" width="18.625" style="134" customWidth="1"/>
    <col min="10" max="10" width="21.125" style="134" customWidth="1"/>
    <col min="11" max="20" width="10.375" style="134" customWidth="1"/>
    <col min="21" max="16384" width="8.75" style="134"/>
  </cols>
  <sheetData>
    <row r="1" spans="1:20">
      <c r="A1" s="136" t="s">
        <v>1172</v>
      </c>
      <c r="B1" s="136" t="s">
        <v>1171</v>
      </c>
      <c r="C1" s="136" t="s">
        <v>1177</v>
      </c>
      <c r="D1" s="136" t="s">
        <v>1169</v>
      </c>
      <c r="E1" s="136" t="s">
        <v>1175</v>
      </c>
      <c r="F1" s="136" t="s">
        <v>1176</v>
      </c>
      <c r="G1" s="136" t="s">
        <v>1174</v>
      </c>
      <c r="H1" s="136" t="s">
        <v>1173</v>
      </c>
      <c r="I1" s="136" t="s">
        <v>1170</v>
      </c>
      <c r="J1" s="136" t="s">
        <v>1168</v>
      </c>
      <c r="K1" s="136"/>
      <c r="L1" s="136"/>
      <c r="M1" s="136"/>
      <c r="N1" s="136"/>
      <c r="O1" s="136"/>
      <c r="P1" s="136"/>
      <c r="Q1" s="136"/>
      <c r="R1" s="136"/>
      <c r="S1" s="136"/>
      <c r="T1" s="136"/>
    </row>
    <row r="2" spans="1:20">
      <c r="A2" s="136" t="s">
        <v>1152</v>
      </c>
      <c r="B2" s="136" t="s">
        <v>1164</v>
      </c>
      <c r="C2" s="136" t="s">
        <v>1156</v>
      </c>
      <c r="D2" s="136"/>
      <c r="E2" s="136" t="s">
        <v>1149</v>
      </c>
      <c r="F2" s="143">
        <v>44277</v>
      </c>
      <c r="G2" s="142">
        <v>0.20833333333333334</v>
      </c>
      <c r="H2" s="142">
        <v>0.29166666666666669</v>
      </c>
      <c r="I2" s="136"/>
      <c r="J2" s="136"/>
      <c r="K2" s="136"/>
      <c r="L2" s="136"/>
      <c r="M2" s="136"/>
      <c r="N2" s="136"/>
      <c r="O2" s="136"/>
      <c r="P2" s="136"/>
      <c r="Q2" s="136"/>
      <c r="R2" s="136"/>
      <c r="S2" s="136"/>
      <c r="T2" s="136"/>
    </row>
    <row r="3" spans="1:20">
      <c r="A3" s="136" t="s">
        <v>1148</v>
      </c>
      <c r="B3" s="136"/>
      <c r="C3" s="136" t="s">
        <v>1156</v>
      </c>
      <c r="D3" s="136"/>
      <c r="E3" s="136" t="s">
        <v>1149</v>
      </c>
      <c r="F3" s="143">
        <v>44277</v>
      </c>
      <c r="G3" s="142">
        <v>0.29166666666666669</v>
      </c>
      <c r="H3" s="142">
        <v>0.33333333333333331</v>
      </c>
      <c r="I3" s="136"/>
      <c r="J3" s="136"/>
      <c r="K3" s="136"/>
      <c r="L3" s="136"/>
      <c r="M3" s="136"/>
      <c r="N3" s="136"/>
      <c r="O3" s="136"/>
      <c r="P3" s="136"/>
      <c r="Q3" s="136"/>
      <c r="R3" s="136"/>
      <c r="S3" s="136"/>
      <c r="T3" s="136"/>
    </row>
    <row r="4" spans="1:20" ht="16.5">
      <c r="A4" s="136" t="s">
        <v>1158</v>
      </c>
      <c r="B4" s="139"/>
      <c r="C4" s="136" t="s">
        <v>1156</v>
      </c>
      <c r="D4" s="137"/>
      <c r="E4" s="136" t="s">
        <v>1149</v>
      </c>
      <c r="F4" s="143">
        <v>44277</v>
      </c>
      <c r="G4" s="142">
        <v>0.50694444444444442</v>
      </c>
      <c r="H4" s="142">
        <v>0.52777777777777779</v>
      </c>
      <c r="I4" s="137"/>
      <c r="J4" s="135"/>
      <c r="K4" s="135"/>
      <c r="L4" s="135"/>
      <c r="M4" s="135"/>
      <c r="N4" s="135"/>
      <c r="O4" s="135"/>
      <c r="P4" s="135"/>
      <c r="Q4" s="135"/>
      <c r="R4" s="135"/>
      <c r="S4" s="135"/>
      <c r="T4" s="135"/>
    </row>
    <row r="5" spans="1:20" ht="16.5">
      <c r="A5" s="136" t="s">
        <v>1152</v>
      </c>
      <c r="B5" s="139" t="s">
        <v>1163</v>
      </c>
      <c r="C5" s="136" t="s">
        <v>1156</v>
      </c>
      <c r="D5" s="137"/>
      <c r="E5" s="136" t="s">
        <v>1149</v>
      </c>
      <c r="F5" s="143">
        <v>44277</v>
      </c>
      <c r="G5" s="142">
        <v>0.77083333333333337</v>
      </c>
      <c r="H5" s="142">
        <v>0.8125</v>
      </c>
      <c r="I5" s="137"/>
      <c r="J5" s="135"/>
      <c r="K5" s="135"/>
      <c r="L5" s="135"/>
      <c r="M5" s="135"/>
      <c r="N5" s="135"/>
      <c r="O5" s="135"/>
      <c r="P5" s="135"/>
      <c r="Q5" s="135"/>
      <c r="R5" s="135"/>
      <c r="S5" s="135"/>
      <c r="T5" s="135"/>
    </row>
    <row r="6" spans="1:20" ht="16.5">
      <c r="A6" s="136" t="s">
        <v>1154</v>
      </c>
      <c r="B6" s="139"/>
      <c r="C6" s="136" t="s">
        <v>1150</v>
      </c>
      <c r="D6" s="137"/>
      <c r="E6" s="136" t="s">
        <v>1149</v>
      </c>
      <c r="F6" s="143">
        <v>44277</v>
      </c>
      <c r="G6" s="142">
        <v>0.83333333333333337</v>
      </c>
      <c r="H6" s="142">
        <v>0.875</v>
      </c>
      <c r="I6" s="137"/>
      <c r="J6" s="135"/>
      <c r="K6" s="135"/>
      <c r="L6" s="135"/>
      <c r="M6" s="135"/>
      <c r="N6" s="135"/>
      <c r="O6" s="135"/>
      <c r="P6" s="135"/>
      <c r="Q6" s="135"/>
      <c r="R6" s="135"/>
      <c r="S6" s="135"/>
      <c r="T6" s="135"/>
    </row>
    <row r="7" spans="1:20" ht="16.5">
      <c r="A7" s="136" t="s">
        <v>1152</v>
      </c>
      <c r="B7" s="139" t="s">
        <v>1162</v>
      </c>
      <c r="C7" s="136" t="s">
        <v>1150</v>
      </c>
      <c r="D7" s="139"/>
      <c r="E7" s="136" t="s">
        <v>1149</v>
      </c>
      <c r="F7" s="143">
        <v>44277</v>
      </c>
      <c r="G7" s="142">
        <v>0.875</v>
      </c>
      <c r="H7" s="142">
        <v>0.91666666666666663</v>
      </c>
      <c r="I7" s="139"/>
      <c r="J7" s="135"/>
      <c r="K7" s="135"/>
      <c r="L7" s="135"/>
      <c r="M7" s="135"/>
      <c r="N7" s="135"/>
      <c r="O7" s="135"/>
      <c r="P7" s="135"/>
      <c r="Q7" s="135"/>
      <c r="R7" s="135"/>
      <c r="S7" s="135"/>
      <c r="T7" s="135"/>
    </row>
    <row r="8" spans="1:20" ht="16.5">
      <c r="A8" s="136" t="s">
        <v>1148</v>
      </c>
      <c r="B8" s="139" t="s">
        <v>1161</v>
      </c>
      <c r="C8" s="136" t="s">
        <v>1150</v>
      </c>
      <c r="D8" s="139"/>
      <c r="E8" s="136" t="s">
        <v>1149</v>
      </c>
      <c r="F8" s="143">
        <v>44277</v>
      </c>
      <c r="G8" s="142">
        <v>0.91666666666666663</v>
      </c>
      <c r="H8" s="142">
        <v>0.95833333333333337</v>
      </c>
      <c r="I8" s="139"/>
      <c r="J8" s="135"/>
      <c r="K8" s="135"/>
      <c r="L8" s="135"/>
      <c r="M8" s="135"/>
      <c r="N8" s="135"/>
      <c r="O8" s="135"/>
      <c r="P8" s="135"/>
      <c r="Q8" s="135"/>
      <c r="R8" s="135"/>
      <c r="S8" s="135"/>
      <c r="T8" s="135"/>
    </row>
    <row r="9" spans="1:20">
      <c r="A9" s="136" t="s">
        <v>1152</v>
      </c>
      <c r="B9" s="136" t="s">
        <v>1164</v>
      </c>
      <c r="C9" s="136" t="s">
        <v>1156</v>
      </c>
      <c r="D9" s="136"/>
      <c r="E9" s="136" t="s">
        <v>1149</v>
      </c>
      <c r="F9" s="143">
        <v>44278</v>
      </c>
      <c r="G9" s="142">
        <v>0.20833333333333334</v>
      </c>
      <c r="H9" s="142">
        <v>0.29166666666666669</v>
      </c>
      <c r="I9" s="136"/>
      <c r="J9" s="136"/>
      <c r="K9" s="136"/>
      <c r="L9" s="136"/>
      <c r="M9" s="136"/>
      <c r="N9" s="136"/>
      <c r="O9" s="136"/>
      <c r="P9" s="136"/>
      <c r="Q9" s="136"/>
      <c r="R9" s="136"/>
      <c r="S9" s="136"/>
      <c r="T9" s="136"/>
    </row>
    <row r="10" spans="1:20">
      <c r="A10" s="136" t="s">
        <v>1148</v>
      </c>
      <c r="B10" s="136"/>
      <c r="C10" s="136" t="s">
        <v>1156</v>
      </c>
      <c r="D10" s="136"/>
      <c r="E10" s="136" t="s">
        <v>1149</v>
      </c>
      <c r="F10" s="143">
        <v>44278</v>
      </c>
      <c r="G10" s="142">
        <v>0.29166666666666669</v>
      </c>
      <c r="H10" s="142">
        <v>0.33333333333333331</v>
      </c>
      <c r="I10" s="136"/>
      <c r="J10" s="136"/>
      <c r="K10" s="136"/>
      <c r="L10" s="136"/>
      <c r="M10" s="136"/>
      <c r="N10" s="136"/>
      <c r="O10" s="136"/>
      <c r="P10" s="136"/>
      <c r="Q10" s="136"/>
      <c r="R10" s="136"/>
      <c r="S10" s="136"/>
      <c r="T10" s="136"/>
    </row>
    <row r="11" spans="1:20" ht="16.5">
      <c r="A11" s="136" t="s">
        <v>1158</v>
      </c>
      <c r="B11" s="139"/>
      <c r="C11" s="136" t="s">
        <v>1156</v>
      </c>
      <c r="D11" s="137"/>
      <c r="E11" s="136" t="s">
        <v>1149</v>
      </c>
      <c r="F11" s="143">
        <v>44278</v>
      </c>
      <c r="G11" s="142">
        <v>0.50694444444444442</v>
      </c>
      <c r="H11" s="142">
        <v>0.52777777777777779</v>
      </c>
      <c r="I11" s="137"/>
      <c r="J11" s="135"/>
      <c r="K11" s="135"/>
      <c r="L11" s="135"/>
      <c r="M11" s="135"/>
      <c r="N11" s="135"/>
      <c r="O11" s="135"/>
      <c r="P11" s="135"/>
      <c r="Q11" s="135"/>
      <c r="R11" s="135"/>
      <c r="S11" s="135"/>
      <c r="T11" s="135"/>
    </row>
    <row r="12" spans="1:20" ht="16.5">
      <c r="A12" s="136" t="s">
        <v>1152</v>
      </c>
      <c r="B12" s="139" t="s">
        <v>1163</v>
      </c>
      <c r="C12" s="136" t="s">
        <v>1156</v>
      </c>
      <c r="D12" s="137"/>
      <c r="E12" s="136" t="s">
        <v>1149</v>
      </c>
      <c r="F12" s="143">
        <v>44278</v>
      </c>
      <c r="G12" s="142">
        <v>0.77083333333333337</v>
      </c>
      <c r="H12" s="142">
        <v>0.8125</v>
      </c>
      <c r="I12" s="137"/>
      <c r="J12" s="135"/>
      <c r="K12" s="135"/>
      <c r="L12" s="135"/>
      <c r="M12" s="135"/>
      <c r="N12" s="135"/>
      <c r="O12" s="135"/>
      <c r="P12" s="135"/>
      <c r="Q12" s="135"/>
      <c r="R12" s="135"/>
      <c r="S12" s="135"/>
      <c r="T12" s="135"/>
    </row>
    <row r="13" spans="1:20" ht="16.5">
      <c r="A13" s="136" t="s">
        <v>1154</v>
      </c>
      <c r="B13" s="139"/>
      <c r="C13" s="136" t="s">
        <v>1150</v>
      </c>
      <c r="D13" s="137"/>
      <c r="E13" s="136" t="s">
        <v>1149</v>
      </c>
      <c r="F13" s="143">
        <v>44278</v>
      </c>
      <c r="G13" s="142">
        <v>0.83333333333333337</v>
      </c>
      <c r="H13" s="142">
        <v>0.875</v>
      </c>
      <c r="I13" s="137"/>
      <c r="J13" s="135"/>
      <c r="K13" s="135"/>
      <c r="L13" s="135"/>
      <c r="M13" s="135"/>
      <c r="N13" s="135"/>
      <c r="O13" s="135"/>
      <c r="P13" s="135"/>
      <c r="Q13" s="135"/>
      <c r="R13" s="135"/>
      <c r="S13" s="135"/>
      <c r="T13" s="135"/>
    </row>
    <row r="14" spans="1:20" ht="16.5">
      <c r="A14" s="136" t="s">
        <v>1152</v>
      </c>
      <c r="B14" s="139" t="s">
        <v>1162</v>
      </c>
      <c r="C14" s="136" t="s">
        <v>1150</v>
      </c>
      <c r="D14" s="139"/>
      <c r="E14" s="136" t="s">
        <v>1149</v>
      </c>
      <c r="F14" s="143">
        <v>44278</v>
      </c>
      <c r="G14" s="142">
        <v>0.875</v>
      </c>
      <c r="H14" s="142">
        <v>0.91666666666666663</v>
      </c>
      <c r="I14" s="139"/>
      <c r="J14" s="135"/>
      <c r="K14" s="135"/>
      <c r="L14" s="135"/>
      <c r="M14" s="135"/>
      <c r="N14" s="135"/>
      <c r="O14" s="135"/>
      <c r="P14" s="135"/>
      <c r="Q14" s="135"/>
      <c r="R14" s="135"/>
      <c r="S14" s="135"/>
      <c r="T14" s="135"/>
    </row>
    <row r="15" spans="1:20" ht="16.5">
      <c r="A15" s="136" t="s">
        <v>1148</v>
      </c>
      <c r="B15" s="139" t="s">
        <v>1161</v>
      </c>
      <c r="C15" s="136" t="s">
        <v>1150</v>
      </c>
      <c r="D15" s="139"/>
      <c r="E15" s="136" t="s">
        <v>1149</v>
      </c>
      <c r="F15" s="143">
        <v>44278</v>
      </c>
      <c r="G15" s="142">
        <v>0.91666666666666663</v>
      </c>
      <c r="H15" s="142">
        <v>0.95833333333333337</v>
      </c>
      <c r="I15" s="139"/>
      <c r="J15" s="135"/>
      <c r="K15" s="135"/>
      <c r="L15" s="135"/>
      <c r="M15" s="135"/>
      <c r="N15" s="135"/>
      <c r="O15" s="135"/>
      <c r="P15" s="135"/>
      <c r="Q15" s="135"/>
      <c r="R15" s="135"/>
      <c r="S15" s="135"/>
      <c r="T15" s="135"/>
    </row>
    <row r="16" spans="1:20">
      <c r="A16" s="136" t="s">
        <v>1152</v>
      </c>
      <c r="B16" s="136" t="s">
        <v>1164</v>
      </c>
      <c r="C16" s="136" t="s">
        <v>1156</v>
      </c>
      <c r="D16" s="136"/>
      <c r="E16" s="136" t="s">
        <v>1149</v>
      </c>
      <c r="F16" s="143">
        <v>44279</v>
      </c>
      <c r="G16" s="142">
        <v>0.20833333333333334</v>
      </c>
      <c r="H16" s="142">
        <v>0.29166666666666669</v>
      </c>
      <c r="I16" s="136"/>
      <c r="J16" s="136"/>
      <c r="K16" s="136"/>
      <c r="L16" s="136"/>
      <c r="M16" s="136"/>
      <c r="N16" s="136"/>
      <c r="O16" s="136"/>
      <c r="P16" s="136"/>
      <c r="Q16" s="136"/>
      <c r="R16" s="136"/>
      <c r="S16" s="136"/>
      <c r="T16" s="136"/>
    </row>
    <row r="17" spans="1:20">
      <c r="A17" s="136" t="s">
        <v>1148</v>
      </c>
      <c r="B17" s="136"/>
      <c r="C17" s="136" t="s">
        <v>1156</v>
      </c>
      <c r="D17" s="136"/>
      <c r="E17" s="136" t="s">
        <v>1149</v>
      </c>
      <c r="F17" s="143">
        <v>44279</v>
      </c>
      <c r="G17" s="142">
        <v>0.29166666666666669</v>
      </c>
      <c r="H17" s="142">
        <v>0.33333333333333331</v>
      </c>
      <c r="I17" s="136"/>
      <c r="J17" s="136"/>
      <c r="K17" s="136"/>
      <c r="L17" s="136"/>
      <c r="M17" s="136"/>
      <c r="N17" s="136"/>
      <c r="O17" s="136"/>
      <c r="P17" s="136"/>
      <c r="Q17" s="136"/>
      <c r="R17" s="136"/>
      <c r="S17" s="136"/>
      <c r="T17" s="136"/>
    </row>
    <row r="18" spans="1:20" ht="16.5">
      <c r="A18" s="136" t="s">
        <v>1158</v>
      </c>
      <c r="B18" s="139"/>
      <c r="C18" s="136" t="s">
        <v>1156</v>
      </c>
      <c r="D18" s="137"/>
      <c r="E18" s="136" t="s">
        <v>1149</v>
      </c>
      <c r="F18" s="143">
        <v>44279</v>
      </c>
      <c r="G18" s="142">
        <v>0.50694444444444442</v>
      </c>
      <c r="H18" s="142">
        <v>0.52777777777777779</v>
      </c>
      <c r="I18" s="137"/>
      <c r="J18" s="135"/>
      <c r="K18" s="135"/>
      <c r="L18" s="135"/>
      <c r="M18" s="135"/>
      <c r="N18" s="135"/>
      <c r="O18" s="135"/>
      <c r="P18" s="135"/>
      <c r="Q18" s="135"/>
      <c r="R18" s="135"/>
      <c r="S18" s="135"/>
      <c r="T18" s="135"/>
    </row>
    <row r="19" spans="1:20" ht="16.5">
      <c r="A19" s="136" t="s">
        <v>1152</v>
      </c>
      <c r="B19" s="139" t="s">
        <v>1163</v>
      </c>
      <c r="C19" s="136" t="s">
        <v>1156</v>
      </c>
      <c r="D19" s="137"/>
      <c r="E19" s="136" t="s">
        <v>1149</v>
      </c>
      <c r="F19" s="143">
        <v>44279</v>
      </c>
      <c r="G19" s="142">
        <v>0.77083333333333337</v>
      </c>
      <c r="H19" s="142">
        <v>0.8125</v>
      </c>
      <c r="I19" s="137"/>
      <c r="J19" s="135"/>
      <c r="K19" s="135"/>
      <c r="L19" s="135"/>
      <c r="M19" s="135"/>
      <c r="N19" s="135"/>
      <c r="O19" s="135"/>
      <c r="P19" s="135"/>
      <c r="Q19" s="135"/>
      <c r="R19" s="135"/>
      <c r="S19" s="135"/>
      <c r="T19" s="135"/>
    </row>
    <row r="20" spans="1:20" ht="16.5">
      <c r="A20" s="136" t="s">
        <v>1154</v>
      </c>
      <c r="B20" s="139"/>
      <c r="C20" s="136" t="s">
        <v>1150</v>
      </c>
      <c r="D20" s="137"/>
      <c r="E20" s="136" t="s">
        <v>1149</v>
      </c>
      <c r="F20" s="143">
        <v>44279</v>
      </c>
      <c r="G20" s="142">
        <v>0.83333333333333337</v>
      </c>
      <c r="H20" s="142">
        <v>0.875</v>
      </c>
      <c r="I20" s="137"/>
      <c r="J20" s="135"/>
      <c r="K20" s="135"/>
      <c r="L20" s="135"/>
      <c r="M20" s="135"/>
      <c r="N20" s="135"/>
      <c r="O20" s="135"/>
      <c r="P20" s="135"/>
      <c r="Q20" s="135"/>
      <c r="R20" s="135"/>
      <c r="S20" s="135"/>
      <c r="T20" s="135"/>
    </row>
    <row r="21" spans="1:20" ht="16.5">
      <c r="A21" s="136" t="s">
        <v>1152</v>
      </c>
      <c r="B21" s="139" t="s">
        <v>1162</v>
      </c>
      <c r="C21" s="136" t="s">
        <v>1150</v>
      </c>
      <c r="D21" s="139"/>
      <c r="E21" s="136" t="s">
        <v>1149</v>
      </c>
      <c r="F21" s="143">
        <v>44279</v>
      </c>
      <c r="G21" s="142">
        <v>0.875</v>
      </c>
      <c r="H21" s="142">
        <v>0.91666666666666663</v>
      </c>
      <c r="I21" s="139"/>
      <c r="J21" s="135"/>
      <c r="K21" s="135"/>
      <c r="L21" s="135"/>
      <c r="M21" s="135"/>
      <c r="N21" s="135"/>
      <c r="O21" s="135"/>
      <c r="P21" s="135"/>
      <c r="Q21" s="135"/>
      <c r="R21" s="135"/>
      <c r="S21" s="135"/>
      <c r="T21" s="135"/>
    </row>
    <row r="22" spans="1:20" ht="16.5">
      <c r="A22" s="136" t="s">
        <v>1148</v>
      </c>
      <c r="B22" s="139" t="s">
        <v>1161</v>
      </c>
      <c r="C22" s="136" t="s">
        <v>1150</v>
      </c>
      <c r="D22" s="139"/>
      <c r="E22" s="136" t="s">
        <v>1149</v>
      </c>
      <c r="F22" s="143">
        <v>44279</v>
      </c>
      <c r="G22" s="142">
        <v>0.91666666666666663</v>
      </c>
      <c r="H22" s="142">
        <v>0.95833333333333337</v>
      </c>
      <c r="I22" s="139"/>
      <c r="J22" s="135"/>
      <c r="K22" s="135"/>
      <c r="L22" s="135"/>
      <c r="M22" s="135"/>
      <c r="N22" s="135"/>
      <c r="O22" s="135"/>
      <c r="P22" s="135"/>
      <c r="Q22" s="135"/>
      <c r="R22" s="135"/>
      <c r="S22" s="135"/>
      <c r="T22" s="135"/>
    </row>
    <row r="23" spans="1:20">
      <c r="A23" s="136" t="s">
        <v>1152</v>
      </c>
      <c r="B23" s="136" t="s">
        <v>1164</v>
      </c>
      <c r="C23" s="136" t="s">
        <v>1156</v>
      </c>
      <c r="D23" s="136"/>
      <c r="E23" s="136" t="s">
        <v>1149</v>
      </c>
      <c r="F23" s="143">
        <v>44280</v>
      </c>
      <c r="G23" s="142">
        <v>0.20833333333333334</v>
      </c>
      <c r="H23" s="142">
        <v>0.29166666666666669</v>
      </c>
      <c r="I23" s="136"/>
      <c r="J23" s="136"/>
      <c r="K23" s="136"/>
      <c r="L23" s="136"/>
      <c r="M23" s="136"/>
      <c r="N23" s="136"/>
      <c r="O23" s="136"/>
      <c r="P23" s="136"/>
      <c r="Q23" s="136"/>
      <c r="R23" s="136"/>
      <c r="S23" s="136"/>
      <c r="T23" s="136"/>
    </row>
    <row r="24" spans="1:20">
      <c r="A24" s="136" t="s">
        <v>1148</v>
      </c>
      <c r="B24" s="136"/>
      <c r="C24" s="136" t="s">
        <v>1156</v>
      </c>
      <c r="D24" s="136"/>
      <c r="E24" s="136" t="s">
        <v>1149</v>
      </c>
      <c r="F24" s="143">
        <v>44280</v>
      </c>
      <c r="G24" s="142">
        <v>0.29166666666666669</v>
      </c>
      <c r="H24" s="142">
        <v>0.33333333333333331</v>
      </c>
      <c r="I24" s="136"/>
      <c r="J24" s="136"/>
      <c r="K24" s="136"/>
      <c r="L24" s="136"/>
      <c r="M24" s="136"/>
      <c r="N24" s="136"/>
      <c r="O24" s="136"/>
      <c r="P24" s="136"/>
      <c r="Q24" s="136"/>
      <c r="R24" s="136"/>
      <c r="S24" s="136"/>
      <c r="T24" s="136"/>
    </row>
    <row r="25" spans="1:20" ht="16.5">
      <c r="A25" s="136" t="s">
        <v>1158</v>
      </c>
      <c r="B25" s="139"/>
      <c r="C25" s="136" t="s">
        <v>1156</v>
      </c>
      <c r="D25" s="137"/>
      <c r="E25" s="136" t="s">
        <v>1149</v>
      </c>
      <c r="F25" s="143">
        <v>44280</v>
      </c>
      <c r="G25" s="142">
        <v>0.50694444444444442</v>
      </c>
      <c r="H25" s="142">
        <v>0.52777777777777779</v>
      </c>
      <c r="I25" s="137"/>
      <c r="J25" s="135"/>
      <c r="K25" s="135"/>
      <c r="L25" s="135"/>
      <c r="M25" s="135"/>
      <c r="N25" s="135"/>
      <c r="O25" s="135"/>
      <c r="P25" s="135"/>
      <c r="Q25" s="135"/>
      <c r="R25" s="135"/>
      <c r="S25" s="135"/>
      <c r="T25" s="135"/>
    </row>
    <row r="26" spans="1:20" ht="16.5">
      <c r="A26" s="136" t="s">
        <v>1152</v>
      </c>
      <c r="B26" s="139" t="s">
        <v>1163</v>
      </c>
      <c r="C26" s="136" t="s">
        <v>1156</v>
      </c>
      <c r="D26" s="137"/>
      <c r="E26" s="136" t="s">
        <v>1149</v>
      </c>
      <c r="F26" s="143">
        <v>44280</v>
      </c>
      <c r="G26" s="142">
        <v>0.77083333333333337</v>
      </c>
      <c r="H26" s="142">
        <v>0.8125</v>
      </c>
      <c r="I26" s="137"/>
      <c r="J26" s="135"/>
      <c r="K26" s="135"/>
      <c r="L26" s="135"/>
      <c r="M26" s="135"/>
      <c r="N26" s="135"/>
      <c r="O26" s="135"/>
      <c r="P26" s="135"/>
      <c r="Q26" s="135"/>
      <c r="R26" s="135"/>
      <c r="S26" s="135"/>
      <c r="T26" s="135"/>
    </row>
    <row r="27" spans="1:20" ht="16.5">
      <c r="A27" s="136" t="s">
        <v>1154</v>
      </c>
      <c r="B27" s="139"/>
      <c r="C27" s="136" t="s">
        <v>1150</v>
      </c>
      <c r="D27" s="137"/>
      <c r="E27" s="136" t="s">
        <v>1149</v>
      </c>
      <c r="F27" s="143">
        <v>44280</v>
      </c>
      <c r="G27" s="142">
        <v>0.83333333333333337</v>
      </c>
      <c r="H27" s="142">
        <v>0.875</v>
      </c>
      <c r="I27" s="137"/>
      <c r="J27" s="135"/>
      <c r="K27" s="135"/>
      <c r="L27" s="135"/>
      <c r="M27" s="135"/>
      <c r="N27" s="135"/>
      <c r="O27" s="135"/>
      <c r="P27" s="135"/>
      <c r="Q27" s="135"/>
      <c r="R27" s="135"/>
      <c r="S27" s="135"/>
      <c r="T27" s="135"/>
    </row>
    <row r="28" spans="1:20" ht="16.5">
      <c r="A28" s="136" t="s">
        <v>1152</v>
      </c>
      <c r="B28" s="139" t="s">
        <v>1162</v>
      </c>
      <c r="C28" s="136" t="s">
        <v>1150</v>
      </c>
      <c r="D28" s="139"/>
      <c r="E28" s="136" t="s">
        <v>1149</v>
      </c>
      <c r="F28" s="143">
        <v>44280</v>
      </c>
      <c r="G28" s="142">
        <v>0.875</v>
      </c>
      <c r="H28" s="142">
        <v>0.91666666666666663</v>
      </c>
      <c r="I28" s="139"/>
      <c r="J28" s="135"/>
      <c r="K28" s="135"/>
      <c r="L28" s="135"/>
      <c r="M28" s="135"/>
      <c r="N28" s="135"/>
      <c r="O28" s="135"/>
      <c r="P28" s="135"/>
      <c r="Q28" s="135"/>
      <c r="R28" s="135"/>
      <c r="S28" s="135"/>
      <c r="T28" s="135"/>
    </row>
    <row r="29" spans="1:20" ht="16.5">
      <c r="A29" s="136" t="s">
        <v>1148</v>
      </c>
      <c r="B29" s="139" t="s">
        <v>1161</v>
      </c>
      <c r="C29" s="136" t="s">
        <v>1150</v>
      </c>
      <c r="D29" s="139"/>
      <c r="E29" s="136" t="s">
        <v>1149</v>
      </c>
      <c r="F29" s="143">
        <v>44280</v>
      </c>
      <c r="G29" s="142">
        <v>0.91666666666666663</v>
      </c>
      <c r="H29" s="142">
        <v>0.95833333333333337</v>
      </c>
      <c r="I29" s="139"/>
      <c r="J29" s="135"/>
      <c r="K29" s="135"/>
      <c r="L29" s="135"/>
      <c r="M29" s="135"/>
      <c r="N29" s="135"/>
      <c r="O29" s="135"/>
      <c r="P29" s="135"/>
      <c r="Q29" s="135"/>
      <c r="R29" s="135"/>
      <c r="S29" s="135"/>
      <c r="T29" s="135"/>
    </row>
    <row r="30" spans="1:20" ht="16.5">
      <c r="A30" s="136" t="s">
        <v>1152</v>
      </c>
      <c r="B30" s="139" t="s">
        <v>1160</v>
      </c>
      <c r="C30" s="136" t="s">
        <v>1156</v>
      </c>
      <c r="D30" s="139"/>
      <c r="E30" s="136" t="s">
        <v>1149</v>
      </c>
      <c r="F30" s="143">
        <v>44281</v>
      </c>
      <c r="G30" s="142">
        <v>0.20833333333333334</v>
      </c>
      <c r="H30" s="142">
        <v>0.29166666666666669</v>
      </c>
      <c r="I30" s="139"/>
      <c r="J30" s="135"/>
      <c r="K30" s="135"/>
      <c r="L30" s="135"/>
      <c r="M30" s="135"/>
      <c r="N30" s="135"/>
      <c r="O30" s="135"/>
      <c r="P30" s="135"/>
      <c r="Q30" s="135"/>
      <c r="R30" s="135"/>
      <c r="S30" s="135"/>
      <c r="T30" s="135"/>
    </row>
    <row r="31" spans="1:20" ht="16.5">
      <c r="A31" s="136" t="s">
        <v>1148</v>
      </c>
      <c r="B31" s="139" t="s">
        <v>1159</v>
      </c>
      <c r="C31" s="136" t="s">
        <v>1156</v>
      </c>
      <c r="D31" s="140"/>
      <c r="E31" s="136" t="s">
        <v>1149</v>
      </c>
      <c r="F31" s="143">
        <v>44281</v>
      </c>
      <c r="G31" s="142">
        <v>0.29166666666666669</v>
      </c>
      <c r="H31" s="142">
        <v>0.33333333333333331</v>
      </c>
      <c r="I31" s="140"/>
      <c r="J31" s="135"/>
      <c r="K31" s="135"/>
      <c r="L31" s="135"/>
      <c r="M31" s="135"/>
      <c r="N31" s="135"/>
      <c r="O31" s="135"/>
      <c r="P31" s="135"/>
      <c r="Q31" s="135"/>
      <c r="R31" s="135"/>
      <c r="S31" s="135"/>
      <c r="T31" s="135"/>
    </row>
    <row r="32" spans="1:20" ht="16.5">
      <c r="A32" s="136" t="s">
        <v>1158</v>
      </c>
      <c r="B32" s="139" t="s">
        <v>1157</v>
      </c>
      <c r="C32" s="136" t="s">
        <v>1156</v>
      </c>
      <c r="D32" s="140"/>
      <c r="E32" s="136" t="s">
        <v>1149</v>
      </c>
      <c r="F32" s="143">
        <v>44281</v>
      </c>
      <c r="G32" s="142">
        <v>0.50694444444444442</v>
      </c>
      <c r="H32" s="142">
        <v>0.52777777777777779</v>
      </c>
      <c r="I32" s="140"/>
      <c r="J32" s="135"/>
      <c r="K32" s="135"/>
      <c r="L32" s="135"/>
      <c r="M32" s="135"/>
      <c r="N32" s="135"/>
      <c r="O32" s="135"/>
      <c r="P32" s="135"/>
      <c r="Q32" s="135"/>
      <c r="R32" s="135"/>
      <c r="S32" s="135"/>
      <c r="T32" s="135"/>
    </row>
    <row r="33" spans="1:20" ht="16.5">
      <c r="A33" s="136" t="s">
        <v>1152</v>
      </c>
      <c r="B33" s="139" t="s">
        <v>1155</v>
      </c>
      <c r="C33" s="136" t="s">
        <v>1156</v>
      </c>
      <c r="D33" s="140"/>
      <c r="E33" s="136" t="s">
        <v>1149</v>
      </c>
      <c r="F33" s="143">
        <v>44281</v>
      </c>
      <c r="G33" s="142">
        <v>0.77083333333333337</v>
      </c>
      <c r="H33" s="142">
        <v>0.8125</v>
      </c>
      <c r="I33" s="140"/>
      <c r="J33" s="135"/>
      <c r="K33" s="135"/>
      <c r="L33" s="135"/>
      <c r="M33" s="135"/>
      <c r="N33" s="135"/>
      <c r="O33" s="135"/>
      <c r="P33" s="135"/>
      <c r="Q33" s="135"/>
      <c r="R33" s="135"/>
      <c r="S33" s="135"/>
      <c r="T33" s="135"/>
    </row>
    <row r="34" spans="1:20" ht="16.5">
      <c r="A34" s="136" t="s">
        <v>1154</v>
      </c>
      <c r="B34" s="139" t="s">
        <v>1153</v>
      </c>
      <c r="C34" s="136" t="s">
        <v>1150</v>
      </c>
      <c r="D34" s="139"/>
      <c r="E34" s="136" t="s">
        <v>1149</v>
      </c>
      <c r="F34" s="143">
        <v>44281</v>
      </c>
      <c r="G34" s="142">
        <v>0.83333333333333337</v>
      </c>
      <c r="H34" s="142">
        <v>0.875</v>
      </c>
      <c r="I34" s="139"/>
      <c r="J34" s="135"/>
      <c r="K34" s="135"/>
      <c r="L34" s="135"/>
      <c r="M34" s="135"/>
      <c r="N34" s="135"/>
      <c r="O34" s="135"/>
      <c r="P34" s="135"/>
      <c r="Q34" s="135"/>
      <c r="R34" s="135"/>
      <c r="S34" s="135"/>
      <c r="T34" s="135"/>
    </row>
    <row r="35" spans="1:20" ht="16.5">
      <c r="A35" s="136" t="s">
        <v>1152</v>
      </c>
      <c r="B35" s="139" t="s">
        <v>1151</v>
      </c>
      <c r="C35" s="136" t="s">
        <v>1150</v>
      </c>
      <c r="D35" s="139"/>
      <c r="E35" s="136" t="s">
        <v>1149</v>
      </c>
      <c r="F35" s="143">
        <v>44281</v>
      </c>
      <c r="G35" s="142">
        <v>0.875</v>
      </c>
      <c r="H35" s="142">
        <v>0.91666666666666663</v>
      </c>
      <c r="I35" s="139"/>
      <c r="J35" s="135"/>
      <c r="K35" s="135"/>
      <c r="L35" s="135"/>
      <c r="M35" s="135"/>
      <c r="N35" s="135"/>
      <c r="O35" s="135"/>
      <c r="P35" s="135"/>
      <c r="Q35" s="135"/>
      <c r="R35" s="135"/>
      <c r="S35" s="135"/>
      <c r="T35" s="135"/>
    </row>
    <row r="36" spans="1:20" ht="16.5">
      <c r="A36" s="136" t="s">
        <v>1148</v>
      </c>
      <c r="B36" s="137" t="s">
        <v>1147</v>
      </c>
      <c r="C36" s="136" t="s">
        <v>1150</v>
      </c>
      <c r="D36" s="137"/>
      <c r="E36" s="136" t="s">
        <v>1149</v>
      </c>
      <c r="F36" s="143">
        <v>44281</v>
      </c>
      <c r="G36" s="142">
        <v>0.91666666666666663</v>
      </c>
      <c r="H36" s="142">
        <v>0.95833333333333337</v>
      </c>
      <c r="I36" s="137"/>
      <c r="J36" s="135"/>
      <c r="K36" s="135"/>
      <c r="L36" s="135"/>
      <c r="M36" s="135"/>
      <c r="N36" s="135"/>
      <c r="O36" s="135"/>
      <c r="P36" s="135"/>
      <c r="Q36" s="135"/>
      <c r="R36" s="135"/>
      <c r="S36" s="135"/>
      <c r="T36" s="135"/>
    </row>
    <row r="37" spans="1:20" ht="16.5">
      <c r="A37" s="136" t="s">
        <v>1167</v>
      </c>
      <c r="B37" s="139"/>
      <c r="C37" s="136" t="s">
        <v>1150</v>
      </c>
      <c r="D37" s="140"/>
      <c r="E37" s="136" t="s">
        <v>1149</v>
      </c>
      <c r="F37" s="143">
        <v>44282</v>
      </c>
      <c r="G37" s="142">
        <v>0.375</v>
      </c>
      <c r="H37" s="142" t="s">
        <v>1166</v>
      </c>
      <c r="I37" s="140"/>
      <c r="J37" s="135"/>
      <c r="K37" s="135"/>
      <c r="L37" s="135"/>
      <c r="M37" s="135"/>
      <c r="N37" s="135"/>
      <c r="O37" s="135"/>
      <c r="P37" s="135"/>
      <c r="Q37" s="135"/>
      <c r="R37" s="135"/>
      <c r="S37" s="135"/>
      <c r="T37" s="135"/>
    </row>
    <row r="38" spans="1:20" ht="16.5">
      <c r="A38" s="136" t="s">
        <v>1165</v>
      </c>
      <c r="B38" s="139"/>
      <c r="C38" s="136" t="s">
        <v>1150</v>
      </c>
      <c r="D38" s="140"/>
      <c r="E38" s="136" t="s">
        <v>1149</v>
      </c>
      <c r="F38" s="143">
        <v>44283</v>
      </c>
      <c r="G38" s="142">
        <v>0.375</v>
      </c>
      <c r="H38" s="142" t="s">
        <v>1166</v>
      </c>
      <c r="I38" s="140"/>
      <c r="J38" s="135"/>
      <c r="K38" s="135"/>
      <c r="L38" s="135"/>
      <c r="M38" s="135"/>
      <c r="N38" s="135"/>
      <c r="O38" s="135"/>
      <c r="P38" s="135"/>
      <c r="Q38" s="135"/>
      <c r="R38" s="135"/>
      <c r="S38" s="135"/>
      <c r="T38" s="135"/>
    </row>
    <row r="39" spans="1:20">
      <c r="A39" s="136" t="s">
        <v>1152</v>
      </c>
      <c r="B39" s="136" t="s">
        <v>1164</v>
      </c>
      <c r="C39" s="136" t="s">
        <v>1156</v>
      </c>
      <c r="D39" s="136"/>
      <c r="E39" s="136" t="s">
        <v>1149</v>
      </c>
      <c r="F39" s="143">
        <v>44284</v>
      </c>
      <c r="G39" s="142">
        <v>0.20833333333333334</v>
      </c>
      <c r="H39" s="142">
        <v>0.29166666666666669</v>
      </c>
      <c r="I39" s="136"/>
      <c r="J39" s="136"/>
      <c r="K39" s="136"/>
      <c r="L39" s="136"/>
      <c r="M39" s="136"/>
      <c r="N39" s="136"/>
      <c r="O39" s="136"/>
      <c r="P39" s="136"/>
      <c r="Q39" s="136"/>
      <c r="R39" s="136"/>
      <c r="S39" s="136"/>
      <c r="T39" s="136"/>
    </row>
    <row r="40" spans="1:20">
      <c r="A40" s="136" t="s">
        <v>1148</v>
      </c>
      <c r="B40" s="136"/>
      <c r="C40" s="136" t="s">
        <v>1156</v>
      </c>
      <c r="D40" s="136"/>
      <c r="E40" s="136" t="s">
        <v>1149</v>
      </c>
      <c r="F40" s="143">
        <v>44284</v>
      </c>
      <c r="G40" s="142">
        <v>0.29166666666666669</v>
      </c>
      <c r="H40" s="142">
        <v>0.33333333333333331</v>
      </c>
      <c r="I40" s="136"/>
      <c r="J40" s="136"/>
      <c r="K40" s="136"/>
      <c r="L40" s="136"/>
      <c r="M40" s="136"/>
      <c r="N40" s="136"/>
      <c r="O40" s="136"/>
      <c r="P40" s="136"/>
      <c r="Q40" s="136"/>
      <c r="R40" s="136"/>
      <c r="S40" s="136"/>
      <c r="T40" s="136"/>
    </row>
    <row r="41" spans="1:20" ht="16.5">
      <c r="A41" s="136" t="s">
        <v>1158</v>
      </c>
      <c r="B41" s="139"/>
      <c r="C41" s="136" t="s">
        <v>1156</v>
      </c>
      <c r="D41" s="137"/>
      <c r="E41" s="136" t="s">
        <v>1149</v>
      </c>
      <c r="F41" s="143">
        <v>44284</v>
      </c>
      <c r="G41" s="142">
        <v>0.50694444444444442</v>
      </c>
      <c r="H41" s="142">
        <v>0.52777777777777779</v>
      </c>
      <c r="I41" s="137"/>
      <c r="J41" s="135"/>
      <c r="K41" s="135"/>
      <c r="L41" s="135"/>
      <c r="M41" s="135"/>
      <c r="N41" s="135"/>
      <c r="O41" s="135"/>
      <c r="P41" s="135"/>
      <c r="Q41" s="135"/>
      <c r="R41" s="135"/>
      <c r="S41" s="135"/>
      <c r="T41" s="135"/>
    </row>
    <row r="42" spans="1:20" ht="16.5">
      <c r="A42" s="136" t="s">
        <v>1152</v>
      </c>
      <c r="B42" s="139" t="s">
        <v>1163</v>
      </c>
      <c r="C42" s="136" t="s">
        <v>1156</v>
      </c>
      <c r="D42" s="137"/>
      <c r="E42" s="136" t="s">
        <v>1149</v>
      </c>
      <c r="F42" s="143">
        <v>44284</v>
      </c>
      <c r="G42" s="142">
        <v>0.77083333333333337</v>
      </c>
      <c r="H42" s="142">
        <v>0.8125</v>
      </c>
      <c r="I42" s="137"/>
      <c r="J42" s="135"/>
      <c r="K42" s="135"/>
      <c r="L42" s="135"/>
      <c r="M42" s="135"/>
      <c r="N42" s="135"/>
      <c r="O42" s="135"/>
      <c r="P42" s="135"/>
      <c r="Q42" s="135"/>
      <c r="R42" s="135"/>
      <c r="S42" s="135"/>
      <c r="T42" s="135"/>
    </row>
    <row r="43" spans="1:20" ht="16.5">
      <c r="A43" s="136" t="s">
        <v>1154</v>
      </c>
      <c r="B43" s="139"/>
      <c r="C43" s="136" t="s">
        <v>1150</v>
      </c>
      <c r="D43" s="137"/>
      <c r="E43" s="136" t="s">
        <v>1149</v>
      </c>
      <c r="F43" s="143">
        <v>44284</v>
      </c>
      <c r="G43" s="142">
        <v>0.83333333333333337</v>
      </c>
      <c r="H43" s="142">
        <v>0.875</v>
      </c>
      <c r="I43" s="137"/>
      <c r="J43" s="135"/>
      <c r="K43" s="135"/>
      <c r="L43" s="135"/>
      <c r="M43" s="135"/>
      <c r="N43" s="135"/>
      <c r="O43" s="135"/>
      <c r="P43" s="135"/>
      <c r="Q43" s="135"/>
      <c r="R43" s="135"/>
      <c r="S43" s="135"/>
      <c r="T43" s="135"/>
    </row>
    <row r="44" spans="1:20" ht="16.5">
      <c r="A44" s="136" t="s">
        <v>1152</v>
      </c>
      <c r="B44" s="139" t="s">
        <v>1162</v>
      </c>
      <c r="C44" s="136" t="s">
        <v>1150</v>
      </c>
      <c r="D44" s="139"/>
      <c r="E44" s="136" t="s">
        <v>1149</v>
      </c>
      <c r="F44" s="143">
        <v>44284</v>
      </c>
      <c r="G44" s="142">
        <v>0.875</v>
      </c>
      <c r="H44" s="142">
        <v>0.91666666666666663</v>
      </c>
      <c r="I44" s="139"/>
      <c r="J44" s="135"/>
      <c r="K44" s="135"/>
      <c r="L44" s="135"/>
      <c r="M44" s="135"/>
      <c r="N44" s="135"/>
      <c r="O44" s="135"/>
      <c r="P44" s="135"/>
      <c r="Q44" s="135"/>
      <c r="R44" s="135"/>
      <c r="S44" s="135"/>
      <c r="T44" s="135"/>
    </row>
    <row r="45" spans="1:20" ht="16.5">
      <c r="A45" s="136" t="s">
        <v>1148</v>
      </c>
      <c r="B45" s="139" t="s">
        <v>1161</v>
      </c>
      <c r="C45" s="136" t="s">
        <v>1150</v>
      </c>
      <c r="D45" s="139"/>
      <c r="E45" s="136" t="s">
        <v>1149</v>
      </c>
      <c r="F45" s="143">
        <v>44284</v>
      </c>
      <c r="G45" s="142">
        <v>0.91666666666666663</v>
      </c>
      <c r="H45" s="142">
        <v>0.95833333333333337</v>
      </c>
      <c r="I45" s="139"/>
      <c r="J45" s="135"/>
      <c r="K45" s="135"/>
      <c r="L45" s="135"/>
      <c r="M45" s="135"/>
      <c r="N45" s="135"/>
      <c r="O45" s="135"/>
      <c r="P45" s="135"/>
      <c r="Q45" s="135"/>
      <c r="R45" s="135"/>
      <c r="S45" s="135"/>
      <c r="T45" s="135"/>
    </row>
    <row r="46" spans="1:20">
      <c r="A46" s="136" t="s">
        <v>1152</v>
      </c>
      <c r="B46" s="136" t="s">
        <v>1164</v>
      </c>
      <c r="C46" s="136" t="s">
        <v>1156</v>
      </c>
      <c r="D46" s="136"/>
      <c r="E46" s="136" t="s">
        <v>1149</v>
      </c>
      <c r="F46" s="143">
        <v>44285</v>
      </c>
      <c r="G46" s="142">
        <v>0.20833333333333334</v>
      </c>
      <c r="H46" s="142">
        <v>0.29166666666666669</v>
      </c>
      <c r="I46" s="136"/>
      <c r="J46" s="136"/>
      <c r="K46" s="136"/>
      <c r="L46" s="136"/>
      <c r="M46" s="136"/>
      <c r="N46" s="136"/>
      <c r="O46" s="136"/>
      <c r="P46" s="136"/>
      <c r="Q46" s="136"/>
      <c r="R46" s="136"/>
      <c r="S46" s="136"/>
      <c r="T46" s="136"/>
    </row>
    <row r="47" spans="1:20">
      <c r="A47" s="136" t="s">
        <v>1148</v>
      </c>
      <c r="B47" s="136"/>
      <c r="C47" s="136" t="s">
        <v>1156</v>
      </c>
      <c r="D47" s="136"/>
      <c r="E47" s="136" t="s">
        <v>1149</v>
      </c>
      <c r="F47" s="143">
        <v>44285</v>
      </c>
      <c r="G47" s="142">
        <v>0.29166666666666669</v>
      </c>
      <c r="H47" s="142">
        <v>0.33333333333333331</v>
      </c>
      <c r="I47" s="136"/>
      <c r="J47" s="136"/>
      <c r="K47" s="136"/>
      <c r="L47" s="136"/>
      <c r="M47" s="136"/>
      <c r="N47" s="136"/>
      <c r="O47" s="136"/>
      <c r="P47" s="136"/>
      <c r="Q47" s="136"/>
      <c r="R47" s="136"/>
      <c r="S47" s="136"/>
      <c r="T47" s="136"/>
    </row>
    <row r="48" spans="1:20" ht="16.5">
      <c r="A48" s="136" t="s">
        <v>1158</v>
      </c>
      <c r="B48" s="139"/>
      <c r="C48" s="136" t="s">
        <v>1156</v>
      </c>
      <c r="D48" s="137"/>
      <c r="E48" s="136" t="s">
        <v>1149</v>
      </c>
      <c r="F48" s="143">
        <v>44285</v>
      </c>
      <c r="G48" s="142">
        <v>0.50694444444444442</v>
      </c>
      <c r="H48" s="142">
        <v>0.52777777777777779</v>
      </c>
      <c r="I48" s="137"/>
      <c r="J48" s="135"/>
      <c r="K48" s="135"/>
      <c r="L48" s="135"/>
      <c r="M48" s="135"/>
      <c r="N48" s="135"/>
      <c r="O48" s="135"/>
      <c r="P48" s="135"/>
      <c r="Q48" s="135"/>
      <c r="R48" s="135"/>
      <c r="S48" s="135"/>
      <c r="T48" s="135"/>
    </row>
    <row r="49" spans="1:20" ht="16.5">
      <c r="A49" s="136" t="s">
        <v>1152</v>
      </c>
      <c r="B49" s="139" t="s">
        <v>1163</v>
      </c>
      <c r="C49" s="136" t="s">
        <v>1156</v>
      </c>
      <c r="D49" s="137"/>
      <c r="E49" s="136" t="s">
        <v>1149</v>
      </c>
      <c r="F49" s="143">
        <v>44285</v>
      </c>
      <c r="G49" s="142">
        <v>0.77083333333333337</v>
      </c>
      <c r="H49" s="142">
        <v>0.8125</v>
      </c>
      <c r="I49" s="137"/>
      <c r="J49" s="135"/>
      <c r="K49" s="135"/>
      <c r="L49" s="135"/>
      <c r="M49" s="135"/>
      <c r="N49" s="135"/>
      <c r="O49" s="135"/>
      <c r="P49" s="135"/>
      <c r="Q49" s="135"/>
      <c r="R49" s="135"/>
      <c r="S49" s="135"/>
      <c r="T49" s="135"/>
    </row>
    <row r="50" spans="1:20" ht="16.5">
      <c r="A50" s="136" t="s">
        <v>1154</v>
      </c>
      <c r="B50" s="139"/>
      <c r="C50" s="136" t="s">
        <v>1150</v>
      </c>
      <c r="D50" s="137"/>
      <c r="E50" s="136" t="s">
        <v>1149</v>
      </c>
      <c r="F50" s="143">
        <v>44285</v>
      </c>
      <c r="G50" s="142">
        <v>0.83333333333333337</v>
      </c>
      <c r="H50" s="142">
        <v>0.875</v>
      </c>
      <c r="I50" s="137"/>
      <c r="J50" s="135"/>
      <c r="K50" s="135"/>
      <c r="L50" s="135"/>
      <c r="M50" s="135"/>
      <c r="N50" s="135"/>
      <c r="O50" s="135"/>
      <c r="P50" s="135"/>
      <c r="Q50" s="135"/>
      <c r="R50" s="135"/>
      <c r="S50" s="135"/>
      <c r="T50" s="135"/>
    </row>
    <row r="51" spans="1:20" ht="16.5">
      <c r="A51" s="136" t="s">
        <v>1152</v>
      </c>
      <c r="B51" s="139" t="s">
        <v>1162</v>
      </c>
      <c r="C51" s="136" t="s">
        <v>1150</v>
      </c>
      <c r="D51" s="139"/>
      <c r="E51" s="136" t="s">
        <v>1149</v>
      </c>
      <c r="F51" s="143">
        <v>44285</v>
      </c>
      <c r="G51" s="142">
        <v>0.875</v>
      </c>
      <c r="H51" s="142">
        <v>0.91666666666666663</v>
      </c>
      <c r="I51" s="139"/>
      <c r="J51" s="135"/>
      <c r="K51" s="135"/>
      <c r="L51" s="135"/>
      <c r="M51" s="135"/>
      <c r="N51" s="135"/>
      <c r="O51" s="135"/>
      <c r="P51" s="135"/>
      <c r="Q51" s="135"/>
      <c r="R51" s="135"/>
      <c r="S51" s="135"/>
      <c r="T51" s="135"/>
    </row>
    <row r="52" spans="1:20" ht="16.5">
      <c r="A52" s="136" t="s">
        <v>1148</v>
      </c>
      <c r="B52" s="139" t="s">
        <v>1161</v>
      </c>
      <c r="C52" s="136" t="s">
        <v>1150</v>
      </c>
      <c r="D52" s="139"/>
      <c r="E52" s="136" t="s">
        <v>1149</v>
      </c>
      <c r="F52" s="143">
        <v>44285</v>
      </c>
      <c r="G52" s="142">
        <v>0.91666666666666663</v>
      </c>
      <c r="H52" s="142">
        <v>0.95833333333333337</v>
      </c>
      <c r="I52" s="139"/>
      <c r="J52" s="135"/>
      <c r="K52" s="135"/>
      <c r="L52" s="135"/>
      <c r="M52" s="135"/>
      <c r="N52" s="135"/>
      <c r="O52" s="135"/>
      <c r="P52" s="135"/>
      <c r="Q52" s="135"/>
      <c r="R52" s="135"/>
      <c r="S52" s="135"/>
      <c r="T52" s="135"/>
    </row>
    <row r="53" spans="1:20">
      <c r="A53" s="136" t="s">
        <v>1152</v>
      </c>
      <c r="B53" s="136" t="s">
        <v>1164</v>
      </c>
      <c r="C53" s="136" t="s">
        <v>1156</v>
      </c>
      <c r="D53" s="136"/>
      <c r="E53" s="136" t="s">
        <v>1149</v>
      </c>
      <c r="F53" s="143">
        <v>44286</v>
      </c>
      <c r="G53" s="142">
        <v>0.20833333333333334</v>
      </c>
      <c r="H53" s="142">
        <v>0.29166666666666669</v>
      </c>
      <c r="I53" s="136"/>
      <c r="J53" s="136"/>
      <c r="K53" s="136"/>
      <c r="L53" s="136"/>
      <c r="M53" s="136"/>
      <c r="N53" s="136"/>
      <c r="O53" s="136"/>
      <c r="P53" s="136"/>
      <c r="Q53" s="136"/>
      <c r="R53" s="136"/>
      <c r="S53" s="136"/>
      <c r="T53" s="136"/>
    </row>
    <row r="54" spans="1:20">
      <c r="A54" s="136" t="s">
        <v>1148</v>
      </c>
      <c r="B54" s="136"/>
      <c r="C54" s="136" t="s">
        <v>1156</v>
      </c>
      <c r="D54" s="136"/>
      <c r="E54" s="136" t="s">
        <v>1149</v>
      </c>
      <c r="F54" s="143">
        <v>44286</v>
      </c>
      <c r="G54" s="142">
        <v>0.29166666666666669</v>
      </c>
      <c r="H54" s="142">
        <v>0.33333333333333331</v>
      </c>
      <c r="I54" s="136"/>
      <c r="J54" s="136"/>
      <c r="K54" s="136"/>
      <c r="L54" s="136"/>
      <c r="M54" s="136"/>
      <c r="N54" s="136"/>
      <c r="O54" s="136"/>
      <c r="P54" s="136"/>
      <c r="Q54" s="136"/>
      <c r="R54" s="136"/>
      <c r="S54" s="136"/>
      <c r="T54" s="136"/>
    </row>
    <row r="55" spans="1:20" ht="16.5">
      <c r="A55" s="136" t="s">
        <v>1158</v>
      </c>
      <c r="B55" s="139"/>
      <c r="C55" s="136" t="s">
        <v>1156</v>
      </c>
      <c r="D55" s="137"/>
      <c r="E55" s="136" t="s">
        <v>1149</v>
      </c>
      <c r="F55" s="143">
        <v>44286</v>
      </c>
      <c r="G55" s="142">
        <v>0.50694444444444442</v>
      </c>
      <c r="H55" s="142">
        <v>0.52777777777777779</v>
      </c>
      <c r="I55" s="137"/>
      <c r="J55" s="135"/>
      <c r="K55" s="135"/>
      <c r="L55" s="135"/>
      <c r="M55" s="135"/>
      <c r="N55" s="135"/>
      <c r="O55" s="135"/>
      <c r="P55" s="135"/>
      <c r="Q55" s="135"/>
      <c r="R55" s="135"/>
      <c r="S55" s="135"/>
      <c r="T55" s="135"/>
    </row>
    <row r="56" spans="1:20" ht="16.5">
      <c r="A56" s="136" t="s">
        <v>1152</v>
      </c>
      <c r="B56" s="139" t="s">
        <v>1163</v>
      </c>
      <c r="C56" s="136" t="s">
        <v>1156</v>
      </c>
      <c r="D56" s="137"/>
      <c r="E56" s="136" t="s">
        <v>1149</v>
      </c>
      <c r="F56" s="143">
        <v>44286</v>
      </c>
      <c r="G56" s="142">
        <v>0.77083333333333337</v>
      </c>
      <c r="H56" s="142">
        <v>0.8125</v>
      </c>
      <c r="I56" s="137"/>
      <c r="J56" s="135"/>
      <c r="K56" s="135"/>
      <c r="L56" s="135"/>
      <c r="M56" s="135"/>
      <c r="N56" s="135"/>
      <c r="O56" s="135"/>
      <c r="P56" s="135"/>
      <c r="Q56" s="135"/>
      <c r="R56" s="135"/>
      <c r="S56" s="135"/>
      <c r="T56" s="135"/>
    </row>
    <row r="57" spans="1:20" ht="16.5">
      <c r="A57" s="136" t="s">
        <v>1154</v>
      </c>
      <c r="B57" s="139"/>
      <c r="C57" s="136" t="s">
        <v>1150</v>
      </c>
      <c r="D57" s="137"/>
      <c r="E57" s="136" t="s">
        <v>1149</v>
      </c>
      <c r="F57" s="143">
        <v>44286</v>
      </c>
      <c r="G57" s="142">
        <v>0.83333333333333337</v>
      </c>
      <c r="H57" s="142">
        <v>0.875</v>
      </c>
      <c r="I57" s="137"/>
      <c r="J57" s="135"/>
      <c r="K57" s="135"/>
      <c r="L57" s="135"/>
      <c r="M57" s="135"/>
      <c r="N57" s="135"/>
      <c r="O57" s="135"/>
      <c r="P57" s="135"/>
      <c r="Q57" s="135"/>
      <c r="R57" s="135"/>
      <c r="S57" s="135"/>
      <c r="T57" s="135"/>
    </row>
    <row r="58" spans="1:20" ht="16.5">
      <c r="A58" s="136" t="s">
        <v>1152</v>
      </c>
      <c r="B58" s="139" t="s">
        <v>1162</v>
      </c>
      <c r="C58" s="136" t="s">
        <v>1150</v>
      </c>
      <c r="D58" s="139"/>
      <c r="E58" s="136" t="s">
        <v>1149</v>
      </c>
      <c r="F58" s="143">
        <v>44286</v>
      </c>
      <c r="G58" s="142">
        <v>0.875</v>
      </c>
      <c r="H58" s="142">
        <v>0.91666666666666663</v>
      </c>
      <c r="I58" s="139"/>
      <c r="J58" s="135"/>
      <c r="K58" s="135"/>
      <c r="L58" s="135"/>
      <c r="M58" s="135"/>
      <c r="N58" s="135"/>
      <c r="O58" s="135"/>
      <c r="P58" s="135"/>
      <c r="Q58" s="135"/>
      <c r="R58" s="135"/>
      <c r="S58" s="135"/>
      <c r="T58" s="135"/>
    </row>
    <row r="59" spans="1:20" ht="16.5">
      <c r="A59" s="136" t="s">
        <v>1148</v>
      </c>
      <c r="B59" s="139" t="s">
        <v>1161</v>
      </c>
      <c r="C59" s="136" t="s">
        <v>1150</v>
      </c>
      <c r="D59" s="139"/>
      <c r="E59" s="136" t="s">
        <v>1149</v>
      </c>
      <c r="F59" s="143">
        <v>44286</v>
      </c>
      <c r="G59" s="142">
        <v>0.91666666666666663</v>
      </c>
      <c r="H59" s="142">
        <v>0.95833333333333337</v>
      </c>
      <c r="I59" s="139"/>
      <c r="J59" s="135"/>
      <c r="K59" s="135"/>
      <c r="L59" s="135"/>
      <c r="M59" s="135"/>
      <c r="N59" s="135"/>
      <c r="O59" s="135"/>
      <c r="P59" s="135"/>
      <c r="Q59" s="135"/>
      <c r="R59" s="135"/>
      <c r="S59" s="135"/>
      <c r="T59" s="135"/>
    </row>
    <row r="60" spans="1:20">
      <c r="A60" s="136" t="s">
        <v>1152</v>
      </c>
      <c r="B60" s="136" t="s">
        <v>1164</v>
      </c>
      <c r="C60" s="136" t="s">
        <v>1156</v>
      </c>
      <c r="D60" s="136"/>
      <c r="E60" s="136" t="s">
        <v>1149</v>
      </c>
      <c r="F60" s="143">
        <v>44287</v>
      </c>
      <c r="G60" s="142">
        <v>0.20833333333333334</v>
      </c>
      <c r="H60" s="142">
        <v>0.29166666666666669</v>
      </c>
      <c r="I60" s="136"/>
      <c r="J60" s="136"/>
      <c r="K60" s="136"/>
      <c r="L60" s="136"/>
      <c r="M60" s="136"/>
      <c r="N60" s="136"/>
      <c r="O60" s="136"/>
      <c r="P60" s="136"/>
      <c r="Q60" s="136"/>
      <c r="R60" s="136"/>
      <c r="S60" s="136"/>
      <c r="T60" s="136"/>
    </row>
    <row r="61" spans="1:20">
      <c r="A61" s="136" t="s">
        <v>1148</v>
      </c>
      <c r="B61" s="136"/>
      <c r="C61" s="136" t="s">
        <v>1156</v>
      </c>
      <c r="D61" s="136"/>
      <c r="E61" s="136" t="s">
        <v>1149</v>
      </c>
      <c r="F61" s="143">
        <v>44287</v>
      </c>
      <c r="G61" s="142">
        <v>0.29166666666666669</v>
      </c>
      <c r="H61" s="142">
        <v>0.33333333333333331</v>
      </c>
      <c r="I61" s="136"/>
      <c r="J61" s="136"/>
      <c r="K61" s="136"/>
      <c r="L61" s="136"/>
      <c r="M61" s="136"/>
      <c r="N61" s="136"/>
      <c r="O61" s="136"/>
      <c r="P61" s="136"/>
      <c r="Q61" s="136"/>
      <c r="R61" s="136"/>
      <c r="S61" s="136"/>
      <c r="T61" s="136"/>
    </row>
    <row r="62" spans="1:20" ht="16.5">
      <c r="A62" s="136" t="s">
        <v>1158</v>
      </c>
      <c r="B62" s="139"/>
      <c r="C62" s="136" t="s">
        <v>1156</v>
      </c>
      <c r="D62" s="137"/>
      <c r="E62" s="136" t="s">
        <v>1149</v>
      </c>
      <c r="F62" s="143">
        <v>44287</v>
      </c>
      <c r="G62" s="142">
        <v>0.50694444444444442</v>
      </c>
      <c r="H62" s="142">
        <v>0.52777777777777779</v>
      </c>
      <c r="I62" s="137"/>
      <c r="J62" s="135"/>
      <c r="K62" s="135"/>
      <c r="L62" s="135"/>
      <c r="M62" s="135"/>
      <c r="N62" s="135"/>
      <c r="O62" s="135"/>
      <c r="P62" s="135"/>
      <c r="Q62" s="135"/>
      <c r="R62" s="135"/>
      <c r="S62" s="135"/>
      <c r="T62" s="135"/>
    </row>
    <row r="63" spans="1:20" ht="16.5">
      <c r="A63" s="136" t="s">
        <v>1152</v>
      </c>
      <c r="B63" s="139" t="s">
        <v>1163</v>
      </c>
      <c r="C63" s="136" t="s">
        <v>1156</v>
      </c>
      <c r="D63" s="137"/>
      <c r="E63" s="136" t="s">
        <v>1149</v>
      </c>
      <c r="F63" s="143">
        <v>44287</v>
      </c>
      <c r="G63" s="142">
        <v>0.77083333333333337</v>
      </c>
      <c r="H63" s="142">
        <v>0.8125</v>
      </c>
      <c r="I63" s="137"/>
      <c r="J63" s="135"/>
      <c r="K63" s="135"/>
      <c r="L63" s="135"/>
      <c r="M63" s="135"/>
      <c r="N63" s="135"/>
      <c r="O63" s="135"/>
      <c r="P63" s="135"/>
      <c r="Q63" s="135"/>
      <c r="R63" s="135"/>
      <c r="S63" s="135"/>
      <c r="T63" s="135"/>
    </row>
    <row r="64" spans="1:20" ht="16.5">
      <c r="A64" s="136" t="s">
        <v>1154</v>
      </c>
      <c r="B64" s="139"/>
      <c r="C64" s="136" t="s">
        <v>1150</v>
      </c>
      <c r="D64" s="137"/>
      <c r="E64" s="136" t="s">
        <v>1149</v>
      </c>
      <c r="F64" s="143">
        <v>44287</v>
      </c>
      <c r="G64" s="142">
        <v>0.83333333333333337</v>
      </c>
      <c r="H64" s="142">
        <v>0.875</v>
      </c>
      <c r="I64" s="137"/>
      <c r="J64" s="135"/>
      <c r="K64" s="135"/>
      <c r="L64" s="135"/>
      <c r="M64" s="135"/>
      <c r="N64" s="135"/>
      <c r="O64" s="135"/>
      <c r="P64" s="135"/>
      <c r="Q64" s="135"/>
      <c r="R64" s="135"/>
      <c r="S64" s="135"/>
      <c r="T64" s="135"/>
    </row>
    <row r="65" spans="1:20" ht="16.5">
      <c r="A65" s="136" t="s">
        <v>1152</v>
      </c>
      <c r="B65" s="139" t="s">
        <v>1162</v>
      </c>
      <c r="C65" s="136" t="s">
        <v>1150</v>
      </c>
      <c r="D65" s="139"/>
      <c r="E65" s="136" t="s">
        <v>1149</v>
      </c>
      <c r="F65" s="143">
        <v>44287</v>
      </c>
      <c r="G65" s="142">
        <v>0.875</v>
      </c>
      <c r="H65" s="142">
        <v>0.91666666666666663</v>
      </c>
      <c r="I65" s="139"/>
      <c r="J65" s="135"/>
      <c r="K65" s="135"/>
      <c r="L65" s="135"/>
      <c r="M65" s="135"/>
      <c r="N65" s="135"/>
      <c r="O65" s="135"/>
      <c r="P65" s="135"/>
      <c r="Q65" s="135"/>
      <c r="R65" s="135"/>
      <c r="S65" s="135"/>
      <c r="T65" s="135"/>
    </row>
    <row r="66" spans="1:20" ht="16.5">
      <c r="A66" s="136" t="s">
        <v>1148</v>
      </c>
      <c r="B66" s="139" t="s">
        <v>1161</v>
      </c>
      <c r="C66" s="136" t="s">
        <v>1150</v>
      </c>
      <c r="D66" s="139"/>
      <c r="E66" s="136" t="s">
        <v>1149</v>
      </c>
      <c r="F66" s="143">
        <v>44287</v>
      </c>
      <c r="G66" s="142">
        <v>0.91666666666666663</v>
      </c>
      <c r="H66" s="142">
        <v>0.95833333333333337</v>
      </c>
      <c r="I66" s="139"/>
      <c r="J66" s="135"/>
      <c r="K66" s="135"/>
      <c r="L66" s="135"/>
      <c r="M66" s="135"/>
      <c r="N66" s="135"/>
      <c r="O66" s="135"/>
      <c r="P66" s="135"/>
      <c r="Q66" s="135"/>
      <c r="R66" s="135"/>
      <c r="S66" s="135"/>
      <c r="T66" s="135"/>
    </row>
    <row r="67" spans="1:20" ht="16.5">
      <c r="A67" s="136" t="s">
        <v>1152</v>
      </c>
      <c r="B67" s="139" t="s">
        <v>1160</v>
      </c>
      <c r="C67" s="136" t="s">
        <v>1156</v>
      </c>
      <c r="D67" s="139"/>
      <c r="E67" s="136" t="s">
        <v>1149</v>
      </c>
      <c r="F67" s="143">
        <v>44288</v>
      </c>
      <c r="G67" s="142">
        <v>0.20833333333333334</v>
      </c>
      <c r="H67" s="142">
        <v>0.29166666666666669</v>
      </c>
      <c r="I67" s="139"/>
      <c r="J67" s="135"/>
      <c r="K67" s="135"/>
      <c r="L67" s="135"/>
      <c r="M67" s="135"/>
      <c r="N67" s="135"/>
      <c r="O67" s="135"/>
      <c r="P67" s="135"/>
      <c r="Q67" s="135"/>
      <c r="R67" s="135"/>
      <c r="S67" s="135"/>
      <c r="T67" s="135"/>
    </row>
    <row r="68" spans="1:20" ht="16.5">
      <c r="A68" s="136" t="s">
        <v>1148</v>
      </c>
      <c r="B68" s="139" t="s">
        <v>1159</v>
      </c>
      <c r="C68" s="136" t="s">
        <v>1156</v>
      </c>
      <c r="D68" s="140"/>
      <c r="E68" s="136" t="s">
        <v>1149</v>
      </c>
      <c r="F68" s="143">
        <v>44288</v>
      </c>
      <c r="G68" s="142">
        <v>0.29166666666666669</v>
      </c>
      <c r="H68" s="142">
        <v>0.33333333333333331</v>
      </c>
      <c r="I68" s="140"/>
      <c r="J68" s="135"/>
      <c r="K68" s="135"/>
      <c r="L68" s="135"/>
      <c r="M68" s="135"/>
      <c r="N68" s="135"/>
      <c r="O68" s="135"/>
      <c r="P68" s="135"/>
      <c r="Q68" s="135"/>
      <c r="R68" s="135"/>
      <c r="S68" s="135"/>
      <c r="T68" s="135"/>
    </row>
    <row r="69" spans="1:20" ht="16.5">
      <c r="A69" s="136" t="s">
        <v>1158</v>
      </c>
      <c r="B69" s="139" t="s">
        <v>1157</v>
      </c>
      <c r="C69" s="136" t="s">
        <v>1156</v>
      </c>
      <c r="D69" s="140"/>
      <c r="E69" s="136" t="s">
        <v>1149</v>
      </c>
      <c r="F69" s="143">
        <v>44288</v>
      </c>
      <c r="G69" s="142">
        <v>0.50694444444444442</v>
      </c>
      <c r="H69" s="142">
        <v>0.52777777777777779</v>
      </c>
      <c r="I69" s="140"/>
      <c r="J69" s="135"/>
      <c r="K69" s="135"/>
      <c r="L69" s="135"/>
      <c r="M69" s="135"/>
      <c r="N69" s="135"/>
      <c r="O69" s="135"/>
      <c r="P69" s="135"/>
      <c r="Q69" s="135"/>
      <c r="R69" s="135"/>
      <c r="S69" s="135"/>
      <c r="T69" s="135"/>
    </row>
    <row r="70" spans="1:20" ht="16.5">
      <c r="A70" s="136" t="s">
        <v>1152</v>
      </c>
      <c r="B70" s="139" t="s">
        <v>1155</v>
      </c>
      <c r="C70" s="136" t="s">
        <v>1156</v>
      </c>
      <c r="D70" s="140"/>
      <c r="E70" s="136" t="s">
        <v>1149</v>
      </c>
      <c r="F70" s="143">
        <v>44288</v>
      </c>
      <c r="G70" s="142">
        <v>0.77083333333333337</v>
      </c>
      <c r="H70" s="142">
        <v>0.8125</v>
      </c>
      <c r="I70" s="140"/>
      <c r="J70" s="135"/>
      <c r="K70" s="135"/>
      <c r="L70" s="135"/>
      <c r="M70" s="135"/>
      <c r="N70" s="135"/>
      <c r="O70" s="135"/>
      <c r="P70" s="135"/>
      <c r="Q70" s="135"/>
      <c r="R70" s="135"/>
      <c r="S70" s="135"/>
      <c r="T70" s="135"/>
    </row>
    <row r="71" spans="1:20" ht="16.5">
      <c r="A71" s="136" t="s">
        <v>1154</v>
      </c>
      <c r="B71" s="139" t="s">
        <v>1153</v>
      </c>
      <c r="C71" s="136" t="s">
        <v>1150</v>
      </c>
      <c r="D71" s="139"/>
      <c r="E71" s="136" t="s">
        <v>1149</v>
      </c>
      <c r="F71" s="143">
        <v>44288</v>
      </c>
      <c r="G71" s="142">
        <v>0.83333333333333337</v>
      </c>
      <c r="H71" s="142">
        <v>0.875</v>
      </c>
      <c r="I71" s="139"/>
      <c r="J71" s="135"/>
      <c r="K71" s="135"/>
      <c r="L71" s="135"/>
      <c r="M71" s="135"/>
      <c r="N71" s="135"/>
      <c r="O71" s="135"/>
      <c r="P71" s="135"/>
      <c r="Q71" s="135"/>
      <c r="R71" s="135"/>
      <c r="S71" s="135"/>
      <c r="T71" s="135"/>
    </row>
    <row r="72" spans="1:20" ht="16.5">
      <c r="A72" s="136" t="s">
        <v>1152</v>
      </c>
      <c r="B72" s="139" t="s">
        <v>1151</v>
      </c>
      <c r="C72" s="136" t="s">
        <v>1150</v>
      </c>
      <c r="D72" s="139"/>
      <c r="E72" s="136" t="s">
        <v>1149</v>
      </c>
      <c r="F72" s="143">
        <v>44288</v>
      </c>
      <c r="G72" s="142">
        <v>0.875</v>
      </c>
      <c r="H72" s="142">
        <v>0.91666666666666663</v>
      </c>
      <c r="I72" s="139"/>
      <c r="J72" s="135"/>
      <c r="K72" s="135"/>
      <c r="L72" s="135"/>
      <c r="M72" s="135"/>
      <c r="N72" s="135"/>
      <c r="O72" s="135"/>
      <c r="P72" s="135"/>
      <c r="Q72" s="135"/>
      <c r="R72" s="135"/>
      <c r="S72" s="135"/>
      <c r="T72" s="135"/>
    </row>
    <row r="73" spans="1:20" ht="16.5">
      <c r="A73" s="136" t="s">
        <v>1148</v>
      </c>
      <c r="B73" s="137" t="s">
        <v>1147</v>
      </c>
      <c r="C73" s="136" t="s">
        <v>1150</v>
      </c>
      <c r="D73" s="137"/>
      <c r="E73" s="136" t="s">
        <v>1149</v>
      </c>
      <c r="F73" s="143">
        <v>44288</v>
      </c>
      <c r="G73" s="142">
        <v>0.91666666666666663</v>
      </c>
      <c r="H73" s="142">
        <v>0.95833333333333337</v>
      </c>
      <c r="I73" s="137"/>
      <c r="J73" s="135"/>
      <c r="K73" s="135"/>
      <c r="L73" s="135"/>
      <c r="M73" s="135"/>
      <c r="N73" s="135"/>
      <c r="O73" s="135"/>
      <c r="P73" s="135"/>
      <c r="Q73" s="135"/>
      <c r="R73" s="135"/>
      <c r="S73" s="135"/>
      <c r="T73" s="135"/>
    </row>
    <row r="74" spans="1:20" ht="16.5">
      <c r="A74" s="136" t="s">
        <v>1167</v>
      </c>
      <c r="B74" s="139"/>
      <c r="C74" s="136" t="s">
        <v>1150</v>
      </c>
      <c r="D74" s="140"/>
      <c r="E74" s="136" t="s">
        <v>1149</v>
      </c>
      <c r="F74" s="143">
        <v>44289</v>
      </c>
      <c r="G74" s="142">
        <v>0.375</v>
      </c>
      <c r="H74" s="142" t="s">
        <v>1166</v>
      </c>
      <c r="I74" s="140"/>
      <c r="J74" s="135"/>
      <c r="K74" s="135"/>
      <c r="L74" s="135"/>
      <c r="M74" s="135"/>
      <c r="N74" s="135"/>
      <c r="O74" s="135"/>
      <c r="P74" s="135"/>
      <c r="Q74" s="135"/>
      <c r="R74" s="135"/>
      <c r="S74" s="135"/>
      <c r="T74" s="135"/>
    </row>
    <row r="75" spans="1:20" ht="16.5">
      <c r="A75" s="136" t="s">
        <v>1165</v>
      </c>
      <c r="B75" s="139"/>
      <c r="C75" s="136" t="s">
        <v>1150</v>
      </c>
      <c r="D75" s="140"/>
      <c r="E75" s="136" t="s">
        <v>1149</v>
      </c>
      <c r="F75" s="143">
        <v>44290</v>
      </c>
      <c r="G75" s="142">
        <v>0.375</v>
      </c>
      <c r="H75" s="142" t="s">
        <v>1166</v>
      </c>
      <c r="I75" s="140"/>
      <c r="J75" s="135"/>
      <c r="K75" s="135"/>
      <c r="L75" s="135"/>
      <c r="M75" s="135"/>
      <c r="N75" s="135"/>
      <c r="O75" s="135"/>
      <c r="P75" s="135"/>
      <c r="Q75" s="135"/>
      <c r="R75" s="135"/>
      <c r="S75" s="135"/>
      <c r="T75" s="135"/>
    </row>
    <row r="76" spans="1:20">
      <c r="A76" s="136" t="s">
        <v>1152</v>
      </c>
      <c r="B76" s="136" t="s">
        <v>1164</v>
      </c>
      <c r="C76" s="136" t="s">
        <v>1156</v>
      </c>
      <c r="D76" s="136"/>
      <c r="E76" s="136" t="s">
        <v>1149</v>
      </c>
      <c r="F76" s="143">
        <v>44291</v>
      </c>
      <c r="G76" s="142">
        <v>0.20833333333333334</v>
      </c>
      <c r="H76" s="142">
        <v>0.29166666666666669</v>
      </c>
      <c r="I76" s="136"/>
      <c r="J76" s="136"/>
      <c r="K76" s="136"/>
      <c r="L76" s="136"/>
      <c r="M76" s="136"/>
      <c r="N76" s="136"/>
      <c r="O76" s="136"/>
      <c r="P76" s="136"/>
      <c r="Q76" s="136"/>
      <c r="R76" s="136"/>
      <c r="S76" s="136"/>
      <c r="T76" s="136"/>
    </row>
    <row r="77" spans="1:20">
      <c r="A77" s="136" t="s">
        <v>1148</v>
      </c>
      <c r="B77" s="136"/>
      <c r="C77" s="136" t="s">
        <v>1156</v>
      </c>
      <c r="D77" s="136"/>
      <c r="E77" s="136" t="s">
        <v>1149</v>
      </c>
      <c r="F77" s="143">
        <v>44291</v>
      </c>
      <c r="G77" s="142">
        <v>0.29166666666666669</v>
      </c>
      <c r="H77" s="142">
        <v>0.33333333333333331</v>
      </c>
      <c r="I77" s="136"/>
      <c r="J77" s="136"/>
      <c r="K77" s="136"/>
      <c r="L77" s="136"/>
      <c r="M77" s="136"/>
      <c r="N77" s="136"/>
      <c r="O77" s="136"/>
      <c r="P77" s="136"/>
      <c r="Q77" s="136"/>
      <c r="R77" s="136"/>
      <c r="S77" s="136"/>
      <c r="T77" s="136"/>
    </row>
    <row r="78" spans="1:20" ht="16.5">
      <c r="A78" s="136" t="s">
        <v>1158</v>
      </c>
      <c r="B78" s="139"/>
      <c r="C78" s="136" t="s">
        <v>1156</v>
      </c>
      <c r="D78" s="137"/>
      <c r="E78" s="136" t="s">
        <v>1149</v>
      </c>
      <c r="F78" s="143">
        <v>44291</v>
      </c>
      <c r="G78" s="142">
        <v>0.50694444444444442</v>
      </c>
      <c r="H78" s="142">
        <v>0.52777777777777779</v>
      </c>
      <c r="I78" s="137"/>
      <c r="J78" s="135"/>
      <c r="K78" s="135"/>
      <c r="L78" s="135"/>
      <c r="M78" s="135"/>
      <c r="N78" s="135"/>
      <c r="O78" s="135"/>
      <c r="P78" s="135"/>
      <c r="Q78" s="135"/>
      <c r="R78" s="135"/>
      <c r="S78" s="135"/>
      <c r="T78" s="135"/>
    </row>
    <row r="79" spans="1:20" ht="16.5">
      <c r="A79" s="136" t="s">
        <v>1152</v>
      </c>
      <c r="B79" s="139" t="s">
        <v>1163</v>
      </c>
      <c r="C79" s="136" t="s">
        <v>1156</v>
      </c>
      <c r="D79" s="137"/>
      <c r="E79" s="136" t="s">
        <v>1149</v>
      </c>
      <c r="F79" s="143">
        <v>44291</v>
      </c>
      <c r="G79" s="142">
        <v>0.77083333333333337</v>
      </c>
      <c r="H79" s="142">
        <v>0.8125</v>
      </c>
      <c r="I79" s="137"/>
      <c r="J79" s="135"/>
      <c r="K79" s="135"/>
      <c r="L79" s="135"/>
      <c r="M79" s="135"/>
      <c r="N79" s="135"/>
      <c r="O79" s="135"/>
      <c r="P79" s="135"/>
      <c r="Q79" s="135"/>
      <c r="R79" s="135"/>
      <c r="S79" s="135"/>
      <c r="T79" s="135"/>
    </row>
    <row r="80" spans="1:20" ht="16.5">
      <c r="A80" s="136" t="s">
        <v>1154</v>
      </c>
      <c r="B80" s="139"/>
      <c r="C80" s="136" t="s">
        <v>1150</v>
      </c>
      <c r="D80" s="137"/>
      <c r="E80" s="136" t="s">
        <v>1149</v>
      </c>
      <c r="F80" s="143">
        <v>44291</v>
      </c>
      <c r="G80" s="142">
        <v>0.83333333333333337</v>
      </c>
      <c r="H80" s="142">
        <v>0.875</v>
      </c>
      <c r="I80" s="137"/>
      <c r="J80" s="135"/>
      <c r="K80" s="135"/>
      <c r="L80" s="135"/>
      <c r="M80" s="135"/>
      <c r="N80" s="135"/>
      <c r="O80" s="135"/>
      <c r="P80" s="135"/>
      <c r="Q80" s="135"/>
      <c r="R80" s="135"/>
      <c r="S80" s="135"/>
      <c r="T80" s="135"/>
    </row>
    <row r="81" spans="1:20" ht="16.5">
      <c r="A81" s="136" t="s">
        <v>1152</v>
      </c>
      <c r="B81" s="139" t="s">
        <v>1162</v>
      </c>
      <c r="C81" s="136" t="s">
        <v>1150</v>
      </c>
      <c r="D81" s="139"/>
      <c r="E81" s="136" t="s">
        <v>1149</v>
      </c>
      <c r="F81" s="143">
        <v>44291</v>
      </c>
      <c r="G81" s="142">
        <v>0.875</v>
      </c>
      <c r="H81" s="142">
        <v>0.91666666666666663</v>
      </c>
      <c r="I81" s="139"/>
      <c r="J81" s="135"/>
      <c r="K81" s="135"/>
      <c r="L81" s="135"/>
      <c r="M81" s="135"/>
      <c r="N81" s="135"/>
      <c r="O81" s="135"/>
      <c r="P81" s="135"/>
      <c r="Q81" s="135"/>
      <c r="R81" s="135"/>
      <c r="S81" s="135"/>
      <c r="T81" s="135"/>
    </row>
    <row r="82" spans="1:20" ht="16.5">
      <c r="A82" s="136" t="s">
        <v>1148</v>
      </c>
      <c r="B82" s="139" t="s">
        <v>1161</v>
      </c>
      <c r="C82" s="136" t="s">
        <v>1150</v>
      </c>
      <c r="D82" s="139"/>
      <c r="E82" s="136" t="s">
        <v>1149</v>
      </c>
      <c r="F82" s="143">
        <v>44291</v>
      </c>
      <c r="G82" s="142">
        <v>0.91666666666666663</v>
      </c>
      <c r="H82" s="142">
        <v>0.95833333333333337</v>
      </c>
      <c r="I82" s="139"/>
      <c r="J82" s="135"/>
      <c r="K82" s="135"/>
      <c r="L82" s="135"/>
      <c r="M82" s="135"/>
      <c r="N82" s="135"/>
      <c r="O82" s="135"/>
      <c r="P82" s="135"/>
      <c r="Q82" s="135"/>
      <c r="R82" s="135"/>
      <c r="S82" s="135"/>
      <c r="T82" s="135"/>
    </row>
    <row r="83" spans="1:20" ht="16.5">
      <c r="A83" s="136" t="s">
        <v>1152</v>
      </c>
      <c r="B83" s="139" t="s">
        <v>1160</v>
      </c>
      <c r="C83" s="136" t="s">
        <v>1156</v>
      </c>
      <c r="D83" s="139"/>
      <c r="E83" s="136" t="s">
        <v>1149</v>
      </c>
      <c r="F83" s="143">
        <v>44292</v>
      </c>
      <c r="G83" s="142">
        <v>0.20833333333333334</v>
      </c>
      <c r="H83" s="142">
        <v>0.29166666666666669</v>
      </c>
      <c r="I83" s="139"/>
      <c r="J83" s="135"/>
      <c r="K83" s="135"/>
      <c r="L83" s="135"/>
      <c r="M83" s="135"/>
      <c r="N83" s="135"/>
      <c r="O83" s="135"/>
      <c r="P83" s="135"/>
      <c r="Q83" s="135"/>
      <c r="R83" s="135"/>
      <c r="S83" s="135"/>
      <c r="T83" s="135"/>
    </row>
    <row r="84" spans="1:20" ht="16.5">
      <c r="A84" s="136" t="s">
        <v>1148</v>
      </c>
      <c r="B84" s="139" t="s">
        <v>1159</v>
      </c>
      <c r="C84" s="136" t="s">
        <v>1156</v>
      </c>
      <c r="D84" s="140"/>
      <c r="E84" s="136" t="s">
        <v>1149</v>
      </c>
      <c r="F84" s="143">
        <v>44292</v>
      </c>
      <c r="G84" s="142">
        <v>0.29166666666666669</v>
      </c>
      <c r="H84" s="142">
        <v>0.33333333333333331</v>
      </c>
      <c r="I84" s="140"/>
      <c r="J84" s="135"/>
      <c r="K84" s="135"/>
      <c r="L84" s="135"/>
      <c r="M84" s="135"/>
      <c r="N84" s="135"/>
      <c r="O84" s="135"/>
      <c r="P84" s="135"/>
      <c r="Q84" s="135"/>
      <c r="R84" s="135"/>
      <c r="S84" s="135"/>
      <c r="T84" s="135"/>
    </row>
    <row r="85" spans="1:20" ht="16.5">
      <c r="A85" s="136" t="s">
        <v>1158</v>
      </c>
      <c r="B85" s="139" t="s">
        <v>1157</v>
      </c>
      <c r="C85" s="136" t="s">
        <v>1156</v>
      </c>
      <c r="D85" s="140"/>
      <c r="E85" s="136" t="s">
        <v>1149</v>
      </c>
      <c r="F85" s="143">
        <v>44292</v>
      </c>
      <c r="G85" s="142">
        <v>0.50694444444444442</v>
      </c>
      <c r="H85" s="142">
        <v>0.52777777777777779</v>
      </c>
      <c r="I85" s="140"/>
      <c r="J85" s="135"/>
      <c r="K85" s="135"/>
      <c r="L85" s="135"/>
      <c r="M85" s="135"/>
      <c r="N85" s="135"/>
      <c r="O85" s="135"/>
      <c r="P85" s="135"/>
      <c r="Q85" s="135"/>
      <c r="R85" s="135"/>
      <c r="S85" s="135"/>
      <c r="T85" s="135"/>
    </row>
    <row r="86" spans="1:20" ht="16.5">
      <c r="A86" s="136" t="s">
        <v>1152</v>
      </c>
      <c r="B86" s="139" t="s">
        <v>1155</v>
      </c>
      <c r="C86" s="136" t="s">
        <v>1156</v>
      </c>
      <c r="D86" s="140"/>
      <c r="E86" s="136" t="s">
        <v>1149</v>
      </c>
      <c r="F86" s="143">
        <v>44292</v>
      </c>
      <c r="G86" s="142">
        <v>0.77083333333333337</v>
      </c>
      <c r="H86" s="142">
        <v>0.8125</v>
      </c>
      <c r="I86" s="140"/>
      <c r="J86" s="135"/>
      <c r="K86" s="135"/>
      <c r="L86" s="135"/>
      <c r="M86" s="135"/>
      <c r="N86" s="135"/>
      <c r="O86" s="135"/>
      <c r="P86" s="135"/>
      <c r="Q86" s="135"/>
      <c r="R86" s="135"/>
      <c r="S86" s="135"/>
      <c r="T86" s="135"/>
    </row>
    <row r="87" spans="1:20" ht="16.5">
      <c r="A87" s="136" t="s">
        <v>1154</v>
      </c>
      <c r="B87" s="139" t="s">
        <v>1153</v>
      </c>
      <c r="C87" s="136" t="s">
        <v>1150</v>
      </c>
      <c r="D87" s="139"/>
      <c r="E87" s="136" t="s">
        <v>1149</v>
      </c>
      <c r="F87" s="143">
        <v>44292</v>
      </c>
      <c r="G87" s="142">
        <v>0.83333333333333337</v>
      </c>
      <c r="H87" s="142">
        <v>0.875</v>
      </c>
      <c r="I87" s="139"/>
      <c r="J87" s="135"/>
      <c r="K87" s="135"/>
      <c r="L87" s="135"/>
      <c r="M87" s="135"/>
      <c r="N87" s="135"/>
      <c r="O87" s="135"/>
      <c r="P87" s="135"/>
      <c r="Q87" s="135"/>
      <c r="R87" s="135"/>
      <c r="S87" s="135"/>
      <c r="T87" s="135"/>
    </row>
    <row r="88" spans="1:20" ht="16.5">
      <c r="A88" s="136" t="s">
        <v>1152</v>
      </c>
      <c r="B88" s="139" t="s">
        <v>1151</v>
      </c>
      <c r="C88" s="136" t="s">
        <v>1150</v>
      </c>
      <c r="D88" s="139"/>
      <c r="E88" s="136" t="s">
        <v>1149</v>
      </c>
      <c r="F88" s="143">
        <v>44292</v>
      </c>
      <c r="G88" s="142">
        <v>0.875</v>
      </c>
      <c r="H88" s="142">
        <v>0.91666666666666663</v>
      </c>
      <c r="I88" s="139"/>
      <c r="J88" s="135"/>
      <c r="K88" s="135"/>
      <c r="L88" s="135"/>
      <c r="M88" s="135"/>
      <c r="N88" s="135"/>
      <c r="O88" s="135"/>
      <c r="P88" s="135"/>
      <c r="Q88" s="135"/>
      <c r="R88" s="135"/>
      <c r="S88" s="135"/>
      <c r="T88" s="135"/>
    </row>
    <row r="89" spans="1:20" ht="16.5">
      <c r="A89" s="136" t="s">
        <v>1148</v>
      </c>
      <c r="B89" s="137" t="s">
        <v>1147</v>
      </c>
      <c r="C89" s="136" t="s">
        <v>1150</v>
      </c>
      <c r="D89" s="137"/>
      <c r="E89" s="136" t="s">
        <v>1149</v>
      </c>
      <c r="F89" s="143">
        <v>44292</v>
      </c>
      <c r="G89" s="142">
        <v>0.91666666666666663</v>
      </c>
      <c r="H89" s="142">
        <v>0.95833333333333337</v>
      </c>
      <c r="I89" s="137"/>
      <c r="J89" s="135"/>
      <c r="K89" s="135"/>
      <c r="L89" s="135"/>
      <c r="M89" s="135"/>
      <c r="N89" s="135"/>
      <c r="O89" s="135"/>
      <c r="P89" s="135"/>
      <c r="Q89" s="135"/>
      <c r="R89" s="135"/>
      <c r="S89" s="135"/>
      <c r="T89" s="135"/>
    </row>
    <row r="90" spans="1:20" ht="16.5">
      <c r="A90" s="136"/>
      <c r="B90" s="139"/>
      <c r="C90" s="136"/>
      <c r="D90" s="138"/>
      <c r="E90" s="136"/>
      <c r="F90" s="136"/>
      <c r="G90" s="136"/>
      <c r="H90" s="136"/>
      <c r="I90" s="138"/>
      <c r="J90" s="135"/>
      <c r="K90" s="135"/>
      <c r="L90" s="135"/>
      <c r="M90" s="135"/>
      <c r="N90" s="135"/>
      <c r="O90" s="135"/>
      <c r="P90" s="135"/>
      <c r="Q90" s="135"/>
      <c r="R90" s="135"/>
      <c r="S90" s="135"/>
      <c r="T90" s="135"/>
    </row>
    <row r="91" spans="1:20" ht="16.5">
      <c r="A91" s="136"/>
      <c r="B91" s="137"/>
      <c r="C91" s="136"/>
      <c r="D91" s="139"/>
      <c r="E91" s="136"/>
      <c r="F91" s="136"/>
      <c r="G91" s="136"/>
      <c r="H91" s="136"/>
      <c r="I91" s="139"/>
      <c r="J91" s="135"/>
      <c r="K91" s="135"/>
      <c r="L91" s="135"/>
      <c r="M91" s="135"/>
      <c r="N91" s="135"/>
      <c r="O91" s="135"/>
      <c r="P91" s="135"/>
      <c r="Q91" s="135"/>
      <c r="R91" s="135"/>
      <c r="S91" s="135"/>
      <c r="T91" s="135"/>
    </row>
    <row r="92" spans="1:20" ht="16.5">
      <c r="A92" s="136"/>
      <c r="B92" s="139"/>
      <c r="C92" s="136"/>
      <c r="D92" s="139"/>
      <c r="E92" s="136"/>
      <c r="F92" s="136"/>
      <c r="G92" s="136"/>
      <c r="H92" s="136"/>
      <c r="I92" s="139"/>
      <c r="J92" s="135"/>
      <c r="K92" s="135"/>
      <c r="L92" s="135"/>
      <c r="M92" s="135"/>
      <c r="N92" s="135"/>
      <c r="O92" s="135"/>
      <c r="P92" s="135"/>
      <c r="Q92" s="135"/>
      <c r="R92" s="135"/>
      <c r="S92" s="135"/>
      <c r="T92" s="135"/>
    </row>
    <row r="93" spans="1:20" ht="16.5">
      <c r="A93" s="136"/>
      <c r="B93" s="139"/>
      <c r="C93" s="136"/>
      <c r="D93" s="139"/>
      <c r="E93" s="136"/>
      <c r="F93" s="136"/>
      <c r="G93" s="136"/>
      <c r="H93" s="136"/>
      <c r="I93" s="139"/>
      <c r="J93" s="135"/>
      <c r="K93" s="135"/>
      <c r="L93" s="135"/>
      <c r="M93" s="135"/>
      <c r="N93" s="135"/>
      <c r="O93" s="135"/>
      <c r="P93" s="135"/>
      <c r="Q93" s="135"/>
      <c r="R93" s="135"/>
      <c r="S93" s="135"/>
      <c r="T93" s="135"/>
    </row>
    <row r="94" spans="1:20" ht="16.5">
      <c r="A94" s="136"/>
      <c r="B94" s="136"/>
      <c r="C94" s="136"/>
      <c r="D94" s="136"/>
      <c r="E94" s="136"/>
      <c r="F94" s="136"/>
      <c r="G94" s="136"/>
      <c r="H94" s="136"/>
      <c r="I94" s="136"/>
      <c r="J94" s="141"/>
      <c r="K94" s="135"/>
      <c r="L94" s="135"/>
      <c r="M94" s="135"/>
      <c r="N94" s="135"/>
      <c r="O94" s="135"/>
      <c r="P94" s="135"/>
      <c r="Q94" s="135"/>
      <c r="R94" s="135"/>
      <c r="S94" s="135"/>
      <c r="T94" s="135"/>
    </row>
    <row r="95" spans="1:20" ht="16.5">
      <c r="A95" s="136"/>
      <c r="B95" s="139"/>
      <c r="C95" s="136"/>
      <c r="D95" s="139"/>
      <c r="E95" s="136"/>
      <c r="F95" s="136"/>
      <c r="G95" s="136"/>
      <c r="H95" s="136"/>
      <c r="I95" s="139"/>
      <c r="J95" s="135"/>
      <c r="K95" s="135"/>
      <c r="L95" s="135"/>
      <c r="M95" s="135"/>
      <c r="N95" s="135"/>
      <c r="O95" s="135"/>
      <c r="P95" s="135"/>
      <c r="Q95" s="135"/>
      <c r="R95" s="135"/>
      <c r="S95" s="135"/>
      <c r="T95" s="135"/>
    </row>
    <row r="96" spans="1:20" ht="16.5">
      <c r="A96" s="136"/>
      <c r="B96" s="139"/>
      <c r="C96" s="136"/>
      <c r="D96" s="139"/>
      <c r="E96" s="136"/>
      <c r="F96" s="136"/>
      <c r="G96" s="136"/>
      <c r="H96" s="136"/>
      <c r="I96" s="139"/>
      <c r="J96" s="135"/>
      <c r="K96" s="135"/>
      <c r="L96" s="135"/>
      <c r="M96" s="135"/>
      <c r="N96" s="135"/>
      <c r="O96" s="135"/>
      <c r="P96" s="135"/>
      <c r="Q96" s="135"/>
      <c r="R96" s="135"/>
      <c r="S96" s="135"/>
      <c r="T96" s="135"/>
    </row>
    <row r="97" spans="1:20" ht="16.5">
      <c r="A97" s="136"/>
      <c r="B97" s="139"/>
      <c r="C97" s="136"/>
      <c r="D97" s="139"/>
      <c r="E97" s="136"/>
      <c r="F97" s="136"/>
      <c r="G97" s="136"/>
      <c r="H97" s="136"/>
      <c r="I97" s="139"/>
      <c r="J97" s="135"/>
      <c r="K97" s="135"/>
      <c r="L97" s="135"/>
      <c r="M97" s="135"/>
      <c r="N97" s="135"/>
      <c r="O97" s="135"/>
      <c r="P97" s="135"/>
      <c r="Q97" s="135"/>
      <c r="R97" s="135"/>
      <c r="S97" s="135"/>
      <c r="T97" s="135"/>
    </row>
    <row r="98" spans="1:20" ht="16.5">
      <c r="A98" s="136"/>
      <c r="B98" s="139"/>
      <c r="C98" s="136"/>
      <c r="D98" s="139"/>
      <c r="E98" s="136"/>
      <c r="F98" s="136"/>
      <c r="G98" s="136"/>
      <c r="H98" s="136"/>
      <c r="I98" s="139"/>
      <c r="J98" s="135"/>
      <c r="K98" s="135"/>
      <c r="L98" s="135"/>
      <c r="M98" s="135"/>
      <c r="N98" s="135"/>
      <c r="O98" s="135"/>
      <c r="P98" s="135"/>
      <c r="Q98" s="135"/>
      <c r="R98" s="135"/>
      <c r="S98" s="135"/>
      <c r="T98" s="135"/>
    </row>
    <row r="99" spans="1:20" ht="16.5">
      <c r="A99" s="136"/>
      <c r="B99" s="139"/>
      <c r="C99" s="136"/>
      <c r="D99" s="139"/>
      <c r="E99" s="136"/>
      <c r="F99" s="136"/>
      <c r="G99" s="136"/>
      <c r="H99" s="136"/>
      <c r="I99" s="139"/>
      <c r="J99" s="135"/>
      <c r="K99" s="135"/>
      <c r="L99" s="135"/>
      <c r="M99" s="135"/>
      <c r="N99" s="135"/>
      <c r="O99" s="135"/>
      <c r="P99" s="135"/>
      <c r="Q99" s="135"/>
      <c r="R99" s="135"/>
      <c r="S99" s="135"/>
      <c r="T99" s="135"/>
    </row>
    <row r="100" spans="1:20" ht="16.5">
      <c r="A100" s="136"/>
      <c r="B100" s="139"/>
      <c r="C100" s="136"/>
      <c r="D100" s="140"/>
      <c r="E100" s="136"/>
      <c r="F100" s="136"/>
      <c r="G100" s="136"/>
      <c r="H100" s="136"/>
      <c r="I100" s="140"/>
      <c r="J100" s="135"/>
      <c r="K100" s="135"/>
      <c r="L100" s="135"/>
      <c r="M100" s="135"/>
      <c r="N100" s="135"/>
      <c r="O100" s="135"/>
      <c r="P100" s="135"/>
      <c r="Q100" s="135"/>
      <c r="R100" s="135"/>
      <c r="S100" s="135"/>
      <c r="T100" s="135"/>
    </row>
    <row r="101" spans="1:20" ht="16.5">
      <c r="A101" s="136"/>
      <c r="B101" s="139"/>
      <c r="C101" s="136"/>
      <c r="D101" s="140"/>
      <c r="E101" s="136"/>
      <c r="F101" s="136"/>
      <c r="G101" s="136"/>
      <c r="H101" s="136"/>
      <c r="I101" s="140"/>
      <c r="J101" s="135"/>
      <c r="K101" s="135"/>
      <c r="L101" s="135"/>
      <c r="M101" s="135"/>
      <c r="N101" s="135"/>
      <c r="O101" s="135"/>
      <c r="P101" s="135"/>
      <c r="Q101" s="135"/>
      <c r="R101" s="135"/>
      <c r="S101" s="135"/>
      <c r="T101" s="135"/>
    </row>
    <row r="102" spans="1:20" ht="16.5">
      <c r="A102" s="136"/>
      <c r="B102" s="139"/>
      <c r="C102" s="136"/>
      <c r="D102" s="140"/>
      <c r="E102" s="136"/>
      <c r="F102" s="136"/>
      <c r="G102" s="136"/>
      <c r="H102" s="136"/>
      <c r="I102" s="140"/>
      <c r="J102" s="135"/>
      <c r="K102" s="135"/>
      <c r="L102" s="135"/>
      <c r="M102" s="135"/>
      <c r="N102" s="135"/>
      <c r="O102" s="135"/>
      <c r="P102" s="135"/>
      <c r="Q102" s="135"/>
      <c r="R102" s="135"/>
      <c r="S102" s="135"/>
      <c r="T102" s="135"/>
    </row>
    <row r="103" spans="1:20" ht="16.5">
      <c r="A103" s="136"/>
      <c r="B103" s="139"/>
      <c r="C103" s="139"/>
      <c r="D103" s="135"/>
      <c r="E103" s="139"/>
      <c r="F103" s="139"/>
      <c r="G103" s="139"/>
      <c r="H103" s="139"/>
      <c r="I103" s="135"/>
      <c r="J103" s="135"/>
      <c r="K103" s="135"/>
      <c r="L103" s="135"/>
      <c r="M103" s="135"/>
      <c r="N103" s="135"/>
      <c r="O103" s="135"/>
      <c r="P103" s="135"/>
      <c r="Q103" s="135"/>
      <c r="R103" s="135"/>
      <c r="S103" s="135"/>
      <c r="T103" s="135"/>
    </row>
    <row r="104" spans="1:20" ht="16.5">
      <c r="A104" s="136"/>
      <c r="B104" s="139"/>
      <c r="C104" s="139"/>
      <c r="D104" s="135"/>
      <c r="E104" s="139"/>
      <c r="F104" s="139"/>
      <c r="G104" s="139"/>
      <c r="H104" s="139"/>
      <c r="I104" s="135"/>
      <c r="J104" s="135"/>
      <c r="K104" s="135"/>
      <c r="L104" s="135"/>
      <c r="M104" s="135"/>
      <c r="N104" s="135"/>
      <c r="O104" s="135"/>
      <c r="P104" s="135"/>
      <c r="Q104" s="135"/>
      <c r="R104" s="135"/>
      <c r="S104" s="135"/>
      <c r="T104" s="135"/>
    </row>
    <row r="105" spans="1:20" ht="16.5">
      <c r="A105" s="136"/>
      <c r="B105" s="139"/>
      <c r="C105" s="139"/>
      <c r="D105" s="135"/>
      <c r="E105" s="139"/>
      <c r="F105" s="139"/>
      <c r="G105" s="139"/>
      <c r="H105" s="139"/>
      <c r="I105" s="135"/>
      <c r="J105" s="135"/>
      <c r="K105" s="135"/>
      <c r="L105" s="135"/>
      <c r="M105" s="135"/>
      <c r="N105" s="135"/>
      <c r="O105" s="135"/>
      <c r="P105" s="135"/>
      <c r="Q105" s="135"/>
      <c r="R105" s="135"/>
      <c r="S105" s="135"/>
      <c r="T105" s="135"/>
    </row>
    <row r="106" spans="1:20" ht="16.5">
      <c r="A106" s="136"/>
      <c r="B106" s="139"/>
      <c r="C106" s="139"/>
      <c r="D106" s="135"/>
      <c r="E106" s="139"/>
      <c r="F106" s="139"/>
      <c r="G106" s="139"/>
      <c r="H106" s="139"/>
      <c r="I106" s="135"/>
      <c r="J106" s="135"/>
      <c r="K106" s="135"/>
      <c r="L106" s="135"/>
      <c r="M106" s="135"/>
      <c r="N106" s="135"/>
      <c r="O106" s="135"/>
      <c r="P106" s="135"/>
      <c r="Q106" s="135"/>
      <c r="R106" s="135"/>
      <c r="S106" s="135"/>
      <c r="T106" s="135"/>
    </row>
    <row r="107" spans="1:20" ht="16.5">
      <c r="A107" s="136"/>
      <c r="B107" s="135"/>
      <c r="C107" s="139"/>
      <c r="D107" s="135"/>
      <c r="E107" s="139"/>
      <c r="F107" s="139"/>
      <c r="G107" s="139"/>
      <c r="H107" s="139"/>
      <c r="I107" s="135"/>
      <c r="J107" s="135"/>
      <c r="K107" s="135"/>
      <c r="L107" s="135"/>
      <c r="M107" s="135"/>
      <c r="N107" s="135"/>
      <c r="O107" s="135"/>
      <c r="P107" s="135"/>
      <c r="Q107" s="135"/>
      <c r="R107" s="135"/>
      <c r="S107" s="135"/>
      <c r="T107" s="135"/>
    </row>
    <row r="108" spans="1:20" ht="16.5">
      <c r="A108" s="136"/>
      <c r="B108" s="138"/>
      <c r="C108" s="139"/>
      <c r="D108" s="135"/>
      <c r="E108" s="139"/>
      <c r="F108" s="139"/>
      <c r="G108" s="139"/>
      <c r="H108" s="139"/>
      <c r="I108" s="135"/>
      <c r="J108" s="135"/>
      <c r="K108" s="135"/>
      <c r="L108" s="135"/>
      <c r="M108" s="135"/>
      <c r="N108" s="135"/>
      <c r="O108" s="135"/>
      <c r="P108" s="135"/>
      <c r="Q108" s="135"/>
      <c r="R108" s="135"/>
      <c r="S108" s="135"/>
      <c r="T108" s="135"/>
    </row>
    <row r="109" spans="1:20" ht="16.5">
      <c r="A109" s="136"/>
      <c r="B109" s="137"/>
      <c r="C109" s="135"/>
      <c r="D109" s="135"/>
      <c r="E109" s="135"/>
      <c r="F109" s="135"/>
      <c r="G109" s="135"/>
      <c r="H109" s="135"/>
      <c r="I109" s="135"/>
      <c r="J109" s="135"/>
      <c r="K109" s="135"/>
      <c r="L109" s="135"/>
      <c r="M109" s="135"/>
      <c r="N109" s="135"/>
      <c r="O109" s="135"/>
      <c r="P109" s="135"/>
      <c r="Q109" s="135"/>
      <c r="R109" s="135"/>
      <c r="S109" s="135"/>
      <c r="T109" s="135"/>
    </row>
    <row r="110" spans="1:20" ht="16.5">
      <c r="A110" s="136"/>
      <c r="B110" s="137"/>
      <c r="C110" s="135"/>
      <c r="D110" s="135"/>
      <c r="E110" s="135"/>
      <c r="F110" s="135"/>
      <c r="G110" s="135"/>
      <c r="H110" s="135"/>
      <c r="I110" s="135"/>
      <c r="J110" s="135"/>
      <c r="K110" s="135"/>
      <c r="L110" s="135"/>
      <c r="M110" s="135"/>
      <c r="N110" s="135"/>
      <c r="O110" s="135"/>
      <c r="P110" s="135"/>
      <c r="Q110" s="135"/>
      <c r="R110" s="135"/>
      <c r="S110" s="135"/>
      <c r="T110" s="135"/>
    </row>
    <row r="111" spans="1:20" ht="16.5">
      <c r="A111" s="136"/>
      <c r="B111" s="137"/>
      <c r="C111" s="135"/>
      <c r="D111" s="135"/>
      <c r="E111" s="135"/>
      <c r="F111" s="135"/>
      <c r="G111" s="135"/>
      <c r="H111" s="135"/>
      <c r="I111" s="135"/>
      <c r="J111" s="135"/>
      <c r="K111" s="135"/>
      <c r="L111" s="135"/>
      <c r="M111" s="135"/>
      <c r="N111" s="135"/>
      <c r="O111" s="135"/>
      <c r="P111" s="135"/>
      <c r="Q111" s="135"/>
      <c r="R111" s="135"/>
      <c r="S111" s="135"/>
      <c r="T111" s="135"/>
    </row>
    <row r="112" spans="1:20" ht="16.5">
      <c r="A112" s="136"/>
      <c r="B112" s="135"/>
      <c r="C112" s="135"/>
      <c r="D112" s="135"/>
      <c r="E112" s="135"/>
      <c r="F112" s="135"/>
      <c r="G112" s="135"/>
      <c r="H112" s="135"/>
      <c r="I112" s="135"/>
      <c r="J112" s="135"/>
      <c r="K112" s="135"/>
      <c r="L112" s="135"/>
      <c r="M112" s="135"/>
      <c r="N112" s="135"/>
      <c r="O112" s="135"/>
      <c r="P112" s="135"/>
      <c r="Q112" s="135"/>
      <c r="R112" s="135"/>
      <c r="S112" s="135"/>
      <c r="T112" s="135"/>
    </row>
    <row r="113" spans="1:20" ht="16.5">
      <c r="A113" s="136"/>
      <c r="B113" s="137"/>
      <c r="C113" s="135"/>
      <c r="D113" s="135"/>
      <c r="E113" s="135"/>
      <c r="F113" s="135"/>
      <c r="G113" s="135"/>
      <c r="H113" s="135"/>
      <c r="I113" s="135"/>
      <c r="J113" s="135"/>
      <c r="K113" s="135"/>
      <c r="L113" s="135"/>
      <c r="M113" s="135"/>
      <c r="N113" s="135"/>
      <c r="O113" s="135"/>
      <c r="P113" s="135"/>
      <c r="Q113" s="135"/>
      <c r="R113" s="135"/>
      <c r="S113" s="135"/>
      <c r="T113" s="135"/>
    </row>
    <row r="114" spans="1:20" ht="16.5">
      <c r="A114" s="136"/>
      <c r="B114" s="135"/>
      <c r="C114" s="135"/>
      <c r="D114" s="135"/>
      <c r="E114" s="135"/>
      <c r="F114" s="135"/>
      <c r="G114" s="135"/>
      <c r="H114" s="135"/>
      <c r="I114" s="135"/>
      <c r="J114" s="135"/>
      <c r="K114" s="135"/>
      <c r="L114" s="135"/>
      <c r="M114" s="135"/>
      <c r="N114" s="135"/>
      <c r="O114" s="135"/>
      <c r="P114" s="135"/>
      <c r="Q114" s="135"/>
      <c r="R114" s="135"/>
      <c r="S114" s="135"/>
      <c r="T114" s="135"/>
    </row>
    <row r="115" spans="1:20" ht="16.5">
      <c r="A115" s="136"/>
      <c r="B115" s="135"/>
      <c r="C115" s="135"/>
      <c r="D115" s="135"/>
      <c r="E115" s="135"/>
      <c r="F115" s="135"/>
      <c r="G115" s="135"/>
      <c r="H115" s="135"/>
      <c r="I115" s="135"/>
      <c r="J115" s="135"/>
      <c r="K115" s="135"/>
      <c r="L115" s="135"/>
      <c r="M115" s="135"/>
      <c r="N115" s="135"/>
      <c r="O115" s="135"/>
      <c r="P115" s="135"/>
      <c r="Q115" s="135"/>
      <c r="R115" s="135"/>
      <c r="S115" s="135"/>
      <c r="T115" s="135"/>
    </row>
    <row r="116" spans="1:20" ht="16.5">
      <c r="A116" s="136"/>
      <c r="B116" s="135"/>
      <c r="C116" s="135"/>
      <c r="D116" s="135"/>
      <c r="E116" s="135"/>
      <c r="F116" s="135" t="s">
        <v>1146</v>
      </c>
      <c r="G116" s="135"/>
      <c r="H116" s="135"/>
      <c r="I116" s="135"/>
      <c r="J116" s="135"/>
      <c r="K116" s="135"/>
      <c r="L116" s="135"/>
      <c r="M116" s="135"/>
      <c r="N116" s="135"/>
      <c r="O116" s="135"/>
      <c r="P116" s="135"/>
      <c r="Q116" s="135"/>
      <c r="R116" s="135"/>
      <c r="S116" s="135"/>
      <c r="T116" s="135"/>
    </row>
    <row r="117" spans="1:20" ht="16.5">
      <c r="A117" s="136"/>
      <c r="B117" s="135"/>
      <c r="C117" s="135"/>
      <c r="D117" s="135"/>
      <c r="E117" s="135"/>
      <c r="F117" s="135"/>
      <c r="G117" s="135"/>
      <c r="H117" s="135"/>
      <c r="I117" s="135"/>
      <c r="J117" s="135"/>
      <c r="K117" s="135"/>
      <c r="L117" s="135"/>
      <c r="M117" s="135"/>
      <c r="N117" s="135"/>
      <c r="O117" s="135"/>
      <c r="P117" s="135"/>
      <c r="Q117" s="135"/>
      <c r="R117" s="135"/>
      <c r="S117" s="135"/>
      <c r="T117" s="135"/>
    </row>
    <row r="118" spans="1:20" ht="16.5">
      <c r="A118" s="136"/>
      <c r="B118" s="135"/>
      <c r="C118" s="135"/>
      <c r="D118" s="135"/>
      <c r="E118" s="135"/>
      <c r="F118" s="135"/>
      <c r="G118" s="135"/>
      <c r="H118" s="135"/>
      <c r="I118" s="135"/>
      <c r="J118" s="135"/>
      <c r="K118" s="135"/>
      <c r="L118" s="135"/>
      <c r="M118" s="135"/>
      <c r="N118" s="135"/>
      <c r="O118" s="135"/>
      <c r="P118" s="135"/>
      <c r="Q118" s="135"/>
      <c r="R118" s="135"/>
      <c r="S118" s="135"/>
      <c r="T118" s="135"/>
    </row>
    <row r="119" spans="1:20" ht="16.5">
      <c r="A119" s="136"/>
      <c r="B119" s="135"/>
      <c r="C119" s="135"/>
      <c r="D119" s="135"/>
      <c r="E119" s="135"/>
      <c r="F119" s="135"/>
      <c r="G119" s="135"/>
      <c r="H119" s="135"/>
      <c r="I119" s="135"/>
      <c r="J119" s="135"/>
      <c r="K119" s="135"/>
      <c r="L119" s="135"/>
      <c r="M119" s="135"/>
      <c r="N119" s="135"/>
      <c r="O119" s="135"/>
      <c r="P119" s="135"/>
      <c r="Q119" s="135"/>
      <c r="R119" s="135"/>
      <c r="S119" s="135"/>
      <c r="T119" s="135"/>
    </row>
    <row r="120" spans="1:20" ht="16.5">
      <c r="A120" s="136"/>
      <c r="B120" s="135"/>
      <c r="C120" s="135"/>
      <c r="D120" s="135"/>
      <c r="E120" s="135"/>
      <c r="F120" s="135"/>
      <c r="G120" s="135"/>
      <c r="H120" s="135"/>
      <c r="I120" s="135"/>
      <c r="J120" s="135"/>
      <c r="K120" s="135"/>
      <c r="L120" s="135"/>
      <c r="M120" s="135"/>
      <c r="N120" s="135"/>
      <c r="O120" s="135"/>
      <c r="P120" s="135"/>
      <c r="Q120" s="135"/>
      <c r="R120" s="135"/>
      <c r="S120" s="135"/>
      <c r="T120" s="135"/>
    </row>
    <row r="121" spans="1:20" ht="16.5">
      <c r="A121" s="136"/>
      <c r="B121" s="135"/>
      <c r="C121" s="135"/>
      <c r="D121" s="135"/>
      <c r="E121" s="135"/>
      <c r="F121" s="135"/>
      <c r="G121" s="135"/>
      <c r="H121" s="135"/>
      <c r="I121" s="135"/>
      <c r="J121" s="135"/>
      <c r="K121" s="135"/>
      <c r="L121" s="135"/>
      <c r="M121" s="135"/>
      <c r="N121" s="135"/>
      <c r="O121" s="135"/>
      <c r="P121" s="135"/>
      <c r="Q121" s="135"/>
      <c r="R121" s="135"/>
      <c r="S121" s="135"/>
      <c r="T121" s="135"/>
    </row>
    <row r="122" spans="1:20" ht="16.5">
      <c r="A122" s="136"/>
      <c r="B122" s="135"/>
      <c r="C122" s="135"/>
      <c r="D122" s="135"/>
      <c r="E122" s="135"/>
      <c r="F122" s="135"/>
      <c r="G122" s="135"/>
      <c r="H122" s="135"/>
      <c r="I122" s="135"/>
      <c r="J122" s="135"/>
      <c r="K122" s="135"/>
      <c r="L122" s="135"/>
      <c r="M122" s="135"/>
      <c r="N122" s="135"/>
      <c r="O122" s="135"/>
      <c r="P122" s="135"/>
      <c r="Q122" s="135"/>
      <c r="R122" s="135"/>
      <c r="S122" s="135"/>
      <c r="T122" s="135"/>
    </row>
    <row r="123" spans="1:20" ht="16.5">
      <c r="A123" s="136"/>
      <c r="B123" s="135"/>
      <c r="C123" s="135"/>
      <c r="D123" s="135"/>
      <c r="E123" s="135"/>
      <c r="F123" s="135"/>
      <c r="G123" s="135"/>
      <c r="H123" s="135"/>
      <c r="I123" s="135"/>
      <c r="J123" s="135"/>
      <c r="K123" s="135"/>
      <c r="L123" s="135"/>
      <c r="M123" s="135"/>
      <c r="N123" s="135"/>
      <c r="O123" s="135"/>
      <c r="P123" s="135"/>
      <c r="Q123" s="135"/>
      <c r="R123" s="135"/>
      <c r="S123" s="135"/>
      <c r="T123" s="135"/>
    </row>
    <row r="124" spans="1:20" ht="16.5">
      <c r="A124" s="136"/>
      <c r="B124" s="135"/>
      <c r="C124" s="135"/>
      <c r="D124" s="135"/>
      <c r="E124" s="135"/>
      <c r="F124" s="135"/>
      <c r="G124" s="135"/>
      <c r="H124" s="135"/>
      <c r="I124" s="135"/>
      <c r="J124" s="135"/>
      <c r="K124" s="135"/>
      <c r="L124" s="135"/>
      <c r="M124" s="135"/>
      <c r="N124" s="135"/>
      <c r="O124" s="135"/>
      <c r="P124" s="135"/>
      <c r="Q124" s="135"/>
      <c r="R124" s="135"/>
      <c r="S124" s="135"/>
      <c r="T124" s="135"/>
    </row>
    <row r="125" spans="1:20" ht="16.5">
      <c r="A125" s="136"/>
      <c r="B125" s="135"/>
      <c r="C125" s="135"/>
      <c r="D125" s="135"/>
      <c r="E125" s="135"/>
      <c r="F125" s="135"/>
      <c r="G125" s="135"/>
      <c r="H125" s="135"/>
      <c r="I125" s="135"/>
      <c r="J125" s="135"/>
      <c r="K125" s="135"/>
      <c r="L125" s="135"/>
      <c r="M125" s="135"/>
      <c r="N125" s="135"/>
      <c r="O125" s="135"/>
      <c r="P125" s="135"/>
      <c r="Q125" s="135"/>
      <c r="R125" s="135"/>
      <c r="S125" s="135"/>
      <c r="T125" s="135"/>
    </row>
    <row r="126" spans="1:20" ht="16.5">
      <c r="A126" s="136"/>
      <c r="B126" s="135"/>
      <c r="C126" s="135"/>
      <c r="D126" s="135"/>
      <c r="E126" s="135"/>
      <c r="F126" s="135"/>
      <c r="G126" s="135"/>
      <c r="H126" s="135"/>
      <c r="I126" s="135"/>
      <c r="J126" s="135"/>
      <c r="K126" s="135"/>
      <c r="L126" s="135"/>
      <c r="M126" s="135"/>
      <c r="N126" s="135"/>
      <c r="O126" s="135"/>
      <c r="P126" s="135"/>
      <c r="Q126" s="135"/>
      <c r="R126" s="135"/>
      <c r="S126" s="135"/>
      <c r="T126" s="135"/>
    </row>
    <row r="127" spans="1:20" ht="16.5">
      <c r="A127" s="136"/>
      <c r="B127" s="135"/>
      <c r="C127" s="135"/>
      <c r="D127" s="135"/>
      <c r="E127" s="135"/>
      <c r="F127" s="135"/>
      <c r="G127" s="135"/>
      <c r="H127" s="135"/>
      <c r="I127" s="135"/>
      <c r="J127" s="135"/>
      <c r="K127" s="135"/>
      <c r="L127" s="135"/>
      <c r="M127" s="135"/>
      <c r="N127" s="135"/>
      <c r="O127" s="135"/>
      <c r="P127" s="135"/>
      <c r="Q127" s="135"/>
      <c r="R127" s="135"/>
      <c r="S127" s="135"/>
      <c r="T127" s="135"/>
    </row>
    <row r="128" spans="1:20" ht="16.5">
      <c r="A128" s="136"/>
      <c r="B128" s="135"/>
      <c r="C128" s="135"/>
      <c r="D128" s="135"/>
      <c r="E128" s="135"/>
      <c r="F128" s="135"/>
      <c r="G128" s="135"/>
      <c r="H128" s="135"/>
      <c r="I128" s="135"/>
      <c r="J128" s="135"/>
      <c r="K128" s="135"/>
      <c r="L128" s="135"/>
      <c r="M128" s="135"/>
      <c r="N128" s="135"/>
      <c r="O128" s="135"/>
      <c r="P128" s="135"/>
      <c r="Q128" s="135"/>
      <c r="R128" s="135"/>
      <c r="S128" s="135"/>
      <c r="T128" s="135"/>
    </row>
    <row r="129" spans="1:20" ht="16.5">
      <c r="A129" s="136"/>
      <c r="B129" s="135"/>
      <c r="C129" s="135"/>
      <c r="D129" s="135"/>
      <c r="E129" s="135"/>
      <c r="F129" s="135"/>
      <c r="G129" s="135"/>
      <c r="H129" s="135"/>
      <c r="I129" s="135"/>
      <c r="J129" s="135"/>
      <c r="K129" s="135"/>
      <c r="L129" s="135"/>
      <c r="M129" s="135"/>
      <c r="N129" s="135"/>
      <c r="O129" s="135"/>
      <c r="P129" s="135"/>
      <c r="Q129" s="135"/>
      <c r="R129" s="135"/>
      <c r="S129" s="135"/>
      <c r="T129" s="135"/>
    </row>
    <row r="130" spans="1:20" ht="16.5">
      <c r="A130" s="136"/>
      <c r="B130" s="135"/>
      <c r="C130" s="135"/>
      <c r="D130" s="135"/>
      <c r="E130" s="135"/>
      <c r="F130" s="135"/>
      <c r="G130" s="135"/>
      <c r="H130" s="135"/>
      <c r="I130" s="135"/>
      <c r="J130" s="135"/>
      <c r="K130" s="135"/>
      <c r="L130" s="135"/>
      <c r="M130" s="135"/>
      <c r="N130" s="135"/>
      <c r="O130" s="135"/>
      <c r="P130" s="135"/>
      <c r="Q130" s="135"/>
      <c r="R130" s="135"/>
      <c r="S130" s="135"/>
      <c r="T130" s="135"/>
    </row>
    <row r="131" spans="1:20" ht="16.5">
      <c r="A131" s="136"/>
      <c r="B131" s="135"/>
      <c r="C131" s="135"/>
      <c r="D131" s="135"/>
      <c r="E131" s="135"/>
      <c r="F131" s="135"/>
      <c r="G131" s="135"/>
      <c r="H131" s="135"/>
      <c r="I131" s="135"/>
      <c r="J131" s="135"/>
      <c r="K131" s="135"/>
      <c r="L131" s="135"/>
      <c r="M131" s="135"/>
      <c r="N131" s="135"/>
      <c r="O131" s="135"/>
      <c r="P131" s="135"/>
      <c r="Q131" s="135"/>
      <c r="R131" s="135"/>
      <c r="S131" s="135"/>
      <c r="T131" s="135"/>
    </row>
    <row r="132" spans="1:20" ht="16.5">
      <c r="A132" s="136"/>
      <c r="B132" s="135"/>
      <c r="C132" s="135"/>
      <c r="D132" s="135"/>
      <c r="E132" s="135"/>
      <c r="F132" s="135"/>
      <c r="G132" s="135"/>
      <c r="H132" s="135"/>
      <c r="I132" s="135"/>
      <c r="J132" s="135"/>
      <c r="K132" s="135"/>
      <c r="L132" s="135"/>
      <c r="M132" s="135"/>
      <c r="N132" s="135"/>
      <c r="O132" s="135"/>
      <c r="P132" s="135"/>
      <c r="Q132" s="135"/>
      <c r="R132" s="135"/>
      <c r="S132" s="135"/>
      <c r="T132" s="135"/>
    </row>
    <row r="133" spans="1:20" ht="16.5">
      <c r="A133" s="136"/>
      <c r="B133" s="135"/>
      <c r="C133" s="135"/>
      <c r="D133" s="135"/>
      <c r="E133" s="135"/>
      <c r="F133" s="135"/>
      <c r="G133" s="135"/>
      <c r="H133" s="135"/>
      <c r="I133" s="135"/>
      <c r="J133" s="135"/>
      <c r="K133" s="135"/>
      <c r="L133" s="135"/>
      <c r="M133" s="135"/>
      <c r="N133" s="135"/>
      <c r="O133" s="135"/>
      <c r="P133" s="135"/>
      <c r="Q133" s="135"/>
      <c r="R133" s="135"/>
      <c r="S133" s="135"/>
      <c r="T133" s="135"/>
    </row>
    <row r="134" spans="1:20" ht="16.5">
      <c r="A134" s="136"/>
      <c r="B134" s="135"/>
      <c r="C134" s="135"/>
      <c r="D134" s="135"/>
      <c r="E134" s="135"/>
      <c r="F134" s="135"/>
      <c r="G134" s="135"/>
      <c r="H134" s="135"/>
      <c r="I134" s="135"/>
      <c r="J134" s="135"/>
      <c r="K134" s="135"/>
      <c r="L134" s="135"/>
      <c r="M134" s="135"/>
      <c r="N134" s="135"/>
      <c r="O134" s="135"/>
      <c r="P134" s="135"/>
      <c r="Q134" s="135"/>
      <c r="R134" s="135"/>
      <c r="S134" s="135"/>
      <c r="T134" s="135"/>
    </row>
    <row r="135" spans="1:20" ht="16.5">
      <c r="A135" s="136"/>
      <c r="B135" s="135"/>
      <c r="C135" s="135"/>
      <c r="D135" s="135"/>
      <c r="E135" s="135"/>
      <c r="F135" s="135"/>
      <c r="G135" s="135"/>
      <c r="H135" s="135"/>
      <c r="I135" s="135"/>
      <c r="J135" s="135"/>
      <c r="K135" s="135"/>
      <c r="L135" s="135"/>
      <c r="M135" s="135"/>
      <c r="N135" s="135"/>
      <c r="O135" s="135"/>
      <c r="P135" s="135"/>
      <c r="Q135" s="135"/>
      <c r="R135" s="135"/>
      <c r="S135" s="135"/>
      <c r="T135" s="135"/>
    </row>
    <row r="136" spans="1:20" ht="16.5">
      <c r="A136" s="136"/>
      <c r="B136" s="135"/>
      <c r="C136" s="135"/>
      <c r="D136" s="135"/>
      <c r="E136" s="135"/>
      <c r="F136" s="135"/>
      <c r="G136" s="135"/>
      <c r="H136" s="135"/>
      <c r="I136" s="135"/>
      <c r="J136" s="135"/>
      <c r="K136" s="135"/>
      <c r="L136" s="135"/>
      <c r="M136" s="135"/>
      <c r="N136" s="135"/>
      <c r="O136" s="135"/>
      <c r="P136" s="135"/>
      <c r="Q136" s="135"/>
      <c r="R136" s="135"/>
      <c r="S136" s="135"/>
      <c r="T136" s="135"/>
    </row>
    <row r="137" spans="1:20" ht="16.5">
      <c r="A137" s="136"/>
      <c r="B137" s="135"/>
      <c r="C137" s="135"/>
      <c r="D137" s="135"/>
      <c r="E137" s="135"/>
      <c r="F137" s="135"/>
      <c r="G137" s="135"/>
      <c r="H137" s="135"/>
      <c r="I137" s="135"/>
      <c r="J137" s="135"/>
      <c r="K137" s="135"/>
      <c r="L137" s="135"/>
      <c r="M137" s="135"/>
      <c r="N137" s="135"/>
      <c r="O137" s="135"/>
      <c r="P137" s="135"/>
      <c r="Q137" s="135"/>
      <c r="R137" s="135"/>
      <c r="S137" s="135"/>
      <c r="T137" s="135"/>
    </row>
    <row r="138" spans="1:20" ht="16.5">
      <c r="A138" s="136"/>
      <c r="B138" s="135"/>
      <c r="C138" s="135"/>
      <c r="D138" s="135"/>
      <c r="E138" s="135"/>
      <c r="F138" s="135"/>
      <c r="G138" s="135"/>
      <c r="H138" s="135"/>
      <c r="I138" s="135"/>
      <c r="J138" s="135"/>
      <c r="K138" s="135"/>
      <c r="L138" s="135"/>
      <c r="M138" s="135"/>
      <c r="N138" s="135"/>
      <c r="O138" s="135"/>
      <c r="P138" s="135"/>
      <c r="Q138" s="135"/>
      <c r="R138" s="135"/>
      <c r="S138" s="135"/>
      <c r="T138" s="135"/>
    </row>
    <row r="139" spans="1:20" ht="16.5">
      <c r="A139" s="136"/>
      <c r="B139" s="135"/>
      <c r="C139" s="135"/>
      <c r="D139" s="135"/>
      <c r="E139" s="135"/>
      <c r="F139" s="135"/>
      <c r="G139" s="135"/>
      <c r="H139" s="135"/>
      <c r="I139" s="135"/>
      <c r="J139" s="135"/>
      <c r="K139" s="135"/>
      <c r="L139" s="135"/>
      <c r="M139" s="135"/>
      <c r="N139" s="135"/>
      <c r="O139" s="135"/>
      <c r="P139" s="135"/>
      <c r="Q139" s="135"/>
      <c r="R139" s="135"/>
      <c r="S139" s="135"/>
      <c r="T139" s="135"/>
    </row>
    <row r="140" spans="1:20" ht="16.5">
      <c r="A140" s="136"/>
      <c r="B140" s="135"/>
      <c r="C140" s="135"/>
      <c r="D140" s="135"/>
      <c r="E140" s="135"/>
      <c r="F140" s="135"/>
      <c r="G140" s="135"/>
      <c r="H140" s="135"/>
      <c r="I140" s="135"/>
      <c r="J140" s="135"/>
      <c r="K140" s="135"/>
      <c r="L140" s="135"/>
      <c r="M140" s="135"/>
      <c r="N140" s="135"/>
      <c r="O140" s="135"/>
      <c r="P140" s="135"/>
      <c r="Q140" s="135"/>
      <c r="R140" s="135"/>
      <c r="S140" s="135"/>
      <c r="T140" s="135"/>
    </row>
    <row r="141" spans="1:20" ht="16.5">
      <c r="A141" s="136"/>
      <c r="B141" s="135"/>
      <c r="C141" s="135"/>
      <c r="D141" s="135"/>
      <c r="E141" s="135"/>
      <c r="F141" s="135"/>
      <c r="G141" s="135"/>
      <c r="H141" s="135"/>
      <c r="I141" s="135"/>
      <c r="J141" s="135"/>
      <c r="K141" s="135"/>
      <c r="L141" s="135"/>
      <c r="M141" s="135"/>
      <c r="N141" s="135"/>
      <c r="O141" s="135"/>
      <c r="P141" s="135"/>
      <c r="Q141" s="135"/>
      <c r="R141" s="135"/>
      <c r="S141" s="135"/>
      <c r="T141" s="135"/>
    </row>
    <row r="142" spans="1:20" ht="16.5">
      <c r="A142" s="136"/>
      <c r="B142" s="135"/>
      <c r="C142" s="135"/>
      <c r="D142" s="135"/>
      <c r="E142" s="135"/>
      <c r="F142" s="135"/>
      <c r="G142" s="135"/>
      <c r="H142" s="135"/>
      <c r="I142" s="135"/>
      <c r="J142" s="135"/>
      <c r="K142" s="135"/>
      <c r="L142" s="135"/>
      <c r="M142" s="135"/>
      <c r="N142" s="135"/>
      <c r="O142" s="135"/>
      <c r="P142" s="135"/>
      <c r="Q142" s="135"/>
      <c r="R142" s="135"/>
      <c r="S142" s="135"/>
      <c r="T142" s="135"/>
    </row>
    <row r="143" spans="1:20" ht="16.5">
      <c r="A143" s="136"/>
      <c r="B143" s="135"/>
      <c r="C143" s="135"/>
      <c r="D143" s="135"/>
      <c r="E143" s="135"/>
      <c r="F143" s="135"/>
      <c r="G143" s="135"/>
      <c r="H143" s="135"/>
      <c r="I143" s="135"/>
      <c r="J143" s="135"/>
      <c r="K143" s="135"/>
      <c r="L143" s="135"/>
      <c r="M143" s="135"/>
      <c r="N143" s="135"/>
      <c r="O143" s="135"/>
      <c r="P143" s="135"/>
      <c r="Q143" s="135"/>
      <c r="R143" s="135"/>
      <c r="S143" s="135"/>
      <c r="T143" s="135"/>
    </row>
    <row r="144" spans="1:20" ht="16.5">
      <c r="A144" s="136"/>
      <c r="B144" s="135"/>
      <c r="C144" s="135"/>
      <c r="D144" s="135"/>
      <c r="E144" s="135"/>
      <c r="F144" s="135"/>
      <c r="G144" s="135"/>
      <c r="H144" s="135"/>
      <c r="I144" s="135"/>
      <c r="J144" s="135"/>
      <c r="K144" s="135"/>
      <c r="L144" s="135"/>
      <c r="M144" s="135"/>
      <c r="N144" s="135"/>
      <c r="O144" s="135"/>
      <c r="P144" s="135"/>
      <c r="Q144" s="135"/>
      <c r="R144" s="135"/>
      <c r="S144" s="135"/>
      <c r="T144" s="135"/>
    </row>
    <row r="145" spans="1:20" ht="16.5">
      <c r="A145" s="136"/>
      <c r="B145" s="135"/>
      <c r="C145" s="135"/>
      <c r="D145" s="135"/>
      <c r="E145" s="135"/>
      <c r="F145" s="135"/>
      <c r="G145" s="135"/>
      <c r="H145" s="135"/>
      <c r="I145" s="135"/>
      <c r="J145" s="135"/>
      <c r="K145" s="135"/>
      <c r="L145" s="135"/>
      <c r="M145" s="135"/>
      <c r="N145" s="135"/>
      <c r="O145" s="135"/>
      <c r="P145" s="135"/>
      <c r="Q145" s="135"/>
      <c r="R145" s="135"/>
      <c r="S145" s="135"/>
      <c r="T145" s="135"/>
    </row>
    <row r="146" spans="1:20" ht="16.5">
      <c r="A146" s="136"/>
      <c r="B146" s="135"/>
      <c r="C146" s="135"/>
      <c r="D146" s="135"/>
      <c r="E146" s="135"/>
      <c r="F146" s="135"/>
      <c r="G146" s="135"/>
      <c r="H146" s="135"/>
      <c r="I146" s="135"/>
      <c r="J146" s="135"/>
      <c r="K146" s="135"/>
      <c r="L146" s="135"/>
      <c r="M146" s="135"/>
      <c r="N146" s="135"/>
      <c r="O146" s="135"/>
      <c r="P146" s="135"/>
      <c r="Q146" s="135"/>
      <c r="R146" s="135"/>
      <c r="S146" s="135"/>
      <c r="T146" s="135"/>
    </row>
    <row r="147" spans="1:20" ht="16.5">
      <c r="A147" s="136"/>
      <c r="B147" s="135"/>
      <c r="C147" s="135"/>
      <c r="D147" s="135"/>
      <c r="E147" s="135"/>
      <c r="F147" s="135"/>
      <c r="G147" s="135"/>
      <c r="H147" s="135"/>
      <c r="I147" s="135"/>
      <c r="J147" s="135"/>
      <c r="K147" s="135"/>
      <c r="L147" s="135"/>
      <c r="M147" s="135"/>
      <c r="N147" s="135"/>
      <c r="O147" s="135"/>
      <c r="P147" s="135"/>
      <c r="Q147" s="135"/>
      <c r="R147" s="135"/>
      <c r="S147" s="135"/>
      <c r="T147" s="135"/>
    </row>
    <row r="148" spans="1:20" ht="16.5">
      <c r="A148" s="136"/>
      <c r="B148" s="135"/>
      <c r="C148" s="135"/>
      <c r="D148" s="135"/>
      <c r="E148" s="135"/>
      <c r="F148" s="135"/>
      <c r="G148" s="135"/>
      <c r="H148" s="135"/>
      <c r="I148" s="135"/>
      <c r="J148" s="135"/>
      <c r="K148" s="135"/>
      <c r="L148" s="135"/>
      <c r="M148" s="135"/>
      <c r="N148" s="135"/>
      <c r="O148" s="135"/>
      <c r="P148" s="135"/>
      <c r="Q148" s="135"/>
      <c r="R148" s="135"/>
      <c r="S148" s="135"/>
      <c r="T148" s="135"/>
    </row>
    <row r="149" spans="1:20" ht="16.5">
      <c r="A149" s="136"/>
      <c r="B149" s="135"/>
      <c r="C149" s="135"/>
      <c r="D149" s="135"/>
      <c r="E149" s="135"/>
      <c r="F149" s="135"/>
      <c r="G149" s="135"/>
      <c r="H149" s="135"/>
      <c r="I149" s="135"/>
      <c r="J149" s="135"/>
      <c r="K149" s="135"/>
      <c r="L149" s="135"/>
      <c r="M149" s="135"/>
      <c r="N149" s="135"/>
      <c r="O149" s="135"/>
      <c r="P149" s="135"/>
      <c r="Q149" s="135"/>
      <c r="R149" s="135"/>
      <c r="S149" s="135"/>
      <c r="T149" s="135"/>
    </row>
    <row r="150" spans="1:20" ht="16.5">
      <c r="A150" s="136"/>
      <c r="B150" s="135"/>
      <c r="C150" s="135"/>
      <c r="D150" s="135"/>
      <c r="E150" s="135"/>
      <c r="F150" s="135"/>
      <c r="G150" s="135"/>
      <c r="H150" s="135"/>
      <c r="I150" s="135"/>
      <c r="J150" s="135"/>
      <c r="K150" s="135"/>
      <c r="L150" s="135"/>
      <c r="M150" s="135"/>
      <c r="N150" s="135"/>
      <c r="O150" s="135"/>
      <c r="P150" s="135"/>
      <c r="Q150" s="135"/>
      <c r="R150" s="135"/>
      <c r="S150" s="135"/>
      <c r="T150" s="135"/>
    </row>
    <row r="151" spans="1:20" ht="16.5">
      <c r="A151" s="136"/>
      <c r="B151" s="135"/>
      <c r="C151" s="135"/>
      <c r="D151" s="135"/>
      <c r="E151" s="135"/>
      <c r="F151" s="135"/>
      <c r="G151" s="135"/>
      <c r="H151" s="135"/>
      <c r="I151" s="135"/>
      <c r="J151" s="135"/>
      <c r="K151" s="135"/>
      <c r="L151" s="135"/>
      <c r="M151" s="135"/>
      <c r="N151" s="135"/>
      <c r="O151" s="135"/>
      <c r="P151" s="135"/>
      <c r="Q151" s="135"/>
      <c r="R151" s="135"/>
      <c r="S151" s="135"/>
      <c r="T151" s="135"/>
    </row>
    <row r="152" spans="1:20" ht="16.5">
      <c r="A152" s="136"/>
      <c r="B152" s="135"/>
      <c r="C152" s="135"/>
      <c r="D152" s="135"/>
      <c r="E152" s="135"/>
      <c r="F152" s="135"/>
      <c r="G152" s="135"/>
      <c r="H152" s="135"/>
      <c r="I152" s="135"/>
      <c r="J152" s="135"/>
      <c r="K152" s="135"/>
      <c r="L152" s="135"/>
      <c r="M152" s="135"/>
      <c r="N152" s="135"/>
      <c r="O152" s="135"/>
      <c r="P152" s="135"/>
      <c r="Q152" s="135"/>
      <c r="R152" s="135"/>
      <c r="S152" s="135"/>
      <c r="T152" s="135"/>
    </row>
    <row r="153" spans="1:20" ht="16.5">
      <c r="A153" s="136"/>
      <c r="B153" s="135"/>
      <c r="C153" s="135"/>
      <c r="D153" s="135"/>
      <c r="E153" s="135"/>
      <c r="F153" s="135"/>
      <c r="G153" s="135"/>
      <c r="H153" s="135"/>
      <c r="I153" s="135"/>
      <c r="J153" s="135"/>
      <c r="K153" s="135"/>
      <c r="L153" s="135"/>
      <c r="M153" s="135"/>
      <c r="N153" s="135"/>
      <c r="O153" s="135"/>
      <c r="P153" s="135"/>
      <c r="Q153" s="135"/>
      <c r="R153" s="135"/>
      <c r="S153" s="135"/>
      <c r="T153" s="135"/>
    </row>
    <row r="154" spans="1:20" ht="16.5">
      <c r="A154" s="136"/>
      <c r="B154" s="135"/>
      <c r="C154" s="135"/>
      <c r="D154" s="135"/>
      <c r="E154" s="135"/>
      <c r="F154" s="135"/>
      <c r="G154" s="135"/>
      <c r="H154" s="135"/>
      <c r="I154" s="135"/>
      <c r="J154" s="135"/>
      <c r="K154" s="135"/>
      <c r="L154" s="135"/>
      <c r="M154" s="135"/>
      <c r="N154" s="135"/>
      <c r="O154" s="135"/>
      <c r="P154" s="135"/>
      <c r="Q154" s="135"/>
      <c r="R154" s="135"/>
      <c r="S154" s="135"/>
      <c r="T154" s="135"/>
    </row>
    <row r="155" spans="1:20" ht="16.5">
      <c r="A155" s="136"/>
      <c r="B155" s="135"/>
      <c r="C155" s="135"/>
      <c r="D155" s="135"/>
      <c r="E155" s="135"/>
      <c r="F155" s="135"/>
      <c r="G155" s="135"/>
      <c r="H155" s="135"/>
      <c r="I155" s="135"/>
      <c r="J155" s="135"/>
      <c r="K155" s="135"/>
      <c r="L155" s="135"/>
      <c r="M155" s="135"/>
      <c r="N155" s="135"/>
      <c r="O155" s="135"/>
      <c r="P155" s="135"/>
      <c r="Q155" s="135"/>
      <c r="R155" s="135"/>
      <c r="S155" s="135"/>
      <c r="T155" s="135"/>
    </row>
    <row r="156" spans="1:20" ht="16.5">
      <c r="A156" s="136"/>
      <c r="B156" s="135"/>
      <c r="C156" s="135"/>
      <c r="D156" s="135"/>
      <c r="E156" s="135"/>
      <c r="F156" s="135"/>
      <c r="G156" s="135"/>
      <c r="H156" s="135"/>
      <c r="I156" s="135"/>
      <c r="J156" s="135"/>
      <c r="K156" s="135"/>
      <c r="L156" s="135"/>
      <c r="M156" s="135"/>
      <c r="N156" s="135"/>
      <c r="O156" s="135"/>
      <c r="P156" s="135"/>
      <c r="Q156" s="135"/>
      <c r="R156" s="135"/>
      <c r="S156" s="135"/>
      <c r="T156" s="135"/>
    </row>
    <row r="157" spans="1:20" ht="16.5">
      <c r="A157" s="136"/>
      <c r="B157" s="135"/>
      <c r="C157" s="135"/>
      <c r="D157" s="135"/>
      <c r="E157" s="135"/>
      <c r="F157" s="135"/>
      <c r="G157" s="135"/>
      <c r="H157" s="135"/>
      <c r="I157" s="135"/>
      <c r="J157" s="135"/>
      <c r="K157" s="135"/>
      <c r="L157" s="135"/>
      <c r="M157" s="135"/>
      <c r="N157" s="135"/>
      <c r="O157" s="135"/>
      <c r="P157" s="135"/>
      <c r="Q157" s="135"/>
      <c r="R157" s="135"/>
      <c r="S157" s="135"/>
      <c r="T157" s="135"/>
    </row>
    <row r="158" spans="1:20" ht="16.5">
      <c r="A158" s="136"/>
      <c r="B158" s="135"/>
      <c r="C158" s="135"/>
      <c r="D158" s="135"/>
      <c r="E158" s="135"/>
      <c r="F158" s="135"/>
      <c r="G158" s="135"/>
      <c r="H158" s="135"/>
      <c r="I158" s="135"/>
      <c r="J158" s="135"/>
      <c r="K158" s="135"/>
      <c r="L158" s="135"/>
      <c r="M158" s="135"/>
      <c r="N158" s="135"/>
      <c r="O158" s="135"/>
      <c r="P158" s="135"/>
      <c r="Q158" s="135"/>
      <c r="R158" s="135"/>
      <c r="S158" s="135"/>
      <c r="T158" s="135"/>
    </row>
    <row r="159" spans="1:20" ht="16.5">
      <c r="A159" s="136"/>
      <c r="B159" s="135"/>
      <c r="C159" s="135"/>
      <c r="D159" s="135"/>
      <c r="E159" s="135"/>
      <c r="F159" s="135"/>
      <c r="G159" s="135"/>
      <c r="H159" s="135"/>
      <c r="I159" s="135"/>
      <c r="J159" s="135"/>
      <c r="K159" s="135"/>
      <c r="L159" s="135"/>
      <c r="M159" s="135"/>
      <c r="N159" s="135"/>
      <c r="O159" s="135"/>
      <c r="P159" s="135"/>
      <c r="Q159" s="135"/>
      <c r="R159" s="135"/>
      <c r="S159" s="135"/>
      <c r="T159" s="135"/>
    </row>
    <row r="160" spans="1:20" ht="16.5">
      <c r="A160" s="136"/>
      <c r="B160" s="135"/>
      <c r="C160" s="135"/>
      <c r="D160" s="135"/>
      <c r="E160" s="135"/>
      <c r="F160" s="135"/>
      <c r="G160" s="135"/>
      <c r="H160" s="135"/>
      <c r="I160" s="135"/>
      <c r="J160" s="135"/>
      <c r="K160" s="135"/>
      <c r="L160" s="135"/>
      <c r="M160" s="135"/>
      <c r="N160" s="135"/>
      <c r="O160" s="135"/>
      <c r="P160" s="135"/>
      <c r="Q160" s="135"/>
      <c r="R160" s="135"/>
      <c r="S160" s="135"/>
      <c r="T160" s="135"/>
    </row>
    <row r="161" spans="1:20" ht="16.5">
      <c r="A161" s="136"/>
      <c r="B161" s="135"/>
      <c r="C161" s="135"/>
      <c r="D161" s="135"/>
      <c r="E161" s="135"/>
      <c r="F161" s="135"/>
      <c r="G161" s="135"/>
      <c r="H161" s="135"/>
      <c r="I161" s="135"/>
      <c r="J161" s="135"/>
      <c r="K161" s="135"/>
      <c r="L161" s="135"/>
      <c r="M161" s="135"/>
      <c r="N161" s="135"/>
      <c r="O161" s="135"/>
      <c r="P161" s="135"/>
      <c r="Q161" s="135"/>
      <c r="R161" s="135"/>
      <c r="S161" s="135"/>
      <c r="T161" s="135"/>
    </row>
    <row r="162" spans="1:20" ht="16.5">
      <c r="A162" s="136"/>
      <c r="B162" s="135"/>
      <c r="C162" s="135"/>
      <c r="D162" s="135"/>
      <c r="E162" s="135"/>
      <c r="F162" s="135"/>
      <c r="G162" s="135"/>
      <c r="H162" s="135"/>
      <c r="I162" s="135"/>
      <c r="J162" s="135"/>
      <c r="K162" s="135"/>
      <c r="L162" s="135"/>
      <c r="M162" s="135"/>
      <c r="N162" s="135"/>
      <c r="O162" s="135"/>
      <c r="P162" s="135"/>
      <c r="Q162" s="135"/>
      <c r="R162" s="135"/>
      <c r="S162" s="135"/>
      <c r="T162" s="135"/>
    </row>
    <row r="163" spans="1:20" ht="16.5">
      <c r="A163" s="136"/>
      <c r="B163" s="135"/>
      <c r="C163" s="135"/>
      <c r="D163" s="135"/>
      <c r="E163" s="135"/>
      <c r="F163" s="135"/>
      <c r="G163" s="135"/>
      <c r="H163" s="135"/>
      <c r="I163" s="135"/>
      <c r="J163" s="135"/>
      <c r="K163" s="135"/>
      <c r="L163" s="135"/>
      <c r="M163" s="135"/>
      <c r="N163" s="135"/>
      <c r="O163" s="135"/>
      <c r="P163" s="135"/>
      <c r="Q163" s="135"/>
      <c r="R163" s="135"/>
      <c r="S163" s="135"/>
      <c r="T163" s="135"/>
    </row>
    <row r="164" spans="1:20" ht="16.5">
      <c r="A164" s="136"/>
      <c r="B164" s="135"/>
      <c r="C164" s="135"/>
      <c r="D164" s="135"/>
      <c r="E164" s="135"/>
      <c r="F164" s="135"/>
      <c r="G164" s="135"/>
      <c r="H164" s="135"/>
      <c r="I164" s="135"/>
      <c r="J164" s="135"/>
      <c r="K164" s="135"/>
      <c r="L164" s="135"/>
      <c r="M164" s="135"/>
      <c r="N164" s="135"/>
      <c r="O164" s="135"/>
      <c r="P164" s="135"/>
      <c r="Q164" s="135"/>
      <c r="R164" s="135"/>
      <c r="S164" s="135"/>
      <c r="T164" s="135"/>
    </row>
    <row r="165" spans="1:20" ht="16.5">
      <c r="A165" s="136"/>
      <c r="B165" s="135"/>
      <c r="C165" s="135"/>
      <c r="D165" s="135"/>
      <c r="E165" s="135"/>
      <c r="F165" s="135"/>
      <c r="G165" s="135"/>
      <c r="H165" s="135"/>
      <c r="I165" s="135"/>
      <c r="J165" s="135"/>
      <c r="K165" s="135"/>
      <c r="L165" s="135"/>
      <c r="M165" s="135"/>
      <c r="N165" s="135"/>
      <c r="O165" s="135"/>
      <c r="P165" s="135"/>
      <c r="Q165" s="135"/>
      <c r="R165" s="135"/>
      <c r="S165" s="135"/>
      <c r="T165" s="135"/>
    </row>
    <row r="166" spans="1:20" ht="16.5">
      <c r="A166" s="136"/>
      <c r="B166" s="135"/>
      <c r="C166" s="135"/>
      <c r="D166" s="135"/>
      <c r="E166" s="135"/>
      <c r="F166" s="135"/>
      <c r="G166" s="135"/>
      <c r="H166" s="135"/>
      <c r="I166" s="135"/>
      <c r="J166" s="135"/>
      <c r="K166" s="135"/>
      <c r="L166" s="135"/>
      <c r="M166" s="135"/>
      <c r="N166" s="135"/>
      <c r="O166" s="135"/>
      <c r="P166" s="135"/>
      <c r="Q166" s="135"/>
      <c r="R166" s="135"/>
      <c r="S166" s="135"/>
      <c r="T166" s="135"/>
    </row>
    <row r="167" spans="1:20" ht="16.5">
      <c r="A167" s="136"/>
      <c r="B167" s="135"/>
      <c r="C167" s="135"/>
      <c r="D167" s="135"/>
      <c r="E167" s="135"/>
      <c r="F167" s="135"/>
      <c r="G167" s="135"/>
      <c r="H167" s="135"/>
      <c r="I167" s="135"/>
      <c r="J167" s="135"/>
      <c r="K167" s="135"/>
      <c r="L167" s="135"/>
      <c r="M167" s="135"/>
      <c r="N167" s="135"/>
      <c r="O167" s="135"/>
      <c r="P167" s="135"/>
      <c r="Q167" s="135"/>
      <c r="R167" s="135"/>
      <c r="S167" s="135"/>
      <c r="T167" s="135"/>
    </row>
    <row r="168" spans="1:20" ht="16.5">
      <c r="A168" s="136"/>
      <c r="B168" s="135"/>
      <c r="C168" s="135"/>
      <c r="D168" s="135"/>
      <c r="E168" s="135"/>
      <c r="F168" s="135"/>
      <c r="G168" s="135"/>
      <c r="H168" s="135"/>
      <c r="I168" s="135"/>
      <c r="J168" s="135"/>
      <c r="K168" s="135"/>
      <c r="L168" s="135"/>
      <c r="M168" s="135"/>
      <c r="N168" s="135"/>
      <c r="O168" s="135"/>
      <c r="P168" s="135"/>
      <c r="Q168" s="135"/>
      <c r="R168" s="135"/>
      <c r="S168" s="135"/>
      <c r="T168" s="135"/>
    </row>
    <row r="169" spans="1:20" ht="16.5">
      <c r="A169" s="136"/>
      <c r="B169" s="135"/>
      <c r="C169" s="135"/>
      <c r="D169" s="135"/>
      <c r="E169" s="135"/>
      <c r="F169" s="135"/>
      <c r="G169" s="135"/>
      <c r="H169" s="135"/>
      <c r="I169" s="135"/>
      <c r="J169" s="135"/>
      <c r="K169" s="135"/>
      <c r="L169" s="135"/>
      <c r="M169" s="135"/>
      <c r="N169" s="135"/>
      <c r="O169" s="135"/>
      <c r="P169" s="135"/>
      <c r="Q169" s="135"/>
      <c r="R169" s="135"/>
      <c r="S169" s="135"/>
      <c r="T169" s="135"/>
    </row>
    <row r="170" spans="1:20" ht="16.5">
      <c r="A170" s="136"/>
      <c r="B170" s="135"/>
      <c r="C170" s="135"/>
      <c r="D170" s="135"/>
      <c r="E170" s="135"/>
      <c r="F170" s="135"/>
      <c r="G170" s="135"/>
      <c r="H170" s="135"/>
      <c r="I170" s="135"/>
      <c r="J170" s="135"/>
      <c r="K170" s="135"/>
      <c r="L170" s="135"/>
      <c r="M170" s="135"/>
      <c r="N170" s="135"/>
      <c r="O170" s="135"/>
      <c r="P170" s="135"/>
      <c r="Q170" s="135"/>
      <c r="R170" s="135"/>
      <c r="S170" s="135"/>
      <c r="T170" s="135"/>
    </row>
    <row r="171" spans="1:20" ht="16.5">
      <c r="A171" s="136"/>
      <c r="B171" s="135"/>
      <c r="C171" s="135"/>
      <c r="D171" s="135"/>
      <c r="E171" s="135"/>
      <c r="F171" s="135"/>
      <c r="G171" s="135"/>
      <c r="H171" s="135"/>
      <c r="I171" s="135"/>
      <c r="J171" s="135"/>
      <c r="K171" s="135"/>
      <c r="L171" s="135"/>
      <c r="M171" s="135"/>
      <c r="N171" s="135"/>
      <c r="O171" s="135"/>
      <c r="P171" s="135"/>
      <c r="Q171" s="135"/>
      <c r="R171" s="135"/>
      <c r="S171" s="135"/>
      <c r="T171" s="135"/>
    </row>
    <row r="172" spans="1:20" ht="16.5">
      <c r="A172" s="136"/>
      <c r="B172" s="135"/>
      <c r="C172" s="135"/>
      <c r="D172" s="135"/>
      <c r="E172" s="135"/>
      <c r="F172" s="135"/>
      <c r="G172" s="135"/>
      <c r="H172" s="135"/>
      <c r="I172" s="135"/>
      <c r="J172" s="135"/>
      <c r="K172" s="135"/>
      <c r="L172" s="135"/>
      <c r="M172" s="135"/>
      <c r="N172" s="135"/>
      <c r="O172" s="135"/>
      <c r="P172" s="135"/>
      <c r="Q172" s="135"/>
      <c r="R172" s="135"/>
      <c r="S172" s="135"/>
      <c r="T172" s="135"/>
    </row>
    <row r="173" spans="1:20" ht="16.5">
      <c r="A173" s="136"/>
      <c r="B173" s="135"/>
      <c r="C173" s="135"/>
      <c r="D173" s="135"/>
      <c r="E173" s="135"/>
      <c r="F173" s="135"/>
      <c r="G173" s="135"/>
      <c r="H173" s="135"/>
      <c r="I173" s="135"/>
      <c r="J173" s="135"/>
      <c r="K173" s="135"/>
      <c r="L173" s="135"/>
      <c r="M173" s="135"/>
      <c r="N173" s="135"/>
      <c r="O173" s="135"/>
      <c r="P173" s="135"/>
      <c r="Q173" s="135"/>
      <c r="R173" s="135"/>
      <c r="S173" s="135"/>
      <c r="T173" s="135"/>
    </row>
    <row r="174" spans="1:20" ht="16.5">
      <c r="A174" s="136"/>
      <c r="B174" s="135"/>
      <c r="C174" s="135"/>
      <c r="D174" s="135"/>
      <c r="E174" s="135"/>
      <c r="F174" s="135"/>
      <c r="G174" s="135"/>
      <c r="H174" s="135"/>
      <c r="I174" s="135"/>
      <c r="J174" s="135"/>
      <c r="K174" s="135"/>
      <c r="L174" s="135"/>
      <c r="M174" s="135"/>
      <c r="N174" s="135"/>
      <c r="O174" s="135"/>
      <c r="P174" s="135"/>
      <c r="Q174" s="135"/>
      <c r="R174" s="135"/>
      <c r="S174" s="135"/>
      <c r="T174" s="135"/>
    </row>
    <row r="175" spans="1:20" ht="16.5">
      <c r="A175" s="136"/>
      <c r="B175" s="135"/>
      <c r="C175" s="135"/>
      <c r="D175" s="135"/>
      <c r="E175" s="135"/>
      <c r="F175" s="135"/>
      <c r="G175" s="135"/>
      <c r="H175" s="135"/>
      <c r="I175" s="135"/>
      <c r="J175" s="135"/>
      <c r="K175" s="135"/>
      <c r="L175" s="135"/>
      <c r="M175" s="135"/>
      <c r="N175" s="135"/>
      <c r="O175" s="135"/>
      <c r="P175" s="135"/>
      <c r="Q175" s="135"/>
      <c r="R175" s="135"/>
      <c r="S175" s="135"/>
      <c r="T175" s="135"/>
    </row>
    <row r="176" spans="1:20" ht="16.5">
      <c r="A176" s="136"/>
      <c r="B176" s="135"/>
      <c r="C176" s="135"/>
      <c r="D176" s="135"/>
      <c r="E176" s="135"/>
      <c r="F176" s="135"/>
      <c r="G176" s="135"/>
      <c r="H176" s="135"/>
      <c r="I176" s="135"/>
      <c r="J176" s="135"/>
      <c r="K176" s="135"/>
      <c r="L176" s="135"/>
      <c r="M176" s="135"/>
      <c r="N176" s="135"/>
      <c r="O176" s="135"/>
      <c r="P176" s="135"/>
      <c r="Q176" s="135"/>
      <c r="R176" s="135"/>
      <c r="S176" s="135"/>
      <c r="T176" s="135"/>
    </row>
    <row r="177" spans="1:20" ht="16.5">
      <c r="A177" s="136"/>
      <c r="B177" s="135"/>
      <c r="C177" s="135"/>
      <c r="D177" s="135"/>
      <c r="E177" s="135"/>
      <c r="F177" s="135"/>
      <c r="G177" s="135"/>
      <c r="H177" s="135"/>
      <c r="I177" s="135"/>
      <c r="J177" s="135"/>
      <c r="K177" s="135"/>
      <c r="L177" s="135"/>
      <c r="M177" s="135"/>
      <c r="N177" s="135"/>
      <c r="O177" s="135"/>
      <c r="P177" s="135"/>
      <c r="Q177" s="135"/>
      <c r="R177" s="135"/>
      <c r="S177" s="135"/>
      <c r="T177" s="135"/>
    </row>
    <row r="178" spans="1:20" ht="16.5">
      <c r="A178" s="136"/>
      <c r="B178" s="135"/>
      <c r="C178" s="135"/>
      <c r="D178" s="135"/>
      <c r="E178" s="135"/>
      <c r="F178" s="135"/>
      <c r="G178" s="135"/>
      <c r="H178" s="135"/>
      <c r="I178" s="135"/>
      <c r="J178" s="135"/>
      <c r="K178" s="135"/>
      <c r="L178" s="135"/>
      <c r="M178" s="135"/>
      <c r="N178" s="135"/>
      <c r="O178" s="135"/>
      <c r="P178" s="135"/>
      <c r="Q178" s="135"/>
      <c r="R178" s="135"/>
      <c r="S178" s="135"/>
      <c r="T178" s="135"/>
    </row>
    <row r="179" spans="1:20" ht="16.5">
      <c r="A179" s="136"/>
      <c r="B179" s="135"/>
      <c r="C179" s="135"/>
      <c r="D179" s="135"/>
      <c r="E179" s="135"/>
      <c r="F179" s="135"/>
      <c r="G179" s="135"/>
      <c r="H179" s="135"/>
      <c r="I179" s="135"/>
      <c r="J179" s="135"/>
      <c r="K179" s="135"/>
      <c r="L179" s="135"/>
      <c r="M179" s="135"/>
      <c r="N179" s="135"/>
      <c r="O179" s="135"/>
      <c r="P179" s="135"/>
      <c r="Q179" s="135"/>
      <c r="R179" s="135"/>
      <c r="S179" s="135"/>
      <c r="T179" s="135"/>
    </row>
    <row r="180" spans="1:20" ht="16.5">
      <c r="A180" s="136"/>
      <c r="B180" s="135"/>
      <c r="C180" s="135"/>
      <c r="D180" s="135"/>
      <c r="E180" s="135"/>
      <c r="F180" s="135"/>
      <c r="G180" s="135"/>
      <c r="H180" s="135"/>
      <c r="I180" s="135"/>
      <c r="J180" s="135"/>
      <c r="K180" s="135"/>
      <c r="L180" s="135"/>
      <c r="M180" s="135"/>
      <c r="N180" s="135"/>
      <c r="O180" s="135"/>
      <c r="P180" s="135"/>
      <c r="Q180" s="135"/>
      <c r="R180" s="135"/>
      <c r="S180" s="135"/>
      <c r="T180" s="135"/>
    </row>
    <row r="181" spans="1:20" ht="16.5">
      <c r="A181" s="136"/>
      <c r="B181" s="135"/>
      <c r="C181" s="135"/>
      <c r="D181" s="135"/>
      <c r="E181" s="135"/>
      <c r="F181" s="135"/>
      <c r="G181" s="135"/>
      <c r="H181" s="135"/>
      <c r="I181" s="135"/>
      <c r="J181" s="135"/>
      <c r="K181" s="135"/>
      <c r="L181" s="135"/>
      <c r="M181" s="135"/>
      <c r="N181" s="135"/>
      <c r="O181" s="135"/>
      <c r="P181" s="135"/>
      <c r="Q181" s="135"/>
      <c r="R181" s="135"/>
      <c r="S181" s="135"/>
      <c r="T181" s="135"/>
    </row>
    <row r="182" spans="1:20" ht="16.5">
      <c r="A182" s="136"/>
      <c r="B182" s="135"/>
      <c r="C182" s="135"/>
      <c r="D182" s="135"/>
      <c r="E182" s="135"/>
      <c r="F182" s="135"/>
      <c r="G182" s="135"/>
      <c r="H182" s="135"/>
      <c r="I182" s="135"/>
      <c r="J182" s="135"/>
      <c r="K182" s="135"/>
      <c r="L182" s="135"/>
      <c r="M182" s="135"/>
      <c r="N182" s="135"/>
      <c r="O182" s="135"/>
      <c r="P182" s="135"/>
      <c r="Q182" s="135"/>
      <c r="R182" s="135"/>
      <c r="S182" s="135"/>
      <c r="T182" s="135"/>
    </row>
    <row r="183" spans="1:20" ht="16.5">
      <c r="A183" s="136"/>
      <c r="B183" s="135"/>
      <c r="C183" s="135"/>
      <c r="D183" s="135"/>
      <c r="E183" s="135"/>
      <c r="F183" s="135"/>
      <c r="G183" s="135"/>
      <c r="H183" s="135"/>
      <c r="I183" s="135"/>
      <c r="J183" s="135"/>
      <c r="K183" s="135"/>
      <c r="L183" s="135"/>
      <c r="M183" s="135"/>
      <c r="N183" s="135"/>
      <c r="O183" s="135"/>
      <c r="P183" s="135"/>
      <c r="Q183" s="135"/>
      <c r="R183" s="135"/>
      <c r="S183" s="135"/>
      <c r="T183" s="135"/>
    </row>
    <row r="184" spans="1:20" ht="16.5">
      <c r="A184" s="136"/>
      <c r="B184" s="135"/>
      <c r="C184" s="135"/>
      <c r="D184" s="135"/>
      <c r="E184" s="135"/>
      <c r="F184" s="135"/>
      <c r="G184" s="135"/>
      <c r="H184" s="135"/>
      <c r="I184" s="135"/>
      <c r="J184" s="135"/>
      <c r="K184" s="135"/>
      <c r="L184" s="135"/>
      <c r="M184" s="135"/>
      <c r="N184" s="135"/>
      <c r="O184" s="135"/>
      <c r="P184" s="135"/>
      <c r="Q184" s="135"/>
      <c r="R184" s="135"/>
      <c r="S184" s="135"/>
      <c r="T184" s="135"/>
    </row>
    <row r="185" spans="1:20" ht="16.5">
      <c r="A185" s="136"/>
      <c r="B185" s="135"/>
      <c r="C185" s="135"/>
      <c r="D185" s="135"/>
      <c r="E185" s="135"/>
      <c r="F185" s="135"/>
      <c r="G185" s="135"/>
      <c r="H185" s="135"/>
      <c r="I185" s="135"/>
      <c r="J185" s="135"/>
      <c r="K185" s="135"/>
      <c r="L185" s="135"/>
      <c r="M185" s="135"/>
      <c r="N185" s="135"/>
      <c r="O185" s="135"/>
      <c r="P185" s="135"/>
      <c r="Q185" s="135"/>
      <c r="R185" s="135"/>
      <c r="S185" s="135"/>
      <c r="T185" s="135"/>
    </row>
    <row r="186" spans="1:20" ht="16.5">
      <c r="A186" s="136"/>
      <c r="B186" s="135"/>
      <c r="C186" s="135"/>
      <c r="D186" s="135"/>
      <c r="E186" s="135"/>
      <c r="F186" s="135"/>
      <c r="G186" s="135"/>
      <c r="H186" s="135"/>
      <c r="I186" s="135"/>
      <c r="J186" s="135"/>
      <c r="K186" s="135"/>
      <c r="L186" s="135"/>
      <c r="M186" s="135"/>
      <c r="N186" s="135"/>
      <c r="O186" s="135"/>
      <c r="P186" s="135"/>
      <c r="Q186" s="135"/>
      <c r="R186" s="135"/>
      <c r="S186" s="135"/>
      <c r="T186" s="135"/>
    </row>
    <row r="187" spans="1:20" ht="16.5">
      <c r="A187" s="136"/>
      <c r="B187" s="135"/>
      <c r="C187" s="135"/>
      <c r="D187" s="135"/>
      <c r="E187" s="135"/>
      <c r="F187" s="135"/>
      <c r="G187" s="135"/>
      <c r="H187" s="135"/>
      <c r="I187" s="135"/>
      <c r="J187" s="135"/>
      <c r="K187" s="135"/>
      <c r="L187" s="135"/>
      <c r="M187" s="135"/>
      <c r="N187" s="135"/>
      <c r="O187" s="135"/>
      <c r="P187" s="135"/>
      <c r="Q187" s="135"/>
      <c r="R187" s="135"/>
      <c r="S187" s="135"/>
      <c r="T187" s="135"/>
    </row>
    <row r="188" spans="1:20" ht="16.5">
      <c r="A188" s="136"/>
      <c r="B188" s="135"/>
      <c r="C188" s="135"/>
      <c r="D188" s="135"/>
      <c r="E188" s="135"/>
      <c r="F188" s="135"/>
      <c r="G188" s="135"/>
      <c r="H188" s="135"/>
      <c r="I188" s="135"/>
      <c r="J188" s="135"/>
      <c r="K188" s="135"/>
      <c r="L188" s="135"/>
      <c r="M188" s="135"/>
      <c r="N188" s="135"/>
      <c r="O188" s="135"/>
      <c r="P188" s="135"/>
      <c r="Q188" s="135"/>
      <c r="R188" s="135"/>
      <c r="S188" s="135"/>
      <c r="T188" s="135"/>
    </row>
    <row r="189" spans="1:20" ht="16.5">
      <c r="A189" s="136"/>
      <c r="B189" s="135"/>
      <c r="C189" s="135"/>
      <c r="D189" s="135"/>
      <c r="E189" s="135"/>
      <c r="F189" s="135"/>
      <c r="G189" s="135"/>
      <c r="H189" s="135"/>
      <c r="I189" s="135"/>
      <c r="J189" s="135"/>
      <c r="K189" s="135"/>
      <c r="L189" s="135"/>
      <c r="M189" s="135"/>
      <c r="N189" s="135"/>
      <c r="O189" s="135"/>
      <c r="P189" s="135"/>
      <c r="Q189" s="135"/>
      <c r="R189" s="135"/>
      <c r="S189" s="135"/>
      <c r="T189" s="135"/>
    </row>
    <row r="190" spans="1:20" ht="16.5">
      <c r="A190" s="136"/>
      <c r="B190" s="135"/>
      <c r="C190" s="135"/>
      <c r="D190" s="135"/>
      <c r="E190" s="135"/>
      <c r="F190" s="135"/>
      <c r="G190" s="135"/>
      <c r="H190" s="135"/>
      <c r="I190" s="135"/>
      <c r="J190" s="135"/>
      <c r="K190" s="135"/>
      <c r="L190" s="135"/>
      <c r="M190" s="135"/>
      <c r="N190" s="135"/>
      <c r="O190" s="135"/>
      <c r="P190" s="135"/>
      <c r="Q190" s="135"/>
      <c r="R190" s="135"/>
      <c r="S190" s="135"/>
      <c r="T190" s="135"/>
    </row>
    <row r="191" spans="1:20" ht="16.5">
      <c r="A191" s="136"/>
      <c r="B191" s="135"/>
      <c r="C191" s="135"/>
      <c r="D191" s="135"/>
      <c r="E191" s="135"/>
      <c r="F191" s="135"/>
      <c r="G191" s="135"/>
      <c r="H191" s="135"/>
      <c r="I191" s="135"/>
      <c r="J191" s="135"/>
      <c r="K191" s="135"/>
      <c r="L191" s="135"/>
      <c r="M191" s="135"/>
      <c r="N191" s="135"/>
      <c r="O191" s="135"/>
      <c r="P191" s="135"/>
      <c r="Q191" s="135"/>
      <c r="R191" s="135"/>
      <c r="S191" s="135"/>
      <c r="T191" s="135"/>
    </row>
    <row r="192" spans="1:20" ht="16.5">
      <c r="A192" s="136"/>
      <c r="B192" s="135"/>
      <c r="C192" s="135"/>
      <c r="D192" s="135"/>
      <c r="E192" s="135"/>
      <c r="F192" s="135"/>
      <c r="G192" s="135"/>
      <c r="H192" s="135"/>
      <c r="I192" s="135"/>
      <c r="J192" s="135"/>
      <c r="K192" s="135"/>
      <c r="L192" s="135"/>
      <c r="M192" s="135"/>
      <c r="N192" s="135"/>
      <c r="O192" s="135"/>
      <c r="P192" s="135"/>
      <c r="Q192" s="135"/>
      <c r="R192" s="135"/>
      <c r="S192" s="135"/>
      <c r="T192" s="135"/>
    </row>
    <row r="193" spans="1:20" ht="16.5">
      <c r="A193" s="136"/>
      <c r="B193" s="135"/>
      <c r="C193" s="135"/>
      <c r="D193" s="135"/>
      <c r="E193" s="135"/>
      <c r="F193" s="135"/>
      <c r="G193" s="135"/>
      <c r="H193" s="135"/>
      <c r="I193" s="135"/>
      <c r="J193" s="135"/>
      <c r="K193" s="135"/>
      <c r="L193" s="135"/>
      <c r="M193" s="135"/>
      <c r="N193" s="135"/>
      <c r="O193" s="135"/>
      <c r="P193" s="135"/>
      <c r="Q193" s="135"/>
      <c r="R193" s="135"/>
      <c r="S193" s="135"/>
      <c r="T193" s="135"/>
    </row>
    <row r="194" spans="1:20" ht="16.5">
      <c r="A194" s="136"/>
      <c r="B194" s="135"/>
      <c r="C194" s="135"/>
      <c r="D194" s="135"/>
      <c r="E194" s="135"/>
      <c r="F194" s="135"/>
      <c r="G194" s="135"/>
      <c r="H194" s="135"/>
      <c r="I194" s="135"/>
      <c r="J194" s="135"/>
      <c r="K194" s="135"/>
      <c r="L194" s="135"/>
      <c r="M194" s="135"/>
      <c r="N194" s="135"/>
      <c r="O194" s="135"/>
      <c r="P194" s="135"/>
      <c r="Q194" s="135"/>
      <c r="R194" s="135"/>
      <c r="S194" s="135"/>
      <c r="T194" s="135"/>
    </row>
    <row r="195" spans="1:20" ht="16.5">
      <c r="A195" s="136"/>
      <c r="B195" s="135"/>
      <c r="C195" s="135"/>
      <c r="D195" s="135"/>
      <c r="E195" s="135"/>
      <c r="F195" s="135"/>
      <c r="G195" s="135"/>
      <c r="H195" s="135"/>
      <c r="I195" s="135"/>
      <c r="J195" s="135"/>
      <c r="K195" s="135"/>
      <c r="L195" s="135"/>
      <c r="M195" s="135"/>
      <c r="N195" s="135"/>
      <c r="O195" s="135"/>
      <c r="P195" s="135"/>
      <c r="Q195" s="135"/>
      <c r="R195" s="135"/>
      <c r="S195" s="135"/>
      <c r="T195" s="135"/>
    </row>
    <row r="196" spans="1:20" ht="16.5">
      <c r="A196" s="136"/>
      <c r="B196" s="135"/>
      <c r="C196" s="135"/>
      <c r="D196" s="135"/>
      <c r="E196" s="135"/>
      <c r="F196" s="135"/>
      <c r="G196" s="135"/>
      <c r="H196" s="135"/>
      <c r="I196" s="135"/>
      <c r="J196" s="135"/>
      <c r="K196" s="135"/>
      <c r="L196" s="135"/>
      <c r="M196" s="135"/>
      <c r="N196" s="135"/>
      <c r="O196" s="135"/>
      <c r="P196" s="135"/>
      <c r="Q196" s="135"/>
      <c r="R196" s="135"/>
      <c r="S196" s="135"/>
      <c r="T196" s="135"/>
    </row>
    <row r="197" spans="1:20" ht="16.5">
      <c r="A197" s="136"/>
      <c r="B197" s="135"/>
      <c r="C197" s="135"/>
      <c r="D197" s="135"/>
      <c r="E197" s="135"/>
      <c r="F197" s="135"/>
      <c r="G197" s="135"/>
      <c r="H197" s="135"/>
      <c r="I197" s="135"/>
      <c r="J197" s="135"/>
      <c r="K197" s="135"/>
      <c r="L197" s="135"/>
      <c r="M197" s="135"/>
      <c r="N197" s="135"/>
      <c r="O197" s="135"/>
      <c r="P197" s="135"/>
      <c r="Q197" s="135"/>
      <c r="R197" s="135"/>
      <c r="S197" s="135"/>
      <c r="T197" s="135"/>
    </row>
    <row r="198" spans="1:20" ht="16.5">
      <c r="A198" s="136"/>
      <c r="B198" s="135"/>
      <c r="C198" s="135"/>
      <c r="D198" s="135"/>
      <c r="E198" s="135"/>
      <c r="F198" s="135"/>
      <c r="G198" s="135"/>
      <c r="H198" s="135"/>
      <c r="I198" s="135"/>
      <c r="J198" s="135"/>
      <c r="K198" s="135"/>
      <c r="L198" s="135"/>
      <c r="M198" s="135"/>
      <c r="N198" s="135"/>
      <c r="O198" s="135"/>
      <c r="P198" s="135"/>
      <c r="Q198" s="135"/>
      <c r="R198" s="135"/>
      <c r="S198" s="135"/>
      <c r="T198" s="135"/>
    </row>
    <row r="199" spans="1:20" ht="16.5">
      <c r="A199" s="136"/>
      <c r="B199" s="135"/>
      <c r="C199" s="135"/>
      <c r="D199" s="135"/>
      <c r="E199" s="135"/>
      <c r="F199" s="135"/>
      <c r="G199" s="135"/>
      <c r="H199" s="135"/>
      <c r="I199" s="135"/>
      <c r="J199" s="135"/>
      <c r="K199" s="135"/>
      <c r="L199" s="135"/>
      <c r="M199" s="135"/>
      <c r="N199" s="135"/>
      <c r="O199" s="135"/>
      <c r="P199" s="135"/>
      <c r="Q199" s="135"/>
      <c r="R199" s="135"/>
      <c r="S199" s="135"/>
      <c r="T199" s="135"/>
    </row>
    <row r="200" spans="1:20" ht="16.5">
      <c r="A200" s="136"/>
      <c r="B200" s="135"/>
      <c r="C200" s="135"/>
      <c r="D200" s="135"/>
      <c r="E200" s="135"/>
      <c r="F200" s="135"/>
      <c r="G200" s="135"/>
      <c r="H200" s="135"/>
      <c r="I200" s="135"/>
      <c r="J200" s="135"/>
      <c r="K200" s="135"/>
      <c r="L200" s="135"/>
      <c r="M200" s="135"/>
      <c r="N200" s="135"/>
      <c r="O200" s="135"/>
      <c r="P200" s="135"/>
      <c r="Q200" s="135"/>
      <c r="R200" s="135"/>
      <c r="S200" s="135"/>
      <c r="T200" s="135"/>
    </row>
    <row r="201" spans="1:20" ht="16.5">
      <c r="A201" s="136"/>
      <c r="B201" s="135"/>
      <c r="C201" s="135"/>
      <c r="D201" s="135"/>
      <c r="E201" s="135"/>
      <c r="F201" s="135"/>
      <c r="G201" s="135"/>
      <c r="H201" s="135"/>
      <c r="I201" s="135"/>
      <c r="J201" s="135"/>
      <c r="K201" s="135"/>
      <c r="L201" s="135"/>
      <c r="M201" s="135"/>
      <c r="N201" s="135"/>
      <c r="O201" s="135"/>
      <c r="P201" s="135"/>
      <c r="Q201" s="135"/>
      <c r="R201" s="135"/>
      <c r="S201" s="135"/>
      <c r="T201" s="135"/>
    </row>
    <row r="202" spans="1:20" ht="16.5">
      <c r="A202" s="136"/>
      <c r="B202" s="135"/>
      <c r="C202" s="135"/>
      <c r="D202" s="135"/>
      <c r="E202" s="135"/>
      <c r="F202" s="135"/>
      <c r="G202" s="135"/>
      <c r="H202" s="135"/>
      <c r="I202" s="135"/>
      <c r="J202" s="135"/>
      <c r="K202" s="135"/>
      <c r="L202" s="135"/>
      <c r="M202" s="135"/>
      <c r="N202" s="135"/>
      <c r="O202" s="135"/>
      <c r="P202" s="135"/>
      <c r="Q202" s="135"/>
      <c r="R202" s="135"/>
      <c r="S202" s="135"/>
      <c r="T202" s="135"/>
    </row>
    <row r="203" spans="1:20" ht="16.5">
      <c r="A203" s="136"/>
      <c r="B203" s="135"/>
      <c r="C203" s="135"/>
      <c r="D203" s="135"/>
      <c r="E203" s="135"/>
      <c r="F203" s="135"/>
      <c r="G203" s="135"/>
      <c r="H203" s="135"/>
      <c r="I203" s="135"/>
      <c r="J203" s="135"/>
      <c r="K203" s="135"/>
      <c r="L203" s="135"/>
      <c r="M203" s="135"/>
      <c r="N203" s="135"/>
      <c r="O203" s="135"/>
      <c r="P203" s="135"/>
      <c r="Q203" s="135"/>
      <c r="R203" s="135"/>
      <c r="S203" s="135"/>
      <c r="T203" s="135"/>
    </row>
    <row r="204" spans="1:20" ht="16.5">
      <c r="A204" s="136"/>
      <c r="B204" s="135"/>
      <c r="C204" s="135"/>
      <c r="D204" s="135"/>
      <c r="E204" s="135"/>
      <c r="F204" s="135"/>
      <c r="G204" s="135"/>
      <c r="H204" s="135"/>
      <c r="I204" s="135"/>
      <c r="J204" s="135"/>
      <c r="K204" s="135"/>
      <c r="L204" s="135"/>
      <c r="M204" s="135"/>
      <c r="N204" s="135"/>
      <c r="O204" s="135"/>
      <c r="P204" s="135"/>
      <c r="Q204" s="135"/>
      <c r="R204" s="135"/>
      <c r="S204" s="135"/>
      <c r="T204" s="135"/>
    </row>
    <row r="205" spans="1:20" ht="16.5">
      <c r="A205" s="136"/>
      <c r="B205" s="135"/>
      <c r="C205" s="135"/>
      <c r="D205" s="135"/>
      <c r="E205" s="135"/>
      <c r="F205" s="135"/>
      <c r="G205" s="135"/>
      <c r="H205" s="135"/>
      <c r="I205" s="135"/>
      <c r="J205" s="135"/>
      <c r="K205" s="135"/>
      <c r="L205" s="135"/>
      <c r="M205" s="135"/>
      <c r="N205" s="135"/>
      <c r="O205" s="135"/>
      <c r="P205" s="135"/>
      <c r="Q205" s="135"/>
      <c r="R205" s="135"/>
      <c r="S205" s="135"/>
      <c r="T205" s="135"/>
    </row>
    <row r="206" spans="1:20" ht="16.5">
      <c r="A206" s="136"/>
      <c r="B206" s="135"/>
      <c r="C206" s="135"/>
      <c r="D206" s="135"/>
      <c r="E206" s="135"/>
      <c r="F206" s="135"/>
      <c r="G206" s="135"/>
      <c r="H206" s="135"/>
      <c r="I206" s="135"/>
      <c r="J206" s="135"/>
      <c r="K206" s="135"/>
      <c r="L206" s="135"/>
      <c r="M206" s="135"/>
      <c r="N206" s="135"/>
      <c r="O206" s="135"/>
      <c r="P206" s="135"/>
      <c r="Q206" s="135"/>
      <c r="R206" s="135"/>
      <c r="S206" s="135"/>
      <c r="T206" s="135"/>
    </row>
    <row r="207" spans="1:20" ht="16.5">
      <c r="A207" s="136"/>
      <c r="B207" s="135"/>
      <c r="C207" s="135"/>
      <c r="D207" s="135"/>
      <c r="E207" s="135"/>
      <c r="F207" s="135"/>
      <c r="G207" s="135"/>
      <c r="H207" s="135"/>
      <c r="I207" s="135"/>
      <c r="J207" s="135"/>
      <c r="K207" s="135"/>
      <c r="L207" s="135"/>
      <c r="M207" s="135"/>
      <c r="N207" s="135"/>
      <c r="O207" s="135"/>
      <c r="P207" s="135"/>
      <c r="Q207" s="135"/>
      <c r="R207" s="135"/>
      <c r="S207" s="135"/>
      <c r="T207" s="135"/>
    </row>
    <row r="208" spans="1:20" ht="16.5">
      <c r="A208" s="136"/>
      <c r="B208" s="135"/>
      <c r="C208" s="135"/>
      <c r="D208" s="135"/>
      <c r="E208" s="135"/>
      <c r="F208" s="135"/>
      <c r="G208" s="135"/>
      <c r="H208" s="135"/>
      <c r="I208" s="135"/>
      <c r="J208" s="135"/>
      <c r="K208" s="135"/>
      <c r="L208" s="135"/>
      <c r="M208" s="135"/>
      <c r="N208" s="135"/>
      <c r="O208" s="135"/>
      <c r="P208" s="135"/>
      <c r="Q208" s="135"/>
      <c r="R208" s="135"/>
      <c r="S208" s="135"/>
      <c r="T208" s="135"/>
    </row>
    <row r="209" spans="1:20" ht="16.5">
      <c r="A209" s="136"/>
      <c r="B209" s="135"/>
      <c r="C209" s="135"/>
      <c r="D209" s="135"/>
      <c r="E209" s="135"/>
      <c r="F209" s="135"/>
      <c r="G209" s="135"/>
      <c r="H209" s="135"/>
      <c r="I209" s="135"/>
      <c r="J209" s="135"/>
      <c r="K209" s="135"/>
      <c r="L209" s="135"/>
      <c r="M209" s="135"/>
      <c r="N209" s="135"/>
      <c r="O209" s="135"/>
      <c r="P209" s="135"/>
      <c r="Q209" s="135"/>
      <c r="R209" s="135"/>
      <c r="S209" s="135"/>
      <c r="T209" s="135"/>
    </row>
    <row r="210" spans="1:20" ht="16.5">
      <c r="A210" s="136"/>
      <c r="B210" s="135"/>
      <c r="C210" s="135"/>
      <c r="D210" s="135"/>
      <c r="E210" s="135"/>
      <c r="F210" s="135"/>
      <c r="G210" s="135"/>
      <c r="H210" s="135"/>
      <c r="I210" s="135"/>
      <c r="J210" s="135"/>
      <c r="K210" s="135"/>
      <c r="L210" s="135"/>
      <c r="M210" s="135"/>
      <c r="N210" s="135"/>
      <c r="O210" s="135"/>
      <c r="P210" s="135"/>
      <c r="Q210" s="135"/>
      <c r="R210" s="135"/>
      <c r="S210" s="135"/>
      <c r="T210" s="135"/>
    </row>
    <row r="211" spans="1:20" ht="16.5">
      <c r="A211" s="136"/>
      <c r="B211" s="135"/>
      <c r="C211" s="135"/>
      <c r="D211" s="135"/>
      <c r="E211" s="135"/>
      <c r="F211" s="135"/>
      <c r="G211" s="135"/>
      <c r="H211" s="135"/>
      <c r="I211" s="135"/>
      <c r="J211" s="135"/>
      <c r="K211" s="135"/>
      <c r="L211" s="135"/>
      <c r="M211" s="135"/>
      <c r="N211" s="135"/>
      <c r="O211" s="135"/>
      <c r="P211" s="135"/>
      <c r="Q211" s="135"/>
      <c r="R211" s="135"/>
      <c r="S211" s="135"/>
      <c r="T211" s="135"/>
    </row>
    <row r="212" spans="1:20" ht="16.5">
      <c r="A212" s="136"/>
      <c r="B212" s="135"/>
      <c r="C212" s="135"/>
      <c r="D212" s="135"/>
      <c r="E212" s="135"/>
      <c r="F212" s="135"/>
      <c r="G212" s="135"/>
      <c r="H212" s="135"/>
      <c r="I212" s="135"/>
      <c r="J212" s="135"/>
      <c r="K212" s="135"/>
      <c r="L212" s="135"/>
      <c r="M212" s="135"/>
      <c r="N212" s="135"/>
      <c r="O212" s="135"/>
      <c r="P212" s="135"/>
      <c r="Q212" s="135"/>
      <c r="R212" s="135"/>
      <c r="S212" s="135"/>
      <c r="T212" s="135"/>
    </row>
    <row r="213" spans="1:20" ht="16.5">
      <c r="A213" s="136"/>
      <c r="B213" s="135"/>
      <c r="C213" s="135"/>
      <c r="D213" s="135"/>
      <c r="E213" s="135"/>
      <c r="F213" s="135"/>
      <c r="G213" s="135"/>
      <c r="H213" s="135"/>
      <c r="I213" s="135"/>
      <c r="J213" s="135"/>
      <c r="K213" s="135"/>
      <c r="L213" s="135"/>
      <c r="M213" s="135"/>
      <c r="N213" s="135"/>
      <c r="O213" s="135"/>
      <c r="P213" s="135"/>
      <c r="Q213" s="135"/>
      <c r="R213" s="135"/>
      <c r="S213" s="135"/>
      <c r="T213" s="135"/>
    </row>
    <row r="214" spans="1:20" ht="16.5">
      <c r="A214" s="136"/>
      <c r="B214" s="135"/>
      <c r="C214" s="135"/>
      <c r="D214" s="135"/>
      <c r="E214" s="135"/>
      <c r="F214" s="135"/>
      <c r="G214" s="135"/>
      <c r="H214" s="135"/>
      <c r="I214" s="135"/>
      <c r="J214" s="135"/>
      <c r="K214" s="135"/>
      <c r="L214" s="135"/>
      <c r="M214" s="135"/>
      <c r="N214" s="135"/>
      <c r="O214" s="135"/>
      <c r="P214" s="135"/>
      <c r="Q214" s="135"/>
      <c r="R214" s="135"/>
      <c r="S214" s="135"/>
      <c r="T214" s="135"/>
    </row>
    <row r="215" spans="1:20" ht="16.5">
      <c r="A215" s="136"/>
      <c r="B215" s="135"/>
      <c r="C215" s="135"/>
      <c r="D215" s="135"/>
      <c r="E215" s="135"/>
      <c r="F215" s="135"/>
      <c r="G215" s="135"/>
      <c r="H215" s="135"/>
      <c r="I215" s="135"/>
      <c r="J215" s="135"/>
      <c r="K215" s="135"/>
      <c r="L215" s="135"/>
      <c r="M215" s="135"/>
      <c r="N215" s="135"/>
      <c r="O215" s="135"/>
      <c r="P215" s="135"/>
      <c r="Q215" s="135"/>
      <c r="R215" s="135"/>
      <c r="S215" s="135"/>
      <c r="T215" s="135"/>
    </row>
    <row r="216" spans="1:20" ht="16.5">
      <c r="A216" s="136"/>
      <c r="B216" s="135"/>
      <c r="C216" s="135"/>
      <c r="D216" s="135"/>
      <c r="E216" s="135"/>
      <c r="F216" s="135"/>
      <c r="G216" s="135"/>
      <c r="H216" s="135"/>
      <c r="I216" s="135"/>
      <c r="J216" s="135"/>
      <c r="K216" s="135"/>
      <c r="L216" s="135"/>
      <c r="M216" s="135"/>
      <c r="N216" s="135"/>
      <c r="O216" s="135"/>
      <c r="P216" s="135"/>
      <c r="Q216" s="135"/>
      <c r="R216" s="135"/>
      <c r="S216" s="135"/>
      <c r="T216" s="135"/>
    </row>
    <row r="217" spans="1:20" ht="16.5">
      <c r="A217" s="136"/>
      <c r="B217" s="135"/>
      <c r="C217" s="135"/>
      <c r="D217" s="135"/>
      <c r="E217" s="135"/>
      <c r="F217" s="135"/>
      <c r="G217" s="135"/>
      <c r="H217" s="135"/>
      <c r="I217" s="135"/>
      <c r="J217" s="135"/>
      <c r="K217" s="135"/>
      <c r="L217" s="135"/>
      <c r="M217" s="135"/>
      <c r="N217" s="135"/>
      <c r="O217" s="135"/>
      <c r="P217" s="135"/>
      <c r="Q217" s="135"/>
      <c r="R217" s="135"/>
      <c r="S217" s="135"/>
      <c r="T217" s="135"/>
    </row>
    <row r="218" spans="1:20" ht="16.5">
      <c r="A218" s="136"/>
      <c r="B218" s="135"/>
      <c r="C218" s="135"/>
      <c r="D218" s="135"/>
      <c r="E218" s="135"/>
      <c r="F218" s="135"/>
      <c r="G218" s="135"/>
      <c r="H218" s="135"/>
      <c r="I218" s="135"/>
      <c r="J218" s="135"/>
      <c r="K218" s="135"/>
      <c r="L218" s="135"/>
      <c r="M218" s="135"/>
      <c r="N218" s="135"/>
      <c r="O218" s="135"/>
      <c r="P218" s="135"/>
      <c r="Q218" s="135"/>
      <c r="R218" s="135"/>
      <c r="S218" s="135"/>
      <c r="T218" s="135"/>
    </row>
    <row r="219" spans="1:20" ht="16.5">
      <c r="A219" s="136"/>
      <c r="B219" s="135"/>
      <c r="C219" s="135"/>
      <c r="D219" s="135"/>
      <c r="E219" s="135"/>
      <c r="F219" s="135"/>
      <c r="G219" s="135"/>
      <c r="H219" s="135"/>
      <c r="I219" s="135"/>
      <c r="J219" s="135"/>
      <c r="K219" s="135"/>
      <c r="L219" s="135"/>
      <c r="M219" s="135"/>
      <c r="N219" s="135"/>
      <c r="O219" s="135"/>
      <c r="P219" s="135"/>
      <c r="Q219" s="135"/>
      <c r="R219" s="135"/>
      <c r="S219" s="135"/>
      <c r="T219" s="135"/>
    </row>
    <row r="220" spans="1:20" ht="16.5">
      <c r="A220" s="136"/>
      <c r="B220" s="135"/>
      <c r="C220" s="135"/>
      <c r="D220" s="135"/>
      <c r="E220" s="135"/>
      <c r="F220" s="135"/>
      <c r="G220" s="135"/>
      <c r="H220" s="135"/>
      <c r="I220" s="135"/>
      <c r="J220" s="135"/>
      <c r="K220" s="135"/>
      <c r="L220" s="135"/>
      <c r="M220" s="135"/>
      <c r="N220" s="135"/>
      <c r="O220" s="135"/>
      <c r="P220" s="135"/>
      <c r="Q220" s="135"/>
      <c r="R220" s="135"/>
      <c r="S220" s="135"/>
      <c r="T220" s="135"/>
    </row>
    <row r="221" spans="1:20" ht="16.5">
      <c r="A221" s="136"/>
      <c r="B221" s="135"/>
      <c r="C221" s="135"/>
      <c r="D221" s="135"/>
      <c r="E221" s="135"/>
      <c r="F221" s="135"/>
      <c r="G221" s="135"/>
      <c r="H221" s="135"/>
      <c r="I221" s="135"/>
      <c r="J221" s="135"/>
      <c r="K221" s="135"/>
      <c r="L221" s="135"/>
      <c r="M221" s="135"/>
      <c r="N221" s="135"/>
      <c r="O221" s="135"/>
      <c r="P221" s="135"/>
      <c r="Q221" s="135"/>
      <c r="R221" s="135"/>
      <c r="S221" s="135"/>
      <c r="T221" s="135"/>
    </row>
    <row r="222" spans="1:20" ht="16.5">
      <c r="A222" s="136"/>
      <c r="B222" s="135"/>
      <c r="C222" s="135"/>
      <c r="D222" s="135"/>
      <c r="E222" s="135"/>
      <c r="F222" s="135"/>
      <c r="G222" s="135"/>
      <c r="H222" s="135"/>
      <c r="I222" s="135"/>
      <c r="J222" s="135"/>
      <c r="K222" s="135"/>
      <c r="L222" s="135"/>
      <c r="M222" s="135"/>
      <c r="N222" s="135"/>
      <c r="O222" s="135"/>
      <c r="P222" s="135"/>
      <c r="Q222" s="135"/>
      <c r="R222" s="135"/>
      <c r="S222" s="135"/>
      <c r="T222" s="135"/>
    </row>
    <row r="223" spans="1:20" ht="16.5">
      <c r="A223" s="136"/>
      <c r="B223" s="135"/>
      <c r="C223" s="135"/>
      <c r="D223" s="135"/>
      <c r="E223" s="135"/>
      <c r="F223" s="135"/>
      <c r="G223" s="135"/>
      <c r="H223" s="135"/>
      <c r="I223" s="135"/>
      <c r="J223" s="135"/>
      <c r="K223" s="135"/>
      <c r="L223" s="135"/>
      <c r="M223" s="135"/>
      <c r="N223" s="135"/>
      <c r="O223" s="135"/>
      <c r="P223" s="135"/>
      <c r="Q223" s="135"/>
      <c r="R223" s="135"/>
      <c r="S223" s="135"/>
      <c r="T223" s="135"/>
    </row>
    <row r="224" spans="1:20" ht="16.5">
      <c r="A224" s="136"/>
      <c r="B224" s="135"/>
      <c r="C224" s="135"/>
      <c r="D224" s="135"/>
      <c r="E224" s="135"/>
      <c r="F224" s="135"/>
      <c r="G224" s="135"/>
      <c r="H224" s="135"/>
      <c r="I224" s="135"/>
      <c r="J224" s="135"/>
      <c r="K224" s="135"/>
      <c r="L224" s="135"/>
      <c r="M224" s="135"/>
      <c r="N224" s="135"/>
      <c r="O224" s="135"/>
      <c r="P224" s="135"/>
      <c r="Q224" s="135"/>
      <c r="R224" s="135"/>
      <c r="S224" s="135"/>
      <c r="T224" s="135"/>
    </row>
    <row r="225" spans="1:20" ht="16.5">
      <c r="A225" s="136"/>
      <c r="B225" s="135"/>
      <c r="C225" s="135"/>
      <c r="D225" s="135"/>
      <c r="E225" s="135"/>
      <c r="F225" s="135"/>
      <c r="G225" s="135"/>
      <c r="H225" s="135"/>
      <c r="I225" s="135"/>
      <c r="J225" s="135"/>
      <c r="K225" s="135"/>
      <c r="L225" s="135"/>
      <c r="M225" s="135"/>
      <c r="N225" s="135"/>
      <c r="O225" s="135"/>
      <c r="P225" s="135"/>
      <c r="Q225" s="135"/>
      <c r="R225" s="135"/>
      <c r="S225" s="135"/>
      <c r="T225" s="135"/>
    </row>
    <row r="226" spans="1:20" ht="16.5">
      <c r="A226" s="136"/>
      <c r="B226" s="135"/>
      <c r="C226" s="135"/>
      <c r="D226" s="135"/>
      <c r="E226" s="135"/>
      <c r="F226" s="135"/>
      <c r="G226" s="135"/>
      <c r="H226" s="135"/>
      <c r="I226" s="135"/>
      <c r="J226" s="135"/>
      <c r="K226" s="135"/>
      <c r="L226" s="135"/>
      <c r="M226" s="135"/>
      <c r="N226" s="135"/>
      <c r="O226" s="135"/>
      <c r="P226" s="135"/>
      <c r="Q226" s="135"/>
      <c r="R226" s="135"/>
      <c r="S226" s="135"/>
      <c r="T226" s="135"/>
    </row>
    <row r="227" spans="1:20" ht="16.5">
      <c r="A227" s="136"/>
      <c r="B227" s="135"/>
      <c r="C227" s="135"/>
      <c r="D227" s="135"/>
      <c r="E227" s="135"/>
      <c r="F227" s="135"/>
      <c r="G227" s="135"/>
      <c r="H227" s="135"/>
      <c r="I227" s="135"/>
      <c r="J227" s="135"/>
      <c r="K227" s="135"/>
      <c r="L227" s="135"/>
      <c r="M227" s="135"/>
      <c r="N227" s="135"/>
      <c r="O227" s="135"/>
      <c r="P227" s="135"/>
      <c r="Q227" s="135"/>
      <c r="R227" s="135"/>
      <c r="S227" s="135"/>
      <c r="T227" s="135"/>
    </row>
    <row r="228" spans="1:20" ht="16.5">
      <c r="A228" s="136"/>
      <c r="B228" s="135"/>
      <c r="C228" s="135"/>
      <c r="D228" s="135"/>
      <c r="E228" s="135"/>
      <c r="F228" s="135"/>
      <c r="G228" s="135"/>
      <c r="H228" s="135"/>
      <c r="I228" s="135"/>
      <c r="J228" s="135"/>
      <c r="K228" s="135"/>
      <c r="L228" s="135"/>
      <c r="M228" s="135"/>
      <c r="N228" s="135"/>
      <c r="O228" s="135"/>
      <c r="P228" s="135"/>
      <c r="Q228" s="135"/>
      <c r="R228" s="135"/>
      <c r="S228" s="135"/>
      <c r="T228" s="135"/>
    </row>
    <row r="229" spans="1:20" ht="16.5">
      <c r="A229" s="136"/>
      <c r="B229" s="135"/>
      <c r="C229" s="135"/>
      <c r="D229" s="135"/>
      <c r="E229" s="135"/>
      <c r="F229" s="135"/>
      <c r="G229" s="135"/>
      <c r="H229" s="135"/>
      <c r="I229" s="135"/>
      <c r="J229" s="135"/>
      <c r="K229" s="135"/>
      <c r="L229" s="135"/>
      <c r="M229" s="135"/>
      <c r="N229" s="135"/>
      <c r="O229" s="135"/>
      <c r="P229" s="135"/>
      <c r="Q229" s="135"/>
      <c r="R229" s="135"/>
      <c r="S229" s="135"/>
      <c r="T229" s="135"/>
    </row>
    <row r="230" spans="1:20" ht="16.5">
      <c r="A230" s="136"/>
      <c r="B230" s="135"/>
      <c r="C230" s="135"/>
      <c r="D230" s="135"/>
      <c r="E230" s="135"/>
      <c r="F230" s="135"/>
      <c r="G230" s="135"/>
      <c r="H230" s="135"/>
      <c r="I230" s="135"/>
      <c r="J230" s="135"/>
      <c r="K230" s="135"/>
      <c r="L230" s="135"/>
      <c r="M230" s="135"/>
      <c r="N230" s="135"/>
      <c r="O230" s="135"/>
      <c r="P230" s="135"/>
      <c r="Q230" s="135"/>
      <c r="R230" s="135"/>
      <c r="S230" s="135"/>
      <c r="T230" s="135"/>
    </row>
    <row r="231" spans="1:20" ht="16.5">
      <c r="A231" s="136"/>
      <c r="B231" s="135"/>
      <c r="C231" s="135"/>
      <c r="D231" s="135"/>
      <c r="E231" s="135"/>
      <c r="F231" s="135"/>
      <c r="G231" s="135"/>
      <c r="H231" s="135"/>
      <c r="I231" s="135"/>
      <c r="J231" s="135"/>
      <c r="K231" s="135"/>
      <c r="L231" s="135"/>
      <c r="M231" s="135"/>
      <c r="N231" s="135"/>
      <c r="O231" s="135"/>
      <c r="P231" s="135"/>
      <c r="Q231" s="135"/>
      <c r="R231" s="135"/>
      <c r="S231" s="135"/>
      <c r="T231" s="135"/>
    </row>
    <row r="232" spans="1:20" ht="16.5">
      <c r="A232" s="136"/>
      <c r="B232" s="135"/>
      <c r="C232" s="135"/>
      <c r="D232" s="135"/>
      <c r="E232" s="135"/>
      <c r="F232" s="135"/>
      <c r="G232" s="135"/>
      <c r="H232" s="135"/>
      <c r="I232" s="135"/>
      <c r="J232" s="135"/>
      <c r="K232" s="135"/>
      <c r="L232" s="135"/>
      <c r="M232" s="135"/>
      <c r="N232" s="135"/>
      <c r="O232" s="135"/>
      <c r="P232" s="135"/>
      <c r="Q232" s="135"/>
      <c r="R232" s="135"/>
      <c r="S232" s="135"/>
      <c r="T232" s="135"/>
    </row>
    <row r="233" spans="1:20" ht="16.5">
      <c r="A233" s="136"/>
      <c r="B233" s="135"/>
      <c r="C233" s="135"/>
      <c r="D233" s="135"/>
      <c r="E233" s="135"/>
      <c r="F233" s="135"/>
      <c r="G233" s="135"/>
      <c r="H233" s="135"/>
      <c r="I233" s="135"/>
      <c r="J233" s="135"/>
      <c r="K233" s="135"/>
      <c r="L233" s="135"/>
      <c r="M233" s="135"/>
      <c r="N233" s="135"/>
      <c r="O233" s="135"/>
      <c r="P233" s="135"/>
      <c r="Q233" s="135"/>
      <c r="R233" s="135"/>
      <c r="S233" s="135"/>
      <c r="T233" s="135"/>
    </row>
    <row r="234" spans="1:20" ht="16.5">
      <c r="A234" s="136"/>
      <c r="B234" s="135"/>
      <c r="C234" s="135"/>
      <c r="D234" s="135"/>
      <c r="E234" s="135"/>
      <c r="F234" s="135"/>
      <c r="G234" s="135"/>
      <c r="H234" s="135"/>
      <c r="I234" s="135"/>
      <c r="J234" s="135"/>
      <c r="K234" s="135"/>
      <c r="L234" s="135"/>
      <c r="M234" s="135"/>
      <c r="N234" s="135"/>
      <c r="O234" s="135"/>
      <c r="P234" s="135"/>
      <c r="Q234" s="135"/>
      <c r="R234" s="135"/>
      <c r="S234" s="135"/>
      <c r="T234" s="135"/>
    </row>
    <row r="235" spans="1:20" ht="16.5">
      <c r="A235" s="136"/>
      <c r="B235" s="135"/>
      <c r="C235" s="135"/>
      <c r="D235" s="135"/>
      <c r="E235" s="135"/>
      <c r="F235" s="135"/>
      <c r="G235" s="135"/>
      <c r="H235" s="135"/>
      <c r="I235" s="135"/>
      <c r="J235" s="135"/>
      <c r="K235" s="135"/>
      <c r="L235" s="135"/>
      <c r="M235" s="135"/>
      <c r="N235" s="135"/>
      <c r="O235" s="135"/>
      <c r="P235" s="135"/>
      <c r="Q235" s="135"/>
      <c r="R235" s="135"/>
      <c r="S235" s="135"/>
      <c r="T235" s="135"/>
    </row>
    <row r="236" spans="1:20" ht="16.5">
      <c r="A236" s="136"/>
      <c r="B236" s="135"/>
      <c r="C236" s="135"/>
      <c r="D236" s="135"/>
      <c r="E236" s="135"/>
      <c r="F236" s="135"/>
      <c r="G236" s="135"/>
      <c r="H236" s="135"/>
      <c r="I236" s="135"/>
      <c r="J236" s="135"/>
      <c r="K236" s="135"/>
      <c r="L236" s="135"/>
      <c r="M236" s="135"/>
      <c r="N236" s="135"/>
      <c r="O236" s="135"/>
      <c r="P236" s="135"/>
      <c r="Q236" s="135"/>
      <c r="R236" s="135"/>
      <c r="S236" s="135"/>
      <c r="T236" s="135"/>
    </row>
    <row r="237" spans="1:20" ht="16.5">
      <c r="A237" s="136"/>
      <c r="B237" s="135"/>
      <c r="C237" s="135"/>
      <c r="D237" s="135"/>
      <c r="E237" s="135"/>
      <c r="F237" s="135"/>
      <c r="G237" s="135"/>
      <c r="H237" s="135"/>
      <c r="I237" s="135"/>
      <c r="J237" s="135"/>
      <c r="K237" s="135"/>
      <c r="L237" s="135"/>
      <c r="M237" s="135"/>
      <c r="N237" s="135"/>
      <c r="O237" s="135"/>
      <c r="P237" s="135"/>
      <c r="Q237" s="135"/>
      <c r="R237" s="135"/>
      <c r="S237" s="135"/>
      <c r="T237" s="135"/>
    </row>
    <row r="238" spans="1:20" ht="16.5">
      <c r="A238" s="136"/>
      <c r="B238" s="135"/>
      <c r="C238" s="135"/>
      <c r="D238" s="135"/>
      <c r="E238" s="135"/>
      <c r="F238" s="135"/>
      <c r="G238" s="135"/>
      <c r="H238" s="135"/>
      <c r="I238" s="135"/>
      <c r="J238" s="135"/>
      <c r="K238" s="135"/>
      <c r="L238" s="135"/>
      <c r="M238" s="135"/>
      <c r="N238" s="135"/>
      <c r="O238" s="135"/>
      <c r="P238" s="135"/>
      <c r="Q238" s="135"/>
      <c r="R238" s="135"/>
      <c r="S238" s="135"/>
      <c r="T238" s="135"/>
    </row>
    <row r="239" spans="1:20" ht="16.5">
      <c r="A239" s="136"/>
      <c r="B239" s="135"/>
      <c r="C239" s="135"/>
      <c r="D239" s="135"/>
      <c r="E239" s="135"/>
      <c r="F239" s="135"/>
      <c r="G239" s="135"/>
      <c r="H239" s="135"/>
      <c r="I239" s="135"/>
      <c r="J239" s="135"/>
      <c r="K239" s="135"/>
      <c r="L239" s="135"/>
      <c r="M239" s="135"/>
      <c r="N239" s="135"/>
      <c r="O239" s="135"/>
      <c r="P239" s="135"/>
      <c r="Q239" s="135"/>
      <c r="R239" s="135"/>
      <c r="S239" s="135"/>
      <c r="T239" s="135"/>
    </row>
    <row r="240" spans="1:20" ht="16.5">
      <c r="A240" s="136"/>
      <c r="B240" s="135"/>
      <c r="C240" s="135"/>
      <c r="D240" s="135"/>
      <c r="E240" s="135"/>
      <c r="F240" s="135"/>
      <c r="G240" s="135"/>
      <c r="H240" s="135"/>
      <c r="I240" s="135"/>
      <c r="J240" s="135"/>
      <c r="K240" s="135"/>
      <c r="L240" s="135"/>
      <c r="M240" s="135"/>
      <c r="N240" s="135"/>
      <c r="O240" s="135"/>
      <c r="P240" s="135"/>
      <c r="Q240" s="135"/>
      <c r="R240" s="135"/>
      <c r="S240" s="135"/>
      <c r="T240" s="135"/>
    </row>
    <row r="241" spans="1:20" ht="16.5">
      <c r="A241" s="136"/>
      <c r="B241" s="135"/>
      <c r="C241" s="135"/>
      <c r="D241" s="135"/>
      <c r="E241" s="135"/>
      <c r="F241" s="135"/>
      <c r="G241" s="135"/>
      <c r="H241" s="135"/>
      <c r="I241" s="135"/>
      <c r="J241" s="135"/>
      <c r="K241" s="135"/>
      <c r="L241" s="135"/>
      <c r="M241" s="135"/>
      <c r="N241" s="135"/>
      <c r="O241" s="135"/>
      <c r="P241" s="135"/>
      <c r="Q241" s="135"/>
      <c r="R241" s="135"/>
      <c r="S241" s="135"/>
      <c r="T241" s="135"/>
    </row>
    <row r="242" spans="1:20" ht="16.5">
      <c r="A242" s="136"/>
      <c r="B242" s="135"/>
      <c r="C242" s="135"/>
      <c r="D242" s="135"/>
      <c r="E242" s="135"/>
      <c r="F242" s="135"/>
      <c r="G242" s="135"/>
      <c r="H242" s="135"/>
      <c r="I242" s="135"/>
      <c r="J242" s="135"/>
      <c r="K242" s="135"/>
      <c r="L242" s="135"/>
      <c r="M242" s="135"/>
      <c r="N242" s="135"/>
      <c r="O242" s="135"/>
      <c r="P242" s="135"/>
      <c r="Q242" s="135"/>
      <c r="R242" s="135"/>
      <c r="S242" s="135"/>
      <c r="T242" s="135"/>
    </row>
    <row r="243" spans="1:20" ht="16.5">
      <c r="A243" s="136"/>
      <c r="B243" s="135"/>
      <c r="C243" s="135"/>
      <c r="D243" s="135"/>
      <c r="E243" s="135"/>
      <c r="F243" s="135"/>
      <c r="G243" s="135"/>
      <c r="H243" s="135"/>
      <c r="I243" s="135"/>
      <c r="J243" s="135"/>
      <c r="K243" s="135"/>
      <c r="L243" s="135"/>
      <c r="M243" s="135"/>
      <c r="N243" s="135"/>
      <c r="O243" s="135"/>
      <c r="P243" s="135"/>
      <c r="Q243" s="135"/>
      <c r="R243" s="135"/>
      <c r="S243" s="135"/>
      <c r="T243" s="135"/>
    </row>
    <row r="244" spans="1:20" ht="16.5">
      <c r="A244" s="136"/>
      <c r="B244" s="135"/>
      <c r="C244" s="135"/>
      <c r="D244" s="135"/>
      <c r="E244" s="135"/>
      <c r="F244" s="135"/>
      <c r="G244" s="135"/>
      <c r="H244" s="135"/>
      <c r="I244" s="135"/>
      <c r="J244" s="135"/>
      <c r="K244" s="135"/>
      <c r="L244" s="135"/>
      <c r="M244" s="135"/>
      <c r="N244" s="135"/>
      <c r="O244" s="135"/>
      <c r="P244" s="135"/>
      <c r="Q244" s="135"/>
      <c r="R244" s="135"/>
      <c r="S244" s="135"/>
      <c r="T244" s="135"/>
    </row>
    <row r="245" spans="1:20" ht="16.5">
      <c r="A245" s="136"/>
      <c r="B245" s="135"/>
      <c r="C245" s="135"/>
      <c r="D245" s="135"/>
      <c r="E245" s="135"/>
      <c r="F245" s="135"/>
      <c r="G245" s="135"/>
      <c r="H245" s="135"/>
      <c r="I245" s="135"/>
      <c r="J245" s="135"/>
      <c r="K245" s="135"/>
      <c r="L245" s="135"/>
      <c r="M245" s="135"/>
      <c r="N245" s="135"/>
      <c r="O245" s="135"/>
      <c r="P245" s="135"/>
      <c r="Q245" s="135"/>
      <c r="R245" s="135"/>
      <c r="S245" s="135"/>
      <c r="T245" s="135"/>
    </row>
    <row r="246" spans="1:20" ht="16.5">
      <c r="A246" s="136"/>
      <c r="B246" s="135"/>
      <c r="C246" s="135"/>
      <c r="D246" s="135"/>
      <c r="E246" s="135"/>
      <c r="F246" s="135"/>
      <c r="G246" s="135"/>
      <c r="H246" s="135"/>
      <c r="I246" s="135"/>
      <c r="J246" s="135"/>
      <c r="K246" s="135"/>
      <c r="L246" s="135"/>
      <c r="M246" s="135"/>
      <c r="N246" s="135"/>
      <c r="O246" s="135"/>
      <c r="P246" s="135"/>
      <c r="Q246" s="135"/>
      <c r="R246" s="135"/>
      <c r="S246" s="135"/>
      <c r="T246" s="135"/>
    </row>
    <row r="247" spans="1:20" ht="16.5">
      <c r="A247" s="136"/>
      <c r="B247" s="135"/>
      <c r="C247" s="135"/>
      <c r="D247" s="135"/>
      <c r="E247" s="135"/>
      <c r="F247" s="135"/>
      <c r="G247" s="135"/>
      <c r="H247" s="135"/>
      <c r="I247" s="135"/>
      <c r="J247" s="135"/>
      <c r="K247" s="135"/>
      <c r="L247" s="135"/>
      <c r="M247" s="135"/>
      <c r="N247" s="135"/>
      <c r="O247" s="135"/>
      <c r="P247" s="135"/>
      <c r="Q247" s="135"/>
      <c r="R247" s="135"/>
      <c r="S247" s="135"/>
      <c r="T247" s="135"/>
    </row>
    <row r="248" spans="1:20" ht="16.5">
      <c r="A248" s="136"/>
      <c r="B248" s="135"/>
      <c r="C248" s="135"/>
      <c r="D248" s="135"/>
      <c r="E248" s="135"/>
      <c r="F248" s="135"/>
      <c r="G248" s="135"/>
      <c r="H248" s="135"/>
      <c r="I248" s="135"/>
      <c r="J248" s="135"/>
      <c r="K248" s="135"/>
      <c r="L248" s="135"/>
      <c r="M248" s="135"/>
      <c r="N248" s="135"/>
      <c r="O248" s="135"/>
      <c r="P248" s="135"/>
      <c r="Q248" s="135"/>
      <c r="R248" s="135"/>
      <c r="S248" s="135"/>
      <c r="T248" s="135"/>
    </row>
    <row r="249" spans="1:20" ht="16.5">
      <c r="A249" s="136"/>
      <c r="B249" s="135"/>
      <c r="C249" s="135"/>
      <c r="D249" s="135"/>
      <c r="E249" s="135"/>
      <c r="F249" s="135"/>
      <c r="G249" s="135"/>
      <c r="H249" s="135"/>
      <c r="I249" s="135"/>
      <c r="J249" s="135"/>
      <c r="K249" s="135"/>
      <c r="L249" s="135"/>
      <c r="M249" s="135"/>
      <c r="N249" s="135"/>
      <c r="O249" s="135"/>
      <c r="P249" s="135"/>
      <c r="Q249" s="135"/>
      <c r="R249" s="135"/>
      <c r="S249" s="135"/>
      <c r="T249" s="135"/>
    </row>
    <row r="250" spans="1:20" ht="16.5">
      <c r="A250" s="136"/>
      <c r="B250" s="135"/>
      <c r="C250" s="135"/>
      <c r="D250" s="135"/>
      <c r="E250" s="135"/>
      <c r="F250" s="135"/>
      <c r="G250" s="135"/>
      <c r="H250" s="135"/>
      <c r="I250" s="135"/>
      <c r="J250" s="135"/>
      <c r="K250" s="135"/>
      <c r="L250" s="135"/>
      <c r="M250" s="135"/>
      <c r="N250" s="135"/>
      <c r="O250" s="135"/>
      <c r="P250" s="135"/>
      <c r="Q250" s="135"/>
      <c r="R250" s="135"/>
      <c r="S250" s="135"/>
      <c r="T250" s="135"/>
    </row>
    <row r="251" spans="1:20" ht="16.5">
      <c r="A251" s="136"/>
      <c r="B251" s="135"/>
      <c r="C251" s="135"/>
      <c r="D251" s="135"/>
      <c r="E251" s="135"/>
      <c r="F251" s="135"/>
      <c r="G251" s="135"/>
      <c r="H251" s="135"/>
      <c r="I251" s="135"/>
      <c r="J251" s="135"/>
      <c r="K251" s="135"/>
      <c r="L251" s="135"/>
      <c r="M251" s="135"/>
      <c r="N251" s="135"/>
      <c r="O251" s="135"/>
      <c r="P251" s="135"/>
      <c r="Q251" s="135"/>
      <c r="R251" s="135"/>
      <c r="S251" s="135"/>
      <c r="T251" s="135"/>
    </row>
    <row r="252" spans="1:20" ht="16.5">
      <c r="A252" s="136"/>
      <c r="B252" s="135"/>
      <c r="C252" s="135"/>
      <c r="D252" s="135"/>
      <c r="E252" s="135"/>
      <c r="F252" s="135"/>
      <c r="G252" s="135"/>
      <c r="H252" s="135"/>
      <c r="I252" s="135"/>
      <c r="J252" s="135"/>
      <c r="K252" s="135"/>
      <c r="L252" s="135"/>
      <c r="M252" s="135"/>
      <c r="N252" s="135"/>
      <c r="O252" s="135"/>
      <c r="P252" s="135"/>
      <c r="Q252" s="135"/>
      <c r="R252" s="135"/>
      <c r="S252" s="135"/>
      <c r="T252" s="135"/>
    </row>
    <row r="253" spans="1:20" ht="16.5">
      <c r="A253" s="136"/>
      <c r="B253" s="135"/>
      <c r="C253" s="135"/>
      <c r="D253" s="135"/>
      <c r="E253" s="135"/>
      <c r="F253" s="135"/>
      <c r="G253" s="135"/>
      <c r="H253" s="135"/>
      <c r="I253" s="135"/>
      <c r="J253" s="135"/>
      <c r="K253" s="135"/>
      <c r="L253" s="135"/>
      <c r="M253" s="135"/>
      <c r="N253" s="135"/>
      <c r="O253" s="135"/>
      <c r="P253" s="135"/>
      <c r="Q253" s="135"/>
      <c r="R253" s="135"/>
      <c r="S253" s="135"/>
      <c r="T253" s="135"/>
    </row>
    <row r="254" spans="1:20" ht="16.5">
      <c r="A254" s="136"/>
      <c r="B254" s="135"/>
      <c r="C254" s="135"/>
      <c r="D254" s="135"/>
      <c r="E254" s="135"/>
      <c r="F254" s="135"/>
      <c r="G254" s="135"/>
      <c r="H254" s="135"/>
      <c r="I254" s="135"/>
      <c r="J254" s="135"/>
      <c r="K254" s="135"/>
      <c r="L254" s="135"/>
      <c r="M254" s="135"/>
      <c r="N254" s="135"/>
      <c r="O254" s="135"/>
      <c r="P254" s="135"/>
      <c r="Q254" s="135"/>
      <c r="R254" s="135"/>
      <c r="S254" s="135"/>
      <c r="T254" s="135"/>
    </row>
    <row r="255" spans="1:20" ht="16.5">
      <c r="A255" s="136"/>
      <c r="B255" s="135"/>
      <c r="C255" s="135"/>
      <c r="D255" s="135"/>
      <c r="E255" s="135"/>
      <c r="F255" s="135"/>
      <c r="G255" s="135"/>
      <c r="H255" s="135"/>
      <c r="I255" s="135"/>
      <c r="J255" s="135"/>
      <c r="K255" s="135"/>
      <c r="L255" s="135"/>
      <c r="M255" s="135"/>
      <c r="N255" s="135"/>
      <c r="O255" s="135"/>
      <c r="P255" s="135"/>
      <c r="Q255" s="135"/>
      <c r="R255" s="135"/>
      <c r="S255" s="135"/>
      <c r="T255" s="135"/>
    </row>
    <row r="256" spans="1:20" ht="16.5">
      <c r="A256" s="136"/>
      <c r="B256" s="135"/>
      <c r="C256" s="135"/>
      <c r="D256" s="135"/>
      <c r="E256" s="135"/>
      <c r="F256" s="135"/>
      <c r="G256" s="135"/>
      <c r="H256" s="135"/>
      <c r="I256" s="135"/>
      <c r="J256" s="135"/>
      <c r="K256" s="135"/>
      <c r="L256" s="135"/>
      <c r="M256" s="135"/>
      <c r="N256" s="135"/>
      <c r="O256" s="135"/>
      <c r="P256" s="135"/>
      <c r="Q256" s="135"/>
      <c r="R256" s="135"/>
      <c r="S256" s="135"/>
      <c r="T256" s="135"/>
    </row>
    <row r="257" spans="1:20" ht="16.5">
      <c r="A257" s="136"/>
      <c r="B257" s="135"/>
      <c r="C257" s="135"/>
      <c r="D257" s="135"/>
      <c r="E257" s="135"/>
      <c r="F257" s="135"/>
      <c r="G257" s="135"/>
      <c r="H257" s="135"/>
      <c r="I257" s="135"/>
      <c r="J257" s="135"/>
      <c r="K257" s="135"/>
      <c r="L257" s="135"/>
      <c r="M257" s="135"/>
      <c r="N257" s="135"/>
      <c r="O257" s="135"/>
      <c r="P257" s="135"/>
      <c r="Q257" s="135"/>
      <c r="R257" s="135"/>
      <c r="S257" s="135"/>
      <c r="T257" s="135"/>
    </row>
    <row r="258" spans="1:20" ht="16.5">
      <c r="A258" s="136"/>
      <c r="B258" s="135"/>
      <c r="C258" s="135"/>
      <c r="D258" s="135"/>
      <c r="E258" s="135"/>
      <c r="F258" s="135"/>
      <c r="G258" s="135"/>
      <c r="H258" s="135"/>
      <c r="I258" s="135"/>
      <c r="J258" s="135"/>
      <c r="K258" s="135"/>
      <c r="L258" s="135"/>
      <c r="M258" s="135"/>
      <c r="N258" s="135"/>
      <c r="O258" s="135"/>
      <c r="P258" s="135"/>
      <c r="Q258" s="135"/>
      <c r="R258" s="135"/>
      <c r="S258" s="135"/>
      <c r="T258" s="135"/>
    </row>
    <row r="259" spans="1:20" ht="16.5">
      <c r="A259" s="136"/>
      <c r="B259" s="135"/>
      <c r="C259" s="135"/>
      <c r="D259" s="135"/>
      <c r="E259" s="135"/>
      <c r="F259" s="135"/>
      <c r="G259" s="135"/>
      <c r="H259" s="135"/>
      <c r="I259" s="135"/>
      <c r="J259" s="135"/>
      <c r="K259" s="135"/>
      <c r="L259" s="135"/>
      <c r="M259" s="135"/>
      <c r="N259" s="135"/>
      <c r="O259" s="135"/>
      <c r="P259" s="135"/>
      <c r="Q259" s="135"/>
      <c r="R259" s="135"/>
      <c r="S259" s="135"/>
      <c r="T259" s="135"/>
    </row>
    <row r="260" spans="1:20" ht="16.5">
      <c r="A260" s="136"/>
      <c r="B260" s="135"/>
      <c r="C260" s="135"/>
      <c r="D260" s="135"/>
      <c r="E260" s="135"/>
      <c r="F260" s="135"/>
      <c r="G260" s="135"/>
      <c r="H260" s="135"/>
      <c r="I260" s="135"/>
      <c r="J260" s="135"/>
      <c r="K260" s="135"/>
      <c r="L260" s="135"/>
      <c r="M260" s="135"/>
      <c r="N260" s="135"/>
      <c r="O260" s="135"/>
      <c r="P260" s="135"/>
      <c r="Q260" s="135"/>
      <c r="R260" s="135"/>
      <c r="S260" s="135"/>
      <c r="T260" s="135"/>
    </row>
    <row r="261" spans="1:20" ht="16.5">
      <c r="A261" s="136"/>
      <c r="B261" s="135"/>
      <c r="C261" s="135"/>
      <c r="D261" s="135"/>
      <c r="E261" s="135"/>
      <c r="F261" s="135"/>
      <c r="G261" s="135"/>
      <c r="H261" s="135"/>
      <c r="I261" s="135"/>
      <c r="J261" s="135"/>
      <c r="K261" s="135"/>
      <c r="L261" s="135"/>
      <c r="M261" s="135"/>
      <c r="N261" s="135"/>
      <c r="O261" s="135"/>
      <c r="P261" s="135"/>
      <c r="Q261" s="135"/>
      <c r="R261" s="135"/>
      <c r="S261" s="135"/>
      <c r="T261" s="135"/>
    </row>
    <row r="262" spans="1:20" ht="16.5">
      <c r="A262" s="136"/>
      <c r="B262" s="135"/>
      <c r="C262" s="135"/>
      <c r="D262" s="135"/>
      <c r="E262" s="135"/>
      <c r="F262" s="135"/>
      <c r="G262" s="135"/>
      <c r="H262" s="135"/>
      <c r="I262" s="135"/>
      <c r="J262" s="135"/>
      <c r="K262" s="135"/>
      <c r="L262" s="135"/>
      <c r="M262" s="135"/>
      <c r="N262" s="135"/>
      <c r="O262" s="135"/>
      <c r="P262" s="135"/>
      <c r="Q262" s="135"/>
      <c r="R262" s="135"/>
      <c r="S262" s="135"/>
      <c r="T262" s="135"/>
    </row>
    <row r="263" spans="1:20" ht="16.5">
      <c r="A263" s="136"/>
      <c r="B263" s="135"/>
      <c r="C263" s="135"/>
      <c r="D263" s="135"/>
      <c r="E263" s="135"/>
      <c r="F263" s="135"/>
      <c r="G263" s="135"/>
      <c r="H263" s="135"/>
      <c r="I263" s="135"/>
      <c r="J263" s="135"/>
      <c r="K263" s="135"/>
      <c r="L263" s="135"/>
      <c r="M263" s="135"/>
      <c r="N263" s="135"/>
      <c r="O263" s="135"/>
      <c r="P263" s="135"/>
      <c r="Q263" s="135"/>
      <c r="R263" s="135"/>
      <c r="S263" s="135"/>
      <c r="T263" s="135"/>
    </row>
    <row r="264" spans="1:20" ht="16.5">
      <c r="A264" s="136"/>
      <c r="B264" s="135"/>
      <c r="C264" s="135"/>
      <c r="D264" s="135"/>
      <c r="E264" s="135"/>
      <c r="F264" s="135"/>
      <c r="G264" s="135"/>
      <c r="H264" s="135"/>
      <c r="I264" s="135"/>
      <c r="J264" s="135"/>
      <c r="K264" s="135"/>
      <c r="L264" s="135"/>
      <c r="M264" s="135"/>
      <c r="N264" s="135"/>
      <c r="O264" s="135"/>
      <c r="P264" s="135"/>
      <c r="Q264" s="135"/>
      <c r="R264" s="135"/>
      <c r="S264" s="135"/>
      <c r="T264" s="135"/>
    </row>
    <row r="265" spans="1:20" ht="16.5">
      <c r="A265" s="136"/>
      <c r="B265" s="135"/>
      <c r="C265" s="135"/>
      <c r="D265" s="135"/>
      <c r="E265" s="135"/>
      <c r="F265" s="135"/>
      <c r="G265" s="135"/>
      <c r="H265" s="135"/>
      <c r="I265" s="135"/>
      <c r="J265" s="135"/>
      <c r="K265" s="135"/>
      <c r="L265" s="135"/>
      <c r="M265" s="135"/>
      <c r="N265" s="135"/>
      <c r="O265" s="135"/>
      <c r="P265" s="135"/>
      <c r="Q265" s="135"/>
      <c r="R265" s="135"/>
      <c r="S265" s="135"/>
      <c r="T265" s="135"/>
    </row>
    <row r="266" spans="1:20" ht="16.5">
      <c r="A266" s="136"/>
      <c r="B266" s="135"/>
      <c r="C266" s="135"/>
      <c r="D266" s="135"/>
      <c r="E266" s="135"/>
      <c r="F266" s="135"/>
      <c r="G266" s="135"/>
      <c r="H266" s="135"/>
      <c r="I266" s="135"/>
      <c r="J266" s="135"/>
      <c r="K266" s="135"/>
      <c r="L266" s="135"/>
      <c r="M266" s="135"/>
      <c r="N266" s="135"/>
      <c r="O266" s="135"/>
      <c r="P266" s="135"/>
      <c r="Q266" s="135"/>
      <c r="R266" s="135"/>
      <c r="S266" s="135"/>
      <c r="T266" s="135"/>
    </row>
    <row r="267" spans="1:20" ht="16.5">
      <c r="A267" s="136"/>
      <c r="B267" s="135"/>
      <c r="C267" s="135"/>
      <c r="D267" s="135"/>
      <c r="E267" s="135"/>
      <c r="F267" s="135"/>
      <c r="G267" s="135"/>
      <c r="H267" s="135"/>
      <c r="I267" s="135"/>
      <c r="J267" s="135"/>
      <c r="K267" s="135"/>
      <c r="L267" s="135"/>
      <c r="M267" s="135"/>
      <c r="N267" s="135"/>
      <c r="O267" s="135"/>
      <c r="P267" s="135"/>
      <c r="Q267" s="135"/>
      <c r="R267" s="135"/>
      <c r="S267" s="135"/>
      <c r="T267" s="135"/>
    </row>
    <row r="268" spans="1:20" ht="16.5">
      <c r="A268" s="136"/>
      <c r="B268" s="135"/>
      <c r="C268" s="135"/>
      <c r="D268" s="135"/>
      <c r="E268" s="135"/>
      <c r="F268" s="135"/>
      <c r="G268" s="135"/>
      <c r="H268" s="135"/>
      <c r="I268" s="135"/>
      <c r="J268" s="135"/>
      <c r="K268" s="135"/>
      <c r="L268" s="135"/>
      <c r="M268" s="135"/>
      <c r="N268" s="135"/>
      <c r="O268" s="135"/>
      <c r="P268" s="135"/>
      <c r="Q268" s="135"/>
      <c r="R268" s="135"/>
      <c r="S268" s="135"/>
      <c r="T268" s="135"/>
    </row>
    <row r="269" spans="1:20" ht="16.5">
      <c r="A269" s="136"/>
      <c r="B269" s="135"/>
      <c r="C269" s="135"/>
      <c r="D269" s="135"/>
      <c r="E269" s="135"/>
      <c r="F269" s="135"/>
      <c r="G269" s="135"/>
      <c r="H269" s="135"/>
      <c r="I269" s="135"/>
      <c r="J269" s="135"/>
      <c r="K269" s="135"/>
      <c r="L269" s="135"/>
      <c r="M269" s="135"/>
      <c r="N269" s="135"/>
      <c r="O269" s="135"/>
      <c r="P269" s="135"/>
      <c r="Q269" s="135"/>
      <c r="R269" s="135"/>
      <c r="S269" s="135"/>
      <c r="T269" s="135"/>
    </row>
    <row r="270" spans="1:20" ht="16.5">
      <c r="A270" s="136"/>
      <c r="B270" s="135"/>
      <c r="C270" s="135"/>
      <c r="D270" s="135"/>
      <c r="E270" s="135"/>
      <c r="F270" s="135"/>
      <c r="G270" s="135"/>
      <c r="H270" s="135"/>
      <c r="I270" s="135"/>
      <c r="J270" s="135"/>
      <c r="K270" s="135"/>
      <c r="L270" s="135"/>
      <c r="M270" s="135"/>
      <c r="N270" s="135"/>
      <c r="O270" s="135"/>
      <c r="P270" s="135"/>
      <c r="Q270" s="135"/>
      <c r="R270" s="135"/>
      <c r="S270" s="135"/>
      <c r="T270" s="135"/>
    </row>
    <row r="271" spans="1:20" ht="16.5">
      <c r="A271" s="136"/>
      <c r="B271" s="135"/>
      <c r="C271" s="135"/>
      <c r="D271" s="135"/>
      <c r="E271" s="135"/>
      <c r="F271" s="135"/>
      <c r="G271" s="135"/>
      <c r="H271" s="135"/>
      <c r="I271" s="135"/>
      <c r="J271" s="135"/>
      <c r="K271" s="135"/>
      <c r="L271" s="135"/>
      <c r="M271" s="135"/>
      <c r="N271" s="135"/>
      <c r="O271" s="135"/>
      <c r="P271" s="135"/>
      <c r="Q271" s="135"/>
      <c r="R271" s="135"/>
      <c r="S271" s="135"/>
      <c r="T271" s="135"/>
    </row>
    <row r="272" spans="1:20" ht="16.5">
      <c r="A272" s="136"/>
      <c r="B272" s="135"/>
      <c r="C272" s="135"/>
      <c r="D272" s="135"/>
      <c r="E272" s="135"/>
      <c r="F272" s="135"/>
      <c r="G272" s="135"/>
      <c r="H272" s="135"/>
      <c r="I272" s="135"/>
      <c r="J272" s="135"/>
      <c r="K272" s="135"/>
      <c r="L272" s="135"/>
      <c r="M272" s="135"/>
      <c r="N272" s="135"/>
      <c r="O272" s="135"/>
      <c r="P272" s="135"/>
      <c r="Q272" s="135"/>
      <c r="R272" s="135"/>
      <c r="S272" s="135"/>
      <c r="T272" s="135"/>
    </row>
    <row r="273" spans="1:20" ht="16.5">
      <c r="A273" s="136"/>
      <c r="B273" s="135"/>
      <c r="C273" s="135"/>
      <c r="D273" s="135"/>
      <c r="E273" s="135"/>
      <c r="F273" s="135"/>
      <c r="G273" s="135"/>
      <c r="H273" s="135"/>
      <c r="I273" s="135"/>
      <c r="J273" s="135"/>
      <c r="K273" s="135"/>
      <c r="L273" s="135"/>
      <c r="M273" s="135"/>
      <c r="N273" s="135"/>
      <c r="O273" s="135"/>
      <c r="P273" s="135"/>
      <c r="Q273" s="135"/>
      <c r="R273" s="135"/>
      <c r="S273" s="135"/>
      <c r="T273" s="135"/>
    </row>
    <row r="274" spans="1:20" ht="16.5">
      <c r="A274" s="136"/>
      <c r="B274" s="135"/>
      <c r="C274" s="135"/>
      <c r="D274" s="135"/>
      <c r="E274" s="135"/>
      <c r="F274" s="135"/>
      <c r="G274" s="135"/>
      <c r="H274" s="135"/>
      <c r="I274" s="135"/>
      <c r="J274" s="135"/>
      <c r="K274" s="135"/>
      <c r="L274" s="135"/>
      <c r="M274" s="135"/>
      <c r="N274" s="135"/>
      <c r="O274" s="135"/>
      <c r="P274" s="135"/>
      <c r="Q274" s="135"/>
      <c r="R274" s="135"/>
      <c r="S274" s="135"/>
      <c r="T274" s="135"/>
    </row>
    <row r="275" spans="1:20" ht="16.5">
      <c r="A275" s="136"/>
      <c r="B275" s="135"/>
      <c r="C275" s="135"/>
      <c r="D275" s="135"/>
      <c r="E275" s="135"/>
      <c r="F275" s="135"/>
      <c r="G275" s="135"/>
      <c r="H275" s="135"/>
      <c r="I275" s="135"/>
      <c r="J275" s="135"/>
      <c r="K275" s="135"/>
      <c r="L275" s="135"/>
      <c r="M275" s="135"/>
      <c r="N275" s="135"/>
      <c r="O275" s="135"/>
      <c r="P275" s="135"/>
      <c r="Q275" s="135"/>
      <c r="R275" s="135"/>
      <c r="S275" s="135"/>
      <c r="T275" s="135"/>
    </row>
    <row r="276" spans="1:20" ht="16.5">
      <c r="A276" s="136"/>
      <c r="B276" s="135"/>
      <c r="C276" s="135"/>
      <c r="D276" s="135"/>
      <c r="E276" s="135"/>
      <c r="F276" s="135"/>
      <c r="G276" s="135"/>
      <c r="H276" s="135"/>
      <c r="I276" s="135"/>
      <c r="J276" s="135"/>
      <c r="K276" s="135"/>
      <c r="L276" s="135"/>
      <c r="M276" s="135"/>
      <c r="N276" s="135"/>
      <c r="O276" s="135"/>
      <c r="P276" s="135"/>
      <c r="Q276" s="135"/>
      <c r="R276" s="135"/>
      <c r="S276" s="135"/>
      <c r="T276" s="135"/>
    </row>
    <row r="277" spans="1:20" ht="16.5">
      <c r="A277" s="136"/>
      <c r="B277" s="135"/>
      <c r="C277" s="135"/>
      <c r="D277" s="135"/>
      <c r="E277" s="135"/>
      <c r="F277" s="135"/>
      <c r="G277" s="135"/>
      <c r="H277" s="135"/>
      <c r="I277" s="135"/>
      <c r="J277" s="135"/>
      <c r="K277" s="135"/>
      <c r="L277" s="135"/>
      <c r="M277" s="135"/>
      <c r="N277" s="135"/>
      <c r="O277" s="135"/>
      <c r="P277" s="135"/>
      <c r="Q277" s="135"/>
      <c r="R277" s="135"/>
      <c r="S277" s="135"/>
      <c r="T277" s="135"/>
    </row>
    <row r="278" spans="1:20" ht="16.5">
      <c r="A278" s="136"/>
      <c r="B278" s="135"/>
      <c r="C278" s="135"/>
      <c r="D278" s="135"/>
      <c r="E278" s="135"/>
      <c r="F278" s="135"/>
      <c r="G278" s="135"/>
      <c r="H278" s="135"/>
      <c r="I278" s="135"/>
      <c r="J278" s="135"/>
      <c r="K278" s="135"/>
      <c r="L278" s="135"/>
      <c r="M278" s="135"/>
      <c r="N278" s="135"/>
      <c r="O278" s="135"/>
      <c r="P278" s="135"/>
      <c r="Q278" s="135"/>
      <c r="R278" s="135"/>
      <c r="S278" s="135"/>
      <c r="T278" s="135"/>
    </row>
    <row r="279" spans="1:20" ht="16.5">
      <c r="A279" s="136"/>
      <c r="B279" s="135"/>
      <c r="C279" s="135"/>
      <c r="D279" s="135"/>
      <c r="E279" s="135"/>
      <c r="F279" s="135"/>
      <c r="G279" s="135"/>
      <c r="H279" s="135"/>
      <c r="I279" s="135"/>
      <c r="J279" s="135"/>
      <c r="K279" s="135"/>
      <c r="L279" s="135"/>
      <c r="M279" s="135"/>
      <c r="N279" s="135"/>
      <c r="O279" s="135"/>
      <c r="P279" s="135"/>
      <c r="Q279" s="135"/>
      <c r="R279" s="135"/>
      <c r="S279" s="135"/>
      <c r="T279" s="135"/>
    </row>
    <row r="280" spans="1:20" ht="16.5">
      <c r="A280" s="136"/>
      <c r="B280" s="135"/>
      <c r="C280" s="135"/>
      <c r="D280" s="135"/>
      <c r="E280" s="135"/>
      <c r="F280" s="135"/>
      <c r="G280" s="135"/>
      <c r="H280" s="135"/>
      <c r="I280" s="135"/>
      <c r="J280" s="135"/>
      <c r="K280" s="135"/>
      <c r="L280" s="135"/>
      <c r="M280" s="135"/>
      <c r="N280" s="135"/>
      <c r="O280" s="135"/>
      <c r="P280" s="135"/>
      <c r="Q280" s="135"/>
      <c r="R280" s="135"/>
      <c r="S280" s="135"/>
      <c r="T280" s="135"/>
    </row>
    <row r="281" spans="1:20" ht="16.5">
      <c r="A281" s="136"/>
      <c r="B281" s="135"/>
      <c r="C281" s="135"/>
      <c r="D281" s="135"/>
      <c r="E281" s="135"/>
      <c r="F281" s="135"/>
      <c r="G281" s="135"/>
      <c r="H281" s="135"/>
      <c r="I281" s="135"/>
      <c r="J281" s="135"/>
      <c r="K281" s="135"/>
      <c r="L281" s="135"/>
      <c r="M281" s="135"/>
      <c r="N281" s="135"/>
      <c r="O281" s="135"/>
      <c r="P281" s="135"/>
      <c r="Q281" s="135"/>
      <c r="R281" s="135"/>
      <c r="S281" s="135"/>
      <c r="T281" s="135"/>
    </row>
  </sheetData>
  <phoneticPr fontId="3"/>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6A5E13-67F3-49EA-A8A5-7019F215C31C}">
  <sheetPr codeName="Sheet1"/>
  <dimension ref="A1:AP1095"/>
  <sheetViews>
    <sheetView workbookViewId="0">
      <pane xSplit="2" ySplit="1" topLeftCell="C239" activePane="bottomRight" state="frozen"/>
      <selection sqref="A1:E1"/>
      <selection pane="topRight" sqref="A1:E1"/>
      <selection pane="bottomLeft" sqref="A1:E1"/>
      <selection pane="bottomRight" activeCell="C258" sqref="C258"/>
    </sheetView>
  </sheetViews>
  <sheetFormatPr defaultRowHeight="14.25"/>
  <cols>
    <col min="1" max="1" width="9" style="56"/>
    <col min="2" max="2" width="66.25" style="58" customWidth="1"/>
    <col min="3" max="3" width="34.125" style="58" customWidth="1"/>
    <col min="4" max="5" width="13.125" style="58" customWidth="1"/>
    <col min="6" max="6" width="13" style="58" customWidth="1"/>
    <col min="7" max="7" width="13.625" style="58" customWidth="1"/>
    <col min="8" max="9" width="19.375" style="58" customWidth="1"/>
    <col min="10" max="10" width="13.125" style="58" customWidth="1"/>
    <col min="11" max="11" width="10.25" style="57" customWidth="1"/>
    <col min="12" max="12" width="13.125" style="58" customWidth="1"/>
    <col min="13" max="13" width="11.75" style="57" customWidth="1"/>
    <col min="14" max="15" width="9" style="57"/>
    <col min="16" max="16" width="10.625" style="57" customWidth="1"/>
    <col min="17" max="17" width="13.125" style="58" customWidth="1"/>
    <col min="18" max="21" width="9" style="56"/>
    <col min="22" max="24" width="17" style="56" customWidth="1"/>
    <col min="25" max="25" width="52.875" style="56" customWidth="1"/>
    <col min="26" max="27" width="10.25" style="57" customWidth="1"/>
    <col min="28" max="28" width="28.875" style="57" customWidth="1"/>
    <col min="29" max="29" width="11.875" style="57" customWidth="1"/>
    <col min="30" max="30" width="10.625" style="57" customWidth="1"/>
    <col min="31" max="31" width="14.5" style="57" customWidth="1"/>
    <col min="32" max="32" width="16" style="57" customWidth="1"/>
    <col min="33" max="33" width="9" style="56"/>
    <col min="34" max="34" width="10.25" style="57" customWidth="1"/>
    <col min="35" max="16384" width="9" style="56"/>
  </cols>
  <sheetData>
    <row r="1" spans="1:34" s="57" customFormat="1" ht="33">
      <c r="A1" s="122" t="s">
        <v>1124</v>
      </c>
      <c r="B1" s="132" t="s">
        <v>1123</v>
      </c>
      <c r="C1" s="130"/>
      <c r="D1" s="126" t="s">
        <v>1122</v>
      </c>
      <c r="E1" s="131"/>
      <c r="F1" s="130" t="s">
        <v>1121</v>
      </c>
      <c r="G1" s="130" t="s">
        <v>1120</v>
      </c>
      <c r="H1" s="130" t="s">
        <v>1119</v>
      </c>
      <c r="I1" s="130" t="s">
        <v>1118</v>
      </c>
      <c r="J1" s="126" t="s">
        <v>1117</v>
      </c>
      <c r="K1" s="126" t="s">
        <v>1116</v>
      </c>
      <c r="L1" s="126" t="s">
        <v>1115</v>
      </c>
      <c r="M1" s="129" t="s">
        <v>1114</v>
      </c>
      <c r="N1" s="59" t="s">
        <v>1113</v>
      </c>
      <c r="O1" s="128" t="s">
        <v>1112</v>
      </c>
      <c r="P1" s="59" t="s">
        <v>1111</v>
      </c>
      <c r="Q1" s="126" t="s">
        <v>1110</v>
      </c>
      <c r="R1" s="59" t="s">
        <v>1109</v>
      </c>
      <c r="S1" s="59" t="s">
        <v>1108</v>
      </c>
      <c r="T1" s="59" t="s">
        <v>1107</v>
      </c>
      <c r="U1" s="59" t="s">
        <v>1106</v>
      </c>
      <c r="V1" s="59" t="s">
        <v>1105</v>
      </c>
      <c r="W1" s="126" t="s">
        <v>1104</v>
      </c>
      <c r="X1" s="127" t="s">
        <v>1103</v>
      </c>
      <c r="Y1" s="59" t="s">
        <v>1102</v>
      </c>
      <c r="Z1" s="126" t="s">
        <v>1101</v>
      </c>
      <c r="AA1" s="126"/>
      <c r="AB1" s="59" t="s">
        <v>1100</v>
      </c>
      <c r="AC1" s="59" t="s">
        <v>1099</v>
      </c>
      <c r="AD1" s="59" t="s">
        <v>1098</v>
      </c>
      <c r="AE1" s="59" t="s">
        <v>1097</v>
      </c>
      <c r="AF1" s="59" t="s">
        <v>1096</v>
      </c>
      <c r="AG1" s="59"/>
      <c r="AH1" s="125" t="s">
        <v>1095</v>
      </c>
    </row>
    <row r="2" spans="1:34" s="57" customFormat="1" ht="18.75">
      <c r="B2" s="124"/>
      <c r="C2" s="123"/>
      <c r="D2" s="108"/>
      <c r="E2" s="108"/>
      <c r="F2" s="123"/>
      <c r="G2" s="123"/>
      <c r="H2" s="123"/>
      <c r="I2" s="123"/>
      <c r="J2" s="108"/>
      <c r="K2" s="108"/>
      <c r="L2" s="108"/>
      <c r="M2" s="122"/>
      <c r="O2" s="100"/>
      <c r="Q2" s="108"/>
      <c r="W2" s="108"/>
      <c r="X2" s="121"/>
      <c r="Z2" s="108"/>
      <c r="AA2" s="108"/>
      <c r="AH2" s="108"/>
    </row>
    <row r="3" spans="1:34" s="57" customFormat="1" ht="18.75">
      <c r="B3" s="124"/>
      <c r="C3" s="123"/>
      <c r="D3" s="108"/>
      <c r="E3" s="108"/>
      <c r="F3" s="123"/>
      <c r="G3" s="123"/>
      <c r="H3" s="123"/>
      <c r="I3" s="123"/>
      <c r="J3" s="108"/>
      <c r="K3" s="108"/>
      <c r="L3" s="108"/>
      <c r="M3" s="122"/>
      <c r="O3" s="100"/>
      <c r="Q3" s="108"/>
      <c r="W3" s="108"/>
      <c r="X3" s="121"/>
      <c r="Z3" s="108"/>
      <c r="AA3" s="108"/>
      <c r="AH3" s="108"/>
    </row>
    <row r="4" spans="1:34" customFormat="1">
      <c r="A4">
        <v>1</v>
      </c>
      <c r="B4" t="s">
        <v>1094</v>
      </c>
      <c r="D4">
        <v>673.971</v>
      </c>
      <c r="E4" s="120">
        <v>44250</v>
      </c>
    </row>
    <row r="5" spans="1:34" customFormat="1">
      <c r="A5">
        <v>2</v>
      </c>
      <c r="B5" t="s">
        <v>1093</v>
      </c>
      <c r="C5" t="s">
        <v>1092</v>
      </c>
      <c r="D5">
        <v>708.7</v>
      </c>
      <c r="E5" s="120">
        <v>44250</v>
      </c>
    </row>
    <row r="6" spans="1:34" customFormat="1">
      <c r="A6">
        <v>3</v>
      </c>
      <c r="B6" t="s">
        <v>1091</v>
      </c>
      <c r="C6" t="s">
        <v>1090</v>
      </c>
      <c r="D6">
        <v>7.64</v>
      </c>
      <c r="E6" s="120">
        <v>44249</v>
      </c>
    </row>
    <row r="7" spans="1:34" customFormat="1">
      <c r="A7">
        <v>4</v>
      </c>
      <c r="B7" t="s">
        <v>1089</v>
      </c>
      <c r="D7">
        <v>673.97</v>
      </c>
      <c r="E7" s="120">
        <v>44248</v>
      </c>
    </row>
    <row r="8" spans="1:34" customFormat="1">
      <c r="A8">
        <v>5</v>
      </c>
      <c r="B8" t="s">
        <v>1088</v>
      </c>
      <c r="C8" t="s">
        <v>1087</v>
      </c>
      <c r="D8">
        <v>860</v>
      </c>
      <c r="E8" s="120">
        <v>44248</v>
      </c>
    </row>
    <row r="9" spans="1:34" customFormat="1">
      <c r="A9">
        <v>6</v>
      </c>
      <c r="B9" t="s">
        <v>1086</v>
      </c>
      <c r="C9" t="s">
        <v>1085</v>
      </c>
      <c r="D9">
        <v>7.63</v>
      </c>
      <c r="E9" s="120">
        <v>44248</v>
      </c>
    </row>
    <row r="10" spans="1:34" customFormat="1">
      <c r="A10">
        <v>7</v>
      </c>
      <c r="B10" t="s">
        <v>1084</v>
      </c>
      <c r="C10" t="s">
        <v>1083</v>
      </c>
      <c r="D10">
        <v>675.4</v>
      </c>
      <c r="E10" s="120">
        <v>44248</v>
      </c>
    </row>
    <row r="11" spans="1:34" customFormat="1">
      <c r="A11">
        <v>8</v>
      </c>
      <c r="B11" t="s">
        <v>1082</v>
      </c>
      <c r="C11" t="s">
        <v>1081</v>
      </c>
      <c r="D11">
        <v>331.19</v>
      </c>
      <c r="E11" s="120">
        <v>44248</v>
      </c>
    </row>
    <row r="12" spans="1:34" customFormat="1">
      <c r="A12">
        <v>9</v>
      </c>
      <c r="B12" t="s">
        <v>1080</v>
      </c>
      <c r="C12" t="s">
        <v>1073</v>
      </c>
      <c r="D12">
        <v>336.1</v>
      </c>
      <c r="E12" s="120">
        <v>44247</v>
      </c>
    </row>
    <row r="13" spans="1:34" customFormat="1">
      <c r="A13">
        <v>10</v>
      </c>
      <c r="B13" t="s">
        <v>1079</v>
      </c>
      <c r="C13" t="s">
        <v>1011</v>
      </c>
      <c r="D13">
        <v>673.97199999999998</v>
      </c>
      <c r="E13" s="120">
        <v>44242</v>
      </c>
    </row>
    <row r="14" spans="1:34" customFormat="1">
      <c r="A14">
        <v>11</v>
      </c>
      <c r="B14" t="s">
        <v>1078</v>
      </c>
      <c r="C14" t="s">
        <v>1077</v>
      </c>
      <c r="D14">
        <v>547.48329999999999</v>
      </c>
      <c r="E14" s="120">
        <v>44242</v>
      </c>
    </row>
    <row r="15" spans="1:34" customFormat="1">
      <c r="A15">
        <v>12</v>
      </c>
      <c r="B15" t="s">
        <v>1076</v>
      </c>
      <c r="C15" t="s">
        <v>1075</v>
      </c>
      <c r="D15">
        <v>7.609</v>
      </c>
      <c r="E15" s="120">
        <v>44242</v>
      </c>
    </row>
    <row r="16" spans="1:34" customFormat="1">
      <c r="A16">
        <v>13</v>
      </c>
      <c r="B16" t="s">
        <v>1074</v>
      </c>
      <c r="C16" t="s">
        <v>1073</v>
      </c>
      <c r="D16">
        <v>336.1</v>
      </c>
      <c r="E16" s="120">
        <v>44242</v>
      </c>
    </row>
    <row r="17" spans="1:6" customFormat="1">
      <c r="A17">
        <v>14</v>
      </c>
      <c r="B17" t="s">
        <v>1072</v>
      </c>
      <c r="C17" t="s">
        <v>1071</v>
      </c>
      <c r="D17">
        <v>596</v>
      </c>
      <c r="E17" s="120">
        <v>44240</v>
      </c>
    </row>
    <row r="18" spans="1:6" customFormat="1">
      <c r="A18">
        <v>15</v>
      </c>
      <c r="B18" t="s">
        <v>1070</v>
      </c>
      <c r="C18" t="s">
        <v>1069</v>
      </c>
      <c r="D18">
        <v>7.6</v>
      </c>
      <c r="E18" s="120">
        <v>44238</v>
      </c>
    </row>
    <row r="19" spans="1:6" customFormat="1">
      <c r="A19">
        <v>16</v>
      </c>
      <c r="B19" t="s">
        <v>1068</v>
      </c>
      <c r="C19" t="s">
        <v>1067</v>
      </c>
      <c r="D19">
        <v>7.64</v>
      </c>
      <c r="E19" s="120">
        <v>44238</v>
      </c>
    </row>
    <row r="20" spans="1:6" customFormat="1">
      <c r="A20">
        <v>17</v>
      </c>
      <c r="B20" t="s">
        <v>1066</v>
      </c>
      <c r="C20" t="s">
        <v>1065</v>
      </c>
      <c r="D20">
        <v>336.1</v>
      </c>
      <c r="E20" s="120">
        <v>44236</v>
      </c>
    </row>
    <row r="21" spans="1:6" customFormat="1">
      <c r="A21">
        <v>18</v>
      </c>
      <c r="B21" t="s">
        <v>1064</v>
      </c>
      <c r="C21" t="s">
        <v>1011</v>
      </c>
      <c r="D21">
        <v>673.97199999999998</v>
      </c>
      <c r="E21" s="120">
        <v>44236</v>
      </c>
    </row>
    <row r="22" spans="1:6" s="117" customFormat="1" ht="26.25" customHeight="1">
      <c r="B22" s="117" t="s">
        <v>1063</v>
      </c>
      <c r="C22" s="118" t="s">
        <v>1062</v>
      </c>
      <c r="D22" s="117">
        <v>7.64</v>
      </c>
      <c r="E22" s="119" t="s">
        <v>1060</v>
      </c>
      <c r="F22" s="108" t="s">
        <v>823</v>
      </c>
    </row>
    <row r="23" spans="1:6" s="117" customFormat="1" ht="26.25" customHeight="1">
      <c r="B23" s="117" t="s">
        <v>1061</v>
      </c>
      <c r="C23" s="118" t="s">
        <v>1054</v>
      </c>
      <c r="D23" s="117">
        <v>336.1</v>
      </c>
      <c r="E23" s="119" t="s">
        <v>1060</v>
      </c>
      <c r="F23" s="108" t="s">
        <v>823</v>
      </c>
    </row>
    <row r="24" spans="1:6" s="117" customFormat="1" ht="26.25" customHeight="1">
      <c r="B24" s="117" t="s">
        <v>1032</v>
      </c>
      <c r="C24" s="118" t="s">
        <v>843</v>
      </c>
      <c r="D24" s="117">
        <v>547.48</v>
      </c>
      <c r="E24" s="119" t="s">
        <v>1059</v>
      </c>
      <c r="F24" s="108" t="s">
        <v>823</v>
      </c>
    </row>
    <row r="25" spans="1:6" s="117" customFormat="1" ht="26.25" customHeight="1">
      <c r="B25" s="117" t="s">
        <v>1058</v>
      </c>
      <c r="C25" s="118" t="s">
        <v>1057</v>
      </c>
      <c r="D25" s="117">
        <v>673.97</v>
      </c>
      <c r="E25" s="119" t="s">
        <v>1056</v>
      </c>
      <c r="F25" s="108" t="s">
        <v>823</v>
      </c>
    </row>
    <row r="26" spans="1:6" s="117" customFormat="1" ht="26.25" customHeight="1">
      <c r="B26" s="117" t="s">
        <v>1055</v>
      </c>
      <c r="C26" s="118" t="s">
        <v>1054</v>
      </c>
      <c r="D26" s="117">
        <v>336.1</v>
      </c>
      <c r="E26" s="119" t="s">
        <v>1051</v>
      </c>
      <c r="F26" s="108" t="s">
        <v>823</v>
      </c>
    </row>
    <row r="27" spans="1:6" s="117" customFormat="1" ht="26.25" customHeight="1">
      <c r="B27" s="117" t="s">
        <v>1053</v>
      </c>
      <c r="C27" s="118" t="s">
        <v>1052</v>
      </c>
      <c r="D27" s="117">
        <v>7.13</v>
      </c>
      <c r="E27" s="119" t="s">
        <v>1051</v>
      </c>
      <c r="F27" s="108" t="s">
        <v>823</v>
      </c>
    </row>
    <row r="28" spans="1:6" s="117" customFormat="1" ht="26.25" customHeight="1">
      <c r="B28" s="117" t="s">
        <v>1020</v>
      </c>
      <c r="C28" s="118" t="s">
        <v>1019</v>
      </c>
      <c r="D28" s="117">
        <v>7.64</v>
      </c>
      <c r="E28" s="119" t="s">
        <v>1050</v>
      </c>
      <c r="F28" s="108" t="s">
        <v>823</v>
      </c>
    </row>
    <row r="29" spans="1:6" s="117" customFormat="1" ht="26.25" customHeight="1">
      <c r="B29" s="117" t="s">
        <v>1049</v>
      </c>
      <c r="C29" s="118" t="s">
        <v>1011</v>
      </c>
      <c r="D29" s="117">
        <v>673.97</v>
      </c>
      <c r="E29" s="119" t="s">
        <v>1041</v>
      </c>
      <c r="F29" s="108" t="s">
        <v>823</v>
      </c>
    </row>
    <row r="30" spans="1:6" s="117" customFormat="1" ht="26.25" customHeight="1">
      <c r="B30" s="117" t="s">
        <v>1048</v>
      </c>
      <c r="C30" s="118" t="s">
        <v>1014</v>
      </c>
      <c r="D30" s="117">
        <v>596.29999999999995</v>
      </c>
      <c r="E30" s="119" t="s">
        <v>1041</v>
      </c>
      <c r="F30" s="108" t="s">
        <v>823</v>
      </c>
    </row>
    <row r="31" spans="1:6" s="117" customFormat="1" ht="26.25" customHeight="1">
      <c r="B31" s="117" t="s">
        <v>889</v>
      </c>
      <c r="C31" s="118" t="s">
        <v>865</v>
      </c>
      <c r="D31" s="117">
        <v>547.48</v>
      </c>
      <c r="E31" s="119" t="s">
        <v>1041</v>
      </c>
      <c r="F31" s="108" t="s">
        <v>823</v>
      </c>
    </row>
    <row r="32" spans="1:6" s="117" customFormat="1" ht="26.25" customHeight="1">
      <c r="B32" s="117" t="s">
        <v>1047</v>
      </c>
      <c r="C32" s="118" t="s">
        <v>1046</v>
      </c>
      <c r="D32" s="117">
        <v>7.64</v>
      </c>
      <c r="E32" s="119" t="s">
        <v>1041</v>
      </c>
      <c r="F32" s="108" t="s">
        <v>823</v>
      </c>
    </row>
    <row r="33" spans="2:6" s="117" customFormat="1" ht="26.25" customHeight="1">
      <c r="B33" s="117" t="s">
        <v>1045</v>
      </c>
      <c r="C33" s="118" t="s">
        <v>1044</v>
      </c>
      <c r="D33" s="117">
        <v>7.64</v>
      </c>
      <c r="E33" s="119" t="s">
        <v>1041</v>
      </c>
      <c r="F33" s="108" t="s">
        <v>823</v>
      </c>
    </row>
    <row r="34" spans="2:6" s="117" customFormat="1" ht="26.25" customHeight="1">
      <c r="B34" s="117" t="s">
        <v>1043</v>
      </c>
      <c r="C34" s="118" t="s">
        <v>1042</v>
      </c>
      <c r="D34" s="117">
        <v>336</v>
      </c>
      <c r="E34" s="119" t="s">
        <v>1041</v>
      </c>
      <c r="F34" s="108" t="s">
        <v>823</v>
      </c>
    </row>
    <row r="35" spans="2:6" s="117" customFormat="1" ht="26.25" customHeight="1">
      <c r="B35" s="117" t="s">
        <v>1040</v>
      </c>
      <c r="C35" s="118" t="s">
        <v>1039</v>
      </c>
      <c r="D35" s="117">
        <v>673.86</v>
      </c>
      <c r="E35" s="119" t="s">
        <v>1036</v>
      </c>
      <c r="F35" s="108" t="s">
        <v>823</v>
      </c>
    </row>
    <row r="36" spans="2:6" s="117" customFormat="1" ht="26.25" customHeight="1">
      <c r="B36" s="117" t="s">
        <v>1038</v>
      </c>
      <c r="C36" s="118" t="s">
        <v>1037</v>
      </c>
      <c r="D36" s="117">
        <v>673.86</v>
      </c>
      <c r="E36" s="119" t="s">
        <v>1036</v>
      </c>
      <c r="F36" s="108" t="s">
        <v>823</v>
      </c>
    </row>
    <row r="37" spans="2:6" s="117" customFormat="1" ht="26.25" customHeight="1">
      <c r="B37" s="117" t="s">
        <v>1035</v>
      </c>
      <c r="C37" s="118" t="s">
        <v>1034</v>
      </c>
      <c r="D37" s="117">
        <v>335.3</v>
      </c>
      <c r="E37" s="119" t="s">
        <v>1033</v>
      </c>
      <c r="F37" s="108" t="s">
        <v>823</v>
      </c>
    </row>
    <row r="38" spans="2:6" s="117" customFormat="1" ht="26.25" customHeight="1">
      <c r="B38" s="117" t="s">
        <v>1032</v>
      </c>
      <c r="C38" s="118" t="s">
        <v>843</v>
      </c>
      <c r="D38" s="117">
        <v>547.48</v>
      </c>
      <c r="E38" s="119" t="s">
        <v>1031</v>
      </c>
      <c r="F38" s="108" t="s">
        <v>823</v>
      </c>
    </row>
    <row r="39" spans="2:6" s="117" customFormat="1" ht="26.25" customHeight="1">
      <c r="B39" s="117" t="s">
        <v>1030</v>
      </c>
      <c r="C39" s="118" t="s">
        <v>1029</v>
      </c>
      <c r="D39" s="117">
        <v>673.86</v>
      </c>
      <c r="E39" s="119" t="s">
        <v>1028</v>
      </c>
      <c r="F39" s="108" t="s">
        <v>823</v>
      </c>
    </row>
    <row r="40" spans="2:6" s="117" customFormat="1" ht="26.25" customHeight="1">
      <c r="B40" s="117" t="s">
        <v>1027</v>
      </c>
      <c r="C40" s="118" t="s">
        <v>1026</v>
      </c>
      <c r="D40" s="117">
        <v>596.38</v>
      </c>
      <c r="E40" s="119" t="s">
        <v>1023</v>
      </c>
      <c r="F40" s="108" t="s">
        <v>823</v>
      </c>
    </row>
    <row r="41" spans="2:6" s="117" customFormat="1" ht="26.25" customHeight="1">
      <c r="B41" s="117" t="s">
        <v>1025</v>
      </c>
      <c r="C41" s="118" t="s">
        <v>1024</v>
      </c>
      <c r="D41" s="117">
        <v>547.48</v>
      </c>
      <c r="E41" s="119" t="s">
        <v>1023</v>
      </c>
      <c r="F41" s="108" t="s">
        <v>823</v>
      </c>
    </row>
    <row r="42" spans="2:6" s="117" customFormat="1" ht="26.25" customHeight="1">
      <c r="B42" s="117" t="s">
        <v>1022</v>
      </c>
      <c r="C42" s="118" t="s">
        <v>1021</v>
      </c>
      <c r="D42" s="117">
        <v>547.48</v>
      </c>
      <c r="E42" s="119" t="s">
        <v>1016</v>
      </c>
      <c r="F42" s="108" t="s">
        <v>823</v>
      </c>
    </row>
    <row r="43" spans="2:6" s="117" customFormat="1" ht="26.25" customHeight="1">
      <c r="B43" s="117" t="s">
        <v>1020</v>
      </c>
      <c r="C43" s="118" t="s">
        <v>1019</v>
      </c>
      <c r="D43" s="117">
        <v>7.64</v>
      </c>
      <c r="E43" s="119" t="s">
        <v>1016</v>
      </c>
      <c r="F43" s="108" t="s">
        <v>823</v>
      </c>
    </row>
    <row r="44" spans="2:6" s="117" customFormat="1" ht="26.25" customHeight="1">
      <c r="B44" s="117" t="s">
        <v>1018</v>
      </c>
      <c r="C44" s="118" t="s">
        <v>1017</v>
      </c>
      <c r="D44" s="117">
        <v>596.22</v>
      </c>
      <c r="E44" s="119" t="s">
        <v>1016</v>
      </c>
      <c r="F44" s="108" t="s">
        <v>823</v>
      </c>
    </row>
    <row r="45" spans="2:6" s="117" customFormat="1" ht="26.25" customHeight="1">
      <c r="B45" s="117" t="s">
        <v>889</v>
      </c>
      <c r="C45" s="118" t="s">
        <v>865</v>
      </c>
      <c r="D45" s="117">
        <v>547.48</v>
      </c>
      <c r="E45" s="119" t="s">
        <v>1013</v>
      </c>
      <c r="F45" s="108" t="s">
        <v>823</v>
      </c>
    </row>
    <row r="46" spans="2:6" s="117" customFormat="1" ht="26.25" customHeight="1">
      <c r="B46" s="117" t="s">
        <v>1015</v>
      </c>
      <c r="C46" s="118" t="s">
        <v>1014</v>
      </c>
      <c r="D46" s="117">
        <v>596.29999999999995</v>
      </c>
      <c r="E46" s="119" t="s">
        <v>1013</v>
      </c>
      <c r="F46" s="108" t="s">
        <v>823</v>
      </c>
    </row>
    <row r="47" spans="2:6" s="117" customFormat="1" ht="26.25" customHeight="1">
      <c r="B47" s="117" t="s">
        <v>1012</v>
      </c>
      <c r="C47" s="118" t="s">
        <v>1011</v>
      </c>
      <c r="D47" s="117">
        <v>673.97</v>
      </c>
      <c r="E47" s="116">
        <v>44212</v>
      </c>
      <c r="F47" s="108" t="s">
        <v>823</v>
      </c>
    </row>
    <row r="48" spans="2:6" s="117" customFormat="1" ht="26.25" customHeight="1">
      <c r="B48" s="117" t="s">
        <v>1010</v>
      </c>
      <c r="C48" s="118" t="s">
        <v>1009</v>
      </c>
      <c r="D48" s="117">
        <v>596.22</v>
      </c>
      <c r="E48" s="119" t="s">
        <v>1008</v>
      </c>
      <c r="F48" s="108" t="s">
        <v>823</v>
      </c>
    </row>
    <row r="49" spans="2:6" s="117" customFormat="1" ht="26.25" customHeight="1">
      <c r="B49" s="117" t="s">
        <v>1007</v>
      </c>
      <c r="C49" s="118" t="s">
        <v>1006</v>
      </c>
      <c r="D49" s="117">
        <v>596.22</v>
      </c>
      <c r="E49" s="116">
        <v>44207</v>
      </c>
      <c r="F49" s="108" t="s">
        <v>823</v>
      </c>
    </row>
    <row r="50" spans="2:6" s="117" customFormat="1" ht="26.25" customHeight="1">
      <c r="B50" s="117" t="s">
        <v>1005</v>
      </c>
      <c r="C50" s="118" t="s">
        <v>1004</v>
      </c>
      <c r="D50" s="117">
        <v>7.6</v>
      </c>
      <c r="E50" s="116">
        <v>44207</v>
      </c>
      <c r="F50" s="108" t="s">
        <v>823</v>
      </c>
    </row>
    <row r="51" spans="2:6" s="117" customFormat="1" ht="26.25" customHeight="1">
      <c r="B51" s="117" t="s">
        <v>1003</v>
      </c>
      <c r="C51" s="118" t="s">
        <v>1002</v>
      </c>
      <c r="D51" s="117">
        <v>596</v>
      </c>
      <c r="E51" s="116">
        <v>44206</v>
      </c>
      <c r="F51" s="108" t="s">
        <v>823</v>
      </c>
    </row>
    <row r="52" spans="2:6" s="117" customFormat="1" ht="26.25" customHeight="1">
      <c r="B52" s="117" t="s">
        <v>1001</v>
      </c>
      <c r="C52" s="118" t="s">
        <v>1000</v>
      </c>
      <c r="D52" s="117">
        <v>547.48</v>
      </c>
      <c r="E52" s="116">
        <v>44202</v>
      </c>
      <c r="F52" s="108" t="s">
        <v>823</v>
      </c>
    </row>
    <row r="53" spans="2:6" s="117" customFormat="1" ht="26.25" customHeight="1">
      <c r="B53" s="117" t="s">
        <v>999</v>
      </c>
      <c r="C53" s="118" t="s">
        <v>998</v>
      </c>
      <c r="D53" s="117">
        <v>673.3</v>
      </c>
      <c r="E53" s="119" t="s">
        <v>990</v>
      </c>
      <c r="F53" s="108" t="s">
        <v>823</v>
      </c>
    </row>
    <row r="54" spans="2:6" s="117" customFormat="1" ht="26.25" customHeight="1">
      <c r="B54" s="117" t="s">
        <v>997</v>
      </c>
      <c r="C54" s="118" t="s">
        <v>996</v>
      </c>
      <c r="D54" s="117">
        <v>547.48</v>
      </c>
      <c r="E54" s="119" t="s">
        <v>990</v>
      </c>
      <c r="F54" s="108" t="s">
        <v>823</v>
      </c>
    </row>
    <row r="55" spans="2:6" s="117" customFormat="1" ht="26.25" customHeight="1">
      <c r="B55" s="117" t="s">
        <v>995</v>
      </c>
      <c r="C55" s="118" t="s">
        <v>994</v>
      </c>
      <c r="D55" s="117">
        <v>7.63</v>
      </c>
      <c r="E55" s="119" t="s">
        <v>990</v>
      </c>
      <c r="F55" s="108" t="s">
        <v>823</v>
      </c>
    </row>
    <row r="56" spans="2:6" s="117" customFormat="1" ht="26.25" customHeight="1">
      <c r="B56" s="117" t="s">
        <v>993</v>
      </c>
      <c r="C56" s="118" t="s">
        <v>843</v>
      </c>
      <c r="D56" s="117">
        <v>547.48</v>
      </c>
      <c r="E56" s="119" t="s">
        <v>990</v>
      </c>
      <c r="F56" s="108" t="s">
        <v>823</v>
      </c>
    </row>
    <row r="57" spans="2:6" s="117" customFormat="1" ht="26.25" customHeight="1">
      <c r="B57" s="117" t="s">
        <v>992</v>
      </c>
      <c r="C57" s="118" t="s">
        <v>991</v>
      </c>
      <c r="D57" s="117">
        <v>336.49</v>
      </c>
      <c r="E57" s="119" t="s">
        <v>990</v>
      </c>
      <c r="F57" s="108" t="s">
        <v>823</v>
      </c>
    </row>
    <row r="58" spans="2:6" s="117" customFormat="1" ht="26.25" customHeight="1">
      <c r="B58" s="117" t="s">
        <v>989</v>
      </c>
      <c r="C58" s="118" t="s">
        <v>847</v>
      </c>
      <c r="D58" s="117">
        <v>7.64</v>
      </c>
      <c r="E58" s="119" t="s">
        <v>988</v>
      </c>
      <c r="F58" s="108" t="s">
        <v>823</v>
      </c>
    </row>
    <row r="59" spans="2:6" s="117" customFormat="1" ht="26.25" customHeight="1">
      <c r="B59" s="117" t="s">
        <v>987</v>
      </c>
      <c r="C59" s="118" t="s">
        <v>986</v>
      </c>
      <c r="D59" s="117">
        <v>7.6</v>
      </c>
      <c r="E59" s="119" t="s">
        <v>983</v>
      </c>
      <c r="F59" s="108" t="s">
        <v>823</v>
      </c>
    </row>
    <row r="60" spans="2:6" s="117" customFormat="1" ht="26.25" customHeight="1">
      <c r="B60" s="117" t="s">
        <v>985</v>
      </c>
      <c r="C60" s="118" t="s">
        <v>984</v>
      </c>
      <c r="D60" s="117">
        <v>7.63</v>
      </c>
      <c r="E60" s="119" t="s">
        <v>983</v>
      </c>
      <c r="F60" s="108" t="s">
        <v>823</v>
      </c>
    </row>
    <row r="61" spans="2:6" s="117" customFormat="1" ht="26.25" customHeight="1">
      <c r="B61" s="117" t="s">
        <v>982</v>
      </c>
      <c r="C61" s="118" t="s">
        <v>981</v>
      </c>
      <c r="D61" s="117">
        <v>7.63</v>
      </c>
      <c r="E61" s="119" t="s">
        <v>980</v>
      </c>
      <c r="F61" s="108" t="s">
        <v>823</v>
      </c>
    </row>
    <row r="62" spans="2:6" s="117" customFormat="1" ht="26.25" customHeight="1">
      <c r="B62" s="117" t="s">
        <v>979</v>
      </c>
      <c r="C62" s="118" t="s">
        <v>933</v>
      </c>
      <c r="D62" s="117">
        <v>547.48</v>
      </c>
      <c r="E62" s="119" t="s">
        <v>974</v>
      </c>
      <c r="F62" s="108" t="s">
        <v>823</v>
      </c>
    </row>
    <row r="63" spans="2:6" s="117" customFormat="1" ht="26.25" customHeight="1">
      <c r="B63" s="117" t="s">
        <v>978</v>
      </c>
      <c r="C63" s="118" t="s">
        <v>977</v>
      </c>
      <c r="D63" s="117">
        <v>7.6</v>
      </c>
      <c r="E63" s="119" t="s">
        <v>974</v>
      </c>
      <c r="F63" s="108" t="s">
        <v>823</v>
      </c>
    </row>
    <row r="64" spans="2:6" s="117" customFormat="1" ht="26.25" customHeight="1">
      <c r="B64" s="117" t="s">
        <v>976</v>
      </c>
      <c r="C64" s="118" t="s">
        <v>975</v>
      </c>
      <c r="D64" s="117">
        <v>336.1</v>
      </c>
      <c r="E64" s="119" t="s">
        <v>974</v>
      </c>
      <c r="F64" s="108" t="s">
        <v>823</v>
      </c>
    </row>
    <row r="65" spans="2:6" s="117" customFormat="1" ht="26.25" customHeight="1">
      <c r="B65" s="117" t="s">
        <v>973</v>
      </c>
      <c r="C65" s="118" t="s">
        <v>972</v>
      </c>
      <c r="D65" s="117">
        <v>329.94</v>
      </c>
      <c r="E65" s="116">
        <v>44167</v>
      </c>
      <c r="F65" s="108" t="s">
        <v>823</v>
      </c>
    </row>
    <row r="66" spans="2:6" s="117" customFormat="1" ht="26.25" customHeight="1">
      <c r="B66" s="117" t="s">
        <v>971</v>
      </c>
      <c r="C66" s="118" t="s">
        <v>970</v>
      </c>
      <c r="D66" s="117">
        <v>810.4</v>
      </c>
      <c r="E66" s="119" t="s">
        <v>969</v>
      </c>
      <c r="F66" s="108" t="s">
        <v>823</v>
      </c>
    </row>
    <row r="67" spans="2:6" s="117" customFormat="1" ht="26.25" customHeight="1">
      <c r="B67" s="117" t="s">
        <v>943</v>
      </c>
      <c r="C67" s="118" t="s">
        <v>942</v>
      </c>
      <c r="D67" s="117">
        <v>547.48</v>
      </c>
      <c r="E67" s="119" t="s">
        <v>968</v>
      </c>
      <c r="F67" s="108" t="s">
        <v>823</v>
      </c>
    </row>
    <row r="68" spans="2:6" s="117" customFormat="1" ht="26.25" customHeight="1">
      <c r="B68" s="117" t="s">
        <v>967</v>
      </c>
      <c r="C68" s="118" t="s">
        <v>966</v>
      </c>
      <c r="D68" s="117">
        <v>7.63</v>
      </c>
      <c r="E68" s="116">
        <v>44161</v>
      </c>
      <c r="F68" s="108" t="s">
        <v>823</v>
      </c>
    </row>
    <row r="69" spans="2:6" s="117" customFormat="1" ht="26.25" customHeight="1">
      <c r="B69" s="117" t="s">
        <v>965</v>
      </c>
      <c r="C69" s="118" t="s">
        <v>964</v>
      </c>
      <c r="D69" s="117">
        <v>673.36</v>
      </c>
      <c r="E69" s="119" t="s">
        <v>963</v>
      </c>
      <c r="F69" s="108" t="s">
        <v>823</v>
      </c>
    </row>
    <row r="70" spans="2:6" s="117" customFormat="1" ht="26.25" customHeight="1">
      <c r="B70" s="117" t="s">
        <v>962</v>
      </c>
      <c r="C70" s="118" t="s">
        <v>961</v>
      </c>
      <c r="D70" s="117">
        <v>7.6</v>
      </c>
      <c r="E70" s="119" t="s">
        <v>958</v>
      </c>
      <c r="F70" s="108" t="s">
        <v>823</v>
      </c>
    </row>
    <row r="71" spans="2:6" s="117" customFormat="1" ht="26.25" customHeight="1">
      <c r="B71" s="117" t="s">
        <v>960</v>
      </c>
      <c r="C71" s="118" t="s">
        <v>959</v>
      </c>
      <c r="D71" s="117">
        <v>336.17</v>
      </c>
      <c r="E71" s="119" t="s">
        <v>958</v>
      </c>
      <c r="F71" s="108" t="s">
        <v>823</v>
      </c>
    </row>
    <row r="72" spans="2:6" s="117" customFormat="1" ht="26.25" customHeight="1">
      <c r="B72" s="117" t="s">
        <v>957</v>
      </c>
      <c r="C72" s="118" t="s">
        <v>956</v>
      </c>
      <c r="D72" s="117">
        <v>829.37</v>
      </c>
      <c r="E72" s="116">
        <v>44160</v>
      </c>
      <c r="F72" s="108" t="s">
        <v>823</v>
      </c>
    </row>
    <row r="73" spans="2:6" s="117" customFormat="1" ht="26.25" customHeight="1">
      <c r="B73" s="117" t="s">
        <v>955</v>
      </c>
      <c r="C73" s="118" t="s">
        <v>954</v>
      </c>
      <c r="D73" s="117">
        <v>7.63</v>
      </c>
      <c r="E73" s="116">
        <v>44158</v>
      </c>
      <c r="F73" s="108" t="s">
        <v>823</v>
      </c>
    </row>
    <row r="74" spans="2:6" s="117" customFormat="1" ht="26.25" customHeight="1">
      <c r="B74" s="117" t="s">
        <v>953</v>
      </c>
      <c r="C74" s="118" t="s">
        <v>924</v>
      </c>
      <c r="D74" s="117">
        <v>835</v>
      </c>
      <c r="E74" s="119" t="s">
        <v>951</v>
      </c>
      <c r="F74" s="108" t="s">
        <v>823</v>
      </c>
    </row>
    <row r="75" spans="2:6" s="117" customFormat="1" ht="26.25" customHeight="1">
      <c r="B75" s="117" t="s">
        <v>952</v>
      </c>
      <c r="C75" s="118" t="s">
        <v>921</v>
      </c>
      <c r="D75" s="117">
        <v>7.13</v>
      </c>
      <c r="E75" s="119" t="s">
        <v>951</v>
      </c>
      <c r="F75" s="108" t="s">
        <v>823</v>
      </c>
    </row>
    <row r="76" spans="2:6" s="117" customFormat="1" ht="26.25" customHeight="1">
      <c r="B76" s="117" t="s">
        <v>950</v>
      </c>
      <c r="C76" s="118" t="s">
        <v>917</v>
      </c>
      <c r="D76" s="117">
        <v>336.17</v>
      </c>
      <c r="E76" s="116">
        <v>44156</v>
      </c>
      <c r="F76" s="108" t="s">
        <v>823</v>
      </c>
    </row>
    <row r="77" spans="2:6" s="117" customFormat="1" ht="26.25" customHeight="1">
      <c r="B77" s="117" t="s">
        <v>949</v>
      </c>
      <c r="C77" s="118" t="s">
        <v>948</v>
      </c>
      <c r="D77" s="117">
        <v>673.99</v>
      </c>
      <c r="E77" s="119" t="s">
        <v>945</v>
      </c>
      <c r="F77" s="108" t="s">
        <v>823</v>
      </c>
    </row>
    <row r="78" spans="2:6" s="117" customFormat="1" ht="26.25" customHeight="1">
      <c r="B78" s="117" t="s">
        <v>947</v>
      </c>
      <c r="C78" s="118" t="s">
        <v>946</v>
      </c>
      <c r="D78" s="117">
        <v>336.57</v>
      </c>
      <c r="E78" s="119" t="s">
        <v>945</v>
      </c>
      <c r="F78" s="108" t="s">
        <v>823</v>
      </c>
    </row>
    <row r="79" spans="2:6" s="117" customFormat="1" ht="26.25" customHeight="1">
      <c r="B79" s="117" t="s">
        <v>944</v>
      </c>
      <c r="C79" s="118"/>
      <c r="D79" s="117">
        <v>547.48</v>
      </c>
      <c r="E79" s="116">
        <v>44153</v>
      </c>
      <c r="F79" s="108" t="s">
        <v>823</v>
      </c>
    </row>
    <row r="80" spans="2:6" s="117" customFormat="1" ht="26.25" customHeight="1">
      <c r="B80" s="117" t="s">
        <v>943</v>
      </c>
      <c r="C80" s="118" t="s">
        <v>942</v>
      </c>
      <c r="D80" s="117">
        <v>547.48</v>
      </c>
      <c r="E80" s="116">
        <v>44151</v>
      </c>
      <c r="F80" s="108" t="s">
        <v>823</v>
      </c>
    </row>
    <row r="81" spans="2:6" s="117" customFormat="1" ht="26.25" customHeight="1">
      <c r="B81" s="117" t="s">
        <v>941</v>
      </c>
      <c r="C81" s="118"/>
      <c r="D81" s="117">
        <v>675</v>
      </c>
      <c r="E81" s="119" t="s">
        <v>938</v>
      </c>
      <c r="F81" s="108" t="s">
        <v>823</v>
      </c>
    </row>
    <row r="82" spans="2:6" s="117" customFormat="1" ht="26.25" customHeight="1">
      <c r="B82" s="117" t="s">
        <v>940</v>
      </c>
      <c r="C82" s="118" t="s">
        <v>939</v>
      </c>
      <c r="D82" s="117">
        <v>336.57</v>
      </c>
      <c r="E82" s="119" t="s">
        <v>938</v>
      </c>
      <c r="F82" s="108" t="s">
        <v>823</v>
      </c>
    </row>
    <row r="83" spans="2:6" s="117" customFormat="1" ht="26.25" customHeight="1">
      <c r="B83" s="117" t="s">
        <v>937</v>
      </c>
      <c r="C83" s="118" t="s">
        <v>936</v>
      </c>
      <c r="D83" s="117">
        <v>7.63</v>
      </c>
      <c r="E83" s="119" t="s">
        <v>935</v>
      </c>
      <c r="F83" s="108" t="s">
        <v>823</v>
      </c>
    </row>
    <row r="84" spans="2:6" s="117" customFormat="1" ht="26.25" customHeight="1">
      <c r="B84" s="117" t="s">
        <v>934</v>
      </c>
      <c r="C84" s="118" t="s">
        <v>933</v>
      </c>
      <c r="D84" s="117">
        <v>547.48</v>
      </c>
      <c r="E84" s="119" t="s">
        <v>930</v>
      </c>
      <c r="F84" s="108" t="s">
        <v>823</v>
      </c>
    </row>
    <row r="85" spans="2:6" s="117" customFormat="1" ht="26.25" customHeight="1">
      <c r="B85" s="117" t="s">
        <v>932</v>
      </c>
      <c r="C85" s="118" t="s">
        <v>931</v>
      </c>
      <c r="D85" s="117">
        <v>830</v>
      </c>
      <c r="E85" s="119" t="s">
        <v>930</v>
      </c>
      <c r="F85" s="108" t="s">
        <v>823</v>
      </c>
    </row>
    <row r="86" spans="2:6" s="117" customFormat="1" ht="26.25" customHeight="1">
      <c r="B86" s="117" t="s">
        <v>929</v>
      </c>
      <c r="C86" s="118" t="s">
        <v>928</v>
      </c>
      <c r="D86" s="117">
        <v>336.57</v>
      </c>
      <c r="E86" s="116">
        <v>44146</v>
      </c>
      <c r="F86" s="108" t="s">
        <v>823</v>
      </c>
    </row>
    <row r="87" spans="2:6" s="117" customFormat="1" ht="26.25" customHeight="1">
      <c r="B87" s="117" t="s">
        <v>927</v>
      </c>
      <c r="C87" s="118" t="s">
        <v>926</v>
      </c>
      <c r="D87" s="117">
        <v>336.57</v>
      </c>
      <c r="E87" s="119" t="s">
        <v>923</v>
      </c>
      <c r="F87" s="108" t="s">
        <v>823</v>
      </c>
    </row>
    <row r="88" spans="2:6" s="117" customFormat="1" ht="26.25" customHeight="1">
      <c r="B88" s="117" t="s">
        <v>925</v>
      </c>
      <c r="C88" s="118" t="s">
        <v>924</v>
      </c>
      <c r="D88" s="117">
        <v>835</v>
      </c>
      <c r="E88" s="119" t="s">
        <v>923</v>
      </c>
      <c r="F88" s="108" t="s">
        <v>823</v>
      </c>
    </row>
    <row r="89" spans="2:6" s="117" customFormat="1" ht="26.25" customHeight="1">
      <c r="B89" s="117" t="s">
        <v>922</v>
      </c>
      <c r="C89" s="118" t="s">
        <v>921</v>
      </c>
      <c r="D89" s="117">
        <v>7.13</v>
      </c>
      <c r="E89" s="119" t="s">
        <v>920</v>
      </c>
      <c r="F89" s="108" t="s">
        <v>823</v>
      </c>
    </row>
    <row r="90" spans="2:6" s="117" customFormat="1" ht="26.25" customHeight="1">
      <c r="B90" s="117" t="s">
        <v>919</v>
      </c>
      <c r="C90" s="118" t="s">
        <v>887</v>
      </c>
      <c r="D90" s="117">
        <v>331</v>
      </c>
      <c r="E90" s="119" t="s">
        <v>916</v>
      </c>
      <c r="F90" s="108" t="s">
        <v>823</v>
      </c>
    </row>
    <row r="91" spans="2:6" s="117" customFormat="1" ht="26.25" customHeight="1">
      <c r="B91" s="117" t="s">
        <v>918</v>
      </c>
      <c r="C91" s="118" t="s">
        <v>917</v>
      </c>
      <c r="D91" s="117">
        <v>336.17</v>
      </c>
      <c r="E91" s="119" t="s">
        <v>916</v>
      </c>
      <c r="F91" s="108" t="s">
        <v>823</v>
      </c>
    </row>
    <row r="92" spans="2:6" s="117" customFormat="1" ht="26.25" customHeight="1">
      <c r="B92" s="117" t="s">
        <v>915</v>
      </c>
      <c r="C92" s="118" t="s">
        <v>843</v>
      </c>
      <c r="D92" s="117">
        <v>547.48</v>
      </c>
      <c r="E92" s="119" t="s">
        <v>914</v>
      </c>
      <c r="F92" s="108" t="s">
        <v>823</v>
      </c>
    </row>
    <row r="93" spans="2:6" s="117" customFormat="1" ht="26.25" customHeight="1">
      <c r="B93" s="117" t="s">
        <v>894</v>
      </c>
      <c r="C93" s="118" t="s">
        <v>893</v>
      </c>
      <c r="D93" s="117">
        <v>7.61</v>
      </c>
      <c r="E93" s="116">
        <v>44140</v>
      </c>
      <c r="F93" s="108" t="s">
        <v>823</v>
      </c>
    </row>
    <row r="94" spans="2:6" s="117" customFormat="1" ht="26.25" customHeight="1">
      <c r="B94" s="117" t="s">
        <v>913</v>
      </c>
      <c r="C94" s="118" t="s">
        <v>912</v>
      </c>
      <c r="D94" s="117">
        <v>547.48</v>
      </c>
      <c r="E94" s="119" t="s">
        <v>911</v>
      </c>
      <c r="F94" s="108" t="s">
        <v>823</v>
      </c>
    </row>
    <row r="95" spans="2:6" s="117" customFormat="1" ht="26.25" customHeight="1">
      <c r="B95" s="117" t="s">
        <v>910</v>
      </c>
      <c r="C95" s="118" t="s">
        <v>909</v>
      </c>
      <c r="D95" s="117">
        <v>7.61</v>
      </c>
      <c r="E95" s="116">
        <v>44137</v>
      </c>
      <c r="F95" s="108" t="s">
        <v>823</v>
      </c>
    </row>
    <row r="96" spans="2:6" s="117" customFormat="1" ht="26.25" customHeight="1">
      <c r="B96" s="117" t="s">
        <v>908</v>
      </c>
      <c r="C96" s="118" t="s">
        <v>907</v>
      </c>
      <c r="D96" s="117">
        <v>336.07</v>
      </c>
      <c r="E96" s="116">
        <v>44136</v>
      </c>
      <c r="F96" s="108" t="s">
        <v>823</v>
      </c>
    </row>
    <row r="97" spans="2:6" s="117" customFormat="1" ht="26.25" customHeight="1">
      <c r="B97" s="117" t="s">
        <v>879</v>
      </c>
      <c r="C97" s="118" t="s">
        <v>878</v>
      </c>
      <c r="D97" s="117">
        <v>366.14</v>
      </c>
      <c r="E97" s="119" t="s">
        <v>906</v>
      </c>
      <c r="F97" s="108" t="s">
        <v>823</v>
      </c>
    </row>
    <row r="98" spans="2:6" s="117" customFormat="1" ht="26.25" customHeight="1">
      <c r="B98" s="117" t="s">
        <v>905</v>
      </c>
      <c r="C98" s="118" t="s">
        <v>904</v>
      </c>
      <c r="D98" s="117">
        <v>364.3</v>
      </c>
      <c r="E98" s="119" t="s">
        <v>903</v>
      </c>
      <c r="F98" s="108" t="s">
        <v>823</v>
      </c>
    </row>
    <row r="99" spans="2:6" s="117" customFormat="1" ht="26.25" customHeight="1">
      <c r="B99" s="117" t="s">
        <v>902</v>
      </c>
      <c r="C99" s="118" t="s">
        <v>901</v>
      </c>
      <c r="D99" s="117">
        <v>7.61</v>
      </c>
      <c r="E99" s="119" t="s">
        <v>900</v>
      </c>
      <c r="F99" s="108" t="s">
        <v>823</v>
      </c>
    </row>
    <row r="100" spans="2:6" s="117" customFormat="1" ht="26.25" customHeight="1">
      <c r="B100" s="117" t="s">
        <v>671</v>
      </c>
      <c r="C100" s="118" t="s">
        <v>899</v>
      </c>
      <c r="D100" s="117">
        <v>336.57</v>
      </c>
      <c r="E100" s="119" t="s">
        <v>898</v>
      </c>
      <c r="F100" s="108" t="s">
        <v>823</v>
      </c>
    </row>
    <row r="101" spans="2:6" s="117" customFormat="1" ht="26.25" customHeight="1">
      <c r="B101" s="117" t="s">
        <v>897</v>
      </c>
      <c r="C101" s="118" t="s">
        <v>896</v>
      </c>
      <c r="D101" s="117">
        <v>336.57</v>
      </c>
      <c r="E101" s="119" t="s">
        <v>895</v>
      </c>
      <c r="F101" s="108" t="s">
        <v>823</v>
      </c>
    </row>
    <row r="102" spans="2:6" s="117" customFormat="1" ht="26.25" customHeight="1">
      <c r="B102" s="117" t="s">
        <v>894</v>
      </c>
      <c r="C102" s="118" t="s">
        <v>893</v>
      </c>
      <c r="D102" s="117">
        <v>7.61</v>
      </c>
      <c r="E102" s="116">
        <v>44127</v>
      </c>
      <c r="F102" s="108" t="s">
        <v>823</v>
      </c>
    </row>
    <row r="103" spans="2:6" s="117" customFormat="1" ht="26.25" customHeight="1">
      <c r="B103" s="117" t="s">
        <v>892</v>
      </c>
      <c r="C103" s="118" t="s">
        <v>891</v>
      </c>
      <c r="D103" s="117">
        <v>335.35</v>
      </c>
      <c r="E103" s="119" t="s">
        <v>890</v>
      </c>
      <c r="F103" s="108" t="s">
        <v>823</v>
      </c>
    </row>
    <row r="104" spans="2:6" s="117" customFormat="1" ht="26.25" customHeight="1">
      <c r="B104" s="117" t="s">
        <v>889</v>
      </c>
      <c r="C104" s="118" t="s">
        <v>865</v>
      </c>
      <c r="D104" s="117">
        <v>547.48</v>
      </c>
      <c r="E104" s="116">
        <v>44123</v>
      </c>
      <c r="F104" s="108" t="s">
        <v>823</v>
      </c>
    </row>
    <row r="105" spans="2:6" s="117" customFormat="1" ht="26.25" customHeight="1">
      <c r="B105" s="117" t="s">
        <v>888</v>
      </c>
      <c r="C105" s="118" t="s">
        <v>887</v>
      </c>
      <c r="D105" s="117">
        <v>331</v>
      </c>
      <c r="E105" s="119" t="s">
        <v>886</v>
      </c>
      <c r="F105" s="108" t="s">
        <v>823</v>
      </c>
    </row>
    <row r="106" spans="2:6" s="117" customFormat="1" ht="26.25" customHeight="1">
      <c r="B106" s="117" t="s">
        <v>885</v>
      </c>
      <c r="C106" s="118" t="s">
        <v>884</v>
      </c>
      <c r="D106" s="117">
        <v>336</v>
      </c>
      <c r="E106" s="119" t="s">
        <v>883</v>
      </c>
      <c r="F106" s="108" t="s">
        <v>823</v>
      </c>
    </row>
    <row r="107" spans="2:6" s="117" customFormat="1" ht="26.25" customHeight="1">
      <c r="B107" s="117" t="s">
        <v>882</v>
      </c>
      <c r="C107" s="118" t="s">
        <v>881</v>
      </c>
      <c r="D107" s="117">
        <v>366.29</v>
      </c>
      <c r="E107" s="119" t="s">
        <v>880</v>
      </c>
      <c r="F107" s="108" t="s">
        <v>823</v>
      </c>
    </row>
    <row r="108" spans="2:6" s="117" customFormat="1" ht="26.25" customHeight="1">
      <c r="B108" s="117" t="s">
        <v>879</v>
      </c>
      <c r="C108" s="118" t="s">
        <v>878</v>
      </c>
      <c r="D108" s="117">
        <v>366.14</v>
      </c>
      <c r="E108" s="116">
        <v>44121</v>
      </c>
      <c r="F108" s="108" t="s">
        <v>823</v>
      </c>
    </row>
    <row r="109" spans="2:6" s="117" customFormat="1" ht="26.25" customHeight="1">
      <c r="B109" s="117" t="s">
        <v>877</v>
      </c>
      <c r="C109" s="118" t="s">
        <v>876</v>
      </c>
      <c r="D109" s="117">
        <v>336.91</v>
      </c>
      <c r="E109" s="116">
        <v>44118</v>
      </c>
      <c r="F109" s="108" t="s">
        <v>823</v>
      </c>
    </row>
    <row r="110" spans="2:6" s="117" customFormat="1" ht="26.25" customHeight="1">
      <c r="B110" s="117" t="s">
        <v>875</v>
      </c>
      <c r="C110" s="118" t="s">
        <v>874</v>
      </c>
      <c r="D110" s="117">
        <v>336</v>
      </c>
      <c r="E110" s="116">
        <v>44115</v>
      </c>
      <c r="F110" s="108" t="s">
        <v>823</v>
      </c>
    </row>
    <row r="111" spans="2:6" s="117" customFormat="1" ht="26.25" customHeight="1">
      <c r="B111" s="117" t="s">
        <v>873</v>
      </c>
      <c r="C111" s="118" t="s">
        <v>872</v>
      </c>
      <c r="D111" s="117">
        <v>7.64</v>
      </c>
      <c r="E111" s="119" t="s">
        <v>871</v>
      </c>
      <c r="F111" s="108" t="s">
        <v>823</v>
      </c>
    </row>
    <row r="112" spans="2:6" s="117" customFormat="1" ht="26.25" customHeight="1">
      <c r="B112" s="117" t="s">
        <v>870</v>
      </c>
      <c r="C112" s="118" t="s">
        <v>869</v>
      </c>
      <c r="D112" s="117">
        <v>335.35</v>
      </c>
      <c r="E112" s="116">
        <v>44109</v>
      </c>
      <c r="F112" s="108" t="s">
        <v>823</v>
      </c>
    </row>
    <row r="113" spans="2:6" s="117" customFormat="1" ht="26.25" customHeight="1">
      <c r="B113" s="117" t="s">
        <v>868</v>
      </c>
      <c r="C113" s="118" t="s">
        <v>867</v>
      </c>
      <c r="D113" s="117">
        <v>7.61</v>
      </c>
      <c r="E113" s="116">
        <v>44107</v>
      </c>
      <c r="F113" s="108" t="s">
        <v>823</v>
      </c>
    </row>
    <row r="114" spans="2:6" s="117" customFormat="1" ht="26.25" customHeight="1">
      <c r="B114" s="117" t="s">
        <v>866</v>
      </c>
      <c r="C114" s="118" t="s">
        <v>865</v>
      </c>
      <c r="D114" s="117">
        <v>547.48</v>
      </c>
      <c r="E114" s="116">
        <v>44107</v>
      </c>
      <c r="F114" s="108" t="s">
        <v>823</v>
      </c>
    </row>
    <row r="115" spans="2:6" s="117" customFormat="1" ht="26.25" customHeight="1">
      <c r="B115" s="117" t="s">
        <v>864</v>
      </c>
      <c r="C115" s="118" t="s">
        <v>863</v>
      </c>
      <c r="D115" s="117">
        <v>336.1</v>
      </c>
      <c r="E115" s="116">
        <v>44105</v>
      </c>
      <c r="F115" s="108" t="s">
        <v>823</v>
      </c>
    </row>
    <row r="116" spans="2:6" s="117" customFormat="1" ht="26.25" customHeight="1">
      <c r="B116" s="117" t="s">
        <v>862</v>
      </c>
      <c r="C116" s="118" t="s">
        <v>861</v>
      </c>
      <c r="D116" s="117">
        <v>673.3</v>
      </c>
      <c r="E116" s="116">
        <v>44105</v>
      </c>
      <c r="F116" s="108" t="s">
        <v>823</v>
      </c>
    </row>
    <row r="117" spans="2:6" s="117" customFormat="1" ht="26.25" customHeight="1">
      <c r="B117" s="117" t="s">
        <v>860</v>
      </c>
      <c r="C117" s="118" t="s">
        <v>859</v>
      </c>
      <c r="D117" s="117">
        <v>547.48</v>
      </c>
      <c r="E117" s="116">
        <v>44103</v>
      </c>
      <c r="F117" s="108" t="s">
        <v>823</v>
      </c>
    </row>
    <row r="118" spans="2:6" s="117" customFormat="1" ht="26.25" customHeight="1">
      <c r="B118" s="117" t="s">
        <v>858</v>
      </c>
      <c r="C118" s="118" t="s">
        <v>845</v>
      </c>
      <c r="D118" s="117">
        <v>336.55</v>
      </c>
      <c r="E118" s="119" t="s">
        <v>857</v>
      </c>
      <c r="F118" s="108" t="s">
        <v>823</v>
      </c>
    </row>
    <row r="119" spans="2:6" s="117" customFormat="1" ht="26.25" customHeight="1">
      <c r="B119" s="117" t="s">
        <v>832</v>
      </c>
      <c r="C119" s="118" t="s">
        <v>831</v>
      </c>
      <c r="D119" s="117">
        <v>336.17</v>
      </c>
      <c r="E119" s="119" t="s">
        <v>856</v>
      </c>
      <c r="F119" s="108" t="s">
        <v>823</v>
      </c>
    </row>
    <row r="120" spans="2:6" s="117" customFormat="1" ht="26.25" customHeight="1">
      <c r="B120" s="117" t="s">
        <v>855</v>
      </c>
      <c r="C120" s="118" t="s">
        <v>854</v>
      </c>
      <c r="D120" s="117">
        <v>336</v>
      </c>
      <c r="E120" s="116">
        <v>44094</v>
      </c>
      <c r="F120" s="108" t="s">
        <v>823</v>
      </c>
    </row>
    <row r="121" spans="2:6" s="117" customFormat="1" ht="26.25" customHeight="1">
      <c r="B121" s="117" t="s">
        <v>853</v>
      </c>
      <c r="C121" s="118" t="s">
        <v>852</v>
      </c>
      <c r="D121" s="117">
        <v>547.48</v>
      </c>
      <c r="E121" s="119" t="s">
        <v>849</v>
      </c>
      <c r="F121" s="108" t="s">
        <v>823</v>
      </c>
    </row>
    <row r="122" spans="2:6" s="117" customFormat="1" ht="26.25" customHeight="1">
      <c r="B122" s="117" t="s">
        <v>851</v>
      </c>
      <c r="C122" s="118" t="s">
        <v>850</v>
      </c>
      <c r="D122" s="117">
        <v>336.17</v>
      </c>
      <c r="E122" s="119" t="s">
        <v>849</v>
      </c>
      <c r="F122" s="108" t="s">
        <v>823</v>
      </c>
    </row>
    <row r="123" spans="2:6" s="117" customFormat="1" ht="26.25" customHeight="1">
      <c r="B123" s="117" t="s">
        <v>848</v>
      </c>
      <c r="C123" s="118" t="s">
        <v>847</v>
      </c>
      <c r="D123" s="117">
        <v>7.64</v>
      </c>
      <c r="E123" s="116">
        <v>44091</v>
      </c>
      <c r="F123" s="108" t="s">
        <v>823</v>
      </c>
    </row>
    <row r="124" spans="2:6" s="117" customFormat="1" ht="26.25" customHeight="1">
      <c r="B124" s="117" t="s">
        <v>846</v>
      </c>
      <c r="C124" s="118" t="s">
        <v>845</v>
      </c>
      <c r="D124" s="117">
        <v>336.55</v>
      </c>
      <c r="E124" s="119" t="s">
        <v>840</v>
      </c>
      <c r="F124" s="108" t="s">
        <v>823</v>
      </c>
    </row>
    <row r="125" spans="2:6" s="117" customFormat="1" ht="26.25" customHeight="1">
      <c r="B125" s="117" t="s">
        <v>844</v>
      </c>
      <c r="C125" s="118" t="s">
        <v>843</v>
      </c>
      <c r="D125" s="117">
        <v>547.48</v>
      </c>
      <c r="E125" s="119" t="s">
        <v>840</v>
      </c>
      <c r="F125" s="108" t="s">
        <v>823</v>
      </c>
    </row>
    <row r="126" spans="2:6" s="117" customFormat="1" ht="26.25" customHeight="1">
      <c r="B126" s="117" t="s">
        <v>842</v>
      </c>
      <c r="C126" s="118" t="s">
        <v>841</v>
      </c>
      <c r="D126" s="117">
        <v>670.93</v>
      </c>
      <c r="E126" s="119" t="s">
        <v>840</v>
      </c>
      <c r="F126" s="108" t="s">
        <v>823</v>
      </c>
    </row>
    <row r="127" spans="2:6" s="117" customFormat="1" ht="26.25" customHeight="1">
      <c r="B127" s="117" t="s">
        <v>839</v>
      </c>
      <c r="C127" s="118" t="s">
        <v>838</v>
      </c>
      <c r="D127" s="117">
        <v>670.93</v>
      </c>
      <c r="E127" s="116">
        <v>44086</v>
      </c>
      <c r="F127" s="108" t="s">
        <v>823</v>
      </c>
    </row>
    <row r="128" spans="2:6" s="117" customFormat="1" ht="26.25" customHeight="1">
      <c r="B128" s="117" t="s">
        <v>837</v>
      </c>
      <c r="C128" s="118" t="s">
        <v>836</v>
      </c>
      <c r="D128" s="117">
        <v>336.55</v>
      </c>
      <c r="E128" s="119" t="s">
        <v>835</v>
      </c>
      <c r="F128" s="108" t="s">
        <v>823</v>
      </c>
    </row>
    <row r="129" spans="2:42" s="117" customFormat="1" ht="26.25" customHeight="1">
      <c r="B129" s="117" t="s">
        <v>834</v>
      </c>
      <c r="C129" s="118" t="s">
        <v>833</v>
      </c>
      <c r="D129" s="117">
        <v>829.37</v>
      </c>
      <c r="E129" s="116">
        <v>44083</v>
      </c>
      <c r="F129" s="108" t="s">
        <v>823</v>
      </c>
    </row>
    <row r="130" spans="2:42" s="117" customFormat="1" ht="26.25" customHeight="1">
      <c r="B130" s="117" t="s">
        <v>832</v>
      </c>
      <c r="C130" s="118" t="s">
        <v>831</v>
      </c>
      <c r="D130" s="117">
        <v>336.17</v>
      </c>
      <c r="E130" s="119" t="s">
        <v>830</v>
      </c>
      <c r="F130" s="108" t="s">
        <v>823</v>
      </c>
    </row>
    <row r="131" spans="2:42" s="117" customFormat="1" ht="26.25" customHeight="1">
      <c r="B131" s="117" t="s">
        <v>829</v>
      </c>
      <c r="C131" s="118" t="s">
        <v>828</v>
      </c>
      <c r="D131" s="117">
        <v>829.37</v>
      </c>
      <c r="E131" s="116">
        <v>44082</v>
      </c>
      <c r="F131" s="108" t="s">
        <v>823</v>
      </c>
    </row>
    <row r="132" spans="2:42" s="115" customFormat="1" ht="26.25" customHeight="1">
      <c r="B132" s="118" t="s">
        <v>827</v>
      </c>
      <c r="C132" s="118" t="s">
        <v>826</v>
      </c>
      <c r="D132" s="117">
        <v>7.64</v>
      </c>
      <c r="E132" s="116">
        <v>44077</v>
      </c>
      <c r="F132" s="108" t="s">
        <v>823</v>
      </c>
    </row>
    <row r="133" spans="2:42" s="102" customFormat="1" ht="16.5">
      <c r="B133" s="111" t="s">
        <v>825</v>
      </c>
      <c r="C133" s="110"/>
      <c r="D133" s="108" t="s">
        <v>824</v>
      </c>
      <c r="E133" s="108"/>
      <c r="F133" s="108" t="s">
        <v>823</v>
      </c>
      <c r="G133" s="108" t="s">
        <v>822</v>
      </c>
      <c r="H133" s="108" t="s">
        <v>821</v>
      </c>
      <c r="I133" s="108"/>
      <c r="J133" s="108">
        <v>1</v>
      </c>
      <c r="K133" s="108" t="s">
        <v>773</v>
      </c>
      <c r="M133" s="108" t="s">
        <v>818</v>
      </c>
      <c r="O133" s="103"/>
      <c r="P133" s="103"/>
      <c r="Q133" s="108" t="s">
        <v>820</v>
      </c>
      <c r="W133" s="113"/>
      <c r="X133" s="113"/>
      <c r="Z133" s="108" t="s">
        <v>811</v>
      </c>
      <c r="AA133" s="108"/>
      <c r="AC133" s="103"/>
      <c r="AD133" s="103"/>
      <c r="AE133" s="103"/>
      <c r="AF133" s="103"/>
      <c r="AG133" s="103"/>
      <c r="AH133" s="103"/>
      <c r="AI133" s="103"/>
      <c r="AJ133" s="103"/>
      <c r="AK133" s="103"/>
      <c r="AL133" s="103"/>
      <c r="AM133" s="103"/>
      <c r="AN133" s="103"/>
      <c r="AO133" s="103"/>
      <c r="AP133" s="103"/>
    </row>
    <row r="134" spans="2:42" s="102" customFormat="1" ht="16.5">
      <c r="B134" s="111" t="s">
        <v>819</v>
      </c>
      <c r="C134" s="110"/>
      <c r="D134" s="108" t="s">
        <v>802</v>
      </c>
      <c r="E134" s="108"/>
      <c r="F134" s="108"/>
      <c r="G134" s="108" t="s">
        <v>785</v>
      </c>
      <c r="H134" s="108"/>
      <c r="I134" s="108"/>
      <c r="J134" s="108">
        <v>1</v>
      </c>
      <c r="K134" s="108" t="s">
        <v>773</v>
      </c>
      <c r="M134" s="108" t="s">
        <v>818</v>
      </c>
      <c r="O134" s="103"/>
      <c r="P134" s="103"/>
      <c r="Q134" s="108" t="s">
        <v>800</v>
      </c>
      <c r="W134" s="113"/>
      <c r="X134" s="113"/>
      <c r="Z134" s="108" t="s">
        <v>811</v>
      </c>
      <c r="AA134" s="108"/>
      <c r="AC134" s="103"/>
      <c r="AD134" s="103"/>
      <c r="AE134" s="103"/>
      <c r="AF134" s="103"/>
      <c r="AG134" s="103"/>
      <c r="AH134" s="103"/>
      <c r="AI134" s="103"/>
      <c r="AJ134" s="103"/>
      <c r="AK134" s="103"/>
      <c r="AL134" s="103"/>
      <c r="AM134" s="103"/>
      <c r="AN134" s="103"/>
      <c r="AO134" s="103"/>
      <c r="AP134" s="103"/>
    </row>
    <row r="135" spans="2:42" s="102" customFormat="1" ht="16.5">
      <c r="B135" s="111" t="s">
        <v>817</v>
      </c>
      <c r="C135" s="110"/>
      <c r="D135" s="108" t="s">
        <v>802</v>
      </c>
      <c r="E135" s="108"/>
      <c r="F135" s="108"/>
      <c r="G135" s="108" t="s">
        <v>785</v>
      </c>
      <c r="H135" s="108"/>
      <c r="I135" s="108"/>
      <c r="J135" s="108">
        <v>1</v>
      </c>
      <c r="K135" s="108" t="s">
        <v>773</v>
      </c>
      <c r="M135" s="108" t="s">
        <v>801</v>
      </c>
      <c r="O135" s="103"/>
      <c r="P135" s="103"/>
      <c r="Q135" s="108" t="s">
        <v>800</v>
      </c>
      <c r="W135" s="113"/>
      <c r="X135" s="113"/>
      <c r="Z135" s="108" t="s">
        <v>811</v>
      </c>
      <c r="AA135" s="108"/>
      <c r="AC135" s="103"/>
      <c r="AD135" s="103"/>
      <c r="AE135" s="103"/>
      <c r="AF135" s="103"/>
      <c r="AG135" s="103"/>
      <c r="AH135" s="103"/>
      <c r="AI135" s="103"/>
      <c r="AJ135" s="103"/>
      <c r="AK135" s="103"/>
      <c r="AL135" s="103"/>
      <c r="AM135" s="103"/>
      <c r="AN135" s="103"/>
      <c r="AO135" s="103"/>
      <c r="AP135" s="103"/>
    </row>
    <row r="136" spans="2:42" s="102" customFormat="1" ht="16.5">
      <c r="B136" s="111" t="s">
        <v>816</v>
      </c>
      <c r="C136" s="110"/>
      <c r="D136" s="108" t="s">
        <v>802</v>
      </c>
      <c r="E136" s="108"/>
      <c r="F136" s="108"/>
      <c r="G136" s="108" t="s">
        <v>785</v>
      </c>
      <c r="H136" s="108"/>
      <c r="I136" s="108"/>
      <c r="J136" s="112">
        <v>1</v>
      </c>
      <c r="K136" s="108" t="s">
        <v>773</v>
      </c>
      <c r="M136" s="108" t="s">
        <v>801</v>
      </c>
      <c r="O136" s="103"/>
      <c r="P136" s="103"/>
      <c r="Q136" s="112"/>
      <c r="W136" s="113"/>
      <c r="X136" s="113"/>
      <c r="Z136" s="108" t="s">
        <v>811</v>
      </c>
      <c r="AA136" s="108"/>
      <c r="AC136" s="103"/>
      <c r="AD136" s="103"/>
      <c r="AE136" s="103"/>
      <c r="AF136" s="103"/>
      <c r="AG136" s="103"/>
      <c r="AH136" s="103"/>
      <c r="AI136" s="103"/>
      <c r="AJ136" s="103"/>
      <c r="AK136" s="103"/>
      <c r="AL136" s="103"/>
      <c r="AM136" s="103"/>
      <c r="AN136" s="103"/>
      <c r="AO136" s="103"/>
      <c r="AP136" s="103"/>
    </row>
    <row r="137" spans="2:42" s="102" customFormat="1" ht="16.5">
      <c r="B137" s="107"/>
      <c r="C137" s="104"/>
      <c r="D137" s="108" t="s">
        <v>802</v>
      </c>
      <c r="E137" s="108"/>
      <c r="F137" s="108"/>
      <c r="G137" s="108" t="s">
        <v>785</v>
      </c>
      <c r="H137" s="108"/>
      <c r="I137" s="108"/>
      <c r="J137" s="112"/>
      <c r="K137" s="112"/>
      <c r="M137" s="112"/>
      <c r="O137" s="103"/>
      <c r="P137" s="103"/>
      <c r="Q137" s="112"/>
      <c r="W137" s="113"/>
      <c r="X137" s="113"/>
      <c r="Z137" s="112"/>
      <c r="AA137" s="112"/>
      <c r="AC137" s="103"/>
      <c r="AD137" s="103"/>
      <c r="AE137" s="103"/>
      <c r="AF137" s="103"/>
      <c r="AG137" s="103"/>
      <c r="AH137" s="103"/>
      <c r="AI137" s="103"/>
      <c r="AJ137" s="103"/>
      <c r="AK137" s="103"/>
      <c r="AL137" s="103"/>
      <c r="AM137" s="103"/>
      <c r="AN137" s="103"/>
      <c r="AO137" s="103"/>
      <c r="AP137" s="103"/>
    </row>
    <row r="138" spans="2:42" s="102" customFormat="1" ht="16.5">
      <c r="B138" s="111" t="s">
        <v>815</v>
      </c>
      <c r="C138" s="110"/>
      <c r="D138" s="108" t="s">
        <v>814</v>
      </c>
      <c r="E138" s="108"/>
      <c r="F138" s="108"/>
      <c r="G138" s="108" t="s">
        <v>785</v>
      </c>
      <c r="H138" s="108"/>
      <c r="I138" s="108"/>
      <c r="J138" s="112">
        <v>1</v>
      </c>
      <c r="K138" s="108" t="s">
        <v>808</v>
      </c>
      <c r="M138" s="108" t="s">
        <v>801</v>
      </c>
      <c r="O138" s="103"/>
      <c r="P138" s="103"/>
      <c r="Q138" s="112"/>
      <c r="W138" s="113"/>
      <c r="X138" s="113">
        <v>50</v>
      </c>
      <c r="Z138" s="112"/>
      <c r="AA138" s="112"/>
      <c r="AC138" s="103"/>
      <c r="AD138" s="103"/>
      <c r="AE138" s="103"/>
      <c r="AF138" s="103"/>
      <c r="AG138" s="103"/>
      <c r="AH138" s="109" t="s">
        <v>807</v>
      </c>
      <c r="AI138" s="103"/>
      <c r="AJ138" s="103"/>
      <c r="AK138" s="103"/>
      <c r="AL138" s="103"/>
      <c r="AM138" s="103"/>
      <c r="AN138" s="103"/>
      <c r="AO138" s="103"/>
      <c r="AP138" s="103"/>
    </row>
    <row r="139" spans="2:42" s="102" customFormat="1" ht="16.5">
      <c r="B139" s="107"/>
      <c r="C139" s="104"/>
      <c r="D139" s="112"/>
      <c r="E139" s="112"/>
      <c r="F139" s="108"/>
      <c r="G139" s="108" t="s">
        <v>785</v>
      </c>
      <c r="H139" s="108"/>
      <c r="I139" s="108"/>
      <c r="J139" s="112"/>
      <c r="K139" s="112"/>
      <c r="M139" s="112"/>
      <c r="O139" s="103"/>
      <c r="P139" s="103"/>
      <c r="Q139" s="112"/>
      <c r="W139" s="113"/>
      <c r="X139" s="113"/>
      <c r="Z139" s="112"/>
      <c r="AA139" s="112"/>
      <c r="AC139" s="103"/>
      <c r="AD139" s="103"/>
      <c r="AE139" s="103"/>
      <c r="AF139" s="103"/>
      <c r="AG139" s="103"/>
      <c r="AH139" s="103"/>
      <c r="AI139" s="103"/>
      <c r="AJ139" s="103"/>
      <c r="AK139" s="103"/>
      <c r="AL139" s="103"/>
      <c r="AM139" s="103"/>
      <c r="AN139" s="103"/>
      <c r="AO139" s="103"/>
      <c r="AP139" s="103"/>
    </row>
    <row r="140" spans="2:42" s="102" customFormat="1" ht="16.5">
      <c r="B140" s="111" t="s">
        <v>813</v>
      </c>
      <c r="C140" s="110"/>
      <c r="D140" s="108" t="s">
        <v>809</v>
      </c>
      <c r="E140" s="108"/>
      <c r="F140" s="108"/>
      <c r="G140" s="108" t="s">
        <v>785</v>
      </c>
      <c r="H140" s="108"/>
      <c r="I140" s="108"/>
      <c r="J140" s="108">
        <v>1</v>
      </c>
      <c r="K140" s="108" t="s">
        <v>773</v>
      </c>
      <c r="M140" s="108" t="s">
        <v>801</v>
      </c>
      <c r="O140" s="103"/>
      <c r="P140" s="103"/>
      <c r="Q140" s="108" t="s">
        <v>800</v>
      </c>
      <c r="W140" s="114">
        <v>1300</v>
      </c>
      <c r="X140" s="113">
        <v>50</v>
      </c>
      <c r="Z140" s="108" t="s">
        <v>811</v>
      </c>
      <c r="AA140" s="108"/>
      <c r="AC140" s="103"/>
      <c r="AD140" s="103"/>
      <c r="AE140" s="103"/>
      <c r="AF140" s="103"/>
      <c r="AG140" s="103"/>
      <c r="AH140" s="103"/>
      <c r="AI140" s="103"/>
      <c r="AJ140" s="103"/>
      <c r="AK140" s="103"/>
      <c r="AL140" s="103"/>
      <c r="AM140" s="103"/>
      <c r="AN140" s="103"/>
      <c r="AO140" s="103"/>
      <c r="AP140" s="103"/>
    </row>
    <row r="141" spans="2:42" s="102" customFormat="1" ht="16.5">
      <c r="B141" s="111" t="s">
        <v>812</v>
      </c>
      <c r="C141" s="110"/>
      <c r="D141" s="108" t="s">
        <v>809</v>
      </c>
      <c r="E141" s="108"/>
      <c r="F141" s="108"/>
      <c r="G141" s="108" t="s">
        <v>785</v>
      </c>
      <c r="H141" s="108"/>
      <c r="I141" s="108"/>
      <c r="J141" s="108">
        <v>1</v>
      </c>
      <c r="K141" s="108" t="s">
        <v>808</v>
      </c>
      <c r="M141" s="108" t="s">
        <v>801</v>
      </c>
      <c r="O141" s="103"/>
      <c r="P141" s="103"/>
      <c r="Q141" s="108" t="s">
        <v>800</v>
      </c>
      <c r="W141" s="113">
        <v>1500</v>
      </c>
      <c r="X141" s="113">
        <v>50</v>
      </c>
      <c r="Z141" s="108" t="s">
        <v>811</v>
      </c>
      <c r="AA141" s="108"/>
      <c r="AC141" s="103"/>
      <c r="AD141" s="103"/>
      <c r="AE141" s="103"/>
      <c r="AF141" s="103"/>
      <c r="AG141" s="103"/>
      <c r="AH141" s="109" t="s">
        <v>807</v>
      </c>
      <c r="AI141" s="103"/>
      <c r="AJ141" s="103"/>
      <c r="AK141" s="103"/>
      <c r="AL141" s="103"/>
      <c r="AM141" s="103"/>
      <c r="AN141" s="103"/>
      <c r="AO141" s="103"/>
      <c r="AP141" s="103"/>
    </row>
    <row r="142" spans="2:42" s="102" customFormat="1" ht="16.5">
      <c r="B142" s="111" t="s">
        <v>810</v>
      </c>
      <c r="C142" s="110"/>
      <c r="D142" s="108" t="s">
        <v>809</v>
      </c>
      <c r="E142" s="108"/>
      <c r="F142" s="108"/>
      <c r="G142" s="108" t="s">
        <v>785</v>
      </c>
      <c r="H142" s="108"/>
      <c r="I142" s="108"/>
      <c r="J142" s="108">
        <v>1</v>
      </c>
      <c r="K142" s="108" t="s">
        <v>808</v>
      </c>
      <c r="M142" s="108" t="s">
        <v>801</v>
      </c>
      <c r="O142" s="103"/>
      <c r="P142" s="103"/>
      <c r="Q142" s="108" t="s">
        <v>800</v>
      </c>
      <c r="W142" s="113">
        <v>1500</v>
      </c>
      <c r="X142" s="113">
        <v>50</v>
      </c>
      <c r="Z142" s="112"/>
      <c r="AA142" s="112"/>
      <c r="AC142" s="103"/>
      <c r="AD142" s="103"/>
      <c r="AE142" s="103"/>
      <c r="AF142" s="103"/>
      <c r="AG142" s="103"/>
      <c r="AH142" s="109" t="s">
        <v>807</v>
      </c>
      <c r="AI142" s="103"/>
      <c r="AJ142" s="103"/>
      <c r="AK142" s="103"/>
      <c r="AL142" s="103"/>
      <c r="AM142" s="103"/>
      <c r="AN142" s="103"/>
      <c r="AO142" s="103"/>
      <c r="AP142" s="103"/>
    </row>
    <row r="143" spans="2:42" s="102" customFormat="1" ht="16.5">
      <c r="B143" s="111" t="s">
        <v>806</v>
      </c>
      <c r="C143" s="110"/>
      <c r="D143" s="108" t="s">
        <v>802</v>
      </c>
      <c r="E143" s="108"/>
      <c r="F143" s="108"/>
      <c r="G143" s="108" t="s">
        <v>785</v>
      </c>
      <c r="H143" s="108"/>
      <c r="I143" s="108"/>
      <c r="J143" s="108">
        <v>1</v>
      </c>
      <c r="K143" s="108" t="s">
        <v>773</v>
      </c>
      <c r="M143" s="108" t="s">
        <v>801</v>
      </c>
      <c r="O143" s="103"/>
      <c r="P143" s="103"/>
      <c r="Q143" s="108" t="s">
        <v>800</v>
      </c>
      <c r="W143" s="113">
        <v>1600</v>
      </c>
      <c r="X143" s="113">
        <v>50</v>
      </c>
      <c r="Z143" s="112"/>
      <c r="AA143" s="112"/>
      <c r="AC143" s="103"/>
      <c r="AD143" s="103"/>
      <c r="AE143" s="103"/>
      <c r="AF143" s="103"/>
      <c r="AG143" s="103"/>
      <c r="AH143" s="103"/>
      <c r="AI143" s="103"/>
      <c r="AJ143" s="103"/>
      <c r="AK143" s="103"/>
      <c r="AL143" s="103"/>
      <c r="AM143" s="103"/>
      <c r="AN143" s="103"/>
      <c r="AO143" s="103"/>
      <c r="AP143" s="103"/>
    </row>
    <row r="144" spans="2:42" s="102" customFormat="1" ht="16.5">
      <c r="B144" s="111" t="s">
        <v>805</v>
      </c>
      <c r="C144" s="110"/>
      <c r="D144" s="108" t="s">
        <v>802</v>
      </c>
      <c r="E144" s="108"/>
      <c r="F144" s="108"/>
      <c r="G144" s="108" t="s">
        <v>785</v>
      </c>
      <c r="H144" s="108"/>
      <c r="I144" s="108"/>
      <c r="J144" s="108">
        <v>1</v>
      </c>
      <c r="K144" s="108" t="s">
        <v>773</v>
      </c>
      <c r="M144" s="108" t="s">
        <v>801</v>
      </c>
      <c r="O144" s="103"/>
      <c r="P144" s="103"/>
      <c r="Q144" s="108" t="s">
        <v>800</v>
      </c>
      <c r="W144" s="113">
        <v>1600</v>
      </c>
      <c r="X144" s="113">
        <v>50</v>
      </c>
      <c r="Z144" s="112"/>
      <c r="AA144" s="112"/>
      <c r="AC144" s="103"/>
      <c r="AD144" s="103"/>
      <c r="AE144" s="103"/>
      <c r="AF144" s="103"/>
      <c r="AG144" s="103"/>
      <c r="AH144" s="103"/>
      <c r="AI144" s="103"/>
      <c r="AJ144" s="103"/>
      <c r="AK144" s="103"/>
      <c r="AL144" s="103"/>
      <c r="AM144" s="103"/>
      <c r="AN144" s="103"/>
      <c r="AO144" s="103"/>
      <c r="AP144" s="103"/>
    </row>
    <row r="145" spans="2:42" s="102" customFormat="1" ht="16.5">
      <c r="B145" s="111" t="s">
        <v>804</v>
      </c>
      <c r="C145" s="110"/>
      <c r="D145" s="108" t="s">
        <v>802</v>
      </c>
      <c r="E145" s="108"/>
      <c r="F145" s="108"/>
      <c r="G145" s="108" t="s">
        <v>785</v>
      </c>
      <c r="H145" s="108"/>
      <c r="I145" s="108"/>
      <c r="J145" s="108">
        <v>1</v>
      </c>
      <c r="K145" s="108" t="s">
        <v>773</v>
      </c>
      <c r="M145" s="108" t="s">
        <v>801</v>
      </c>
      <c r="O145" s="103"/>
      <c r="P145" s="103"/>
      <c r="Q145" s="108" t="s">
        <v>800</v>
      </c>
      <c r="W145" s="113">
        <v>1700</v>
      </c>
      <c r="X145" s="113">
        <v>50</v>
      </c>
      <c r="Z145" s="112"/>
      <c r="AA145" s="112"/>
      <c r="AC145" s="103"/>
      <c r="AD145" s="103"/>
      <c r="AE145" s="103"/>
      <c r="AF145" s="103"/>
      <c r="AG145" s="103"/>
      <c r="AH145" s="103"/>
      <c r="AI145" s="103"/>
      <c r="AJ145" s="103"/>
      <c r="AK145" s="103"/>
      <c r="AL145" s="103"/>
      <c r="AM145" s="103"/>
      <c r="AN145" s="103"/>
      <c r="AO145" s="103"/>
      <c r="AP145" s="103"/>
    </row>
    <row r="146" spans="2:42" s="102" customFormat="1" ht="16.5">
      <c r="B146" s="111" t="s">
        <v>803</v>
      </c>
      <c r="C146" s="110"/>
      <c r="D146" s="108" t="s">
        <v>802</v>
      </c>
      <c r="E146" s="108"/>
      <c r="F146" s="108"/>
      <c r="G146" s="108" t="s">
        <v>785</v>
      </c>
      <c r="H146" s="108"/>
      <c r="I146" s="108"/>
      <c r="J146" s="108">
        <v>1</v>
      </c>
      <c r="K146" s="108" t="s">
        <v>773</v>
      </c>
      <c r="M146" s="108" t="s">
        <v>801</v>
      </c>
      <c r="O146" s="103"/>
      <c r="P146" s="103"/>
      <c r="Q146" s="108" t="s">
        <v>800</v>
      </c>
      <c r="W146" s="113">
        <v>1600</v>
      </c>
      <c r="X146" s="113">
        <v>50</v>
      </c>
      <c r="Z146" s="112"/>
      <c r="AA146" s="112"/>
      <c r="AC146" s="103"/>
      <c r="AD146" s="103"/>
      <c r="AE146" s="103"/>
      <c r="AF146" s="103"/>
      <c r="AG146" s="103"/>
      <c r="AH146" s="103"/>
      <c r="AI146" s="103"/>
      <c r="AJ146" s="103"/>
      <c r="AK146" s="103"/>
      <c r="AL146" s="103"/>
      <c r="AM146" s="103"/>
      <c r="AN146" s="103"/>
      <c r="AO146" s="103"/>
      <c r="AP146" s="103"/>
    </row>
    <row r="147" spans="2:42" s="102" customFormat="1" ht="16.5">
      <c r="B147" s="111" t="s">
        <v>799</v>
      </c>
      <c r="C147" s="110"/>
      <c r="D147" s="112" t="s">
        <v>786</v>
      </c>
      <c r="E147" s="112"/>
      <c r="F147" s="108"/>
      <c r="G147" s="108" t="s">
        <v>785</v>
      </c>
      <c r="H147" s="108"/>
      <c r="I147" s="108"/>
      <c r="J147" s="112">
        <v>4</v>
      </c>
      <c r="K147" s="108" t="s">
        <v>773</v>
      </c>
      <c r="M147" s="108" t="s">
        <v>789</v>
      </c>
      <c r="O147" s="103"/>
      <c r="P147" s="103"/>
      <c r="Q147" s="112"/>
      <c r="W147" s="113"/>
      <c r="X147" s="113">
        <v>50</v>
      </c>
      <c r="Z147" s="112"/>
      <c r="AA147" s="112"/>
      <c r="AC147" s="103"/>
      <c r="AD147" s="103"/>
      <c r="AE147" s="103"/>
      <c r="AF147" s="103"/>
      <c r="AG147" s="103"/>
      <c r="AH147" s="103"/>
      <c r="AI147" s="103"/>
      <c r="AJ147" s="103"/>
      <c r="AK147" s="103"/>
      <c r="AL147" s="103"/>
      <c r="AM147" s="103"/>
      <c r="AN147" s="103"/>
      <c r="AO147" s="103"/>
      <c r="AP147" s="103"/>
    </row>
    <row r="148" spans="2:42" s="102" customFormat="1" ht="16.5">
      <c r="B148" s="111" t="s">
        <v>798</v>
      </c>
      <c r="C148" s="110"/>
      <c r="D148" s="112" t="s">
        <v>786</v>
      </c>
      <c r="E148" s="112"/>
      <c r="F148" s="108"/>
      <c r="G148" s="108" t="s">
        <v>785</v>
      </c>
      <c r="H148" s="108"/>
      <c r="I148" s="108"/>
      <c r="J148" s="112">
        <v>1</v>
      </c>
      <c r="K148" s="108" t="s">
        <v>773</v>
      </c>
      <c r="M148" s="108" t="s">
        <v>789</v>
      </c>
      <c r="O148" s="103"/>
      <c r="P148" s="103"/>
      <c r="Q148" s="112"/>
      <c r="W148" s="113"/>
      <c r="X148" s="113">
        <v>50</v>
      </c>
      <c r="Z148" s="112"/>
      <c r="AA148" s="112"/>
      <c r="AC148" s="103"/>
      <c r="AD148" s="103"/>
      <c r="AE148" s="103"/>
      <c r="AF148" s="103"/>
      <c r="AG148" s="103"/>
      <c r="AH148" s="103"/>
      <c r="AI148" s="103"/>
      <c r="AJ148" s="103"/>
      <c r="AK148" s="103"/>
      <c r="AL148" s="103"/>
      <c r="AM148" s="103"/>
      <c r="AN148" s="103"/>
      <c r="AO148" s="103"/>
      <c r="AP148" s="103"/>
    </row>
    <row r="149" spans="2:42" s="102" customFormat="1" ht="16.5">
      <c r="B149" s="111" t="s">
        <v>797</v>
      </c>
      <c r="C149" s="110"/>
      <c r="D149" s="112"/>
      <c r="E149" s="112"/>
      <c r="F149" s="112"/>
      <c r="G149" s="112"/>
      <c r="H149" s="112"/>
      <c r="I149" s="112"/>
      <c r="J149" s="112"/>
      <c r="K149" s="112"/>
      <c r="M149" s="112"/>
      <c r="O149" s="103"/>
      <c r="P149" s="103"/>
      <c r="Q149" s="112"/>
      <c r="W149" s="113"/>
      <c r="X149" s="113"/>
      <c r="Z149" s="112"/>
      <c r="AA149" s="112"/>
      <c r="AC149" s="103"/>
      <c r="AD149" s="103"/>
      <c r="AE149" s="103"/>
      <c r="AF149" s="103"/>
      <c r="AG149" s="103"/>
      <c r="AH149" s="103"/>
      <c r="AI149" s="103"/>
      <c r="AJ149" s="103"/>
      <c r="AK149" s="103"/>
      <c r="AL149" s="103"/>
      <c r="AM149" s="103"/>
      <c r="AN149" s="103"/>
      <c r="AO149" s="103"/>
      <c r="AP149" s="103"/>
    </row>
    <row r="150" spans="2:42" s="102" customFormat="1" ht="16.5">
      <c r="B150" s="111" t="s">
        <v>796</v>
      </c>
      <c r="C150" s="110"/>
      <c r="D150" s="112" t="s">
        <v>786</v>
      </c>
      <c r="E150" s="112"/>
      <c r="F150" s="108"/>
      <c r="G150" s="108" t="s">
        <v>785</v>
      </c>
      <c r="H150" s="108"/>
      <c r="I150" s="108"/>
      <c r="J150" s="112">
        <v>1</v>
      </c>
      <c r="K150" s="108" t="s">
        <v>773</v>
      </c>
      <c r="M150" s="108" t="s">
        <v>789</v>
      </c>
      <c r="O150" s="103"/>
      <c r="P150" s="103"/>
      <c r="Q150" s="112"/>
      <c r="W150" s="113"/>
      <c r="X150" s="113">
        <v>50</v>
      </c>
      <c r="Z150" s="112"/>
      <c r="AA150" s="112"/>
      <c r="AC150" s="103"/>
      <c r="AD150" s="103"/>
      <c r="AE150" s="103"/>
      <c r="AF150" s="103"/>
      <c r="AG150" s="103"/>
      <c r="AH150" s="103"/>
      <c r="AI150" s="103"/>
      <c r="AJ150" s="103"/>
      <c r="AK150" s="103"/>
      <c r="AL150" s="103"/>
      <c r="AM150" s="103"/>
      <c r="AN150" s="103"/>
      <c r="AO150" s="103"/>
      <c r="AP150" s="103"/>
    </row>
    <row r="151" spans="2:42" s="102" customFormat="1" ht="16.5">
      <c r="B151" s="111" t="s">
        <v>795</v>
      </c>
      <c r="C151" s="110"/>
      <c r="D151" s="112" t="s">
        <v>786</v>
      </c>
      <c r="E151" s="112"/>
      <c r="F151" s="108"/>
      <c r="G151" s="108" t="s">
        <v>785</v>
      </c>
      <c r="H151" s="108"/>
      <c r="I151" s="108"/>
      <c r="J151" s="112">
        <v>1</v>
      </c>
      <c r="K151" s="108" t="s">
        <v>773</v>
      </c>
      <c r="M151" s="108" t="s">
        <v>789</v>
      </c>
      <c r="O151" s="103"/>
      <c r="P151" s="103"/>
      <c r="Q151" s="112"/>
      <c r="W151" s="113"/>
      <c r="X151" s="113">
        <v>50</v>
      </c>
      <c r="Z151" s="112"/>
      <c r="AA151" s="112"/>
      <c r="AC151" s="103"/>
      <c r="AD151" s="103"/>
      <c r="AE151" s="103"/>
      <c r="AF151" s="103"/>
      <c r="AG151" s="103"/>
      <c r="AH151" s="103"/>
      <c r="AI151" s="103"/>
      <c r="AJ151" s="103"/>
      <c r="AK151" s="103"/>
      <c r="AL151" s="103"/>
      <c r="AM151" s="103"/>
      <c r="AN151" s="103"/>
      <c r="AO151" s="103"/>
      <c r="AP151" s="103"/>
    </row>
    <row r="152" spans="2:42" s="102" customFormat="1" ht="16.5">
      <c r="B152" s="111" t="s">
        <v>794</v>
      </c>
      <c r="C152" s="110"/>
      <c r="D152" s="112" t="s">
        <v>786</v>
      </c>
      <c r="E152" s="112"/>
      <c r="F152" s="108"/>
      <c r="G152" s="108" t="s">
        <v>785</v>
      </c>
      <c r="H152" s="108"/>
      <c r="I152" s="108"/>
      <c r="J152" s="112">
        <v>1</v>
      </c>
      <c r="K152" s="108" t="s">
        <v>773</v>
      </c>
      <c r="M152" s="108" t="s">
        <v>789</v>
      </c>
      <c r="O152" s="103"/>
      <c r="P152" s="103"/>
      <c r="Q152" s="112"/>
      <c r="W152" s="113"/>
      <c r="X152" s="113">
        <v>50</v>
      </c>
      <c r="Z152" s="112"/>
      <c r="AA152" s="112"/>
      <c r="AC152" s="103"/>
      <c r="AD152" s="103"/>
      <c r="AE152" s="103"/>
      <c r="AF152" s="103"/>
      <c r="AG152" s="103"/>
      <c r="AH152" s="103"/>
      <c r="AI152" s="103"/>
      <c r="AJ152" s="103"/>
      <c r="AK152" s="103"/>
      <c r="AL152" s="103"/>
      <c r="AM152" s="103"/>
      <c r="AN152" s="103"/>
      <c r="AO152" s="103"/>
      <c r="AP152" s="103"/>
    </row>
    <row r="153" spans="2:42" s="102" customFormat="1" ht="16.5">
      <c r="B153" s="111" t="s">
        <v>793</v>
      </c>
      <c r="C153" s="110"/>
      <c r="D153" s="112" t="s">
        <v>786</v>
      </c>
      <c r="E153" s="112"/>
      <c r="F153" s="108"/>
      <c r="G153" s="108" t="s">
        <v>785</v>
      </c>
      <c r="H153" s="108"/>
      <c r="I153" s="108"/>
      <c r="J153" s="112">
        <v>1</v>
      </c>
      <c r="K153" s="108" t="s">
        <v>773</v>
      </c>
      <c r="M153" s="108" t="s">
        <v>789</v>
      </c>
      <c r="O153" s="103"/>
      <c r="P153" s="103"/>
      <c r="Q153" s="112"/>
      <c r="W153" s="113"/>
      <c r="X153" s="113">
        <v>50</v>
      </c>
      <c r="Z153" s="112"/>
      <c r="AA153" s="112"/>
      <c r="AC153" s="103"/>
      <c r="AD153" s="103"/>
      <c r="AE153" s="103"/>
      <c r="AF153" s="103"/>
      <c r="AG153" s="103"/>
      <c r="AH153" s="103"/>
      <c r="AI153" s="103"/>
      <c r="AJ153" s="103"/>
      <c r="AK153" s="103"/>
      <c r="AL153" s="103"/>
      <c r="AM153" s="103"/>
      <c r="AN153" s="103"/>
      <c r="AO153" s="103"/>
      <c r="AP153" s="103"/>
    </row>
    <row r="154" spans="2:42" s="102" customFormat="1" ht="16.5">
      <c r="B154" s="107"/>
      <c r="C154" s="104"/>
      <c r="D154" s="103"/>
      <c r="E154" s="103"/>
      <c r="F154" s="103"/>
      <c r="G154" s="103"/>
      <c r="H154" s="103"/>
      <c r="I154" s="103"/>
      <c r="J154" s="103"/>
      <c r="K154" s="103"/>
      <c r="M154" s="103"/>
      <c r="O154" s="103"/>
      <c r="P154" s="103"/>
      <c r="Q154" s="103"/>
      <c r="W154" s="103"/>
      <c r="X154" s="103"/>
      <c r="Z154" s="103"/>
      <c r="AA154" s="103"/>
      <c r="AC154" s="103"/>
      <c r="AD154" s="103"/>
      <c r="AE154" s="103"/>
      <c r="AF154" s="103"/>
      <c r="AG154" s="103"/>
      <c r="AH154" s="103"/>
      <c r="AI154" s="103"/>
      <c r="AJ154" s="103"/>
      <c r="AK154" s="103"/>
      <c r="AL154" s="103"/>
      <c r="AM154" s="103"/>
      <c r="AN154" s="103"/>
      <c r="AO154" s="103"/>
      <c r="AP154" s="103"/>
    </row>
    <row r="155" spans="2:42" s="102" customFormat="1" ht="16.5">
      <c r="B155" s="111" t="s">
        <v>792</v>
      </c>
      <c r="C155" s="110"/>
      <c r="D155" s="103"/>
      <c r="E155" s="103"/>
      <c r="F155" s="103"/>
      <c r="G155" s="103"/>
      <c r="H155" s="103"/>
      <c r="I155" s="103"/>
      <c r="J155" s="103"/>
      <c r="K155" s="103"/>
      <c r="M155" s="103"/>
      <c r="O155" s="103"/>
      <c r="P155" s="103"/>
      <c r="Q155" s="103"/>
      <c r="W155" s="103"/>
      <c r="X155" s="103"/>
      <c r="Z155" s="103"/>
      <c r="AA155" s="103"/>
      <c r="AC155" s="103"/>
      <c r="AD155" s="103"/>
      <c r="AE155" s="103"/>
      <c r="AF155" s="103"/>
      <c r="AG155" s="103"/>
      <c r="AH155" s="103"/>
      <c r="AI155" s="103"/>
      <c r="AJ155" s="103"/>
      <c r="AK155" s="103"/>
      <c r="AL155" s="103"/>
      <c r="AM155" s="103"/>
      <c r="AN155" s="103"/>
      <c r="AO155" s="103"/>
      <c r="AP155" s="103"/>
    </row>
    <row r="156" spans="2:42" s="102" customFormat="1" ht="16.5">
      <c r="B156" s="107"/>
      <c r="C156" s="104"/>
      <c r="D156" s="103"/>
      <c r="E156" s="103"/>
      <c r="F156" s="103"/>
      <c r="G156" s="103"/>
      <c r="H156" s="103"/>
      <c r="I156" s="103"/>
      <c r="J156" s="103"/>
      <c r="K156" s="103"/>
      <c r="M156" s="103"/>
      <c r="O156" s="103"/>
      <c r="P156" s="103"/>
      <c r="Q156" s="103"/>
      <c r="W156" s="103"/>
      <c r="X156" s="103"/>
      <c r="Z156" s="103"/>
      <c r="AA156" s="103"/>
      <c r="AC156" s="103"/>
      <c r="AD156" s="103"/>
      <c r="AE156" s="103"/>
      <c r="AF156" s="103"/>
      <c r="AG156" s="103"/>
      <c r="AH156" s="103"/>
      <c r="AI156" s="103"/>
      <c r="AJ156" s="103"/>
      <c r="AK156" s="103"/>
      <c r="AL156" s="103"/>
      <c r="AM156" s="103"/>
      <c r="AN156" s="103"/>
      <c r="AO156" s="103"/>
      <c r="AP156" s="103"/>
    </row>
    <row r="157" spans="2:42" s="102" customFormat="1" ht="16.5">
      <c r="B157" s="111" t="s">
        <v>791</v>
      </c>
      <c r="C157" s="110"/>
      <c r="D157" s="112" t="s">
        <v>786</v>
      </c>
      <c r="E157" s="112"/>
      <c r="F157" s="108"/>
      <c r="G157" s="108" t="s">
        <v>785</v>
      </c>
      <c r="H157" s="108"/>
      <c r="I157" s="108"/>
      <c r="J157" s="112">
        <v>1</v>
      </c>
      <c r="K157" s="108" t="s">
        <v>773</v>
      </c>
      <c r="M157" s="108" t="s">
        <v>789</v>
      </c>
      <c r="O157" s="103"/>
      <c r="P157" s="103"/>
      <c r="Q157" s="112"/>
      <c r="W157" s="113"/>
      <c r="X157" s="113">
        <v>50</v>
      </c>
      <c r="Z157" s="112"/>
      <c r="AA157" s="112"/>
      <c r="AC157" s="103"/>
      <c r="AD157" s="103"/>
      <c r="AE157" s="103"/>
      <c r="AF157" s="103"/>
      <c r="AG157" s="103"/>
      <c r="AH157" s="103"/>
      <c r="AI157" s="103"/>
      <c r="AJ157" s="103"/>
      <c r="AK157" s="103"/>
      <c r="AL157" s="103"/>
      <c r="AM157" s="103"/>
      <c r="AN157" s="103"/>
      <c r="AO157" s="103"/>
      <c r="AP157" s="103"/>
    </row>
    <row r="158" spans="2:42" s="102" customFormat="1" ht="16.5">
      <c r="B158" s="111" t="s">
        <v>790</v>
      </c>
      <c r="C158" s="110"/>
      <c r="D158" s="112" t="s">
        <v>786</v>
      </c>
      <c r="E158" s="112"/>
      <c r="F158" s="108"/>
      <c r="G158" s="108" t="s">
        <v>785</v>
      </c>
      <c r="H158" s="108"/>
      <c r="I158" s="108"/>
      <c r="J158" s="112">
        <v>1</v>
      </c>
      <c r="K158" s="103"/>
      <c r="M158" s="108" t="s">
        <v>789</v>
      </c>
      <c r="O158" s="103"/>
      <c r="P158" s="103"/>
      <c r="Q158" s="112"/>
      <c r="W158" s="113"/>
      <c r="X158" s="113">
        <v>50</v>
      </c>
      <c r="Z158" s="112"/>
      <c r="AA158" s="112"/>
      <c r="AC158" s="103"/>
      <c r="AD158" s="103"/>
      <c r="AE158" s="103"/>
      <c r="AF158" s="103"/>
      <c r="AG158" s="103"/>
      <c r="AH158" s="103"/>
      <c r="AI158" s="103"/>
      <c r="AJ158" s="103"/>
      <c r="AK158" s="103"/>
      <c r="AL158" s="103"/>
      <c r="AM158" s="103"/>
      <c r="AN158" s="103"/>
      <c r="AO158" s="103"/>
      <c r="AP158" s="103"/>
    </row>
    <row r="159" spans="2:42" s="102" customFormat="1" ht="16.5">
      <c r="B159" s="111" t="s">
        <v>788</v>
      </c>
      <c r="C159" s="110"/>
      <c r="D159" s="103"/>
      <c r="E159" s="103"/>
      <c r="F159" s="103"/>
      <c r="G159" s="103"/>
      <c r="H159" s="103"/>
      <c r="I159" s="103"/>
      <c r="J159" s="103"/>
      <c r="K159" s="103"/>
      <c r="L159" s="103"/>
      <c r="O159" s="103"/>
      <c r="P159" s="103"/>
      <c r="Q159" s="103"/>
      <c r="W159" s="103"/>
      <c r="X159" s="103"/>
      <c r="Z159" s="103"/>
      <c r="AA159" s="103"/>
      <c r="AC159" s="103"/>
      <c r="AD159" s="103"/>
      <c r="AE159" s="103"/>
      <c r="AF159" s="103"/>
      <c r="AG159" s="103"/>
      <c r="AH159" s="103"/>
      <c r="AI159" s="103"/>
      <c r="AJ159" s="103"/>
      <c r="AK159" s="103"/>
      <c r="AL159" s="103"/>
      <c r="AM159" s="103"/>
      <c r="AN159" s="103"/>
      <c r="AO159" s="103"/>
      <c r="AP159" s="103"/>
    </row>
    <row r="160" spans="2:42" s="102" customFormat="1" ht="16.5">
      <c r="B160" s="107"/>
      <c r="C160" s="104"/>
      <c r="D160" s="103"/>
      <c r="E160" s="103"/>
      <c r="F160" s="103"/>
      <c r="G160" s="103"/>
      <c r="H160" s="103"/>
      <c r="I160" s="103"/>
      <c r="J160" s="103"/>
      <c r="K160" s="103"/>
      <c r="L160" s="103"/>
      <c r="O160" s="103"/>
      <c r="P160" s="103"/>
      <c r="Q160" s="103"/>
      <c r="W160" s="103"/>
      <c r="X160" s="103"/>
      <c r="Z160" s="103"/>
      <c r="AA160" s="103"/>
      <c r="AC160" s="103"/>
      <c r="AD160" s="103"/>
      <c r="AE160" s="103"/>
      <c r="AF160" s="103"/>
      <c r="AG160" s="103"/>
      <c r="AH160" s="103"/>
      <c r="AI160" s="103"/>
      <c r="AJ160" s="103"/>
      <c r="AK160" s="103"/>
      <c r="AL160" s="103"/>
      <c r="AM160" s="103"/>
      <c r="AN160" s="103"/>
      <c r="AO160" s="103"/>
      <c r="AP160" s="103"/>
    </row>
    <row r="161" spans="2:42" s="102" customFormat="1" ht="16.5">
      <c r="B161" s="107" t="s">
        <v>787</v>
      </c>
      <c r="C161" s="104"/>
      <c r="D161" s="112" t="s">
        <v>786</v>
      </c>
      <c r="E161" s="112"/>
      <c r="F161" s="103"/>
      <c r="G161" s="108" t="s">
        <v>785</v>
      </c>
      <c r="H161" s="103"/>
      <c r="I161" s="103"/>
      <c r="J161" s="103"/>
      <c r="K161" s="103"/>
      <c r="L161" s="103"/>
      <c r="O161" s="103"/>
      <c r="P161" s="103"/>
      <c r="Q161" s="103"/>
      <c r="W161" s="103"/>
      <c r="X161" s="103"/>
      <c r="Z161" s="103"/>
      <c r="AA161" s="103"/>
      <c r="AC161" s="103"/>
      <c r="AD161" s="103"/>
      <c r="AE161" s="103"/>
      <c r="AF161" s="103"/>
      <c r="AG161" s="103"/>
      <c r="AH161" s="103"/>
      <c r="AI161" s="103"/>
      <c r="AJ161" s="103"/>
      <c r="AK161" s="103"/>
      <c r="AL161" s="103"/>
      <c r="AM161" s="103"/>
      <c r="AN161" s="103"/>
      <c r="AO161" s="103"/>
      <c r="AP161" s="103"/>
    </row>
    <row r="162" spans="2:42" s="102" customFormat="1" ht="16.5">
      <c r="B162" s="107"/>
      <c r="C162" s="104"/>
      <c r="D162" s="103"/>
      <c r="E162" s="103"/>
      <c r="F162" s="103"/>
      <c r="G162" s="103"/>
      <c r="H162" s="103"/>
      <c r="I162" s="103"/>
      <c r="J162" s="103"/>
      <c r="K162" s="103"/>
      <c r="L162" s="103"/>
      <c r="O162" s="103"/>
      <c r="P162" s="103"/>
      <c r="Q162" s="103"/>
      <c r="W162" s="103"/>
      <c r="X162" s="103"/>
      <c r="Z162" s="103"/>
      <c r="AA162" s="103"/>
      <c r="AC162" s="103"/>
      <c r="AD162" s="103"/>
      <c r="AE162" s="103"/>
      <c r="AF162" s="103"/>
      <c r="AG162" s="103"/>
      <c r="AH162" s="103"/>
      <c r="AI162" s="103"/>
      <c r="AJ162" s="103"/>
      <c r="AK162" s="103"/>
      <c r="AL162" s="103"/>
      <c r="AM162" s="103"/>
      <c r="AN162" s="103"/>
      <c r="AO162" s="103"/>
      <c r="AP162" s="103"/>
    </row>
    <row r="163" spans="2:42" s="102" customFormat="1" ht="16.5">
      <c r="B163" s="107"/>
      <c r="C163" s="104"/>
      <c r="D163" s="103"/>
      <c r="E163" s="103"/>
      <c r="F163" s="103"/>
      <c r="G163" s="103"/>
      <c r="H163" s="103"/>
      <c r="I163" s="103"/>
      <c r="J163" s="103"/>
      <c r="K163" s="103"/>
      <c r="L163" s="103"/>
      <c r="O163" s="103"/>
      <c r="P163" s="103"/>
      <c r="Q163" s="103"/>
      <c r="W163" s="103"/>
      <c r="X163" s="103"/>
      <c r="Z163" s="103"/>
      <c r="AA163" s="103"/>
      <c r="AC163" s="103"/>
      <c r="AD163" s="103"/>
      <c r="AE163" s="103"/>
      <c r="AF163" s="103"/>
      <c r="AG163" s="103"/>
      <c r="AH163" s="103"/>
      <c r="AI163" s="103"/>
      <c r="AJ163" s="103"/>
      <c r="AK163" s="103"/>
      <c r="AL163" s="103"/>
      <c r="AM163" s="103"/>
      <c r="AN163" s="103"/>
      <c r="AO163" s="103"/>
      <c r="AP163" s="103"/>
    </row>
    <row r="164" spans="2:42" s="102" customFormat="1" ht="16.5">
      <c r="B164" s="107"/>
      <c r="C164" s="104"/>
      <c r="D164" s="103"/>
      <c r="E164" s="103"/>
      <c r="F164" s="103"/>
      <c r="G164" s="103"/>
      <c r="H164" s="103"/>
      <c r="I164" s="103"/>
      <c r="J164" s="103"/>
      <c r="K164" s="103"/>
      <c r="L164" s="103"/>
      <c r="O164" s="103"/>
      <c r="P164" s="103"/>
      <c r="Q164" s="103"/>
      <c r="W164" s="103"/>
      <c r="X164" s="103"/>
      <c r="Z164" s="103"/>
      <c r="AA164" s="103"/>
      <c r="AC164" s="103"/>
      <c r="AD164" s="103"/>
      <c r="AE164" s="103"/>
      <c r="AF164" s="103"/>
      <c r="AG164" s="103"/>
      <c r="AH164" s="103"/>
      <c r="AI164" s="103"/>
      <c r="AJ164" s="103"/>
      <c r="AK164" s="103"/>
      <c r="AL164" s="103"/>
      <c r="AM164" s="103"/>
      <c r="AN164" s="103"/>
      <c r="AO164" s="103"/>
      <c r="AP164" s="103"/>
    </row>
    <row r="165" spans="2:42" s="102" customFormat="1" ht="16.5">
      <c r="B165" s="111" t="s">
        <v>784</v>
      </c>
      <c r="C165" s="110"/>
      <c r="D165" s="103"/>
      <c r="E165" s="103"/>
      <c r="F165" s="109"/>
      <c r="G165" s="109" t="s">
        <v>783</v>
      </c>
      <c r="H165" s="109"/>
      <c r="I165" s="109"/>
      <c r="J165" s="103"/>
      <c r="K165" s="108" t="s">
        <v>773</v>
      </c>
      <c r="L165" s="103"/>
      <c r="O165" s="103"/>
      <c r="P165" s="103"/>
      <c r="Q165" s="103"/>
      <c r="W165" s="103"/>
      <c r="X165" s="105">
        <v>30</v>
      </c>
      <c r="Z165" s="103"/>
      <c r="AA165" s="103"/>
      <c r="AC165" s="103"/>
      <c r="AD165" s="103"/>
      <c r="AE165" s="103"/>
      <c r="AF165" s="103"/>
      <c r="AG165" s="103"/>
      <c r="AH165" s="103"/>
      <c r="AI165" s="103"/>
      <c r="AJ165" s="103"/>
      <c r="AK165" s="103"/>
      <c r="AL165" s="103"/>
      <c r="AM165" s="103"/>
      <c r="AN165" s="103"/>
      <c r="AO165" s="103"/>
      <c r="AP165" s="103"/>
    </row>
    <row r="166" spans="2:42" s="102" customFormat="1" ht="16.5">
      <c r="B166" s="111" t="s">
        <v>782</v>
      </c>
      <c r="C166" s="110"/>
      <c r="D166" s="103"/>
      <c r="E166" s="103"/>
      <c r="F166" s="103"/>
      <c r="G166" s="103"/>
      <c r="H166" s="103"/>
      <c r="I166" s="103"/>
      <c r="J166" s="103"/>
      <c r="K166" s="108" t="s">
        <v>773</v>
      </c>
      <c r="L166" s="103"/>
      <c r="O166" s="103"/>
      <c r="P166" s="103"/>
      <c r="Q166" s="103"/>
      <c r="W166" s="103"/>
      <c r="X166" s="105">
        <v>35</v>
      </c>
      <c r="Z166" s="103"/>
      <c r="AA166" s="103"/>
      <c r="AC166" s="103"/>
      <c r="AD166" s="103"/>
      <c r="AE166" s="103"/>
      <c r="AF166" s="103"/>
      <c r="AG166" s="103"/>
      <c r="AH166" s="103"/>
      <c r="AI166" s="103"/>
      <c r="AJ166" s="103"/>
      <c r="AK166" s="103"/>
      <c r="AL166" s="103"/>
      <c r="AM166" s="103"/>
      <c r="AN166" s="103"/>
      <c r="AO166" s="103"/>
      <c r="AP166" s="103"/>
    </row>
    <row r="167" spans="2:42" s="102" customFormat="1" ht="16.5">
      <c r="B167" s="111" t="s">
        <v>781</v>
      </c>
      <c r="C167" s="110"/>
      <c r="D167" s="103"/>
      <c r="E167" s="103"/>
      <c r="F167" s="103"/>
      <c r="G167" s="103"/>
      <c r="H167" s="103"/>
      <c r="I167" s="103"/>
      <c r="J167" s="103"/>
      <c r="K167" s="103"/>
      <c r="L167" s="103"/>
      <c r="O167" s="103"/>
      <c r="P167" s="103"/>
      <c r="Q167" s="103"/>
      <c r="W167" s="103"/>
      <c r="X167" s="105"/>
      <c r="Z167" s="103"/>
      <c r="AA167" s="103"/>
      <c r="AC167" s="103"/>
      <c r="AD167" s="103"/>
      <c r="AE167" s="103"/>
      <c r="AF167" s="103"/>
      <c r="AG167" s="103"/>
      <c r="AH167" s="103"/>
      <c r="AI167" s="103"/>
      <c r="AJ167" s="103"/>
      <c r="AK167" s="103"/>
      <c r="AL167" s="103"/>
      <c r="AM167" s="103"/>
      <c r="AN167" s="103"/>
      <c r="AO167" s="103"/>
      <c r="AP167" s="103"/>
    </row>
    <row r="168" spans="2:42" s="102" customFormat="1" ht="16.5">
      <c r="B168" s="107"/>
      <c r="C168" s="104"/>
      <c r="D168" s="103"/>
      <c r="E168" s="103"/>
      <c r="F168" s="103"/>
      <c r="G168" s="103"/>
      <c r="H168" s="103"/>
      <c r="I168" s="103"/>
      <c r="J168" s="103"/>
      <c r="K168" s="103"/>
      <c r="L168" s="103"/>
      <c r="O168" s="103"/>
      <c r="P168" s="103"/>
      <c r="Q168" s="103"/>
      <c r="W168" s="103"/>
      <c r="X168" s="105"/>
      <c r="Z168" s="103"/>
      <c r="AA168" s="103"/>
      <c r="AC168" s="103"/>
      <c r="AD168" s="103"/>
      <c r="AE168" s="103"/>
      <c r="AF168" s="103"/>
      <c r="AG168" s="103"/>
      <c r="AH168" s="103"/>
      <c r="AI168" s="103"/>
      <c r="AJ168" s="103"/>
      <c r="AK168" s="103"/>
      <c r="AL168" s="103"/>
      <c r="AM168" s="103"/>
      <c r="AN168" s="103"/>
      <c r="AO168" s="103"/>
      <c r="AP168" s="103"/>
    </row>
    <row r="169" spans="2:42" s="102" customFormat="1" ht="16.5">
      <c r="B169" s="111" t="s">
        <v>780</v>
      </c>
      <c r="C169" s="110"/>
      <c r="D169" s="103"/>
      <c r="E169" s="103"/>
      <c r="F169" s="109"/>
      <c r="G169" s="109" t="s">
        <v>774</v>
      </c>
      <c r="H169" s="109"/>
      <c r="I169" s="109"/>
      <c r="J169" s="103"/>
      <c r="K169" s="108" t="s">
        <v>773</v>
      </c>
      <c r="L169" s="103"/>
      <c r="O169" s="103"/>
      <c r="P169" s="103"/>
      <c r="Q169" s="103"/>
      <c r="W169" s="103"/>
      <c r="X169" s="105">
        <v>50</v>
      </c>
      <c r="Z169" s="103"/>
      <c r="AA169" s="103"/>
      <c r="AC169" s="103"/>
      <c r="AD169" s="103"/>
      <c r="AE169" s="103"/>
      <c r="AF169" s="103"/>
      <c r="AG169" s="103"/>
      <c r="AH169" s="103"/>
      <c r="AI169" s="103"/>
      <c r="AJ169" s="103"/>
      <c r="AK169" s="103"/>
      <c r="AL169" s="103"/>
      <c r="AM169" s="103"/>
      <c r="AN169" s="103"/>
      <c r="AO169" s="103"/>
      <c r="AP169" s="103"/>
    </row>
    <row r="170" spans="2:42" s="102" customFormat="1" ht="16.5">
      <c r="B170" s="111" t="s">
        <v>779</v>
      </c>
      <c r="C170" s="110"/>
      <c r="D170" s="103"/>
      <c r="E170" s="103"/>
      <c r="F170" s="109"/>
      <c r="G170" s="109" t="s">
        <v>774</v>
      </c>
      <c r="H170" s="109"/>
      <c r="I170" s="109"/>
      <c r="J170" s="103"/>
      <c r="K170" s="108" t="s">
        <v>773</v>
      </c>
      <c r="L170" s="103"/>
      <c r="O170" s="103"/>
      <c r="P170" s="103"/>
      <c r="Q170" s="103"/>
      <c r="W170" s="103"/>
      <c r="X170" s="105">
        <v>50</v>
      </c>
      <c r="Z170" s="103"/>
      <c r="AA170" s="103"/>
      <c r="AC170" s="103"/>
      <c r="AD170" s="103"/>
      <c r="AE170" s="103"/>
      <c r="AF170" s="103"/>
      <c r="AG170" s="103"/>
      <c r="AH170" s="103"/>
      <c r="AI170" s="103"/>
      <c r="AJ170" s="103"/>
      <c r="AK170" s="103"/>
      <c r="AL170" s="103"/>
      <c r="AM170" s="103"/>
      <c r="AN170" s="103"/>
      <c r="AO170" s="103"/>
      <c r="AP170" s="103"/>
    </row>
    <row r="171" spans="2:42" s="102" customFormat="1" ht="16.5">
      <c r="B171" s="111" t="s">
        <v>778</v>
      </c>
      <c r="C171" s="110"/>
      <c r="D171" s="103"/>
      <c r="E171" s="103"/>
      <c r="F171" s="109"/>
      <c r="G171" s="109" t="s">
        <v>774</v>
      </c>
      <c r="H171" s="109"/>
      <c r="I171" s="109"/>
      <c r="J171" s="103"/>
      <c r="K171" s="108" t="s">
        <v>773</v>
      </c>
      <c r="L171" s="103"/>
      <c r="O171" s="103"/>
      <c r="P171" s="103"/>
      <c r="Q171" s="103"/>
      <c r="W171" s="103"/>
      <c r="X171" s="105">
        <v>50</v>
      </c>
      <c r="Z171" s="103"/>
      <c r="AA171" s="103"/>
      <c r="AC171" s="103"/>
      <c r="AD171" s="103"/>
      <c r="AE171" s="103"/>
      <c r="AF171" s="103"/>
      <c r="AG171" s="103"/>
      <c r="AH171" s="103"/>
      <c r="AI171" s="103"/>
      <c r="AJ171" s="103"/>
      <c r="AK171" s="103"/>
      <c r="AL171" s="103"/>
      <c r="AM171" s="103"/>
      <c r="AN171" s="103"/>
      <c r="AO171" s="103"/>
      <c r="AP171" s="103"/>
    </row>
    <row r="172" spans="2:42" s="102" customFormat="1" ht="16.5">
      <c r="B172" s="111" t="s">
        <v>777</v>
      </c>
      <c r="C172" s="110"/>
      <c r="D172" s="103"/>
      <c r="E172" s="103"/>
      <c r="F172" s="109"/>
      <c r="G172" s="109" t="s">
        <v>774</v>
      </c>
      <c r="H172" s="109"/>
      <c r="I172" s="109"/>
      <c r="J172" s="103"/>
      <c r="K172" s="108" t="s">
        <v>773</v>
      </c>
      <c r="L172" s="103"/>
      <c r="O172" s="103"/>
      <c r="P172" s="103"/>
      <c r="Q172" s="103"/>
      <c r="W172" s="103"/>
      <c r="X172" s="105">
        <v>50</v>
      </c>
      <c r="Z172" s="103"/>
      <c r="AA172" s="103"/>
      <c r="AC172" s="103"/>
      <c r="AD172" s="103"/>
      <c r="AE172" s="103"/>
      <c r="AF172" s="103"/>
      <c r="AG172" s="103"/>
      <c r="AH172" s="103"/>
      <c r="AI172" s="103"/>
      <c r="AJ172" s="103"/>
      <c r="AK172" s="103"/>
      <c r="AL172" s="103"/>
      <c r="AM172" s="103"/>
      <c r="AN172" s="103"/>
      <c r="AO172" s="103"/>
      <c r="AP172" s="103"/>
    </row>
    <row r="173" spans="2:42" s="102" customFormat="1" ht="16.5">
      <c r="B173" s="111" t="s">
        <v>776</v>
      </c>
      <c r="C173" s="110"/>
      <c r="D173" s="103"/>
      <c r="E173" s="103"/>
      <c r="F173" s="109"/>
      <c r="G173" s="109" t="s">
        <v>774</v>
      </c>
      <c r="H173" s="109"/>
      <c r="I173" s="109"/>
      <c r="J173" s="103"/>
      <c r="K173" s="108" t="s">
        <v>773</v>
      </c>
      <c r="L173" s="103"/>
      <c r="O173" s="103"/>
      <c r="P173" s="103"/>
      <c r="Q173" s="103"/>
      <c r="W173" s="103"/>
      <c r="X173" s="105">
        <v>50</v>
      </c>
      <c r="Z173" s="103"/>
      <c r="AA173" s="103"/>
      <c r="AC173" s="103"/>
      <c r="AD173" s="103"/>
      <c r="AE173" s="103"/>
      <c r="AF173" s="103"/>
      <c r="AG173" s="103"/>
      <c r="AH173" s="103"/>
      <c r="AI173" s="103"/>
      <c r="AJ173" s="103"/>
      <c r="AK173" s="103"/>
      <c r="AL173" s="103"/>
      <c r="AM173" s="103"/>
      <c r="AN173" s="103"/>
      <c r="AO173" s="103"/>
      <c r="AP173" s="103"/>
    </row>
    <row r="174" spans="2:42" s="102" customFormat="1" ht="16.5">
      <c r="B174" s="111" t="s">
        <v>775</v>
      </c>
      <c r="C174" s="110"/>
      <c r="D174" s="103"/>
      <c r="E174" s="103"/>
      <c r="F174" s="109"/>
      <c r="G174" s="109" t="s">
        <v>774</v>
      </c>
      <c r="H174" s="109"/>
      <c r="I174" s="109"/>
      <c r="J174" s="103"/>
      <c r="K174" s="108" t="s">
        <v>773</v>
      </c>
      <c r="L174" s="103"/>
      <c r="O174" s="103"/>
      <c r="P174" s="103"/>
      <c r="Q174" s="103"/>
      <c r="W174" s="103"/>
      <c r="X174" s="105">
        <v>50</v>
      </c>
      <c r="Z174" s="103"/>
      <c r="AA174" s="103"/>
      <c r="AC174" s="103"/>
      <c r="AD174" s="103"/>
      <c r="AE174" s="103"/>
      <c r="AF174" s="103"/>
      <c r="AG174" s="103"/>
      <c r="AH174" s="103"/>
      <c r="AI174" s="103"/>
      <c r="AJ174" s="103"/>
      <c r="AK174" s="103"/>
      <c r="AL174" s="103"/>
      <c r="AM174" s="103"/>
      <c r="AN174" s="103"/>
      <c r="AO174" s="103"/>
      <c r="AP174" s="103"/>
    </row>
    <row r="175" spans="2:42" s="102" customFormat="1" ht="16.5">
      <c r="B175" s="107"/>
      <c r="C175" s="104"/>
      <c r="D175" s="106"/>
      <c r="E175" s="106"/>
      <c r="F175" s="106"/>
      <c r="G175" s="106"/>
      <c r="H175" s="106"/>
      <c r="I175" s="106"/>
      <c r="J175" s="106"/>
      <c r="K175" s="103"/>
      <c r="L175" s="106"/>
      <c r="N175" s="103"/>
      <c r="O175" s="103"/>
      <c r="P175" s="103"/>
      <c r="Q175" s="106"/>
      <c r="R175" s="103"/>
      <c r="S175" s="103"/>
      <c r="T175" s="103"/>
      <c r="U175" s="103"/>
      <c r="V175" s="103"/>
      <c r="W175" s="103"/>
      <c r="X175" s="105"/>
      <c r="Y175" s="103"/>
      <c r="Z175" s="103"/>
      <c r="AA175" s="103"/>
      <c r="AC175" s="103"/>
      <c r="AD175" s="103"/>
      <c r="AE175" s="103"/>
      <c r="AF175" s="103"/>
      <c r="AG175" s="103"/>
      <c r="AH175" s="103"/>
      <c r="AI175" s="103"/>
      <c r="AJ175" s="103"/>
      <c r="AK175" s="103"/>
      <c r="AL175" s="103"/>
      <c r="AM175" s="103"/>
      <c r="AN175" s="103"/>
      <c r="AO175" s="103"/>
      <c r="AP175" s="103"/>
    </row>
    <row r="176" spans="2:42" s="102" customFormat="1" ht="16.5">
      <c r="B176" s="107"/>
      <c r="C176" s="104"/>
      <c r="D176" s="106"/>
      <c r="E176" s="106"/>
      <c r="F176" s="106"/>
      <c r="G176" s="106"/>
      <c r="H176" s="106"/>
      <c r="I176" s="106"/>
      <c r="J176" s="106"/>
      <c r="K176" s="103"/>
      <c r="L176" s="106"/>
      <c r="N176" s="103"/>
      <c r="O176" s="103"/>
      <c r="P176" s="103"/>
      <c r="Q176" s="106"/>
      <c r="R176" s="103"/>
      <c r="S176" s="103"/>
      <c r="T176" s="103"/>
      <c r="U176" s="103"/>
      <c r="V176" s="103"/>
      <c r="W176" s="103"/>
      <c r="X176" s="105"/>
      <c r="Y176" s="103"/>
      <c r="AB176" s="103"/>
      <c r="AC176" s="103"/>
      <c r="AD176" s="103"/>
      <c r="AE176" s="103"/>
      <c r="AF176" s="103"/>
      <c r="AG176" s="103"/>
      <c r="AH176" s="103"/>
      <c r="AI176" s="103"/>
      <c r="AJ176" s="103"/>
      <c r="AK176" s="103"/>
      <c r="AL176" s="103"/>
      <c r="AM176" s="103"/>
      <c r="AN176" s="103"/>
      <c r="AO176" s="103"/>
      <c r="AP176" s="103"/>
    </row>
    <row r="177" spans="2:42" s="102" customFormat="1" ht="16.5">
      <c r="B177" s="107"/>
      <c r="C177" s="104"/>
      <c r="D177" s="106"/>
      <c r="E177" s="106"/>
      <c r="F177" s="106"/>
      <c r="G177" s="106"/>
      <c r="H177" s="106"/>
      <c r="I177" s="106"/>
      <c r="J177" s="106"/>
      <c r="K177" s="103"/>
      <c r="L177" s="106"/>
      <c r="N177" s="103"/>
      <c r="O177" s="103"/>
      <c r="P177" s="103"/>
      <c r="Q177" s="106"/>
      <c r="R177" s="103"/>
      <c r="S177" s="103"/>
      <c r="T177" s="103"/>
      <c r="U177" s="103"/>
      <c r="V177" s="103"/>
      <c r="W177" s="103"/>
      <c r="X177" s="105"/>
      <c r="Y177" s="103"/>
      <c r="AB177" s="103"/>
      <c r="AC177" s="103"/>
      <c r="AD177" s="103"/>
      <c r="AE177" s="103"/>
      <c r="AF177" s="103"/>
      <c r="AG177" s="103"/>
      <c r="AH177" s="103"/>
      <c r="AI177" s="103"/>
      <c r="AJ177" s="103"/>
      <c r="AK177" s="103"/>
      <c r="AL177" s="103"/>
      <c r="AM177" s="103"/>
      <c r="AN177" s="103"/>
      <c r="AO177" s="103"/>
      <c r="AP177" s="103"/>
    </row>
    <row r="178" spans="2:42" s="102" customFormat="1" ht="16.5">
      <c r="B178" s="107"/>
      <c r="C178" s="104"/>
      <c r="D178" s="106"/>
      <c r="E178" s="106"/>
      <c r="F178" s="106"/>
      <c r="G178" s="106"/>
      <c r="H178" s="106"/>
      <c r="I178" s="106"/>
      <c r="J178" s="106"/>
      <c r="K178" s="103"/>
      <c r="L178" s="106"/>
      <c r="N178" s="103"/>
      <c r="O178" s="103"/>
      <c r="P178" s="103"/>
      <c r="Q178" s="106"/>
      <c r="R178" s="103"/>
      <c r="S178" s="103"/>
      <c r="T178" s="103"/>
      <c r="U178" s="103"/>
      <c r="V178" s="103"/>
      <c r="W178" s="103"/>
      <c r="X178" s="105"/>
      <c r="Y178" s="103"/>
      <c r="AB178" s="103"/>
      <c r="AC178" s="103"/>
      <c r="AD178" s="103"/>
      <c r="AE178" s="103"/>
      <c r="AF178" s="103"/>
      <c r="AG178" s="103"/>
      <c r="AH178" s="103"/>
      <c r="AI178" s="103"/>
      <c r="AJ178" s="103"/>
      <c r="AK178" s="103"/>
      <c r="AL178" s="103"/>
      <c r="AM178" s="103"/>
      <c r="AN178" s="103"/>
      <c r="AO178" s="103"/>
      <c r="AP178" s="103"/>
    </row>
    <row r="179" spans="2:42" s="102" customFormat="1" ht="16.5">
      <c r="B179" s="107"/>
      <c r="C179" s="104"/>
      <c r="D179" s="106"/>
      <c r="E179" s="106"/>
      <c r="F179" s="106"/>
      <c r="G179" s="106"/>
      <c r="H179" s="106"/>
      <c r="I179" s="106"/>
      <c r="J179" s="106"/>
      <c r="K179" s="103"/>
      <c r="L179" s="106"/>
      <c r="N179" s="103"/>
      <c r="O179" s="103"/>
      <c r="P179" s="103"/>
      <c r="Q179" s="106"/>
      <c r="R179" s="103"/>
      <c r="S179" s="103"/>
      <c r="T179" s="103"/>
      <c r="U179" s="103"/>
      <c r="V179" s="103"/>
      <c r="W179" s="103"/>
      <c r="X179" s="105"/>
      <c r="Y179" s="103"/>
      <c r="AB179" s="103"/>
      <c r="AC179" s="103"/>
      <c r="AD179" s="103"/>
      <c r="AE179" s="103"/>
      <c r="AF179" s="103"/>
      <c r="AG179" s="103"/>
      <c r="AH179" s="103"/>
      <c r="AI179" s="103"/>
      <c r="AJ179" s="103"/>
      <c r="AK179" s="103"/>
      <c r="AL179" s="103"/>
      <c r="AM179" s="103"/>
      <c r="AN179" s="103"/>
      <c r="AO179" s="103"/>
      <c r="AP179" s="103"/>
    </row>
    <row r="180" spans="2:42" s="102" customFormat="1" ht="16.5">
      <c r="B180" s="107"/>
      <c r="C180" s="104"/>
      <c r="D180" s="106"/>
      <c r="E180" s="106"/>
      <c r="F180" s="106"/>
      <c r="G180" s="106"/>
      <c r="H180" s="106"/>
      <c r="I180" s="106"/>
      <c r="J180" s="106"/>
      <c r="K180" s="103"/>
      <c r="L180" s="106"/>
      <c r="N180" s="103"/>
      <c r="O180" s="103"/>
      <c r="P180" s="103"/>
      <c r="Q180" s="106"/>
      <c r="R180" s="103"/>
      <c r="S180" s="103"/>
      <c r="T180" s="103"/>
      <c r="U180" s="103"/>
      <c r="V180" s="103"/>
      <c r="W180" s="103"/>
      <c r="X180" s="105"/>
      <c r="Y180" s="103"/>
      <c r="AB180" s="103"/>
      <c r="AC180" s="103"/>
      <c r="AD180" s="103"/>
      <c r="AE180" s="103"/>
      <c r="AF180" s="103"/>
      <c r="AG180" s="103"/>
      <c r="AH180" s="103"/>
      <c r="AI180" s="103"/>
      <c r="AJ180" s="103"/>
      <c r="AK180" s="103"/>
      <c r="AL180" s="103"/>
      <c r="AM180" s="103"/>
      <c r="AN180" s="103"/>
      <c r="AO180" s="103"/>
      <c r="AP180" s="103"/>
    </row>
    <row r="181" spans="2:42" s="102" customFormat="1" ht="16.5">
      <c r="B181" s="107"/>
      <c r="C181" s="104"/>
      <c r="D181" s="106"/>
      <c r="E181" s="106"/>
      <c r="F181" s="106"/>
      <c r="G181" s="106"/>
      <c r="H181" s="106"/>
      <c r="I181" s="106"/>
      <c r="J181" s="106"/>
      <c r="K181" s="103"/>
      <c r="L181" s="106"/>
      <c r="N181" s="103"/>
      <c r="O181" s="103"/>
      <c r="P181" s="103"/>
      <c r="Q181" s="106"/>
      <c r="R181" s="103"/>
      <c r="S181" s="103"/>
      <c r="T181" s="103"/>
      <c r="U181" s="103"/>
      <c r="V181" s="103"/>
      <c r="W181" s="103"/>
      <c r="X181" s="105"/>
      <c r="Y181" s="103"/>
      <c r="AB181" s="103"/>
      <c r="AC181" s="103"/>
      <c r="AD181" s="103"/>
      <c r="AE181" s="103"/>
      <c r="AF181" s="103"/>
      <c r="AG181" s="103"/>
      <c r="AH181" s="103"/>
      <c r="AI181" s="103"/>
      <c r="AJ181" s="103"/>
      <c r="AK181" s="103"/>
      <c r="AL181" s="103"/>
      <c r="AM181" s="103"/>
      <c r="AN181" s="103"/>
      <c r="AO181" s="103"/>
      <c r="AP181" s="103"/>
    </row>
    <row r="182" spans="2:42" s="102" customFormat="1" ht="16.5">
      <c r="B182" s="107"/>
      <c r="C182" s="104"/>
      <c r="D182" s="106"/>
      <c r="E182" s="106"/>
      <c r="F182" s="106"/>
      <c r="G182" s="106"/>
      <c r="H182" s="106"/>
      <c r="I182" s="106"/>
      <c r="J182" s="106"/>
      <c r="K182" s="103"/>
      <c r="L182" s="106"/>
      <c r="N182" s="103"/>
      <c r="O182" s="103"/>
      <c r="P182" s="103"/>
      <c r="Q182" s="106"/>
      <c r="R182" s="103"/>
      <c r="S182" s="103"/>
      <c r="T182" s="103"/>
      <c r="U182" s="103"/>
      <c r="V182" s="103"/>
      <c r="W182" s="103"/>
      <c r="X182" s="105"/>
      <c r="Y182" s="103"/>
      <c r="AB182" s="103"/>
      <c r="AC182" s="103"/>
      <c r="AD182" s="103"/>
      <c r="AE182" s="103"/>
      <c r="AF182" s="103"/>
      <c r="AG182" s="103"/>
      <c r="AH182" s="103"/>
      <c r="AI182" s="103"/>
      <c r="AJ182" s="103"/>
      <c r="AK182" s="103"/>
      <c r="AL182" s="103"/>
      <c r="AM182" s="103"/>
      <c r="AN182" s="103"/>
      <c r="AO182" s="103"/>
      <c r="AP182" s="103"/>
    </row>
    <row r="183" spans="2:42" s="102" customFormat="1" ht="16.5">
      <c r="B183" s="104"/>
      <c r="C183" s="104"/>
      <c r="D183" s="104"/>
      <c r="E183" s="104"/>
      <c r="F183" s="104"/>
      <c r="G183" s="104"/>
      <c r="H183" s="104"/>
      <c r="I183" s="104"/>
      <c r="J183" s="104"/>
      <c r="L183" s="104"/>
      <c r="M183" s="103"/>
      <c r="N183" s="103"/>
      <c r="O183" s="103"/>
      <c r="P183" s="103"/>
      <c r="Q183" s="104"/>
      <c r="R183" s="103"/>
      <c r="S183" s="103"/>
      <c r="T183" s="103"/>
      <c r="U183" s="103"/>
      <c r="V183" s="103"/>
      <c r="W183" s="103"/>
      <c r="X183" s="103"/>
      <c r="Y183" s="103"/>
      <c r="AB183" s="103"/>
      <c r="AC183" s="103"/>
      <c r="AD183" s="103"/>
      <c r="AE183" s="103"/>
      <c r="AF183" s="103"/>
      <c r="AG183" s="103"/>
      <c r="AI183" s="103"/>
      <c r="AJ183" s="103"/>
      <c r="AK183" s="103"/>
      <c r="AL183" s="103"/>
      <c r="AM183" s="103"/>
      <c r="AN183" s="103"/>
      <c r="AO183" s="103"/>
      <c r="AP183" s="103"/>
    </row>
    <row r="184" spans="2:42">
      <c r="B184" s="58" t="s">
        <v>694</v>
      </c>
      <c r="F184" s="101"/>
      <c r="G184" s="101" t="s">
        <v>650</v>
      </c>
      <c r="H184" s="101"/>
      <c r="I184" s="101"/>
      <c r="K184" s="101"/>
      <c r="M184" s="57" t="s">
        <v>675</v>
      </c>
      <c r="R184" s="56" t="s">
        <v>693</v>
      </c>
      <c r="Z184" s="101"/>
      <c r="AA184" s="101"/>
      <c r="AB184" s="101"/>
      <c r="AH184" s="101"/>
    </row>
    <row r="185" spans="2:42">
      <c r="B185" s="58" t="s">
        <v>692</v>
      </c>
      <c r="F185" s="57"/>
      <c r="G185" s="57" t="s">
        <v>642</v>
      </c>
      <c r="H185" s="57"/>
      <c r="I185" s="57"/>
      <c r="M185" s="57" t="s">
        <v>673</v>
      </c>
      <c r="N185" s="57" t="s">
        <v>641</v>
      </c>
      <c r="U185" s="56">
        <v>2004</v>
      </c>
    </row>
    <row r="186" spans="2:42">
      <c r="B186" s="58" t="s">
        <v>691</v>
      </c>
      <c r="F186" s="57"/>
      <c r="G186" s="57" t="s">
        <v>642</v>
      </c>
      <c r="H186" s="57"/>
      <c r="I186" s="57"/>
      <c r="M186" s="57" t="s">
        <v>673</v>
      </c>
      <c r="U186" s="56">
        <v>2</v>
      </c>
    </row>
    <row r="187" spans="2:42">
      <c r="B187" s="58" t="s">
        <v>690</v>
      </c>
      <c r="F187" s="57"/>
      <c r="G187" s="57" t="s">
        <v>642</v>
      </c>
      <c r="H187" s="57"/>
      <c r="I187" s="57"/>
      <c r="M187" s="57" t="s">
        <v>673</v>
      </c>
      <c r="U187" s="56">
        <v>2005</v>
      </c>
    </row>
    <row r="188" spans="2:42">
      <c r="B188" s="58" t="s">
        <v>689</v>
      </c>
      <c r="F188" s="57"/>
      <c r="G188" s="57" t="s">
        <v>642</v>
      </c>
      <c r="H188" s="57"/>
      <c r="I188" s="57"/>
      <c r="M188" s="57" t="s">
        <v>673</v>
      </c>
    </row>
    <row r="189" spans="2:42">
      <c r="B189" s="58" t="s">
        <v>688</v>
      </c>
      <c r="F189" s="57"/>
      <c r="G189" s="57" t="s">
        <v>642</v>
      </c>
      <c r="H189" s="57"/>
      <c r="I189" s="57"/>
      <c r="M189" s="57" t="s">
        <v>673</v>
      </c>
      <c r="U189" s="56">
        <v>2009</v>
      </c>
    </row>
    <row r="190" spans="2:42">
      <c r="B190" s="58" t="s">
        <v>687</v>
      </c>
      <c r="F190" s="57"/>
      <c r="G190" s="57" t="s">
        <v>642</v>
      </c>
      <c r="H190" s="57"/>
      <c r="I190" s="57"/>
      <c r="M190" s="57" t="s">
        <v>673</v>
      </c>
      <c r="U190" s="56">
        <v>2006</v>
      </c>
    </row>
    <row r="191" spans="2:42">
      <c r="B191" s="58" t="s">
        <v>686</v>
      </c>
      <c r="F191" s="57"/>
      <c r="G191" s="57" t="s">
        <v>642</v>
      </c>
      <c r="H191" s="57"/>
      <c r="I191" s="57"/>
      <c r="M191" s="57" t="s">
        <v>673</v>
      </c>
    </row>
    <row r="192" spans="2:42">
      <c r="B192" s="58" t="s">
        <v>685</v>
      </c>
      <c r="F192" s="57"/>
      <c r="G192" s="57" t="s">
        <v>642</v>
      </c>
      <c r="H192" s="57"/>
      <c r="I192" s="57"/>
      <c r="M192" s="57" t="s">
        <v>673</v>
      </c>
    </row>
    <row r="193" spans="2:34">
      <c r="B193" s="58" t="s">
        <v>684</v>
      </c>
      <c r="F193" s="57"/>
      <c r="G193" s="57" t="s">
        <v>642</v>
      </c>
      <c r="H193" s="57"/>
      <c r="I193" s="57"/>
      <c r="M193" s="57" t="s">
        <v>673</v>
      </c>
      <c r="U193" s="56">
        <v>2009</v>
      </c>
    </row>
    <row r="194" spans="2:34">
      <c r="B194" s="58" t="s">
        <v>683</v>
      </c>
      <c r="F194" s="57"/>
      <c r="G194" s="57" t="s">
        <v>642</v>
      </c>
      <c r="H194" s="57"/>
      <c r="I194" s="57"/>
      <c r="M194" s="57" t="s">
        <v>673</v>
      </c>
      <c r="U194" s="56">
        <v>2004</v>
      </c>
    </row>
    <row r="195" spans="2:34">
      <c r="B195" s="58" t="s">
        <v>682</v>
      </c>
      <c r="F195" s="57"/>
      <c r="G195" s="57" t="s">
        <v>642</v>
      </c>
      <c r="H195" s="57"/>
      <c r="I195" s="57"/>
      <c r="M195" s="57" t="s">
        <v>673</v>
      </c>
      <c r="U195" s="56">
        <v>2005</v>
      </c>
    </row>
    <row r="196" spans="2:34">
      <c r="B196" s="58" t="s">
        <v>681</v>
      </c>
      <c r="F196" s="57"/>
      <c r="G196" s="57" t="s">
        <v>642</v>
      </c>
      <c r="H196" s="57"/>
      <c r="I196" s="57"/>
      <c r="M196" s="57" t="s">
        <v>673</v>
      </c>
      <c r="U196" s="56">
        <v>2005</v>
      </c>
    </row>
    <row r="197" spans="2:34">
      <c r="B197" s="58" t="s">
        <v>680</v>
      </c>
      <c r="F197" s="57"/>
      <c r="G197" s="57" t="s">
        <v>642</v>
      </c>
      <c r="H197" s="57"/>
      <c r="I197" s="57"/>
      <c r="M197" s="57" t="s">
        <v>673</v>
      </c>
    </row>
    <row r="198" spans="2:34">
      <c r="B198" s="58" t="s">
        <v>679</v>
      </c>
      <c r="F198" s="101"/>
      <c r="G198" s="101" t="s">
        <v>650</v>
      </c>
      <c r="H198" s="101"/>
      <c r="I198" s="101"/>
      <c r="K198" s="101"/>
      <c r="M198" s="57" t="s">
        <v>675</v>
      </c>
      <c r="N198" s="57" t="s">
        <v>641</v>
      </c>
      <c r="Z198" s="101"/>
      <c r="AA198" s="101"/>
      <c r="AB198" s="101"/>
      <c r="AH198" s="101"/>
    </row>
    <row r="199" spans="2:34">
      <c r="B199" s="58" t="s">
        <v>678</v>
      </c>
      <c r="F199" s="101"/>
      <c r="G199" s="101" t="s">
        <v>650</v>
      </c>
      <c r="H199" s="101"/>
      <c r="I199" s="101"/>
      <c r="K199" s="101"/>
      <c r="M199" s="57" t="s">
        <v>675</v>
      </c>
      <c r="N199" s="57" t="s">
        <v>641</v>
      </c>
      <c r="Z199" s="101"/>
      <c r="AA199" s="101"/>
      <c r="AB199" s="101"/>
      <c r="AH199" s="101"/>
    </row>
    <row r="200" spans="2:34">
      <c r="B200" s="58" t="s">
        <v>626</v>
      </c>
      <c r="F200" s="57"/>
      <c r="G200" s="57" t="s">
        <v>642</v>
      </c>
      <c r="H200" s="57"/>
      <c r="I200" s="57"/>
      <c r="P200" s="57" t="s">
        <v>675</v>
      </c>
      <c r="R200" s="56" t="s">
        <v>677</v>
      </c>
    </row>
    <row r="201" spans="2:34">
      <c r="B201" s="58" t="s">
        <v>625</v>
      </c>
      <c r="F201" s="57"/>
      <c r="G201" s="57" t="s">
        <v>642</v>
      </c>
      <c r="H201" s="57"/>
      <c r="I201" s="57"/>
      <c r="P201" s="57" t="s">
        <v>675</v>
      </c>
      <c r="R201" s="56" t="s">
        <v>677</v>
      </c>
    </row>
    <row r="202" spans="2:34">
      <c r="B202" s="58" t="s">
        <v>624</v>
      </c>
      <c r="F202" s="57"/>
      <c r="G202" s="57" t="s">
        <v>642</v>
      </c>
      <c r="H202" s="57"/>
      <c r="I202" s="57"/>
      <c r="P202" s="57" t="s">
        <v>675</v>
      </c>
      <c r="R202" s="56" t="s">
        <v>677</v>
      </c>
    </row>
    <row r="203" spans="2:34">
      <c r="B203" s="58" t="s">
        <v>623</v>
      </c>
      <c r="F203" s="57"/>
      <c r="G203" s="57" t="s">
        <v>642</v>
      </c>
      <c r="H203" s="57"/>
      <c r="I203" s="57"/>
      <c r="P203" s="57" t="s">
        <v>675</v>
      </c>
      <c r="R203" s="56" t="s">
        <v>677</v>
      </c>
    </row>
    <row r="204" spans="2:34">
      <c r="B204" s="58" t="s">
        <v>622</v>
      </c>
      <c r="F204" s="57"/>
      <c r="G204" s="57" t="s">
        <v>642</v>
      </c>
      <c r="H204" s="57"/>
      <c r="I204" s="57"/>
      <c r="P204" s="57" t="s">
        <v>675</v>
      </c>
      <c r="R204" s="56" t="s">
        <v>677</v>
      </c>
    </row>
    <row r="205" spans="2:34">
      <c r="B205" s="58" t="s">
        <v>676</v>
      </c>
      <c r="F205" s="101"/>
      <c r="G205" s="101" t="s">
        <v>650</v>
      </c>
      <c r="H205" s="101"/>
      <c r="I205" s="101"/>
      <c r="K205" s="101"/>
      <c r="M205" s="57" t="s">
        <v>675</v>
      </c>
      <c r="N205" s="57" t="s">
        <v>641</v>
      </c>
      <c r="Z205" s="101"/>
      <c r="AA205" s="101"/>
      <c r="AB205" s="101"/>
      <c r="AH205" s="101"/>
    </row>
    <row r="206" spans="2:34">
      <c r="B206" s="58" t="s">
        <v>674</v>
      </c>
      <c r="F206" s="57"/>
      <c r="G206" s="57" t="s">
        <v>642</v>
      </c>
      <c r="H206" s="57"/>
      <c r="I206" s="57"/>
      <c r="M206" s="57" t="s">
        <v>673</v>
      </c>
    </row>
    <row r="207" spans="2:34">
      <c r="B207" s="58" t="s">
        <v>672</v>
      </c>
      <c r="F207" s="57"/>
      <c r="G207" s="57" t="s">
        <v>642</v>
      </c>
      <c r="H207" s="57"/>
      <c r="I207" s="57"/>
      <c r="N207" s="57" t="s">
        <v>641</v>
      </c>
    </row>
    <row r="208" spans="2:34">
      <c r="B208" s="58" t="s">
        <v>671</v>
      </c>
      <c r="F208" s="57"/>
      <c r="G208" s="57" t="s">
        <v>642</v>
      </c>
      <c r="H208" s="57"/>
      <c r="I208" s="57"/>
      <c r="N208" s="57" t="s">
        <v>641</v>
      </c>
    </row>
    <row r="209" spans="2:34">
      <c r="B209" s="58" t="s">
        <v>670</v>
      </c>
      <c r="F209" s="57"/>
      <c r="G209" s="57" t="s">
        <v>642</v>
      </c>
      <c r="H209" s="57"/>
      <c r="I209" s="57"/>
      <c r="N209" s="57" t="s">
        <v>641</v>
      </c>
    </row>
    <row r="210" spans="2:34">
      <c r="B210" s="58" t="s">
        <v>669</v>
      </c>
      <c r="F210" s="57"/>
      <c r="G210" s="57" t="s">
        <v>642</v>
      </c>
      <c r="H210" s="57"/>
      <c r="I210" s="57"/>
      <c r="N210" s="57" t="s">
        <v>641</v>
      </c>
    </row>
    <row r="211" spans="2:34">
      <c r="B211" s="58" t="s">
        <v>668</v>
      </c>
      <c r="F211" s="57"/>
      <c r="G211" s="57" t="s">
        <v>642</v>
      </c>
      <c r="H211" s="57"/>
      <c r="I211" s="57"/>
      <c r="N211" s="57" t="s">
        <v>641</v>
      </c>
    </row>
    <row r="212" spans="2:34">
      <c r="B212" s="58" t="s">
        <v>667</v>
      </c>
      <c r="F212" s="57"/>
      <c r="G212" s="57" t="s">
        <v>642</v>
      </c>
      <c r="H212" s="57"/>
      <c r="I212" s="57"/>
      <c r="N212" s="57" t="s">
        <v>641</v>
      </c>
    </row>
    <row r="213" spans="2:34">
      <c r="B213" s="58" t="s">
        <v>666</v>
      </c>
      <c r="F213" s="57"/>
      <c r="G213" s="57" t="s">
        <v>642</v>
      </c>
      <c r="H213" s="57"/>
      <c r="I213" s="57"/>
      <c r="N213" s="57" t="s">
        <v>641</v>
      </c>
    </row>
    <row r="214" spans="2:34">
      <c r="B214" s="58" t="s">
        <v>665</v>
      </c>
      <c r="F214" s="57"/>
      <c r="G214" s="57" t="s">
        <v>642</v>
      </c>
      <c r="H214" s="57"/>
      <c r="I214" s="57"/>
    </row>
    <row r="215" spans="2:34">
      <c r="B215" s="58" t="s">
        <v>664</v>
      </c>
      <c r="F215" s="57"/>
      <c r="G215" s="57" t="s">
        <v>642</v>
      </c>
      <c r="H215" s="57"/>
      <c r="I215" s="57"/>
    </row>
    <row r="216" spans="2:34">
      <c r="B216" s="58" t="s">
        <v>663</v>
      </c>
      <c r="F216" s="57"/>
      <c r="G216" s="57" t="s">
        <v>642</v>
      </c>
      <c r="H216" s="57"/>
      <c r="I216" s="57"/>
    </row>
    <row r="217" spans="2:34">
      <c r="F217" s="57"/>
      <c r="G217" s="57"/>
      <c r="H217" s="57"/>
      <c r="I217" s="57"/>
    </row>
    <row r="218" spans="2:34">
      <c r="B218" s="58" t="s">
        <v>662</v>
      </c>
      <c r="F218" s="101"/>
      <c r="G218" s="101" t="s">
        <v>650</v>
      </c>
      <c r="H218" s="101"/>
      <c r="I218" s="101"/>
      <c r="K218" s="101"/>
      <c r="N218" s="57" t="s">
        <v>641</v>
      </c>
      <c r="Z218" s="101"/>
      <c r="AA218" s="101"/>
      <c r="AB218" s="101"/>
      <c r="AH218" s="101"/>
    </row>
    <row r="219" spans="2:34">
      <c r="B219" s="58" t="s">
        <v>661</v>
      </c>
      <c r="F219" s="101"/>
      <c r="G219" s="101" t="s">
        <v>650</v>
      </c>
      <c r="H219" s="101"/>
      <c r="I219" s="101"/>
      <c r="K219" s="101"/>
      <c r="N219" s="57" t="s">
        <v>641</v>
      </c>
      <c r="Z219" s="101"/>
      <c r="AA219" s="101"/>
      <c r="AB219" s="101"/>
      <c r="AH219" s="101"/>
    </row>
    <row r="220" spans="2:34">
      <c r="B220" s="58" t="s">
        <v>660</v>
      </c>
      <c r="F220" s="101"/>
      <c r="G220" s="101" t="s">
        <v>650</v>
      </c>
      <c r="H220" s="101"/>
      <c r="I220" s="101"/>
      <c r="K220" s="101"/>
      <c r="N220" s="57" t="s">
        <v>641</v>
      </c>
      <c r="Z220" s="101"/>
      <c r="AA220" s="101"/>
      <c r="AB220" s="101"/>
      <c r="AH220" s="101"/>
    </row>
    <row r="221" spans="2:34">
      <c r="B221" s="58" t="s">
        <v>659</v>
      </c>
      <c r="F221" s="101"/>
      <c r="G221" s="101" t="s">
        <v>650</v>
      </c>
      <c r="H221" s="101"/>
      <c r="I221" s="101"/>
      <c r="K221" s="101"/>
      <c r="N221" s="57" t="s">
        <v>641</v>
      </c>
      <c r="Z221" s="101"/>
      <c r="AA221" s="101"/>
      <c r="AB221" s="101"/>
      <c r="AH221" s="101"/>
    </row>
    <row r="222" spans="2:34">
      <c r="B222" s="58" t="s">
        <v>658</v>
      </c>
      <c r="F222" s="101"/>
      <c r="G222" s="101" t="s">
        <v>650</v>
      </c>
      <c r="H222" s="101"/>
      <c r="I222" s="101"/>
      <c r="K222" s="101"/>
      <c r="N222" s="57" t="s">
        <v>641</v>
      </c>
      <c r="Z222" s="101"/>
      <c r="AA222" s="101"/>
      <c r="AB222" s="101"/>
      <c r="AH222" s="101"/>
    </row>
    <row r="223" spans="2:34">
      <c r="B223" s="58" t="s">
        <v>657</v>
      </c>
      <c r="F223" s="101"/>
      <c r="G223" s="101" t="s">
        <v>650</v>
      </c>
      <c r="H223" s="101"/>
      <c r="I223" s="101"/>
      <c r="K223" s="101"/>
      <c r="N223" s="57" t="s">
        <v>641</v>
      </c>
      <c r="Z223" s="101"/>
      <c r="AA223" s="101"/>
      <c r="AB223" s="101"/>
      <c r="AH223" s="101"/>
    </row>
    <row r="224" spans="2:34">
      <c r="B224" s="58" t="s">
        <v>656</v>
      </c>
      <c r="F224" s="101"/>
      <c r="G224" s="101" t="s">
        <v>650</v>
      </c>
      <c r="H224" s="101"/>
      <c r="I224" s="101"/>
      <c r="K224" s="101"/>
      <c r="N224" s="57" t="s">
        <v>641</v>
      </c>
      <c r="Z224" s="101"/>
      <c r="AA224" s="101"/>
      <c r="AB224" s="101"/>
      <c r="AH224" s="101"/>
    </row>
    <row r="225" spans="2:34">
      <c r="B225" s="58" t="s">
        <v>655</v>
      </c>
      <c r="F225" s="101"/>
      <c r="G225" s="101" t="s">
        <v>650</v>
      </c>
      <c r="H225" s="101"/>
      <c r="I225" s="101"/>
      <c r="K225" s="101"/>
      <c r="N225" s="57" t="s">
        <v>641</v>
      </c>
      <c r="Z225" s="101"/>
      <c r="AA225" s="101"/>
      <c r="AB225" s="101"/>
      <c r="AH225" s="101"/>
    </row>
    <row r="226" spans="2:34">
      <c r="B226" s="58" t="s">
        <v>654</v>
      </c>
      <c r="F226" s="101"/>
      <c r="G226" s="101" t="s">
        <v>650</v>
      </c>
      <c r="H226" s="101"/>
      <c r="I226" s="101"/>
      <c r="K226" s="101"/>
      <c r="N226" s="57" t="s">
        <v>641</v>
      </c>
      <c r="Z226" s="101"/>
      <c r="AA226" s="101"/>
      <c r="AB226" s="101"/>
      <c r="AH226" s="101"/>
    </row>
    <row r="227" spans="2:34">
      <c r="B227" s="58" t="s">
        <v>653</v>
      </c>
      <c r="F227" s="101"/>
      <c r="G227" s="101" t="s">
        <v>650</v>
      </c>
      <c r="H227" s="101"/>
      <c r="I227" s="101"/>
      <c r="K227" s="101"/>
      <c r="N227" s="57" t="s">
        <v>641</v>
      </c>
      <c r="Z227" s="101"/>
      <c r="AA227" s="101"/>
      <c r="AB227" s="101"/>
      <c r="AH227" s="101"/>
    </row>
    <row r="228" spans="2:34">
      <c r="B228" s="58" t="s">
        <v>652</v>
      </c>
      <c r="F228" s="101"/>
      <c r="G228" s="101" t="s">
        <v>650</v>
      </c>
      <c r="H228" s="101"/>
      <c r="I228" s="101"/>
      <c r="K228" s="101"/>
      <c r="N228" s="57" t="s">
        <v>641</v>
      </c>
      <c r="Z228" s="101"/>
      <c r="AA228" s="101"/>
      <c r="AB228" s="101"/>
      <c r="AH228" s="101"/>
    </row>
    <row r="229" spans="2:34">
      <c r="B229" s="58" t="s">
        <v>651</v>
      </c>
      <c r="F229" s="101"/>
      <c r="G229" s="101" t="s">
        <v>650</v>
      </c>
      <c r="H229" s="101"/>
      <c r="I229" s="101"/>
      <c r="K229" s="101"/>
      <c r="N229" s="57" t="s">
        <v>641</v>
      </c>
      <c r="Z229" s="101"/>
      <c r="AA229" s="101"/>
      <c r="AB229" s="101"/>
      <c r="AH229" s="101"/>
    </row>
    <row r="230" spans="2:34">
      <c r="F230" s="57"/>
      <c r="G230" s="57"/>
      <c r="H230" s="57"/>
      <c r="I230" s="57"/>
    </row>
    <row r="231" spans="2:34">
      <c r="B231" s="58" t="s">
        <v>649</v>
      </c>
      <c r="F231" s="57"/>
      <c r="G231" s="57" t="s">
        <v>642</v>
      </c>
      <c r="H231" s="57"/>
      <c r="I231" s="57"/>
      <c r="N231" s="57" t="s">
        <v>641</v>
      </c>
    </row>
    <row r="232" spans="2:34">
      <c r="B232" s="58" t="s">
        <v>648</v>
      </c>
      <c r="F232" s="57"/>
      <c r="G232" s="57" t="s">
        <v>642</v>
      </c>
      <c r="H232" s="57"/>
      <c r="I232" s="57"/>
      <c r="N232" s="57" t="s">
        <v>641</v>
      </c>
    </row>
    <row r="233" spans="2:34">
      <c r="B233" s="58" t="s">
        <v>647</v>
      </c>
      <c r="F233" s="57"/>
      <c r="G233" s="57" t="s">
        <v>642</v>
      </c>
      <c r="H233" s="57"/>
      <c r="I233" s="57"/>
      <c r="N233" s="57" t="s">
        <v>641</v>
      </c>
    </row>
    <row r="234" spans="2:34">
      <c r="B234" s="58" t="s">
        <v>646</v>
      </c>
      <c r="F234" s="57"/>
      <c r="G234" s="57" t="s">
        <v>642</v>
      </c>
      <c r="H234" s="57"/>
      <c r="I234" s="57"/>
      <c r="N234" s="57" t="s">
        <v>641</v>
      </c>
    </row>
    <row r="235" spans="2:34">
      <c r="B235" s="58" t="s">
        <v>645</v>
      </c>
      <c r="F235" s="57"/>
      <c r="G235" s="57" t="s">
        <v>642</v>
      </c>
      <c r="H235" s="57"/>
      <c r="I235" s="57"/>
      <c r="N235" s="57" t="s">
        <v>641</v>
      </c>
    </row>
    <row r="236" spans="2:34">
      <c r="B236" s="58" t="s">
        <v>644</v>
      </c>
      <c r="F236" s="57"/>
      <c r="G236" s="57" t="s">
        <v>642</v>
      </c>
      <c r="H236" s="57"/>
      <c r="I236" s="57"/>
      <c r="N236" s="57" t="s">
        <v>641</v>
      </c>
    </row>
    <row r="237" spans="2:34">
      <c r="B237" s="58" t="s">
        <v>643</v>
      </c>
      <c r="F237" s="57"/>
      <c r="G237" s="57" t="s">
        <v>642</v>
      </c>
      <c r="H237" s="57"/>
      <c r="I237" s="57"/>
      <c r="N237" s="57" t="s">
        <v>641</v>
      </c>
    </row>
    <row r="239" spans="2:34">
      <c r="B239" s="58" t="s">
        <v>640</v>
      </c>
    </row>
    <row r="240" spans="2:34">
      <c r="B240" s="58" t="s">
        <v>639</v>
      </c>
    </row>
    <row r="241" spans="2:2">
      <c r="B241" s="58" t="s">
        <v>638</v>
      </c>
    </row>
    <row r="242" spans="2:2">
      <c r="B242" s="58" t="s">
        <v>637</v>
      </c>
    </row>
    <row r="243" spans="2:2">
      <c r="B243" s="58" t="s">
        <v>636</v>
      </c>
    </row>
    <row r="244" spans="2:2">
      <c r="B244" s="58" t="s">
        <v>635</v>
      </c>
    </row>
    <row r="245" spans="2:2">
      <c r="B245" s="58" t="s">
        <v>634</v>
      </c>
    </row>
    <row r="247" spans="2:2">
      <c r="B247" s="58" t="s">
        <v>633</v>
      </c>
    </row>
    <row r="248" spans="2:2">
      <c r="B248" s="58" t="s">
        <v>632</v>
      </c>
    </row>
    <row r="249" spans="2:2">
      <c r="B249" s="58" t="s">
        <v>631</v>
      </c>
    </row>
    <row r="250" spans="2:2">
      <c r="B250" s="58" t="s">
        <v>630</v>
      </c>
    </row>
    <row r="251" spans="2:2">
      <c r="B251" s="58" t="s">
        <v>629</v>
      </c>
    </row>
    <row r="253" spans="2:2">
      <c r="B253" s="58" t="s">
        <v>628</v>
      </c>
    </row>
    <row r="254" spans="2:2">
      <c r="B254" s="58" t="s">
        <v>627</v>
      </c>
    </row>
    <row r="255" spans="2:2">
      <c r="B255" s="58" t="s">
        <v>626</v>
      </c>
    </row>
    <row r="256" spans="2:2">
      <c r="B256" s="58" t="s">
        <v>625</v>
      </c>
    </row>
    <row r="257" spans="2:2">
      <c r="B257" s="58" t="s">
        <v>624</v>
      </c>
    </row>
    <row r="258" spans="2:2">
      <c r="B258" s="58" t="s">
        <v>623</v>
      </c>
    </row>
    <row r="259" spans="2:2">
      <c r="B259" s="58" t="s">
        <v>622</v>
      </c>
    </row>
    <row r="261" spans="2:2">
      <c r="B261" s="58" t="s">
        <v>621</v>
      </c>
    </row>
    <row r="262" spans="2:2">
      <c r="B262" s="58" t="s">
        <v>620</v>
      </c>
    </row>
    <row r="263" spans="2:2">
      <c r="B263" s="58" t="s">
        <v>619</v>
      </c>
    </row>
    <row r="264" spans="2:2">
      <c r="B264" s="58" t="s">
        <v>618</v>
      </c>
    </row>
    <row r="265" spans="2:2">
      <c r="B265" s="58" t="s">
        <v>617</v>
      </c>
    </row>
    <row r="266" spans="2:2">
      <c r="B266" s="58" t="s">
        <v>616</v>
      </c>
    </row>
    <row r="267" spans="2:2">
      <c r="B267" s="58" t="s">
        <v>615</v>
      </c>
    </row>
    <row r="268" spans="2:2">
      <c r="B268" s="58" t="s">
        <v>614</v>
      </c>
    </row>
    <row r="269" spans="2:2">
      <c r="B269" s="58" t="s">
        <v>613</v>
      </c>
    </row>
    <row r="270" spans="2:2">
      <c r="B270" s="58" t="s">
        <v>612</v>
      </c>
    </row>
    <row r="271" spans="2:2">
      <c r="B271" s="58" t="s">
        <v>611</v>
      </c>
    </row>
    <row r="272" spans="2:2">
      <c r="B272" s="58" t="s">
        <v>610</v>
      </c>
    </row>
    <row r="273" spans="2:2" ht="28.5">
      <c r="B273" s="58" t="s">
        <v>609</v>
      </c>
    </row>
    <row r="274" spans="2:2">
      <c r="B274" s="58" t="s">
        <v>608</v>
      </c>
    </row>
    <row r="275" spans="2:2">
      <c r="B275" s="58" t="s">
        <v>607</v>
      </c>
    </row>
    <row r="276" spans="2:2">
      <c r="B276" s="58" t="s">
        <v>606</v>
      </c>
    </row>
    <row r="277" spans="2:2">
      <c r="B277" s="58" t="s">
        <v>605</v>
      </c>
    </row>
    <row r="278" spans="2:2">
      <c r="B278" s="58" t="s">
        <v>604</v>
      </c>
    </row>
    <row r="279" spans="2:2">
      <c r="B279" s="58" t="s">
        <v>603</v>
      </c>
    </row>
    <row r="280" spans="2:2">
      <c r="B280" s="58" t="s">
        <v>602</v>
      </c>
    </row>
    <row r="281" spans="2:2">
      <c r="B281" s="58" t="s">
        <v>601</v>
      </c>
    </row>
    <row r="282" spans="2:2">
      <c r="B282" s="58" t="s">
        <v>600</v>
      </c>
    </row>
    <row r="283" spans="2:2">
      <c r="B283" s="58" t="s">
        <v>599</v>
      </c>
    </row>
    <row r="284" spans="2:2">
      <c r="B284" s="58" t="s">
        <v>598</v>
      </c>
    </row>
    <row r="285" spans="2:2">
      <c r="B285" s="58" t="s">
        <v>597</v>
      </c>
    </row>
    <row r="286" spans="2:2">
      <c r="B286" s="58" t="s">
        <v>596</v>
      </c>
    </row>
    <row r="287" spans="2:2">
      <c r="B287" s="58" t="s">
        <v>595</v>
      </c>
    </row>
    <row r="288" spans="2:2">
      <c r="B288" s="58" t="s">
        <v>594</v>
      </c>
    </row>
    <row r="289" spans="2:2">
      <c r="B289" s="58" t="s">
        <v>593</v>
      </c>
    </row>
    <row r="290" spans="2:2">
      <c r="B290" s="58" t="s">
        <v>592</v>
      </c>
    </row>
    <row r="291" spans="2:2">
      <c r="B291" s="58" t="s">
        <v>591</v>
      </c>
    </row>
    <row r="292" spans="2:2">
      <c r="B292" s="58" t="s">
        <v>590</v>
      </c>
    </row>
    <row r="293" spans="2:2">
      <c r="B293" s="58" t="s">
        <v>589</v>
      </c>
    </row>
    <row r="294" spans="2:2">
      <c r="B294" s="58" t="s">
        <v>588</v>
      </c>
    </row>
    <row r="295" spans="2:2">
      <c r="B295" s="58" t="s">
        <v>587</v>
      </c>
    </row>
    <row r="296" spans="2:2">
      <c r="B296" s="58" t="s">
        <v>586</v>
      </c>
    </row>
    <row r="297" spans="2:2">
      <c r="B297" s="58" t="s">
        <v>585</v>
      </c>
    </row>
    <row r="298" spans="2:2">
      <c r="B298" s="58" t="s">
        <v>584</v>
      </c>
    </row>
    <row r="299" spans="2:2">
      <c r="B299" s="58" t="s">
        <v>583</v>
      </c>
    </row>
    <row r="300" spans="2:2">
      <c r="B300" s="58" t="s">
        <v>582</v>
      </c>
    </row>
    <row r="301" spans="2:2">
      <c r="B301" s="58" t="s">
        <v>581</v>
      </c>
    </row>
    <row r="302" spans="2:2">
      <c r="B302" s="58" t="s">
        <v>580</v>
      </c>
    </row>
    <row r="303" spans="2:2">
      <c r="B303" s="58" t="s">
        <v>579</v>
      </c>
    </row>
    <row r="304" spans="2:2">
      <c r="B304" s="58" t="s">
        <v>578</v>
      </c>
    </row>
    <row r="305" spans="2:32">
      <c r="B305" s="58" t="s">
        <v>577</v>
      </c>
    </row>
    <row r="306" spans="2:32">
      <c r="B306" s="58" t="s">
        <v>576</v>
      </c>
    </row>
    <row r="307" spans="2:32">
      <c r="B307" s="58" t="s">
        <v>575</v>
      </c>
    </row>
    <row r="308" spans="2:32" ht="28.5">
      <c r="B308" s="58" t="s">
        <v>574</v>
      </c>
    </row>
    <row r="309" spans="2:32">
      <c r="B309" s="58" t="s">
        <v>573</v>
      </c>
    </row>
    <row r="310" spans="2:32">
      <c r="B310" s="58" t="s">
        <v>572</v>
      </c>
    </row>
    <row r="311" spans="2:32">
      <c r="B311" s="58" t="s">
        <v>571</v>
      </c>
    </row>
    <row r="312" spans="2:32">
      <c r="B312" s="58" t="s">
        <v>570</v>
      </c>
    </row>
    <row r="313" spans="2:32">
      <c r="B313" s="58" t="s">
        <v>569</v>
      </c>
    </row>
    <row r="314" spans="2:32">
      <c r="B314" s="58" t="s">
        <v>568</v>
      </c>
    </row>
    <row r="315" spans="2:32">
      <c r="B315" s="58" t="s">
        <v>772</v>
      </c>
      <c r="F315" s="57"/>
      <c r="G315" s="57" t="s">
        <v>642</v>
      </c>
      <c r="H315" s="57"/>
      <c r="I315" s="57"/>
      <c r="N315" s="57" t="s">
        <v>641</v>
      </c>
      <c r="AC315" s="57" t="s">
        <v>641</v>
      </c>
      <c r="AD315" s="57" t="s">
        <v>641</v>
      </c>
      <c r="AF315" s="57" t="s">
        <v>641</v>
      </c>
    </row>
    <row r="316" spans="2:32">
      <c r="B316" s="58" t="s">
        <v>771</v>
      </c>
      <c r="F316" s="57"/>
      <c r="G316" s="57" t="s">
        <v>642</v>
      </c>
      <c r="H316" s="57"/>
      <c r="I316" s="57"/>
      <c r="N316" s="57" t="s">
        <v>641</v>
      </c>
      <c r="AC316" s="57" t="s">
        <v>641</v>
      </c>
      <c r="AD316" s="57" t="s">
        <v>641</v>
      </c>
      <c r="AF316" s="57" t="s">
        <v>641</v>
      </c>
    </row>
    <row r="317" spans="2:32">
      <c r="B317" s="58" t="s">
        <v>770</v>
      </c>
      <c r="F317" s="57"/>
      <c r="G317" s="57" t="s">
        <v>642</v>
      </c>
      <c r="H317" s="57"/>
      <c r="I317" s="57"/>
      <c r="N317" s="57" t="s">
        <v>641</v>
      </c>
      <c r="AC317" s="57" t="s">
        <v>641</v>
      </c>
      <c r="AD317" s="57" t="s">
        <v>641</v>
      </c>
      <c r="AF317" s="57" t="s">
        <v>641</v>
      </c>
    </row>
    <row r="318" spans="2:32" ht="12.75" customHeight="1">
      <c r="B318" s="58" t="s">
        <v>769</v>
      </c>
      <c r="F318" s="57"/>
      <c r="G318" s="57" t="s">
        <v>642</v>
      </c>
      <c r="H318" s="57"/>
      <c r="I318" s="57"/>
      <c r="N318" s="57" t="s">
        <v>641</v>
      </c>
      <c r="AC318" s="57" t="s">
        <v>641</v>
      </c>
      <c r="AD318" s="57" t="s">
        <v>641</v>
      </c>
      <c r="AF318" s="57" t="s">
        <v>641</v>
      </c>
    </row>
    <row r="319" spans="2:32" ht="12.75" customHeight="1">
      <c r="B319" s="58" t="s">
        <v>768</v>
      </c>
      <c r="F319" s="57"/>
      <c r="G319" s="57" t="s">
        <v>642</v>
      </c>
      <c r="H319" s="57"/>
      <c r="I319" s="57"/>
      <c r="N319" s="57" t="s">
        <v>641</v>
      </c>
      <c r="AC319" s="57" t="s">
        <v>641</v>
      </c>
      <c r="AD319" s="57" t="s">
        <v>641</v>
      </c>
      <c r="AF319" s="57" t="s">
        <v>641</v>
      </c>
    </row>
    <row r="320" spans="2:32">
      <c r="B320" s="58" t="s">
        <v>767</v>
      </c>
      <c r="F320" s="57"/>
      <c r="G320" s="57" t="s">
        <v>642</v>
      </c>
      <c r="H320" s="57"/>
      <c r="I320" s="57"/>
      <c r="N320" s="57" t="s">
        <v>641</v>
      </c>
      <c r="AC320" s="57" t="s">
        <v>641</v>
      </c>
      <c r="AD320" s="57" t="s">
        <v>641</v>
      </c>
      <c r="AF320" s="57" t="s">
        <v>641</v>
      </c>
    </row>
    <row r="321" spans="2:32">
      <c r="B321" s="58" t="s">
        <v>766</v>
      </c>
      <c r="F321" s="57"/>
      <c r="G321" s="57" t="s">
        <v>642</v>
      </c>
      <c r="H321" s="57"/>
      <c r="I321" s="57"/>
      <c r="N321" s="57" t="s">
        <v>641</v>
      </c>
      <c r="AC321" s="57" t="s">
        <v>641</v>
      </c>
      <c r="AD321" s="57" t="s">
        <v>641</v>
      </c>
      <c r="AF321" s="57" t="s">
        <v>641</v>
      </c>
    </row>
    <row r="322" spans="2:32">
      <c r="B322" s="58" t="s">
        <v>765</v>
      </c>
      <c r="F322" s="57"/>
      <c r="G322" s="57" t="s">
        <v>642</v>
      </c>
      <c r="H322" s="57"/>
      <c r="I322" s="57"/>
      <c r="N322" s="57" t="s">
        <v>641</v>
      </c>
      <c r="AC322" s="57" t="s">
        <v>641</v>
      </c>
      <c r="AD322" s="57" t="s">
        <v>641</v>
      </c>
      <c r="AF322" s="57" t="s">
        <v>641</v>
      </c>
    </row>
    <row r="323" spans="2:32">
      <c r="B323" s="58" t="s">
        <v>764</v>
      </c>
      <c r="F323" s="57"/>
      <c r="G323" s="57" t="s">
        <v>642</v>
      </c>
      <c r="H323" s="57"/>
      <c r="I323" s="57"/>
      <c r="N323" s="57" t="s">
        <v>641</v>
      </c>
      <c r="AC323" s="57" t="s">
        <v>641</v>
      </c>
      <c r="AD323" s="57" t="s">
        <v>641</v>
      </c>
      <c r="AF323" s="57" t="s">
        <v>641</v>
      </c>
    </row>
    <row r="324" spans="2:32">
      <c r="B324" s="58" t="s">
        <v>749</v>
      </c>
      <c r="F324" s="57"/>
      <c r="G324" s="57" t="s">
        <v>642</v>
      </c>
      <c r="H324" s="57"/>
      <c r="I324" s="57"/>
      <c r="N324" s="57" t="s">
        <v>641</v>
      </c>
      <c r="AC324" s="57" t="s">
        <v>641</v>
      </c>
      <c r="AD324" s="57" t="s">
        <v>641</v>
      </c>
      <c r="AF324" s="57" t="s">
        <v>641</v>
      </c>
    </row>
    <row r="325" spans="2:32">
      <c r="B325" s="58" t="s">
        <v>759</v>
      </c>
      <c r="F325" s="57"/>
      <c r="G325" s="57" t="s">
        <v>642</v>
      </c>
      <c r="H325" s="57"/>
      <c r="I325" s="57"/>
      <c r="N325" s="57" t="s">
        <v>641</v>
      </c>
      <c r="AC325" s="57" t="s">
        <v>641</v>
      </c>
      <c r="AD325" s="57" t="s">
        <v>641</v>
      </c>
      <c r="AF325" s="57" t="s">
        <v>641</v>
      </c>
    </row>
    <row r="326" spans="2:32">
      <c r="B326" s="58" t="s">
        <v>763</v>
      </c>
      <c r="F326" s="57"/>
      <c r="G326" s="57" t="s">
        <v>642</v>
      </c>
      <c r="H326" s="57"/>
      <c r="I326" s="57"/>
      <c r="N326" s="57" t="s">
        <v>641</v>
      </c>
      <c r="AC326" s="57" t="s">
        <v>641</v>
      </c>
      <c r="AF326" s="57" t="s">
        <v>641</v>
      </c>
    </row>
    <row r="327" spans="2:32">
      <c r="B327" s="58" t="s">
        <v>762</v>
      </c>
      <c r="F327" s="57"/>
      <c r="G327" s="57" t="s">
        <v>642</v>
      </c>
      <c r="H327" s="57"/>
      <c r="I327" s="57"/>
      <c r="N327" s="57" t="s">
        <v>641</v>
      </c>
      <c r="AC327" s="57" t="s">
        <v>641</v>
      </c>
      <c r="AF327" s="57" t="s">
        <v>641</v>
      </c>
    </row>
    <row r="328" spans="2:32">
      <c r="B328" s="58" t="s">
        <v>761</v>
      </c>
      <c r="F328" s="57"/>
      <c r="G328" s="57" t="s">
        <v>642</v>
      </c>
      <c r="H328" s="57"/>
      <c r="I328" s="57"/>
      <c r="N328" s="57" t="s">
        <v>641</v>
      </c>
      <c r="AC328" s="57" t="s">
        <v>641</v>
      </c>
      <c r="AF328" s="57" t="s">
        <v>641</v>
      </c>
    </row>
    <row r="329" spans="2:32">
      <c r="B329" s="58" t="s">
        <v>760</v>
      </c>
      <c r="F329" s="57"/>
      <c r="G329" s="57" t="s">
        <v>642</v>
      </c>
      <c r="H329" s="57"/>
      <c r="I329" s="57"/>
      <c r="N329" s="57" t="s">
        <v>641</v>
      </c>
      <c r="AC329" s="57" t="s">
        <v>641</v>
      </c>
      <c r="AF329" s="57" t="s">
        <v>641</v>
      </c>
    </row>
    <row r="330" spans="2:32">
      <c r="B330" s="58" t="s">
        <v>759</v>
      </c>
      <c r="F330" s="57"/>
      <c r="G330" s="57" t="s">
        <v>642</v>
      </c>
      <c r="H330" s="57"/>
      <c r="I330" s="57"/>
      <c r="N330" s="57" t="s">
        <v>641</v>
      </c>
      <c r="AC330" s="57" t="s">
        <v>641</v>
      </c>
      <c r="AF330" s="57" t="s">
        <v>641</v>
      </c>
    </row>
    <row r="331" spans="2:32">
      <c r="B331" s="58" t="s">
        <v>758</v>
      </c>
      <c r="F331" s="57"/>
      <c r="G331" s="57" t="s">
        <v>642</v>
      </c>
      <c r="H331" s="57"/>
      <c r="I331" s="57"/>
      <c r="N331" s="57" t="s">
        <v>641</v>
      </c>
      <c r="AC331" s="57" t="s">
        <v>641</v>
      </c>
      <c r="AF331" s="57" t="s">
        <v>641</v>
      </c>
    </row>
    <row r="332" spans="2:32">
      <c r="B332" s="58" t="s">
        <v>757</v>
      </c>
      <c r="F332" s="57"/>
      <c r="G332" s="57" t="s">
        <v>642</v>
      </c>
      <c r="H332" s="57"/>
      <c r="I332" s="57"/>
      <c r="N332" s="57" t="s">
        <v>641</v>
      </c>
      <c r="AC332" s="57" t="s">
        <v>641</v>
      </c>
      <c r="AF332" s="57" t="s">
        <v>641</v>
      </c>
    </row>
    <row r="333" spans="2:32">
      <c r="B333" s="58" t="s">
        <v>756</v>
      </c>
      <c r="F333" s="57"/>
      <c r="G333" s="57" t="s">
        <v>642</v>
      </c>
      <c r="H333" s="57"/>
      <c r="I333" s="57"/>
      <c r="N333" s="57" t="s">
        <v>641</v>
      </c>
      <c r="AC333" s="57" t="s">
        <v>641</v>
      </c>
      <c r="AF333" s="57" t="s">
        <v>641</v>
      </c>
    </row>
    <row r="334" spans="2:32">
      <c r="B334" s="58" t="s">
        <v>755</v>
      </c>
      <c r="F334" s="57"/>
      <c r="G334" s="57" t="s">
        <v>642</v>
      </c>
      <c r="H334" s="57"/>
      <c r="I334" s="57"/>
      <c r="N334" s="57" t="s">
        <v>641</v>
      </c>
      <c r="AC334" s="57" t="s">
        <v>641</v>
      </c>
      <c r="AF334" s="57" t="s">
        <v>641</v>
      </c>
    </row>
    <row r="335" spans="2:32">
      <c r="B335" s="58" t="s">
        <v>754</v>
      </c>
      <c r="F335" s="57"/>
      <c r="G335" s="57" t="s">
        <v>642</v>
      </c>
      <c r="H335" s="57"/>
      <c r="I335" s="57"/>
      <c r="N335" s="57" t="s">
        <v>641</v>
      </c>
      <c r="AC335" s="57" t="s">
        <v>641</v>
      </c>
      <c r="AF335" s="57" t="s">
        <v>641</v>
      </c>
    </row>
    <row r="336" spans="2:32">
      <c r="B336" s="58" t="s">
        <v>753</v>
      </c>
      <c r="F336" s="57"/>
      <c r="G336" s="57" t="s">
        <v>642</v>
      </c>
      <c r="H336" s="57"/>
      <c r="I336" s="57"/>
      <c r="N336" s="57" t="s">
        <v>641</v>
      </c>
      <c r="AC336" s="57" t="s">
        <v>641</v>
      </c>
      <c r="AF336" s="57" t="s">
        <v>641</v>
      </c>
    </row>
    <row r="337" spans="2:32">
      <c r="B337" s="58" t="s">
        <v>752</v>
      </c>
      <c r="F337" s="57"/>
      <c r="G337" s="57" t="s">
        <v>642</v>
      </c>
      <c r="H337" s="57"/>
      <c r="I337" s="57"/>
      <c r="N337" s="57" t="s">
        <v>641</v>
      </c>
      <c r="AC337" s="57" t="s">
        <v>641</v>
      </c>
      <c r="AF337" s="57" t="s">
        <v>641</v>
      </c>
    </row>
    <row r="338" spans="2:32">
      <c r="B338" s="58" t="s">
        <v>751</v>
      </c>
      <c r="F338" s="57"/>
      <c r="G338" s="57" t="s">
        <v>642</v>
      </c>
      <c r="H338" s="57"/>
      <c r="I338" s="57"/>
      <c r="N338" s="57" t="s">
        <v>641</v>
      </c>
      <c r="AC338" s="57" t="s">
        <v>641</v>
      </c>
      <c r="AF338" s="57" t="s">
        <v>641</v>
      </c>
    </row>
    <row r="339" spans="2:32">
      <c r="B339" s="58" t="s">
        <v>750</v>
      </c>
      <c r="F339" s="57"/>
      <c r="G339" s="57" t="s">
        <v>642</v>
      </c>
      <c r="H339" s="57"/>
      <c r="I339" s="57"/>
      <c r="N339" s="57" t="s">
        <v>641</v>
      </c>
      <c r="AC339" s="57" t="s">
        <v>641</v>
      </c>
      <c r="AF339" s="57" t="s">
        <v>641</v>
      </c>
    </row>
    <row r="340" spans="2:32">
      <c r="B340" s="58" t="s">
        <v>749</v>
      </c>
      <c r="F340" s="57"/>
      <c r="G340" s="57" t="s">
        <v>642</v>
      </c>
      <c r="H340" s="57"/>
      <c r="I340" s="57"/>
      <c r="N340" s="57" t="s">
        <v>641</v>
      </c>
      <c r="AC340" s="57" t="s">
        <v>641</v>
      </c>
      <c r="AF340" s="57" t="s">
        <v>641</v>
      </c>
    </row>
    <row r="341" spans="2:32">
      <c r="B341" s="58" t="s">
        <v>748</v>
      </c>
      <c r="F341" s="57"/>
      <c r="G341" s="57" t="s">
        <v>642</v>
      </c>
      <c r="H341" s="57"/>
      <c r="I341" s="57"/>
      <c r="N341" s="57" t="s">
        <v>641</v>
      </c>
      <c r="AC341" s="57" t="s">
        <v>641</v>
      </c>
      <c r="AF341" s="57" t="s">
        <v>641</v>
      </c>
    </row>
    <row r="342" spans="2:32">
      <c r="B342" s="58" t="s">
        <v>747</v>
      </c>
      <c r="F342" s="57"/>
      <c r="G342" s="57" t="s">
        <v>642</v>
      </c>
      <c r="H342" s="57"/>
      <c r="I342" s="57"/>
      <c r="N342" s="57" t="s">
        <v>641</v>
      </c>
      <c r="AC342" s="57" t="s">
        <v>641</v>
      </c>
      <c r="AF342" s="57" t="s">
        <v>641</v>
      </c>
    </row>
    <row r="343" spans="2:32">
      <c r="B343" s="58" t="s">
        <v>746</v>
      </c>
      <c r="F343" s="57"/>
      <c r="G343" s="57" t="s">
        <v>642</v>
      </c>
      <c r="H343" s="57"/>
      <c r="I343" s="57"/>
      <c r="N343" s="57" t="s">
        <v>641</v>
      </c>
      <c r="AC343" s="57" t="s">
        <v>641</v>
      </c>
      <c r="AF343" s="57" t="s">
        <v>641</v>
      </c>
    </row>
    <row r="344" spans="2:32">
      <c r="B344" s="58" t="s">
        <v>745</v>
      </c>
      <c r="F344" s="57"/>
      <c r="G344" s="57" t="s">
        <v>642</v>
      </c>
      <c r="H344" s="57"/>
      <c r="I344" s="57"/>
      <c r="N344" s="57" t="s">
        <v>641</v>
      </c>
      <c r="AC344" s="57" t="s">
        <v>641</v>
      </c>
      <c r="AF344" s="57" t="s">
        <v>641</v>
      </c>
    </row>
    <row r="345" spans="2:32">
      <c r="B345" s="58" t="s">
        <v>744</v>
      </c>
      <c r="F345" s="57"/>
      <c r="G345" s="57" t="s">
        <v>642</v>
      </c>
      <c r="H345" s="57"/>
      <c r="I345" s="57"/>
      <c r="N345" s="57" t="s">
        <v>641</v>
      </c>
      <c r="AC345" s="57" t="s">
        <v>641</v>
      </c>
      <c r="AF345" s="57" t="s">
        <v>641</v>
      </c>
    </row>
    <row r="346" spans="2:32">
      <c r="B346" s="58" t="s">
        <v>743</v>
      </c>
      <c r="F346" s="57"/>
      <c r="G346" s="57" t="s">
        <v>642</v>
      </c>
      <c r="H346" s="57"/>
      <c r="I346" s="57"/>
      <c r="N346" s="57" t="s">
        <v>641</v>
      </c>
      <c r="AC346" s="57" t="s">
        <v>641</v>
      </c>
      <c r="AF346" s="57" t="s">
        <v>641</v>
      </c>
    </row>
    <row r="347" spans="2:32">
      <c r="F347" s="57"/>
      <c r="G347" s="57"/>
      <c r="H347" s="57"/>
      <c r="I347" s="57"/>
      <c r="N347" s="57" t="s">
        <v>641</v>
      </c>
      <c r="AC347" s="57" t="s">
        <v>641</v>
      </c>
      <c r="AF347" s="57" t="s">
        <v>641</v>
      </c>
    </row>
    <row r="348" spans="2:32" ht="16.5">
      <c r="B348" s="58" t="s">
        <v>742</v>
      </c>
      <c r="F348" s="57"/>
      <c r="G348" s="57" t="s">
        <v>642</v>
      </c>
      <c r="H348" s="57"/>
      <c r="I348" s="57"/>
      <c r="N348" s="57" t="s">
        <v>641</v>
      </c>
      <c r="O348" s="57" t="s">
        <v>641</v>
      </c>
      <c r="AB348" s="100" t="s">
        <v>739</v>
      </c>
    </row>
    <row r="349" spans="2:32" ht="16.5">
      <c r="B349" s="58" t="s">
        <v>741</v>
      </c>
      <c r="F349" s="57"/>
      <c r="G349" s="57" t="s">
        <v>642</v>
      </c>
      <c r="H349" s="57"/>
      <c r="I349" s="57"/>
      <c r="AB349" s="100" t="s">
        <v>739</v>
      </c>
    </row>
    <row r="350" spans="2:32" ht="16.5">
      <c r="B350" s="58" t="s">
        <v>740</v>
      </c>
      <c r="F350" s="57"/>
      <c r="G350" s="57" t="s">
        <v>642</v>
      </c>
      <c r="H350" s="57"/>
      <c r="I350" s="57"/>
      <c r="AB350" s="100" t="s">
        <v>739</v>
      </c>
    </row>
    <row r="351" spans="2:32">
      <c r="B351" s="58" t="s">
        <v>738</v>
      </c>
    </row>
    <row r="352" spans="2:32">
      <c r="B352" s="58" t="s">
        <v>737</v>
      </c>
    </row>
    <row r="354" spans="2:28">
      <c r="B354" s="58" t="s">
        <v>736</v>
      </c>
      <c r="Y354" s="56" t="s">
        <v>735</v>
      </c>
    </row>
    <row r="355" spans="2:28">
      <c r="B355" s="58" t="s">
        <v>734</v>
      </c>
      <c r="Y355" s="56" t="s">
        <v>733</v>
      </c>
    </row>
    <row r="362" spans="2:28">
      <c r="AB362" t="s">
        <v>732</v>
      </c>
    </row>
    <row r="363" spans="2:28">
      <c r="AB363" t="s">
        <v>731</v>
      </c>
    </row>
    <row r="364" spans="2:28">
      <c r="AB364" t="s">
        <v>730</v>
      </c>
    </row>
    <row r="365" spans="2:28">
      <c r="AB365" t="s">
        <v>729</v>
      </c>
    </row>
    <row r="366" spans="2:28">
      <c r="AB366" t="s">
        <v>728</v>
      </c>
    </row>
    <row r="367" spans="2:28">
      <c r="AB367" t="s">
        <v>727</v>
      </c>
    </row>
    <row r="368" spans="2:28">
      <c r="AB368" t="s">
        <v>726</v>
      </c>
    </row>
    <row r="369" spans="2:28">
      <c r="AB369"/>
    </row>
    <row r="370" spans="2:28">
      <c r="AB370"/>
    </row>
    <row r="371" spans="2:28" ht="15" thickBot="1">
      <c r="AB371"/>
    </row>
    <row r="372" spans="2:28" ht="15" thickBot="1">
      <c r="B372" s="99" t="s">
        <v>725</v>
      </c>
      <c r="C372" s="98"/>
      <c r="D372" s="98"/>
      <c r="E372" s="98"/>
      <c r="F372" s="98"/>
      <c r="G372" s="98"/>
      <c r="H372" s="98"/>
      <c r="I372" s="98"/>
      <c r="J372" s="98"/>
      <c r="L372" s="98"/>
      <c r="Q372" s="98"/>
      <c r="AB372"/>
    </row>
    <row r="373" spans="2:28" ht="15" thickBot="1">
      <c r="B373" s="99" t="s">
        <v>724</v>
      </c>
      <c r="C373" s="98"/>
      <c r="D373" s="98"/>
      <c r="E373" s="98"/>
      <c r="F373" s="98"/>
      <c r="G373" s="98"/>
      <c r="H373" s="98"/>
      <c r="I373" s="98"/>
      <c r="J373" s="98"/>
      <c r="L373" s="98"/>
      <c r="Q373" s="98"/>
      <c r="AB373"/>
    </row>
    <row r="374" spans="2:28" ht="15" thickBot="1">
      <c r="B374" s="99" t="s">
        <v>723</v>
      </c>
      <c r="C374" s="98"/>
      <c r="D374" s="98"/>
      <c r="E374" s="98"/>
      <c r="F374" s="98"/>
      <c r="G374" s="98"/>
      <c r="H374" s="98"/>
      <c r="I374" s="98"/>
      <c r="J374" s="98"/>
      <c r="L374" s="98"/>
      <c r="Q374" s="98"/>
      <c r="AB374"/>
    </row>
    <row r="375" spans="2:28" ht="15" thickBot="1">
      <c r="B375" s="99" t="s">
        <v>722</v>
      </c>
      <c r="C375" s="98"/>
      <c r="D375" s="98"/>
      <c r="E375" s="98"/>
      <c r="F375" s="98"/>
      <c r="G375" s="98"/>
      <c r="H375" s="98"/>
      <c r="I375" s="98"/>
      <c r="J375" s="98"/>
      <c r="L375" s="98"/>
      <c r="Q375" s="98"/>
      <c r="AB375"/>
    </row>
    <row r="376" spans="2:28" ht="15" thickBot="1">
      <c r="B376" s="99" t="s">
        <v>721</v>
      </c>
      <c r="C376" s="98"/>
      <c r="D376" s="98"/>
      <c r="E376" s="98"/>
      <c r="F376" s="98"/>
      <c r="G376" s="98"/>
      <c r="H376" s="98"/>
      <c r="I376" s="98"/>
      <c r="J376" s="98"/>
      <c r="L376" s="98"/>
      <c r="Q376" s="98"/>
      <c r="AB376"/>
    </row>
    <row r="377" spans="2:28" ht="15" thickBot="1">
      <c r="B377" s="99" t="s">
        <v>720</v>
      </c>
      <c r="C377" s="98"/>
      <c r="D377" s="98"/>
      <c r="E377" s="98"/>
      <c r="F377" s="98"/>
      <c r="G377" s="98"/>
      <c r="H377" s="98"/>
      <c r="I377" s="98"/>
      <c r="J377" s="98"/>
      <c r="L377" s="98"/>
      <c r="Q377" s="98"/>
      <c r="AB377"/>
    </row>
    <row r="378" spans="2:28" ht="15" thickBot="1">
      <c r="B378" s="99" t="s">
        <v>719</v>
      </c>
      <c r="C378" s="98"/>
      <c r="D378" s="98"/>
      <c r="E378" s="98"/>
      <c r="F378" s="98"/>
      <c r="G378" s="98"/>
      <c r="H378" s="98"/>
      <c r="I378" s="98"/>
      <c r="J378" s="98"/>
      <c r="L378" s="98"/>
      <c r="Q378" s="98"/>
      <c r="AB378"/>
    </row>
    <row r="379" spans="2:28" ht="15" thickBot="1">
      <c r="B379" s="99" t="s">
        <v>718</v>
      </c>
      <c r="C379" s="98"/>
      <c r="D379" s="98"/>
      <c r="E379" s="98"/>
      <c r="F379" s="98"/>
      <c r="G379" s="98"/>
      <c r="H379" s="98"/>
      <c r="I379" s="98"/>
      <c r="J379" s="98"/>
      <c r="L379" s="98"/>
      <c r="Q379" s="98"/>
      <c r="AB379"/>
    </row>
    <row r="380" spans="2:28" ht="15" thickBot="1">
      <c r="B380" s="99" t="s">
        <v>717</v>
      </c>
      <c r="C380" s="98"/>
      <c r="D380" s="98"/>
      <c r="E380" s="98"/>
      <c r="F380" s="98"/>
      <c r="G380" s="98"/>
      <c r="H380" s="98"/>
      <c r="I380" s="98"/>
      <c r="J380" s="98"/>
      <c r="L380" s="98"/>
      <c r="Q380" s="98"/>
      <c r="AB380"/>
    </row>
    <row r="381" spans="2:28" ht="15" thickBot="1">
      <c r="B381" s="99" t="s">
        <v>716</v>
      </c>
      <c r="C381" s="98"/>
      <c r="D381" s="98"/>
      <c r="E381" s="98"/>
      <c r="F381" s="98"/>
      <c r="G381" s="98"/>
      <c r="H381" s="98"/>
      <c r="I381" s="98"/>
      <c r="J381" s="98"/>
      <c r="L381" s="98"/>
      <c r="Q381" s="98"/>
      <c r="AB381"/>
    </row>
    <row r="382" spans="2:28" ht="15" thickBot="1">
      <c r="B382" s="99"/>
      <c r="C382" s="98"/>
      <c r="D382" s="98"/>
      <c r="E382" s="98"/>
      <c r="F382" s="98"/>
      <c r="G382" s="98"/>
      <c r="H382" s="98"/>
      <c r="I382" s="98"/>
      <c r="J382" s="98"/>
      <c r="L382" s="98"/>
      <c r="Q382" s="98"/>
      <c r="AB382"/>
    </row>
    <row r="383" spans="2:28" ht="15" thickBot="1">
      <c r="B383" s="99" t="s">
        <v>715</v>
      </c>
      <c r="C383" s="98"/>
      <c r="D383" s="98"/>
      <c r="E383" s="98"/>
      <c r="F383" s="98"/>
      <c r="G383" s="98"/>
      <c r="H383" s="98"/>
      <c r="I383" s="98"/>
      <c r="J383" s="98"/>
      <c r="L383" s="98"/>
      <c r="Q383" s="98"/>
      <c r="AB383"/>
    </row>
    <row r="384" spans="2:28" ht="15" thickBot="1">
      <c r="B384" s="99" t="s">
        <v>714</v>
      </c>
      <c r="C384" s="98"/>
      <c r="D384" s="98"/>
      <c r="E384" s="98"/>
      <c r="F384" s="98"/>
      <c r="G384" s="98"/>
      <c r="H384" s="98"/>
      <c r="I384" s="98"/>
      <c r="J384" s="98"/>
      <c r="L384" s="98"/>
      <c r="Q384" s="98"/>
      <c r="AB384"/>
    </row>
    <row r="385" spans="2:28" ht="15" thickBot="1">
      <c r="B385" s="99"/>
      <c r="C385" s="98"/>
      <c r="D385" s="98"/>
      <c r="E385" s="98"/>
      <c r="F385" s="98"/>
      <c r="G385" s="98"/>
      <c r="H385" s="98"/>
      <c r="I385" s="98"/>
      <c r="J385" s="98"/>
      <c r="L385" s="98"/>
      <c r="Q385" s="98"/>
      <c r="AB385"/>
    </row>
    <row r="386" spans="2:28" ht="15" thickBot="1">
      <c r="B386" s="99"/>
      <c r="C386" s="98"/>
      <c r="D386" s="98"/>
      <c r="E386" s="98"/>
      <c r="F386" s="98"/>
      <c r="G386" s="98"/>
      <c r="H386" s="98"/>
      <c r="I386" s="98"/>
      <c r="J386" s="98"/>
      <c r="L386" s="98"/>
      <c r="Q386" s="98"/>
      <c r="AB386"/>
    </row>
    <row r="387" spans="2:28" ht="15" thickBot="1">
      <c r="B387" s="99" t="s">
        <v>713</v>
      </c>
      <c r="C387" s="98"/>
      <c r="D387" s="98"/>
      <c r="E387" s="98"/>
      <c r="F387" s="98"/>
      <c r="G387" s="98"/>
      <c r="H387" s="98"/>
      <c r="I387" s="98"/>
      <c r="J387" s="98"/>
      <c r="L387" s="98"/>
      <c r="Q387" s="98"/>
      <c r="AB387"/>
    </row>
    <row r="388" spans="2:28" ht="15" thickBot="1">
      <c r="B388" s="99" t="s">
        <v>712</v>
      </c>
      <c r="C388" s="98"/>
      <c r="D388" s="98"/>
      <c r="E388" s="98"/>
      <c r="F388" s="98"/>
      <c r="G388" s="98"/>
      <c r="H388" s="98"/>
      <c r="I388" s="98"/>
      <c r="J388" s="98"/>
      <c r="L388" s="98"/>
      <c r="Q388" s="98"/>
      <c r="AB388"/>
    </row>
    <row r="389" spans="2:28" ht="15" thickBot="1">
      <c r="B389" s="99" t="s">
        <v>711</v>
      </c>
      <c r="C389" s="98"/>
      <c r="D389" s="98"/>
      <c r="E389" s="98"/>
      <c r="F389" s="98"/>
      <c r="G389" s="98"/>
      <c r="H389" s="98"/>
      <c r="I389" s="98"/>
      <c r="J389" s="98"/>
      <c r="L389" s="98"/>
      <c r="Q389" s="98"/>
      <c r="AB389"/>
    </row>
    <row r="390" spans="2:28" ht="15" thickBot="1">
      <c r="B390" s="99" t="s">
        <v>710</v>
      </c>
      <c r="C390" s="98"/>
      <c r="D390" s="98"/>
      <c r="E390" s="98"/>
      <c r="F390" s="98"/>
      <c r="G390" s="98"/>
      <c r="H390" s="98"/>
      <c r="I390" s="98"/>
      <c r="J390" s="98"/>
      <c r="L390" s="98"/>
      <c r="Q390" s="98"/>
      <c r="AB390"/>
    </row>
    <row r="391" spans="2:28" ht="15" thickBot="1">
      <c r="B391" s="99" t="s">
        <v>709</v>
      </c>
      <c r="C391" s="98"/>
      <c r="D391" s="98"/>
      <c r="E391" s="98"/>
      <c r="F391" s="98"/>
      <c r="G391" s="98"/>
      <c r="H391" s="98"/>
      <c r="I391" s="98"/>
      <c r="J391" s="98"/>
      <c r="L391" s="98"/>
      <c r="Q391" s="98"/>
      <c r="AB391"/>
    </row>
    <row r="392" spans="2:28" ht="15" thickBot="1">
      <c r="B392" s="99" t="s">
        <v>708</v>
      </c>
      <c r="C392" s="98"/>
      <c r="D392" s="98"/>
      <c r="E392" s="98"/>
      <c r="F392" s="98"/>
      <c r="G392" s="98"/>
      <c r="H392" s="98"/>
      <c r="I392" s="98"/>
      <c r="J392" s="98"/>
      <c r="L392" s="98"/>
      <c r="Q392" s="98"/>
      <c r="AB392"/>
    </row>
    <row r="393" spans="2:28" ht="15" thickBot="1">
      <c r="B393" s="99" t="s">
        <v>707</v>
      </c>
      <c r="C393" s="98"/>
      <c r="D393" s="98"/>
      <c r="E393" s="98"/>
      <c r="F393" s="98"/>
      <c r="G393" s="98"/>
      <c r="H393" s="98"/>
      <c r="I393" s="98"/>
      <c r="J393" s="98"/>
      <c r="L393" s="98"/>
      <c r="Q393" s="98"/>
      <c r="AB393"/>
    </row>
    <row r="394" spans="2:28" ht="15" thickBot="1">
      <c r="B394" s="99" t="s">
        <v>706</v>
      </c>
      <c r="C394" s="98"/>
      <c r="D394" s="98"/>
      <c r="E394" s="98"/>
      <c r="F394" s="98"/>
      <c r="G394" s="98"/>
      <c r="H394" s="98"/>
      <c r="I394" s="98"/>
      <c r="J394" s="98"/>
      <c r="L394" s="98"/>
      <c r="Q394" s="98"/>
      <c r="AB394"/>
    </row>
    <row r="395" spans="2:28" ht="15" thickBot="1">
      <c r="B395" s="99" t="s">
        <v>705</v>
      </c>
      <c r="C395" s="98"/>
      <c r="D395" s="98"/>
      <c r="E395" s="98"/>
      <c r="F395" s="98"/>
      <c r="G395" s="98"/>
      <c r="H395" s="98"/>
      <c r="I395" s="98"/>
      <c r="J395" s="98"/>
      <c r="L395" s="98"/>
      <c r="Q395" s="98"/>
      <c r="AB395"/>
    </row>
    <row r="396" spans="2:28" ht="15" thickBot="1">
      <c r="B396" s="99" t="s">
        <v>704</v>
      </c>
      <c r="C396" s="98"/>
      <c r="D396" s="98"/>
      <c r="E396" s="98"/>
      <c r="F396" s="98"/>
      <c r="G396" s="98"/>
      <c r="H396" s="98"/>
      <c r="I396" s="98"/>
      <c r="J396" s="98"/>
      <c r="L396" s="98"/>
      <c r="Q396" s="98"/>
      <c r="AB396"/>
    </row>
    <row r="397" spans="2:28" ht="15" thickBot="1">
      <c r="B397" s="99" t="s">
        <v>703</v>
      </c>
      <c r="C397" s="98"/>
      <c r="D397" s="98"/>
      <c r="E397" s="98"/>
      <c r="F397" s="98"/>
      <c r="G397" s="98"/>
      <c r="H397" s="98"/>
      <c r="I397" s="98"/>
      <c r="J397" s="98"/>
      <c r="L397" s="98"/>
      <c r="Q397" s="98"/>
      <c r="AB397"/>
    </row>
    <row r="398" spans="2:28" ht="15" thickBot="1">
      <c r="B398" s="99" t="s">
        <v>702</v>
      </c>
      <c r="C398" s="98"/>
      <c r="D398" s="98"/>
      <c r="E398" s="98"/>
      <c r="F398" s="98"/>
      <c r="G398" s="98"/>
      <c r="H398" s="98"/>
      <c r="I398" s="98"/>
      <c r="J398" s="98"/>
      <c r="L398" s="98"/>
      <c r="Q398" s="98"/>
      <c r="AB398"/>
    </row>
    <row r="399" spans="2:28" ht="15" thickBot="1">
      <c r="B399" s="99" t="s">
        <v>701</v>
      </c>
      <c r="C399" s="98"/>
      <c r="D399" s="98"/>
      <c r="E399" s="98"/>
      <c r="F399" s="98"/>
      <c r="G399" s="98"/>
      <c r="H399" s="98"/>
      <c r="I399" s="98"/>
      <c r="J399" s="98"/>
      <c r="L399" s="98"/>
      <c r="Q399" s="98"/>
      <c r="AB399"/>
    </row>
    <row r="400" spans="2:28" ht="15" thickBot="1">
      <c r="B400" s="99" t="s">
        <v>700</v>
      </c>
      <c r="C400" s="98"/>
      <c r="D400" s="98"/>
      <c r="E400" s="98"/>
      <c r="F400" s="98"/>
      <c r="G400" s="98"/>
      <c r="H400" s="98"/>
      <c r="I400" s="98"/>
      <c r="J400" s="98"/>
      <c r="L400" s="98"/>
      <c r="Q400" s="98"/>
      <c r="AB400"/>
    </row>
    <row r="401" spans="2:28" ht="15" thickBot="1">
      <c r="B401" s="99" t="s">
        <v>699</v>
      </c>
      <c r="C401" s="98"/>
      <c r="D401" s="98"/>
      <c r="E401" s="98"/>
      <c r="F401" s="98"/>
      <c r="G401" s="98"/>
      <c r="H401" s="98"/>
      <c r="I401" s="98"/>
      <c r="J401" s="98"/>
      <c r="L401" s="98"/>
      <c r="Q401" s="98"/>
      <c r="AB401"/>
    </row>
    <row r="402" spans="2:28" ht="15" thickBot="1">
      <c r="B402" s="99" t="s">
        <v>698</v>
      </c>
      <c r="C402" s="98"/>
      <c r="D402" s="98"/>
      <c r="E402" s="98"/>
      <c r="F402" s="98"/>
      <c r="G402" s="98"/>
      <c r="H402" s="98"/>
      <c r="I402" s="98"/>
      <c r="J402" s="98"/>
      <c r="L402" s="98"/>
      <c r="Q402" s="98"/>
      <c r="AB402"/>
    </row>
    <row r="403" spans="2:28" ht="15" thickBot="1">
      <c r="B403" s="99" t="s">
        <v>697</v>
      </c>
      <c r="C403" s="98"/>
      <c r="D403" s="98"/>
      <c r="E403" s="98"/>
      <c r="F403" s="98"/>
      <c r="G403" s="98"/>
      <c r="H403" s="98"/>
      <c r="I403" s="98"/>
      <c r="J403" s="98"/>
      <c r="L403" s="98"/>
      <c r="Q403" s="98"/>
      <c r="AB403"/>
    </row>
    <row r="404" spans="2:28" ht="15" thickBot="1">
      <c r="B404" s="99" t="s">
        <v>696</v>
      </c>
      <c r="C404" s="98"/>
      <c r="D404" s="98"/>
      <c r="E404" s="98"/>
      <c r="F404" s="98"/>
      <c r="G404" s="98"/>
      <c r="H404" s="98"/>
      <c r="I404" s="98"/>
      <c r="J404" s="98"/>
      <c r="L404" s="98"/>
      <c r="Q404" s="98"/>
      <c r="AB404"/>
    </row>
    <row r="405" spans="2:28" ht="15" thickBot="1">
      <c r="B405" s="99" t="s">
        <v>695</v>
      </c>
      <c r="C405" s="98"/>
      <c r="D405" s="98"/>
      <c r="E405" s="98"/>
      <c r="F405" s="98"/>
      <c r="G405" s="98"/>
      <c r="H405" s="98"/>
      <c r="I405" s="98"/>
      <c r="J405" s="98"/>
      <c r="L405" s="98"/>
      <c r="Q405" s="98"/>
      <c r="AB405"/>
    </row>
    <row r="409" spans="2:28" s="75" customFormat="1">
      <c r="B409" s="97" t="s">
        <v>694</v>
      </c>
      <c r="C409" s="97"/>
      <c r="F409" s="96"/>
      <c r="G409" s="96" t="s">
        <v>650</v>
      </c>
      <c r="H409" s="96"/>
      <c r="I409" s="96"/>
      <c r="L409" s="95"/>
      <c r="M409" s="95" t="s">
        <v>675</v>
      </c>
      <c r="N409" s="95"/>
      <c r="P409" s="95"/>
      <c r="Q409" s="95"/>
      <c r="R409" s="75" t="s">
        <v>693</v>
      </c>
      <c r="S409" s="95"/>
      <c r="AA409" s="95"/>
    </row>
    <row r="410" spans="2:28" s="75" customFormat="1">
      <c r="B410" s="75" t="s">
        <v>692</v>
      </c>
      <c r="F410" s="95"/>
      <c r="G410" s="95" t="s">
        <v>642</v>
      </c>
      <c r="H410" s="95"/>
      <c r="I410" s="95"/>
      <c r="L410" s="95"/>
      <c r="M410" s="95" t="s">
        <v>673</v>
      </c>
      <c r="N410" s="95" t="s">
        <v>641</v>
      </c>
      <c r="P410" s="95"/>
      <c r="Q410" s="95"/>
      <c r="S410" s="95"/>
      <c r="U410" s="75">
        <v>2004</v>
      </c>
      <c r="AA410" s="95"/>
    </row>
    <row r="411" spans="2:28" s="75" customFormat="1">
      <c r="B411" s="75" t="s">
        <v>691</v>
      </c>
      <c r="F411" s="95"/>
      <c r="G411" s="95" t="s">
        <v>642</v>
      </c>
      <c r="H411" s="95"/>
      <c r="I411" s="95"/>
      <c r="L411" s="95"/>
      <c r="M411" s="95" t="s">
        <v>673</v>
      </c>
      <c r="N411" s="95"/>
      <c r="P411" s="95"/>
      <c r="Q411" s="95"/>
      <c r="S411" s="95"/>
      <c r="U411" s="75">
        <v>2</v>
      </c>
      <c r="AA411" s="95"/>
    </row>
    <row r="412" spans="2:28" s="75" customFormat="1">
      <c r="B412" s="75" t="s">
        <v>690</v>
      </c>
      <c r="F412" s="95"/>
      <c r="G412" s="95" t="s">
        <v>642</v>
      </c>
      <c r="H412" s="95"/>
      <c r="I412" s="95"/>
      <c r="L412" s="95"/>
      <c r="M412" s="95" t="s">
        <v>673</v>
      </c>
      <c r="N412" s="95"/>
      <c r="P412" s="95"/>
      <c r="Q412" s="95"/>
      <c r="S412" s="95"/>
      <c r="U412" s="75">
        <v>2005</v>
      </c>
      <c r="AA412" s="95"/>
    </row>
    <row r="413" spans="2:28" s="75" customFormat="1">
      <c r="B413" s="75" t="s">
        <v>689</v>
      </c>
      <c r="F413" s="95"/>
      <c r="G413" s="95" t="s">
        <v>642</v>
      </c>
      <c r="H413" s="95"/>
      <c r="I413" s="95"/>
      <c r="L413" s="95"/>
      <c r="M413" s="95" t="s">
        <v>673</v>
      </c>
      <c r="N413" s="95"/>
      <c r="P413" s="95"/>
      <c r="Q413" s="95"/>
      <c r="S413" s="95"/>
      <c r="AA413" s="95"/>
    </row>
    <row r="414" spans="2:28" s="75" customFormat="1">
      <c r="B414" s="75" t="s">
        <v>688</v>
      </c>
      <c r="F414" s="95"/>
      <c r="G414" s="95" t="s">
        <v>642</v>
      </c>
      <c r="H414" s="95"/>
      <c r="I414" s="95"/>
      <c r="L414" s="95"/>
      <c r="M414" s="95" t="s">
        <v>673</v>
      </c>
      <c r="N414" s="95"/>
      <c r="P414" s="95"/>
      <c r="Q414" s="95"/>
      <c r="S414" s="95"/>
      <c r="U414" s="75">
        <v>2009</v>
      </c>
      <c r="AA414" s="95"/>
    </row>
    <row r="415" spans="2:28" s="75" customFormat="1">
      <c r="B415" s="75" t="s">
        <v>687</v>
      </c>
      <c r="F415" s="95"/>
      <c r="G415" s="95" t="s">
        <v>642</v>
      </c>
      <c r="H415" s="95"/>
      <c r="I415" s="95"/>
      <c r="L415" s="95"/>
      <c r="M415" s="95" t="s">
        <v>673</v>
      </c>
      <c r="N415" s="95"/>
      <c r="P415" s="95"/>
      <c r="Q415" s="95"/>
      <c r="S415" s="95"/>
      <c r="U415" s="75">
        <v>2006</v>
      </c>
      <c r="AA415" s="95"/>
    </row>
    <row r="416" spans="2:28" s="75" customFormat="1">
      <c r="B416" s="75" t="s">
        <v>686</v>
      </c>
      <c r="F416" s="95"/>
      <c r="G416" s="95" t="s">
        <v>642</v>
      </c>
      <c r="H416" s="95"/>
      <c r="I416" s="95"/>
      <c r="L416" s="95"/>
      <c r="M416" s="95" t="s">
        <v>673</v>
      </c>
      <c r="N416" s="95"/>
      <c r="P416" s="95"/>
      <c r="Q416" s="95"/>
      <c r="S416" s="95"/>
      <c r="AA416" s="95"/>
    </row>
    <row r="417" spans="2:27" s="75" customFormat="1">
      <c r="B417" s="75" t="s">
        <v>685</v>
      </c>
      <c r="F417" s="95"/>
      <c r="G417" s="95" t="s">
        <v>642</v>
      </c>
      <c r="H417" s="95"/>
      <c r="I417" s="95"/>
      <c r="L417" s="95"/>
      <c r="M417" s="95" t="s">
        <v>673</v>
      </c>
      <c r="N417" s="95"/>
      <c r="P417" s="95"/>
      <c r="Q417" s="95"/>
      <c r="S417" s="95"/>
      <c r="AA417" s="95"/>
    </row>
    <row r="418" spans="2:27" s="75" customFormat="1">
      <c r="B418" s="75" t="s">
        <v>684</v>
      </c>
      <c r="F418" s="95"/>
      <c r="G418" s="95" t="s">
        <v>642</v>
      </c>
      <c r="H418" s="95"/>
      <c r="I418" s="95"/>
      <c r="L418" s="95"/>
      <c r="M418" s="95" t="s">
        <v>673</v>
      </c>
      <c r="N418" s="95"/>
      <c r="P418" s="95"/>
      <c r="Q418" s="95"/>
      <c r="S418" s="95"/>
      <c r="U418" s="75">
        <v>2009</v>
      </c>
      <c r="AA418" s="95"/>
    </row>
    <row r="419" spans="2:27" s="75" customFormat="1">
      <c r="B419" s="75" t="s">
        <v>683</v>
      </c>
      <c r="F419" s="95"/>
      <c r="G419" s="95" t="s">
        <v>642</v>
      </c>
      <c r="H419" s="95"/>
      <c r="I419" s="95"/>
      <c r="L419" s="95"/>
      <c r="M419" s="95" t="s">
        <v>673</v>
      </c>
      <c r="N419" s="95"/>
      <c r="P419" s="95"/>
      <c r="Q419" s="95"/>
      <c r="S419" s="95"/>
      <c r="U419" s="75">
        <v>2004</v>
      </c>
      <c r="AA419" s="95"/>
    </row>
    <row r="420" spans="2:27" s="75" customFormat="1">
      <c r="B420" s="75" t="s">
        <v>682</v>
      </c>
      <c r="F420" s="95"/>
      <c r="G420" s="95" t="s">
        <v>642</v>
      </c>
      <c r="H420" s="95"/>
      <c r="I420" s="95"/>
      <c r="L420" s="95"/>
      <c r="M420" s="95" t="s">
        <v>673</v>
      </c>
      <c r="N420" s="95"/>
      <c r="P420" s="95"/>
      <c r="Q420" s="95"/>
      <c r="S420" s="95"/>
      <c r="U420" s="75">
        <v>2005</v>
      </c>
      <c r="AA420" s="95"/>
    </row>
    <row r="421" spans="2:27" s="75" customFormat="1">
      <c r="B421" s="75" t="s">
        <v>681</v>
      </c>
      <c r="F421" s="95"/>
      <c r="G421" s="95" t="s">
        <v>642</v>
      </c>
      <c r="H421" s="95"/>
      <c r="I421" s="95"/>
      <c r="L421" s="95"/>
      <c r="M421" s="95" t="s">
        <v>673</v>
      </c>
      <c r="N421" s="95"/>
      <c r="P421" s="95"/>
      <c r="Q421" s="95"/>
      <c r="S421" s="95"/>
      <c r="U421" s="75">
        <v>2005</v>
      </c>
      <c r="AA421" s="95"/>
    </row>
    <row r="422" spans="2:27" s="75" customFormat="1">
      <c r="B422" s="75" t="s">
        <v>680</v>
      </c>
      <c r="F422" s="95"/>
      <c r="G422" s="95" t="s">
        <v>642</v>
      </c>
      <c r="H422" s="95"/>
      <c r="I422" s="95"/>
      <c r="L422" s="95"/>
      <c r="M422" s="95" t="s">
        <v>673</v>
      </c>
      <c r="N422" s="95"/>
      <c r="P422" s="95"/>
      <c r="Q422" s="95"/>
      <c r="S422" s="95"/>
      <c r="AA422" s="95"/>
    </row>
    <row r="423" spans="2:27" s="75" customFormat="1">
      <c r="B423" s="97" t="s">
        <v>679</v>
      </c>
      <c r="C423" s="97"/>
      <c r="F423" s="96"/>
      <c r="G423" s="96" t="s">
        <v>650</v>
      </c>
      <c r="H423" s="96"/>
      <c r="I423" s="96"/>
      <c r="L423" s="95"/>
      <c r="M423" s="95" t="s">
        <v>675</v>
      </c>
      <c r="N423" s="95" t="s">
        <v>641</v>
      </c>
      <c r="P423" s="95"/>
      <c r="Q423" s="95"/>
      <c r="S423" s="95"/>
      <c r="AA423" s="95"/>
    </row>
    <row r="424" spans="2:27" s="75" customFormat="1">
      <c r="B424" s="97" t="s">
        <v>678</v>
      </c>
      <c r="C424" s="97"/>
      <c r="F424" s="96"/>
      <c r="G424" s="96" t="s">
        <v>650</v>
      </c>
      <c r="H424" s="96"/>
      <c r="I424" s="96"/>
      <c r="L424" s="95"/>
      <c r="M424" s="95" t="s">
        <v>675</v>
      </c>
      <c r="N424" s="95" t="s">
        <v>641</v>
      </c>
      <c r="P424" s="95"/>
      <c r="Q424" s="95"/>
      <c r="S424" s="95"/>
      <c r="AA424" s="95"/>
    </row>
    <row r="425" spans="2:27" s="75" customFormat="1">
      <c r="B425" s="75" t="s">
        <v>626</v>
      </c>
      <c r="F425" s="95"/>
      <c r="G425" s="95" t="s">
        <v>642</v>
      </c>
      <c r="H425" s="95"/>
      <c r="I425" s="95"/>
      <c r="L425" s="95"/>
      <c r="M425" s="95"/>
      <c r="N425" s="95"/>
      <c r="P425" s="95" t="s">
        <v>675</v>
      </c>
      <c r="Q425" s="95"/>
      <c r="R425" s="75" t="s">
        <v>677</v>
      </c>
      <c r="S425" s="95"/>
      <c r="AA425" s="95"/>
    </row>
    <row r="426" spans="2:27" s="75" customFormat="1">
      <c r="B426" s="75" t="s">
        <v>625</v>
      </c>
      <c r="F426" s="95"/>
      <c r="G426" s="95" t="s">
        <v>642</v>
      </c>
      <c r="H426" s="95"/>
      <c r="I426" s="95"/>
      <c r="L426" s="95"/>
      <c r="M426" s="95"/>
      <c r="N426" s="95"/>
      <c r="P426" s="95" t="s">
        <v>675</v>
      </c>
      <c r="Q426" s="95"/>
      <c r="R426" s="75" t="s">
        <v>677</v>
      </c>
      <c r="S426" s="95"/>
      <c r="AA426" s="95"/>
    </row>
    <row r="427" spans="2:27" s="75" customFormat="1">
      <c r="B427" s="75" t="s">
        <v>624</v>
      </c>
      <c r="F427" s="95"/>
      <c r="G427" s="95" t="s">
        <v>642</v>
      </c>
      <c r="H427" s="95"/>
      <c r="I427" s="95"/>
      <c r="L427" s="95"/>
      <c r="M427" s="95"/>
      <c r="N427" s="95"/>
      <c r="P427" s="95" t="s">
        <v>675</v>
      </c>
      <c r="Q427" s="95"/>
      <c r="R427" s="75" t="s">
        <v>677</v>
      </c>
      <c r="S427" s="95"/>
      <c r="AA427" s="95"/>
    </row>
    <row r="428" spans="2:27" s="75" customFormat="1">
      <c r="B428" s="75" t="s">
        <v>623</v>
      </c>
      <c r="F428" s="95"/>
      <c r="G428" s="95" t="s">
        <v>642</v>
      </c>
      <c r="H428" s="95"/>
      <c r="I428" s="95"/>
      <c r="L428" s="95"/>
      <c r="M428" s="95"/>
      <c r="N428" s="95"/>
      <c r="P428" s="95" t="s">
        <v>675</v>
      </c>
      <c r="Q428" s="95"/>
      <c r="R428" s="75" t="s">
        <v>677</v>
      </c>
      <c r="S428" s="95"/>
      <c r="AA428" s="95"/>
    </row>
    <row r="429" spans="2:27" s="75" customFormat="1">
      <c r="B429" s="75" t="s">
        <v>622</v>
      </c>
      <c r="F429" s="95"/>
      <c r="G429" s="95" t="s">
        <v>642</v>
      </c>
      <c r="H429" s="95"/>
      <c r="I429" s="95"/>
      <c r="L429" s="95"/>
      <c r="M429" s="95"/>
      <c r="N429" s="95"/>
      <c r="P429" s="95" t="s">
        <v>675</v>
      </c>
      <c r="Q429" s="95"/>
      <c r="R429" s="75" t="s">
        <v>677</v>
      </c>
      <c r="S429" s="95"/>
      <c r="AA429" s="95"/>
    </row>
    <row r="430" spans="2:27" s="75" customFormat="1">
      <c r="B430" s="97" t="s">
        <v>676</v>
      </c>
      <c r="C430" s="97"/>
      <c r="F430" s="96"/>
      <c r="G430" s="96" t="s">
        <v>650</v>
      </c>
      <c r="H430" s="96"/>
      <c r="I430" s="96"/>
      <c r="L430" s="95"/>
      <c r="M430" s="95" t="s">
        <v>675</v>
      </c>
      <c r="N430" s="95" t="s">
        <v>641</v>
      </c>
      <c r="P430" s="95"/>
      <c r="Q430" s="95"/>
      <c r="S430" s="95"/>
      <c r="AA430" s="95"/>
    </row>
    <row r="431" spans="2:27" s="75" customFormat="1">
      <c r="B431" s="75" t="s">
        <v>674</v>
      </c>
      <c r="F431" s="95"/>
      <c r="G431" s="95" t="s">
        <v>642</v>
      </c>
      <c r="H431" s="95"/>
      <c r="I431" s="95"/>
      <c r="L431" s="95"/>
      <c r="M431" s="95" t="s">
        <v>673</v>
      </c>
      <c r="N431" s="95"/>
      <c r="P431" s="95"/>
      <c r="Q431" s="95"/>
      <c r="S431" s="95"/>
      <c r="AA431" s="95"/>
    </row>
    <row r="432" spans="2:27" s="75" customFormat="1">
      <c r="B432" s="75" t="s">
        <v>672</v>
      </c>
      <c r="F432" s="95"/>
      <c r="G432" s="95" t="s">
        <v>642</v>
      </c>
      <c r="H432" s="95"/>
      <c r="I432" s="95"/>
      <c r="L432" s="95"/>
      <c r="M432" s="95"/>
      <c r="N432" s="95" t="s">
        <v>641</v>
      </c>
      <c r="P432" s="95"/>
      <c r="Q432" s="95"/>
      <c r="S432" s="95"/>
      <c r="AA432" s="95"/>
    </row>
    <row r="433" spans="2:27" s="75" customFormat="1">
      <c r="B433" s="75" t="s">
        <v>671</v>
      </c>
      <c r="F433" s="95"/>
      <c r="G433" s="95" t="s">
        <v>642</v>
      </c>
      <c r="H433" s="95"/>
      <c r="I433" s="95"/>
      <c r="L433" s="95"/>
      <c r="M433" s="95"/>
      <c r="N433" s="95" t="s">
        <v>641</v>
      </c>
      <c r="P433" s="95"/>
      <c r="Q433" s="95"/>
      <c r="S433" s="95"/>
      <c r="AA433" s="95"/>
    </row>
    <row r="434" spans="2:27" s="75" customFormat="1">
      <c r="B434" s="75" t="s">
        <v>670</v>
      </c>
      <c r="F434" s="95"/>
      <c r="G434" s="95" t="s">
        <v>642</v>
      </c>
      <c r="H434" s="95"/>
      <c r="I434" s="95"/>
      <c r="L434" s="95"/>
      <c r="M434" s="95"/>
      <c r="N434" s="95" t="s">
        <v>641</v>
      </c>
      <c r="P434" s="95"/>
      <c r="Q434" s="95"/>
      <c r="S434" s="95"/>
      <c r="AA434" s="95"/>
    </row>
    <row r="435" spans="2:27" s="75" customFormat="1">
      <c r="B435" s="75" t="s">
        <v>669</v>
      </c>
      <c r="F435" s="95"/>
      <c r="G435" s="95" t="s">
        <v>642</v>
      </c>
      <c r="H435" s="95"/>
      <c r="I435" s="95"/>
      <c r="L435" s="95"/>
      <c r="M435" s="95"/>
      <c r="N435" s="95" t="s">
        <v>641</v>
      </c>
      <c r="P435" s="95"/>
      <c r="Q435" s="95"/>
      <c r="S435" s="95"/>
      <c r="AA435" s="95"/>
    </row>
    <row r="436" spans="2:27" s="75" customFormat="1">
      <c r="B436" s="75" t="s">
        <v>668</v>
      </c>
      <c r="F436" s="95"/>
      <c r="G436" s="95" t="s">
        <v>642</v>
      </c>
      <c r="H436" s="95"/>
      <c r="I436" s="95"/>
      <c r="L436" s="95"/>
      <c r="M436" s="95"/>
      <c r="N436" s="95" t="s">
        <v>641</v>
      </c>
      <c r="P436" s="95"/>
      <c r="Q436" s="95"/>
      <c r="S436" s="95"/>
      <c r="AA436" s="95"/>
    </row>
    <row r="437" spans="2:27" s="75" customFormat="1">
      <c r="B437" s="75" t="s">
        <v>667</v>
      </c>
      <c r="F437" s="95"/>
      <c r="G437" s="95" t="s">
        <v>642</v>
      </c>
      <c r="H437" s="95"/>
      <c r="I437" s="95"/>
      <c r="L437" s="95"/>
      <c r="M437" s="95"/>
      <c r="N437" s="95" t="s">
        <v>641</v>
      </c>
      <c r="P437" s="95"/>
      <c r="Q437" s="95"/>
      <c r="S437" s="95"/>
      <c r="AA437" s="95"/>
    </row>
    <row r="438" spans="2:27" s="75" customFormat="1">
      <c r="B438" s="75" t="s">
        <v>666</v>
      </c>
      <c r="F438" s="95"/>
      <c r="G438" s="95" t="s">
        <v>642</v>
      </c>
      <c r="H438" s="95"/>
      <c r="I438" s="95"/>
      <c r="L438" s="95"/>
      <c r="M438" s="95"/>
      <c r="N438" s="95" t="s">
        <v>641</v>
      </c>
      <c r="P438" s="95"/>
      <c r="Q438" s="95"/>
      <c r="S438" s="95"/>
      <c r="AA438" s="95"/>
    </row>
    <row r="439" spans="2:27" s="75" customFormat="1">
      <c r="B439" s="75" t="s">
        <v>665</v>
      </c>
      <c r="F439" s="95"/>
      <c r="G439" s="95" t="s">
        <v>642</v>
      </c>
      <c r="H439" s="95"/>
      <c r="I439" s="95"/>
      <c r="L439" s="95"/>
      <c r="M439" s="95"/>
      <c r="N439" s="95"/>
      <c r="P439" s="95"/>
      <c r="Q439" s="95"/>
      <c r="S439" s="95"/>
      <c r="AA439" s="95"/>
    </row>
    <row r="440" spans="2:27" s="75" customFormat="1">
      <c r="B440" s="75" t="s">
        <v>664</v>
      </c>
      <c r="F440" s="95"/>
      <c r="G440" s="95" t="s">
        <v>642</v>
      </c>
      <c r="H440" s="95"/>
      <c r="I440" s="95"/>
      <c r="L440" s="95"/>
      <c r="M440" s="95"/>
      <c r="N440" s="95"/>
      <c r="P440" s="95"/>
      <c r="Q440" s="95"/>
      <c r="S440" s="95"/>
      <c r="AA440" s="95"/>
    </row>
    <row r="441" spans="2:27" s="75" customFormat="1">
      <c r="B441" s="75" t="s">
        <v>663</v>
      </c>
      <c r="F441" s="95"/>
      <c r="G441" s="95" t="s">
        <v>642</v>
      </c>
      <c r="H441" s="95"/>
      <c r="I441" s="95"/>
      <c r="L441" s="95"/>
      <c r="M441" s="95"/>
      <c r="N441" s="95"/>
      <c r="P441" s="95"/>
      <c r="Q441" s="95"/>
      <c r="S441" s="95"/>
      <c r="AA441" s="95"/>
    </row>
    <row r="442" spans="2:27" s="75" customFormat="1">
      <c r="F442" s="95"/>
      <c r="G442" s="95"/>
      <c r="H442" s="95"/>
      <c r="I442" s="95"/>
      <c r="L442" s="95"/>
      <c r="M442" s="95"/>
      <c r="N442" s="95"/>
      <c r="P442" s="95"/>
      <c r="Q442" s="95"/>
      <c r="S442" s="95"/>
      <c r="AA442" s="95"/>
    </row>
    <row r="443" spans="2:27" s="75" customFormat="1">
      <c r="B443" s="75" t="s">
        <v>662</v>
      </c>
      <c r="F443" s="96"/>
      <c r="G443" s="96" t="s">
        <v>650</v>
      </c>
      <c r="H443" s="96"/>
      <c r="I443" s="96"/>
      <c r="L443" s="95"/>
      <c r="N443" s="95" t="s">
        <v>641</v>
      </c>
      <c r="P443" s="95"/>
      <c r="Q443" s="95"/>
      <c r="S443" s="95"/>
      <c r="AA443" s="95"/>
    </row>
    <row r="444" spans="2:27" s="75" customFormat="1">
      <c r="B444" s="75" t="s">
        <v>661</v>
      </c>
      <c r="F444" s="96"/>
      <c r="G444" s="96" t="s">
        <v>650</v>
      </c>
      <c r="H444" s="96"/>
      <c r="I444" s="96"/>
      <c r="L444" s="95"/>
      <c r="N444" s="95" t="s">
        <v>641</v>
      </c>
      <c r="P444" s="95"/>
      <c r="Q444" s="95"/>
      <c r="S444" s="95"/>
      <c r="AA444" s="95"/>
    </row>
    <row r="445" spans="2:27" s="75" customFormat="1">
      <c r="B445" s="75" t="s">
        <v>660</v>
      </c>
      <c r="F445" s="96"/>
      <c r="G445" s="96" t="s">
        <v>650</v>
      </c>
      <c r="H445" s="96"/>
      <c r="I445" s="96"/>
      <c r="L445" s="95"/>
      <c r="N445" s="95" t="s">
        <v>641</v>
      </c>
      <c r="P445" s="95"/>
      <c r="Q445" s="95"/>
      <c r="S445" s="95"/>
      <c r="AA445" s="95"/>
    </row>
    <row r="446" spans="2:27" s="75" customFormat="1">
      <c r="B446" s="75" t="s">
        <v>659</v>
      </c>
      <c r="F446" s="96"/>
      <c r="G446" s="96" t="s">
        <v>650</v>
      </c>
      <c r="H446" s="96"/>
      <c r="I446" s="96"/>
      <c r="L446" s="95"/>
      <c r="N446" s="95" t="s">
        <v>641</v>
      </c>
      <c r="P446" s="95"/>
      <c r="Q446" s="95"/>
      <c r="S446" s="95"/>
      <c r="AA446" s="95"/>
    </row>
    <row r="447" spans="2:27" s="75" customFormat="1">
      <c r="B447" s="75" t="s">
        <v>658</v>
      </c>
      <c r="F447" s="96"/>
      <c r="G447" s="96" t="s">
        <v>650</v>
      </c>
      <c r="H447" s="96"/>
      <c r="I447" s="96"/>
      <c r="L447" s="95"/>
      <c r="N447" s="95" t="s">
        <v>641</v>
      </c>
      <c r="P447" s="95"/>
      <c r="Q447" s="95"/>
      <c r="S447" s="95"/>
      <c r="AA447" s="95"/>
    </row>
    <row r="448" spans="2:27" s="75" customFormat="1">
      <c r="B448" s="75" t="s">
        <v>657</v>
      </c>
      <c r="F448" s="96"/>
      <c r="G448" s="96" t="s">
        <v>650</v>
      </c>
      <c r="H448" s="96"/>
      <c r="I448" s="96"/>
      <c r="L448" s="95"/>
      <c r="N448" s="95" t="s">
        <v>641</v>
      </c>
      <c r="P448" s="95"/>
      <c r="Q448" s="95"/>
      <c r="S448" s="95"/>
      <c r="AA448" s="95"/>
    </row>
    <row r="449" spans="2:27" s="75" customFormat="1">
      <c r="B449" s="75" t="s">
        <v>656</v>
      </c>
      <c r="F449" s="96"/>
      <c r="G449" s="96" t="s">
        <v>650</v>
      </c>
      <c r="H449" s="96"/>
      <c r="I449" s="96"/>
      <c r="L449" s="95"/>
      <c r="N449" s="95" t="s">
        <v>641</v>
      </c>
      <c r="P449" s="95"/>
      <c r="Q449" s="95"/>
      <c r="S449" s="95"/>
      <c r="AA449" s="95"/>
    </row>
    <row r="450" spans="2:27" s="75" customFormat="1">
      <c r="B450" s="75" t="s">
        <v>655</v>
      </c>
      <c r="F450" s="96"/>
      <c r="G450" s="96" t="s">
        <v>650</v>
      </c>
      <c r="H450" s="96"/>
      <c r="I450" s="96"/>
      <c r="L450" s="95"/>
      <c r="N450" s="95" t="s">
        <v>641</v>
      </c>
      <c r="P450" s="95"/>
      <c r="Q450" s="95"/>
      <c r="S450" s="95"/>
      <c r="AA450" s="95"/>
    </row>
    <row r="451" spans="2:27" s="75" customFormat="1">
      <c r="B451" s="75" t="s">
        <v>654</v>
      </c>
      <c r="F451" s="96"/>
      <c r="G451" s="96" t="s">
        <v>650</v>
      </c>
      <c r="H451" s="96"/>
      <c r="I451" s="96"/>
      <c r="L451" s="95"/>
      <c r="N451" s="95" t="s">
        <v>641</v>
      </c>
      <c r="P451" s="95"/>
      <c r="Q451" s="95"/>
      <c r="S451" s="95"/>
      <c r="AA451" s="95"/>
    </row>
    <row r="452" spans="2:27" s="75" customFormat="1">
      <c r="B452" s="75" t="s">
        <v>653</v>
      </c>
      <c r="F452" s="96"/>
      <c r="G452" s="96" t="s">
        <v>650</v>
      </c>
      <c r="H452" s="96"/>
      <c r="I452" s="96"/>
      <c r="L452" s="95"/>
      <c r="N452" s="95" t="s">
        <v>641</v>
      </c>
      <c r="P452" s="95"/>
      <c r="Q452" s="95"/>
      <c r="S452" s="95"/>
      <c r="AA452" s="95"/>
    </row>
    <row r="453" spans="2:27" s="75" customFormat="1">
      <c r="B453" s="75" t="s">
        <v>652</v>
      </c>
      <c r="F453" s="96"/>
      <c r="G453" s="96" t="s">
        <v>650</v>
      </c>
      <c r="H453" s="96"/>
      <c r="I453" s="96"/>
      <c r="L453" s="95"/>
      <c r="N453" s="95" t="s">
        <v>641</v>
      </c>
      <c r="P453" s="95"/>
      <c r="Q453" s="95"/>
      <c r="S453" s="95"/>
      <c r="AA453" s="95"/>
    </row>
    <row r="454" spans="2:27" s="75" customFormat="1">
      <c r="B454" s="75" t="s">
        <v>651</v>
      </c>
      <c r="F454" s="96"/>
      <c r="G454" s="96" t="s">
        <v>650</v>
      </c>
      <c r="H454" s="96"/>
      <c r="I454" s="96"/>
      <c r="L454" s="95"/>
      <c r="N454" s="95" t="s">
        <v>641</v>
      </c>
      <c r="P454" s="95"/>
      <c r="Q454" s="95"/>
      <c r="S454" s="95"/>
      <c r="AA454" s="95"/>
    </row>
    <row r="455" spans="2:27" s="75" customFormat="1">
      <c r="F455" s="95"/>
      <c r="G455" s="95"/>
      <c r="H455" s="95"/>
      <c r="I455" s="95"/>
      <c r="L455" s="95"/>
      <c r="N455" s="95"/>
      <c r="P455" s="95"/>
      <c r="Q455" s="95"/>
      <c r="S455" s="95"/>
      <c r="AA455" s="95"/>
    </row>
    <row r="456" spans="2:27" s="75" customFormat="1">
      <c r="B456" s="75" t="s">
        <v>649</v>
      </c>
      <c r="F456" s="95"/>
      <c r="G456" s="95" t="s">
        <v>642</v>
      </c>
      <c r="H456" s="95"/>
      <c r="I456" s="95"/>
      <c r="L456" s="95"/>
      <c r="N456" s="95" t="s">
        <v>641</v>
      </c>
      <c r="P456" s="95"/>
      <c r="Q456" s="95"/>
      <c r="S456" s="95"/>
      <c r="AA456" s="95"/>
    </row>
    <row r="457" spans="2:27" s="75" customFormat="1">
      <c r="B457" s="75" t="s">
        <v>648</v>
      </c>
      <c r="F457" s="95"/>
      <c r="G457" s="95" t="s">
        <v>642</v>
      </c>
      <c r="H457" s="95"/>
      <c r="I457" s="95"/>
      <c r="L457" s="95"/>
      <c r="N457" s="95" t="s">
        <v>641</v>
      </c>
      <c r="P457" s="95"/>
      <c r="Q457" s="95"/>
      <c r="S457" s="95"/>
      <c r="AA457" s="95"/>
    </row>
    <row r="458" spans="2:27" s="75" customFormat="1">
      <c r="B458" s="75" t="s">
        <v>647</v>
      </c>
      <c r="F458" s="95"/>
      <c r="G458" s="95" t="s">
        <v>642</v>
      </c>
      <c r="H458" s="95"/>
      <c r="I458" s="95"/>
      <c r="L458" s="95"/>
      <c r="N458" s="95" t="s">
        <v>641</v>
      </c>
      <c r="P458" s="95"/>
      <c r="Q458" s="95"/>
      <c r="S458" s="95"/>
      <c r="AA458" s="95"/>
    </row>
    <row r="459" spans="2:27" s="75" customFormat="1">
      <c r="B459" s="75" t="s">
        <v>646</v>
      </c>
      <c r="F459" s="95"/>
      <c r="G459" s="95" t="s">
        <v>642</v>
      </c>
      <c r="H459" s="95"/>
      <c r="I459" s="95"/>
      <c r="L459" s="95"/>
      <c r="N459" s="95" t="s">
        <v>641</v>
      </c>
      <c r="Q459" s="95"/>
      <c r="S459" s="95"/>
      <c r="AA459" s="95"/>
    </row>
    <row r="460" spans="2:27" s="75" customFormat="1">
      <c r="B460" s="75" t="s">
        <v>645</v>
      </c>
      <c r="F460" s="95"/>
      <c r="G460" s="95" t="s">
        <v>642</v>
      </c>
      <c r="H460" s="95"/>
      <c r="I460" s="95"/>
      <c r="L460" s="95"/>
      <c r="N460" s="95" t="s">
        <v>641</v>
      </c>
      <c r="Q460" s="95"/>
      <c r="S460" s="95"/>
      <c r="AA460" s="95"/>
    </row>
    <row r="461" spans="2:27" s="75" customFormat="1">
      <c r="B461" s="75" t="s">
        <v>644</v>
      </c>
      <c r="F461" s="95"/>
      <c r="G461" s="95" t="s">
        <v>642</v>
      </c>
      <c r="H461" s="95"/>
      <c r="I461" s="95"/>
      <c r="L461" s="95"/>
      <c r="N461" s="95" t="s">
        <v>641</v>
      </c>
      <c r="Q461" s="95"/>
      <c r="S461" s="95"/>
      <c r="AA461" s="95"/>
    </row>
    <row r="462" spans="2:27" s="75" customFormat="1">
      <c r="B462" s="75" t="s">
        <v>643</v>
      </c>
      <c r="F462" s="95"/>
      <c r="G462" s="95" t="s">
        <v>642</v>
      </c>
      <c r="H462" s="95"/>
      <c r="I462" s="95"/>
      <c r="L462" s="95"/>
      <c r="N462" s="95" t="s">
        <v>641</v>
      </c>
      <c r="Q462" s="95"/>
      <c r="S462" s="95"/>
      <c r="AA462" s="95"/>
    </row>
    <row r="463" spans="2:27" s="75" customFormat="1">
      <c r="F463" s="95"/>
      <c r="G463" s="95"/>
      <c r="H463" s="95"/>
      <c r="I463" s="95"/>
      <c r="L463" s="95"/>
      <c r="R463" s="95"/>
      <c r="U463" s="95"/>
    </row>
    <row r="464" spans="2:27" s="75" customFormat="1">
      <c r="B464" s="75" t="s">
        <v>640</v>
      </c>
      <c r="F464" s="95"/>
      <c r="G464" s="95"/>
      <c r="H464" s="95"/>
      <c r="I464" s="95"/>
      <c r="L464" s="95"/>
      <c r="R464" s="95"/>
      <c r="U464" s="95"/>
    </row>
    <row r="465" spans="2:21" s="75" customFormat="1">
      <c r="B465" s="75" t="s">
        <v>639</v>
      </c>
      <c r="F465" s="95"/>
      <c r="G465" s="95"/>
      <c r="H465" s="95"/>
      <c r="I465" s="95"/>
      <c r="L465" s="95"/>
      <c r="R465" s="95"/>
      <c r="U465" s="95"/>
    </row>
    <row r="466" spans="2:21" s="75" customFormat="1">
      <c r="B466" s="75" t="s">
        <v>638</v>
      </c>
      <c r="F466" s="95"/>
      <c r="G466" s="95"/>
      <c r="H466" s="95"/>
      <c r="I466" s="95"/>
      <c r="L466" s="95"/>
      <c r="R466" s="95"/>
      <c r="U466" s="95"/>
    </row>
    <row r="467" spans="2:21" s="75" customFormat="1">
      <c r="B467" s="75" t="s">
        <v>637</v>
      </c>
      <c r="F467" s="95"/>
      <c r="G467" s="95"/>
      <c r="H467" s="95"/>
      <c r="I467" s="95"/>
      <c r="L467" s="95"/>
      <c r="R467" s="95"/>
      <c r="U467" s="95"/>
    </row>
    <row r="468" spans="2:21" s="75" customFormat="1">
      <c r="B468" s="75" t="s">
        <v>636</v>
      </c>
      <c r="F468" s="95"/>
      <c r="G468" s="95"/>
      <c r="H468" s="95"/>
      <c r="I468" s="95"/>
      <c r="L468" s="95"/>
      <c r="R468" s="95"/>
      <c r="U468" s="95"/>
    </row>
    <row r="469" spans="2:21" s="75" customFormat="1">
      <c r="B469" s="75" t="s">
        <v>635</v>
      </c>
      <c r="F469" s="95"/>
      <c r="G469" s="95"/>
      <c r="H469" s="95"/>
      <c r="I469" s="95"/>
      <c r="L469" s="95"/>
      <c r="R469" s="95"/>
      <c r="U469" s="95"/>
    </row>
    <row r="470" spans="2:21" s="75" customFormat="1">
      <c r="B470" s="75" t="s">
        <v>634</v>
      </c>
      <c r="F470" s="95"/>
      <c r="G470" s="95"/>
      <c r="H470" s="95"/>
      <c r="I470" s="95"/>
      <c r="L470" s="95"/>
      <c r="R470" s="95"/>
      <c r="U470" s="95"/>
    </row>
    <row r="471" spans="2:21" s="75" customFormat="1">
      <c r="F471" s="95"/>
      <c r="G471" s="95"/>
      <c r="H471" s="95"/>
      <c r="I471" s="95"/>
      <c r="L471" s="95"/>
      <c r="R471" s="95"/>
      <c r="U471" s="95"/>
    </row>
    <row r="472" spans="2:21" s="75" customFormat="1">
      <c r="B472" s="75" t="s">
        <v>633</v>
      </c>
      <c r="F472" s="95"/>
      <c r="G472" s="95"/>
      <c r="H472" s="95"/>
      <c r="I472" s="95"/>
      <c r="L472" s="95"/>
      <c r="R472" s="95"/>
      <c r="U472" s="95"/>
    </row>
    <row r="473" spans="2:21" s="75" customFormat="1">
      <c r="B473" s="75" t="s">
        <v>632</v>
      </c>
      <c r="F473" s="95"/>
      <c r="G473" s="95"/>
      <c r="H473" s="95"/>
      <c r="I473" s="95"/>
      <c r="L473" s="95"/>
      <c r="R473" s="95"/>
      <c r="U473" s="95"/>
    </row>
    <row r="474" spans="2:21" s="75" customFormat="1">
      <c r="B474" s="75" t="s">
        <v>631</v>
      </c>
      <c r="F474" s="95"/>
      <c r="G474" s="95"/>
      <c r="H474" s="95"/>
      <c r="I474" s="95"/>
      <c r="L474" s="95"/>
      <c r="R474" s="95"/>
      <c r="U474" s="95"/>
    </row>
    <row r="475" spans="2:21" s="75" customFormat="1">
      <c r="B475" s="75" t="s">
        <v>630</v>
      </c>
      <c r="F475" s="95"/>
      <c r="G475" s="95"/>
      <c r="H475" s="95"/>
      <c r="I475" s="95"/>
      <c r="L475" s="95"/>
      <c r="R475" s="95"/>
      <c r="U475" s="95"/>
    </row>
    <row r="476" spans="2:21" s="75" customFormat="1">
      <c r="B476" s="75" t="s">
        <v>629</v>
      </c>
      <c r="F476" s="95"/>
      <c r="G476" s="95"/>
      <c r="H476" s="95"/>
      <c r="I476" s="95"/>
      <c r="L476" s="95"/>
      <c r="R476" s="95"/>
      <c r="U476" s="95"/>
    </row>
    <row r="477" spans="2:21" s="75" customFormat="1">
      <c r="F477" s="95"/>
      <c r="G477" s="95"/>
      <c r="H477" s="95"/>
      <c r="I477" s="95"/>
      <c r="L477" s="95"/>
      <c r="R477" s="95"/>
      <c r="U477" s="95"/>
    </row>
    <row r="478" spans="2:21" s="75" customFormat="1">
      <c r="B478" s="75" t="s">
        <v>628</v>
      </c>
      <c r="F478" s="95"/>
      <c r="G478" s="95"/>
      <c r="H478" s="95"/>
      <c r="I478" s="95"/>
      <c r="L478" s="95"/>
      <c r="R478" s="95"/>
      <c r="U478" s="95"/>
    </row>
    <row r="479" spans="2:21" s="75" customFormat="1">
      <c r="B479" s="75" t="s">
        <v>627</v>
      </c>
      <c r="F479" s="95"/>
      <c r="G479" s="95"/>
      <c r="H479" s="95"/>
      <c r="I479" s="95"/>
      <c r="L479" s="95"/>
      <c r="R479" s="95"/>
      <c r="U479" s="95"/>
    </row>
    <row r="480" spans="2:21" s="75" customFormat="1">
      <c r="B480" s="75" t="s">
        <v>626</v>
      </c>
      <c r="F480" s="95"/>
      <c r="G480" s="95"/>
      <c r="H480" s="95"/>
      <c r="I480" s="95"/>
      <c r="L480" s="95"/>
      <c r="R480" s="95"/>
      <c r="U480" s="95"/>
    </row>
    <row r="481" spans="2:21" s="75" customFormat="1">
      <c r="B481" s="75" t="s">
        <v>625</v>
      </c>
      <c r="F481" s="95"/>
      <c r="G481" s="95"/>
      <c r="H481" s="95"/>
      <c r="I481" s="95"/>
      <c r="L481" s="95"/>
      <c r="R481" s="95"/>
      <c r="U481" s="95"/>
    </row>
    <row r="482" spans="2:21" s="75" customFormat="1">
      <c r="B482" s="75" t="s">
        <v>624</v>
      </c>
      <c r="F482" s="95"/>
      <c r="G482" s="95"/>
      <c r="H482" s="95"/>
      <c r="I482" s="95"/>
      <c r="L482" s="95"/>
      <c r="R482" s="95"/>
      <c r="U482" s="95"/>
    </row>
    <row r="483" spans="2:21" s="75" customFormat="1">
      <c r="B483" s="75" t="s">
        <v>623</v>
      </c>
      <c r="F483" s="95"/>
      <c r="G483" s="95"/>
      <c r="H483" s="95"/>
      <c r="I483" s="95"/>
      <c r="L483" s="95"/>
      <c r="R483" s="95"/>
      <c r="U483" s="95"/>
    </row>
    <row r="484" spans="2:21" s="75" customFormat="1">
      <c r="B484" s="75" t="s">
        <v>622</v>
      </c>
      <c r="F484" s="95"/>
      <c r="G484" s="95"/>
      <c r="H484" s="95"/>
      <c r="I484" s="95"/>
      <c r="L484" s="95"/>
      <c r="R484" s="95"/>
      <c r="U484" s="95"/>
    </row>
    <row r="485" spans="2:21" s="75" customFormat="1">
      <c r="F485" s="95"/>
      <c r="G485" s="95"/>
      <c r="H485" s="95"/>
      <c r="I485" s="95"/>
      <c r="L485" s="95"/>
      <c r="R485" s="95"/>
      <c r="U485" s="95"/>
    </row>
    <row r="486" spans="2:21" s="75" customFormat="1">
      <c r="B486" s="75" t="s">
        <v>621</v>
      </c>
      <c r="F486" s="95"/>
      <c r="G486" s="95"/>
      <c r="H486" s="95"/>
      <c r="I486" s="95"/>
      <c r="L486" s="95"/>
      <c r="R486" s="95"/>
      <c r="U486" s="95"/>
    </row>
    <row r="487" spans="2:21" s="75" customFormat="1">
      <c r="B487" s="75" t="s">
        <v>620</v>
      </c>
      <c r="F487" s="95"/>
      <c r="G487" s="95"/>
      <c r="H487" s="95"/>
      <c r="I487" s="95"/>
      <c r="L487" s="95"/>
      <c r="R487" s="95"/>
      <c r="U487" s="95"/>
    </row>
    <row r="488" spans="2:21" s="75" customFormat="1">
      <c r="B488" s="75" t="s">
        <v>619</v>
      </c>
      <c r="F488" s="95"/>
      <c r="G488" s="95"/>
      <c r="H488" s="95"/>
      <c r="I488" s="95"/>
      <c r="L488" s="95"/>
      <c r="R488" s="95"/>
      <c r="U488" s="95"/>
    </row>
    <row r="489" spans="2:21" s="75" customFormat="1">
      <c r="B489" s="75" t="s">
        <v>618</v>
      </c>
      <c r="F489" s="95"/>
      <c r="G489" s="95"/>
      <c r="H489" s="95"/>
      <c r="I489" s="95"/>
      <c r="L489" s="95"/>
      <c r="R489" s="95"/>
      <c r="U489" s="95"/>
    </row>
    <row r="490" spans="2:21" s="75" customFormat="1">
      <c r="B490" s="75" t="s">
        <v>617</v>
      </c>
      <c r="F490" s="95"/>
      <c r="G490" s="95"/>
      <c r="H490" s="95"/>
      <c r="I490" s="95"/>
      <c r="L490" s="95"/>
      <c r="R490" s="95"/>
      <c r="U490" s="95"/>
    </row>
    <row r="491" spans="2:21" s="75" customFormat="1">
      <c r="B491" s="75" t="s">
        <v>616</v>
      </c>
      <c r="F491" s="95"/>
      <c r="G491" s="95"/>
      <c r="H491" s="95"/>
      <c r="I491" s="95"/>
      <c r="L491" s="95"/>
      <c r="R491" s="95"/>
      <c r="U491" s="95"/>
    </row>
    <row r="492" spans="2:21" s="75" customFormat="1">
      <c r="B492" s="75" t="s">
        <v>615</v>
      </c>
      <c r="F492" s="95"/>
      <c r="G492" s="95"/>
      <c r="H492" s="95"/>
      <c r="I492" s="95"/>
      <c r="L492" s="95"/>
      <c r="R492" s="95"/>
      <c r="U492" s="95"/>
    </row>
    <row r="493" spans="2:21" s="75" customFormat="1">
      <c r="B493" s="75" t="s">
        <v>614</v>
      </c>
      <c r="F493" s="95"/>
      <c r="G493" s="95"/>
      <c r="H493" s="95"/>
      <c r="I493" s="95"/>
      <c r="L493" s="95"/>
      <c r="R493" s="95"/>
      <c r="U493" s="95"/>
    </row>
    <row r="494" spans="2:21" s="75" customFormat="1">
      <c r="B494" s="75" t="s">
        <v>613</v>
      </c>
      <c r="F494" s="95"/>
      <c r="G494" s="95"/>
      <c r="H494" s="95"/>
      <c r="I494" s="95"/>
      <c r="L494" s="95"/>
      <c r="R494" s="95"/>
      <c r="U494" s="95"/>
    </row>
    <row r="495" spans="2:21" s="75" customFormat="1">
      <c r="B495" s="75" t="s">
        <v>612</v>
      </c>
      <c r="F495" s="95"/>
      <c r="G495" s="95"/>
      <c r="H495" s="95"/>
      <c r="I495" s="95"/>
      <c r="L495" s="95"/>
      <c r="R495" s="95"/>
      <c r="U495" s="95"/>
    </row>
    <row r="496" spans="2:21" s="75" customFormat="1">
      <c r="B496" s="75" t="s">
        <v>611</v>
      </c>
      <c r="F496" s="95"/>
      <c r="G496" s="95"/>
      <c r="H496" s="95"/>
      <c r="I496" s="95"/>
      <c r="L496" s="95"/>
      <c r="R496" s="95"/>
      <c r="U496" s="95"/>
    </row>
    <row r="497" spans="2:21" s="75" customFormat="1">
      <c r="B497" s="75" t="s">
        <v>610</v>
      </c>
      <c r="F497" s="95"/>
      <c r="G497" s="95"/>
      <c r="H497" s="95"/>
      <c r="I497" s="95"/>
      <c r="L497" s="95"/>
      <c r="R497" s="95"/>
      <c r="U497" s="95"/>
    </row>
    <row r="498" spans="2:21" s="75" customFormat="1">
      <c r="B498" s="75" t="s">
        <v>609</v>
      </c>
      <c r="F498" s="95"/>
      <c r="G498" s="95"/>
      <c r="H498" s="95"/>
      <c r="I498" s="95"/>
      <c r="L498" s="95"/>
      <c r="R498" s="95"/>
      <c r="U498" s="95"/>
    </row>
    <row r="499" spans="2:21" s="75" customFormat="1">
      <c r="B499" s="75" t="s">
        <v>608</v>
      </c>
      <c r="F499" s="95"/>
      <c r="G499" s="95"/>
      <c r="H499" s="95"/>
      <c r="I499" s="95"/>
      <c r="L499" s="95"/>
      <c r="R499" s="95"/>
      <c r="U499" s="95"/>
    </row>
    <row r="500" spans="2:21" s="75" customFormat="1">
      <c r="B500" s="75" t="s">
        <v>607</v>
      </c>
      <c r="F500" s="95"/>
      <c r="G500" s="95"/>
      <c r="H500" s="95"/>
      <c r="I500" s="95"/>
      <c r="L500" s="95"/>
      <c r="R500" s="95"/>
      <c r="U500" s="95"/>
    </row>
    <row r="501" spans="2:21" s="75" customFormat="1">
      <c r="B501" s="75" t="s">
        <v>606</v>
      </c>
      <c r="F501" s="95"/>
      <c r="G501" s="95"/>
      <c r="H501" s="95"/>
      <c r="I501" s="95"/>
      <c r="L501" s="95"/>
      <c r="R501" s="95"/>
      <c r="U501" s="95"/>
    </row>
    <row r="502" spans="2:21" s="75" customFormat="1">
      <c r="B502" s="75" t="s">
        <v>605</v>
      </c>
      <c r="F502" s="95"/>
      <c r="G502" s="95"/>
      <c r="H502" s="95"/>
      <c r="I502" s="95"/>
      <c r="L502" s="95"/>
      <c r="R502" s="95"/>
      <c r="U502" s="95"/>
    </row>
    <row r="503" spans="2:21" s="75" customFormat="1">
      <c r="B503" s="75" t="s">
        <v>604</v>
      </c>
      <c r="F503" s="95"/>
      <c r="G503" s="95"/>
      <c r="H503" s="95"/>
      <c r="I503" s="95"/>
      <c r="L503" s="95"/>
      <c r="R503" s="95"/>
      <c r="U503" s="95"/>
    </row>
    <row r="504" spans="2:21" s="75" customFormat="1">
      <c r="B504" s="75" t="s">
        <v>603</v>
      </c>
      <c r="F504" s="95"/>
      <c r="G504" s="95"/>
      <c r="H504" s="95"/>
      <c r="I504" s="95"/>
      <c r="L504" s="95"/>
      <c r="R504" s="95"/>
      <c r="U504" s="95"/>
    </row>
    <row r="505" spans="2:21" s="75" customFormat="1">
      <c r="B505" s="75" t="s">
        <v>602</v>
      </c>
      <c r="F505" s="95"/>
      <c r="G505" s="95"/>
      <c r="H505" s="95"/>
      <c r="I505" s="95"/>
      <c r="L505" s="95"/>
      <c r="R505" s="95"/>
      <c r="U505" s="95"/>
    </row>
    <row r="506" spans="2:21" s="75" customFormat="1">
      <c r="B506" s="75" t="s">
        <v>601</v>
      </c>
      <c r="F506" s="95"/>
      <c r="G506" s="95"/>
      <c r="H506" s="95"/>
      <c r="I506" s="95"/>
      <c r="L506" s="95"/>
      <c r="R506" s="95"/>
      <c r="U506" s="95"/>
    </row>
    <row r="507" spans="2:21" s="75" customFormat="1">
      <c r="B507" s="75" t="s">
        <v>600</v>
      </c>
      <c r="F507" s="95"/>
      <c r="G507" s="95"/>
      <c r="H507" s="95"/>
      <c r="I507" s="95"/>
      <c r="L507" s="95"/>
      <c r="R507" s="95"/>
      <c r="U507" s="95"/>
    </row>
    <row r="508" spans="2:21" s="75" customFormat="1">
      <c r="B508" s="75" t="s">
        <v>599</v>
      </c>
      <c r="F508" s="95"/>
      <c r="G508" s="95"/>
      <c r="H508" s="95"/>
      <c r="I508" s="95"/>
      <c r="L508" s="95"/>
      <c r="R508" s="95"/>
      <c r="U508" s="95"/>
    </row>
    <row r="509" spans="2:21" s="75" customFormat="1">
      <c r="B509" s="75" t="s">
        <v>598</v>
      </c>
      <c r="F509" s="95"/>
      <c r="G509" s="95"/>
      <c r="H509" s="95"/>
      <c r="I509" s="95"/>
      <c r="L509" s="95"/>
      <c r="R509" s="95"/>
      <c r="U509" s="95"/>
    </row>
    <row r="510" spans="2:21" s="75" customFormat="1">
      <c r="B510" s="75" t="s">
        <v>597</v>
      </c>
      <c r="F510" s="95"/>
      <c r="G510" s="95"/>
      <c r="H510" s="95"/>
      <c r="I510" s="95"/>
      <c r="L510" s="95"/>
      <c r="R510" s="95"/>
      <c r="U510" s="95"/>
    </row>
    <row r="511" spans="2:21" s="75" customFormat="1">
      <c r="B511" s="75" t="s">
        <v>596</v>
      </c>
      <c r="F511" s="95"/>
      <c r="G511" s="95"/>
      <c r="H511" s="95"/>
      <c r="I511" s="95"/>
      <c r="L511" s="95"/>
      <c r="R511" s="95"/>
      <c r="U511" s="95"/>
    </row>
    <row r="512" spans="2:21" s="75" customFormat="1">
      <c r="B512" s="75" t="s">
        <v>595</v>
      </c>
      <c r="F512" s="95"/>
      <c r="G512" s="95"/>
      <c r="H512" s="95"/>
      <c r="I512" s="95"/>
      <c r="L512" s="95"/>
      <c r="R512" s="95"/>
      <c r="U512" s="95"/>
    </row>
    <row r="513" spans="2:21" s="75" customFormat="1">
      <c r="B513" s="75" t="s">
        <v>594</v>
      </c>
      <c r="F513" s="95"/>
      <c r="G513" s="95"/>
      <c r="H513" s="95"/>
      <c r="I513" s="95"/>
      <c r="L513" s="95"/>
      <c r="R513" s="95"/>
      <c r="U513" s="95"/>
    </row>
    <row r="514" spans="2:21" s="75" customFormat="1">
      <c r="B514" s="75" t="s">
        <v>593</v>
      </c>
      <c r="F514" s="95"/>
      <c r="G514" s="95"/>
      <c r="H514" s="95"/>
      <c r="I514" s="95"/>
      <c r="L514" s="95"/>
      <c r="R514" s="95"/>
      <c r="U514" s="95"/>
    </row>
    <row r="515" spans="2:21" s="75" customFormat="1">
      <c r="B515" s="75" t="s">
        <v>592</v>
      </c>
      <c r="F515" s="95"/>
      <c r="G515" s="95"/>
      <c r="H515" s="95"/>
      <c r="I515" s="95"/>
      <c r="L515" s="95"/>
      <c r="R515" s="95"/>
      <c r="U515" s="95"/>
    </row>
    <row r="516" spans="2:21" s="75" customFormat="1">
      <c r="B516" s="75" t="s">
        <v>591</v>
      </c>
      <c r="F516" s="95"/>
      <c r="G516" s="95"/>
      <c r="H516" s="95"/>
      <c r="I516" s="95"/>
      <c r="L516" s="95"/>
      <c r="R516" s="95"/>
      <c r="U516" s="95"/>
    </row>
    <row r="517" spans="2:21" s="75" customFormat="1">
      <c r="B517" s="75" t="s">
        <v>590</v>
      </c>
      <c r="F517" s="95"/>
      <c r="G517" s="95"/>
      <c r="H517" s="95"/>
      <c r="I517" s="95"/>
      <c r="L517" s="95"/>
      <c r="R517" s="95"/>
      <c r="U517" s="95"/>
    </row>
    <row r="518" spans="2:21" s="75" customFormat="1">
      <c r="B518" s="75" t="s">
        <v>589</v>
      </c>
      <c r="F518" s="95"/>
      <c r="G518" s="95"/>
      <c r="H518" s="95"/>
      <c r="I518" s="95"/>
      <c r="L518" s="95"/>
      <c r="R518" s="95"/>
      <c r="U518" s="95"/>
    </row>
    <row r="519" spans="2:21" s="75" customFormat="1">
      <c r="B519" s="75" t="s">
        <v>588</v>
      </c>
      <c r="F519" s="95"/>
      <c r="G519" s="95"/>
      <c r="H519" s="95"/>
      <c r="I519" s="95"/>
      <c r="L519" s="95"/>
      <c r="R519" s="95"/>
      <c r="U519" s="95"/>
    </row>
    <row r="520" spans="2:21" s="75" customFormat="1">
      <c r="B520" s="75" t="s">
        <v>587</v>
      </c>
      <c r="F520" s="95"/>
      <c r="G520" s="95"/>
      <c r="H520" s="95"/>
      <c r="I520" s="95"/>
      <c r="L520" s="95"/>
      <c r="R520" s="95"/>
      <c r="U520" s="95"/>
    </row>
    <row r="521" spans="2:21" s="75" customFormat="1">
      <c r="B521" s="75" t="s">
        <v>586</v>
      </c>
      <c r="F521" s="95"/>
      <c r="G521" s="95"/>
      <c r="H521" s="95"/>
      <c r="I521" s="95"/>
      <c r="L521" s="95"/>
      <c r="R521" s="95"/>
      <c r="U521" s="95"/>
    </row>
    <row r="522" spans="2:21" s="75" customFormat="1">
      <c r="B522" s="75" t="s">
        <v>585</v>
      </c>
      <c r="F522" s="95"/>
      <c r="G522" s="95"/>
      <c r="H522" s="95"/>
      <c r="I522" s="95"/>
      <c r="L522" s="95"/>
      <c r="R522" s="95"/>
      <c r="U522" s="95"/>
    </row>
    <row r="523" spans="2:21" s="75" customFormat="1">
      <c r="B523" s="75" t="s">
        <v>584</v>
      </c>
      <c r="F523" s="95"/>
      <c r="G523" s="95"/>
      <c r="H523" s="95"/>
      <c r="I523" s="95"/>
      <c r="L523" s="95"/>
      <c r="R523" s="95"/>
      <c r="U523" s="95"/>
    </row>
    <row r="524" spans="2:21" s="75" customFormat="1">
      <c r="B524" s="75" t="s">
        <v>583</v>
      </c>
      <c r="F524" s="95"/>
      <c r="G524" s="95"/>
      <c r="H524" s="95"/>
      <c r="I524" s="95"/>
      <c r="L524" s="95"/>
      <c r="R524" s="95"/>
      <c r="U524" s="95"/>
    </row>
    <row r="525" spans="2:21" s="75" customFormat="1">
      <c r="B525" s="75" t="s">
        <v>582</v>
      </c>
      <c r="F525" s="95"/>
      <c r="G525" s="95"/>
      <c r="H525" s="95"/>
      <c r="I525" s="95"/>
      <c r="L525" s="95"/>
      <c r="R525" s="95"/>
      <c r="U525" s="95"/>
    </row>
    <row r="526" spans="2:21" s="75" customFormat="1">
      <c r="B526" s="75" t="s">
        <v>581</v>
      </c>
      <c r="F526" s="95"/>
      <c r="G526" s="95"/>
      <c r="H526" s="95"/>
      <c r="I526" s="95"/>
      <c r="L526" s="95"/>
      <c r="R526" s="95"/>
      <c r="U526" s="95"/>
    </row>
    <row r="527" spans="2:21" s="75" customFormat="1">
      <c r="B527" s="75" t="s">
        <v>580</v>
      </c>
      <c r="F527" s="95"/>
      <c r="G527" s="95"/>
      <c r="H527" s="95"/>
      <c r="I527" s="95"/>
      <c r="L527" s="95"/>
      <c r="R527" s="95"/>
      <c r="U527" s="95"/>
    </row>
    <row r="528" spans="2:21" s="75" customFormat="1">
      <c r="B528" s="75" t="s">
        <v>579</v>
      </c>
      <c r="F528" s="95"/>
      <c r="G528" s="95"/>
      <c r="H528" s="95"/>
      <c r="I528" s="95"/>
      <c r="L528" s="95"/>
      <c r="R528" s="95"/>
      <c r="U528" s="95"/>
    </row>
    <row r="529" spans="2:21" s="75" customFormat="1">
      <c r="B529" s="75" t="s">
        <v>578</v>
      </c>
      <c r="F529" s="95"/>
      <c r="G529" s="95"/>
      <c r="H529" s="95"/>
      <c r="I529" s="95"/>
      <c r="L529" s="95"/>
      <c r="R529" s="95"/>
      <c r="U529" s="95"/>
    </row>
    <row r="530" spans="2:21" s="75" customFormat="1">
      <c r="B530" s="75" t="s">
        <v>577</v>
      </c>
      <c r="F530" s="95"/>
      <c r="G530" s="95"/>
      <c r="H530" s="95"/>
      <c r="I530" s="95"/>
      <c r="L530" s="95"/>
      <c r="R530" s="95"/>
      <c r="U530" s="95"/>
    </row>
    <row r="531" spans="2:21" s="75" customFormat="1">
      <c r="B531" s="75" t="s">
        <v>576</v>
      </c>
      <c r="F531" s="95"/>
      <c r="G531" s="95"/>
      <c r="H531" s="95"/>
      <c r="I531" s="95"/>
      <c r="L531" s="95"/>
      <c r="R531" s="95"/>
      <c r="U531" s="95"/>
    </row>
    <row r="532" spans="2:21" s="75" customFormat="1">
      <c r="B532" s="75" t="s">
        <v>575</v>
      </c>
      <c r="F532" s="95"/>
      <c r="G532" s="95"/>
      <c r="H532" s="95"/>
      <c r="I532" s="95"/>
      <c r="L532" s="95"/>
      <c r="R532" s="95"/>
      <c r="U532" s="95"/>
    </row>
    <row r="533" spans="2:21" s="75" customFormat="1">
      <c r="B533" s="75" t="s">
        <v>574</v>
      </c>
      <c r="F533" s="95"/>
      <c r="G533" s="95"/>
      <c r="H533" s="95"/>
      <c r="I533" s="95"/>
      <c r="L533" s="95"/>
      <c r="R533" s="95"/>
      <c r="U533" s="95"/>
    </row>
    <row r="534" spans="2:21" s="75" customFormat="1">
      <c r="B534" s="75" t="s">
        <v>573</v>
      </c>
      <c r="F534" s="95"/>
      <c r="G534" s="95"/>
      <c r="H534" s="95"/>
      <c r="I534" s="95"/>
      <c r="L534" s="95"/>
      <c r="R534" s="95"/>
      <c r="U534" s="95"/>
    </row>
    <row r="535" spans="2:21" s="75" customFormat="1">
      <c r="B535" s="75" t="s">
        <v>572</v>
      </c>
      <c r="F535" s="95"/>
      <c r="G535" s="95"/>
      <c r="H535" s="95"/>
      <c r="I535" s="95"/>
      <c r="L535" s="95"/>
      <c r="R535" s="95"/>
      <c r="U535" s="95"/>
    </row>
    <row r="536" spans="2:21" s="75" customFormat="1">
      <c r="B536" s="75" t="s">
        <v>571</v>
      </c>
      <c r="F536" s="95"/>
      <c r="G536" s="95"/>
      <c r="H536" s="95"/>
      <c r="I536" s="95"/>
      <c r="L536" s="95"/>
      <c r="R536" s="95"/>
      <c r="U536" s="95"/>
    </row>
    <row r="537" spans="2:21" s="75" customFormat="1">
      <c r="B537" s="75" t="s">
        <v>570</v>
      </c>
      <c r="F537" s="95"/>
      <c r="G537" s="95"/>
      <c r="H537" s="95"/>
      <c r="I537" s="95"/>
      <c r="L537" s="95"/>
      <c r="R537" s="95"/>
      <c r="U537" s="95"/>
    </row>
    <row r="538" spans="2:21" s="75" customFormat="1">
      <c r="B538" s="75" t="s">
        <v>569</v>
      </c>
      <c r="F538" s="95"/>
      <c r="G538" s="95"/>
      <c r="H538" s="95"/>
      <c r="I538" s="95"/>
      <c r="L538" s="95"/>
      <c r="R538" s="95"/>
      <c r="U538" s="95"/>
    </row>
    <row r="539" spans="2:21" s="75" customFormat="1">
      <c r="B539" s="75" t="s">
        <v>568</v>
      </c>
      <c r="F539" s="95"/>
      <c r="G539" s="95"/>
      <c r="H539" s="95"/>
      <c r="I539" s="95"/>
      <c r="L539" s="95"/>
      <c r="R539" s="95"/>
      <c r="U539" s="95"/>
    </row>
    <row r="540" spans="2:21" s="75" customFormat="1">
      <c r="F540" s="95"/>
      <c r="G540" s="95"/>
      <c r="H540" s="95"/>
      <c r="I540" s="95"/>
      <c r="L540" s="95"/>
      <c r="R540" s="95"/>
      <c r="U540" s="95"/>
    </row>
    <row r="541" spans="2:21" s="87" customFormat="1">
      <c r="B541" s="87" t="s">
        <v>567</v>
      </c>
      <c r="D541" s="88" t="s">
        <v>563</v>
      </c>
      <c r="E541" s="88"/>
      <c r="F541" s="89"/>
      <c r="G541" s="89" t="s">
        <v>526</v>
      </c>
      <c r="H541" s="89"/>
      <c r="I541" s="89"/>
      <c r="L541" s="87" t="s">
        <v>566</v>
      </c>
      <c r="R541" s="87" t="s">
        <v>565</v>
      </c>
    </row>
    <row r="542" spans="2:21" s="87" customFormat="1">
      <c r="B542" s="87" t="s">
        <v>564</v>
      </c>
      <c r="D542" s="88" t="s">
        <v>563</v>
      </c>
      <c r="E542" s="88"/>
      <c r="F542" s="89"/>
      <c r="G542" s="89" t="s">
        <v>526</v>
      </c>
      <c r="H542" s="89"/>
      <c r="I542" s="89"/>
      <c r="L542" s="87" t="s">
        <v>562</v>
      </c>
    </row>
    <row r="543" spans="2:21" s="87" customFormat="1">
      <c r="B543" s="87" t="s">
        <v>561</v>
      </c>
      <c r="D543" s="88" t="s">
        <v>560</v>
      </c>
      <c r="E543" s="88"/>
      <c r="F543" s="88"/>
      <c r="G543" s="88" t="s">
        <v>524</v>
      </c>
      <c r="H543" s="88"/>
      <c r="I543" s="88"/>
      <c r="L543" s="87" t="s">
        <v>559</v>
      </c>
      <c r="Q543" s="87">
        <v>72</v>
      </c>
    </row>
    <row r="544" spans="2:21" s="87" customFormat="1">
      <c r="B544" s="87" t="s">
        <v>558</v>
      </c>
      <c r="D544" s="88" t="s">
        <v>557</v>
      </c>
      <c r="E544" s="88"/>
      <c r="F544" s="94"/>
      <c r="G544" s="94" t="s">
        <v>556</v>
      </c>
      <c r="H544" s="94"/>
      <c r="I544" s="94"/>
      <c r="Q544" s="87">
        <v>52.6</v>
      </c>
    </row>
    <row r="545" spans="2:18" s="87" customFormat="1">
      <c r="B545" s="87" t="s">
        <v>555</v>
      </c>
      <c r="D545" s="88" t="s">
        <v>541</v>
      </c>
      <c r="E545" s="88"/>
      <c r="F545" s="88"/>
      <c r="G545" s="88" t="s">
        <v>524</v>
      </c>
      <c r="H545" s="88"/>
      <c r="I545" s="88"/>
      <c r="Q545" s="87" t="s">
        <v>554</v>
      </c>
      <c r="R545" s="93" t="s">
        <v>553</v>
      </c>
    </row>
    <row r="546" spans="2:18" s="87" customFormat="1">
      <c r="B546" s="87" t="s">
        <v>552</v>
      </c>
      <c r="D546" s="88" t="s">
        <v>541</v>
      </c>
      <c r="E546" s="88"/>
      <c r="F546" s="89"/>
      <c r="G546" s="89" t="s">
        <v>526</v>
      </c>
      <c r="H546" s="89"/>
      <c r="I546" s="89"/>
    </row>
    <row r="547" spans="2:18" s="87" customFormat="1">
      <c r="B547" s="92" t="s">
        <v>551</v>
      </c>
      <c r="C547" s="92"/>
      <c r="D547" s="88" t="s">
        <v>541</v>
      </c>
      <c r="E547" s="88"/>
      <c r="F547" s="88"/>
      <c r="G547" s="88"/>
      <c r="H547" s="88"/>
      <c r="I547" s="88"/>
    </row>
    <row r="548" spans="2:18" s="87" customFormat="1">
      <c r="B548" s="87" t="s">
        <v>550</v>
      </c>
      <c r="D548" s="88"/>
      <c r="E548" s="88"/>
      <c r="F548" s="88"/>
      <c r="G548" s="88"/>
      <c r="H548" s="88"/>
      <c r="I548" s="88"/>
    </row>
    <row r="549" spans="2:18" s="87" customFormat="1">
      <c r="B549" s="87" t="s">
        <v>549</v>
      </c>
      <c r="D549" s="88" t="s">
        <v>541</v>
      </c>
      <c r="E549" s="88"/>
      <c r="F549" s="88"/>
      <c r="G549" s="88"/>
      <c r="H549" s="88"/>
      <c r="I549" s="88"/>
    </row>
    <row r="550" spans="2:18" s="87" customFormat="1">
      <c r="B550" s="87" t="s">
        <v>548</v>
      </c>
      <c r="D550" s="88" t="s">
        <v>533</v>
      </c>
      <c r="E550" s="88"/>
      <c r="F550" s="88"/>
      <c r="G550" s="88"/>
      <c r="H550" s="88"/>
      <c r="I550" s="88"/>
    </row>
    <row r="551" spans="2:18" s="87" customFormat="1">
      <c r="B551" s="87" t="s">
        <v>547</v>
      </c>
      <c r="D551" s="88" t="s">
        <v>541</v>
      </c>
      <c r="E551" s="88"/>
      <c r="F551" s="88"/>
      <c r="G551" s="88"/>
      <c r="H551" s="88"/>
      <c r="I551" s="88"/>
    </row>
    <row r="552" spans="2:18" s="87" customFormat="1">
      <c r="B552" s="87" t="s">
        <v>546</v>
      </c>
      <c r="D552" s="88" t="s">
        <v>541</v>
      </c>
      <c r="E552" s="88"/>
      <c r="F552" s="88"/>
      <c r="G552" s="88"/>
      <c r="H552" s="88"/>
      <c r="I552" s="88"/>
    </row>
    <row r="553" spans="2:18" s="87" customFormat="1">
      <c r="B553" s="87" t="s">
        <v>545</v>
      </c>
      <c r="D553" s="88" t="s">
        <v>541</v>
      </c>
      <c r="E553" s="88"/>
      <c r="F553" s="88"/>
      <c r="G553" s="88"/>
      <c r="H553" s="88"/>
      <c r="I553" s="88"/>
    </row>
    <row r="554" spans="2:18" s="87" customFormat="1">
      <c r="B554" s="87" t="s">
        <v>544</v>
      </c>
      <c r="D554" s="88" t="s">
        <v>541</v>
      </c>
      <c r="E554" s="88"/>
      <c r="F554" s="88"/>
      <c r="G554" s="88"/>
      <c r="H554" s="88"/>
      <c r="I554" s="88"/>
    </row>
    <row r="555" spans="2:18" s="87" customFormat="1">
      <c r="B555" s="87" t="s">
        <v>543</v>
      </c>
      <c r="D555" s="88" t="s">
        <v>541</v>
      </c>
      <c r="E555" s="88"/>
      <c r="F555" s="88"/>
      <c r="G555" s="88"/>
      <c r="H555" s="88"/>
      <c r="I555" s="88"/>
    </row>
    <row r="556" spans="2:18" s="87" customFormat="1">
      <c r="B556" s="87" t="s">
        <v>542</v>
      </c>
      <c r="D556" s="88" t="s">
        <v>541</v>
      </c>
      <c r="E556" s="88"/>
      <c r="F556" s="88"/>
      <c r="G556" s="88"/>
      <c r="H556" s="88"/>
      <c r="I556" s="88"/>
      <c r="L556" s="87" t="s">
        <v>540</v>
      </c>
    </row>
    <row r="557" spans="2:18" s="87" customFormat="1">
      <c r="B557" s="91" t="s">
        <v>539</v>
      </c>
      <c r="C557" s="91"/>
      <c r="D557" s="88" t="s">
        <v>538</v>
      </c>
      <c r="E557" s="88"/>
      <c r="F557" s="89"/>
      <c r="G557" s="89" t="s">
        <v>526</v>
      </c>
      <c r="H557" s="89"/>
      <c r="I557" s="89"/>
      <c r="L557" s="88" t="s">
        <v>537</v>
      </c>
      <c r="Q557" s="87">
        <v>29</v>
      </c>
      <c r="R557" s="90" t="s">
        <v>536</v>
      </c>
    </row>
    <row r="558" spans="2:18" s="87" customFormat="1">
      <c r="B558" s="87" t="s">
        <v>535</v>
      </c>
      <c r="D558" s="88" t="s">
        <v>533</v>
      </c>
      <c r="E558" s="88"/>
      <c r="F558" s="89"/>
      <c r="G558" s="89" t="s">
        <v>526</v>
      </c>
      <c r="H558" s="89"/>
      <c r="I558" s="89"/>
    </row>
    <row r="559" spans="2:18" s="87" customFormat="1">
      <c r="B559" s="87" t="s">
        <v>534</v>
      </c>
      <c r="D559" s="88" t="s">
        <v>533</v>
      </c>
      <c r="E559" s="88"/>
      <c r="F559" s="88"/>
      <c r="G559" s="88" t="s">
        <v>524</v>
      </c>
      <c r="H559" s="88"/>
      <c r="I559" s="88"/>
    </row>
    <row r="560" spans="2:18" s="87" customFormat="1">
      <c r="B560" s="87" t="s">
        <v>532</v>
      </c>
      <c r="D560" s="88" t="s">
        <v>531</v>
      </c>
      <c r="E560" s="88"/>
      <c r="F560" s="89"/>
      <c r="G560" s="89" t="s">
        <v>526</v>
      </c>
      <c r="H560" s="89"/>
      <c r="I560" s="89"/>
      <c r="Q560" s="87">
        <v>44.3</v>
      </c>
      <c r="R560" s="87" t="s">
        <v>530</v>
      </c>
    </row>
    <row r="561" spans="2:10" s="87" customFormat="1">
      <c r="B561" s="87" t="s">
        <v>529</v>
      </c>
      <c r="D561" s="88" t="s">
        <v>528</v>
      </c>
      <c r="E561" s="88"/>
      <c r="F561" s="89"/>
      <c r="G561" s="89" t="s">
        <v>526</v>
      </c>
      <c r="H561" s="89"/>
      <c r="I561" s="89"/>
    </row>
    <row r="562" spans="2:10" s="87" customFormat="1">
      <c r="B562" s="87" t="s">
        <v>527</v>
      </c>
      <c r="D562" s="88"/>
      <c r="E562" s="88"/>
      <c r="F562" s="89"/>
      <c r="G562" s="89" t="s">
        <v>526</v>
      </c>
      <c r="H562" s="89"/>
      <c r="I562" s="89"/>
    </row>
    <row r="563" spans="2:10" s="87" customFormat="1">
      <c r="B563" s="87" t="s">
        <v>525</v>
      </c>
      <c r="D563" s="88"/>
      <c r="E563" s="88"/>
      <c r="F563" s="88"/>
      <c r="G563" s="88" t="s">
        <v>524</v>
      </c>
      <c r="H563" s="88"/>
      <c r="I563" s="88"/>
    </row>
    <row r="564" spans="2:10" s="87" customFormat="1">
      <c r="D564" s="88"/>
      <c r="E564" s="88"/>
      <c r="F564" s="88"/>
      <c r="G564" s="88"/>
      <c r="H564" s="88"/>
      <c r="I564" s="88"/>
    </row>
    <row r="566" spans="2:10" s="82" customFormat="1">
      <c r="B566" s="84" t="s">
        <v>523</v>
      </c>
      <c r="C566" s="84"/>
      <c r="F566" s="83"/>
      <c r="G566" s="83">
        <v>23.3</v>
      </c>
      <c r="H566" s="83"/>
      <c r="I566" s="83"/>
    </row>
    <row r="567" spans="2:10" s="82" customFormat="1">
      <c r="B567" s="82" t="s">
        <v>522</v>
      </c>
      <c r="F567" s="83"/>
      <c r="G567" s="83">
        <v>16</v>
      </c>
      <c r="H567" s="83"/>
      <c r="I567" s="83"/>
    </row>
    <row r="568" spans="2:10" s="82" customFormat="1">
      <c r="B568" s="84" t="s">
        <v>521</v>
      </c>
      <c r="C568" s="84"/>
      <c r="F568" s="83"/>
      <c r="G568" s="83">
        <v>19.600000000000001</v>
      </c>
      <c r="H568" s="83"/>
      <c r="I568" s="83"/>
    </row>
    <row r="569" spans="2:10" s="82" customFormat="1">
      <c r="B569" s="84" t="s">
        <v>520</v>
      </c>
      <c r="C569" s="84"/>
      <c r="F569" s="83"/>
      <c r="G569" s="83">
        <v>23.3</v>
      </c>
      <c r="H569" s="83"/>
      <c r="I569" s="83"/>
    </row>
    <row r="570" spans="2:10" s="82" customFormat="1">
      <c r="B570" s="84" t="s">
        <v>519</v>
      </c>
      <c r="C570" s="84"/>
      <c r="F570" s="83"/>
      <c r="G570" s="83">
        <v>23.6</v>
      </c>
      <c r="H570" s="83"/>
      <c r="I570" s="83"/>
    </row>
    <row r="571" spans="2:10" s="82" customFormat="1">
      <c r="B571" s="84" t="s">
        <v>518</v>
      </c>
      <c r="C571" s="84"/>
      <c r="F571" s="83"/>
      <c r="G571" s="83">
        <v>24.1</v>
      </c>
      <c r="H571" s="83"/>
      <c r="I571" s="83"/>
    </row>
    <row r="572" spans="2:10" s="82" customFormat="1">
      <c r="B572" s="84" t="s">
        <v>517</v>
      </c>
      <c r="C572" s="84"/>
      <c r="F572" s="83"/>
      <c r="G572" s="83">
        <v>26.4</v>
      </c>
      <c r="H572" s="83"/>
      <c r="I572" s="83"/>
    </row>
    <row r="573" spans="2:10" s="82" customFormat="1">
      <c r="B573" s="84" t="s">
        <v>516</v>
      </c>
      <c r="C573" s="84"/>
      <c r="F573" s="83"/>
      <c r="G573" s="83">
        <v>20</v>
      </c>
      <c r="H573" s="83"/>
      <c r="I573" s="83"/>
    </row>
    <row r="574" spans="2:10" s="82" customFormat="1">
      <c r="B574" s="86" t="s">
        <v>515</v>
      </c>
      <c r="C574" s="86"/>
      <c r="F574" s="83"/>
      <c r="G574" s="83">
        <v>31.2</v>
      </c>
      <c r="H574" s="83"/>
      <c r="I574" s="83"/>
      <c r="J574" s="85"/>
    </row>
    <row r="575" spans="2:10" s="82" customFormat="1">
      <c r="B575" s="84" t="s">
        <v>514</v>
      </c>
      <c r="C575" s="84"/>
      <c r="F575" s="83"/>
      <c r="G575" s="83">
        <v>22.1</v>
      </c>
      <c r="H575" s="83"/>
      <c r="I575" s="83"/>
    </row>
    <row r="576" spans="2:10" s="82" customFormat="1">
      <c r="F576" s="83"/>
      <c r="G576" s="83"/>
      <c r="H576" s="83"/>
      <c r="I576" s="83"/>
    </row>
    <row r="577" spans="2:24" s="82" customFormat="1">
      <c r="F577" s="83"/>
      <c r="G577" s="83"/>
      <c r="H577" s="83"/>
      <c r="I577" s="83"/>
    </row>
    <row r="578" spans="2:24" s="82" customFormat="1">
      <c r="F578" s="83"/>
      <c r="G578" s="83"/>
      <c r="H578" s="83"/>
      <c r="I578" s="83"/>
    </row>
    <row r="579" spans="2:24" s="82" customFormat="1">
      <c r="F579" s="83"/>
      <c r="G579" s="83"/>
      <c r="H579" s="83"/>
      <c r="I579" s="83"/>
    </row>
    <row r="580" spans="2:24" s="82" customFormat="1">
      <c r="B580" s="82" t="s">
        <v>513</v>
      </c>
      <c r="F580" s="83"/>
      <c r="G580" s="83" t="s">
        <v>511</v>
      </c>
      <c r="H580" s="83"/>
      <c r="I580" s="83"/>
    </row>
    <row r="581" spans="2:24" s="82" customFormat="1">
      <c r="B581" s="82" t="s">
        <v>512</v>
      </c>
      <c r="F581" s="83"/>
      <c r="G581" s="83" t="s">
        <v>511</v>
      </c>
      <c r="H581" s="83"/>
      <c r="I581" s="83"/>
    </row>
    <row r="587" spans="2:24" s="69" customFormat="1" ht="12.75">
      <c r="B587" s="70" t="s">
        <v>510</v>
      </c>
      <c r="C587" s="70"/>
      <c r="D587" s="70" t="s">
        <v>509</v>
      </c>
      <c r="E587" s="70"/>
      <c r="F587" s="70"/>
      <c r="G587" s="70" t="s">
        <v>508</v>
      </c>
      <c r="H587" s="70"/>
      <c r="I587" s="70"/>
      <c r="J587" s="70" t="s">
        <v>507</v>
      </c>
      <c r="L587" s="70" t="s">
        <v>506</v>
      </c>
      <c r="Q587" s="70" t="s">
        <v>505</v>
      </c>
      <c r="R587" s="70" t="s">
        <v>504</v>
      </c>
      <c r="S587" s="70" t="s">
        <v>503</v>
      </c>
      <c r="T587" s="70" t="s">
        <v>502</v>
      </c>
      <c r="U587" s="70" t="s">
        <v>501</v>
      </c>
      <c r="X587" s="70" t="s">
        <v>500</v>
      </c>
    </row>
    <row r="588" spans="2:24" s="66" customFormat="1" ht="12.75">
      <c r="B588" s="69" t="s">
        <v>435</v>
      </c>
      <c r="C588" s="69"/>
      <c r="D588" s="69" t="s">
        <v>410</v>
      </c>
      <c r="E588" s="69"/>
      <c r="F588" s="71"/>
      <c r="G588" s="71" t="s">
        <v>463</v>
      </c>
      <c r="H588" s="71"/>
      <c r="I588" s="71"/>
      <c r="J588" s="69"/>
      <c r="L588" s="69"/>
      <c r="Q588" s="69"/>
      <c r="R588" s="69"/>
      <c r="S588" s="69"/>
      <c r="T588" s="69"/>
      <c r="U588" s="69" t="s">
        <v>345</v>
      </c>
    </row>
    <row r="589" spans="2:24" s="66" customFormat="1" ht="12.75">
      <c r="B589" s="69" t="s">
        <v>435</v>
      </c>
      <c r="C589" s="69"/>
      <c r="D589" s="69" t="s">
        <v>410</v>
      </c>
      <c r="E589" s="69"/>
      <c r="F589" s="71"/>
      <c r="G589" s="71" t="s">
        <v>462</v>
      </c>
      <c r="H589" s="71"/>
      <c r="I589" s="71"/>
      <c r="J589" s="69"/>
      <c r="L589" s="69"/>
      <c r="Q589" s="69"/>
      <c r="R589" s="69"/>
      <c r="S589" s="69"/>
      <c r="T589" s="69"/>
      <c r="U589" s="69" t="s">
        <v>345</v>
      </c>
    </row>
    <row r="590" spans="2:24" s="66" customFormat="1" ht="12.75">
      <c r="B590" s="69" t="s">
        <v>435</v>
      </c>
      <c r="C590" s="69"/>
      <c r="D590" s="69" t="s">
        <v>410</v>
      </c>
      <c r="E590" s="69"/>
      <c r="G590" s="66" t="s">
        <v>461</v>
      </c>
      <c r="J590" s="69"/>
      <c r="L590" s="69"/>
      <c r="Q590" s="69"/>
      <c r="R590" s="69"/>
      <c r="S590" s="69"/>
      <c r="T590" s="69"/>
      <c r="U590" s="69" t="s">
        <v>345</v>
      </c>
    </row>
    <row r="591" spans="2:24" s="66" customFormat="1" ht="12.75">
      <c r="B591" s="69" t="s">
        <v>435</v>
      </c>
      <c r="C591" s="69"/>
      <c r="D591" s="69" t="s">
        <v>410</v>
      </c>
      <c r="E591" s="69"/>
      <c r="F591" s="71"/>
      <c r="G591" s="71" t="s">
        <v>460</v>
      </c>
      <c r="H591" s="71"/>
      <c r="I591" s="71"/>
      <c r="J591" s="69"/>
      <c r="L591" s="69"/>
      <c r="Q591" s="69"/>
      <c r="R591" s="69"/>
      <c r="S591" s="69"/>
      <c r="T591" s="69"/>
      <c r="U591" s="69" t="s">
        <v>345</v>
      </c>
    </row>
    <row r="592" spans="2:24" s="66" customFormat="1" ht="12.75">
      <c r="B592" s="69" t="s">
        <v>435</v>
      </c>
      <c r="C592" s="69"/>
      <c r="D592" s="69" t="s">
        <v>410</v>
      </c>
      <c r="E592" s="69"/>
      <c r="F592" s="71"/>
      <c r="G592" s="71" t="s">
        <v>459</v>
      </c>
      <c r="H592" s="71"/>
      <c r="I592" s="71"/>
      <c r="J592" s="69"/>
      <c r="L592" s="69"/>
      <c r="Q592" s="69"/>
      <c r="R592" s="69"/>
      <c r="S592" s="69"/>
      <c r="T592" s="69"/>
      <c r="U592" s="69" t="s">
        <v>345</v>
      </c>
    </row>
    <row r="593" spans="2:21" s="66" customFormat="1" ht="12.75">
      <c r="B593" s="69" t="s">
        <v>435</v>
      </c>
      <c r="C593" s="69"/>
      <c r="D593" s="69" t="s">
        <v>410</v>
      </c>
      <c r="E593" s="69"/>
      <c r="F593" s="71"/>
      <c r="G593" s="71" t="s">
        <v>458</v>
      </c>
      <c r="H593" s="71"/>
      <c r="I593" s="71"/>
      <c r="J593" s="69">
        <v>1</v>
      </c>
      <c r="L593" s="69"/>
      <c r="Q593" s="69"/>
      <c r="R593" s="69"/>
      <c r="S593" s="69"/>
      <c r="T593" s="69"/>
      <c r="U593" s="69" t="s">
        <v>345</v>
      </c>
    </row>
    <row r="594" spans="2:21" s="66" customFormat="1" ht="12.75">
      <c r="B594" s="69" t="s">
        <v>435</v>
      </c>
      <c r="C594" s="69"/>
      <c r="D594" s="69" t="s">
        <v>410</v>
      </c>
      <c r="E594" s="69"/>
      <c r="F594" s="71"/>
      <c r="G594" s="71" t="s">
        <v>457</v>
      </c>
      <c r="H594" s="71"/>
      <c r="I594" s="71"/>
      <c r="J594" s="69">
        <v>2</v>
      </c>
      <c r="L594" s="69"/>
      <c r="Q594" s="69"/>
      <c r="R594" s="69"/>
      <c r="S594" s="69"/>
      <c r="T594" s="69"/>
      <c r="U594" s="69" t="s">
        <v>345</v>
      </c>
    </row>
    <row r="595" spans="2:21" s="66" customFormat="1" ht="12.75">
      <c r="B595" s="69" t="s">
        <v>435</v>
      </c>
      <c r="C595" s="69"/>
      <c r="D595" s="69" t="s">
        <v>410</v>
      </c>
      <c r="E595" s="69"/>
      <c r="F595" s="71"/>
      <c r="G595" s="71" t="s">
        <v>456</v>
      </c>
      <c r="H595" s="71"/>
      <c r="I595" s="71"/>
      <c r="J595" s="69"/>
      <c r="L595" s="69"/>
      <c r="Q595" s="69"/>
      <c r="R595" s="69"/>
      <c r="S595" s="69"/>
      <c r="T595" s="69"/>
      <c r="U595" s="69" t="s">
        <v>345</v>
      </c>
    </row>
    <row r="596" spans="2:21" s="66" customFormat="1" ht="12.75">
      <c r="B596" s="69" t="s">
        <v>435</v>
      </c>
      <c r="C596" s="69"/>
      <c r="D596" s="69" t="s">
        <v>410</v>
      </c>
      <c r="E596" s="69"/>
      <c r="F596" s="71"/>
      <c r="G596" s="71" t="s">
        <v>455</v>
      </c>
      <c r="H596" s="71"/>
      <c r="I596" s="71"/>
      <c r="J596" s="69"/>
      <c r="L596" s="69"/>
      <c r="Q596" s="69"/>
      <c r="R596" s="69"/>
      <c r="S596" s="69"/>
      <c r="T596" s="69"/>
      <c r="U596" s="69" t="s">
        <v>345</v>
      </c>
    </row>
    <row r="597" spans="2:21" s="66" customFormat="1" ht="12.75">
      <c r="B597" s="69" t="s">
        <v>435</v>
      </c>
      <c r="C597" s="69"/>
      <c r="D597" s="69" t="s">
        <v>410</v>
      </c>
      <c r="E597" s="69"/>
      <c r="F597" s="71"/>
      <c r="G597" s="71" t="s">
        <v>454</v>
      </c>
      <c r="H597" s="71"/>
      <c r="I597" s="71"/>
      <c r="J597" s="69"/>
      <c r="L597" s="69"/>
      <c r="Q597" s="69"/>
      <c r="R597" s="69"/>
      <c r="S597" s="69"/>
      <c r="T597" s="69"/>
      <c r="U597" s="69" t="s">
        <v>345</v>
      </c>
    </row>
    <row r="598" spans="2:21" s="66" customFormat="1" ht="12.75">
      <c r="B598" s="69" t="s">
        <v>435</v>
      </c>
      <c r="C598" s="69"/>
      <c r="D598" s="69" t="s">
        <v>410</v>
      </c>
      <c r="E598" s="69"/>
      <c r="F598" s="71"/>
      <c r="G598" s="71" t="s">
        <v>453</v>
      </c>
      <c r="H598" s="71"/>
      <c r="I598" s="71"/>
      <c r="J598" s="69"/>
      <c r="L598" s="69"/>
      <c r="Q598" s="69"/>
      <c r="R598" s="69"/>
      <c r="S598" s="69"/>
      <c r="T598" s="69"/>
      <c r="U598" s="69" t="s">
        <v>345</v>
      </c>
    </row>
    <row r="599" spans="2:21" s="66" customFormat="1" ht="12.75">
      <c r="B599" s="69" t="s">
        <v>435</v>
      </c>
      <c r="C599" s="69"/>
      <c r="D599" s="69" t="s">
        <v>410</v>
      </c>
      <c r="E599" s="69"/>
      <c r="F599" s="71"/>
      <c r="G599" s="71" t="s">
        <v>452</v>
      </c>
      <c r="H599" s="71"/>
      <c r="I599" s="71"/>
      <c r="J599" s="69"/>
      <c r="L599" s="69"/>
      <c r="Q599" s="69"/>
      <c r="R599" s="69"/>
      <c r="S599" s="69"/>
      <c r="T599" s="69"/>
      <c r="U599" s="69" t="s">
        <v>345</v>
      </c>
    </row>
    <row r="600" spans="2:21" s="66" customFormat="1" ht="12.75">
      <c r="B600" s="69" t="s">
        <v>435</v>
      </c>
      <c r="C600" s="69"/>
      <c r="D600" s="69" t="s">
        <v>410</v>
      </c>
      <c r="E600" s="69"/>
      <c r="F600" s="71"/>
      <c r="G600" s="71" t="s">
        <v>451</v>
      </c>
      <c r="H600" s="71"/>
      <c r="I600" s="71"/>
      <c r="J600" s="69"/>
      <c r="L600" s="69"/>
      <c r="Q600" s="69"/>
      <c r="R600" s="69"/>
      <c r="S600" s="69"/>
      <c r="T600" s="69"/>
      <c r="U600" s="69" t="s">
        <v>345</v>
      </c>
    </row>
    <row r="601" spans="2:21" s="66" customFormat="1" ht="12.75">
      <c r="B601" s="69" t="s">
        <v>435</v>
      </c>
      <c r="C601" s="69"/>
      <c r="D601" s="69" t="s">
        <v>410</v>
      </c>
      <c r="E601" s="69"/>
      <c r="F601" s="71"/>
      <c r="G601" s="71" t="s">
        <v>450</v>
      </c>
      <c r="H601" s="71"/>
      <c r="I601" s="71"/>
      <c r="J601" s="69"/>
      <c r="L601" s="69"/>
      <c r="Q601" s="69"/>
      <c r="R601" s="69"/>
      <c r="S601" s="69"/>
      <c r="T601" s="69"/>
      <c r="U601" s="69" t="s">
        <v>345</v>
      </c>
    </row>
    <row r="602" spans="2:21" s="66" customFormat="1" ht="12.75">
      <c r="B602" s="69" t="s">
        <v>435</v>
      </c>
      <c r="C602" s="69"/>
      <c r="D602" s="69" t="s">
        <v>410</v>
      </c>
      <c r="E602" s="69"/>
      <c r="F602" s="71"/>
      <c r="G602" s="71" t="s">
        <v>449</v>
      </c>
      <c r="H602" s="71"/>
      <c r="I602" s="71"/>
      <c r="J602" s="69"/>
      <c r="L602" s="69"/>
      <c r="Q602" s="69"/>
      <c r="R602" s="69"/>
      <c r="S602" s="69"/>
      <c r="T602" s="69"/>
      <c r="U602" s="69" t="s">
        <v>345</v>
      </c>
    </row>
    <row r="603" spans="2:21" s="66" customFormat="1" ht="12.75">
      <c r="B603" s="69" t="s">
        <v>435</v>
      </c>
      <c r="C603" s="69"/>
      <c r="D603" s="69" t="s">
        <v>410</v>
      </c>
      <c r="E603" s="69"/>
      <c r="F603" s="71"/>
      <c r="G603" s="71" t="s">
        <v>448</v>
      </c>
      <c r="H603" s="71"/>
      <c r="I603" s="71"/>
      <c r="J603" s="69"/>
      <c r="L603" s="69"/>
      <c r="Q603" s="69"/>
      <c r="R603" s="69"/>
      <c r="S603" s="69"/>
      <c r="T603" s="69"/>
      <c r="U603" s="69" t="s">
        <v>345</v>
      </c>
    </row>
    <row r="604" spans="2:21" s="66" customFormat="1" ht="12.75">
      <c r="B604" s="69" t="s">
        <v>435</v>
      </c>
      <c r="C604" s="69"/>
      <c r="D604" s="69" t="s">
        <v>410</v>
      </c>
      <c r="E604" s="69"/>
      <c r="F604" s="71"/>
      <c r="G604" s="71" t="s">
        <v>447</v>
      </c>
      <c r="H604" s="71"/>
      <c r="I604" s="71"/>
      <c r="J604" s="69"/>
      <c r="L604" s="69"/>
      <c r="Q604" s="69"/>
      <c r="R604" s="69"/>
      <c r="S604" s="69"/>
      <c r="T604" s="69"/>
      <c r="U604" s="69" t="s">
        <v>345</v>
      </c>
    </row>
    <row r="605" spans="2:21" s="66" customFormat="1" ht="12.75">
      <c r="B605" s="69" t="s">
        <v>435</v>
      </c>
      <c r="C605" s="69"/>
      <c r="D605" s="69" t="s">
        <v>410</v>
      </c>
      <c r="E605" s="69"/>
      <c r="F605" s="71"/>
      <c r="G605" s="71" t="s">
        <v>446</v>
      </c>
      <c r="H605" s="71"/>
      <c r="I605" s="71"/>
      <c r="J605" s="69"/>
      <c r="L605" s="69"/>
      <c r="Q605" s="69"/>
      <c r="R605" s="69"/>
      <c r="S605" s="69"/>
      <c r="T605" s="69"/>
      <c r="U605" s="69" t="s">
        <v>345</v>
      </c>
    </row>
    <row r="606" spans="2:21" s="66" customFormat="1">
      <c r="B606" s="69" t="s">
        <v>435</v>
      </c>
      <c r="C606" s="69"/>
      <c r="D606" s="69" t="s">
        <v>410</v>
      </c>
      <c r="E606" s="69"/>
      <c r="F606" s="71"/>
      <c r="G606" s="71" t="s">
        <v>445</v>
      </c>
      <c r="H606" s="71"/>
      <c r="I606" s="71"/>
      <c r="J606" s="69"/>
      <c r="L606" s="69"/>
      <c r="Q606" s="69"/>
      <c r="R606" s="69"/>
      <c r="S606" s="69"/>
      <c r="T606" s="69"/>
      <c r="U606" s="69" t="s">
        <v>345</v>
      </c>
    </row>
    <row r="607" spans="2:21" s="66" customFormat="1" ht="12.75">
      <c r="B607" s="69" t="s">
        <v>435</v>
      </c>
      <c r="C607" s="69"/>
      <c r="D607" s="69" t="s">
        <v>410</v>
      </c>
      <c r="E607" s="69"/>
      <c r="F607" s="71"/>
      <c r="G607" s="71" t="s">
        <v>444</v>
      </c>
      <c r="H607" s="71"/>
      <c r="I607" s="71"/>
      <c r="J607" s="69"/>
      <c r="L607" s="69"/>
      <c r="Q607" s="69"/>
      <c r="R607" s="69"/>
      <c r="S607" s="69"/>
      <c r="T607" s="69"/>
      <c r="U607" s="69" t="s">
        <v>345</v>
      </c>
    </row>
    <row r="608" spans="2:21" s="66" customFormat="1" ht="12.75">
      <c r="B608" s="69" t="s">
        <v>435</v>
      </c>
      <c r="C608" s="69"/>
      <c r="D608" s="69" t="s">
        <v>410</v>
      </c>
      <c r="E608" s="69"/>
      <c r="F608" s="71"/>
      <c r="G608" s="71" t="s">
        <v>443</v>
      </c>
      <c r="H608" s="71"/>
      <c r="I608" s="71"/>
      <c r="J608" s="69"/>
      <c r="L608" s="69"/>
      <c r="Q608" s="69"/>
      <c r="R608" s="69"/>
      <c r="S608" s="69"/>
      <c r="T608" s="69"/>
      <c r="U608" s="69" t="s">
        <v>345</v>
      </c>
    </row>
    <row r="609" spans="2:21" s="66" customFormat="1" ht="12.75">
      <c r="B609" s="69" t="s">
        <v>435</v>
      </c>
      <c r="C609" s="69"/>
      <c r="D609" s="69" t="s">
        <v>410</v>
      </c>
      <c r="E609" s="69"/>
      <c r="F609" s="71"/>
      <c r="G609" s="71" t="s">
        <v>442</v>
      </c>
      <c r="H609" s="71"/>
      <c r="I609" s="71"/>
      <c r="J609" s="69"/>
      <c r="L609" s="69"/>
      <c r="Q609" s="69"/>
      <c r="R609" s="69"/>
      <c r="S609" s="69"/>
      <c r="T609" s="69"/>
      <c r="U609" s="69" t="s">
        <v>345</v>
      </c>
    </row>
    <row r="610" spans="2:21" s="66" customFormat="1" ht="12.75">
      <c r="B610" s="69" t="s">
        <v>435</v>
      </c>
      <c r="C610" s="69"/>
      <c r="D610" s="69" t="s">
        <v>410</v>
      </c>
      <c r="E610" s="69"/>
      <c r="F610" s="71"/>
      <c r="G610" s="71" t="s">
        <v>441</v>
      </c>
      <c r="H610" s="71"/>
      <c r="I610" s="71"/>
      <c r="J610" s="69"/>
      <c r="L610" s="69"/>
      <c r="Q610" s="69"/>
      <c r="R610" s="69"/>
      <c r="S610" s="69"/>
      <c r="T610" s="69"/>
      <c r="U610" s="69" t="s">
        <v>345</v>
      </c>
    </row>
    <row r="611" spans="2:21" s="66" customFormat="1" ht="12.75">
      <c r="B611" s="69" t="s">
        <v>435</v>
      </c>
      <c r="C611" s="69"/>
      <c r="D611" s="69" t="s">
        <v>410</v>
      </c>
      <c r="E611" s="69"/>
      <c r="F611" s="71"/>
      <c r="G611" s="71" t="s">
        <v>440</v>
      </c>
      <c r="H611" s="71"/>
      <c r="I611" s="71"/>
      <c r="J611" s="69"/>
      <c r="L611" s="69"/>
      <c r="Q611" s="69"/>
      <c r="R611" s="69"/>
      <c r="S611" s="69"/>
      <c r="T611" s="69"/>
      <c r="U611" s="69" t="s">
        <v>345</v>
      </c>
    </row>
    <row r="612" spans="2:21" s="66" customFormat="1" ht="12.75">
      <c r="B612" s="69" t="s">
        <v>435</v>
      </c>
      <c r="C612" s="69"/>
      <c r="D612" s="69" t="s">
        <v>410</v>
      </c>
      <c r="E612" s="69"/>
      <c r="F612" s="71"/>
      <c r="G612" s="71" t="s">
        <v>439</v>
      </c>
      <c r="H612" s="71"/>
      <c r="I612" s="71"/>
      <c r="J612" s="69"/>
      <c r="L612" s="69"/>
      <c r="Q612" s="69"/>
      <c r="R612" s="69"/>
      <c r="S612" s="69"/>
      <c r="T612" s="69"/>
      <c r="U612" s="69" t="s">
        <v>345</v>
      </c>
    </row>
    <row r="613" spans="2:21" s="66" customFormat="1" ht="12.75">
      <c r="B613" s="69" t="s">
        <v>435</v>
      </c>
      <c r="C613" s="69"/>
      <c r="D613" s="69" t="s">
        <v>410</v>
      </c>
      <c r="E613" s="69"/>
      <c r="F613" s="71"/>
      <c r="G613" s="71" t="s">
        <v>438</v>
      </c>
      <c r="H613" s="71"/>
      <c r="I613" s="71"/>
      <c r="J613" s="69"/>
      <c r="L613" s="69"/>
      <c r="Q613" s="69"/>
      <c r="R613" s="69"/>
      <c r="S613" s="69"/>
      <c r="T613" s="69"/>
      <c r="U613" s="69" t="s">
        <v>345</v>
      </c>
    </row>
    <row r="614" spans="2:21" s="66" customFormat="1" ht="12.75">
      <c r="B614" s="69" t="s">
        <v>435</v>
      </c>
      <c r="C614" s="69"/>
      <c r="D614" s="69" t="s">
        <v>410</v>
      </c>
      <c r="E614" s="69"/>
      <c r="F614" s="71"/>
      <c r="G614" s="71" t="s">
        <v>437</v>
      </c>
      <c r="H614" s="71"/>
      <c r="I614" s="71"/>
      <c r="J614" s="69"/>
      <c r="L614" s="69"/>
      <c r="Q614" s="69"/>
      <c r="R614" s="69"/>
      <c r="S614" s="69"/>
      <c r="T614" s="69"/>
      <c r="U614" s="69" t="s">
        <v>345</v>
      </c>
    </row>
    <row r="615" spans="2:21" s="66" customFormat="1" ht="12.75">
      <c r="B615" s="69" t="s">
        <v>435</v>
      </c>
      <c r="C615" s="69"/>
      <c r="D615" s="69" t="s">
        <v>410</v>
      </c>
      <c r="E615" s="69"/>
      <c r="F615" s="71"/>
      <c r="G615" s="71" t="s">
        <v>436</v>
      </c>
      <c r="H615" s="71"/>
      <c r="I615" s="71"/>
      <c r="J615" s="69"/>
      <c r="L615" s="69"/>
      <c r="Q615" s="69"/>
      <c r="R615" s="69"/>
      <c r="S615" s="69"/>
      <c r="T615" s="69"/>
      <c r="U615" s="69" t="s">
        <v>345</v>
      </c>
    </row>
    <row r="616" spans="2:21" s="66" customFormat="1" ht="12.75">
      <c r="B616" s="69" t="s">
        <v>435</v>
      </c>
      <c r="C616" s="69"/>
      <c r="D616" s="69" t="s">
        <v>410</v>
      </c>
      <c r="E616" s="69"/>
      <c r="J616" s="69"/>
      <c r="L616" s="69"/>
      <c r="Q616" s="69"/>
      <c r="R616" s="69"/>
      <c r="S616" s="69"/>
      <c r="T616" s="69"/>
      <c r="U616" s="69" t="s">
        <v>345</v>
      </c>
    </row>
    <row r="617" spans="2:21" s="66" customFormat="1" ht="12.75">
      <c r="B617" s="69" t="s">
        <v>343</v>
      </c>
      <c r="C617" s="69"/>
      <c r="D617" s="69" t="s">
        <v>482</v>
      </c>
      <c r="E617" s="69"/>
      <c r="F617" s="71"/>
      <c r="G617" s="71" t="s">
        <v>499</v>
      </c>
      <c r="H617" s="71"/>
      <c r="I617" s="71"/>
      <c r="J617" s="69"/>
      <c r="L617" s="69"/>
      <c r="Q617" s="69"/>
      <c r="R617" s="69"/>
      <c r="S617" s="69"/>
      <c r="T617" s="81" t="s">
        <v>476</v>
      </c>
      <c r="U617" s="69" t="s">
        <v>480</v>
      </c>
    </row>
    <row r="618" spans="2:21" s="66" customFormat="1" ht="12.75">
      <c r="B618" s="69" t="s">
        <v>343</v>
      </c>
      <c r="C618" s="69"/>
      <c r="D618" s="69" t="s">
        <v>497</v>
      </c>
      <c r="E618" s="69"/>
      <c r="F618" s="71"/>
      <c r="G618" s="71" t="s">
        <v>498</v>
      </c>
      <c r="H618" s="71"/>
      <c r="I618" s="71"/>
      <c r="J618" s="69"/>
      <c r="L618" s="69"/>
      <c r="Q618" s="69"/>
      <c r="R618" s="69"/>
      <c r="S618" s="69"/>
      <c r="T618" s="81" t="s">
        <v>476</v>
      </c>
      <c r="U618" s="69" t="s">
        <v>480</v>
      </c>
    </row>
    <row r="619" spans="2:21" s="66" customFormat="1" ht="12.75">
      <c r="B619" s="69" t="s">
        <v>343</v>
      </c>
      <c r="C619" s="69"/>
      <c r="D619" s="69" t="s">
        <v>497</v>
      </c>
      <c r="E619" s="69"/>
      <c r="F619" s="71"/>
      <c r="G619" s="71" t="s">
        <v>496</v>
      </c>
      <c r="H619" s="71"/>
      <c r="I619" s="71"/>
      <c r="J619" s="69"/>
      <c r="L619" s="69"/>
      <c r="Q619" s="69"/>
      <c r="R619" s="69"/>
      <c r="S619" s="69"/>
      <c r="T619" s="81" t="s">
        <v>476</v>
      </c>
      <c r="U619" s="69" t="s">
        <v>480</v>
      </c>
    </row>
    <row r="620" spans="2:21" s="66" customFormat="1" ht="12.75">
      <c r="B620" s="69" t="s">
        <v>343</v>
      </c>
      <c r="C620" s="69"/>
      <c r="D620" s="69" t="s">
        <v>482</v>
      </c>
      <c r="E620" s="69"/>
      <c r="F620" s="71"/>
      <c r="G620" s="71" t="s">
        <v>495</v>
      </c>
      <c r="H620" s="71"/>
      <c r="I620" s="71"/>
      <c r="J620" s="69"/>
      <c r="L620" s="69"/>
      <c r="Q620" s="69"/>
      <c r="R620" s="69"/>
      <c r="S620" s="69"/>
      <c r="T620" s="81" t="s">
        <v>476</v>
      </c>
      <c r="U620" s="69" t="s">
        <v>480</v>
      </c>
    </row>
    <row r="621" spans="2:21" s="66" customFormat="1" ht="12.75">
      <c r="B621" s="69" t="s">
        <v>343</v>
      </c>
      <c r="C621" s="69"/>
      <c r="D621" s="69" t="s">
        <v>482</v>
      </c>
      <c r="E621" s="69"/>
      <c r="F621" s="71"/>
      <c r="G621" s="71" t="s">
        <v>494</v>
      </c>
      <c r="H621" s="71"/>
      <c r="I621" s="71"/>
      <c r="J621" s="69"/>
      <c r="L621" s="69"/>
      <c r="Q621" s="69"/>
      <c r="R621" s="69"/>
      <c r="S621" s="69"/>
      <c r="T621" s="81" t="s">
        <v>476</v>
      </c>
      <c r="U621" s="69" t="s">
        <v>480</v>
      </c>
    </row>
    <row r="622" spans="2:21" s="66" customFormat="1" ht="12.75">
      <c r="B622" s="69" t="s">
        <v>343</v>
      </c>
      <c r="C622" s="69"/>
      <c r="D622" s="69" t="s">
        <v>482</v>
      </c>
      <c r="E622" s="69"/>
      <c r="F622" s="71"/>
      <c r="G622" s="71" t="s">
        <v>493</v>
      </c>
      <c r="H622" s="71"/>
      <c r="I622" s="71"/>
      <c r="J622" s="69"/>
      <c r="L622" s="69"/>
      <c r="Q622" s="69"/>
      <c r="R622" s="69"/>
      <c r="S622" s="69"/>
      <c r="T622" s="81" t="s">
        <v>476</v>
      </c>
      <c r="U622" s="69" t="s">
        <v>480</v>
      </c>
    </row>
    <row r="623" spans="2:21" s="66" customFormat="1" ht="12.75">
      <c r="B623" s="69"/>
      <c r="C623" s="69"/>
      <c r="D623" s="69"/>
      <c r="E623" s="69"/>
      <c r="F623" s="71"/>
      <c r="G623" s="71" t="s">
        <v>492</v>
      </c>
      <c r="H623" s="71"/>
      <c r="I623" s="71"/>
      <c r="J623" s="69"/>
      <c r="L623" s="69"/>
      <c r="Q623" s="69"/>
      <c r="R623" s="69"/>
      <c r="S623" s="69"/>
      <c r="T623" s="69"/>
      <c r="U623" s="69"/>
    </row>
    <row r="624" spans="2:21" s="66" customFormat="1" ht="12.75">
      <c r="B624" s="69"/>
      <c r="C624" s="69"/>
      <c r="D624" s="69"/>
      <c r="E624" s="69"/>
      <c r="F624" s="71"/>
      <c r="G624" s="71" t="s">
        <v>491</v>
      </c>
      <c r="H624" s="71"/>
      <c r="I624" s="71"/>
      <c r="J624" s="69"/>
      <c r="L624" s="69"/>
      <c r="Q624" s="69"/>
      <c r="R624" s="69"/>
      <c r="S624" s="69"/>
      <c r="T624" s="69"/>
      <c r="U624" s="69"/>
    </row>
    <row r="625" spans="2:21" s="66" customFormat="1" ht="12.75">
      <c r="B625" s="69"/>
      <c r="C625" s="69"/>
      <c r="D625" s="69"/>
      <c r="E625" s="69"/>
      <c r="F625" s="71"/>
      <c r="G625" s="71" t="s">
        <v>490</v>
      </c>
      <c r="H625" s="71"/>
      <c r="I625" s="71"/>
      <c r="J625" s="69"/>
      <c r="L625" s="69"/>
      <c r="Q625" s="69"/>
      <c r="R625" s="69"/>
      <c r="S625" s="69"/>
      <c r="T625" s="69"/>
      <c r="U625" s="69"/>
    </row>
    <row r="626" spans="2:21" s="66" customFormat="1" ht="12.75">
      <c r="B626" s="69"/>
      <c r="C626" s="69"/>
      <c r="D626" s="69"/>
      <c r="E626" s="69"/>
      <c r="F626" s="71"/>
      <c r="G626" s="71" t="s">
        <v>489</v>
      </c>
      <c r="H626" s="71"/>
      <c r="I626" s="71"/>
      <c r="J626" s="69"/>
      <c r="L626" s="69"/>
      <c r="Q626" s="69"/>
      <c r="R626" s="69"/>
      <c r="S626" s="69"/>
      <c r="T626" s="69"/>
      <c r="U626" s="69"/>
    </row>
    <row r="627" spans="2:21" s="66" customFormat="1" ht="12.75">
      <c r="B627" s="69"/>
      <c r="C627" s="69"/>
      <c r="D627" s="69"/>
      <c r="E627" s="69"/>
      <c r="F627" s="71"/>
      <c r="G627" s="71" t="s">
        <v>488</v>
      </c>
      <c r="H627" s="71"/>
      <c r="I627" s="71"/>
      <c r="J627" s="69"/>
      <c r="L627" s="69"/>
      <c r="Q627" s="69"/>
      <c r="R627" s="69"/>
      <c r="S627" s="69"/>
      <c r="T627" s="69"/>
      <c r="U627" s="69"/>
    </row>
    <row r="628" spans="2:21" s="66" customFormat="1" ht="12.75">
      <c r="B628" s="69"/>
      <c r="C628" s="69"/>
      <c r="D628" s="69"/>
      <c r="E628" s="69"/>
      <c r="F628" s="71"/>
      <c r="G628" s="71" t="s">
        <v>487</v>
      </c>
      <c r="H628" s="71"/>
      <c r="I628" s="71"/>
      <c r="J628" s="69"/>
      <c r="L628" s="69"/>
      <c r="Q628" s="69"/>
      <c r="R628" s="69"/>
      <c r="S628" s="69"/>
      <c r="T628" s="69"/>
      <c r="U628" s="69"/>
    </row>
    <row r="629" spans="2:21" s="66" customFormat="1" ht="12.75">
      <c r="B629" s="69"/>
      <c r="C629" s="69"/>
      <c r="D629" s="69"/>
      <c r="E629" s="69"/>
      <c r="F629" s="71"/>
      <c r="G629" s="71" t="s">
        <v>486</v>
      </c>
      <c r="H629" s="71"/>
      <c r="I629" s="71"/>
      <c r="J629" s="69"/>
      <c r="L629" s="69"/>
      <c r="Q629" s="69"/>
      <c r="R629" s="69"/>
      <c r="S629" s="69"/>
      <c r="T629" s="69"/>
      <c r="U629" s="69"/>
    </row>
    <row r="630" spans="2:21" s="66" customFormat="1" ht="12.75">
      <c r="B630" s="69"/>
      <c r="C630" s="69"/>
      <c r="D630" s="69"/>
      <c r="E630" s="69"/>
      <c r="F630" s="71"/>
      <c r="G630" s="71" t="s">
        <v>485</v>
      </c>
      <c r="H630" s="71"/>
      <c r="I630" s="71"/>
      <c r="J630" s="69"/>
      <c r="L630" s="69"/>
      <c r="Q630" s="69"/>
      <c r="R630" s="69"/>
      <c r="S630" s="69"/>
      <c r="T630" s="69"/>
      <c r="U630" s="69"/>
    </row>
    <row r="631" spans="2:21" s="66" customFormat="1" ht="12.75">
      <c r="B631" s="69"/>
      <c r="C631" s="69"/>
      <c r="D631" s="69" t="s">
        <v>482</v>
      </c>
      <c r="E631" s="69"/>
      <c r="F631" s="71"/>
      <c r="G631" s="71" t="s">
        <v>484</v>
      </c>
      <c r="H631" s="71"/>
      <c r="I631" s="71"/>
      <c r="J631" s="69"/>
      <c r="L631" s="69"/>
      <c r="Q631" s="69"/>
      <c r="R631" s="69"/>
      <c r="S631" s="69"/>
      <c r="T631" s="81" t="s">
        <v>476</v>
      </c>
      <c r="U631" s="69" t="s">
        <v>480</v>
      </c>
    </row>
    <row r="632" spans="2:21" s="66" customFormat="1" ht="12.75">
      <c r="B632" s="69"/>
      <c r="C632" s="69"/>
      <c r="D632" s="69" t="s">
        <v>482</v>
      </c>
      <c r="E632" s="69"/>
      <c r="F632" s="71"/>
      <c r="G632" s="71" t="s">
        <v>483</v>
      </c>
      <c r="H632" s="71"/>
      <c r="I632" s="71"/>
      <c r="J632" s="69"/>
      <c r="L632" s="69"/>
      <c r="Q632" s="69"/>
      <c r="R632" s="69"/>
      <c r="S632" s="69"/>
      <c r="T632" s="81" t="s">
        <v>476</v>
      </c>
      <c r="U632" s="69" t="s">
        <v>480</v>
      </c>
    </row>
    <row r="633" spans="2:21" s="66" customFormat="1" ht="12.75">
      <c r="B633" s="69"/>
      <c r="C633" s="69"/>
      <c r="D633" s="69" t="s">
        <v>482</v>
      </c>
      <c r="E633" s="69"/>
      <c r="F633" s="71"/>
      <c r="G633" s="71" t="s">
        <v>481</v>
      </c>
      <c r="H633" s="71"/>
      <c r="I633" s="71"/>
      <c r="J633" s="69"/>
      <c r="L633" s="69"/>
      <c r="Q633" s="69"/>
      <c r="R633" s="69"/>
      <c r="S633" s="69"/>
      <c r="T633" s="81" t="s">
        <v>476</v>
      </c>
      <c r="U633" s="69" t="s">
        <v>480</v>
      </c>
    </row>
    <row r="634" spans="2:21" s="66" customFormat="1" ht="12.75">
      <c r="B634" s="69"/>
      <c r="C634" s="69"/>
      <c r="D634" s="69" t="s">
        <v>479</v>
      </c>
      <c r="E634" s="69"/>
      <c r="F634" s="71"/>
      <c r="G634" s="71" t="s">
        <v>478</v>
      </c>
      <c r="H634" s="71"/>
      <c r="I634" s="71"/>
      <c r="J634" s="69">
        <v>1</v>
      </c>
      <c r="L634" s="69"/>
      <c r="Q634" s="69">
        <v>2015</v>
      </c>
      <c r="R634" s="81" t="s">
        <v>476</v>
      </c>
      <c r="S634" s="69"/>
      <c r="T634" s="81" t="s">
        <v>476</v>
      </c>
      <c r="U634" s="69"/>
    </row>
    <row r="635" spans="2:21" s="66" customFormat="1" ht="12.75">
      <c r="B635" s="69"/>
      <c r="C635" s="69"/>
      <c r="D635" s="69" t="s">
        <v>410</v>
      </c>
      <c r="E635" s="69"/>
      <c r="F635" s="71"/>
      <c r="G635" s="71" t="s">
        <v>477</v>
      </c>
      <c r="H635" s="71"/>
      <c r="I635" s="71"/>
      <c r="J635" s="69">
        <v>1</v>
      </c>
      <c r="L635" s="69"/>
      <c r="Q635" s="69">
        <v>2010</v>
      </c>
      <c r="R635" s="81" t="s">
        <v>476</v>
      </c>
      <c r="S635" s="69"/>
      <c r="T635" s="69"/>
      <c r="U635" s="69"/>
    </row>
    <row r="636" spans="2:21" s="66" customFormat="1" ht="12.75">
      <c r="B636" s="69"/>
      <c r="C636" s="69"/>
      <c r="D636" s="69"/>
      <c r="E636" s="69"/>
      <c r="F636" s="71"/>
      <c r="G636" s="71"/>
      <c r="H636" s="71"/>
      <c r="I636" s="71"/>
      <c r="J636" s="69"/>
      <c r="L636" s="69"/>
      <c r="Q636" s="69"/>
      <c r="R636" s="69"/>
      <c r="S636" s="69"/>
      <c r="T636" s="69"/>
      <c r="U636" s="69"/>
    </row>
    <row r="637" spans="2:21" s="66" customFormat="1" ht="12.75">
      <c r="B637" s="69"/>
      <c r="C637" s="69"/>
      <c r="D637" s="69"/>
      <c r="E637" s="69"/>
      <c r="F637" s="71"/>
      <c r="G637" s="71"/>
      <c r="H637" s="71"/>
      <c r="I637" s="71"/>
      <c r="J637" s="69"/>
      <c r="L637" s="69"/>
      <c r="Q637" s="69"/>
      <c r="R637" s="69"/>
      <c r="S637" s="69"/>
      <c r="T637" s="69"/>
      <c r="U637" s="69"/>
    </row>
    <row r="638" spans="2:21" s="66" customFormat="1" ht="12.75">
      <c r="B638" s="69"/>
      <c r="C638" s="69"/>
      <c r="D638" s="69"/>
      <c r="E638" s="69"/>
      <c r="F638" s="71"/>
      <c r="G638" s="71" t="s">
        <v>475</v>
      </c>
      <c r="H638" s="71"/>
      <c r="I638" s="71"/>
      <c r="J638" s="69"/>
      <c r="L638" s="69"/>
      <c r="Q638" s="69"/>
      <c r="R638" s="69"/>
      <c r="S638" s="69"/>
      <c r="T638" s="69"/>
      <c r="U638" s="69"/>
    </row>
    <row r="639" spans="2:21" s="66" customFormat="1" ht="12.75">
      <c r="B639" s="69"/>
      <c r="C639" s="69"/>
      <c r="D639" s="69"/>
      <c r="E639" s="69"/>
      <c r="F639" s="71"/>
      <c r="G639" s="71" t="s">
        <v>474</v>
      </c>
      <c r="H639" s="71"/>
      <c r="I639" s="71"/>
      <c r="J639" s="69"/>
      <c r="L639" s="69"/>
      <c r="Q639" s="69"/>
      <c r="R639" s="69"/>
      <c r="S639" s="69"/>
      <c r="T639" s="69"/>
      <c r="U639" s="69"/>
    </row>
    <row r="640" spans="2:21" s="66" customFormat="1" ht="12.75">
      <c r="B640" s="69"/>
      <c r="C640" s="69"/>
      <c r="D640" s="69"/>
      <c r="E640" s="69"/>
      <c r="F640" s="71"/>
      <c r="G640" s="71" t="s">
        <v>473</v>
      </c>
      <c r="H640" s="71"/>
      <c r="I640" s="71"/>
      <c r="J640" s="69"/>
      <c r="L640" s="69"/>
      <c r="Q640" s="69"/>
      <c r="R640" s="69"/>
      <c r="S640" s="69"/>
      <c r="T640" s="69"/>
      <c r="U640" s="69"/>
    </row>
    <row r="641" spans="2:21" s="66" customFormat="1" ht="12.75">
      <c r="B641" s="69"/>
      <c r="C641" s="69"/>
      <c r="D641" s="69"/>
      <c r="E641" s="69"/>
      <c r="F641" s="71"/>
      <c r="G641" s="71" t="s">
        <v>472</v>
      </c>
      <c r="H641" s="71"/>
      <c r="I641" s="71"/>
      <c r="J641" s="69"/>
      <c r="L641" s="69"/>
      <c r="Q641" s="69"/>
      <c r="R641" s="69"/>
      <c r="S641" s="69"/>
      <c r="T641" s="69"/>
      <c r="U641" s="69"/>
    </row>
    <row r="642" spans="2:21" s="66" customFormat="1" ht="12.75">
      <c r="B642" s="69"/>
      <c r="C642" s="69"/>
      <c r="D642" s="69"/>
      <c r="E642" s="69"/>
      <c r="F642" s="71"/>
      <c r="G642" s="71" t="s">
        <v>471</v>
      </c>
      <c r="H642" s="71"/>
      <c r="I642" s="71"/>
      <c r="J642" s="69"/>
      <c r="L642" s="69"/>
      <c r="Q642" s="69"/>
      <c r="R642" s="69"/>
      <c r="S642" s="69"/>
      <c r="T642" s="69"/>
      <c r="U642" s="69"/>
    </row>
    <row r="643" spans="2:21" s="66" customFormat="1" ht="12.75">
      <c r="B643" s="69"/>
      <c r="C643" s="69"/>
      <c r="D643" s="69"/>
      <c r="E643" s="69"/>
      <c r="F643" s="71"/>
      <c r="G643" s="71" t="s">
        <v>470</v>
      </c>
      <c r="H643" s="71"/>
      <c r="I643" s="71"/>
      <c r="J643" s="69"/>
      <c r="L643" s="69"/>
      <c r="Q643" s="69"/>
      <c r="R643" s="69"/>
      <c r="S643" s="69"/>
      <c r="T643" s="69"/>
      <c r="U643" s="69"/>
    </row>
    <row r="644" spans="2:21" s="66" customFormat="1" ht="12.75">
      <c r="B644" s="69"/>
      <c r="C644" s="69"/>
      <c r="D644" s="69"/>
      <c r="E644" s="69"/>
      <c r="F644" s="71"/>
      <c r="G644" s="71" t="s">
        <v>469</v>
      </c>
      <c r="H644" s="71"/>
      <c r="I644" s="71"/>
      <c r="J644" s="69"/>
      <c r="L644" s="69"/>
      <c r="Q644" s="69"/>
      <c r="R644" s="69"/>
      <c r="S644" s="69"/>
      <c r="T644" s="69"/>
      <c r="U644" s="69"/>
    </row>
    <row r="645" spans="2:21" s="66" customFormat="1" ht="12.75">
      <c r="B645" s="69"/>
      <c r="C645" s="69"/>
      <c r="D645" s="69"/>
      <c r="E645" s="69"/>
      <c r="F645" s="71"/>
      <c r="G645" s="71" t="s">
        <v>468</v>
      </c>
      <c r="H645" s="71"/>
      <c r="I645" s="71"/>
      <c r="J645" s="69"/>
      <c r="L645" s="69"/>
      <c r="Q645" s="69"/>
      <c r="R645" s="69"/>
      <c r="S645" s="69"/>
      <c r="T645" s="69"/>
      <c r="U645" s="69"/>
    </row>
    <row r="646" spans="2:21" s="66" customFormat="1" ht="12.75">
      <c r="B646" s="69"/>
      <c r="C646" s="69"/>
      <c r="D646" s="69"/>
      <c r="E646" s="69"/>
      <c r="F646" s="71"/>
      <c r="G646" s="71" t="s">
        <v>467</v>
      </c>
      <c r="H646" s="71"/>
      <c r="I646" s="71"/>
      <c r="J646" s="69"/>
      <c r="L646" s="69"/>
      <c r="Q646" s="69"/>
      <c r="R646" s="69"/>
      <c r="S646" s="69"/>
      <c r="T646" s="69"/>
      <c r="U646" s="69"/>
    </row>
    <row r="647" spans="2:21" s="66" customFormat="1" ht="12.75">
      <c r="B647" s="69"/>
      <c r="C647" s="69"/>
      <c r="D647" s="69"/>
      <c r="E647" s="69"/>
      <c r="F647" s="71"/>
      <c r="G647" s="71" t="s">
        <v>466</v>
      </c>
      <c r="H647" s="71"/>
      <c r="I647" s="71"/>
      <c r="J647" s="69"/>
      <c r="L647" s="69"/>
      <c r="Q647" s="69"/>
      <c r="R647" s="69"/>
      <c r="S647" s="69"/>
      <c r="T647" s="69"/>
      <c r="U647" s="69"/>
    </row>
    <row r="648" spans="2:21" s="66" customFormat="1" ht="12.75">
      <c r="B648" s="69"/>
      <c r="C648" s="69"/>
      <c r="D648" s="69"/>
      <c r="E648" s="69"/>
      <c r="F648" s="71"/>
      <c r="G648" s="71" t="s">
        <v>465</v>
      </c>
      <c r="H648" s="71"/>
      <c r="I648" s="71"/>
      <c r="J648" s="69"/>
      <c r="L648" s="69"/>
      <c r="Q648" s="69"/>
      <c r="R648" s="69"/>
      <c r="S648" s="69"/>
      <c r="T648" s="69"/>
      <c r="U648" s="69"/>
    </row>
    <row r="649" spans="2:21" s="66" customFormat="1" ht="12.75">
      <c r="B649" s="69"/>
      <c r="C649" s="69"/>
      <c r="D649" s="69"/>
      <c r="E649" s="69"/>
      <c r="F649" s="71"/>
      <c r="G649" s="71"/>
      <c r="H649" s="71"/>
      <c r="I649" s="71"/>
      <c r="J649" s="69"/>
      <c r="L649" s="69"/>
      <c r="Q649" s="69"/>
      <c r="R649" s="69"/>
      <c r="S649" s="69"/>
      <c r="T649" s="69"/>
      <c r="U649" s="69"/>
    </row>
    <row r="650" spans="2:21" s="66" customFormat="1" ht="12.75">
      <c r="B650" s="69"/>
      <c r="C650" s="69"/>
      <c r="D650" s="69"/>
      <c r="E650" s="69"/>
      <c r="F650" s="71"/>
      <c r="G650" s="71"/>
      <c r="H650" s="71"/>
      <c r="I650" s="71"/>
      <c r="J650" s="69"/>
      <c r="L650" s="69"/>
      <c r="Q650" s="69"/>
      <c r="R650" s="69"/>
      <c r="S650" s="69"/>
      <c r="T650" s="69"/>
      <c r="U650" s="69"/>
    </row>
    <row r="651" spans="2:21" s="66" customFormat="1" ht="12.75">
      <c r="B651" s="69"/>
      <c r="C651" s="69"/>
      <c r="D651" s="69"/>
      <c r="E651" s="69"/>
      <c r="F651" s="71"/>
      <c r="G651" s="71"/>
      <c r="H651" s="71"/>
      <c r="I651" s="71"/>
      <c r="J651" s="69"/>
      <c r="L651" s="69"/>
      <c r="Q651" s="69"/>
      <c r="R651" s="69"/>
      <c r="S651" s="69"/>
      <c r="T651" s="69"/>
      <c r="U651" s="69"/>
    </row>
    <row r="652" spans="2:21" s="66" customFormat="1" ht="12.75">
      <c r="B652" s="69"/>
      <c r="C652" s="69"/>
      <c r="D652" s="69"/>
      <c r="E652" s="69"/>
      <c r="F652" s="71"/>
      <c r="G652" s="71"/>
      <c r="H652" s="71"/>
      <c r="I652" s="71"/>
      <c r="J652" s="69"/>
      <c r="L652" s="69"/>
      <c r="Q652" s="69"/>
      <c r="R652" s="69"/>
      <c r="S652" s="69"/>
      <c r="T652" s="69"/>
      <c r="U652" s="69"/>
    </row>
    <row r="653" spans="2:21" s="66" customFormat="1" ht="12.75">
      <c r="B653" s="69"/>
      <c r="C653" s="69"/>
      <c r="D653" s="69"/>
      <c r="E653" s="69"/>
      <c r="F653" s="71"/>
      <c r="G653" s="71"/>
      <c r="H653" s="71"/>
      <c r="I653" s="71"/>
      <c r="J653" s="69"/>
      <c r="L653" s="69"/>
      <c r="Q653" s="69"/>
      <c r="R653" s="69"/>
      <c r="S653" s="69"/>
      <c r="T653" s="69"/>
      <c r="U653" s="69"/>
    </row>
    <row r="654" spans="2:21" s="66" customFormat="1" ht="12.75">
      <c r="B654" s="69" t="s">
        <v>344</v>
      </c>
      <c r="C654" s="69"/>
      <c r="D654" s="69" t="s">
        <v>419</v>
      </c>
      <c r="E654" s="69"/>
      <c r="F654" s="71"/>
      <c r="G654" s="71" t="s">
        <v>434</v>
      </c>
      <c r="H654" s="71"/>
      <c r="I654" s="71"/>
      <c r="J654" s="69"/>
      <c r="L654" s="69"/>
      <c r="Q654" s="69"/>
      <c r="R654" s="69"/>
      <c r="S654" s="69"/>
      <c r="T654" s="69"/>
      <c r="U654" s="69" t="s">
        <v>345</v>
      </c>
    </row>
    <row r="655" spans="2:21" s="66" customFormat="1" ht="12.75">
      <c r="B655" s="69" t="s">
        <v>344</v>
      </c>
      <c r="C655" s="69"/>
      <c r="D655" s="69" t="s">
        <v>410</v>
      </c>
      <c r="E655" s="69"/>
      <c r="F655" s="71"/>
      <c r="G655" s="71" t="s">
        <v>433</v>
      </c>
      <c r="H655" s="71"/>
      <c r="I655" s="71"/>
      <c r="J655" s="69"/>
      <c r="L655" s="69"/>
      <c r="Q655" s="69"/>
      <c r="R655" s="69"/>
      <c r="S655" s="69"/>
      <c r="T655" s="69"/>
      <c r="U655" s="69" t="s">
        <v>345</v>
      </c>
    </row>
    <row r="656" spans="2:21" s="66" customFormat="1" ht="12.75">
      <c r="B656" s="69" t="s">
        <v>344</v>
      </c>
      <c r="C656" s="69"/>
      <c r="D656" s="69" t="s">
        <v>410</v>
      </c>
      <c r="E656" s="69"/>
      <c r="F656" s="71"/>
      <c r="G656" s="71" t="s">
        <v>432</v>
      </c>
      <c r="H656" s="71"/>
      <c r="I656" s="71"/>
      <c r="J656" s="69"/>
      <c r="L656" s="69"/>
      <c r="Q656" s="69"/>
      <c r="R656" s="69"/>
      <c r="S656" s="69"/>
      <c r="T656" s="69"/>
      <c r="U656" s="69" t="s">
        <v>345</v>
      </c>
    </row>
    <row r="657" spans="2:21" s="66" customFormat="1" ht="12.75">
      <c r="B657" s="69" t="s">
        <v>344</v>
      </c>
      <c r="C657" s="69"/>
      <c r="D657" s="69" t="s">
        <v>410</v>
      </c>
      <c r="E657" s="69"/>
      <c r="F657" s="71"/>
      <c r="G657" s="71" t="s">
        <v>431</v>
      </c>
      <c r="H657" s="71"/>
      <c r="I657" s="71"/>
      <c r="J657" s="69"/>
      <c r="L657" s="69"/>
      <c r="Q657" s="69"/>
      <c r="R657" s="69"/>
      <c r="S657" s="69"/>
      <c r="T657" s="69"/>
      <c r="U657" s="69" t="s">
        <v>345</v>
      </c>
    </row>
    <row r="658" spans="2:21" s="66" customFormat="1" ht="12.75">
      <c r="B658" s="69" t="s">
        <v>344</v>
      </c>
      <c r="C658" s="69"/>
      <c r="D658" s="69" t="s">
        <v>419</v>
      </c>
      <c r="E658" s="69"/>
      <c r="F658" s="71"/>
      <c r="G658" s="71" t="s">
        <v>430</v>
      </c>
      <c r="H658" s="71"/>
      <c r="I658" s="71"/>
      <c r="J658" s="69"/>
      <c r="L658" s="69"/>
      <c r="Q658" s="69"/>
      <c r="R658" s="69"/>
      <c r="S658" s="69"/>
      <c r="T658" s="69"/>
      <c r="U658" s="69" t="s">
        <v>345</v>
      </c>
    </row>
    <row r="659" spans="2:21" s="66" customFormat="1" ht="12.75">
      <c r="B659" s="69" t="s">
        <v>344</v>
      </c>
      <c r="C659" s="69"/>
      <c r="D659" s="69" t="s">
        <v>419</v>
      </c>
      <c r="E659" s="69"/>
      <c r="F659" s="71"/>
      <c r="G659" s="71" t="s">
        <v>429</v>
      </c>
      <c r="H659" s="71"/>
      <c r="I659" s="71"/>
      <c r="J659" s="69"/>
      <c r="L659" s="69"/>
      <c r="Q659" s="69"/>
      <c r="R659" s="69"/>
      <c r="S659" s="69"/>
      <c r="T659" s="69"/>
      <c r="U659" s="69" t="s">
        <v>345</v>
      </c>
    </row>
    <row r="660" spans="2:21" s="66" customFormat="1" ht="12.75">
      <c r="B660" s="69" t="s">
        <v>344</v>
      </c>
      <c r="C660" s="69"/>
      <c r="D660" s="69" t="s">
        <v>419</v>
      </c>
      <c r="E660" s="69"/>
      <c r="F660" s="71"/>
      <c r="G660" s="71" t="s">
        <v>428</v>
      </c>
      <c r="H660" s="71"/>
      <c r="I660" s="71"/>
      <c r="J660" s="69"/>
      <c r="L660" s="69"/>
      <c r="Q660" s="69"/>
      <c r="R660" s="69"/>
      <c r="S660" s="69"/>
      <c r="T660" s="69"/>
      <c r="U660" s="69" t="s">
        <v>345</v>
      </c>
    </row>
    <row r="661" spans="2:21" s="66" customFormat="1" ht="12.75">
      <c r="B661" s="69" t="s">
        <v>344</v>
      </c>
      <c r="C661" s="69"/>
      <c r="D661" s="69" t="s">
        <v>410</v>
      </c>
      <c r="E661" s="69"/>
      <c r="F661" s="71"/>
      <c r="G661" s="71" t="s">
        <v>427</v>
      </c>
      <c r="H661" s="71"/>
      <c r="I661" s="71"/>
      <c r="J661" s="69"/>
      <c r="L661" s="69"/>
      <c r="Q661" s="69"/>
      <c r="R661" s="69"/>
      <c r="S661" s="69"/>
      <c r="T661" s="69"/>
      <c r="U661" s="69" t="s">
        <v>345</v>
      </c>
    </row>
    <row r="662" spans="2:21" s="66" customFormat="1" ht="12.75">
      <c r="B662" s="69" t="s">
        <v>344</v>
      </c>
      <c r="C662" s="69"/>
      <c r="D662" s="69" t="s">
        <v>416</v>
      </c>
      <c r="E662" s="69"/>
      <c r="F662" s="71"/>
      <c r="G662" s="71" t="s">
        <v>426</v>
      </c>
      <c r="H662" s="71"/>
      <c r="I662" s="71"/>
      <c r="J662" s="69"/>
      <c r="L662" s="69"/>
      <c r="Q662" s="69"/>
      <c r="R662" s="69"/>
      <c r="S662" s="69"/>
      <c r="T662" s="69"/>
      <c r="U662" s="69" t="s">
        <v>345</v>
      </c>
    </row>
    <row r="663" spans="2:21" s="66" customFormat="1" ht="12.75">
      <c r="B663" s="69" t="s">
        <v>344</v>
      </c>
      <c r="C663" s="69"/>
      <c r="D663" s="69" t="s">
        <v>419</v>
      </c>
      <c r="E663" s="69"/>
      <c r="F663" s="71"/>
      <c r="G663" s="71" t="s">
        <v>425</v>
      </c>
      <c r="H663" s="71"/>
      <c r="I663" s="71"/>
      <c r="J663" s="69"/>
      <c r="L663" s="69"/>
      <c r="Q663" s="69"/>
      <c r="R663" s="69"/>
      <c r="S663" s="69"/>
      <c r="T663" s="69"/>
      <c r="U663" s="69" t="s">
        <v>345</v>
      </c>
    </row>
    <row r="664" spans="2:21" s="66" customFormat="1" ht="12.75">
      <c r="B664" s="69" t="s">
        <v>344</v>
      </c>
      <c r="C664" s="69"/>
      <c r="D664" s="69" t="s">
        <v>419</v>
      </c>
      <c r="E664" s="69"/>
      <c r="F664" s="71"/>
      <c r="G664" s="71" t="s">
        <v>424</v>
      </c>
      <c r="H664" s="71"/>
      <c r="I664" s="71"/>
      <c r="J664" s="69"/>
      <c r="L664" s="69"/>
      <c r="Q664" s="69"/>
      <c r="R664" s="69"/>
      <c r="S664" s="69"/>
      <c r="T664" s="69"/>
      <c r="U664" s="69" t="s">
        <v>345</v>
      </c>
    </row>
    <row r="665" spans="2:21" s="66" customFormat="1" ht="12.75">
      <c r="B665" s="69" t="s">
        <v>344</v>
      </c>
      <c r="C665" s="69"/>
      <c r="D665" s="69" t="s">
        <v>419</v>
      </c>
      <c r="E665" s="69"/>
      <c r="F665" s="71"/>
      <c r="G665" s="71" t="s">
        <v>423</v>
      </c>
      <c r="H665" s="71"/>
      <c r="I665" s="71"/>
      <c r="J665" s="69"/>
      <c r="L665" s="69"/>
      <c r="Q665" s="69"/>
      <c r="R665" s="69"/>
      <c r="S665" s="69"/>
      <c r="T665" s="69"/>
      <c r="U665" s="69" t="s">
        <v>345</v>
      </c>
    </row>
    <row r="666" spans="2:21" s="66" customFormat="1" ht="12.75">
      <c r="B666" s="69" t="s">
        <v>344</v>
      </c>
      <c r="C666" s="69"/>
      <c r="D666" s="69" t="s">
        <v>419</v>
      </c>
      <c r="E666" s="69"/>
      <c r="F666" s="71"/>
      <c r="G666" s="71" t="s">
        <v>422</v>
      </c>
      <c r="H666" s="71"/>
      <c r="I666" s="71"/>
      <c r="J666" s="69"/>
      <c r="L666" s="69"/>
      <c r="Q666" s="69"/>
      <c r="R666" s="69"/>
      <c r="S666" s="69"/>
      <c r="T666" s="69"/>
      <c r="U666" s="69" t="s">
        <v>345</v>
      </c>
    </row>
    <row r="667" spans="2:21" s="66" customFormat="1" ht="12.75">
      <c r="B667" s="69" t="s">
        <v>344</v>
      </c>
      <c r="C667" s="69"/>
      <c r="D667" s="69" t="s">
        <v>416</v>
      </c>
      <c r="E667" s="69"/>
      <c r="F667" s="71"/>
      <c r="G667" s="71" t="s">
        <v>421</v>
      </c>
      <c r="H667" s="71"/>
      <c r="I667" s="71"/>
      <c r="J667" s="69"/>
      <c r="L667" s="69"/>
      <c r="Q667" s="69"/>
      <c r="R667" s="69"/>
      <c r="S667" s="69"/>
      <c r="T667" s="69"/>
      <c r="U667" s="69" t="s">
        <v>345</v>
      </c>
    </row>
    <row r="668" spans="2:21" s="66" customFormat="1" ht="12.75">
      <c r="B668" s="69" t="s">
        <v>344</v>
      </c>
      <c r="C668" s="69"/>
      <c r="D668" s="69" t="s">
        <v>410</v>
      </c>
      <c r="E668" s="69"/>
      <c r="F668" s="71"/>
      <c r="G668" s="71" t="s">
        <v>420</v>
      </c>
      <c r="H668" s="71"/>
      <c r="I668" s="71"/>
      <c r="J668" s="69"/>
      <c r="L668" s="69"/>
      <c r="Q668" s="69"/>
      <c r="R668" s="69"/>
      <c r="S668" s="69"/>
      <c r="T668" s="69"/>
      <c r="U668" s="69" t="s">
        <v>345</v>
      </c>
    </row>
    <row r="669" spans="2:21" s="66" customFormat="1" ht="12.75">
      <c r="B669" s="69" t="s">
        <v>344</v>
      </c>
      <c r="C669" s="69"/>
      <c r="D669" s="69" t="s">
        <v>419</v>
      </c>
      <c r="E669" s="69"/>
      <c r="F669" s="71"/>
      <c r="G669" s="71" t="s">
        <v>418</v>
      </c>
      <c r="H669" s="71"/>
      <c r="I669" s="71"/>
      <c r="J669" s="69"/>
      <c r="L669" s="69"/>
      <c r="Q669" s="69"/>
      <c r="R669" s="69"/>
      <c r="S669" s="69"/>
      <c r="T669" s="69"/>
      <c r="U669" s="69" t="s">
        <v>345</v>
      </c>
    </row>
    <row r="670" spans="2:21" s="66" customFormat="1" ht="12.75">
      <c r="B670" s="69" t="s">
        <v>344</v>
      </c>
      <c r="C670" s="69"/>
      <c r="D670" s="69" t="s">
        <v>410</v>
      </c>
      <c r="E670" s="69"/>
      <c r="F670" s="71"/>
      <c r="G670" s="71" t="s">
        <v>417</v>
      </c>
      <c r="H670" s="71"/>
      <c r="I670" s="71"/>
      <c r="J670" s="69"/>
      <c r="L670" s="69"/>
      <c r="Q670" s="69"/>
      <c r="R670" s="69"/>
      <c r="S670" s="69"/>
      <c r="T670" s="69"/>
      <c r="U670" s="69" t="s">
        <v>345</v>
      </c>
    </row>
    <row r="671" spans="2:21" s="66" customFormat="1" ht="12.75">
      <c r="B671" s="69" t="s">
        <v>344</v>
      </c>
      <c r="C671" s="69"/>
      <c r="D671" s="69" t="s">
        <v>416</v>
      </c>
      <c r="E671" s="69"/>
      <c r="F671" s="71"/>
      <c r="G671" s="71" t="s">
        <v>415</v>
      </c>
      <c r="H671" s="71"/>
      <c r="I671" s="71"/>
      <c r="J671" s="69"/>
      <c r="L671" s="69"/>
      <c r="Q671" s="69"/>
      <c r="R671" s="69"/>
      <c r="S671" s="69"/>
      <c r="T671" s="69"/>
      <c r="U671" s="69" t="s">
        <v>345</v>
      </c>
    </row>
    <row r="672" spans="2:21" s="66" customFormat="1" ht="12.75">
      <c r="B672" s="69" t="s">
        <v>344</v>
      </c>
      <c r="C672" s="69"/>
      <c r="D672" s="69"/>
      <c r="E672" s="69"/>
      <c r="F672" s="71"/>
      <c r="G672" s="71" t="s">
        <v>414</v>
      </c>
      <c r="H672" s="71"/>
      <c r="I672" s="71"/>
      <c r="J672" s="69"/>
      <c r="L672" s="69"/>
      <c r="Q672" s="69"/>
      <c r="R672" s="69"/>
      <c r="S672" s="69"/>
      <c r="T672" s="69"/>
      <c r="U672" s="69" t="s">
        <v>345</v>
      </c>
    </row>
    <row r="673" spans="2:21" s="66" customFormat="1" ht="12.75">
      <c r="B673" s="69" t="s">
        <v>344</v>
      </c>
      <c r="C673" s="69"/>
      <c r="D673" s="69"/>
      <c r="E673" s="69"/>
      <c r="F673" s="71"/>
      <c r="G673" s="71" t="s">
        <v>414</v>
      </c>
      <c r="H673" s="71"/>
      <c r="I673" s="71"/>
      <c r="J673" s="69"/>
      <c r="L673" s="69"/>
      <c r="Q673" s="69"/>
      <c r="R673" s="69"/>
      <c r="S673" s="69"/>
      <c r="T673" s="69"/>
      <c r="U673" s="69"/>
    </row>
    <row r="674" spans="2:21" s="66" customFormat="1" ht="12.75">
      <c r="B674" s="69" t="s">
        <v>344</v>
      </c>
      <c r="C674" s="69"/>
      <c r="D674" s="69" t="s">
        <v>410</v>
      </c>
      <c r="E674" s="69"/>
      <c r="F674" s="71"/>
      <c r="G674" s="71" t="s">
        <v>413</v>
      </c>
      <c r="H674" s="71"/>
      <c r="I674" s="71"/>
      <c r="J674" s="69"/>
      <c r="L674" s="69"/>
      <c r="Q674" s="69"/>
      <c r="R674" s="69"/>
      <c r="S674" s="69"/>
      <c r="T674" s="69"/>
      <c r="U674" s="69"/>
    </row>
    <row r="675" spans="2:21" s="66" customFormat="1" ht="12.75">
      <c r="B675" s="69"/>
      <c r="C675" s="69"/>
      <c r="D675" s="69" t="s">
        <v>410</v>
      </c>
      <c r="E675" s="69"/>
      <c r="F675" s="71"/>
      <c r="G675" s="71" t="s">
        <v>412</v>
      </c>
      <c r="H675" s="71"/>
      <c r="I675" s="71"/>
      <c r="J675" s="69"/>
      <c r="L675" s="69"/>
      <c r="Q675" s="69"/>
      <c r="R675" s="69"/>
      <c r="S675" s="69"/>
      <c r="T675" s="69"/>
      <c r="U675" s="69"/>
    </row>
    <row r="676" spans="2:21" s="66" customFormat="1" ht="12.75">
      <c r="B676" s="69"/>
      <c r="C676" s="69"/>
      <c r="D676" s="69" t="s">
        <v>410</v>
      </c>
      <c r="E676" s="69"/>
      <c r="F676" s="71"/>
      <c r="G676" s="71" t="s">
        <v>411</v>
      </c>
      <c r="H676" s="71"/>
      <c r="I676" s="71"/>
      <c r="J676" s="69"/>
      <c r="L676" s="69"/>
      <c r="Q676" s="69"/>
      <c r="R676" s="69"/>
      <c r="S676" s="69"/>
      <c r="T676" s="69"/>
      <c r="U676" s="69"/>
    </row>
    <row r="677" spans="2:21" s="66" customFormat="1" ht="12.75">
      <c r="B677" s="69"/>
      <c r="C677" s="69"/>
      <c r="D677" s="69"/>
      <c r="E677" s="69"/>
      <c r="F677" s="71"/>
      <c r="G677" s="71" t="s">
        <v>464</v>
      </c>
      <c r="H677" s="71"/>
      <c r="I677" s="71"/>
      <c r="J677" s="69"/>
      <c r="L677" s="69"/>
      <c r="Q677" s="69"/>
      <c r="R677" s="69"/>
      <c r="S677" s="69"/>
      <c r="T677" s="69"/>
      <c r="U677" s="69"/>
    </row>
    <row r="678" spans="2:21" s="66" customFormat="1" ht="12.75">
      <c r="B678" s="69" t="s">
        <v>343</v>
      </c>
      <c r="C678" s="69"/>
      <c r="D678" s="69" t="s">
        <v>410</v>
      </c>
      <c r="E678" s="69"/>
      <c r="F678" s="71"/>
      <c r="G678" s="71" t="s">
        <v>409</v>
      </c>
      <c r="H678" s="71"/>
      <c r="I678" s="71"/>
      <c r="J678" s="69"/>
      <c r="L678" s="69"/>
      <c r="Q678" s="69"/>
      <c r="R678" s="69"/>
      <c r="S678" s="69"/>
      <c r="T678" s="69"/>
      <c r="U678" s="69"/>
    </row>
    <row r="679" spans="2:21" s="66" customFormat="1" ht="13.5" thickBot="1">
      <c r="B679" s="69"/>
      <c r="C679" s="69"/>
      <c r="D679" s="69"/>
      <c r="E679" s="69"/>
      <c r="F679" s="71"/>
      <c r="G679" s="71"/>
      <c r="H679" s="71"/>
      <c r="I679" s="71"/>
      <c r="J679" s="69"/>
      <c r="L679" s="69"/>
      <c r="Q679" s="69"/>
      <c r="R679" s="69"/>
      <c r="S679" s="69"/>
      <c r="T679" s="69"/>
      <c r="U679" s="69"/>
    </row>
    <row r="680" spans="2:21" s="66" customFormat="1" thickBot="1">
      <c r="B680" s="69"/>
      <c r="C680" s="69"/>
      <c r="D680" s="69"/>
      <c r="E680" s="69"/>
      <c r="F680" s="80"/>
      <c r="G680" s="63" t="s">
        <v>397</v>
      </c>
      <c r="H680" s="80"/>
      <c r="I680" s="80"/>
      <c r="J680" s="69"/>
      <c r="L680" s="69"/>
      <c r="Q680" s="69"/>
      <c r="R680" s="69"/>
      <c r="S680" s="69"/>
      <c r="T680" s="69"/>
      <c r="U680" s="69"/>
    </row>
    <row r="681" spans="2:21" s="66" customFormat="1" thickBot="1">
      <c r="B681" s="69"/>
      <c r="C681" s="69"/>
      <c r="D681" s="69"/>
      <c r="E681" s="69"/>
      <c r="F681" s="80"/>
      <c r="G681" s="63" t="s">
        <v>396</v>
      </c>
      <c r="H681" s="80"/>
      <c r="I681" s="80"/>
      <c r="J681" s="69"/>
      <c r="L681" s="69"/>
      <c r="Q681" s="69"/>
      <c r="R681" s="69"/>
      <c r="S681" s="69"/>
      <c r="T681" s="69"/>
      <c r="U681" s="69"/>
    </row>
    <row r="682" spans="2:21" s="66" customFormat="1" thickBot="1">
      <c r="B682" s="69"/>
      <c r="C682" s="69"/>
      <c r="D682" s="69"/>
      <c r="E682" s="69"/>
      <c r="F682" s="80"/>
      <c r="G682" s="63" t="s">
        <v>395</v>
      </c>
      <c r="H682" s="80"/>
      <c r="I682" s="80"/>
      <c r="J682" s="69"/>
      <c r="L682" s="69"/>
      <c r="Q682" s="69"/>
      <c r="R682" s="69"/>
      <c r="S682" s="69"/>
      <c r="T682" s="69"/>
      <c r="U682" s="69"/>
    </row>
    <row r="683" spans="2:21" s="66" customFormat="1" thickBot="1">
      <c r="B683" s="69"/>
      <c r="C683" s="69"/>
      <c r="D683" s="69"/>
      <c r="E683" s="69"/>
      <c r="F683" s="80"/>
      <c r="G683" s="63" t="s">
        <v>394</v>
      </c>
      <c r="H683" s="80"/>
      <c r="I683" s="80"/>
      <c r="J683" s="69"/>
      <c r="L683" s="69"/>
      <c r="Q683" s="69"/>
      <c r="R683" s="69"/>
      <c r="S683" s="69"/>
      <c r="T683" s="69"/>
      <c r="U683" s="69"/>
    </row>
    <row r="684" spans="2:21" s="66" customFormat="1" thickBot="1">
      <c r="B684" s="69"/>
      <c r="C684" s="69"/>
      <c r="D684" s="69"/>
      <c r="E684" s="69"/>
      <c r="F684" s="80"/>
      <c r="G684" s="63" t="s">
        <v>393</v>
      </c>
      <c r="H684" s="80"/>
      <c r="I684" s="80"/>
      <c r="J684" s="69"/>
      <c r="L684" s="69"/>
      <c r="Q684" s="69"/>
      <c r="R684" s="69"/>
      <c r="S684" s="69"/>
      <c r="T684" s="69"/>
      <c r="U684" s="69"/>
    </row>
    <row r="685" spans="2:21" s="66" customFormat="1" thickBot="1">
      <c r="B685" s="69"/>
      <c r="C685" s="69"/>
      <c r="D685" s="69"/>
      <c r="E685" s="69"/>
      <c r="F685" s="80"/>
      <c r="G685" s="63"/>
      <c r="H685" s="80"/>
      <c r="I685" s="80"/>
      <c r="J685" s="69"/>
      <c r="L685" s="69"/>
      <c r="Q685" s="69"/>
      <c r="R685" s="69"/>
      <c r="S685" s="69"/>
      <c r="T685" s="69"/>
      <c r="U685" s="69"/>
    </row>
    <row r="686" spans="2:21" s="66" customFormat="1" thickBot="1">
      <c r="B686" s="69"/>
      <c r="C686" s="69"/>
      <c r="D686" s="69"/>
      <c r="E686" s="69"/>
      <c r="F686" s="80"/>
      <c r="G686" s="63" t="s">
        <v>392</v>
      </c>
      <c r="H686" s="80"/>
      <c r="I686" s="80"/>
      <c r="J686" s="69"/>
      <c r="L686" s="69"/>
      <c r="Q686" s="69"/>
      <c r="R686" s="69"/>
      <c r="S686" s="69"/>
      <c r="T686" s="69"/>
      <c r="U686" s="69"/>
    </row>
    <row r="687" spans="2:21" s="66" customFormat="1" thickBot="1">
      <c r="B687" s="69"/>
      <c r="C687" s="69"/>
      <c r="D687" s="69"/>
      <c r="E687" s="69"/>
      <c r="F687" s="80"/>
      <c r="G687" s="63" t="s">
        <v>391</v>
      </c>
      <c r="H687" s="80"/>
      <c r="I687" s="80"/>
      <c r="J687" s="69"/>
      <c r="L687" s="69"/>
      <c r="Q687" s="69"/>
      <c r="R687" s="69"/>
      <c r="S687" s="69"/>
      <c r="T687" s="69"/>
      <c r="U687" s="69"/>
    </row>
    <row r="688" spans="2:21" s="66" customFormat="1" thickBot="1">
      <c r="B688" s="69"/>
      <c r="C688" s="69"/>
      <c r="D688" s="69"/>
      <c r="E688" s="69"/>
      <c r="F688" s="80"/>
      <c r="G688" s="63"/>
      <c r="H688" s="80"/>
      <c r="I688" s="80"/>
      <c r="J688" s="69"/>
      <c r="L688" s="69"/>
      <c r="Q688" s="69"/>
      <c r="R688" s="69"/>
      <c r="S688" s="69"/>
      <c r="T688" s="69"/>
      <c r="U688" s="69"/>
    </row>
    <row r="689" spans="2:21" s="66" customFormat="1" thickBot="1">
      <c r="B689" s="69"/>
      <c r="C689" s="69"/>
      <c r="D689" s="69"/>
      <c r="E689" s="69"/>
      <c r="F689" s="80"/>
      <c r="G689" s="63" t="s">
        <v>390</v>
      </c>
      <c r="H689" s="80"/>
      <c r="I689" s="80"/>
      <c r="J689" s="69"/>
      <c r="L689" s="69"/>
      <c r="Q689" s="69"/>
      <c r="R689" s="69"/>
      <c r="S689" s="69"/>
      <c r="T689" s="69"/>
      <c r="U689" s="69"/>
    </row>
    <row r="690" spans="2:21" s="66" customFormat="1" thickBot="1">
      <c r="B690" s="69"/>
      <c r="C690" s="69"/>
      <c r="D690" s="69"/>
      <c r="E690" s="69"/>
      <c r="F690" s="80"/>
      <c r="G690" s="63" t="s">
        <v>389</v>
      </c>
      <c r="H690" s="80"/>
      <c r="I690" s="80"/>
      <c r="J690" s="69"/>
      <c r="L690" s="69"/>
      <c r="Q690" s="69"/>
      <c r="R690" s="69"/>
      <c r="S690" s="69"/>
      <c r="T690" s="69"/>
      <c r="U690" s="69"/>
    </row>
    <row r="691" spans="2:21" s="66" customFormat="1" thickBot="1">
      <c r="B691" s="69"/>
      <c r="C691" s="69"/>
      <c r="D691" s="69"/>
      <c r="E691" s="69"/>
      <c r="F691" s="80"/>
      <c r="G691" s="63" t="s">
        <v>388</v>
      </c>
      <c r="H691" s="80"/>
      <c r="I691" s="80"/>
      <c r="J691" s="69"/>
      <c r="L691" s="69"/>
      <c r="Q691" s="69"/>
      <c r="R691" s="69"/>
      <c r="S691" s="69"/>
      <c r="T691" s="69"/>
      <c r="U691" s="69"/>
    </row>
    <row r="692" spans="2:21" s="66" customFormat="1" thickBot="1">
      <c r="B692" s="69"/>
      <c r="C692" s="69"/>
      <c r="D692" s="69"/>
      <c r="E692" s="69"/>
      <c r="F692" s="80"/>
      <c r="G692" s="63" t="s">
        <v>387</v>
      </c>
      <c r="H692" s="80"/>
      <c r="I692" s="80"/>
      <c r="J692" s="69"/>
      <c r="L692" s="69"/>
      <c r="Q692" s="69"/>
      <c r="R692" s="69"/>
      <c r="S692" s="69"/>
      <c r="T692" s="69"/>
      <c r="U692" s="69"/>
    </row>
    <row r="693" spans="2:21" s="66" customFormat="1" thickBot="1">
      <c r="B693" s="69"/>
      <c r="C693" s="69"/>
      <c r="D693" s="69"/>
      <c r="E693" s="69"/>
      <c r="F693" s="80"/>
      <c r="G693" s="63" t="s">
        <v>386</v>
      </c>
      <c r="H693" s="80"/>
      <c r="I693" s="80"/>
      <c r="J693" s="69"/>
      <c r="L693" s="69"/>
      <c r="Q693" s="69"/>
      <c r="R693" s="69"/>
      <c r="S693" s="69"/>
      <c r="T693" s="69"/>
      <c r="U693" s="69"/>
    </row>
    <row r="694" spans="2:21" s="66" customFormat="1" thickBot="1">
      <c r="B694" s="69"/>
      <c r="C694" s="69"/>
      <c r="D694" s="69"/>
      <c r="E694" s="69"/>
      <c r="F694" s="80"/>
      <c r="G694" s="63" t="s">
        <v>385</v>
      </c>
      <c r="H694" s="80"/>
      <c r="I694" s="80"/>
      <c r="J694" s="69"/>
      <c r="L694" s="69"/>
      <c r="Q694" s="69"/>
      <c r="R694" s="69"/>
      <c r="S694" s="69"/>
      <c r="T694" s="69"/>
      <c r="U694" s="69"/>
    </row>
    <row r="695" spans="2:21" s="66" customFormat="1" ht="27.75" thickBot="1">
      <c r="B695" s="69"/>
      <c r="C695" s="69"/>
      <c r="D695" s="69"/>
      <c r="E695" s="69"/>
      <c r="F695" s="80"/>
      <c r="G695" s="63" t="s">
        <v>384</v>
      </c>
      <c r="H695" s="80"/>
      <c r="I695" s="80"/>
      <c r="J695" s="69"/>
      <c r="L695" s="69"/>
      <c r="Q695" s="69"/>
      <c r="R695" s="69"/>
      <c r="S695" s="69"/>
      <c r="T695" s="69"/>
      <c r="U695" s="69"/>
    </row>
    <row r="696" spans="2:21" s="66" customFormat="1" ht="41.25" thickBot="1">
      <c r="B696" s="69"/>
      <c r="C696" s="69"/>
      <c r="D696" s="69"/>
      <c r="E696" s="69"/>
      <c r="F696" s="80"/>
      <c r="G696" s="63" t="s">
        <v>383</v>
      </c>
      <c r="H696" s="80"/>
      <c r="I696" s="80"/>
      <c r="J696" s="69"/>
      <c r="L696" s="69"/>
      <c r="Q696" s="69"/>
      <c r="R696" s="69"/>
      <c r="S696" s="69"/>
      <c r="T696" s="69"/>
      <c r="U696" s="69"/>
    </row>
    <row r="697" spans="2:21" s="66" customFormat="1" thickBot="1">
      <c r="B697" s="69"/>
      <c r="C697" s="69"/>
      <c r="D697" s="69"/>
      <c r="E697" s="69"/>
      <c r="F697" s="80"/>
      <c r="G697" s="63" t="s">
        <v>382</v>
      </c>
      <c r="H697" s="80"/>
      <c r="I697" s="80"/>
      <c r="J697" s="69"/>
      <c r="L697" s="69"/>
      <c r="Q697" s="69"/>
      <c r="R697" s="69"/>
      <c r="S697" s="69"/>
      <c r="T697" s="69"/>
      <c r="U697" s="69"/>
    </row>
    <row r="698" spans="2:21" s="66" customFormat="1" ht="27.75" thickBot="1">
      <c r="B698" s="69"/>
      <c r="C698" s="69"/>
      <c r="D698" s="69"/>
      <c r="E698" s="69"/>
      <c r="F698" s="80"/>
      <c r="G698" s="63" t="s">
        <v>381</v>
      </c>
      <c r="H698" s="80"/>
      <c r="I698" s="80"/>
      <c r="J698" s="69"/>
      <c r="L698" s="69"/>
      <c r="Q698" s="69"/>
      <c r="R698" s="69"/>
      <c r="S698" s="69"/>
      <c r="T698" s="69"/>
      <c r="U698" s="69"/>
    </row>
    <row r="699" spans="2:21" s="66" customFormat="1" thickBot="1">
      <c r="B699" s="69"/>
      <c r="C699" s="69"/>
      <c r="D699" s="69"/>
      <c r="E699" s="69"/>
      <c r="F699" s="80"/>
      <c r="G699" s="63"/>
      <c r="H699" s="80"/>
      <c r="I699" s="80"/>
      <c r="J699" s="69"/>
      <c r="L699" s="69"/>
      <c r="Q699" s="69"/>
      <c r="R699" s="69"/>
      <c r="S699" s="69"/>
      <c r="T699" s="69"/>
      <c r="U699" s="69"/>
    </row>
    <row r="700" spans="2:21" s="66" customFormat="1" thickBot="1">
      <c r="B700" s="69"/>
      <c r="C700" s="69"/>
      <c r="D700" s="69"/>
      <c r="E700" s="69"/>
      <c r="F700" s="80"/>
      <c r="G700" s="63" t="s">
        <v>380</v>
      </c>
      <c r="H700" s="80"/>
      <c r="I700" s="80"/>
      <c r="J700" s="69"/>
      <c r="L700" s="69"/>
      <c r="Q700" s="69"/>
      <c r="R700" s="69"/>
      <c r="S700" s="69"/>
      <c r="T700" s="69"/>
      <c r="U700" s="69"/>
    </row>
    <row r="701" spans="2:21" s="66" customFormat="1" thickBot="1">
      <c r="B701" s="69"/>
      <c r="C701" s="69"/>
      <c r="D701" s="69"/>
      <c r="E701" s="69"/>
      <c r="F701" s="80"/>
      <c r="G701" s="63" t="s">
        <v>379</v>
      </c>
      <c r="H701" s="80"/>
      <c r="I701" s="80"/>
      <c r="J701" s="69"/>
      <c r="L701" s="69"/>
      <c r="Q701" s="69"/>
      <c r="R701" s="69"/>
      <c r="S701" s="69"/>
      <c r="T701" s="69"/>
      <c r="U701" s="69"/>
    </row>
    <row r="702" spans="2:21" s="66" customFormat="1" thickBot="1">
      <c r="B702" s="69"/>
      <c r="C702" s="69"/>
      <c r="D702" s="69"/>
      <c r="E702" s="69"/>
      <c r="F702" s="80"/>
      <c r="G702" s="63" t="s">
        <v>378</v>
      </c>
      <c r="H702" s="80"/>
      <c r="I702" s="80"/>
      <c r="J702" s="69"/>
      <c r="L702" s="69"/>
      <c r="Q702" s="69"/>
      <c r="R702" s="69"/>
      <c r="S702" s="69"/>
      <c r="T702" s="69"/>
      <c r="U702" s="69"/>
    </row>
    <row r="703" spans="2:21" s="66" customFormat="1" thickBot="1">
      <c r="B703" s="69"/>
      <c r="C703" s="69"/>
      <c r="D703" s="69"/>
      <c r="E703" s="69"/>
      <c r="F703" s="80"/>
      <c r="G703" s="63" t="s">
        <v>377</v>
      </c>
      <c r="H703" s="80"/>
      <c r="I703" s="80"/>
      <c r="J703" s="69"/>
      <c r="L703" s="69"/>
      <c r="Q703" s="69"/>
      <c r="R703" s="69"/>
      <c r="S703" s="69"/>
      <c r="T703" s="69"/>
      <c r="U703" s="69"/>
    </row>
    <row r="704" spans="2:21" s="66" customFormat="1" thickBot="1">
      <c r="B704" s="69"/>
      <c r="C704" s="69"/>
      <c r="D704" s="69"/>
      <c r="E704" s="69"/>
      <c r="F704" s="80"/>
      <c r="G704" s="63" t="s">
        <v>376</v>
      </c>
      <c r="H704" s="80"/>
      <c r="I704" s="80"/>
      <c r="J704" s="69"/>
      <c r="L704" s="69"/>
      <c r="Q704" s="69"/>
      <c r="R704" s="69"/>
      <c r="S704" s="69"/>
      <c r="T704" s="69"/>
      <c r="U704" s="69"/>
    </row>
    <row r="705" spans="2:21" s="66" customFormat="1" thickBot="1">
      <c r="B705" s="69"/>
      <c r="C705" s="69"/>
      <c r="D705" s="69"/>
      <c r="E705" s="69"/>
      <c r="F705" s="80"/>
      <c r="G705" s="63" t="s">
        <v>375</v>
      </c>
      <c r="H705" s="80"/>
      <c r="I705" s="80"/>
      <c r="J705" s="69"/>
      <c r="L705" s="69"/>
      <c r="Q705" s="69"/>
      <c r="R705" s="69"/>
      <c r="S705" s="69"/>
      <c r="T705" s="69"/>
      <c r="U705" s="69"/>
    </row>
    <row r="706" spans="2:21" s="66" customFormat="1" ht="12.75">
      <c r="B706" s="69"/>
      <c r="C706" s="69"/>
      <c r="D706" s="69"/>
      <c r="E706" s="69"/>
      <c r="F706" s="71"/>
      <c r="G706" s="71"/>
      <c r="H706" s="71"/>
      <c r="I706" s="71"/>
      <c r="J706" s="69"/>
      <c r="L706" s="69"/>
      <c r="Q706" s="69"/>
      <c r="R706" s="69"/>
      <c r="S706" s="69"/>
      <c r="T706" s="69"/>
      <c r="U706" s="69"/>
    </row>
    <row r="707" spans="2:21" s="66" customFormat="1" ht="12.75">
      <c r="B707" s="69"/>
      <c r="C707" s="69"/>
      <c r="D707" s="69"/>
      <c r="E707" s="69"/>
      <c r="F707" s="71"/>
      <c r="G707" s="71"/>
      <c r="H707" s="71"/>
      <c r="I707" s="71"/>
      <c r="J707" s="69"/>
      <c r="L707" s="69"/>
      <c r="Q707" s="69"/>
      <c r="R707" s="69"/>
      <c r="S707" s="69"/>
      <c r="T707" s="69"/>
      <c r="U707" s="69"/>
    </row>
    <row r="708" spans="2:21" s="66" customFormat="1" ht="12.75">
      <c r="B708" s="69"/>
      <c r="C708" s="69"/>
      <c r="D708" s="69"/>
      <c r="E708" s="69"/>
      <c r="F708" s="71"/>
      <c r="G708" s="71"/>
      <c r="H708" s="71"/>
      <c r="I708" s="71"/>
      <c r="J708" s="69"/>
      <c r="L708" s="69"/>
      <c r="Q708" s="69"/>
      <c r="R708" s="69"/>
      <c r="S708" s="69"/>
      <c r="T708" s="69"/>
      <c r="U708" s="69"/>
    </row>
    <row r="709" spans="2:21" s="73" customFormat="1" ht="12.75">
      <c r="B709" s="79"/>
      <c r="C709" s="79"/>
      <c r="D709" s="79"/>
      <c r="E709" s="79"/>
      <c r="F709" s="79"/>
      <c r="G709" s="79"/>
      <c r="H709" s="79"/>
      <c r="I709" s="79"/>
      <c r="J709" s="79"/>
      <c r="Q709" s="79"/>
      <c r="R709" s="79"/>
      <c r="S709" s="79"/>
      <c r="T709" s="79"/>
      <c r="U709" s="79"/>
    </row>
    <row r="710" spans="2:21" s="72" customFormat="1" ht="12.75">
      <c r="B710" s="73" t="s">
        <v>435</v>
      </c>
      <c r="C710" s="73"/>
      <c r="D710" s="73" t="s">
        <v>410</v>
      </c>
      <c r="E710" s="73"/>
      <c r="F710" s="74"/>
      <c r="G710" s="74" t="s">
        <v>463</v>
      </c>
      <c r="H710" s="74"/>
      <c r="I710" s="74"/>
      <c r="J710" s="73"/>
      <c r="L710" s="73"/>
      <c r="Q710" s="73"/>
      <c r="R710" s="73"/>
      <c r="S710" s="73"/>
      <c r="T710" s="73"/>
      <c r="U710" s="73" t="s">
        <v>345</v>
      </c>
    </row>
    <row r="711" spans="2:21" s="72" customFormat="1" ht="12.75">
      <c r="B711" s="73" t="s">
        <v>435</v>
      </c>
      <c r="C711" s="73"/>
      <c r="D711" s="73" t="s">
        <v>410</v>
      </c>
      <c r="E711" s="73"/>
      <c r="F711" s="74"/>
      <c r="G711" s="74" t="s">
        <v>462</v>
      </c>
      <c r="H711" s="74"/>
      <c r="I711" s="74"/>
      <c r="J711" s="73"/>
      <c r="L711" s="73"/>
      <c r="Q711" s="73"/>
      <c r="R711" s="73"/>
      <c r="S711" s="73"/>
      <c r="T711" s="73"/>
      <c r="U711" s="73" t="s">
        <v>345</v>
      </c>
    </row>
    <row r="712" spans="2:21" s="72" customFormat="1" ht="12.75">
      <c r="B712" s="73" t="s">
        <v>435</v>
      </c>
      <c r="C712" s="73"/>
      <c r="D712" s="73" t="s">
        <v>410</v>
      </c>
      <c r="E712" s="73"/>
      <c r="G712" s="72" t="s">
        <v>461</v>
      </c>
      <c r="J712" s="73"/>
      <c r="L712" s="73"/>
      <c r="Q712" s="73"/>
      <c r="R712" s="73"/>
      <c r="S712" s="73"/>
      <c r="T712" s="73"/>
      <c r="U712" s="73" t="s">
        <v>345</v>
      </c>
    </row>
    <row r="713" spans="2:21" s="72" customFormat="1" ht="12.75">
      <c r="B713" s="73" t="s">
        <v>435</v>
      </c>
      <c r="C713" s="73"/>
      <c r="D713" s="73" t="s">
        <v>410</v>
      </c>
      <c r="E713" s="73"/>
      <c r="F713" s="74"/>
      <c r="G713" s="74" t="s">
        <v>460</v>
      </c>
      <c r="H713" s="74"/>
      <c r="I713" s="74"/>
      <c r="J713" s="73"/>
      <c r="L713" s="73"/>
      <c r="Q713" s="73"/>
      <c r="R713" s="73"/>
      <c r="S713" s="73"/>
      <c r="T713" s="73"/>
      <c r="U713" s="73" t="s">
        <v>345</v>
      </c>
    </row>
    <row r="714" spans="2:21" s="72" customFormat="1" ht="12.75">
      <c r="B714" s="73" t="s">
        <v>435</v>
      </c>
      <c r="C714" s="73"/>
      <c r="D714" s="73" t="s">
        <v>410</v>
      </c>
      <c r="E714" s="73"/>
      <c r="F714" s="74"/>
      <c r="G714" s="74" t="s">
        <v>459</v>
      </c>
      <c r="H714" s="74"/>
      <c r="I714" s="74"/>
      <c r="J714" s="73"/>
      <c r="L714" s="73"/>
      <c r="Q714" s="73"/>
      <c r="R714" s="73"/>
      <c r="S714" s="73"/>
      <c r="T714" s="73"/>
      <c r="U714" s="73" t="s">
        <v>345</v>
      </c>
    </row>
    <row r="715" spans="2:21" s="72" customFormat="1" ht="12.75">
      <c r="B715" s="73" t="s">
        <v>435</v>
      </c>
      <c r="C715" s="73"/>
      <c r="D715" s="73" t="s">
        <v>410</v>
      </c>
      <c r="E715" s="73"/>
      <c r="F715" s="74"/>
      <c r="G715" s="74" t="s">
        <v>458</v>
      </c>
      <c r="H715" s="74"/>
      <c r="I715" s="74"/>
      <c r="J715" s="73">
        <v>1</v>
      </c>
      <c r="L715" s="73"/>
      <c r="Q715" s="73"/>
      <c r="R715" s="73"/>
      <c r="S715" s="73"/>
      <c r="T715" s="73"/>
      <c r="U715" s="73" t="s">
        <v>345</v>
      </c>
    </row>
    <row r="716" spans="2:21" s="72" customFormat="1" ht="12.75">
      <c r="B716" s="73" t="s">
        <v>435</v>
      </c>
      <c r="C716" s="73"/>
      <c r="D716" s="73" t="s">
        <v>410</v>
      </c>
      <c r="E716" s="73"/>
      <c r="F716" s="74"/>
      <c r="G716" s="74" t="s">
        <v>457</v>
      </c>
      <c r="H716" s="74"/>
      <c r="I716" s="74"/>
      <c r="J716" s="73">
        <v>2</v>
      </c>
      <c r="L716" s="73"/>
      <c r="Q716" s="73"/>
      <c r="R716" s="73"/>
      <c r="S716" s="73"/>
      <c r="T716" s="73"/>
      <c r="U716" s="73" t="s">
        <v>345</v>
      </c>
    </row>
    <row r="717" spans="2:21" s="72" customFormat="1" ht="12.75">
      <c r="B717" s="73" t="s">
        <v>435</v>
      </c>
      <c r="C717" s="73"/>
      <c r="D717" s="73" t="s">
        <v>410</v>
      </c>
      <c r="E717" s="73"/>
      <c r="F717" s="74"/>
      <c r="G717" s="74" t="s">
        <v>456</v>
      </c>
      <c r="H717" s="74"/>
      <c r="I717" s="74"/>
      <c r="J717" s="73"/>
      <c r="L717" s="73"/>
      <c r="Q717" s="73"/>
      <c r="R717" s="73"/>
      <c r="S717" s="73"/>
      <c r="T717" s="73"/>
      <c r="U717" s="73" t="s">
        <v>345</v>
      </c>
    </row>
    <row r="718" spans="2:21" s="72" customFormat="1" ht="12.75">
      <c r="B718" s="73" t="s">
        <v>435</v>
      </c>
      <c r="C718" s="73"/>
      <c r="D718" s="73" t="s">
        <v>410</v>
      </c>
      <c r="E718" s="73"/>
      <c r="F718" s="74"/>
      <c r="G718" s="74" t="s">
        <v>455</v>
      </c>
      <c r="H718" s="74"/>
      <c r="I718" s="74"/>
      <c r="J718" s="73"/>
      <c r="L718" s="73"/>
      <c r="Q718" s="73"/>
      <c r="R718" s="73"/>
      <c r="S718" s="73"/>
      <c r="T718" s="73"/>
      <c r="U718" s="73" t="s">
        <v>345</v>
      </c>
    </row>
    <row r="719" spans="2:21" s="72" customFormat="1" ht="12.75">
      <c r="B719" s="73" t="s">
        <v>435</v>
      </c>
      <c r="C719" s="73"/>
      <c r="D719" s="73" t="s">
        <v>410</v>
      </c>
      <c r="E719" s="73"/>
      <c r="F719" s="74"/>
      <c r="G719" s="74" t="s">
        <v>454</v>
      </c>
      <c r="H719" s="74"/>
      <c r="I719" s="74"/>
      <c r="J719" s="73"/>
      <c r="L719" s="73"/>
      <c r="Q719" s="73"/>
      <c r="R719" s="73"/>
      <c r="S719" s="73"/>
      <c r="T719" s="73"/>
      <c r="U719" s="73" t="s">
        <v>345</v>
      </c>
    </row>
    <row r="720" spans="2:21" s="72" customFormat="1" ht="12.75">
      <c r="B720" s="73" t="s">
        <v>435</v>
      </c>
      <c r="C720" s="73"/>
      <c r="D720" s="73" t="s">
        <v>410</v>
      </c>
      <c r="E720" s="73"/>
      <c r="F720" s="74"/>
      <c r="G720" s="74" t="s">
        <v>453</v>
      </c>
      <c r="H720" s="74"/>
      <c r="I720" s="74"/>
      <c r="J720" s="73"/>
      <c r="L720" s="73"/>
      <c r="Q720" s="73"/>
      <c r="R720" s="73"/>
      <c r="S720" s="73"/>
      <c r="T720" s="73"/>
      <c r="U720" s="73" t="s">
        <v>345</v>
      </c>
    </row>
    <row r="721" spans="2:21" s="72" customFormat="1" ht="12.75">
      <c r="B721" s="73" t="s">
        <v>435</v>
      </c>
      <c r="C721" s="73"/>
      <c r="D721" s="73" t="s">
        <v>410</v>
      </c>
      <c r="E721" s="73"/>
      <c r="F721" s="74"/>
      <c r="G721" s="74" t="s">
        <v>452</v>
      </c>
      <c r="H721" s="74"/>
      <c r="I721" s="74"/>
      <c r="J721" s="73"/>
      <c r="L721" s="73"/>
      <c r="Q721" s="73"/>
      <c r="R721" s="73"/>
      <c r="S721" s="73"/>
      <c r="T721" s="73"/>
      <c r="U721" s="73" t="s">
        <v>345</v>
      </c>
    </row>
    <row r="722" spans="2:21" s="72" customFormat="1" ht="12.75">
      <c r="B722" s="73" t="s">
        <v>435</v>
      </c>
      <c r="C722" s="73"/>
      <c r="D722" s="73" t="s">
        <v>410</v>
      </c>
      <c r="E722" s="73"/>
      <c r="F722" s="74"/>
      <c r="G722" s="74" t="s">
        <v>451</v>
      </c>
      <c r="H722" s="74"/>
      <c r="I722" s="74"/>
      <c r="J722" s="73"/>
      <c r="L722" s="73"/>
      <c r="Q722" s="73"/>
      <c r="R722" s="73"/>
      <c r="S722" s="73"/>
      <c r="T722" s="73"/>
      <c r="U722" s="73" t="s">
        <v>345</v>
      </c>
    </row>
    <row r="723" spans="2:21" s="72" customFormat="1" ht="12.75">
      <c r="B723" s="73" t="s">
        <v>435</v>
      </c>
      <c r="C723" s="73"/>
      <c r="D723" s="73" t="s">
        <v>410</v>
      </c>
      <c r="E723" s="73"/>
      <c r="F723" s="74"/>
      <c r="G723" s="74" t="s">
        <v>450</v>
      </c>
      <c r="H723" s="74"/>
      <c r="I723" s="74"/>
      <c r="J723" s="73"/>
      <c r="L723" s="73"/>
      <c r="Q723" s="73"/>
      <c r="R723" s="73"/>
      <c r="S723" s="73"/>
      <c r="T723" s="73"/>
      <c r="U723" s="73" t="s">
        <v>345</v>
      </c>
    </row>
    <row r="724" spans="2:21" s="72" customFormat="1" ht="12.75">
      <c r="B724" s="73" t="s">
        <v>435</v>
      </c>
      <c r="C724" s="73"/>
      <c r="D724" s="73" t="s">
        <v>410</v>
      </c>
      <c r="E724" s="73"/>
      <c r="F724" s="74"/>
      <c r="G724" s="74" t="s">
        <v>449</v>
      </c>
      <c r="H724" s="74"/>
      <c r="I724" s="74"/>
      <c r="J724" s="73"/>
      <c r="L724" s="73"/>
      <c r="Q724" s="73"/>
      <c r="R724" s="73"/>
      <c r="S724" s="73"/>
      <c r="T724" s="73"/>
      <c r="U724" s="73" t="s">
        <v>345</v>
      </c>
    </row>
    <row r="725" spans="2:21" s="72" customFormat="1" ht="12.75">
      <c r="B725" s="73" t="s">
        <v>435</v>
      </c>
      <c r="C725" s="73"/>
      <c r="D725" s="73" t="s">
        <v>410</v>
      </c>
      <c r="E725" s="73"/>
      <c r="F725" s="74"/>
      <c r="G725" s="74" t="s">
        <v>448</v>
      </c>
      <c r="H725" s="74"/>
      <c r="I725" s="74"/>
      <c r="J725" s="73"/>
      <c r="L725" s="73"/>
      <c r="Q725" s="73"/>
      <c r="R725" s="73"/>
      <c r="S725" s="73"/>
      <c r="T725" s="73"/>
      <c r="U725" s="73" t="s">
        <v>345</v>
      </c>
    </row>
    <row r="726" spans="2:21" s="72" customFormat="1" ht="12.75">
      <c r="B726" s="73" t="s">
        <v>435</v>
      </c>
      <c r="C726" s="73"/>
      <c r="D726" s="73" t="s">
        <v>410</v>
      </c>
      <c r="E726" s="73"/>
      <c r="F726" s="74"/>
      <c r="G726" s="74" t="s">
        <v>447</v>
      </c>
      <c r="H726" s="74"/>
      <c r="I726" s="74"/>
      <c r="J726" s="73"/>
      <c r="L726" s="73"/>
      <c r="Q726" s="73"/>
      <c r="R726" s="73"/>
      <c r="S726" s="73"/>
      <c r="T726" s="73"/>
      <c r="U726" s="73" t="s">
        <v>345</v>
      </c>
    </row>
    <row r="727" spans="2:21" s="72" customFormat="1" ht="12.75">
      <c r="B727" s="73" t="s">
        <v>435</v>
      </c>
      <c r="C727" s="73"/>
      <c r="D727" s="73" t="s">
        <v>410</v>
      </c>
      <c r="E727" s="73"/>
      <c r="F727" s="74"/>
      <c r="G727" s="74" t="s">
        <v>446</v>
      </c>
      <c r="H727" s="74"/>
      <c r="I727" s="74"/>
      <c r="J727" s="73"/>
      <c r="L727" s="73"/>
      <c r="Q727" s="73"/>
      <c r="R727" s="73"/>
      <c r="S727" s="73"/>
      <c r="T727" s="73"/>
      <c r="U727" s="73" t="s">
        <v>345</v>
      </c>
    </row>
    <row r="728" spans="2:21" s="72" customFormat="1">
      <c r="B728" s="73" t="s">
        <v>435</v>
      </c>
      <c r="C728" s="73"/>
      <c r="D728" s="73" t="s">
        <v>410</v>
      </c>
      <c r="E728" s="73"/>
      <c r="F728" s="74"/>
      <c r="G728" s="74" t="s">
        <v>445</v>
      </c>
      <c r="H728" s="74"/>
      <c r="I728" s="74"/>
      <c r="J728" s="73"/>
      <c r="L728" s="73"/>
      <c r="Q728" s="73"/>
      <c r="R728" s="73"/>
      <c r="S728" s="73"/>
      <c r="T728" s="73"/>
      <c r="U728" s="73" t="s">
        <v>345</v>
      </c>
    </row>
    <row r="729" spans="2:21" s="72" customFormat="1" ht="12.75">
      <c r="B729" s="73" t="s">
        <v>435</v>
      </c>
      <c r="C729" s="73"/>
      <c r="D729" s="73" t="s">
        <v>410</v>
      </c>
      <c r="E729" s="73"/>
      <c r="F729" s="74"/>
      <c r="G729" s="74" t="s">
        <v>444</v>
      </c>
      <c r="H729" s="74"/>
      <c r="I729" s="74"/>
      <c r="J729" s="73"/>
      <c r="L729" s="73"/>
      <c r="Q729" s="73"/>
      <c r="R729" s="73"/>
      <c r="S729" s="73"/>
      <c r="T729" s="73"/>
      <c r="U729" s="73" t="s">
        <v>345</v>
      </c>
    </row>
    <row r="730" spans="2:21" s="72" customFormat="1" ht="12.75">
      <c r="B730" s="73" t="s">
        <v>435</v>
      </c>
      <c r="C730" s="73"/>
      <c r="D730" s="73" t="s">
        <v>410</v>
      </c>
      <c r="E730" s="73"/>
      <c r="F730" s="74"/>
      <c r="G730" s="74" t="s">
        <v>443</v>
      </c>
      <c r="H730" s="74"/>
      <c r="I730" s="74"/>
      <c r="J730" s="73"/>
      <c r="L730" s="73"/>
      <c r="Q730" s="73"/>
      <c r="R730" s="73"/>
      <c r="S730" s="73"/>
      <c r="T730" s="73"/>
      <c r="U730" s="73" t="s">
        <v>345</v>
      </c>
    </row>
    <row r="731" spans="2:21" s="72" customFormat="1" ht="12.75">
      <c r="B731" s="73" t="s">
        <v>435</v>
      </c>
      <c r="C731" s="73"/>
      <c r="D731" s="73" t="s">
        <v>410</v>
      </c>
      <c r="E731" s="73"/>
      <c r="F731" s="74"/>
      <c r="G731" s="74" t="s">
        <v>442</v>
      </c>
      <c r="H731" s="74"/>
      <c r="I731" s="74"/>
      <c r="J731" s="73"/>
      <c r="L731" s="73"/>
      <c r="Q731" s="73"/>
      <c r="R731" s="73"/>
      <c r="S731" s="73"/>
      <c r="T731" s="73"/>
      <c r="U731" s="73" t="s">
        <v>345</v>
      </c>
    </row>
    <row r="732" spans="2:21" s="72" customFormat="1" ht="12.75">
      <c r="B732" s="73" t="s">
        <v>435</v>
      </c>
      <c r="C732" s="73"/>
      <c r="D732" s="73" t="s">
        <v>410</v>
      </c>
      <c r="E732" s="73"/>
      <c r="F732" s="74"/>
      <c r="G732" s="74" t="s">
        <v>441</v>
      </c>
      <c r="H732" s="74"/>
      <c r="I732" s="74"/>
      <c r="J732" s="73"/>
      <c r="L732" s="73"/>
      <c r="Q732" s="73"/>
      <c r="R732" s="73"/>
      <c r="S732" s="73"/>
      <c r="T732" s="73"/>
      <c r="U732" s="73" t="s">
        <v>345</v>
      </c>
    </row>
    <row r="733" spans="2:21" s="72" customFormat="1" ht="12.75">
      <c r="B733" s="73" t="s">
        <v>435</v>
      </c>
      <c r="C733" s="73"/>
      <c r="D733" s="73" t="s">
        <v>410</v>
      </c>
      <c r="E733" s="73"/>
      <c r="F733" s="74"/>
      <c r="G733" s="74" t="s">
        <v>440</v>
      </c>
      <c r="H733" s="74"/>
      <c r="I733" s="74"/>
      <c r="J733" s="73"/>
      <c r="L733" s="73"/>
      <c r="Q733" s="73"/>
      <c r="R733" s="73"/>
      <c r="S733" s="73"/>
      <c r="T733" s="73"/>
      <c r="U733" s="73" t="s">
        <v>345</v>
      </c>
    </row>
    <row r="734" spans="2:21" s="72" customFormat="1" ht="12.75">
      <c r="B734" s="73" t="s">
        <v>435</v>
      </c>
      <c r="C734" s="73"/>
      <c r="D734" s="73" t="s">
        <v>410</v>
      </c>
      <c r="E734" s="73"/>
      <c r="F734" s="74"/>
      <c r="G734" s="74" t="s">
        <v>439</v>
      </c>
      <c r="H734" s="74"/>
      <c r="I734" s="74"/>
      <c r="J734" s="73"/>
      <c r="L734" s="73"/>
      <c r="Q734" s="73"/>
      <c r="R734" s="73"/>
      <c r="S734" s="73"/>
      <c r="T734" s="73"/>
      <c r="U734" s="73" t="s">
        <v>345</v>
      </c>
    </row>
    <row r="735" spans="2:21" s="72" customFormat="1" ht="12.75">
      <c r="B735" s="73" t="s">
        <v>435</v>
      </c>
      <c r="C735" s="73"/>
      <c r="D735" s="73" t="s">
        <v>410</v>
      </c>
      <c r="E735" s="73"/>
      <c r="F735" s="74"/>
      <c r="G735" s="74" t="s">
        <v>438</v>
      </c>
      <c r="H735" s="74"/>
      <c r="I735" s="74"/>
      <c r="J735" s="73"/>
      <c r="L735" s="73"/>
      <c r="Q735" s="73"/>
      <c r="R735" s="73"/>
      <c r="S735" s="73"/>
      <c r="T735" s="73"/>
      <c r="U735" s="73" t="s">
        <v>345</v>
      </c>
    </row>
    <row r="736" spans="2:21" s="72" customFormat="1" ht="12.75">
      <c r="B736" s="73" t="s">
        <v>435</v>
      </c>
      <c r="C736" s="73"/>
      <c r="D736" s="73" t="s">
        <v>410</v>
      </c>
      <c r="E736" s="73"/>
      <c r="F736" s="74"/>
      <c r="G736" s="74" t="s">
        <v>437</v>
      </c>
      <c r="H736" s="74"/>
      <c r="I736" s="74"/>
      <c r="J736" s="73"/>
      <c r="L736" s="73"/>
      <c r="Q736" s="73"/>
      <c r="R736" s="73"/>
      <c r="S736" s="73"/>
      <c r="T736" s="73"/>
      <c r="U736" s="73" t="s">
        <v>345</v>
      </c>
    </row>
    <row r="737" spans="2:21" s="72" customFormat="1" ht="12.75">
      <c r="B737" s="73" t="s">
        <v>435</v>
      </c>
      <c r="C737" s="73"/>
      <c r="D737" s="73" t="s">
        <v>410</v>
      </c>
      <c r="E737" s="73"/>
      <c r="F737" s="74"/>
      <c r="G737" s="74" t="s">
        <v>436</v>
      </c>
      <c r="H737" s="74"/>
      <c r="I737" s="74"/>
      <c r="J737" s="73"/>
      <c r="L737" s="73"/>
      <c r="Q737" s="73"/>
      <c r="R737" s="73"/>
      <c r="S737" s="73"/>
      <c r="T737" s="73"/>
      <c r="U737" s="73" t="s">
        <v>345</v>
      </c>
    </row>
    <row r="738" spans="2:21" s="72" customFormat="1" ht="12.75">
      <c r="B738" s="73" t="s">
        <v>435</v>
      </c>
      <c r="C738" s="73"/>
      <c r="D738" s="73" t="s">
        <v>410</v>
      </c>
      <c r="E738" s="73"/>
      <c r="J738" s="73"/>
      <c r="L738" s="73"/>
      <c r="Q738" s="73"/>
      <c r="R738" s="73"/>
      <c r="S738" s="73"/>
      <c r="T738" s="73"/>
      <c r="U738" s="73" t="s">
        <v>345</v>
      </c>
    </row>
    <row r="739" spans="2:21" s="72" customFormat="1" ht="12.75">
      <c r="B739" s="73" t="s">
        <v>435</v>
      </c>
      <c r="C739" s="73"/>
      <c r="D739" s="73" t="s">
        <v>410</v>
      </c>
      <c r="E739" s="73"/>
      <c r="J739" s="73"/>
      <c r="L739" s="73"/>
      <c r="Q739" s="73"/>
      <c r="R739" s="73"/>
      <c r="S739" s="73"/>
      <c r="T739" s="73"/>
      <c r="U739" s="73" t="s">
        <v>345</v>
      </c>
    </row>
    <row r="740" spans="2:21" s="72" customFormat="1" ht="12.75">
      <c r="B740" s="73" t="s">
        <v>435</v>
      </c>
      <c r="C740" s="73"/>
      <c r="D740" s="73" t="s">
        <v>410</v>
      </c>
      <c r="E740" s="73"/>
      <c r="J740" s="73"/>
      <c r="L740" s="73"/>
      <c r="Q740" s="73"/>
      <c r="R740" s="73"/>
      <c r="S740" s="73"/>
      <c r="T740" s="73"/>
      <c r="U740" s="73" t="s">
        <v>345</v>
      </c>
    </row>
    <row r="741" spans="2:21" s="72" customFormat="1" ht="12.75">
      <c r="B741" s="73" t="s">
        <v>435</v>
      </c>
      <c r="C741" s="73"/>
      <c r="D741" s="73" t="s">
        <v>410</v>
      </c>
      <c r="E741" s="73"/>
      <c r="J741" s="73"/>
      <c r="L741" s="73"/>
      <c r="Q741" s="73"/>
      <c r="R741" s="73"/>
      <c r="S741" s="73"/>
      <c r="T741" s="73"/>
      <c r="U741" s="73" t="s">
        <v>345</v>
      </c>
    </row>
    <row r="742" spans="2:21" s="72" customFormat="1" ht="12.75">
      <c r="B742" s="73" t="s">
        <v>435</v>
      </c>
      <c r="C742" s="73"/>
      <c r="D742" s="73" t="s">
        <v>410</v>
      </c>
      <c r="E742" s="73"/>
      <c r="J742" s="73"/>
      <c r="L742" s="73"/>
      <c r="Q742" s="73"/>
      <c r="R742" s="73"/>
      <c r="S742" s="73"/>
      <c r="T742" s="73"/>
      <c r="U742" s="73" t="s">
        <v>345</v>
      </c>
    </row>
    <row r="743" spans="2:21" s="72" customFormat="1" ht="12.75">
      <c r="B743" s="73" t="s">
        <v>435</v>
      </c>
      <c r="C743" s="73"/>
      <c r="D743" s="73" t="s">
        <v>410</v>
      </c>
      <c r="E743" s="73"/>
      <c r="J743" s="73"/>
      <c r="L743" s="73"/>
      <c r="Q743" s="73"/>
      <c r="R743" s="73"/>
      <c r="S743" s="73"/>
      <c r="T743" s="73"/>
      <c r="U743" s="73" t="s">
        <v>345</v>
      </c>
    </row>
    <row r="744" spans="2:21" s="72" customFormat="1" ht="12.75">
      <c r="B744" s="73" t="s">
        <v>435</v>
      </c>
      <c r="C744" s="73"/>
      <c r="D744" s="73" t="s">
        <v>410</v>
      </c>
      <c r="E744" s="73"/>
      <c r="J744" s="73"/>
      <c r="L744" s="73"/>
      <c r="Q744" s="73"/>
      <c r="R744" s="73"/>
      <c r="S744" s="73"/>
      <c r="T744" s="73"/>
      <c r="U744" s="73" t="s">
        <v>345</v>
      </c>
    </row>
    <row r="745" spans="2:21" s="72" customFormat="1" ht="12.75">
      <c r="B745" s="73"/>
      <c r="C745" s="73"/>
      <c r="D745" s="73"/>
      <c r="E745" s="73"/>
      <c r="J745" s="73"/>
      <c r="L745" s="73"/>
      <c r="Q745" s="73"/>
      <c r="R745" s="73"/>
      <c r="S745" s="73"/>
      <c r="T745" s="73"/>
      <c r="U745" s="73" t="s">
        <v>345</v>
      </c>
    </row>
    <row r="746" spans="2:21" s="72" customFormat="1" ht="12.75">
      <c r="B746" s="73" t="s">
        <v>344</v>
      </c>
      <c r="C746" s="73"/>
      <c r="D746" s="73" t="s">
        <v>419</v>
      </c>
      <c r="E746" s="73"/>
      <c r="F746" s="74"/>
      <c r="G746" s="74" t="s">
        <v>434</v>
      </c>
      <c r="H746" s="74"/>
      <c r="I746" s="74"/>
      <c r="J746" s="73"/>
      <c r="L746" s="73"/>
      <c r="Q746" s="73"/>
      <c r="R746" s="73"/>
      <c r="S746" s="73"/>
      <c r="T746" s="73"/>
      <c r="U746" s="73" t="s">
        <v>345</v>
      </c>
    </row>
    <row r="747" spans="2:21" s="72" customFormat="1" ht="12.75">
      <c r="B747" s="73" t="s">
        <v>344</v>
      </c>
      <c r="C747" s="73"/>
      <c r="D747" s="73" t="s">
        <v>410</v>
      </c>
      <c r="E747" s="73"/>
      <c r="F747" s="74"/>
      <c r="G747" s="74" t="s">
        <v>433</v>
      </c>
      <c r="H747" s="74"/>
      <c r="I747" s="74"/>
      <c r="J747" s="73"/>
      <c r="L747" s="73"/>
      <c r="Q747" s="73"/>
      <c r="R747" s="73"/>
      <c r="S747" s="73"/>
      <c r="T747" s="73"/>
      <c r="U747" s="73" t="s">
        <v>345</v>
      </c>
    </row>
    <row r="748" spans="2:21" s="72" customFormat="1" ht="12.75">
      <c r="B748" s="73" t="s">
        <v>344</v>
      </c>
      <c r="C748" s="73"/>
      <c r="D748" s="73" t="s">
        <v>410</v>
      </c>
      <c r="E748" s="73"/>
      <c r="F748" s="74"/>
      <c r="G748" s="74" t="s">
        <v>432</v>
      </c>
      <c r="H748" s="74"/>
      <c r="I748" s="74"/>
      <c r="J748" s="73"/>
      <c r="L748" s="73"/>
      <c r="Q748" s="73"/>
      <c r="R748" s="73"/>
      <c r="S748" s="73"/>
      <c r="T748" s="73"/>
      <c r="U748" s="73" t="s">
        <v>345</v>
      </c>
    </row>
    <row r="749" spans="2:21" s="72" customFormat="1" ht="12.75">
      <c r="B749" s="73" t="s">
        <v>344</v>
      </c>
      <c r="C749" s="73"/>
      <c r="D749" s="73" t="s">
        <v>410</v>
      </c>
      <c r="E749" s="73"/>
      <c r="F749" s="74"/>
      <c r="G749" s="74" t="s">
        <v>431</v>
      </c>
      <c r="H749" s="74"/>
      <c r="I749" s="74"/>
      <c r="J749" s="73"/>
      <c r="L749" s="73"/>
      <c r="Q749" s="73"/>
      <c r="R749" s="73"/>
      <c r="S749" s="73"/>
      <c r="T749" s="73"/>
      <c r="U749" s="73" t="s">
        <v>345</v>
      </c>
    </row>
    <row r="750" spans="2:21" s="72" customFormat="1" ht="12.75">
      <c r="B750" s="73" t="s">
        <v>344</v>
      </c>
      <c r="C750" s="73"/>
      <c r="D750" s="73" t="s">
        <v>419</v>
      </c>
      <c r="E750" s="73"/>
      <c r="F750" s="74"/>
      <c r="G750" s="74" t="s">
        <v>430</v>
      </c>
      <c r="H750" s="74"/>
      <c r="I750" s="74"/>
      <c r="J750" s="73"/>
      <c r="L750" s="73"/>
      <c r="Q750" s="73"/>
      <c r="R750" s="73"/>
      <c r="S750" s="73"/>
      <c r="T750" s="73"/>
      <c r="U750" s="73" t="s">
        <v>345</v>
      </c>
    </row>
    <row r="751" spans="2:21" s="72" customFormat="1" ht="12.75">
      <c r="B751" s="73" t="s">
        <v>344</v>
      </c>
      <c r="C751" s="73"/>
      <c r="D751" s="73" t="s">
        <v>419</v>
      </c>
      <c r="E751" s="73"/>
      <c r="F751" s="74"/>
      <c r="G751" s="74" t="s">
        <v>429</v>
      </c>
      <c r="H751" s="74"/>
      <c r="I751" s="74"/>
      <c r="J751" s="73"/>
      <c r="L751" s="73"/>
      <c r="Q751" s="73"/>
      <c r="R751" s="73"/>
      <c r="S751" s="73"/>
      <c r="T751" s="73"/>
      <c r="U751" s="73" t="s">
        <v>345</v>
      </c>
    </row>
    <row r="752" spans="2:21" s="72" customFormat="1" ht="12.75">
      <c r="B752" s="73" t="s">
        <v>344</v>
      </c>
      <c r="C752" s="73"/>
      <c r="D752" s="73" t="s">
        <v>419</v>
      </c>
      <c r="E752" s="73"/>
      <c r="F752" s="74"/>
      <c r="G752" s="74" t="s">
        <v>428</v>
      </c>
      <c r="H752" s="74"/>
      <c r="I752" s="74"/>
      <c r="J752" s="73"/>
      <c r="L752" s="73"/>
      <c r="Q752" s="73"/>
      <c r="R752" s="73"/>
      <c r="S752" s="73"/>
      <c r="T752" s="73"/>
      <c r="U752" s="73" t="s">
        <v>345</v>
      </c>
    </row>
    <row r="753" spans="2:21" s="72" customFormat="1" ht="12.75">
      <c r="B753" s="73" t="s">
        <v>344</v>
      </c>
      <c r="C753" s="73"/>
      <c r="D753" s="73" t="s">
        <v>410</v>
      </c>
      <c r="E753" s="73"/>
      <c r="F753" s="74"/>
      <c r="G753" s="74" t="s">
        <v>427</v>
      </c>
      <c r="H753" s="74"/>
      <c r="I753" s="74"/>
      <c r="J753" s="73"/>
      <c r="L753" s="73"/>
      <c r="Q753" s="73"/>
      <c r="R753" s="73"/>
      <c r="S753" s="73"/>
      <c r="T753" s="73"/>
      <c r="U753" s="73" t="s">
        <v>345</v>
      </c>
    </row>
    <row r="754" spans="2:21" s="72" customFormat="1" ht="12.75">
      <c r="B754" s="73" t="s">
        <v>344</v>
      </c>
      <c r="C754" s="73"/>
      <c r="D754" s="73" t="s">
        <v>416</v>
      </c>
      <c r="E754" s="73"/>
      <c r="F754" s="74"/>
      <c r="G754" s="74" t="s">
        <v>426</v>
      </c>
      <c r="H754" s="74"/>
      <c r="I754" s="74"/>
      <c r="J754" s="73"/>
      <c r="L754" s="73"/>
      <c r="Q754" s="73"/>
      <c r="R754" s="73"/>
      <c r="S754" s="73"/>
      <c r="T754" s="73"/>
      <c r="U754" s="73" t="s">
        <v>345</v>
      </c>
    </row>
    <row r="755" spans="2:21" s="72" customFormat="1" ht="12.75">
      <c r="B755" s="73" t="s">
        <v>344</v>
      </c>
      <c r="C755" s="73"/>
      <c r="D755" s="73" t="s">
        <v>419</v>
      </c>
      <c r="E755" s="73"/>
      <c r="F755" s="74"/>
      <c r="G755" s="74" t="s">
        <v>425</v>
      </c>
      <c r="H755" s="74"/>
      <c r="I755" s="74"/>
      <c r="J755" s="73"/>
      <c r="L755" s="73"/>
      <c r="Q755" s="73"/>
      <c r="R755" s="73"/>
      <c r="S755" s="73"/>
      <c r="T755" s="73"/>
      <c r="U755" s="73" t="s">
        <v>345</v>
      </c>
    </row>
    <row r="756" spans="2:21" s="72" customFormat="1" ht="12.75">
      <c r="B756" s="73" t="s">
        <v>344</v>
      </c>
      <c r="C756" s="73"/>
      <c r="D756" s="73" t="s">
        <v>419</v>
      </c>
      <c r="E756" s="73"/>
      <c r="F756" s="74"/>
      <c r="G756" s="74" t="s">
        <v>424</v>
      </c>
      <c r="H756" s="74"/>
      <c r="I756" s="74"/>
      <c r="J756" s="73"/>
      <c r="L756" s="73"/>
      <c r="Q756" s="73"/>
      <c r="R756" s="73"/>
      <c r="S756" s="73"/>
      <c r="T756" s="73"/>
      <c r="U756" s="73" t="s">
        <v>345</v>
      </c>
    </row>
    <row r="757" spans="2:21" s="72" customFormat="1" ht="12.75">
      <c r="B757" s="73" t="s">
        <v>344</v>
      </c>
      <c r="C757" s="73"/>
      <c r="D757" s="73" t="s">
        <v>419</v>
      </c>
      <c r="E757" s="73"/>
      <c r="F757" s="74"/>
      <c r="G757" s="74" t="s">
        <v>423</v>
      </c>
      <c r="H757" s="74"/>
      <c r="I757" s="74"/>
      <c r="J757" s="73"/>
      <c r="L757" s="73"/>
      <c r="Q757" s="73"/>
      <c r="R757" s="73"/>
      <c r="S757" s="73"/>
      <c r="T757" s="73"/>
      <c r="U757" s="73" t="s">
        <v>345</v>
      </c>
    </row>
    <row r="758" spans="2:21" s="72" customFormat="1" ht="12.75">
      <c r="B758" s="73" t="s">
        <v>344</v>
      </c>
      <c r="C758" s="73"/>
      <c r="D758" s="73" t="s">
        <v>419</v>
      </c>
      <c r="E758" s="73"/>
      <c r="F758" s="74"/>
      <c r="G758" s="74" t="s">
        <v>422</v>
      </c>
      <c r="H758" s="74"/>
      <c r="I758" s="74"/>
      <c r="J758" s="73"/>
      <c r="L758" s="73"/>
      <c r="Q758" s="73"/>
      <c r="R758" s="73"/>
      <c r="S758" s="73"/>
      <c r="T758" s="73"/>
      <c r="U758" s="73" t="s">
        <v>345</v>
      </c>
    </row>
    <row r="759" spans="2:21" s="72" customFormat="1" ht="12.75">
      <c r="B759" s="73" t="s">
        <v>344</v>
      </c>
      <c r="C759" s="73"/>
      <c r="D759" s="73" t="s">
        <v>416</v>
      </c>
      <c r="E759" s="73"/>
      <c r="F759" s="74"/>
      <c r="G759" s="74" t="s">
        <v>421</v>
      </c>
      <c r="H759" s="74"/>
      <c r="I759" s="74"/>
      <c r="J759" s="73"/>
      <c r="L759" s="73"/>
      <c r="Q759" s="73"/>
      <c r="R759" s="73"/>
      <c r="S759" s="73"/>
      <c r="T759" s="73"/>
      <c r="U759" s="73" t="s">
        <v>345</v>
      </c>
    </row>
    <row r="760" spans="2:21" s="72" customFormat="1" ht="12.75">
      <c r="B760" s="73" t="s">
        <v>344</v>
      </c>
      <c r="C760" s="73"/>
      <c r="D760" s="73" t="s">
        <v>410</v>
      </c>
      <c r="E760" s="73"/>
      <c r="F760" s="74"/>
      <c r="G760" s="74" t="s">
        <v>420</v>
      </c>
      <c r="H760" s="74"/>
      <c r="I760" s="74"/>
      <c r="J760" s="73"/>
      <c r="L760" s="73"/>
      <c r="Q760" s="73"/>
      <c r="R760" s="73"/>
      <c r="S760" s="73"/>
      <c r="T760" s="73"/>
      <c r="U760" s="73" t="s">
        <v>345</v>
      </c>
    </row>
    <row r="761" spans="2:21" s="72" customFormat="1" ht="12.75">
      <c r="B761" s="73" t="s">
        <v>344</v>
      </c>
      <c r="C761" s="73"/>
      <c r="D761" s="73" t="s">
        <v>419</v>
      </c>
      <c r="E761" s="73"/>
      <c r="F761" s="74"/>
      <c r="G761" s="74" t="s">
        <v>418</v>
      </c>
      <c r="H761" s="74"/>
      <c r="I761" s="74"/>
      <c r="J761" s="73"/>
      <c r="L761" s="73"/>
      <c r="Q761" s="73"/>
      <c r="R761" s="73"/>
      <c r="S761" s="73"/>
      <c r="T761" s="73"/>
      <c r="U761" s="73" t="s">
        <v>345</v>
      </c>
    </row>
    <row r="762" spans="2:21" s="72" customFormat="1" ht="12.75">
      <c r="B762" s="73" t="s">
        <v>344</v>
      </c>
      <c r="C762" s="73"/>
      <c r="D762" s="73" t="s">
        <v>410</v>
      </c>
      <c r="E762" s="73"/>
      <c r="F762" s="74"/>
      <c r="G762" s="74" t="s">
        <v>417</v>
      </c>
      <c r="H762" s="74"/>
      <c r="I762" s="74"/>
      <c r="J762" s="73"/>
      <c r="L762" s="73"/>
      <c r="Q762" s="73"/>
      <c r="R762" s="73"/>
      <c r="S762" s="73"/>
      <c r="T762" s="73"/>
      <c r="U762" s="73" t="s">
        <v>345</v>
      </c>
    </row>
    <row r="763" spans="2:21" s="72" customFormat="1" ht="12.75">
      <c r="B763" s="73" t="s">
        <v>344</v>
      </c>
      <c r="C763" s="73"/>
      <c r="D763" s="73" t="s">
        <v>416</v>
      </c>
      <c r="E763" s="73"/>
      <c r="F763" s="74"/>
      <c r="G763" s="74" t="s">
        <v>415</v>
      </c>
      <c r="H763" s="74"/>
      <c r="I763" s="74"/>
      <c r="J763" s="73"/>
      <c r="L763" s="73"/>
      <c r="Q763" s="73"/>
      <c r="R763" s="73"/>
      <c r="S763" s="73"/>
      <c r="T763" s="73"/>
      <c r="U763" s="73" t="s">
        <v>345</v>
      </c>
    </row>
    <row r="764" spans="2:21" s="72" customFormat="1" ht="12.75">
      <c r="B764" s="73" t="s">
        <v>344</v>
      </c>
      <c r="C764" s="73"/>
      <c r="D764" s="73"/>
      <c r="E764" s="73"/>
      <c r="F764" s="74"/>
      <c r="G764" s="74" t="s">
        <v>414</v>
      </c>
      <c r="H764" s="74"/>
      <c r="I764" s="74"/>
      <c r="J764" s="73"/>
      <c r="L764" s="73"/>
      <c r="Q764" s="73"/>
      <c r="R764" s="73"/>
      <c r="S764" s="73"/>
      <c r="T764" s="73"/>
      <c r="U764" s="73" t="s">
        <v>345</v>
      </c>
    </row>
    <row r="765" spans="2:21" s="72" customFormat="1" ht="12.75">
      <c r="B765" s="73" t="s">
        <v>344</v>
      </c>
      <c r="C765" s="73"/>
      <c r="D765" s="73"/>
      <c r="E765" s="73"/>
      <c r="F765" s="74"/>
      <c r="G765" s="74" t="s">
        <v>414</v>
      </c>
      <c r="H765" s="74"/>
      <c r="I765" s="74"/>
      <c r="J765" s="73"/>
      <c r="L765" s="73"/>
      <c r="Q765" s="73"/>
      <c r="R765" s="73"/>
      <c r="S765" s="73"/>
      <c r="T765" s="73"/>
      <c r="U765" s="73"/>
    </row>
    <row r="766" spans="2:21" s="72" customFormat="1" ht="12.75">
      <c r="B766" s="73" t="s">
        <v>344</v>
      </c>
      <c r="C766" s="73"/>
      <c r="D766" s="73" t="s">
        <v>410</v>
      </c>
      <c r="E766" s="73"/>
      <c r="F766" s="74"/>
      <c r="G766" s="74" t="s">
        <v>413</v>
      </c>
      <c r="H766" s="74"/>
      <c r="I766" s="74"/>
      <c r="J766" s="73"/>
      <c r="L766" s="73"/>
      <c r="Q766" s="73"/>
      <c r="R766" s="73"/>
      <c r="S766" s="73"/>
      <c r="T766" s="73"/>
    </row>
    <row r="767" spans="2:21" s="72" customFormat="1" ht="12.75">
      <c r="B767" s="73"/>
      <c r="C767" s="73"/>
      <c r="D767" s="73" t="s">
        <v>410</v>
      </c>
      <c r="E767" s="73"/>
      <c r="F767" s="74"/>
      <c r="G767" s="74" t="s">
        <v>412</v>
      </c>
      <c r="H767" s="74"/>
      <c r="I767" s="74"/>
      <c r="J767" s="73"/>
      <c r="L767" s="73"/>
      <c r="Q767" s="73"/>
      <c r="R767" s="73"/>
      <c r="S767" s="73"/>
      <c r="T767" s="73"/>
    </row>
    <row r="768" spans="2:21" s="72" customFormat="1" ht="12.75">
      <c r="B768" s="73"/>
      <c r="C768" s="73"/>
      <c r="D768" s="73" t="s">
        <v>410</v>
      </c>
      <c r="E768" s="73"/>
      <c r="F768" s="74"/>
      <c r="G768" s="74" t="s">
        <v>411</v>
      </c>
      <c r="H768" s="74"/>
      <c r="I768" s="74"/>
      <c r="J768" s="73"/>
      <c r="L768" s="73"/>
      <c r="Q768" s="73"/>
      <c r="R768" s="73"/>
      <c r="S768" s="73"/>
      <c r="T768" s="73"/>
    </row>
    <row r="769" spans="2:18" s="72" customFormat="1" ht="12.75">
      <c r="B769" s="73"/>
      <c r="C769" s="73"/>
      <c r="D769" s="73"/>
      <c r="E769" s="73"/>
      <c r="F769" s="74"/>
      <c r="G769" s="74"/>
      <c r="H769" s="74"/>
      <c r="I769" s="74"/>
      <c r="J769" s="73"/>
      <c r="L769" s="73"/>
      <c r="Q769" s="73"/>
      <c r="R769" s="73"/>
    </row>
    <row r="770" spans="2:18" s="72" customFormat="1" ht="12.75">
      <c r="B770" s="73" t="s">
        <v>343</v>
      </c>
      <c r="C770" s="73"/>
      <c r="D770" s="73" t="s">
        <v>410</v>
      </c>
      <c r="E770" s="73"/>
      <c r="F770" s="74"/>
      <c r="G770" s="74" t="s">
        <v>409</v>
      </c>
      <c r="H770" s="74"/>
      <c r="I770" s="74"/>
      <c r="J770" s="73"/>
      <c r="L770" s="73"/>
      <c r="Q770" s="73"/>
      <c r="R770" s="73"/>
    </row>
    <row r="771" spans="2:18" s="72" customFormat="1" ht="12.75">
      <c r="B771" s="73"/>
      <c r="C771" s="73"/>
      <c r="D771" s="73"/>
      <c r="E771" s="73"/>
      <c r="F771" s="74"/>
      <c r="G771" s="74"/>
      <c r="H771" s="74"/>
      <c r="I771" s="74"/>
      <c r="J771" s="73"/>
      <c r="L771" s="73"/>
      <c r="Q771" s="73"/>
      <c r="R771" s="73"/>
    </row>
    <row r="772" spans="2:18" s="72" customFormat="1">
      <c r="B772" s="73"/>
      <c r="C772" s="73"/>
      <c r="D772" s="73"/>
      <c r="E772" s="73"/>
      <c r="F772" s="62"/>
      <c r="G772" s="62" t="s">
        <v>408</v>
      </c>
      <c r="H772" s="62"/>
      <c r="I772" s="62"/>
      <c r="J772" s="73"/>
      <c r="L772" s="73"/>
      <c r="Q772" s="73"/>
      <c r="R772" s="73"/>
    </row>
    <row r="773" spans="2:18" s="72" customFormat="1">
      <c r="B773" s="73"/>
      <c r="C773" s="73"/>
      <c r="D773" s="73"/>
      <c r="E773" s="73"/>
      <c r="F773" s="62"/>
      <c r="G773" s="62" t="s">
        <v>407</v>
      </c>
      <c r="H773" s="62"/>
      <c r="I773" s="62"/>
      <c r="J773" s="73"/>
      <c r="L773" s="73"/>
      <c r="Q773" s="73"/>
      <c r="R773" s="73"/>
    </row>
    <row r="774" spans="2:18" s="72" customFormat="1">
      <c r="B774" s="73"/>
      <c r="C774" s="73"/>
      <c r="D774" s="73"/>
      <c r="E774" s="73"/>
      <c r="F774" s="62"/>
      <c r="G774" s="62" t="s">
        <v>406</v>
      </c>
      <c r="H774" s="62"/>
      <c r="I774" s="62"/>
      <c r="J774" s="73"/>
      <c r="L774" s="73"/>
      <c r="Q774" s="73"/>
      <c r="R774" s="73"/>
    </row>
    <row r="775" spans="2:18" s="72" customFormat="1">
      <c r="B775" s="73"/>
      <c r="C775" s="73"/>
      <c r="D775" s="73"/>
      <c r="E775" s="73"/>
      <c r="F775" s="62"/>
      <c r="G775" s="62"/>
      <c r="H775" s="62"/>
      <c r="I775" s="62"/>
      <c r="J775" s="73"/>
      <c r="L775" s="73"/>
      <c r="Q775" s="73"/>
      <c r="R775" s="73"/>
    </row>
    <row r="776" spans="2:18" s="72" customFormat="1">
      <c r="B776" s="73"/>
      <c r="C776" s="73"/>
      <c r="D776" s="73"/>
      <c r="E776" s="73"/>
      <c r="F776" s="62"/>
      <c r="G776" s="62" t="s">
        <v>405</v>
      </c>
      <c r="H776" s="62"/>
      <c r="I776" s="62"/>
      <c r="J776" s="73"/>
      <c r="L776" s="73"/>
      <c r="Q776" s="73"/>
      <c r="R776" s="73"/>
    </row>
    <row r="777" spans="2:18" s="72" customFormat="1">
      <c r="B777" s="73"/>
      <c r="C777" s="73"/>
      <c r="D777" s="73"/>
      <c r="E777" s="73"/>
      <c r="F777" s="62"/>
      <c r="G777" s="62" t="s">
        <v>404</v>
      </c>
      <c r="H777" s="62"/>
      <c r="I777" s="62"/>
      <c r="J777" s="73"/>
      <c r="L777" s="73"/>
      <c r="Q777" s="73"/>
      <c r="R777" s="73"/>
    </row>
    <row r="778" spans="2:18" s="72" customFormat="1">
      <c r="B778" s="73"/>
      <c r="C778" s="73"/>
      <c r="D778" s="73"/>
      <c r="E778" s="73"/>
      <c r="F778" s="62"/>
      <c r="G778" s="62" t="s">
        <v>403</v>
      </c>
      <c r="H778" s="62"/>
      <c r="I778" s="62"/>
      <c r="J778" s="73"/>
      <c r="L778" s="73"/>
      <c r="Q778" s="73"/>
      <c r="R778" s="73"/>
    </row>
    <row r="779" spans="2:18" s="72" customFormat="1">
      <c r="B779" s="73"/>
      <c r="C779" s="73"/>
      <c r="D779" s="73"/>
      <c r="E779" s="73"/>
      <c r="F779" s="62"/>
      <c r="G779" s="62" t="s">
        <v>402</v>
      </c>
      <c r="H779" s="62"/>
      <c r="I779" s="62"/>
      <c r="J779" s="73"/>
      <c r="L779" s="73"/>
      <c r="Q779" s="73"/>
      <c r="R779" s="73"/>
    </row>
    <row r="780" spans="2:18" s="72" customFormat="1">
      <c r="B780" s="73"/>
      <c r="C780" s="73"/>
      <c r="D780" s="73"/>
      <c r="E780" s="73"/>
      <c r="F780" s="62"/>
      <c r="G780" s="62" t="s">
        <v>401</v>
      </c>
      <c r="H780" s="62"/>
      <c r="I780" s="62"/>
      <c r="J780" s="73"/>
      <c r="L780" s="73"/>
      <c r="Q780" s="73"/>
      <c r="R780" s="73"/>
    </row>
    <row r="781" spans="2:18" s="72" customFormat="1">
      <c r="B781" s="73"/>
      <c r="C781" s="73"/>
      <c r="D781" s="73"/>
      <c r="E781" s="73"/>
      <c r="F781" s="62"/>
      <c r="G781" s="62" t="s">
        <v>400</v>
      </c>
      <c r="H781" s="62"/>
      <c r="I781" s="62"/>
      <c r="J781" s="73"/>
      <c r="L781" s="73"/>
      <c r="Q781" s="73"/>
      <c r="R781" s="73"/>
    </row>
    <row r="782" spans="2:18" s="72" customFormat="1">
      <c r="B782" s="73"/>
      <c r="C782" s="73"/>
      <c r="D782" s="73"/>
      <c r="E782" s="73"/>
      <c r="F782" s="62"/>
      <c r="G782" s="62" t="s">
        <v>399</v>
      </c>
      <c r="H782" s="62"/>
      <c r="I782" s="62"/>
      <c r="J782" s="73"/>
      <c r="L782" s="73"/>
      <c r="Q782" s="73"/>
      <c r="R782" s="73"/>
    </row>
    <row r="783" spans="2:18" s="72" customFormat="1">
      <c r="B783" s="73"/>
      <c r="C783" s="73"/>
      <c r="D783" s="73"/>
      <c r="E783" s="73"/>
      <c r="F783" s="62"/>
      <c r="G783" s="62" t="s">
        <v>398</v>
      </c>
      <c r="H783" s="62"/>
      <c r="I783" s="62"/>
      <c r="J783" s="73"/>
      <c r="L783" s="73"/>
      <c r="Q783" s="73"/>
      <c r="R783" s="73"/>
    </row>
    <row r="784" spans="2:18" s="72" customFormat="1" ht="12.75">
      <c r="B784" s="73"/>
      <c r="C784" s="73"/>
      <c r="D784" s="73"/>
      <c r="E784" s="73"/>
      <c r="F784" s="74"/>
      <c r="G784" s="74"/>
      <c r="H784" s="74"/>
      <c r="I784" s="74"/>
      <c r="J784" s="73"/>
      <c r="L784" s="73"/>
      <c r="Q784" s="73"/>
      <c r="R784" s="73"/>
    </row>
    <row r="785" spans="2:18" s="72" customFormat="1" ht="13.5" thickBot="1">
      <c r="B785" s="73"/>
      <c r="C785" s="73"/>
      <c r="D785" s="73"/>
      <c r="E785" s="73"/>
      <c r="F785" s="74"/>
      <c r="G785" s="74"/>
      <c r="H785" s="74"/>
      <c r="I785" s="74"/>
      <c r="J785" s="73"/>
      <c r="L785" s="73"/>
      <c r="Q785" s="73"/>
      <c r="R785" s="73"/>
    </row>
    <row r="786" spans="2:18" s="75" customFormat="1" ht="15" thickBot="1">
      <c r="B786" s="78"/>
      <c r="C786" s="77"/>
      <c r="F786" s="77"/>
      <c r="G786" s="78" t="s">
        <v>397</v>
      </c>
      <c r="H786" s="77"/>
      <c r="I786" s="77"/>
    </row>
    <row r="787" spans="2:18" s="75" customFormat="1" ht="15" thickBot="1">
      <c r="B787" s="78"/>
      <c r="C787" s="77"/>
      <c r="F787" s="77"/>
      <c r="G787" s="78" t="s">
        <v>396</v>
      </c>
      <c r="H787" s="77"/>
      <c r="I787" s="77"/>
    </row>
    <row r="788" spans="2:18" s="75" customFormat="1" ht="15" thickBot="1">
      <c r="B788" s="78"/>
      <c r="C788" s="77"/>
      <c r="F788" s="77"/>
      <c r="G788" s="78" t="s">
        <v>395</v>
      </c>
      <c r="H788" s="77"/>
      <c r="I788" s="77"/>
    </row>
    <row r="789" spans="2:18" s="75" customFormat="1" ht="15" thickBot="1">
      <c r="B789" s="78"/>
      <c r="C789" s="77"/>
      <c r="F789" s="77"/>
      <c r="G789" s="78" t="s">
        <v>394</v>
      </c>
      <c r="H789" s="77"/>
      <c r="I789" s="77"/>
    </row>
    <row r="790" spans="2:18" s="75" customFormat="1" ht="15" thickBot="1">
      <c r="B790" s="78"/>
      <c r="C790" s="77"/>
      <c r="F790" s="77"/>
      <c r="G790" s="78" t="s">
        <v>393</v>
      </c>
      <c r="H790" s="77"/>
      <c r="I790" s="77"/>
    </row>
    <row r="791" spans="2:18" s="75" customFormat="1" ht="15" thickBot="1">
      <c r="B791" s="78"/>
      <c r="C791" s="77"/>
      <c r="F791" s="77"/>
      <c r="G791" s="78"/>
      <c r="H791" s="77"/>
      <c r="I791" s="77"/>
    </row>
    <row r="792" spans="2:18" s="75" customFormat="1" ht="15" thickBot="1">
      <c r="B792" s="78"/>
      <c r="C792" s="77"/>
      <c r="F792" s="77"/>
      <c r="G792" s="78" t="s">
        <v>392</v>
      </c>
      <c r="H792" s="77"/>
      <c r="I792" s="77"/>
    </row>
    <row r="793" spans="2:18" s="75" customFormat="1" ht="15" thickBot="1">
      <c r="B793" s="78"/>
      <c r="C793" s="77"/>
      <c r="F793" s="77"/>
      <c r="G793" s="78" t="s">
        <v>391</v>
      </c>
      <c r="H793" s="77"/>
      <c r="I793" s="77"/>
    </row>
    <row r="794" spans="2:18" s="75" customFormat="1" ht="15" thickBot="1">
      <c r="B794" s="78"/>
      <c r="C794" s="77"/>
      <c r="F794" s="77"/>
      <c r="G794" s="78"/>
      <c r="H794" s="77"/>
      <c r="I794" s="77"/>
    </row>
    <row r="795" spans="2:18" s="75" customFormat="1" ht="15" thickBot="1">
      <c r="B795" s="78"/>
      <c r="C795" s="77"/>
      <c r="F795" s="77"/>
      <c r="G795" s="78" t="s">
        <v>390</v>
      </c>
      <c r="H795" s="77"/>
      <c r="I795" s="77"/>
    </row>
    <row r="796" spans="2:18" s="75" customFormat="1" ht="15" thickBot="1">
      <c r="B796" s="78"/>
      <c r="C796" s="77"/>
      <c r="F796" s="77"/>
      <c r="G796" s="78" t="s">
        <v>389</v>
      </c>
      <c r="H796" s="77"/>
      <c r="I796" s="77"/>
    </row>
    <row r="797" spans="2:18" s="75" customFormat="1" ht="15" thickBot="1">
      <c r="B797" s="78"/>
      <c r="C797" s="77"/>
      <c r="F797" s="77"/>
      <c r="G797" s="78" t="s">
        <v>388</v>
      </c>
      <c r="H797" s="77"/>
      <c r="I797" s="77"/>
    </row>
    <row r="798" spans="2:18" s="75" customFormat="1" ht="15" thickBot="1">
      <c r="B798" s="78"/>
      <c r="C798" s="77"/>
      <c r="F798" s="77"/>
      <c r="G798" s="78" t="s">
        <v>387</v>
      </c>
      <c r="H798" s="77"/>
      <c r="I798" s="77"/>
    </row>
    <row r="799" spans="2:18" s="75" customFormat="1" ht="15" thickBot="1">
      <c r="B799" s="78"/>
      <c r="C799" s="77"/>
      <c r="F799" s="77"/>
      <c r="G799" s="78" t="s">
        <v>386</v>
      </c>
      <c r="H799" s="77"/>
      <c r="I799" s="77"/>
    </row>
    <row r="800" spans="2:18" s="75" customFormat="1" ht="15" thickBot="1">
      <c r="B800" s="78"/>
      <c r="C800" s="77"/>
      <c r="F800" s="77"/>
      <c r="G800" s="78" t="s">
        <v>385</v>
      </c>
      <c r="H800" s="77"/>
      <c r="I800" s="77"/>
    </row>
    <row r="801" spans="2:24" s="75" customFormat="1" ht="27.75" thickBot="1">
      <c r="B801" s="78"/>
      <c r="C801" s="77"/>
      <c r="F801" s="77"/>
      <c r="G801" s="78" t="s">
        <v>384</v>
      </c>
      <c r="H801" s="77"/>
      <c r="I801" s="77"/>
    </row>
    <row r="802" spans="2:24" s="75" customFormat="1" ht="41.25" thickBot="1">
      <c r="B802" s="78"/>
      <c r="C802" s="77"/>
      <c r="F802" s="77"/>
      <c r="G802" s="78" t="s">
        <v>383</v>
      </c>
      <c r="H802" s="77"/>
      <c r="I802" s="77"/>
    </row>
    <row r="803" spans="2:24" s="75" customFormat="1" ht="15" thickBot="1">
      <c r="B803" s="78"/>
      <c r="C803" s="77"/>
      <c r="F803" s="77"/>
      <c r="G803" s="78" t="s">
        <v>382</v>
      </c>
      <c r="H803" s="77"/>
      <c r="I803" s="77"/>
    </row>
    <row r="804" spans="2:24" s="75" customFormat="1" ht="27.75" thickBot="1">
      <c r="B804" s="78"/>
      <c r="C804" s="77"/>
      <c r="F804" s="77"/>
      <c r="G804" s="78" t="s">
        <v>381</v>
      </c>
      <c r="H804" s="77"/>
      <c r="I804" s="77"/>
    </row>
    <row r="805" spans="2:24" s="75" customFormat="1" ht="15" thickBot="1">
      <c r="B805" s="78"/>
      <c r="C805" s="77"/>
      <c r="F805" s="77"/>
      <c r="G805" s="78"/>
      <c r="H805" s="77"/>
      <c r="I805" s="77"/>
    </row>
    <row r="806" spans="2:24" s="75" customFormat="1" ht="15" thickBot="1">
      <c r="B806" s="78"/>
      <c r="C806" s="77"/>
      <c r="F806" s="77"/>
      <c r="G806" s="78" t="s">
        <v>380</v>
      </c>
      <c r="H806" s="77"/>
      <c r="I806" s="77"/>
    </row>
    <row r="807" spans="2:24" s="75" customFormat="1" ht="15" thickBot="1">
      <c r="B807" s="78"/>
      <c r="C807" s="77"/>
      <c r="F807" s="77"/>
      <c r="G807" s="78" t="s">
        <v>379</v>
      </c>
      <c r="H807" s="77"/>
      <c r="I807" s="77"/>
    </row>
    <row r="808" spans="2:24" s="75" customFormat="1" ht="15" thickBot="1">
      <c r="B808" s="78"/>
      <c r="C808" s="77"/>
      <c r="F808" s="77"/>
      <c r="G808" s="78" t="s">
        <v>378</v>
      </c>
      <c r="H808" s="77"/>
      <c r="I808" s="77"/>
    </row>
    <row r="809" spans="2:24" s="75" customFormat="1" ht="15" thickBot="1">
      <c r="B809" s="78"/>
      <c r="C809" s="77"/>
      <c r="F809" s="77"/>
      <c r="G809" s="78" t="s">
        <v>377</v>
      </c>
      <c r="H809" s="77"/>
      <c r="I809" s="77"/>
    </row>
    <row r="810" spans="2:24" s="75" customFormat="1" ht="15" thickBot="1">
      <c r="B810" s="78"/>
      <c r="C810" s="77"/>
      <c r="F810" s="77"/>
      <c r="G810" s="78" t="s">
        <v>376</v>
      </c>
      <c r="H810" s="77"/>
      <c r="I810" s="77"/>
    </row>
    <row r="811" spans="2:24" s="75" customFormat="1" ht="15" thickBot="1">
      <c r="B811" s="78"/>
      <c r="C811" s="77"/>
      <c r="F811" s="77"/>
      <c r="G811" s="78" t="s">
        <v>375</v>
      </c>
      <c r="H811" s="77"/>
      <c r="I811" s="77"/>
    </row>
    <row r="812" spans="2:24" s="72" customFormat="1" ht="12.75">
      <c r="B812" s="73"/>
      <c r="C812" s="73"/>
      <c r="D812" s="73"/>
      <c r="E812" s="73"/>
      <c r="F812" s="74"/>
      <c r="G812" s="74"/>
      <c r="H812" s="74"/>
      <c r="I812" s="74"/>
      <c r="J812" s="73"/>
      <c r="L812" s="73"/>
      <c r="Q812" s="73"/>
      <c r="R812" s="73"/>
    </row>
    <row r="813" spans="2:24" s="72" customFormat="1" ht="12.75">
      <c r="B813" s="73"/>
      <c r="C813" s="73"/>
      <c r="D813" s="73"/>
      <c r="E813" s="73"/>
      <c r="F813" s="74"/>
      <c r="G813" s="74"/>
      <c r="H813" s="74"/>
      <c r="I813" s="74"/>
      <c r="J813" s="73"/>
      <c r="L813" s="73"/>
      <c r="Q813" s="73"/>
      <c r="R813" s="73"/>
    </row>
    <row r="814" spans="2:24" s="69" customFormat="1" ht="12.75">
      <c r="B814" s="70"/>
      <c r="C814" s="70"/>
      <c r="D814" s="70"/>
      <c r="E814" s="70"/>
      <c r="F814" s="70"/>
      <c r="G814" s="70"/>
      <c r="H814" s="70"/>
      <c r="I814" s="70"/>
      <c r="J814" s="70"/>
      <c r="L814" s="70"/>
      <c r="Q814" s="70"/>
      <c r="R814" s="70"/>
      <c r="S814" s="70"/>
      <c r="T814" s="70"/>
      <c r="U814" s="70"/>
      <c r="X814" s="70"/>
    </row>
    <row r="815" spans="2:24" s="66" customFormat="1" ht="12.75">
      <c r="B815" s="69" t="s">
        <v>344</v>
      </c>
      <c r="C815" s="69"/>
      <c r="D815" s="69" t="s">
        <v>346</v>
      </c>
      <c r="E815" s="69"/>
      <c r="F815" s="71"/>
      <c r="G815" s="71" t="s">
        <v>374</v>
      </c>
      <c r="H815" s="71"/>
      <c r="I815" s="71"/>
      <c r="J815" s="69"/>
      <c r="L815" s="69"/>
      <c r="Q815" s="69"/>
      <c r="R815" s="69"/>
      <c r="S815" s="69"/>
      <c r="T815" s="69"/>
      <c r="U815" s="69" t="s">
        <v>345</v>
      </c>
      <c r="X815" s="69" t="s">
        <v>361</v>
      </c>
    </row>
    <row r="816" spans="2:24" s="66" customFormat="1" ht="12.75">
      <c r="B816" s="69" t="s">
        <v>344</v>
      </c>
      <c r="C816" s="69"/>
      <c r="D816" s="69" t="s">
        <v>346</v>
      </c>
      <c r="E816" s="69"/>
      <c r="F816" s="71"/>
      <c r="G816" s="71" t="s">
        <v>373</v>
      </c>
      <c r="H816" s="71"/>
      <c r="I816" s="71"/>
      <c r="J816" s="69"/>
      <c r="L816" s="69"/>
      <c r="Q816" s="69"/>
      <c r="R816" s="69"/>
      <c r="S816" s="69"/>
      <c r="T816" s="69"/>
      <c r="U816" s="69" t="s">
        <v>345</v>
      </c>
      <c r="X816" s="69" t="s">
        <v>361</v>
      </c>
    </row>
    <row r="817" spans="2:24" s="66" customFormat="1" ht="12.75">
      <c r="B817" s="69" t="s">
        <v>344</v>
      </c>
      <c r="C817" s="69"/>
      <c r="D817" s="69" t="s">
        <v>346</v>
      </c>
      <c r="E817" s="69"/>
      <c r="F817" s="71"/>
      <c r="G817" s="71" t="s">
        <v>372</v>
      </c>
      <c r="H817" s="71"/>
      <c r="I817" s="71"/>
      <c r="J817" s="69"/>
      <c r="L817" s="69"/>
      <c r="Q817" s="69"/>
      <c r="R817" s="69"/>
      <c r="S817" s="69"/>
      <c r="T817" s="69"/>
      <c r="U817" s="69" t="s">
        <v>345</v>
      </c>
      <c r="X817" s="69" t="s">
        <v>361</v>
      </c>
    </row>
    <row r="818" spans="2:24" s="66" customFormat="1" ht="12.75">
      <c r="B818" s="69" t="s">
        <v>344</v>
      </c>
      <c r="C818" s="69"/>
      <c r="D818" s="69" t="s">
        <v>346</v>
      </c>
      <c r="E818" s="69"/>
      <c r="F818" s="71"/>
      <c r="G818" s="71" t="s">
        <v>371</v>
      </c>
      <c r="H818" s="71"/>
      <c r="I818" s="71"/>
      <c r="J818" s="69"/>
      <c r="L818" s="69"/>
      <c r="Q818" s="69"/>
      <c r="R818" s="69"/>
      <c r="S818" s="69"/>
      <c r="T818" s="69"/>
      <c r="U818" s="69" t="s">
        <v>345</v>
      </c>
      <c r="X818" s="69" t="s">
        <v>361</v>
      </c>
    </row>
    <row r="819" spans="2:24" s="66" customFormat="1" ht="12.75">
      <c r="B819" s="69" t="s">
        <v>344</v>
      </c>
      <c r="C819" s="69"/>
      <c r="D819" s="69" t="s">
        <v>346</v>
      </c>
      <c r="E819" s="69"/>
      <c r="F819" s="71"/>
      <c r="G819" s="71" t="s">
        <v>370</v>
      </c>
      <c r="H819" s="71"/>
      <c r="I819" s="71"/>
      <c r="J819" s="69"/>
      <c r="L819" s="69"/>
      <c r="Q819" s="69"/>
      <c r="R819" s="69"/>
      <c r="S819" s="69"/>
      <c r="T819" s="69"/>
      <c r="U819" s="69" t="s">
        <v>345</v>
      </c>
      <c r="X819" s="69" t="s">
        <v>361</v>
      </c>
    </row>
    <row r="820" spans="2:24" s="66" customFormat="1" ht="12.75">
      <c r="B820" s="69" t="s">
        <v>344</v>
      </c>
      <c r="C820" s="69"/>
      <c r="D820" s="69" t="s">
        <v>346</v>
      </c>
      <c r="E820" s="69"/>
      <c r="F820" s="71"/>
      <c r="G820" s="71" t="s">
        <v>369</v>
      </c>
      <c r="H820" s="71"/>
      <c r="I820" s="71"/>
      <c r="J820" s="69"/>
      <c r="L820" s="69"/>
      <c r="Q820" s="69"/>
      <c r="R820" s="69"/>
      <c r="S820" s="69"/>
      <c r="T820" s="69"/>
      <c r="U820" s="69" t="s">
        <v>345</v>
      </c>
      <c r="X820" s="69" t="s">
        <v>361</v>
      </c>
    </row>
    <row r="821" spans="2:24" s="66" customFormat="1" ht="12.75">
      <c r="B821" s="69" t="s">
        <v>344</v>
      </c>
      <c r="C821" s="69"/>
      <c r="D821" s="69" t="s">
        <v>346</v>
      </c>
      <c r="E821" s="69"/>
      <c r="F821" s="71"/>
      <c r="G821" s="71" t="s">
        <v>368</v>
      </c>
      <c r="H821" s="71"/>
      <c r="I821" s="71"/>
      <c r="J821" s="69"/>
      <c r="L821" s="69"/>
      <c r="Q821" s="69"/>
      <c r="R821" s="69"/>
      <c r="S821" s="69"/>
      <c r="T821" s="69"/>
      <c r="U821" s="69" t="s">
        <v>345</v>
      </c>
      <c r="X821" s="69" t="s">
        <v>361</v>
      </c>
    </row>
    <row r="822" spans="2:24" s="66" customFormat="1" ht="12.75">
      <c r="B822" s="69" t="s">
        <v>344</v>
      </c>
      <c r="C822" s="69"/>
      <c r="D822" s="69" t="s">
        <v>346</v>
      </c>
      <c r="E822" s="69"/>
      <c r="F822" s="71"/>
      <c r="G822" s="71" t="s">
        <v>367</v>
      </c>
      <c r="H822" s="71"/>
      <c r="I822" s="71"/>
      <c r="J822" s="69"/>
      <c r="L822" s="69"/>
      <c r="Q822" s="69"/>
      <c r="R822" s="69"/>
      <c r="S822" s="69"/>
      <c r="T822" s="69"/>
      <c r="U822" s="69" t="s">
        <v>345</v>
      </c>
      <c r="X822" s="69" t="s">
        <v>361</v>
      </c>
    </row>
    <row r="823" spans="2:24" s="66" customFormat="1" ht="12.75">
      <c r="B823" s="69" t="s">
        <v>344</v>
      </c>
      <c r="C823" s="69"/>
      <c r="D823" s="69" t="s">
        <v>346</v>
      </c>
      <c r="E823" s="69"/>
      <c r="F823" s="71"/>
      <c r="G823" s="71" t="s">
        <v>366</v>
      </c>
      <c r="H823" s="71"/>
      <c r="I823" s="71"/>
      <c r="J823" s="69"/>
      <c r="L823" s="69"/>
      <c r="Q823" s="69"/>
      <c r="R823" s="69"/>
      <c r="S823" s="69"/>
      <c r="T823" s="69"/>
      <c r="U823" s="69" t="s">
        <v>345</v>
      </c>
      <c r="X823" s="69" t="s">
        <v>361</v>
      </c>
    </row>
    <row r="824" spans="2:24" s="66" customFormat="1" ht="12.75">
      <c r="B824" s="69" t="s">
        <v>344</v>
      </c>
      <c r="C824" s="69"/>
      <c r="D824" s="69" t="s">
        <v>346</v>
      </c>
      <c r="E824" s="69"/>
      <c r="F824" s="71"/>
      <c r="G824" s="71" t="s">
        <v>365</v>
      </c>
      <c r="H824" s="71"/>
      <c r="I824" s="71"/>
      <c r="J824" s="69"/>
      <c r="L824" s="69"/>
      <c r="Q824" s="69"/>
      <c r="R824" s="69"/>
      <c r="S824" s="69"/>
      <c r="T824" s="69"/>
      <c r="U824" s="69" t="s">
        <v>345</v>
      </c>
      <c r="X824" s="69" t="s">
        <v>361</v>
      </c>
    </row>
    <row r="825" spans="2:24" s="66" customFormat="1" ht="12.75">
      <c r="B825" s="69" t="s">
        <v>344</v>
      </c>
      <c r="C825" s="69"/>
      <c r="D825" s="69" t="s">
        <v>346</v>
      </c>
      <c r="E825" s="69"/>
      <c r="F825" s="71"/>
      <c r="G825" s="71" t="s">
        <v>364</v>
      </c>
      <c r="H825" s="71"/>
      <c r="I825" s="71"/>
      <c r="J825" s="69"/>
      <c r="L825" s="69"/>
      <c r="Q825" s="69"/>
      <c r="R825" s="69"/>
      <c r="S825" s="69"/>
      <c r="T825" s="69"/>
      <c r="U825" s="69" t="s">
        <v>345</v>
      </c>
      <c r="X825" s="69" t="s">
        <v>361</v>
      </c>
    </row>
    <row r="826" spans="2:24" s="66" customFormat="1" ht="12.75">
      <c r="B826" s="69" t="s">
        <v>344</v>
      </c>
      <c r="C826" s="69"/>
      <c r="D826" s="69" t="s">
        <v>346</v>
      </c>
      <c r="E826" s="69"/>
      <c r="F826" s="71"/>
      <c r="G826" s="71" t="s">
        <v>363</v>
      </c>
      <c r="H826" s="71"/>
      <c r="I826" s="71"/>
      <c r="J826" s="69"/>
      <c r="L826" s="69"/>
      <c r="Q826" s="69"/>
      <c r="R826" s="69"/>
      <c r="S826" s="69"/>
      <c r="T826" s="69"/>
      <c r="U826" s="69" t="s">
        <v>345</v>
      </c>
      <c r="X826" s="69" t="s">
        <v>361</v>
      </c>
    </row>
    <row r="827" spans="2:24" s="66" customFormat="1" ht="12.75">
      <c r="B827" s="69" t="s">
        <v>344</v>
      </c>
      <c r="C827" s="69"/>
      <c r="D827" s="69" t="s">
        <v>346</v>
      </c>
      <c r="E827" s="69"/>
      <c r="F827" s="71"/>
      <c r="G827" s="71" t="s">
        <v>362</v>
      </c>
      <c r="H827" s="71"/>
      <c r="I827" s="71"/>
      <c r="J827" s="69"/>
      <c r="L827" s="69"/>
      <c r="Q827" s="69"/>
      <c r="R827" s="69"/>
      <c r="S827" s="69"/>
      <c r="T827" s="69"/>
      <c r="U827" s="69" t="s">
        <v>345</v>
      </c>
      <c r="X827" s="69" t="s">
        <v>361</v>
      </c>
    </row>
    <row r="828" spans="2:24" s="66" customFormat="1" ht="12.75">
      <c r="B828" s="69" t="s">
        <v>344</v>
      </c>
      <c r="C828" s="69"/>
      <c r="D828" s="69" t="s">
        <v>346</v>
      </c>
      <c r="E828" s="69"/>
      <c r="F828" s="71"/>
      <c r="G828" s="71"/>
      <c r="H828" s="71"/>
      <c r="I828" s="71"/>
      <c r="J828" s="69"/>
      <c r="L828" s="69"/>
      <c r="Q828" s="69"/>
      <c r="R828" s="69"/>
      <c r="S828" s="69"/>
      <c r="T828" s="69"/>
      <c r="U828" s="69" t="s">
        <v>345</v>
      </c>
      <c r="X828" s="69" t="s">
        <v>361</v>
      </c>
    </row>
    <row r="829" spans="2:24" s="66" customFormat="1" ht="12.75">
      <c r="B829" s="69" t="s">
        <v>344</v>
      </c>
      <c r="C829" s="69"/>
      <c r="D829" s="69" t="s">
        <v>346</v>
      </c>
      <c r="E829" s="69"/>
      <c r="F829" s="71"/>
      <c r="G829" s="71"/>
      <c r="H829" s="71"/>
      <c r="I829" s="71"/>
      <c r="J829" s="69"/>
      <c r="L829" s="69"/>
      <c r="Q829" s="69"/>
      <c r="R829" s="69"/>
      <c r="S829" s="69"/>
      <c r="T829" s="69"/>
      <c r="U829" s="69" t="s">
        <v>345</v>
      </c>
      <c r="X829" s="69" t="s">
        <v>361</v>
      </c>
    </row>
    <row r="830" spans="2:24" s="66" customFormat="1" ht="12.75">
      <c r="B830" s="69" t="s">
        <v>344</v>
      </c>
      <c r="C830" s="69"/>
      <c r="D830" s="69" t="s">
        <v>346</v>
      </c>
      <c r="E830" s="69"/>
      <c r="F830" s="71"/>
      <c r="G830" s="71"/>
      <c r="H830" s="71"/>
      <c r="I830" s="71"/>
      <c r="J830" s="69"/>
      <c r="L830" s="69"/>
      <c r="Q830" s="69"/>
      <c r="R830" s="69"/>
      <c r="S830" s="69"/>
      <c r="T830" s="69"/>
      <c r="U830" s="69" t="s">
        <v>345</v>
      </c>
      <c r="X830" s="69" t="s">
        <v>361</v>
      </c>
    </row>
    <row r="831" spans="2:24" s="66" customFormat="1" ht="12.75">
      <c r="B831" s="69" t="s">
        <v>344</v>
      </c>
      <c r="C831" s="69"/>
      <c r="D831" s="69" t="s">
        <v>346</v>
      </c>
      <c r="E831" s="69"/>
      <c r="F831" s="71"/>
      <c r="G831" s="71" t="s">
        <v>360</v>
      </c>
      <c r="H831" s="71"/>
      <c r="I831" s="71"/>
      <c r="J831" s="69"/>
      <c r="L831" s="69"/>
      <c r="Q831" s="69"/>
      <c r="R831" s="69"/>
      <c r="S831" s="69"/>
      <c r="T831" s="69"/>
      <c r="U831" s="69" t="s">
        <v>345</v>
      </c>
      <c r="X831" s="69" t="s">
        <v>355</v>
      </c>
    </row>
    <row r="832" spans="2:24" s="66" customFormat="1" ht="12.75">
      <c r="B832" s="69" t="s">
        <v>344</v>
      </c>
      <c r="C832" s="69"/>
      <c r="D832" s="69" t="s">
        <v>346</v>
      </c>
      <c r="E832" s="69"/>
      <c r="F832" s="71"/>
      <c r="G832" s="71" t="s">
        <v>359</v>
      </c>
      <c r="H832" s="71"/>
      <c r="I832" s="71"/>
      <c r="J832" s="69"/>
      <c r="L832" s="69"/>
      <c r="Q832" s="69"/>
      <c r="R832" s="69"/>
      <c r="S832" s="69"/>
      <c r="T832" s="69"/>
      <c r="U832" s="69" t="s">
        <v>345</v>
      </c>
      <c r="X832" s="69" t="s">
        <v>355</v>
      </c>
    </row>
    <row r="833" spans="2:24" s="66" customFormat="1" ht="12.75">
      <c r="B833" s="69" t="s">
        <v>344</v>
      </c>
      <c r="C833" s="69"/>
      <c r="D833" s="69" t="s">
        <v>346</v>
      </c>
      <c r="E833" s="69"/>
      <c r="F833" s="71"/>
      <c r="G833" s="71" t="s">
        <v>358</v>
      </c>
      <c r="H833" s="71"/>
      <c r="I833" s="71"/>
      <c r="J833" s="69"/>
      <c r="L833" s="69"/>
      <c r="Q833" s="69"/>
      <c r="R833" s="69"/>
      <c r="S833" s="69"/>
      <c r="T833" s="69"/>
      <c r="U833" s="69" t="s">
        <v>345</v>
      </c>
      <c r="X833" s="69" t="s">
        <v>355</v>
      </c>
    </row>
    <row r="834" spans="2:24" s="66" customFormat="1" ht="12.75">
      <c r="B834" s="69" t="s">
        <v>344</v>
      </c>
      <c r="C834" s="69"/>
      <c r="D834" s="69" t="s">
        <v>346</v>
      </c>
      <c r="E834" s="69"/>
      <c r="F834" s="71"/>
      <c r="G834" s="71" t="s">
        <v>357</v>
      </c>
      <c r="H834" s="71"/>
      <c r="I834" s="71"/>
      <c r="J834" s="69"/>
      <c r="L834" s="69"/>
      <c r="Q834" s="69"/>
      <c r="R834" s="69"/>
      <c r="S834" s="69"/>
      <c r="T834" s="69"/>
      <c r="U834" s="69" t="s">
        <v>345</v>
      </c>
      <c r="X834" s="69" t="s">
        <v>355</v>
      </c>
    </row>
    <row r="835" spans="2:24" s="66" customFormat="1" ht="12.75">
      <c r="B835" s="69" t="s">
        <v>344</v>
      </c>
      <c r="C835" s="69"/>
      <c r="D835" s="69" t="s">
        <v>346</v>
      </c>
      <c r="E835" s="69"/>
      <c r="F835" s="71"/>
      <c r="G835" s="71"/>
      <c r="H835" s="71"/>
      <c r="I835" s="71"/>
      <c r="J835" s="69"/>
      <c r="L835" s="69"/>
      <c r="Q835" s="69"/>
      <c r="R835" s="69"/>
      <c r="S835" s="69"/>
      <c r="T835" s="69"/>
      <c r="U835" s="69" t="s">
        <v>345</v>
      </c>
      <c r="X835" s="69" t="s">
        <v>355</v>
      </c>
    </row>
    <row r="836" spans="2:24" s="66" customFormat="1" ht="12.75">
      <c r="B836" s="69" t="s">
        <v>344</v>
      </c>
      <c r="C836" s="69"/>
      <c r="D836" s="69" t="s">
        <v>346</v>
      </c>
      <c r="E836" s="69"/>
      <c r="F836" s="71"/>
      <c r="G836" s="71"/>
      <c r="H836" s="71"/>
      <c r="I836" s="71"/>
      <c r="J836" s="69"/>
      <c r="L836" s="69"/>
      <c r="Q836" s="69"/>
      <c r="R836" s="69"/>
      <c r="S836" s="69"/>
      <c r="T836" s="69"/>
      <c r="U836" s="69" t="s">
        <v>345</v>
      </c>
      <c r="X836" s="69" t="s">
        <v>355</v>
      </c>
    </row>
    <row r="837" spans="2:24" s="66" customFormat="1" ht="12.75">
      <c r="B837" s="69" t="s">
        <v>344</v>
      </c>
      <c r="C837" s="69"/>
      <c r="D837" s="69" t="s">
        <v>346</v>
      </c>
      <c r="E837" s="69"/>
      <c r="F837" s="71"/>
      <c r="G837" s="71"/>
      <c r="H837" s="71"/>
      <c r="I837" s="71"/>
      <c r="J837" s="69"/>
      <c r="L837" s="69"/>
      <c r="Q837" s="69"/>
      <c r="R837" s="69"/>
      <c r="S837" s="69"/>
      <c r="T837" s="69"/>
      <c r="U837" s="69" t="s">
        <v>345</v>
      </c>
      <c r="X837" s="69" t="s">
        <v>355</v>
      </c>
    </row>
    <row r="838" spans="2:24" s="66" customFormat="1" ht="12.75">
      <c r="B838" s="69" t="s">
        <v>344</v>
      </c>
      <c r="C838" s="69"/>
      <c r="D838" s="69" t="s">
        <v>346</v>
      </c>
      <c r="E838" s="69"/>
      <c r="F838" s="71"/>
      <c r="G838" s="71"/>
      <c r="H838" s="71"/>
      <c r="I838" s="71"/>
      <c r="J838" s="69"/>
      <c r="L838" s="69"/>
      <c r="Q838" s="69"/>
      <c r="R838" s="69"/>
      <c r="S838" s="69"/>
      <c r="T838" s="69"/>
      <c r="U838" s="76" t="s">
        <v>356</v>
      </c>
      <c r="X838" s="69" t="s">
        <v>355</v>
      </c>
    </row>
    <row r="839" spans="2:24" s="66" customFormat="1" ht="12.75">
      <c r="B839" s="69" t="s">
        <v>344</v>
      </c>
      <c r="C839" s="69"/>
      <c r="D839" s="69" t="s">
        <v>346</v>
      </c>
      <c r="E839" s="69"/>
      <c r="F839" s="71"/>
      <c r="G839" s="71"/>
      <c r="H839" s="71"/>
      <c r="I839" s="71"/>
      <c r="J839" s="69"/>
      <c r="L839" s="69"/>
      <c r="Q839" s="69"/>
      <c r="R839" s="69"/>
      <c r="S839" s="69"/>
      <c r="T839" s="69"/>
      <c r="U839" s="69" t="s">
        <v>345</v>
      </c>
      <c r="X839" s="69"/>
    </row>
    <row r="840" spans="2:24" s="66" customFormat="1" ht="12.75">
      <c r="B840" s="69" t="s">
        <v>344</v>
      </c>
      <c r="C840" s="69"/>
      <c r="D840" s="69" t="s">
        <v>346</v>
      </c>
      <c r="E840" s="69"/>
      <c r="F840" s="71"/>
      <c r="G840" s="71" t="s">
        <v>354</v>
      </c>
      <c r="H840" s="71"/>
      <c r="I840" s="71"/>
      <c r="J840" s="69"/>
      <c r="L840" s="69"/>
      <c r="Q840" s="69"/>
      <c r="R840" s="69"/>
      <c r="S840" s="69"/>
      <c r="T840" s="69"/>
      <c r="U840" s="69" t="s">
        <v>345</v>
      </c>
      <c r="X840" s="69" t="s">
        <v>353</v>
      </c>
    </row>
    <row r="841" spans="2:24" s="66" customFormat="1" ht="12.75">
      <c r="B841" s="69" t="s">
        <v>344</v>
      </c>
      <c r="C841" s="69"/>
      <c r="D841" s="69" t="s">
        <v>346</v>
      </c>
      <c r="E841" s="69"/>
      <c r="F841" s="71"/>
      <c r="G841" s="71"/>
      <c r="H841" s="71"/>
      <c r="I841" s="71"/>
      <c r="J841" s="69"/>
      <c r="L841" s="69"/>
      <c r="Q841" s="69"/>
      <c r="R841" s="69"/>
      <c r="S841" s="69"/>
      <c r="T841" s="69"/>
      <c r="U841" s="69" t="s">
        <v>345</v>
      </c>
      <c r="X841" s="69"/>
    </row>
    <row r="842" spans="2:24" s="66" customFormat="1" ht="12.75">
      <c r="B842" s="69" t="s">
        <v>344</v>
      </c>
      <c r="C842" s="69"/>
      <c r="D842" s="69" t="s">
        <v>346</v>
      </c>
      <c r="E842" s="69"/>
      <c r="G842" s="66" t="s">
        <v>352</v>
      </c>
      <c r="J842" s="69"/>
      <c r="L842" s="69"/>
      <c r="Q842" s="69"/>
      <c r="R842" s="69"/>
      <c r="S842" s="69"/>
      <c r="T842" s="69"/>
      <c r="U842" s="69" t="s">
        <v>345</v>
      </c>
      <c r="X842" s="69" t="s">
        <v>347</v>
      </c>
    </row>
    <row r="843" spans="2:24" s="66" customFormat="1" ht="12.75">
      <c r="B843" s="69" t="s">
        <v>344</v>
      </c>
      <c r="C843" s="69"/>
      <c r="D843" s="69" t="s">
        <v>346</v>
      </c>
      <c r="E843" s="69"/>
      <c r="G843" s="66" t="s">
        <v>351</v>
      </c>
      <c r="J843" s="69"/>
      <c r="L843" s="69"/>
      <c r="Q843" s="69"/>
      <c r="R843" s="69"/>
      <c r="S843" s="69"/>
      <c r="T843" s="69"/>
      <c r="U843" s="69" t="s">
        <v>345</v>
      </c>
      <c r="X843" s="69" t="s">
        <v>347</v>
      </c>
    </row>
    <row r="844" spans="2:24" s="66" customFormat="1" ht="12.75">
      <c r="B844" s="69" t="s">
        <v>344</v>
      </c>
      <c r="C844" s="69"/>
      <c r="D844" s="69" t="s">
        <v>346</v>
      </c>
      <c r="E844" s="69"/>
      <c r="F844" s="71"/>
      <c r="G844" s="71" t="s">
        <v>350</v>
      </c>
      <c r="H844" s="71"/>
      <c r="I844" s="71"/>
      <c r="J844" s="69"/>
      <c r="L844" s="69"/>
      <c r="Q844" s="69"/>
      <c r="R844" s="69"/>
      <c r="S844" s="69"/>
      <c r="T844" s="69"/>
      <c r="U844" s="69" t="s">
        <v>345</v>
      </c>
      <c r="X844" s="69" t="s">
        <v>347</v>
      </c>
    </row>
    <row r="845" spans="2:24" s="66" customFormat="1" ht="12.75">
      <c r="B845" s="69" t="s">
        <v>344</v>
      </c>
      <c r="C845" s="69"/>
      <c r="D845" s="69" t="s">
        <v>346</v>
      </c>
      <c r="E845" s="69"/>
      <c r="F845" s="71"/>
      <c r="G845" s="71" t="s">
        <v>349</v>
      </c>
      <c r="H845" s="71"/>
      <c r="I845" s="71"/>
      <c r="J845" s="69"/>
      <c r="L845" s="69"/>
      <c r="Q845" s="69"/>
      <c r="R845" s="69"/>
      <c r="S845" s="69"/>
      <c r="T845" s="69"/>
      <c r="U845" s="69" t="s">
        <v>345</v>
      </c>
      <c r="X845" s="69" t="s">
        <v>347</v>
      </c>
    </row>
    <row r="846" spans="2:24" s="66" customFormat="1" ht="12.75">
      <c r="B846" s="69" t="s">
        <v>344</v>
      </c>
      <c r="C846" s="69"/>
      <c r="D846" s="69" t="s">
        <v>346</v>
      </c>
      <c r="E846" s="69"/>
      <c r="F846" s="71"/>
      <c r="G846" s="71" t="s">
        <v>348</v>
      </c>
      <c r="H846" s="71"/>
      <c r="I846" s="71"/>
      <c r="J846" s="69"/>
      <c r="L846" s="69"/>
      <c r="Q846" s="69"/>
      <c r="R846" s="69"/>
      <c r="S846" s="69"/>
      <c r="T846" s="69"/>
      <c r="U846" s="69" t="s">
        <v>345</v>
      </c>
      <c r="X846" s="69" t="s">
        <v>347</v>
      </c>
    </row>
    <row r="847" spans="2:24" s="66" customFormat="1" ht="12.75">
      <c r="B847" s="69" t="s">
        <v>344</v>
      </c>
      <c r="C847" s="69"/>
      <c r="D847" s="69" t="s">
        <v>346</v>
      </c>
      <c r="E847" s="69"/>
      <c r="F847" s="71"/>
      <c r="G847" s="71"/>
      <c r="H847" s="71"/>
      <c r="I847" s="71"/>
      <c r="J847" s="69"/>
      <c r="L847" s="69"/>
      <c r="Q847" s="69"/>
      <c r="R847" s="69"/>
      <c r="S847" s="69"/>
      <c r="T847" s="69"/>
      <c r="U847" s="69" t="s">
        <v>345</v>
      </c>
      <c r="X847" s="69" t="s">
        <v>347</v>
      </c>
    </row>
    <row r="848" spans="2:24" s="66" customFormat="1" ht="12.75">
      <c r="B848" s="69" t="s">
        <v>344</v>
      </c>
      <c r="C848" s="69"/>
      <c r="D848" s="69" t="s">
        <v>346</v>
      </c>
      <c r="E848" s="69"/>
      <c r="F848" s="71"/>
      <c r="G848" s="71"/>
      <c r="H848" s="71"/>
      <c r="I848" s="71"/>
      <c r="J848" s="69"/>
      <c r="L848" s="69"/>
      <c r="Q848" s="69"/>
      <c r="R848" s="69"/>
      <c r="S848" s="69"/>
      <c r="T848" s="69"/>
      <c r="U848" s="69" t="s">
        <v>345</v>
      </c>
      <c r="X848" s="69"/>
    </row>
    <row r="849" spans="2:24" s="66" customFormat="1" ht="12.75">
      <c r="B849" s="69" t="s">
        <v>344</v>
      </c>
      <c r="C849" s="69"/>
      <c r="D849" s="69" t="s">
        <v>346</v>
      </c>
      <c r="E849" s="69"/>
      <c r="F849" s="71"/>
      <c r="G849" s="71"/>
      <c r="H849" s="71"/>
      <c r="I849" s="71"/>
      <c r="J849" s="69"/>
      <c r="L849" s="69"/>
      <c r="Q849" s="69"/>
      <c r="R849" s="69"/>
      <c r="S849" s="69"/>
      <c r="T849" s="69"/>
      <c r="U849" s="69" t="s">
        <v>345</v>
      </c>
      <c r="X849" s="69"/>
    </row>
    <row r="850" spans="2:24" s="66" customFormat="1" ht="12.75">
      <c r="B850" s="69" t="s">
        <v>344</v>
      </c>
      <c r="C850" s="69"/>
      <c r="D850" s="69" t="s">
        <v>346</v>
      </c>
      <c r="E850" s="69"/>
      <c r="F850" s="71"/>
      <c r="G850" s="71"/>
      <c r="H850" s="71"/>
      <c r="I850" s="71"/>
      <c r="J850" s="69"/>
      <c r="L850" s="69"/>
      <c r="Q850" s="69"/>
      <c r="R850" s="69"/>
      <c r="S850" s="69"/>
      <c r="T850" s="69"/>
      <c r="U850" s="69" t="s">
        <v>345</v>
      </c>
      <c r="X850" s="69"/>
    </row>
    <row r="851" spans="2:24" s="66" customFormat="1" ht="12.75">
      <c r="B851" s="69" t="s">
        <v>344</v>
      </c>
      <c r="C851" s="69"/>
      <c r="D851" s="69" t="s">
        <v>346</v>
      </c>
      <c r="E851" s="69"/>
      <c r="F851" s="71"/>
      <c r="G851" s="71"/>
      <c r="H851" s="71"/>
      <c r="I851" s="71"/>
      <c r="J851" s="69"/>
      <c r="L851" s="69"/>
      <c r="Q851" s="69"/>
      <c r="R851" s="69"/>
      <c r="S851" s="69"/>
      <c r="T851" s="69"/>
      <c r="U851" s="69" t="s">
        <v>345</v>
      </c>
      <c r="X851" s="69"/>
    </row>
    <row r="852" spans="2:24" s="66" customFormat="1" ht="12.75">
      <c r="B852" s="69" t="s">
        <v>344</v>
      </c>
      <c r="C852" s="69"/>
      <c r="D852" s="69"/>
      <c r="E852" s="69"/>
      <c r="F852" s="71"/>
      <c r="G852" s="71"/>
      <c r="H852" s="71"/>
      <c r="I852" s="71"/>
      <c r="J852" s="69"/>
      <c r="L852" s="69"/>
      <c r="Q852" s="69"/>
      <c r="R852" s="69"/>
      <c r="S852" s="69"/>
      <c r="T852" s="69"/>
      <c r="U852" s="69" t="s">
        <v>345</v>
      </c>
      <c r="X852" s="69"/>
    </row>
    <row r="853" spans="2:24" s="66" customFormat="1" ht="12.75">
      <c r="B853" s="69" t="s">
        <v>344</v>
      </c>
      <c r="C853" s="69"/>
      <c r="D853" s="69"/>
      <c r="E853" s="69"/>
      <c r="F853" s="71"/>
      <c r="G853" s="71"/>
      <c r="H853" s="71"/>
      <c r="I853" s="71"/>
      <c r="J853" s="69"/>
      <c r="L853" s="69"/>
      <c r="Q853" s="69"/>
      <c r="R853" s="69"/>
      <c r="S853" s="69"/>
      <c r="T853" s="69"/>
      <c r="U853" s="69" t="s">
        <v>345</v>
      </c>
      <c r="X853" s="69"/>
    </row>
    <row r="854" spans="2:24" s="66" customFormat="1" ht="12.75">
      <c r="B854" s="69" t="s">
        <v>344</v>
      </c>
      <c r="C854" s="69"/>
      <c r="D854" s="69"/>
      <c r="E854" s="69"/>
      <c r="F854" s="71"/>
      <c r="G854" s="71"/>
      <c r="H854" s="71"/>
      <c r="I854" s="71"/>
      <c r="J854" s="69"/>
      <c r="L854" s="69"/>
      <c r="Q854" s="69"/>
      <c r="R854" s="69"/>
      <c r="S854" s="69"/>
      <c r="T854" s="69"/>
      <c r="U854" s="69" t="s">
        <v>345</v>
      </c>
      <c r="X854" s="69"/>
    </row>
    <row r="855" spans="2:24" s="66" customFormat="1" ht="12.75">
      <c r="B855" s="69" t="s">
        <v>344</v>
      </c>
      <c r="C855" s="69"/>
      <c r="D855" s="69"/>
      <c r="E855" s="69"/>
      <c r="F855" s="71"/>
      <c r="G855" s="71"/>
      <c r="H855" s="71"/>
      <c r="I855" s="71"/>
      <c r="J855" s="69"/>
      <c r="L855" s="69"/>
      <c r="Q855" s="69"/>
      <c r="R855" s="69"/>
      <c r="S855" s="69"/>
      <c r="T855" s="69"/>
      <c r="U855" s="69" t="s">
        <v>345</v>
      </c>
      <c r="X855" s="69"/>
    </row>
    <row r="856" spans="2:24" s="66" customFormat="1" ht="12.75">
      <c r="B856" s="69" t="s">
        <v>344</v>
      </c>
      <c r="C856" s="69"/>
      <c r="D856" s="69"/>
      <c r="E856" s="69"/>
      <c r="F856" s="71"/>
      <c r="G856" s="71"/>
      <c r="H856" s="71"/>
      <c r="I856" s="71"/>
      <c r="J856" s="69"/>
      <c r="L856" s="69"/>
      <c r="Q856" s="69"/>
      <c r="R856" s="69"/>
      <c r="S856" s="69"/>
      <c r="T856" s="69"/>
      <c r="U856" s="69" t="s">
        <v>345</v>
      </c>
      <c r="X856" s="69"/>
    </row>
    <row r="857" spans="2:24" s="66" customFormat="1" ht="12.75">
      <c r="B857" s="69" t="s">
        <v>344</v>
      </c>
      <c r="C857" s="69"/>
      <c r="D857" s="69"/>
      <c r="E857" s="69"/>
      <c r="F857" s="71"/>
      <c r="G857" s="71"/>
      <c r="H857" s="71"/>
      <c r="I857" s="71"/>
      <c r="J857" s="69"/>
      <c r="L857" s="69"/>
      <c r="Q857" s="69"/>
      <c r="R857" s="69"/>
      <c r="S857" s="69"/>
      <c r="T857" s="69"/>
      <c r="U857" s="69" t="s">
        <v>345</v>
      </c>
      <c r="X857" s="69"/>
    </row>
    <row r="858" spans="2:24" s="66" customFormat="1" ht="12.75">
      <c r="B858" s="69" t="s">
        <v>344</v>
      </c>
      <c r="C858" s="69"/>
      <c r="D858" s="69"/>
      <c r="E858" s="69"/>
      <c r="F858" s="71"/>
      <c r="G858" s="71"/>
      <c r="H858" s="71"/>
      <c r="I858" s="71"/>
      <c r="J858" s="69"/>
      <c r="L858" s="69"/>
      <c r="Q858" s="69"/>
      <c r="R858" s="69"/>
      <c r="S858" s="69"/>
      <c r="T858" s="69"/>
      <c r="U858" s="69" t="s">
        <v>345</v>
      </c>
      <c r="X858" s="69"/>
    </row>
    <row r="859" spans="2:24" s="66" customFormat="1" ht="12.75">
      <c r="B859" s="69" t="s">
        <v>344</v>
      </c>
      <c r="C859" s="69"/>
      <c r="D859" s="69"/>
      <c r="E859" s="69"/>
      <c r="F859" s="71"/>
      <c r="G859" s="71"/>
      <c r="H859" s="71"/>
      <c r="I859" s="71"/>
      <c r="J859" s="69"/>
      <c r="L859" s="69"/>
      <c r="Q859" s="69"/>
      <c r="R859" s="69"/>
      <c r="S859" s="69"/>
      <c r="T859" s="69"/>
      <c r="U859" s="69" t="s">
        <v>345</v>
      </c>
      <c r="X859" s="69"/>
    </row>
    <row r="860" spans="2:24" s="66" customFormat="1" ht="12.75">
      <c r="B860" s="69" t="s">
        <v>344</v>
      </c>
      <c r="C860" s="69"/>
      <c r="D860" s="69"/>
      <c r="E860" s="69"/>
      <c r="F860" s="71"/>
      <c r="G860" s="71"/>
      <c r="H860" s="71"/>
      <c r="I860" s="71"/>
      <c r="J860" s="69"/>
      <c r="L860" s="69"/>
      <c r="Q860" s="69"/>
      <c r="R860" s="69"/>
      <c r="S860" s="69"/>
      <c r="T860" s="69"/>
      <c r="U860" s="69" t="s">
        <v>345</v>
      </c>
      <c r="X860" s="69"/>
    </row>
    <row r="861" spans="2:24" s="66" customFormat="1" ht="12.75">
      <c r="B861" s="69" t="s">
        <v>344</v>
      </c>
      <c r="C861" s="69"/>
      <c r="D861" s="69"/>
      <c r="E861" s="69"/>
      <c r="F861" s="71"/>
      <c r="G861" s="71"/>
      <c r="H861" s="71"/>
      <c r="I861" s="71"/>
      <c r="J861" s="69"/>
      <c r="L861" s="69"/>
      <c r="Q861" s="69"/>
      <c r="R861" s="69"/>
      <c r="S861" s="69"/>
      <c r="T861" s="69"/>
      <c r="U861" s="69" t="s">
        <v>345</v>
      </c>
      <c r="X861" s="69"/>
    </row>
    <row r="862" spans="2:24" s="66" customFormat="1" ht="12.75">
      <c r="B862" s="69" t="s">
        <v>344</v>
      </c>
      <c r="C862" s="69"/>
      <c r="D862" s="69"/>
      <c r="E862" s="69"/>
      <c r="F862" s="71"/>
      <c r="G862" s="71"/>
      <c r="H862" s="71"/>
      <c r="I862" s="71"/>
      <c r="J862" s="69"/>
      <c r="L862" s="69"/>
      <c r="Q862" s="69"/>
      <c r="R862" s="69"/>
      <c r="S862" s="69"/>
      <c r="T862" s="69"/>
      <c r="U862" s="69" t="s">
        <v>345</v>
      </c>
      <c r="X862" s="69"/>
    </row>
    <row r="863" spans="2:24" s="66" customFormat="1" ht="12.75">
      <c r="B863" s="69" t="s">
        <v>344</v>
      </c>
      <c r="C863" s="69"/>
      <c r="D863" s="69"/>
      <c r="E863" s="69"/>
      <c r="F863" s="71"/>
      <c r="G863" s="71"/>
      <c r="H863" s="71"/>
      <c r="I863" s="71"/>
      <c r="J863" s="69"/>
      <c r="L863" s="69"/>
      <c r="Q863" s="69"/>
      <c r="R863" s="69"/>
      <c r="U863" s="69"/>
    </row>
    <row r="864" spans="2:24" s="66" customFormat="1" ht="12.75">
      <c r="B864" s="69" t="s">
        <v>344</v>
      </c>
      <c r="C864" s="69"/>
      <c r="D864" s="71"/>
      <c r="E864" s="71"/>
      <c r="F864" s="69"/>
      <c r="G864" s="69"/>
      <c r="H864" s="69"/>
      <c r="I864" s="69"/>
      <c r="J864" s="69"/>
      <c r="L864" s="69"/>
      <c r="Q864" s="69"/>
      <c r="R864" s="69"/>
      <c r="S864" s="69"/>
    </row>
    <row r="865" spans="2:21" s="66" customFormat="1" ht="12.75">
      <c r="B865" s="69"/>
      <c r="C865" s="69"/>
      <c r="D865" s="71"/>
      <c r="E865" s="71"/>
      <c r="F865" s="69"/>
      <c r="G865" s="69"/>
      <c r="H865" s="69"/>
      <c r="I865" s="69"/>
      <c r="J865" s="69"/>
      <c r="L865" s="69"/>
      <c r="Q865" s="69"/>
      <c r="R865" s="69"/>
      <c r="S865" s="69"/>
    </row>
    <row r="866" spans="2:21" s="66" customFormat="1" ht="12.75">
      <c r="B866" s="69"/>
      <c r="C866" s="69"/>
      <c r="D866" s="71"/>
      <c r="E866" s="71"/>
      <c r="F866" s="69"/>
      <c r="G866" s="69"/>
      <c r="H866" s="69"/>
      <c r="I866" s="69"/>
      <c r="J866" s="69"/>
      <c r="L866" s="69"/>
      <c r="Q866" s="69"/>
      <c r="R866" s="69"/>
      <c r="S866" s="69"/>
    </row>
    <row r="867" spans="2:21" s="66" customFormat="1" ht="12.75">
      <c r="B867" s="69"/>
      <c r="C867" s="69"/>
      <c r="D867" s="71"/>
      <c r="E867" s="71"/>
      <c r="F867" s="69"/>
      <c r="G867" s="69"/>
      <c r="H867" s="69"/>
      <c r="I867" s="69"/>
      <c r="J867" s="69"/>
      <c r="L867" s="69"/>
      <c r="Q867" s="69"/>
      <c r="R867" s="69"/>
      <c r="S867" s="69"/>
    </row>
    <row r="868" spans="2:21" s="66" customFormat="1" ht="12.75">
      <c r="B868" s="69" t="s">
        <v>343</v>
      </c>
      <c r="C868" s="69"/>
      <c r="D868" s="71"/>
      <c r="E868" s="71"/>
      <c r="F868" s="69"/>
      <c r="G868" s="69"/>
      <c r="H868" s="69"/>
      <c r="I868" s="69"/>
      <c r="J868" s="69"/>
      <c r="L868" s="69"/>
      <c r="Q868" s="69"/>
      <c r="R868" s="69"/>
      <c r="S868" s="69"/>
    </row>
    <row r="869" spans="2:21" s="66" customFormat="1" ht="12.75">
      <c r="B869" s="69"/>
      <c r="C869" s="69"/>
      <c r="D869" s="71"/>
      <c r="E869" s="71"/>
      <c r="F869" s="69"/>
      <c r="G869" s="69"/>
      <c r="H869" s="69"/>
      <c r="I869" s="69"/>
      <c r="J869" s="69"/>
      <c r="L869" s="69"/>
      <c r="Q869" s="69"/>
      <c r="R869" s="69"/>
      <c r="S869" s="69"/>
    </row>
    <row r="870" spans="2:21" s="75" customFormat="1" ht="21" customHeight="1"/>
    <row r="871" spans="2:21" s="72" customFormat="1" ht="12.75">
      <c r="B871" s="73"/>
      <c r="C871" s="73"/>
      <c r="D871" s="73"/>
      <c r="E871" s="73"/>
      <c r="F871" s="74"/>
      <c r="G871" s="74"/>
      <c r="H871" s="74"/>
      <c r="I871" s="74"/>
      <c r="J871" s="73"/>
      <c r="L871" s="73"/>
      <c r="Q871" s="73"/>
      <c r="R871" s="73"/>
    </row>
    <row r="872" spans="2:21" s="72" customFormat="1" ht="12.75">
      <c r="B872" s="73"/>
      <c r="C872" s="73"/>
      <c r="D872" s="73"/>
      <c r="E872" s="73"/>
      <c r="F872" s="74"/>
      <c r="G872" s="74"/>
      <c r="H872" s="74"/>
      <c r="I872" s="74"/>
      <c r="J872" s="73"/>
      <c r="L872" s="73"/>
      <c r="Q872" s="73"/>
      <c r="R872" s="73"/>
    </row>
    <row r="873" spans="2:21" s="72" customFormat="1" ht="12.75">
      <c r="B873" s="73"/>
      <c r="C873" s="73"/>
      <c r="D873" s="73"/>
      <c r="E873" s="73"/>
      <c r="F873" s="74"/>
      <c r="G873" s="74"/>
      <c r="H873" s="74"/>
      <c r="I873" s="74"/>
      <c r="J873" s="73"/>
      <c r="L873" s="73"/>
      <c r="Q873" s="73"/>
      <c r="R873" s="73"/>
    </row>
    <row r="874" spans="2:21" s="72" customFormat="1" ht="12.75">
      <c r="B874" s="73"/>
      <c r="C874" s="73"/>
      <c r="D874" s="73"/>
      <c r="E874" s="73"/>
      <c r="F874" s="74"/>
      <c r="G874" s="74"/>
      <c r="H874" s="74"/>
      <c r="I874" s="74"/>
      <c r="J874" s="73"/>
      <c r="L874" s="73"/>
      <c r="Q874" s="73"/>
      <c r="R874" s="73"/>
    </row>
    <row r="875" spans="2:21" s="72" customFormat="1" ht="12.75">
      <c r="B875" s="73"/>
      <c r="C875" s="73"/>
      <c r="D875" s="73"/>
      <c r="E875" s="73"/>
      <c r="F875" s="74"/>
      <c r="G875" s="74"/>
      <c r="H875" s="74"/>
      <c r="I875" s="74"/>
      <c r="J875" s="73"/>
      <c r="L875" s="73"/>
      <c r="Q875" s="73"/>
      <c r="R875" s="73"/>
    </row>
    <row r="876" spans="2:21" s="66" customFormat="1" ht="12.75">
      <c r="B876" s="69"/>
      <c r="C876" s="69"/>
      <c r="D876" s="69"/>
      <c r="E876" s="69"/>
      <c r="F876" s="71"/>
      <c r="G876" s="71"/>
      <c r="H876" s="71"/>
      <c r="I876" s="71"/>
      <c r="J876" s="69"/>
      <c r="L876" s="69"/>
      <c r="Q876" s="69"/>
      <c r="R876" s="69"/>
      <c r="S876" s="69"/>
      <c r="T876" s="69"/>
      <c r="U876" s="69"/>
    </row>
    <row r="877" spans="2:21" s="66" customFormat="1" ht="12.75">
      <c r="B877" s="69"/>
      <c r="C877" s="69"/>
      <c r="D877" s="69"/>
      <c r="E877" s="69"/>
      <c r="F877" s="71"/>
      <c r="G877" s="71"/>
      <c r="H877" s="71"/>
      <c r="I877" s="71"/>
      <c r="J877" s="69"/>
      <c r="L877" s="69"/>
      <c r="Q877" s="69"/>
      <c r="R877" s="69"/>
      <c r="S877" s="69"/>
      <c r="T877" s="69"/>
      <c r="U877" s="69"/>
    </row>
    <row r="878" spans="2:21" s="66" customFormat="1" ht="12.75">
      <c r="B878" s="69"/>
      <c r="C878" s="69"/>
      <c r="D878" s="69"/>
      <c r="E878" s="69"/>
      <c r="F878" s="71"/>
      <c r="G878" s="71"/>
      <c r="H878" s="71"/>
      <c r="I878" s="71"/>
      <c r="J878" s="69"/>
      <c r="L878" s="69"/>
      <c r="Q878" s="69"/>
      <c r="R878" s="69"/>
      <c r="S878" s="69"/>
      <c r="T878" s="69"/>
      <c r="U878" s="69"/>
    </row>
    <row r="879" spans="2:21" s="66" customFormat="1" ht="12.75">
      <c r="B879" s="69"/>
      <c r="C879" s="69"/>
      <c r="D879" s="69"/>
      <c r="E879" s="69"/>
      <c r="J879" s="69"/>
      <c r="L879" s="69"/>
      <c r="Q879" s="69"/>
      <c r="R879" s="69"/>
      <c r="S879" s="69"/>
      <c r="T879" s="69"/>
      <c r="U879" s="69"/>
    </row>
    <row r="880" spans="2:21" s="66" customFormat="1" ht="12.75">
      <c r="B880" s="69"/>
      <c r="C880" s="69"/>
      <c r="D880" s="69"/>
      <c r="E880" s="69"/>
      <c r="J880" s="69"/>
      <c r="L880" s="69"/>
      <c r="Q880" s="69"/>
      <c r="R880" s="69"/>
      <c r="S880" s="69"/>
      <c r="T880" s="69"/>
      <c r="U880" s="69"/>
    </row>
    <row r="881" spans="2:22" s="66" customFormat="1" ht="12.75">
      <c r="B881" s="68"/>
      <c r="C881" s="69"/>
      <c r="D881" s="68"/>
      <c r="E881" s="68"/>
      <c r="F881" s="67"/>
      <c r="G881" s="67"/>
      <c r="H881" s="67"/>
      <c r="I881" s="67"/>
      <c r="J881" s="68"/>
      <c r="L881" s="68"/>
      <c r="Q881" s="68"/>
      <c r="R881" s="68"/>
      <c r="S881" s="68"/>
      <c r="T881" s="68"/>
      <c r="U881" s="68"/>
      <c r="V881" s="67"/>
    </row>
    <row r="882" spans="2:22" s="66" customFormat="1" ht="12.75">
      <c r="B882" s="70" t="s">
        <v>337</v>
      </c>
      <c r="C882" s="70"/>
      <c r="D882" s="69" t="s">
        <v>328</v>
      </c>
      <c r="E882" s="69"/>
      <c r="J882" s="69">
        <v>10</v>
      </c>
      <c r="L882" s="69"/>
      <c r="Q882" s="69"/>
      <c r="R882" s="69"/>
      <c r="S882" s="69"/>
      <c r="T882" s="70"/>
      <c r="U882" s="70" t="s">
        <v>342</v>
      </c>
    </row>
    <row r="883" spans="2:22" s="66" customFormat="1" ht="12.75">
      <c r="B883" s="70" t="s">
        <v>333</v>
      </c>
      <c r="C883" s="70"/>
      <c r="D883" s="69" t="s">
        <v>322</v>
      </c>
      <c r="E883" s="69"/>
      <c r="J883" s="69">
        <v>11</v>
      </c>
      <c r="L883" s="69"/>
      <c r="Q883" s="69"/>
      <c r="R883" s="69"/>
      <c r="S883" s="69"/>
      <c r="T883" s="70"/>
      <c r="U883" s="70" t="s">
        <v>341</v>
      </c>
    </row>
    <row r="884" spans="2:22" s="66" customFormat="1" ht="12.75">
      <c r="B884" s="70" t="s">
        <v>329</v>
      </c>
      <c r="C884" s="70"/>
      <c r="D884" s="69" t="s">
        <v>321</v>
      </c>
      <c r="E884" s="69"/>
      <c r="J884" s="69">
        <v>12</v>
      </c>
      <c r="L884" s="69"/>
      <c r="Q884" s="69"/>
      <c r="R884" s="69"/>
      <c r="S884" s="69"/>
      <c r="T884" s="69"/>
      <c r="U884" s="69" t="s">
        <v>340</v>
      </c>
    </row>
    <row r="885" spans="2:22" s="66" customFormat="1" ht="12.75">
      <c r="B885" s="69"/>
      <c r="C885" s="69"/>
      <c r="D885" s="69" t="s">
        <v>339</v>
      </c>
      <c r="E885" s="69"/>
      <c r="J885" s="69"/>
      <c r="L885" s="69"/>
      <c r="Q885" s="69"/>
      <c r="R885" s="69"/>
      <c r="S885" s="69"/>
      <c r="T885" s="69"/>
      <c r="U885" s="69"/>
    </row>
    <row r="886" spans="2:22" s="66" customFormat="1" ht="12.75">
      <c r="B886" s="69"/>
      <c r="C886" s="69"/>
      <c r="D886" s="69" t="s">
        <v>338</v>
      </c>
      <c r="E886" s="69"/>
      <c r="J886" s="69"/>
      <c r="L886" s="69"/>
      <c r="Q886" s="69"/>
      <c r="R886" s="69"/>
      <c r="S886" s="69"/>
      <c r="T886" s="69"/>
      <c r="U886" s="69"/>
    </row>
    <row r="887" spans="2:22" s="66" customFormat="1" ht="12.75">
      <c r="B887" s="69"/>
      <c r="C887" s="69"/>
      <c r="D887" s="69"/>
      <c r="E887" s="69"/>
      <c r="J887" s="69"/>
      <c r="L887" s="69"/>
      <c r="Q887" s="69"/>
      <c r="R887" s="69"/>
      <c r="S887" s="69"/>
      <c r="T887" s="69"/>
      <c r="U887" s="69"/>
    </row>
    <row r="888" spans="2:22" s="66" customFormat="1" ht="12.75">
      <c r="B888" s="69"/>
      <c r="C888" s="69"/>
      <c r="D888" s="69"/>
      <c r="E888" s="69"/>
      <c r="J888" s="69"/>
      <c r="L888" s="69"/>
      <c r="Q888" s="69"/>
      <c r="R888" s="69"/>
      <c r="S888" s="69"/>
      <c r="T888" s="69"/>
      <c r="U888" s="69"/>
    </row>
    <row r="889" spans="2:22" s="66" customFormat="1">
      <c r="B889" s="70" t="s">
        <v>337</v>
      </c>
      <c r="C889" s="70"/>
      <c r="D889" s="69" t="s">
        <v>336</v>
      </c>
      <c r="E889" s="69"/>
      <c r="F889" s="70"/>
      <c r="G889" s="70" t="s">
        <v>335</v>
      </c>
      <c r="H889" s="70"/>
      <c r="I889" s="70"/>
      <c r="L889" s="69"/>
      <c r="Q889" s="69"/>
      <c r="R889" s="69"/>
      <c r="U889" s="70" t="s">
        <v>334</v>
      </c>
    </row>
    <row r="890" spans="2:22" s="66" customFormat="1">
      <c r="B890" s="70" t="s">
        <v>333</v>
      </c>
      <c r="C890" s="70"/>
      <c r="D890" s="69" t="s">
        <v>332</v>
      </c>
      <c r="E890" s="69"/>
      <c r="F890" s="70"/>
      <c r="G890" s="70" t="s">
        <v>331</v>
      </c>
      <c r="H890" s="70"/>
      <c r="I890" s="70"/>
      <c r="L890" s="69"/>
      <c r="Q890" s="69"/>
      <c r="R890" s="69"/>
      <c r="U890" s="70" t="s">
        <v>330</v>
      </c>
    </row>
    <row r="891" spans="2:22" s="66" customFormat="1" ht="12.75">
      <c r="B891" s="70" t="s">
        <v>329</v>
      </c>
      <c r="C891" s="70"/>
      <c r="D891" s="69" t="s">
        <v>328</v>
      </c>
      <c r="E891" s="69"/>
      <c r="F891" s="70"/>
      <c r="G891" s="70" t="s">
        <v>327</v>
      </c>
      <c r="H891" s="70"/>
      <c r="I891" s="70"/>
      <c r="L891" s="69"/>
      <c r="Q891" s="69"/>
      <c r="R891" s="69"/>
      <c r="U891" s="70" t="s">
        <v>326</v>
      </c>
    </row>
    <row r="892" spans="2:22" s="66" customFormat="1" ht="12.75">
      <c r="B892" s="69"/>
      <c r="C892" s="69"/>
      <c r="D892" s="69" t="s">
        <v>325</v>
      </c>
      <c r="E892" s="69"/>
      <c r="F892" s="69"/>
      <c r="G892" s="69"/>
      <c r="H892" s="69"/>
      <c r="I892" s="69"/>
      <c r="L892" s="69"/>
      <c r="Q892" s="69"/>
      <c r="R892" s="69"/>
      <c r="U892" s="70" t="s">
        <v>324</v>
      </c>
    </row>
    <row r="893" spans="2:22" s="66" customFormat="1" ht="12.75">
      <c r="B893" s="69"/>
      <c r="C893" s="69"/>
      <c r="D893" s="69" t="s">
        <v>323</v>
      </c>
      <c r="E893" s="69"/>
      <c r="F893" s="69"/>
      <c r="G893" s="69"/>
      <c r="H893" s="69"/>
      <c r="I893" s="69"/>
      <c r="L893" s="69"/>
      <c r="Q893" s="69"/>
      <c r="R893" s="69"/>
      <c r="S893" s="69"/>
    </row>
    <row r="894" spans="2:22" s="66" customFormat="1" ht="12.75">
      <c r="B894" s="69"/>
      <c r="C894" s="69"/>
      <c r="D894" s="69" t="s">
        <v>322</v>
      </c>
      <c r="E894" s="69"/>
      <c r="F894" s="69"/>
      <c r="G894" s="69"/>
      <c r="H894" s="69"/>
      <c r="I894" s="69"/>
      <c r="L894" s="69"/>
      <c r="Q894" s="69"/>
      <c r="R894" s="69"/>
      <c r="S894" s="69"/>
    </row>
    <row r="895" spans="2:22" s="66" customFormat="1" ht="12.75">
      <c r="B895" s="69"/>
      <c r="C895" s="69"/>
      <c r="D895" s="69" t="s">
        <v>321</v>
      </c>
      <c r="E895" s="69"/>
      <c r="F895" s="69"/>
      <c r="G895" s="69"/>
      <c r="H895" s="69"/>
      <c r="I895" s="69"/>
      <c r="L895" s="69"/>
      <c r="Q895" s="69"/>
      <c r="R895" s="69"/>
      <c r="S895" s="69"/>
    </row>
    <row r="896" spans="2:22" s="66" customFormat="1" ht="12.75">
      <c r="B896" s="69"/>
      <c r="C896" s="69"/>
      <c r="F896" s="69"/>
      <c r="G896" s="69"/>
      <c r="H896" s="69"/>
      <c r="I896" s="69"/>
      <c r="J896" s="69"/>
      <c r="L896" s="69"/>
      <c r="Q896" s="69"/>
      <c r="R896" s="69"/>
      <c r="S896" s="69"/>
    </row>
    <row r="897" spans="2:34" s="66" customFormat="1" ht="12.75">
      <c r="B897" s="69"/>
      <c r="C897" s="69"/>
      <c r="F897" s="70"/>
      <c r="G897" s="70" t="s">
        <v>320</v>
      </c>
      <c r="H897" s="70"/>
      <c r="I897" s="70"/>
      <c r="J897" s="69"/>
      <c r="L897" s="69"/>
      <c r="Q897" s="69"/>
      <c r="R897" s="69"/>
      <c r="S897" s="69"/>
    </row>
    <row r="898" spans="2:34" s="66" customFormat="1" ht="12.75">
      <c r="B898" s="69"/>
      <c r="C898" s="69"/>
      <c r="D898" s="69"/>
      <c r="E898" s="69"/>
      <c r="J898" s="69"/>
      <c r="L898" s="69"/>
      <c r="Q898" s="69"/>
      <c r="R898" s="69"/>
      <c r="S898" s="69"/>
      <c r="T898" s="69"/>
      <c r="U898" s="69"/>
    </row>
    <row r="899" spans="2:34" s="66" customFormat="1" ht="12.75">
      <c r="B899" s="69"/>
      <c r="C899" s="69"/>
      <c r="D899" s="69"/>
      <c r="E899" s="69"/>
      <c r="J899" s="69"/>
      <c r="L899" s="69"/>
      <c r="Q899" s="69"/>
      <c r="R899" s="69"/>
      <c r="S899" s="69"/>
      <c r="T899" s="69"/>
      <c r="U899" s="69"/>
    </row>
    <row r="900" spans="2:34" s="66" customFormat="1" ht="12.75">
      <c r="B900" s="68"/>
      <c r="C900" s="69"/>
      <c r="D900" s="68"/>
      <c r="E900" s="68"/>
      <c r="F900" s="67"/>
      <c r="G900" s="67"/>
      <c r="H900" s="67"/>
      <c r="I900" s="67"/>
      <c r="J900" s="68"/>
      <c r="L900" s="68"/>
      <c r="Q900" s="68"/>
      <c r="R900" s="68"/>
      <c r="S900" s="68"/>
      <c r="T900" s="68"/>
      <c r="U900" s="68"/>
      <c r="V900" s="67"/>
    </row>
    <row r="905" spans="2:34">
      <c r="B905" s="65" t="s">
        <v>319</v>
      </c>
      <c r="C905" s="65"/>
      <c r="D905" s="65" t="s">
        <v>318</v>
      </c>
      <c r="E905" s="65"/>
      <c r="F905" s="65"/>
      <c r="G905" s="65" t="s">
        <v>317</v>
      </c>
      <c r="H905" s="65"/>
      <c r="I905" s="65"/>
      <c r="J905" s="65" t="s">
        <v>316</v>
      </c>
      <c r="K905" s="56"/>
      <c r="L905" s="65" t="s">
        <v>315</v>
      </c>
      <c r="M905" s="56"/>
      <c r="N905" s="56"/>
      <c r="O905" s="56"/>
      <c r="P905" s="56"/>
      <c r="Q905" s="65" t="s">
        <v>314</v>
      </c>
      <c r="R905" s="65" t="s">
        <v>313</v>
      </c>
      <c r="S905" s="65" t="s">
        <v>312</v>
      </c>
      <c r="T905" s="65" t="s">
        <v>311</v>
      </c>
      <c r="Z905" s="56"/>
      <c r="AA905" s="56"/>
      <c r="AB905" s="56"/>
      <c r="AC905" s="56"/>
      <c r="AD905" s="56"/>
      <c r="AE905" s="56"/>
      <c r="AF905" s="56"/>
      <c r="AH905" s="56"/>
    </row>
    <row r="906" spans="2:34">
      <c r="B906" s="65" t="s">
        <v>310</v>
      </c>
      <c r="C906" s="65"/>
      <c r="D906" s="65" t="s">
        <v>250</v>
      </c>
      <c r="E906" s="65"/>
      <c r="F906" s="65"/>
      <c r="G906" s="65"/>
      <c r="H906" s="65"/>
      <c r="I906" s="65"/>
      <c r="J906" s="65"/>
      <c r="K906" s="56"/>
      <c r="L906" s="65"/>
      <c r="M906" s="56"/>
      <c r="N906" s="56"/>
      <c r="O906" s="56"/>
      <c r="P906" s="56"/>
      <c r="Q906" s="65"/>
      <c r="R906" s="65" t="s">
        <v>202</v>
      </c>
      <c r="S906" s="65" t="b">
        <v>1</v>
      </c>
      <c r="T906" s="65" t="b">
        <v>1</v>
      </c>
      <c r="Z906" s="56"/>
      <c r="AA906" s="56"/>
      <c r="AB906" s="56"/>
      <c r="AC906" s="56"/>
      <c r="AD906" s="56"/>
      <c r="AE906" s="56"/>
      <c r="AF906" s="56"/>
      <c r="AH906" s="56"/>
    </row>
    <row r="907" spans="2:34">
      <c r="B907" s="65" t="s">
        <v>309</v>
      </c>
      <c r="C907" s="65"/>
      <c r="D907" s="65" t="s">
        <v>250</v>
      </c>
      <c r="E907" s="65"/>
      <c r="F907" s="65"/>
      <c r="G907" s="65"/>
      <c r="H907" s="65"/>
      <c r="I907" s="65"/>
      <c r="J907" s="65"/>
      <c r="K907" s="56"/>
      <c r="L907" s="65"/>
      <c r="M907" s="56"/>
      <c r="N907" s="56"/>
      <c r="O907" s="56"/>
      <c r="P907" s="56"/>
      <c r="Q907" s="65"/>
      <c r="R907" s="65"/>
      <c r="S907" s="65" t="b">
        <v>1</v>
      </c>
      <c r="T907" s="65" t="b">
        <v>1</v>
      </c>
      <c r="Z907" s="56"/>
      <c r="AA907" s="56"/>
      <c r="AB907" s="56"/>
      <c r="AC907" s="56"/>
      <c r="AD907" s="56"/>
      <c r="AE907" s="56"/>
      <c r="AF907" s="56"/>
      <c r="AH907" s="56"/>
    </row>
    <row r="908" spans="2:34">
      <c r="B908" s="65" t="s">
        <v>308</v>
      </c>
      <c r="C908" s="65"/>
      <c r="D908" s="65" t="s">
        <v>250</v>
      </c>
      <c r="E908" s="65"/>
      <c r="F908" s="65"/>
      <c r="G908" s="65"/>
      <c r="H908" s="65"/>
      <c r="I908" s="65"/>
      <c r="J908" s="65"/>
      <c r="K908" s="56"/>
      <c r="L908" s="65"/>
      <c r="M908" s="56"/>
      <c r="N908" s="56"/>
      <c r="O908" s="56"/>
      <c r="P908" s="56"/>
      <c r="Q908" s="65"/>
      <c r="R908" s="65"/>
      <c r="S908" s="65" t="b">
        <v>0</v>
      </c>
      <c r="T908" s="65" t="b">
        <v>0</v>
      </c>
      <c r="Z908" s="56"/>
      <c r="AA908" s="56"/>
      <c r="AB908" s="56"/>
      <c r="AC908" s="56"/>
      <c r="AD908" s="56"/>
      <c r="AE908" s="56"/>
      <c r="AF908" s="56"/>
      <c r="AH908" s="56"/>
    </row>
    <row r="909" spans="2:34">
      <c r="B909" s="65" t="s">
        <v>307</v>
      </c>
      <c r="C909" s="65"/>
      <c r="D909" s="65" t="s">
        <v>305</v>
      </c>
      <c r="E909" s="65"/>
      <c r="F909" s="65"/>
      <c r="G909" s="65"/>
      <c r="H909" s="65"/>
      <c r="I909" s="65"/>
      <c r="J909" s="65"/>
      <c r="K909" s="56"/>
      <c r="L909" s="65"/>
      <c r="M909" s="56"/>
      <c r="N909" s="56"/>
      <c r="O909" s="56"/>
      <c r="P909" s="56"/>
      <c r="Q909" s="65">
        <v>12</v>
      </c>
      <c r="R909" s="65" t="s">
        <v>202</v>
      </c>
      <c r="S909" s="65" t="b">
        <v>0</v>
      </c>
      <c r="T909" s="65" t="b">
        <v>0</v>
      </c>
      <c r="Z909" s="56"/>
      <c r="AA909" s="56"/>
      <c r="AB909" s="56"/>
      <c r="AC909" s="56"/>
      <c r="AD909" s="56"/>
      <c r="AE909" s="56"/>
      <c r="AF909" s="56"/>
      <c r="AH909" s="56"/>
    </row>
    <row r="910" spans="2:34">
      <c r="B910" s="65" t="s">
        <v>306</v>
      </c>
      <c r="C910" s="65"/>
      <c r="D910" s="65" t="s">
        <v>305</v>
      </c>
      <c r="E910" s="65"/>
      <c r="F910" s="65"/>
      <c r="G910" s="65"/>
      <c r="H910" s="65"/>
      <c r="I910" s="65"/>
      <c r="J910" s="65"/>
      <c r="K910" s="56"/>
      <c r="L910" s="65"/>
      <c r="M910" s="56"/>
      <c r="N910" s="56"/>
      <c r="O910" s="56"/>
      <c r="P910" s="56"/>
      <c r="Q910" s="65">
        <v>4</v>
      </c>
      <c r="R910" s="65" t="s">
        <v>202</v>
      </c>
      <c r="S910" s="65" t="b">
        <v>0</v>
      </c>
      <c r="T910" s="65" t="b">
        <v>0</v>
      </c>
      <c r="Z910" s="56"/>
      <c r="AA910" s="56"/>
      <c r="AB910" s="56"/>
      <c r="AC910" s="56"/>
      <c r="AD910" s="56"/>
      <c r="AE910" s="56"/>
      <c r="AF910" s="56"/>
      <c r="AH910" s="56"/>
    </row>
    <row r="911" spans="2:34">
      <c r="B911" s="65" t="s">
        <v>304</v>
      </c>
      <c r="C911" s="65"/>
      <c r="D911" s="65" t="s">
        <v>303</v>
      </c>
      <c r="E911" s="65"/>
      <c r="F911" s="65"/>
      <c r="G911" s="65"/>
      <c r="H911" s="65"/>
      <c r="I911" s="65"/>
      <c r="J911" s="65"/>
      <c r="K911" s="56"/>
      <c r="L911" s="65"/>
      <c r="M911" s="56"/>
      <c r="N911" s="56"/>
      <c r="O911" s="56"/>
      <c r="P911" s="56"/>
      <c r="Q911" s="65">
        <v>6</v>
      </c>
      <c r="R911" s="65" t="s">
        <v>202</v>
      </c>
      <c r="S911" s="65" t="b">
        <v>0</v>
      </c>
      <c r="T911" s="65" t="b">
        <v>0</v>
      </c>
      <c r="Z911" s="56"/>
      <c r="AA911" s="56"/>
      <c r="AB911" s="56"/>
      <c r="AC911" s="56"/>
      <c r="AD911" s="56"/>
      <c r="AE911" s="56"/>
      <c r="AF911" s="56"/>
      <c r="AH911" s="56"/>
    </row>
    <row r="912" spans="2:34">
      <c r="B912" s="65" t="s">
        <v>302</v>
      </c>
      <c r="C912" s="65"/>
      <c r="D912" s="65" t="s">
        <v>295</v>
      </c>
      <c r="E912" s="65"/>
      <c r="F912" s="65"/>
      <c r="G912" s="65"/>
      <c r="H912" s="65"/>
      <c r="I912" s="65"/>
      <c r="J912" s="65"/>
      <c r="K912" s="56"/>
      <c r="L912" s="65"/>
      <c r="M912" s="56"/>
      <c r="N912" s="56"/>
      <c r="O912" s="56"/>
      <c r="P912" s="56"/>
      <c r="Q912" s="65">
        <v>12</v>
      </c>
      <c r="R912" s="65" t="s">
        <v>202</v>
      </c>
      <c r="S912" s="65" t="b">
        <v>0</v>
      </c>
      <c r="T912" s="65" t="b">
        <v>0</v>
      </c>
      <c r="Z912" s="56"/>
      <c r="AA912" s="56"/>
      <c r="AB912" s="56"/>
      <c r="AC912" s="56"/>
      <c r="AD912" s="56"/>
      <c r="AE912" s="56"/>
      <c r="AF912" s="56"/>
      <c r="AH912" s="56"/>
    </row>
    <row r="913" spans="2:34">
      <c r="B913" s="65" t="s">
        <v>301</v>
      </c>
      <c r="C913" s="65"/>
      <c r="D913" s="65" t="s">
        <v>295</v>
      </c>
      <c r="E913" s="65"/>
      <c r="F913" s="65"/>
      <c r="G913" s="65"/>
      <c r="H913" s="65"/>
      <c r="I913" s="65"/>
      <c r="J913" s="65"/>
      <c r="K913" s="56"/>
      <c r="L913" s="65"/>
      <c r="M913" s="56"/>
      <c r="N913" s="56"/>
      <c r="O913" s="56"/>
      <c r="P913" s="56"/>
      <c r="Q913" s="65">
        <v>10</v>
      </c>
      <c r="R913" s="65" t="s">
        <v>202</v>
      </c>
      <c r="S913" s="65" t="b">
        <v>0</v>
      </c>
      <c r="T913" s="65" t="b">
        <v>0</v>
      </c>
      <c r="Z913" s="56"/>
      <c r="AA913" s="56"/>
      <c r="AB913" s="56"/>
      <c r="AC913" s="56"/>
      <c r="AD913" s="56"/>
      <c r="AE913" s="56"/>
      <c r="AF913" s="56"/>
      <c r="AH913" s="56"/>
    </row>
    <row r="914" spans="2:34">
      <c r="B914" s="65" t="s">
        <v>300</v>
      </c>
      <c r="C914" s="65"/>
      <c r="D914" s="65" t="s">
        <v>295</v>
      </c>
      <c r="E914" s="65"/>
      <c r="F914" s="65"/>
      <c r="G914" s="65"/>
      <c r="H914" s="65"/>
      <c r="I914" s="65"/>
      <c r="J914" s="65" t="s">
        <v>299</v>
      </c>
      <c r="K914" s="56"/>
      <c r="L914" s="65" t="s">
        <v>260</v>
      </c>
      <c r="M914" s="56"/>
      <c r="N914" s="56"/>
      <c r="O914" s="56"/>
      <c r="P914" s="56"/>
      <c r="Q914" s="65">
        <v>20</v>
      </c>
      <c r="R914" s="65" t="s">
        <v>202</v>
      </c>
      <c r="S914" s="65" t="b">
        <v>1</v>
      </c>
      <c r="T914" s="65" t="b">
        <v>1</v>
      </c>
      <c r="Z914" s="56"/>
      <c r="AA914" s="56"/>
      <c r="AB914" s="56"/>
      <c r="AC914" s="56"/>
      <c r="AD914" s="56"/>
      <c r="AE914" s="56"/>
      <c r="AF914" s="56"/>
      <c r="AH914" s="56"/>
    </row>
    <row r="915" spans="2:34">
      <c r="B915" s="65" t="s">
        <v>298</v>
      </c>
      <c r="C915" s="65"/>
      <c r="D915" s="65" t="s">
        <v>295</v>
      </c>
      <c r="E915" s="65"/>
      <c r="F915" s="65"/>
      <c r="G915" s="65"/>
      <c r="H915" s="65"/>
      <c r="I915" s="65"/>
      <c r="J915" s="65"/>
      <c r="K915" s="56"/>
      <c r="L915" s="65"/>
      <c r="M915" s="56"/>
      <c r="N915" s="56"/>
      <c r="O915" s="56"/>
      <c r="P915" s="56"/>
      <c r="Q915" s="65">
        <v>15</v>
      </c>
      <c r="R915" s="65" t="s">
        <v>202</v>
      </c>
      <c r="S915" s="65" t="b">
        <v>0</v>
      </c>
      <c r="T915" s="65" t="b">
        <v>0</v>
      </c>
      <c r="Z915" s="56"/>
      <c r="AA915" s="56"/>
      <c r="AB915" s="56"/>
      <c r="AC915" s="56"/>
      <c r="AD915" s="56"/>
      <c r="AE915" s="56"/>
      <c r="AF915" s="56"/>
      <c r="AH915" s="56"/>
    </row>
    <row r="916" spans="2:34">
      <c r="B916" s="65" t="s">
        <v>297</v>
      </c>
      <c r="C916" s="65"/>
      <c r="D916" s="65" t="s">
        <v>295</v>
      </c>
      <c r="E916" s="65"/>
      <c r="F916" s="65"/>
      <c r="G916" s="65"/>
      <c r="H916" s="65"/>
      <c r="I916" s="65"/>
      <c r="J916" s="65"/>
      <c r="K916" s="56"/>
      <c r="L916" s="65"/>
      <c r="M916" s="56"/>
      <c r="N916" s="56"/>
      <c r="O916" s="56"/>
      <c r="P916" s="56"/>
      <c r="Q916" s="65">
        <v>23</v>
      </c>
      <c r="R916" s="65" t="s">
        <v>202</v>
      </c>
      <c r="S916" s="65" t="b">
        <v>1</v>
      </c>
      <c r="T916" s="65" t="b">
        <v>1</v>
      </c>
      <c r="Z916" s="56"/>
      <c r="AA916" s="56"/>
      <c r="AB916" s="56"/>
      <c r="AC916" s="56"/>
      <c r="AD916" s="56"/>
      <c r="AE916" s="56"/>
      <c r="AF916" s="56"/>
      <c r="AH916" s="56"/>
    </row>
    <row r="917" spans="2:34">
      <c r="B917" s="65" t="s">
        <v>296</v>
      </c>
      <c r="C917" s="65"/>
      <c r="D917" s="65" t="s">
        <v>295</v>
      </c>
      <c r="E917" s="65"/>
      <c r="F917" s="65"/>
      <c r="G917" s="65"/>
      <c r="H917" s="65"/>
      <c r="I917" s="65"/>
      <c r="J917" s="65"/>
      <c r="K917" s="56"/>
      <c r="L917" s="65"/>
      <c r="M917" s="56"/>
      <c r="N917" s="56"/>
      <c r="O917" s="56"/>
      <c r="P917" s="56"/>
      <c r="Q917" s="65">
        <v>28</v>
      </c>
      <c r="R917" s="65" t="s">
        <v>202</v>
      </c>
      <c r="S917" s="65" t="b">
        <v>0</v>
      </c>
      <c r="T917" s="65" t="b">
        <v>0</v>
      </c>
      <c r="Z917" s="56"/>
      <c r="AA917" s="56"/>
      <c r="AB917" s="56"/>
      <c r="AC917" s="56"/>
      <c r="AD917" s="56"/>
      <c r="AE917" s="56"/>
      <c r="AF917" s="56"/>
      <c r="AH917" s="56"/>
    </row>
    <row r="918" spans="2:34">
      <c r="B918" s="65" t="s">
        <v>294</v>
      </c>
      <c r="C918" s="65"/>
      <c r="D918" s="65" t="s">
        <v>288</v>
      </c>
      <c r="E918" s="65"/>
      <c r="F918" s="65"/>
      <c r="G918" s="65"/>
      <c r="H918" s="65"/>
      <c r="I918" s="65"/>
      <c r="J918" s="65"/>
      <c r="K918" s="56"/>
      <c r="L918" s="65"/>
      <c r="M918" s="56"/>
      <c r="N918" s="56"/>
      <c r="O918" s="56"/>
      <c r="P918" s="56"/>
      <c r="Q918" s="65">
        <v>21</v>
      </c>
      <c r="R918" s="65" t="s">
        <v>202</v>
      </c>
      <c r="S918" s="65" t="b">
        <v>0</v>
      </c>
      <c r="T918" s="65" t="b">
        <v>0</v>
      </c>
      <c r="Z918" s="56"/>
      <c r="AA918" s="56"/>
      <c r="AB918" s="56"/>
      <c r="AC918" s="56"/>
      <c r="AD918" s="56"/>
      <c r="AE918" s="56"/>
      <c r="AF918" s="56"/>
      <c r="AH918" s="56"/>
    </row>
    <row r="919" spans="2:34">
      <c r="B919" s="65" t="s">
        <v>293</v>
      </c>
      <c r="C919" s="65"/>
      <c r="D919" s="65" t="s">
        <v>288</v>
      </c>
      <c r="E919" s="65"/>
      <c r="F919" s="65"/>
      <c r="G919" s="65"/>
      <c r="H919" s="65"/>
      <c r="I919" s="65"/>
      <c r="J919" s="65"/>
      <c r="K919" s="56"/>
      <c r="L919" s="65" t="s">
        <v>292</v>
      </c>
      <c r="M919" s="56"/>
      <c r="N919" s="56"/>
      <c r="O919" s="56"/>
      <c r="P919" s="56"/>
      <c r="Q919" s="65">
        <v>24</v>
      </c>
      <c r="R919" s="65" t="s">
        <v>202</v>
      </c>
      <c r="S919" s="65" t="b">
        <v>0</v>
      </c>
      <c r="T919" s="65" t="b">
        <v>0</v>
      </c>
      <c r="Z919" s="56"/>
      <c r="AA919" s="56"/>
      <c r="AB919" s="56"/>
      <c r="AC919" s="56"/>
      <c r="AD919" s="56"/>
      <c r="AE919" s="56"/>
      <c r="AF919" s="56"/>
      <c r="AH919" s="56"/>
    </row>
    <row r="920" spans="2:34">
      <c r="B920" s="65" t="s">
        <v>291</v>
      </c>
      <c r="C920" s="65"/>
      <c r="D920" s="65" t="s">
        <v>288</v>
      </c>
      <c r="E920" s="65"/>
      <c r="F920" s="65"/>
      <c r="G920" s="65"/>
      <c r="H920" s="65"/>
      <c r="I920" s="65"/>
      <c r="J920" s="65"/>
      <c r="K920" s="56"/>
      <c r="L920" s="65"/>
      <c r="M920" s="56"/>
      <c r="N920" s="56"/>
      <c r="O920" s="56"/>
      <c r="P920" s="56"/>
      <c r="Q920" s="65">
        <v>16</v>
      </c>
      <c r="R920" s="65" t="s">
        <v>277</v>
      </c>
      <c r="S920" s="65" t="b">
        <v>0</v>
      </c>
      <c r="T920" s="65" t="b">
        <v>0</v>
      </c>
      <c r="Z920" s="56"/>
      <c r="AA920" s="56"/>
      <c r="AB920" s="56"/>
      <c r="AC920" s="56"/>
      <c r="AD920" s="56"/>
      <c r="AE920" s="56"/>
      <c r="AF920" s="56"/>
      <c r="AH920" s="56"/>
    </row>
    <row r="921" spans="2:34">
      <c r="B921" s="65" t="s">
        <v>290</v>
      </c>
      <c r="C921" s="65"/>
      <c r="D921" s="65" t="s">
        <v>288</v>
      </c>
      <c r="E921" s="65"/>
      <c r="F921" s="65"/>
      <c r="G921" s="65"/>
      <c r="H921" s="65"/>
      <c r="I921" s="65"/>
      <c r="J921" s="65"/>
      <c r="K921" s="56"/>
      <c r="L921" s="65"/>
      <c r="M921" s="56"/>
      <c r="N921" s="56"/>
      <c r="O921" s="56"/>
      <c r="P921" s="56"/>
      <c r="Q921" s="65">
        <v>32</v>
      </c>
      <c r="R921" s="65" t="s">
        <v>202</v>
      </c>
      <c r="S921" s="65" t="b">
        <v>0</v>
      </c>
      <c r="T921" s="65" t="b">
        <v>0</v>
      </c>
      <c r="Z921" s="56"/>
      <c r="AA921" s="56"/>
      <c r="AB921" s="56"/>
      <c r="AC921" s="56"/>
      <c r="AD921" s="56"/>
      <c r="AE921" s="56"/>
      <c r="AF921" s="56"/>
      <c r="AH921" s="56"/>
    </row>
    <row r="922" spans="2:34">
      <c r="B922" s="65" t="s">
        <v>289</v>
      </c>
      <c r="C922" s="65"/>
      <c r="D922" s="65" t="s">
        <v>288</v>
      </c>
      <c r="E922" s="65"/>
      <c r="F922" s="65"/>
      <c r="G922" s="65"/>
      <c r="H922" s="65"/>
      <c r="I922" s="65"/>
      <c r="J922" s="65"/>
      <c r="K922" s="56"/>
      <c r="L922" s="65"/>
      <c r="M922" s="56"/>
      <c r="N922" s="56"/>
      <c r="O922" s="56"/>
      <c r="P922" s="56"/>
      <c r="Q922" s="65">
        <v>8</v>
      </c>
      <c r="R922" s="65" t="s">
        <v>202</v>
      </c>
      <c r="S922" s="65" t="b">
        <v>0</v>
      </c>
      <c r="T922" s="65" t="b">
        <v>0</v>
      </c>
      <c r="Z922" s="56"/>
      <c r="AA922" s="56"/>
      <c r="AB922" s="56"/>
      <c r="AC922" s="56"/>
      <c r="AD922" s="56"/>
      <c r="AE922" s="56"/>
      <c r="AF922" s="56"/>
      <c r="AH922" s="56"/>
    </row>
    <row r="923" spans="2:34">
      <c r="B923" s="65" t="s">
        <v>287</v>
      </c>
      <c r="C923" s="65"/>
      <c r="D923" s="65" t="s">
        <v>286</v>
      </c>
      <c r="E923" s="65"/>
      <c r="F923" s="65"/>
      <c r="G923" s="65"/>
      <c r="H923" s="65"/>
      <c r="I923" s="65"/>
      <c r="J923" s="65"/>
      <c r="K923" s="56"/>
      <c r="L923" s="65" t="s">
        <v>285</v>
      </c>
      <c r="M923" s="56"/>
      <c r="N923" s="56"/>
      <c r="O923" s="56"/>
      <c r="P923" s="56"/>
      <c r="Q923" s="65">
        <v>6</v>
      </c>
      <c r="R923" s="65" t="s">
        <v>202</v>
      </c>
      <c r="S923" s="65" t="b">
        <v>1</v>
      </c>
      <c r="T923" s="65" t="b">
        <v>1</v>
      </c>
      <c r="Z923" s="56"/>
      <c r="AA923" s="56"/>
      <c r="AB923" s="56"/>
      <c r="AC923" s="56"/>
      <c r="AD923" s="56"/>
      <c r="AE923" s="56"/>
      <c r="AF923" s="56"/>
      <c r="AH923" s="56"/>
    </row>
    <row r="924" spans="2:34">
      <c r="B924" s="65" t="s">
        <v>284</v>
      </c>
      <c r="C924" s="65"/>
      <c r="D924" s="65" t="s">
        <v>283</v>
      </c>
      <c r="E924" s="65"/>
      <c r="F924" s="65"/>
      <c r="G924" s="65"/>
      <c r="H924" s="65"/>
      <c r="I924" s="65"/>
      <c r="J924" s="65"/>
      <c r="K924" s="56"/>
      <c r="L924" s="65"/>
      <c r="M924" s="56"/>
      <c r="N924" s="56"/>
      <c r="O924" s="56"/>
      <c r="P924" s="56"/>
      <c r="Q924" s="65">
        <v>4</v>
      </c>
      <c r="R924" s="65"/>
      <c r="S924" s="65" t="b">
        <v>0</v>
      </c>
      <c r="T924" s="65" t="b">
        <v>0</v>
      </c>
      <c r="Z924" s="56"/>
      <c r="AA924" s="56"/>
      <c r="AB924" s="56"/>
      <c r="AC924" s="56"/>
      <c r="AD924" s="56"/>
      <c r="AE924" s="56"/>
      <c r="AF924" s="56"/>
      <c r="AH924" s="56"/>
    </row>
    <row r="925" spans="2:34">
      <c r="B925" s="65" t="s">
        <v>282</v>
      </c>
      <c r="C925" s="65"/>
      <c r="D925" s="65" t="s">
        <v>280</v>
      </c>
      <c r="E925" s="65"/>
      <c r="F925" s="65"/>
      <c r="G925" s="65"/>
      <c r="H925" s="65"/>
      <c r="I925" s="65"/>
      <c r="J925" s="65"/>
      <c r="K925" s="56"/>
      <c r="L925" s="65"/>
      <c r="M925" s="56"/>
      <c r="N925" s="56"/>
      <c r="O925" s="56"/>
      <c r="P925" s="56"/>
      <c r="Q925" s="65">
        <v>5</v>
      </c>
      <c r="R925" s="65" t="s">
        <v>202</v>
      </c>
      <c r="S925" s="65" t="b">
        <v>0</v>
      </c>
      <c r="T925" s="65" t="b">
        <v>0</v>
      </c>
      <c r="Z925" s="56"/>
      <c r="AA925" s="56"/>
      <c r="AB925" s="56"/>
      <c r="AC925" s="56"/>
      <c r="AD925" s="56"/>
      <c r="AE925" s="56"/>
      <c r="AF925" s="56"/>
      <c r="AH925" s="56"/>
    </row>
    <row r="926" spans="2:34">
      <c r="B926" s="65" t="s">
        <v>281</v>
      </c>
      <c r="C926" s="65"/>
      <c r="D926" s="65" t="s">
        <v>280</v>
      </c>
      <c r="E926" s="65"/>
      <c r="F926" s="65"/>
      <c r="G926" s="65"/>
      <c r="H926" s="65"/>
      <c r="I926" s="65"/>
      <c r="J926" s="65"/>
      <c r="K926" s="56"/>
      <c r="L926" s="65"/>
      <c r="M926" s="56"/>
      <c r="N926" s="56"/>
      <c r="O926" s="56"/>
      <c r="P926" s="56"/>
      <c r="Q926" s="65">
        <v>15</v>
      </c>
      <c r="R926" s="65" t="s">
        <v>202</v>
      </c>
      <c r="S926" s="65" t="b">
        <v>0</v>
      </c>
      <c r="T926" s="65" t="b">
        <v>0</v>
      </c>
      <c r="Z926" s="56"/>
      <c r="AA926" s="56"/>
      <c r="AB926" s="56"/>
      <c r="AC926" s="56"/>
      <c r="AD926" s="56"/>
      <c r="AE926" s="56"/>
      <c r="AF926" s="56"/>
      <c r="AH926" s="56"/>
    </row>
    <row r="927" spans="2:34">
      <c r="B927" s="65" t="s">
        <v>279</v>
      </c>
      <c r="C927" s="65"/>
      <c r="D927" s="65" t="s">
        <v>278</v>
      </c>
      <c r="E927" s="65"/>
      <c r="F927" s="65"/>
      <c r="G927" s="65"/>
      <c r="H927" s="65"/>
      <c r="I927" s="65"/>
      <c r="J927" s="65"/>
      <c r="K927" s="56"/>
      <c r="L927" s="65"/>
      <c r="M927" s="56"/>
      <c r="N927" s="56"/>
      <c r="O927" s="56"/>
      <c r="P927" s="56"/>
      <c r="Q927" s="65">
        <v>14</v>
      </c>
      <c r="R927" s="65" t="s">
        <v>277</v>
      </c>
      <c r="S927" s="65" t="b">
        <v>0</v>
      </c>
      <c r="T927" s="65" t="b">
        <v>0</v>
      </c>
      <c r="Z927" s="56"/>
      <c r="AA927" s="56"/>
      <c r="AB927" s="56"/>
      <c r="AC927" s="56"/>
      <c r="AD927" s="56"/>
      <c r="AE927" s="56"/>
      <c r="AF927" s="56"/>
      <c r="AH927" s="56"/>
    </row>
    <row r="928" spans="2:34">
      <c r="B928" s="65" t="s">
        <v>276</v>
      </c>
      <c r="C928" s="65"/>
      <c r="D928" s="65" t="s">
        <v>275</v>
      </c>
      <c r="E928" s="65"/>
      <c r="F928" s="65"/>
      <c r="G928" s="65"/>
      <c r="H928" s="65"/>
      <c r="I928" s="65"/>
      <c r="J928" s="65"/>
      <c r="K928" s="56"/>
      <c r="L928" s="65"/>
      <c r="M928" s="56"/>
      <c r="N928" s="56"/>
      <c r="O928" s="56"/>
      <c r="P928" s="56"/>
      <c r="Q928" s="65">
        <v>29</v>
      </c>
      <c r="R928" s="65" t="s">
        <v>202</v>
      </c>
      <c r="S928" s="65" t="b">
        <v>0</v>
      </c>
      <c r="T928" s="65" t="b">
        <v>0</v>
      </c>
      <c r="Z928" s="56"/>
      <c r="AA928" s="56"/>
      <c r="AB928" s="56"/>
      <c r="AC928" s="56"/>
      <c r="AD928" s="56"/>
      <c r="AE928" s="56"/>
      <c r="AF928" s="56"/>
      <c r="AH928" s="56"/>
    </row>
    <row r="929" spans="2:34">
      <c r="B929" s="65" t="s">
        <v>274</v>
      </c>
      <c r="C929" s="65"/>
      <c r="D929" s="65" t="s">
        <v>250</v>
      </c>
      <c r="E929" s="65"/>
      <c r="F929" s="65"/>
      <c r="G929" s="65"/>
      <c r="H929" s="65"/>
      <c r="I929" s="65"/>
      <c r="J929" s="65"/>
      <c r="K929" s="56"/>
      <c r="L929" s="65"/>
      <c r="M929" s="56"/>
      <c r="N929" s="56"/>
      <c r="O929" s="56"/>
      <c r="P929" s="56"/>
      <c r="Q929" s="65">
        <v>17</v>
      </c>
      <c r="R929" s="65" t="s">
        <v>202</v>
      </c>
      <c r="S929" s="65" t="b">
        <v>0</v>
      </c>
      <c r="T929" s="65" t="b">
        <v>0</v>
      </c>
      <c r="Z929" s="56"/>
      <c r="AA929" s="56"/>
      <c r="AB929" s="56"/>
      <c r="AC929" s="56"/>
      <c r="AD929" s="56"/>
      <c r="AE929" s="56"/>
      <c r="AF929" s="56"/>
      <c r="AH929" s="56"/>
    </row>
    <row r="930" spans="2:34">
      <c r="B930" s="65" t="s">
        <v>273</v>
      </c>
      <c r="C930" s="65"/>
      <c r="D930" s="65" t="s">
        <v>250</v>
      </c>
      <c r="E930" s="65"/>
      <c r="F930" s="65"/>
      <c r="G930" s="65"/>
      <c r="H930" s="65"/>
      <c r="I930" s="65"/>
      <c r="J930" s="65"/>
      <c r="K930" s="56"/>
      <c r="L930" s="65"/>
      <c r="M930" s="56"/>
      <c r="N930" s="56"/>
      <c r="O930" s="56"/>
      <c r="P930" s="56"/>
      <c r="Q930" s="65">
        <v>9</v>
      </c>
      <c r="R930" s="65" t="s">
        <v>202</v>
      </c>
      <c r="S930" s="65" t="b">
        <v>0</v>
      </c>
      <c r="T930" s="65" t="b">
        <v>0</v>
      </c>
      <c r="Z930" s="56"/>
      <c r="AA930" s="56"/>
      <c r="AB930" s="56"/>
      <c r="AC930" s="56"/>
      <c r="AD930" s="56"/>
      <c r="AE930" s="56"/>
      <c r="AF930" s="56"/>
      <c r="AH930" s="56"/>
    </row>
    <row r="931" spans="2:34">
      <c r="B931" s="65" t="s">
        <v>272</v>
      </c>
      <c r="C931" s="65"/>
      <c r="D931" s="65" t="s">
        <v>250</v>
      </c>
      <c r="E931" s="65"/>
      <c r="F931" s="65"/>
      <c r="G931" s="65"/>
      <c r="H931" s="65"/>
      <c r="I931" s="65"/>
      <c r="J931" s="65"/>
      <c r="K931" s="56"/>
      <c r="L931" s="65"/>
      <c r="M931" s="56"/>
      <c r="N931" s="56"/>
      <c r="O931" s="56"/>
      <c r="P931" s="56"/>
      <c r="Q931" s="65">
        <v>10</v>
      </c>
      <c r="R931" s="65" t="s">
        <v>202</v>
      </c>
      <c r="S931" s="65" t="b">
        <v>1</v>
      </c>
      <c r="T931" s="65" t="b">
        <v>1</v>
      </c>
      <c r="Z931" s="56"/>
      <c r="AA931" s="56"/>
      <c r="AB931" s="56"/>
      <c r="AC931" s="56"/>
      <c r="AD931" s="56"/>
      <c r="AE931" s="56"/>
      <c r="AF931" s="56"/>
      <c r="AH931" s="56"/>
    </row>
    <row r="932" spans="2:34">
      <c r="B932" s="65" t="s">
        <v>271</v>
      </c>
      <c r="C932" s="65"/>
      <c r="D932" s="65" t="s">
        <v>250</v>
      </c>
      <c r="E932" s="65"/>
      <c r="F932" s="65"/>
      <c r="G932" s="65"/>
      <c r="H932" s="65"/>
      <c r="I932" s="65"/>
      <c r="J932" s="65"/>
      <c r="K932" s="56"/>
      <c r="L932" s="65"/>
      <c r="M932" s="56"/>
      <c r="N932" s="56"/>
      <c r="O932" s="56"/>
      <c r="P932" s="56"/>
      <c r="Q932" s="65">
        <v>15</v>
      </c>
      <c r="R932" s="65" t="s">
        <v>202</v>
      </c>
      <c r="S932" s="65" t="b">
        <v>0</v>
      </c>
      <c r="T932" s="65" t="b">
        <v>0</v>
      </c>
      <c r="Z932" s="56"/>
      <c r="AA932" s="56"/>
      <c r="AB932" s="56"/>
      <c r="AC932" s="56"/>
      <c r="AD932" s="56"/>
      <c r="AE932" s="56"/>
      <c r="AF932" s="56"/>
      <c r="AH932" s="56"/>
    </row>
    <row r="933" spans="2:34">
      <c r="B933" s="65" t="s">
        <v>270</v>
      </c>
      <c r="C933" s="65"/>
      <c r="D933" s="65" t="s">
        <v>250</v>
      </c>
      <c r="E933" s="65"/>
      <c r="F933" s="65"/>
      <c r="G933" s="65"/>
      <c r="H933" s="65"/>
      <c r="I933" s="65"/>
      <c r="J933" s="65"/>
      <c r="K933" s="56"/>
      <c r="L933" s="65"/>
      <c r="M933" s="56"/>
      <c r="N933" s="56"/>
      <c r="O933" s="56"/>
      <c r="P933" s="56"/>
      <c r="Q933" s="65">
        <v>14</v>
      </c>
      <c r="R933" s="65" t="s">
        <v>202</v>
      </c>
      <c r="S933" s="65" t="b">
        <v>0</v>
      </c>
      <c r="T933" s="65" t="b">
        <v>0</v>
      </c>
      <c r="Z933" s="56"/>
      <c r="AA933" s="56"/>
      <c r="AB933" s="56"/>
      <c r="AC933" s="56"/>
      <c r="AD933" s="56"/>
      <c r="AE933" s="56"/>
      <c r="AF933" s="56"/>
      <c r="AH933" s="56"/>
    </row>
    <row r="934" spans="2:34">
      <c r="B934" s="65" t="s">
        <v>269</v>
      </c>
      <c r="C934" s="65"/>
      <c r="D934" s="65" t="s">
        <v>250</v>
      </c>
      <c r="E934" s="65"/>
      <c r="F934" s="65"/>
      <c r="G934" s="65"/>
      <c r="H934" s="65"/>
      <c r="I934" s="65"/>
      <c r="J934" s="65"/>
      <c r="K934" s="56"/>
      <c r="L934" s="65"/>
      <c r="M934" s="56"/>
      <c r="N934" s="56"/>
      <c r="O934" s="56"/>
      <c r="P934" s="56"/>
      <c r="Q934" s="65">
        <v>8</v>
      </c>
      <c r="R934" s="65" t="s">
        <v>202</v>
      </c>
      <c r="S934" s="65" t="b">
        <v>0</v>
      </c>
      <c r="T934" s="65" t="b">
        <v>0</v>
      </c>
      <c r="Z934" s="56"/>
      <c r="AA934" s="56"/>
      <c r="AB934" s="56"/>
      <c r="AC934" s="56"/>
      <c r="AD934" s="56"/>
      <c r="AE934" s="56"/>
      <c r="AF934" s="56"/>
      <c r="AH934" s="56"/>
    </row>
    <row r="935" spans="2:34">
      <c r="B935" s="65" t="s">
        <v>268</v>
      </c>
      <c r="C935" s="65"/>
      <c r="D935" s="65" t="s">
        <v>250</v>
      </c>
      <c r="E935" s="65"/>
      <c r="F935" s="65"/>
      <c r="G935" s="65"/>
      <c r="H935" s="65"/>
      <c r="I935" s="65"/>
      <c r="J935" s="65" t="s">
        <v>267</v>
      </c>
      <c r="K935" s="56"/>
      <c r="L935" s="65" t="s">
        <v>260</v>
      </c>
      <c r="M935" s="56"/>
      <c r="N935" s="56"/>
      <c r="O935" s="56"/>
      <c r="P935" s="56"/>
      <c r="Q935" s="65">
        <v>27</v>
      </c>
      <c r="R935" s="65" t="s">
        <v>202</v>
      </c>
      <c r="S935" s="65" t="b">
        <v>1</v>
      </c>
      <c r="T935" s="65" t="b">
        <v>1</v>
      </c>
      <c r="Z935" s="56"/>
      <c r="AA935" s="56"/>
      <c r="AB935" s="56"/>
      <c r="AC935" s="56"/>
      <c r="AD935" s="56"/>
      <c r="AE935" s="56"/>
      <c r="AF935" s="56"/>
      <c r="AH935" s="56"/>
    </row>
    <row r="936" spans="2:34">
      <c r="B936" s="65" t="s">
        <v>266</v>
      </c>
      <c r="C936" s="65"/>
      <c r="D936" s="65" t="s">
        <v>250</v>
      </c>
      <c r="E936" s="65"/>
      <c r="F936" s="65"/>
      <c r="G936" s="65"/>
      <c r="H936" s="65"/>
      <c r="I936" s="65"/>
      <c r="J936" s="65" t="s">
        <v>265</v>
      </c>
      <c r="K936" s="56"/>
      <c r="L936" s="65" t="s">
        <v>264</v>
      </c>
      <c r="M936" s="56"/>
      <c r="N936" s="56"/>
      <c r="O936" s="56"/>
      <c r="P936" s="56"/>
      <c r="Q936" s="65">
        <v>28</v>
      </c>
      <c r="R936" s="65" t="s">
        <v>202</v>
      </c>
      <c r="S936" s="65" t="b">
        <v>1</v>
      </c>
      <c r="T936" s="65" t="b">
        <v>1</v>
      </c>
      <c r="Z936" s="56"/>
      <c r="AA936" s="56"/>
      <c r="AB936" s="56"/>
      <c r="AC936" s="56"/>
      <c r="AD936" s="56"/>
      <c r="AE936" s="56"/>
      <c r="AF936" s="56"/>
      <c r="AH936" s="56"/>
    </row>
    <row r="937" spans="2:34">
      <c r="B937" s="65" t="s">
        <v>263</v>
      </c>
      <c r="C937" s="65"/>
      <c r="D937" s="65" t="s">
        <v>250</v>
      </c>
      <c r="E937" s="65"/>
      <c r="F937" s="65"/>
      <c r="G937" s="65" t="s">
        <v>262</v>
      </c>
      <c r="H937" s="65"/>
      <c r="I937" s="65"/>
      <c r="J937" s="65" t="s">
        <v>261</v>
      </c>
      <c r="K937" s="56"/>
      <c r="L937" s="65" t="s">
        <v>260</v>
      </c>
      <c r="M937" s="56"/>
      <c r="N937" s="56"/>
      <c r="O937" s="56"/>
      <c r="P937" s="56"/>
      <c r="Q937" s="65">
        <v>27</v>
      </c>
      <c r="R937" s="65" t="s">
        <v>202</v>
      </c>
      <c r="S937" s="65" t="b">
        <v>1</v>
      </c>
      <c r="T937" s="65" t="b">
        <v>1</v>
      </c>
      <c r="Z937" s="56"/>
      <c r="AA937" s="56"/>
      <c r="AB937" s="56"/>
      <c r="AC937" s="56"/>
      <c r="AD937" s="56"/>
      <c r="AE937" s="56"/>
      <c r="AF937" s="56"/>
      <c r="AH937" s="56"/>
    </row>
    <row r="938" spans="2:34">
      <c r="B938" s="65" t="s">
        <v>259</v>
      </c>
      <c r="C938" s="65"/>
      <c r="D938" s="65" t="s">
        <v>250</v>
      </c>
      <c r="E938" s="65"/>
      <c r="F938" s="65"/>
      <c r="G938" s="65"/>
      <c r="H938" s="65"/>
      <c r="I938" s="65"/>
      <c r="J938" s="65"/>
      <c r="K938" s="56"/>
      <c r="L938" s="65"/>
      <c r="M938" s="56"/>
      <c r="N938" s="56"/>
      <c r="O938" s="56"/>
      <c r="P938" s="56"/>
      <c r="Q938" s="65">
        <v>25</v>
      </c>
      <c r="R938" s="65" t="s">
        <v>202</v>
      </c>
      <c r="S938" s="65" t="b">
        <v>0</v>
      </c>
      <c r="T938" s="65" t="b">
        <v>0</v>
      </c>
      <c r="Z938" s="56"/>
      <c r="AA938" s="56"/>
      <c r="AB938" s="56"/>
      <c r="AC938" s="56"/>
      <c r="AD938" s="56"/>
      <c r="AE938" s="56"/>
      <c r="AF938" s="56"/>
      <c r="AH938" s="56"/>
    </row>
    <row r="939" spans="2:34">
      <c r="B939" s="65" t="s">
        <v>258</v>
      </c>
      <c r="C939" s="65"/>
      <c r="D939" s="65" t="s">
        <v>250</v>
      </c>
      <c r="E939" s="65"/>
      <c r="F939" s="65"/>
      <c r="G939" s="65"/>
      <c r="H939" s="65"/>
      <c r="I939" s="65"/>
      <c r="J939" s="65"/>
      <c r="K939" s="56"/>
      <c r="L939" s="65"/>
      <c r="M939" s="56"/>
      <c r="N939" s="56"/>
      <c r="O939" s="56"/>
      <c r="P939" s="56"/>
      <c r="Q939" s="65">
        <v>6</v>
      </c>
      <c r="R939" s="65" t="s">
        <v>202</v>
      </c>
      <c r="S939" s="65" t="b">
        <v>0</v>
      </c>
      <c r="T939" s="65" t="b">
        <v>0</v>
      </c>
      <c r="Z939" s="56"/>
      <c r="AA939" s="56"/>
      <c r="AB939" s="56"/>
      <c r="AC939" s="56"/>
      <c r="AD939" s="56"/>
      <c r="AE939" s="56"/>
      <c r="AF939" s="56"/>
      <c r="AH939" s="56"/>
    </row>
    <row r="940" spans="2:34">
      <c r="B940" s="65" t="s">
        <v>257</v>
      </c>
      <c r="C940" s="65"/>
      <c r="D940" s="65" t="s">
        <v>250</v>
      </c>
      <c r="E940" s="65"/>
      <c r="F940" s="65"/>
      <c r="G940" s="65"/>
      <c r="H940" s="65"/>
      <c r="I940" s="65"/>
      <c r="J940" s="65"/>
      <c r="K940" s="56"/>
      <c r="L940" s="65"/>
      <c r="M940" s="56"/>
      <c r="N940" s="56"/>
      <c r="O940" s="56"/>
      <c r="P940" s="56"/>
      <c r="Q940" s="65">
        <v>10</v>
      </c>
      <c r="R940" s="65" t="s">
        <v>202</v>
      </c>
      <c r="S940" s="65" t="b">
        <v>0</v>
      </c>
      <c r="T940" s="65" t="b">
        <v>0</v>
      </c>
      <c r="Z940" s="56"/>
      <c r="AA940" s="56"/>
      <c r="AB940" s="56"/>
      <c r="AC940" s="56"/>
      <c r="AD940" s="56"/>
      <c r="AE940" s="56"/>
      <c r="AF940" s="56"/>
      <c r="AH940" s="56"/>
    </row>
    <row r="941" spans="2:34">
      <c r="B941" s="65" t="s">
        <v>256</v>
      </c>
      <c r="C941" s="65"/>
      <c r="D941" s="65" t="s">
        <v>250</v>
      </c>
      <c r="E941" s="65"/>
      <c r="F941" s="65"/>
      <c r="G941" s="65"/>
      <c r="H941" s="65"/>
      <c r="I941" s="65"/>
      <c r="J941" s="65"/>
      <c r="K941" s="56"/>
      <c r="L941" s="65"/>
      <c r="M941" s="56"/>
      <c r="N941" s="56"/>
      <c r="O941" s="56"/>
      <c r="P941" s="56"/>
      <c r="Q941" s="65">
        <v>11</v>
      </c>
      <c r="R941" s="65" t="s">
        <v>202</v>
      </c>
      <c r="S941" s="65" t="b">
        <v>0</v>
      </c>
      <c r="T941" s="65" t="b">
        <v>0</v>
      </c>
      <c r="Z941" s="56"/>
      <c r="AA941" s="56"/>
      <c r="AB941" s="56"/>
      <c r="AC941" s="56"/>
      <c r="AD941" s="56"/>
      <c r="AE941" s="56"/>
      <c r="AF941" s="56"/>
      <c r="AH941" s="56"/>
    </row>
    <row r="942" spans="2:34">
      <c r="B942" s="65" t="s">
        <v>255</v>
      </c>
      <c r="C942" s="65"/>
      <c r="D942" s="65" t="s">
        <v>250</v>
      </c>
      <c r="E942" s="65"/>
      <c r="F942" s="65"/>
      <c r="G942" s="65"/>
      <c r="H942" s="65"/>
      <c r="I942" s="65"/>
      <c r="J942" s="65"/>
      <c r="K942" s="56"/>
      <c r="L942" s="65"/>
      <c r="M942" s="56"/>
      <c r="N942" s="56"/>
      <c r="O942" s="56"/>
      <c r="P942" s="56"/>
      <c r="Q942" s="65">
        <v>8</v>
      </c>
      <c r="R942" s="65" t="s">
        <v>202</v>
      </c>
      <c r="S942" s="65" t="b">
        <v>0</v>
      </c>
      <c r="T942" s="65" t="b">
        <v>0</v>
      </c>
      <c r="Z942" s="56"/>
      <c r="AA942" s="56"/>
      <c r="AB942" s="56"/>
      <c r="AC942" s="56"/>
      <c r="AD942" s="56"/>
      <c r="AE942" s="56"/>
      <c r="AF942" s="56"/>
      <c r="AH942" s="56"/>
    </row>
    <row r="943" spans="2:34">
      <c r="B943" s="65" t="s">
        <v>254</v>
      </c>
      <c r="C943" s="65"/>
      <c r="D943" s="65" t="s">
        <v>250</v>
      </c>
      <c r="E943" s="65"/>
      <c r="F943" s="65"/>
      <c r="G943" s="65"/>
      <c r="H943" s="65"/>
      <c r="I943" s="65"/>
      <c r="J943" s="65"/>
      <c r="K943" s="56"/>
      <c r="L943" s="65"/>
      <c r="M943" s="56"/>
      <c r="N943" s="56"/>
      <c r="O943" s="56"/>
      <c r="P943" s="56"/>
      <c r="Q943" s="65">
        <v>10</v>
      </c>
      <c r="R943" s="65" t="s">
        <v>202</v>
      </c>
      <c r="S943" s="65" t="b">
        <v>0</v>
      </c>
      <c r="T943" s="65" t="b">
        <v>0</v>
      </c>
      <c r="Z943" s="56"/>
      <c r="AA943" s="56"/>
      <c r="AB943" s="56"/>
      <c r="AC943" s="56"/>
      <c r="AD943" s="56"/>
      <c r="AE943" s="56"/>
      <c r="AF943" s="56"/>
      <c r="AH943" s="56"/>
    </row>
    <row r="944" spans="2:34">
      <c r="B944" s="65" t="s">
        <v>253</v>
      </c>
      <c r="C944" s="65"/>
      <c r="D944" s="65" t="s">
        <v>250</v>
      </c>
      <c r="E944" s="65"/>
      <c r="F944" s="65"/>
      <c r="G944" s="65"/>
      <c r="H944" s="65"/>
      <c r="I944" s="65"/>
      <c r="J944" s="65"/>
      <c r="K944" s="56"/>
      <c r="L944" s="65"/>
      <c r="M944" s="56"/>
      <c r="N944" s="56"/>
      <c r="O944" s="56"/>
      <c r="P944" s="56"/>
      <c r="Q944" s="65">
        <v>9</v>
      </c>
      <c r="R944" s="65" t="s">
        <v>202</v>
      </c>
      <c r="S944" s="65" t="b">
        <v>0</v>
      </c>
      <c r="T944" s="65" t="b">
        <v>0</v>
      </c>
      <c r="Z944" s="56"/>
      <c r="AA944" s="56"/>
      <c r="AB944" s="56"/>
      <c r="AC944" s="56"/>
      <c r="AD944" s="56"/>
      <c r="AE944" s="56"/>
      <c r="AF944" s="56"/>
      <c r="AH944" s="56"/>
    </row>
    <row r="945" spans="2:34">
      <c r="B945" s="65" t="s">
        <v>252</v>
      </c>
      <c r="C945" s="65"/>
      <c r="D945" s="65" t="s">
        <v>250</v>
      </c>
      <c r="E945" s="65"/>
      <c r="F945" s="65"/>
      <c r="G945" s="65"/>
      <c r="H945" s="65"/>
      <c r="I945" s="65"/>
      <c r="J945" s="65"/>
      <c r="K945" s="56"/>
      <c r="L945" s="65"/>
      <c r="M945" s="56"/>
      <c r="N945" s="56"/>
      <c r="O945" s="56"/>
      <c r="P945" s="56"/>
      <c r="Q945" s="65">
        <v>8</v>
      </c>
      <c r="R945" s="65" t="s">
        <v>202</v>
      </c>
      <c r="S945" s="65" t="b">
        <v>0</v>
      </c>
      <c r="T945" s="65" t="b">
        <v>0</v>
      </c>
      <c r="Z945" s="56"/>
      <c r="AA945" s="56"/>
      <c r="AB945" s="56"/>
      <c r="AC945" s="56"/>
      <c r="AD945" s="56"/>
      <c r="AE945" s="56"/>
      <c r="AF945" s="56"/>
      <c r="AH945" s="56"/>
    </row>
    <row r="946" spans="2:34">
      <c r="B946" s="65" t="s">
        <v>251</v>
      </c>
      <c r="C946" s="65"/>
      <c r="D946" s="65" t="s">
        <v>250</v>
      </c>
      <c r="E946" s="65"/>
      <c r="F946" s="65"/>
      <c r="G946" s="65"/>
      <c r="H946" s="65"/>
      <c r="I946" s="65"/>
      <c r="J946" s="65"/>
      <c r="K946" s="56"/>
      <c r="L946" s="65"/>
      <c r="M946" s="56"/>
      <c r="N946" s="56"/>
      <c r="O946" s="56"/>
      <c r="P946" s="56"/>
      <c r="Q946" s="65">
        <v>9</v>
      </c>
      <c r="R946" s="65" t="s">
        <v>202</v>
      </c>
      <c r="S946" s="65" t="b">
        <v>0</v>
      </c>
      <c r="T946" s="65" t="b">
        <v>0</v>
      </c>
      <c r="Z946" s="56"/>
      <c r="AA946" s="56"/>
      <c r="AB946" s="56"/>
      <c r="AC946" s="56"/>
      <c r="AD946" s="56"/>
      <c r="AE946" s="56"/>
      <c r="AF946" s="56"/>
      <c r="AH946" s="56"/>
    </row>
    <row r="947" spans="2:34">
      <c r="B947" s="65" t="s">
        <v>249</v>
      </c>
      <c r="C947" s="65"/>
      <c r="D947" s="65" t="s">
        <v>246</v>
      </c>
      <c r="E947" s="65"/>
      <c r="F947" s="65"/>
      <c r="G947" s="65"/>
      <c r="H947" s="65"/>
      <c r="I947" s="65"/>
      <c r="J947" s="65"/>
      <c r="K947" s="56"/>
      <c r="L947" s="65"/>
      <c r="M947" s="56"/>
      <c r="N947" s="56"/>
      <c r="O947" s="56"/>
      <c r="P947" s="56"/>
      <c r="Q947" s="65">
        <v>24</v>
      </c>
      <c r="R947" s="65" t="s">
        <v>248</v>
      </c>
      <c r="S947" s="65" t="b">
        <v>0</v>
      </c>
      <c r="T947" s="65" t="b">
        <v>0</v>
      </c>
      <c r="Z947" s="56"/>
      <c r="AA947" s="56"/>
      <c r="AB947" s="56"/>
      <c r="AC947" s="56"/>
      <c r="AD947" s="56"/>
      <c r="AE947" s="56"/>
      <c r="AF947" s="56"/>
      <c r="AH947" s="56"/>
    </row>
    <row r="948" spans="2:34">
      <c r="B948" s="65" t="s">
        <v>247</v>
      </c>
      <c r="C948" s="65"/>
      <c r="D948" s="65" t="s">
        <v>246</v>
      </c>
      <c r="E948" s="65"/>
      <c r="F948" s="65"/>
      <c r="G948" s="65"/>
      <c r="H948" s="65"/>
      <c r="I948" s="65"/>
      <c r="J948" s="65"/>
      <c r="K948" s="56"/>
      <c r="L948" s="65"/>
      <c r="M948" s="56"/>
      <c r="N948" s="56"/>
      <c r="O948" s="56"/>
      <c r="P948" s="56"/>
      <c r="Q948" s="65">
        <v>26</v>
      </c>
      <c r="R948" s="65" t="s">
        <v>202</v>
      </c>
      <c r="S948" s="65" t="b">
        <v>0</v>
      </c>
      <c r="T948" s="65" t="b">
        <v>0</v>
      </c>
      <c r="Z948" s="56"/>
      <c r="AA948" s="56"/>
      <c r="AB948" s="56"/>
      <c r="AC948" s="56"/>
      <c r="AD948" s="56"/>
      <c r="AE948" s="56"/>
      <c r="AF948" s="56"/>
      <c r="AH948" s="56"/>
    </row>
    <row r="949" spans="2:34">
      <c r="B949" s="65" t="s">
        <v>245</v>
      </c>
      <c r="C949" s="65"/>
      <c r="D949" s="65" t="s">
        <v>244</v>
      </c>
      <c r="E949" s="65"/>
      <c r="F949" s="65"/>
      <c r="G949" s="65"/>
      <c r="H949" s="65"/>
      <c r="I949" s="65"/>
      <c r="J949" s="65"/>
      <c r="K949" s="56"/>
      <c r="L949" s="65"/>
      <c r="M949" s="56"/>
      <c r="N949" s="56"/>
      <c r="O949" s="56"/>
      <c r="P949" s="56"/>
      <c r="Q949" s="65">
        <v>4</v>
      </c>
      <c r="R949" s="65" t="s">
        <v>202</v>
      </c>
      <c r="S949" s="65" t="b">
        <v>0</v>
      </c>
      <c r="T949" s="65" t="b">
        <v>0</v>
      </c>
      <c r="Z949" s="56"/>
      <c r="AA949" s="56"/>
      <c r="AB949" s="56"/>
      <c r="AC949" s="56"/>
      <c r="AD949" s="56"/>
      <c r="AE949" s="56"/>
      <c r="AF949" s="56"/>
      <c r="AH949" s="56"/>
    </row>
    <row r="950" spans="2:34">
      <c r="B950" s="65" t="s">
        <v>183</v>
      </c>
      <c r="C950" s="65"/>
      <c r="D950" s="65" t="s">
        <v>239</v>
      </c>
      <c r="E950" s="65"/>
      <c r="F950" s="65"/>
      <c r="G950" s="65"/>
      <c r="H950" s="65"/>
      <c r="I950" s="65"/>
      <c r="J950" s="65"/>
      <c r="K950" s="56"/>
      <c r="L950" s="65"/>
      <c r="M950" s="56"/>
      <c r="N950" s="56"/>
      <c r="O950" s="56"/>
      <c r="P950" s="56"/>
      <c r="Q950" s="65"/>
      <c r="R950" s="65"/>
      <c r="S950" s="65" t="b">
        <v>0</v>
      </c>
      <c r="T950" s="65" t="b">
        <v>0</v>
      </c>
      <c r="Z950" s="56"/>
      <c r="AA950" s="56"/>
      <c r="AB950" s="56"/>
      <c r="AC950" s="56"/>
      <c r="AD950" s="56"/>
      <c r="AE950" s="56"/>
      <c r="AF950" s="56"/>
      <c r="AH950" s="56"/>
    </row>
    <row r="951" spans="2:34">
      <c r="B951" s="65" t="s">
        <v>171</v>
      </c>
      <c r="C951" s="65"/>
      <c r="D951" s="65" t="s">
        <v>239</v>
      </c>
      <c r="E951" s="65"/>
      <c r="F951" s="65"/>
      <c r="G951" s="65"/>
      <c r="H951" s="65"/>
      <c r="I951" s="65"/>
      <c r="J951" s="65"/>
      <c r="K951" s="56"/>
      <c r="L951" s="65"/>
      <c r="M951" s="56"/>
      <c r="N951" s="56"/>
      <c r="O951" s="56"/>
      <c r="P951" s="56"/>
      <c r="Q951" s="65"/>
      <c r="R951" s="65"/>
      <c r="S951" s="65" t="b">
        <v>0</v>
      </c>
      <c r="T951" s="65" t="b">
        <v>0</v>
      </c>
      <c r="Z951" s="56"/>
      <c r="AA951" s="56"/>
      <c r="AB951" s="56"/>
      <c r="AC951" s="56"/>
      <c r="AD951" s="56"/>
      <c r="AE951" s="56"/>
      <c r="AF951" s="56"/>
      <c r="AH951" s="56"/>
    </row>
    <row r="952" spans="2:34">
      <c r="B952" s="65" t="s">
        <v>176</v>
      </c>
      <c r="C952" s="65"/>
      <c r="D952" s="65" t="s">
        <v>239</v>
      </c>
      <c r="E952" s="65"/>
      <c r="F952" s="65"/>
      <c r="G952" s="65"/>
      <c r="H952" s="65"/>
      <c r="I952" s="65"/>
      <c r="J952" s="65"/>
      <c r="K952" s="56"/>
      <c r="L952" s="65"/>
      <c r="M952" s="56"/>
      <c r="N952" s="56"/>
      <c r="O952" s="56"/>
      <c r="P952" s="56"/>
      <c r="Q952" s="65"/>
      <c r="R952" s="65"/>
      <c r="S952" s="65" t="b">
        <v>0</v>
      </c>
      <c r="T952" s="65" t="b">
        <v>0</v>
      </c>
      <c r="Z952" s="56"/>
      <c r="AA952" s="56"/>
      <c r="AB952" s="56"/>
      <c r="AC952" s="56"/>
      <c r="AD952" s="56"/>
      <c r="AE952" s="56"/>
      <c r="AF952" s="56"/>
      <c r="AH952" s="56"/>
    </row>
    <row r="953" spans="2:34">
      <c r="B953" s="65" t="s">
        <v>181</v>
      </c>
      <c r="C953" s="65"/>
      <c r="D953" s="65" t="s">
        <v>239</v>
      </c>
      <c r="E953" s="65"/>
      <c r="F953" s="65"/>
      <c r="G953" s="65"/>
      <c r="H953" s="65"/>
      <c r="I953" s="65"/>
      <c r="J953" s="65"/>
      <c r="K953" s="56"/>
      <c r="L953" s="65"/>
      <c r="M953" s="56"/>
      <c r="N953" s="56"/>
      <c r="O953" s="56"/>
      <c r="P953" s="56"/>
      <c r="Q953" s="65"/>
      <c r="R953" s="65"/>
      <c r="S953" s="65" t="b">
        <v>0</v>
      </c>
      <c r="T953" s="65" t="b">
        <v>0</v>
      </c>
      <c r="Z953" s="56"/>
      <c r="AA953" s="56"/>
      <c r="AB953" s="56"/>
      <c r="AC953" s="56"/>
      <c r="AD953" s="56"/>
      <c r="AE953" s="56"/>
      <c r="AF953" s="56"/>
      <c r="AH953" s="56"/>
    </row>
    <row r="954" spans="2:34">
      <c r="B954" s="65" t="s">
        <v>178</v>
      </c>
      <c r="C954" s="65"/>
      <c r="D954" s="65" t="s">
        <v>239</v>
      </c>
      <c r="E954" s="65"/>
      <c r="F954" s="65"/>
      <c r="G954" s="65"/>
      <c r="H954" s="65"/>
      <c r="I954" s="65"/>
      <c r="J954" s="65"/>
      <c r="K954" s="56"/>
      <c r="L954" s="65"/>
      <c r="M954" s="56"/>
      <c r="N954" s="56"/>
      <c r="O954" s="56"/>
      <c r="P954" s="56"/>
      <c r="Q954" s="65"/>
      <c r="R954" s="65"/>
      <c r="S954" s="65" t="b">
        <v>0</v>
      </c>
      <c r="T954" s="65" t="b">
        <v>0</v>
      </c>
      <c r="Z954" s="56"/>
      <c r="AA954" s="56"/>
      <c r="AB954" s="56"/>
      <c r="AC954" s="56"/>
      <c r="AD954" s="56"/>
      <c r="AE954" s="56"/>
      <c r="AF954" s="56"/>
      <c r="AH954" s="56"/>
    </row>
    <row r="955" spans="2:34">
      <c r="B955" s="65" t="s">
        <v>173</v>
      </c>
      <c r="C955" s="65"/>
      <c r="D955" s="65" t="s">
        <v>239</v>
      </c>
      <c r="E955" s="65"/>
      <c r="F955" s="65"/>
      <c r="G955" s="65"/>
      <c r="H955" s="65"/>
      <c r="I955" s="65"/>
      <c r="J955" s="65"/>
      <c r="K955" s="56"/>
      <c r="L955" s="65"/>
      <c r="M955" s="56"/>
      <c r="N955" s="56"/>
      <c r="O955" s="56"/>
      <c r="P955" s="56"/>
      <c r="Q955" s="65"/>
      <c r="R955" s="65"/>
      <c r="S955" s="65" t="b">
        <v>0</v>
      </c>
      <c r="T955" s="65" t="b">
        <v>0</v>
      </c>
      <c r="Z955" s="56"/>
      <c r="AA955" s="56"/>
      <c r="AB955" s="56"/>
      <c r="AC955" s="56"/>
      <c r="AD955" s="56"/>
      <c r="AE955" s="56"/>
      <c r="AF955" s="56"/>
      <c r="AH955" s="56"/>
    </row>
    <row r="956" spans="2:34">
      <c r="B956" s="65" t="s">
        <v>179</v>
      </c>
      <c r="C956" s="65"/>
      <c r="D956" s="65" t="s">
        <v>239</v>
      </c>
      <c r="E956" s="65"/>
      <c r="F956" s="65"/>
      <c r="G956" s="65"/>
      <c r="H956" s="65"/>
      <c r="I956" s="65"/>
      <c r="J956" s="65"/>
      <c r="K956" s="56"/>
      <c r="L956" s="65"/>
      <c r="M956" s="56"/>
      <c r="N956" s="56"/>
      <c r="O956" s="56"/>
      <c r="P956" s="56"/>
      <c r="Q956" s="65"/>
      <c r="R956" s="65"/>
      <c r="S956" s="65" t="b">
        <v>0</v>
      </c>
      <c r="T956" s="65" t="b">
        <v>0</v>
      </c>
      <c r="Z956" s="56"/>
      <c r="AA956" s="56"/>
      <c r="AB956" s="56"/>
      <c r="AC956" s="56"/>
      <c r="AD956" s="56"/>
      <c r="AE956" s="56"/>
      <c r="AF956" s="56"/>
      <c r="AH956" s="56"/>
    </row>
    <row r="957" spans="2:34">
      <c r="B957" s="65" t="s">
        <v>180</v>
      </c>
      <c r="C957" s="65"/>
      <c r="D957" s="65" t="s">
        <v>239</v>
      </c>
      <c r="E957" s="65"/>
      <c r="F957" s="65"/>
      <c r="G957" s="65"/>
      <c r="H957" s="65"/>
      <c r="I957" s="65"/>
      <c r="J957" s="65"/>
      <c r="K957" s="56"/>
      <c r="L957" s="65"/>
      <c r="M957" s="56"/>
      <c r="N957" s="56"/>
      <c r="O957" s="56"/>
      <c r="P957" s="56"/>
      <c r="Q957" s="65"/>
      <c r="R957" s="65"/>
      <c r="S957" s="65" t="b">
        <v>0</v>
      </c>
      <c r="T957" s="65" t="b">
        <v>0</v>
      </c>
      <c r="Z957" s="56"/>
      <c r="AA957" s="56"/>
      <c r="AB957" s="56"/>
      <c r="AC957" s="56"/>
      <c r="AD957" s="56"/>
      <c r="AE957" s="56"/>
      <c r="AF957" s="56"/>
      <c r="AH957" s="56"/>
    </row>
    <row r="958" spans="2:34">
      <c r="B958" s="65" t="s">
        <v>243</v>
      </c>
      <c r="C958" s="65"/>
      <c r="D958" s="65" t="s">
        <v>239</v>
      </c>
      <c r="E958" s="65"/>
      <c r="F958" s="65"/>
      <c r="G958" s="65"/>
      <c r="H958" s="65"/>
      <c r="I958" s="65"/>
      <c r="J958" s="65"/>
      <c r="K958" s="56"/>
      <c r="L958" s="65"/>
      <c r="M958" s="56"/>
      <c r="N958" s="56"/>
      <c r="O958" s="56"/>
      <c r="P958" s="56"/>
      <c r="Q958" s="65"/>
      <c r="R958" s="65"/>
      <c r="S958" s="65" t="b">
        <v>0</v>
      </c>
      <c r="T958" s="65" t="b">
        <v>0</v>
      </c>
      <c r="Z958" s="56"/>
      <c r="AA958" s="56"/>
      <c r="AB958" s="56"/>
      <c r="AC958" s="56"/>
      <c r="AD958" s="56"/>
      <c r="AE958" s="56"/>
      <c r="AF958" s="56"/>
      <c r="AH958" s="56"/>
    </row>
    <row r="959" spans="2:34">
      <c r="B959" s="65" t="s">
        <v>165</v>
      </c>
      <c r="C959" s="65"/>
      <c r="D959" s="65" t="s">
        <v>239</v>
      </c>
      <c r="E959" s="65"/>
      <c r="F959" s="65"/>
      <c r="G959" s="65"/>
      <c r="H959" s="65"/>
      <c r="I959" s="65"/>
      <c r="J959" s="65"/>
      <c r="K959" s="56"/>
      <c r="L959" s="65"/>
      <c r="M959" s="56"/>
      <c r="N959" s="56"/>
      <c r="O959" s="56"/>
      <c r="P959" s="56"/>
      <c r="Q959" s="65"/>
      <c r="R959" s="65"/>
      <c r="S959" s="65" t="b">
        <v>0</v>
      </c>
      <c r="T959" s="65" t="b">
        <v>0</v>
      </c>
      <c r="Z959" s="56"/>
      <c r="AA959" s="56"/>
      <c r="AB959" s="56"/>
      <c r="AC959" s="56"/>
      <c r="AD959" s="56"/>
      <c r="AE959" s="56"/>
      <c r="AF959" s="56"/>
      <c r="AH959" s="56"/>
    </row>
    <row r="960" spans="2:34">
      <c r="B960" s="65" t="s">
        <v>174</v>
      </c>
      <c r="C960" s="65"/>
      <c r="D960" s="65" t="s">
        <v>239</v>
      </c>
      <c r="E960" s="65"/>
      <c r="F960" s="65"/>
      <c r="G960" s="65"/>
      <c r="H960" s="65"/>
      <c r="I960" s="65"/>
      <c r="J960" s="65"/>
      <c r="K960" s="56"/>
      <c r="L960" s="65"/>
      <c r="M960" s="56"/>
      <c r="N960" s="56"/>
      <c r="O960" s="56"/>
      <c r="P960" s="56"/>
      <c r="Q960" s="65"/>
      <c r="R960" s="65"/>
      <c r="S960" s="65" t="b">
        <v>0</v>
      </c>
      <c r="T960" s="65" t="b">
        <v>0</v>
      </c>
      <c r="Z960" s="56"/>
      <c r="AA960" s="56"/>
      <c r="AB960" s="56"/>
      <c r="AC960" s="56"/>
      <c r="AD960" s="56"/>
      <c r="AE960" s="56"/>
      <c r="AF960" s="56"/>
      <c r="AH960" s="56"/>
    </row>
    <row r="961" spans="2:34">
      <c r="B961" s="65" t="s">
        <v>177</v>
      </c>
      <c r="C961" s="65"/>
      <c r="D961" s="65" t="s">
        <v>239</v>
      </c>
      <c r="E961" s="65"/>
      <c r="F961" s="65"/>
      <c r="G961" s="65"/>
      <c r="H961" s="65"/>
      <c r="I961" s="65"/>
      <c r="J961" s="65"/>
      <c r="K961" s="56"/>
      <c r="L961" s="65"/>
      <c r="M961" s="56"/>
      <c r="N961" s="56"/>
      <c r="O961" s="56"/>
      <c r="P961" s="56"/>
      <c r="Q961" s="65"/>
      <c r="R961" s="65"/>
      <c r="S961" s="65" t="b">
        <v>0</v>
      </c>
      <c r="T961" s="65" t="b">
        <v>0</v>
      </c>
      <c r="Z961" s="56"/>
      <c r="AA961" s="56"/>
      <c r="AB961" s="56"/>
      <c r="AC961" s="56"/>
      <c r="AD961" s="56"/>
      <c r="AE961" s="56"/>
      <c r="AF961" s="56"/>
      <c r="AH961" s="56"/>
    </row>
    <row r="962" spans="2:34">
      <c r="B962" s="65" t="s">
        <v>166</v>
      </c>
      <c r="C962" s="65"/>
      <c r="D962" s="65" t="s">
        <v>239</v>
      </c>
      <c r="E962" s="65"/>
      <c r="F962" s="65"/>
      <c r="G962" s="65"/>
      <c r="H962" s="65"/>
      <c r="I962" s="65"/>
      <c r="J962" s="65"/>
      <c r="K962" s="56"/>
      <c r="L962" s="65"/>
      <c r="M962" s="56"/>
      <c r="N962" s="56"/>
      <c r="O962" s="56"/>
      <c r="P962" s="56"/>
      <c r="Q962" s="65"/>
      <c r="R962" s="65"/>
      <c r="S962" s="65" t="b">
        <v>0</v>
      </c>
      <c r="T962" s="65" t="b">
        <v>0</v>
      </c>
      <c r="Z962" s="56"/>
      <c r="AA962" s="56"/>
      <c r="AB962" s="56"/>
      <c r="AC962" s="56"/>
      <c r="AD962" s="56"/>
      <c r="AE962" s="56"/>
      <c r="AF962" s="56"/>
      <c r="AH962" s="56"/>
    </row>
    <row r="963" spans="2:34">
      <c r="B963" s="65" t="s">
        <v>163</v>
      </c>
      <c r="C963" s="65"/>
      <c r="D963" s="65" t="s">
        <v>239</v>
      </c>
      <c r="E963" s="65"/>
      <c r="F963" s="65"/>
      <c r="G963" s="65"/>
      <c r="H963" s="65"/>
      <c r="I963" s="65"/>
      <c r="J963" s="65"/>
      <c r="K963" s="56"/>
      <c r="L963" s="65"/>
      <c r="M963" s="56"/>
      <c r="N963" s="56"/>
      <c r="O963" s="56"/>
      <c r="P963" s="56"/>
      <c r="Q963" s="65"/>
      <c r="R963" s="65"/>
      <c r="S963" s="65" t="b">
        <v>0</v>
      </c>
      <c r="T963" s="65" t="b">
        <v>0</v>
      </c>
      <c r="Z963" s="56"/>
      <c r="AA963" s="56"/>
      <c r="AB963" s="56"/>
      <c r="AC963" s="56"/>
      <c r="AD963" s="56"/>
      <c r="AE963" s="56"/>
      <c r="AF963" s="56"/>
      <c r="AH963" s="56"/>
    </row>
    <row r="964" spans="2:34">
      <c r="B964" s="65" t="s">
        <v>182</v>
      </c>
      <c r="C964" s="65"/>
      <c r="D964" s="65" t="s">
        <v>239</v>
      </c>
      <c r="E964" s="65"/>
      <c r="F964" s="65"/>
      <c r="G964" s="65"/>
      <c r="H964" s="65"/>
      <c r="I964" s="65"/>
      <c r="J964" s="65"/>
      <c r="K964" s="56"/>
      <c r="L964" s="65"/>
      <c r="M964" s="56"/>
      <c r="N964" s="56"/>
      <c r="O964" s="56"/>
      <c r="P964" s="56"/>
      <c r="Q964" s="65"/>
      <c r="R964" s="65"/>
      <c r="S964" s="65" t="b">
        <v>0</v>
      </c>
      <c r="T964" s="65" t="b">
        <v>0</v>
      </c>
      <c r="Z964" s="56"/>
      <c r="AA964" s="56"/>
      <c r="AB964" s="56"/>
      <c r="AC964" s="56"/>
      <c r="AD964" s="56"/>
      <c r="AE964" s="56"/>
      <c r="AF964" s="56"/>
      <c r="AH964" s="56"/>
    </row>
    <row r="965" spans="2:34">
      <c r="B965" s="65" t="s">
        <v>175</v>
      </c>
      <c r="C965" s="65"/>
      <c r="D965" s="65" t="s">
        <v>239</v>
      </c>
      <c r="E965" s="65"/>
      <c r="F965" s="65"/>
      <c r="G965" s="65"/>
      <c r="H965" s="65"/>
      <c r="I965" s="65"/>
      <c r="J965" s="65"/>
      <c r="K965" s="56"/>
      <c r="L965" s="65"/>
      <c r="M965" s="56"/>
      <c r="N965" s="56"/>
      <c r="O965" s="56"/>
      <c r="P965" s="56"/>
      <c r="Q965" s="65"/>
      <c r="R965" s="65"/>
      <c r="S965" s="65" t="b">
        <v>0</v>
      </c>
      <c r="T965" s="65" t="b">
        <v>0</v>
      </c>
      <c r="Z965" s="56"/>
      <c r="AA965" s="56"/>
      <c r="AB965" s="56"/>
      <c r="AC965" s="56"/>
      <c r="AD965" s="56"/>
      <c r="AE965" s="56"/>
      <c r="AF965" s="56"/>
      <c r="AH965" s="56"/>
    </row>
    <row r="966" spans="2:34">
      <c r="B966" s="65" t="s">
        <v>169</v>
      </c>
      <c r="C966" s="65"/>
      <c r="D966" s="65" t="s">
        <v>239</v>
      </c>
      <c r="E966" s="65"/>
      <c r="F966" s="65"/>
      <c r="G966" s="65"/>
      <c r="H966" s="65"/>
      <c r="I966" s="65"/>
      <c r="J966" s="65"/>
      <c r="K966" s="56"/>
      <c r="L966" s="65"/>
      <c r="M966" s="56"/>
      <c r="N966" s="56"/>
      <c r="O966" s="56"/>
      <c r="P966" s="56"/>
      <c r="Q966" s="65"/>
      <c r="R966" s="65"/>
      <c r="S966" s="65" t="b">
        <v>0</v>
      </c>
      <c r="T966" s="65" t="b">
        <v>0</v>
      </c>
      <c r="Z966" s="56"/>
      <c r="AA966" s="56"/>
      <c r="AB966" s="56"/>
      <c r="AC966" s="56"/>
      <c r="AD966" s="56"/>
      <c r="AE966" s="56"/>
      <c r="AF966" s="56"/>
      <c r="AH966" s="56"/>
    </row>
    <row r="967" spans="2:34">
      <c r="B967" s="65" t="s">
        <v>170</v>
      </c>
      <c r="C967" s="65"/>
      <c r="D967" s="65" t="s">
        <v>239</v>
      </c>
      <c r="E967" s="65"/>
      <c r="F967" s="65"/>
      <c r="G967" s="65"/>
      <c r="H967" s="65"/>
      <c r="I967" s="65"/>
      <c r="J967" s="65"/>
      <c r="K967" s="56"/>
      <c r="L967" s="65"/>
      <c r="M967" s="56"/>
      <c r="N967" s="56"/>
      <c r="O967" s="56"/>
      <c r="P967" s="56"/>
      <c r="Q967" s="65"/>
      <c r="R967" s="65"/>
      <c r="S967" s="65" t="b">
        <v>0</v>
      </c>
      <c r="T967" s="65" t="b">
        <v>0</v>
      </c>
      <c r="Z967" s="56"/>
      <c r="AA967" s="56"/>
      <c r="AB967" s="56"/>
      <c r="AC967" s="56"/>
      <c r="AD967" s="56"/>
      <c r="AE967" s="56"/>
      <c r="AF967" s="56"/>
      <c r="AH967" s="56"/>
    </row>
    <row r="968" spans="2:34">
      <c r="B968" s="65" t="s">
        <v>242</v>
      </c>
      <c r="C968" s="65"/>
      <c r="D968" s="65" t="s">
        <v>239</v>
      </c>
      <c r="E968" s="65"/>
      <c r="F968" s="65"/>
      <c r="G968" s="65"/>
      <c r="H968" s="65"/>
      <c r="I968" s="65"/>
      <c r="J968" s="65"/>
      <c r="K968" s="56"/>
      <c r="L968" s="65"/>
      <c r="M968" s="56"/>
      <c r="N968" s="56"/>
      <c r="O968" s="56"/>
      <c r="P968" s="56"/>
      <c r="Q968" s="65"/>
      <c r="R968" s="65"/>
      <c r="S968" s="65" t="b">
        <v>0</v>
      </c>
      <c r="T968" s="65" t="b">
        <v>0</v>
      </c>
      <c r="Z968" s="56"/>
      <c r="AA968" s="56"/>
      <c r="AB968" s="56"/>
      <c r="AC968" s="56"/>
      <c r="AD968" s="56"/>
      <c r="AE968" s="56"/>
      <c r="AF968" s="56"/>
      <c r="AH968" s="56"/>
    </row>
    <row r="969" spans="2:34">
      <c r="B969" s="65" t="s">
        <v>161</v>
      </c>
      <c r="C969" s="65"/>
      <c r="D969" s="65" t="s">
        <v>239</v>
      </c>
      <c r="E969" s="65"/>
      <c r="F969" s="65"/>
      <c r="G969" s="65"/>
      <c r="H969" s="65"/>
      <c r="I969" s="65"/>
      <c r="J969" s="65"/>
      <c r="K969" s="56"/>
      <c r="L969" s="65"/>
      <c r="M969" s="56"/>
      <c r="N969" s="56"/>
      <c r="O969" s="56"/>
      <c r="P969" s="56"/>
      <c r="Q969" s="65"/>
      <c r="R969" s="65"/>
      <c r="S969" s="65" t="b">
        <v>0</v>
      </c>
      <c r="T969" s="65" t="b">
        <v>0</v>
      </c>
      <c r="Z969" s="56"/>
      <c r="AA969" s="56"/>
      <c r="AB969" s="56"/>
      <c r="AC969" s="56"/>
      <c r="AD969" s="56"/>
      <c r="AE969" s="56"/>
      <c r="AF969" s="56"/>
      <c r="AH969" s="56"/>
    </row>
    <row r="970" spans="2:34">
      <c r="B970" s="65" t="s">
        <v>162</v>
      </c>
      <c r="C970" s="65"/>
      <c r="D970" s="65" t="s">
        <v>239</v>
      </c>
      <c r="E970" s="65"/>
      <c r="F970" s="65"/>
      <c r="G970" s="65"/>
      <c r="H970" s="65"/>
      <c r="I970" s="65"/>
      <c r="J970" s="65"/>
      <c r="K970" s="56"/>
      <c r="L970" s="65"/>
      <c r="M970" s="56"/>
      <c r="N970" s="56"/>
      <c r="O970" s="56"/>
      <c r="P970" s="56"/>
      <c r="Q970" s="65"/>
      <c r="R970" s="65"/>
      <c r="S970" s="65" t="b">
        <v>0</v>
      </c>
      <c r="T970" s="65" t="b">
        <v>0</v>
      </c>
      <c r="Z970" s="56"/>
      <c r="AA970" s="56"/>
      <c r="AB970" s="56"/>
      <c r="AC970" s="56"/>
      <c r="AD970" s="56"/>
      <c r="AE970" s="56"/>
      <c r="AF970" s="56"/>
      <c r="AH970" s="56"/>
    </row>
    <row r="971" spans="2:34">
      <c r="B971" s="65" t="s">
        <v>160</v>
      </c>
      <c r="C971" s="65"/>
      <c r="D971" s="65" t="s">
        <v>239</v>
      </c>
      <c r="E971" s="65"/>
      <c r="F971" s="65"/>
      <c r="G971" s="65"/>
      <c r="H971" s="65"/>
      <c r="I971" s="65"/>
      <c r="J971" s="65"/>
      <c r="K971" s="56"/>
      <c r="L971" s="65"/>
      <c r="M971" s="56"/>
      <c r="N971" s="56"/>
      <c r="O971" s="56"/>
      <c r="P971" s="56"/>
      <c r="Q971" s="65"/>
      <c r="R971" s="65"/>
      <c r="S971" s="65" t="b">
        <v>0</v>
      </c>
      <c r="T971" s="65" t="b">
        <v>0</v>
      </c>
      <c r="Z971" s="56"/>
      <c r="AA971" s="56"/>
      <c r="AB971" s="56"/>
      <c r="AC971" s="56"/>
      <c r="AD971" s="56"/>
      <c r="AE971" s="56"/>
      <c r="AF971" s="56"/>
      <c r="AH971" s="56"/>
    </row>
    <row r="972" spans="2:34">
      <c r="B972" s="65" t="s">
        <v>158</v>
      </c>
      <c r="C972" s="65"/>
      <c r="D972" s="65" t="s">
        <v>239</v>
      </c>
      <c r="E972" s="65"/>
      <c r="F972" s="65"/>
      <c r="G972" s="65"/>
      <c r="H972" s="65"/>
      <c r="I972" s="65"/>
      <c r="J972" s="65"/>
      <c r="K972" s="56"/>
      <c r="L972" s="65"/>
      <c r="M972" s="56"/>
      <c r="N972" s="56"/>
      <c r="O972" s="56"/>
      <c r="P972" s="56"/>
      <c r="Q972" s="65"/>
      <c r="R972" s="65"/>
      <c r="S972" s="65" t="b">
        <v>0</v>
      </c>
      <c r="T972" s="65" t="b">
        <v>0</v>
      </c>
      <c r="Z972" s="56"/>
      <c r="AA972" s="56"/>
      <c r="AB972" s="56"/>
      <c r="AC972" s="56"/>
      <c r="AD972" s="56"/>
      <c r="AE972" s="56"/>
      <c r="AF972" s="56"/>
      <c r="AH972" s="56"/>
    </row>
    <row r="973" spans="2:34">
      <c r="B973" s="65" t="s">
        <v>241</v>
      </c>
      <c r="C973" s="65"/>
      <c r="D973" s="65" t="s">
        <v>239</v>
      </c>
      <c r="E973" s="65"/>
      <c r="F973" s="65"/>
      <c r="G973" s="65"/>
      <c r="H973" s="65"/>
      <c r="I973" s="65"/>
      <c r="J973" s="65"/>
      <c r="K973" s="56"/>
      <c r="L973" s="65"/>
      <c r="M973" s="56"/>
      <c r="N973" s="56"/>
      <c r="O973" s="56"/>
      <c r="P973" s="56"/>
      <c r="Q973" s="65"/>
      <c r="R973" s="65"/>
      <c r="S973" s="65" t="b">
        <v>0</v>
      </c>
      <c r="T973" s="65" t="b">
        <v>0</v>
      </c>
      <c r="Z973" s="56"/>
      <c r="AA973" s="56"/>
      <c r="AB973" s="56"/>
      <c r="AC973" s="56"/>
      <c r="AD973" s="56"/>
      <c r="AE973" s="56"/>
      <c r="AF973" s="56"/>
      <c r="AH973" s="56"/>
    </row>
    <row r="974" spans="2:34">
      <c r="B974" s="65" t="s">
        <v>240</v>
      </c>
      <c r="C974" s="65"/>
      <c r="D974" s="65" t="s">
        <v>239</v>
      </c>
      <c r="E974" s="65"/>
      <c r="F974" s="65"/>
      <c r="G974" s="65"/>
      <c r="H974" s="65"/>
      <c r="I974" s="65"/>
      <c r="J974" s="65"/>
      <c r="K974" s="56"/>
      <c r="L974" s="65"/>
      <c r="M974" s="56"/>
      <c r="N974" s="56"/>
      <c r="O974" s="56"/>
      <c r="P974" s="56"/>
      <c r="Q974" s="65"/>
      <c r="R974" s="65"/>
      <c r="S974" s="65" t="b">
        <v>0</v>
      </c>
      <c r="T974" s="65" t="b">
        <v>0</v>
      </c>
      <c r="Z974" s="56"/>
      <c r="AA974" s="56"/>
      <c r="AB974" s="56"/>
      <c r="AC974" s="56"/>
      <c r="AD974" s="56"/>
      <c r="AE974" s="56"/>
      <c r="AF974" s="56"/>
      <c r="AH974" s="56"/>
    </row>
    <row r="975" spans="2:34">
      <c r="B975" s="65" t="s">
        <v>159</v>
      </c>
      <c r="C975" s="65"/>
      <c r="D975" s="65" t="s">
        <v>239</v>
      </c>
      <c r="E975" s="65"/>
      <c r="F975" s="65"/>
      <c r="G975" s="65"/>
      <c r="H975" s="65"/>
      <c r="I975" s="65"/>
      <c r="J975" s="65"/>
      <c r="K975" s="56"/>
      <c r="L975" s="65"/>
      <c r="M975" s="56"/>
      <c r="N975" s="56"/>
      <c r="O975" s="56"/>
      <c r="P975" s="56"/>
      <c r="Q975" s="65"/>
      <c r="R975" s="65"/>
      <c r="S975" s="65" t="b">
        <v>0</v>
      </c>
      <c r="T975" s="65" t="b">
        <v>0</v>
      </c>
      <c r="Z975" s="56"/>
      <c r="AA975" s="56"/>
      <c r="AB975" s="56"/>
      <c r="AC975" s="56"/>
      <c r="AD975" s="56"/>
      <c r="AE975" s="56"/>
      <c r="AF975" s="56"/>
      <c r="AH975" s="56"/>
    </row>
    <row r="976" spans="2:34">
      <c r="B976" s="65" t="s">
        <v>167</v>
      </c>
      <c r="C976" s="65"/>
      <c r="D976" s="65" t="s">
        <v>239</v>
      </c>
      <c r="E976" s="65"/>
      <c r="F976" s="65"/>
      <c r="G976" s="65"/>
      <c r="H976" s="65"/>
      <c r="I976" s="65"/>
      <c r="J976" s="65"/>
      <c r="K976" s="56"/>
      <c r="L976" s="65"/>
      <c r="M976" s="56"/>
      <c r="N976" s="56"/>
      <c r="O976" s="56"/>
      <c r="P976" s="56"/>
      <c r="Q976" s="65"/>
      <c r="R976" s="65"/>
      <c r="S976" s="65" t="b">
        <v>0</v>
      </c>
      <c r="T976" s="65" t="b">
        <v>0</v>
      </c>
      <c r="Z976" s="56"/>
      <c r="AA976" s="56"/>
      <c r="AB976" s="56"/>
      <c r="AC976" s="56"/>
      <c r="AD976" s="56"/>
      <c r="AE976" s="56"/>
      <c r="AF976" s="56"/>
      <c r="AH976" s="56"/>
    </row>
    <row r="977" spans="2:34">
      <c r="B977" s="65" t="s">
        <v>164</v>
      </c>
      <c r="C977" s="65"/>
      <c r="D977" s="65" t="s">
        <v>239</v>
      </c>
      <c r="E977" s="65"/>
      <c r="F977" s="65"/>
      <c r="G977" s="65"/>
      <c r="H977" s="65"/>
      <c r="I977" s="65"/>
      <c r="J977" s="65"/>
      <c r="K977" s="56"/>
      <c r="L977" s="65"/>
      <c r="M977" s="56"/>
      <c r="N977" s="56"/>
      <c r="O977" s="56"/>
      <c r="P977" s="56"/>
      <c r="Q977" s="65"/>
      <c r="R977" s="65"/>
      <c r="S977" s="65" t="b">
        <v>0</v>
      </c>
      <c r="T977" s="65" t="b">
        <v>0</v>
      </c>
      <c r="Z977" s="56"/>
      <c r="AA977" s="56"/>
      <c r="AB977" s="56"/>
      <c r="AC977" s="56"/>
      <c r="AD977" s="56"/>
      <c r="AE977" s="56"/>
      <c r="AF977" s="56"/>
      <c r="AH977" s="56"/>
    </row>
    <row r="978" spans="2:34">
      <c r="B978" s="65" t="s">
        <v>238</v>
      </c>
      <c r="C978" s="65"/>
      <c r="D978" s="65" t="s">
        <v>227</v>
      </c>
      <c r="E978" s="65"/>
      <c r="F978" s="65"/>
      <c r="G978" s="65"/>
      <c r="H978" s="65"/>
      <c r="I978" s="65"/>
      <c r="J978" s="65"/>
      <c r="K978" s="56"/>
      <c r="L978" s="65"/>
      <c r="M978" s="56"/>
      <c r="N978" s="56"/>
      <c r="O978" s="56"/>
      <c r="P978" s="56"/>
      <c r="Q978" s="65">
        <v>6</v>
      </c>
      <c r="R978" s="65"/>
      <c r="S978" s="65" t="b">
        <v>0</v>
      </c>
      <c r="T978" s="65" t="b">
        <v>0</v>
      </c>
      <c r="Z978" s="56"/>
      <c r="AA978" s="56"/>
      <c r="AB978" s="56"/>
      <c r="AC978" s="56"/>
      <c r="AD978" s="56"/>
      <c r="AE978" s="56"/>
      <c r="AF978" s="56"/>
      <c r="AH978" s="56"/>
    </row>
    <row r="979" spans="2:34">
      <c r="B979" s="65" t="s">
        <v>237</v>
      </c>
      <c r="C979" s="65"/>
      <c r="D979" s="65" t="s">
        <v>227</v>
      </c>
      <c r="E979" s="65"/>
      <c r="F979" s="65"/>
      <c r="G979" s="65"/>
      <c r="H979" s="65"/>
      <c r="I979" s="65"/>
      <c r="J979" s="65"/>
      <c r="K979" s="56"/>
      <c r="L979" s="65"/>
      <c r="M979" s="56"/>
      <c r="N979" s="56"/>
      <c r="O979" s="56"/>
      <c r="P979" s="56"/>
      <c r="Q979" s="65">
        <v>3</v>
      </c>
      <c r="R979" s="65"/>
      <c r="S979" s="65" t="b">
        <v>0</v>
      </c>
      <c r="T979" s="65" t="b">
        <v>0</v>
      </c>
      <c r="Z979" s="56"/>
      <c r="AA979" s="56"/>
      <c r="AB979" s="56"/>
      <c r="AC979" s="56"/>
      <c r="AD979" s="56"/>
      <c r="AE979" s="56"/>
      <c r="AF979" s="56"/>
      <c r="AH979" s="56"/>
    </row>
    <row r="980" spans="2:34">
      <c r="B980" s="65" t="s">
        <v>236</v>
      </c>
      <c r="C980" s="65"/>
      <c r="D980" s="65" t="s">
        <v>227</v>
      </c>
      <c r="E980" s="65"/>
      <c r="F980" s="65"/>
      <c r="G980" s="65"/>
      <c r="H980" s="65"/>
      <c r="I980" s="65"/>
      <c r="J980" s="65"/>
      <c r="K980" s="56"/>
      <c r="L980" s="65"/>
      <c r="M980" s="56"/>
      <c r="N980" s="56"/>
      <c r="O980" s="56"/>
      <c r="P980" s="56"/>
      <c r="Q980" s="65">
        <v>3</v>
      </c>
      <c r="R980" s="65"/>
      <c r="S980" s="65" t="b">
        <v>0</v>
      </c>
      <c r="T980" s="65" t="b">
        <v>0</v>
      </c>
      <c r="Z980" s="56"/>
      <c r="AA980" s="56"/>
      <c r="AB980" s="56"/>
      <c r="AC980" s="56"/>
      <c r="AD980" s="56"/>
      <c r="AE980" s="56"/>
      <c r="AF980" s="56"/>
      <c r="AH980" s="56"/>
    </row>
    <row r="981" spans="2:34">
      <c r="B981" s="65" t="s">
        <v>235</v>
      </c>
      <c r="C981" s="65"/>
      <c r="D981" s="65" t="s">
        <v>227</v>
      </c>
      <c r="E981" s="65"/>
      <c r="F981" s="65"/>
      <c r="G981" s="65"/>
      <c r="H981" s="65"/>
      <c r="I981" s="65"/>
      <c r="J981" s="65"/>
      <c r="K981" s="56"/>
      <c r="L981" s="65"/>
      <c r="M981" s="56"/>
      <c r="N981" s="56"/>
      <c r="O981" s="56"/>
      <c r="P981" s="56"/>
      <c r="Q981" s="65">
        <v>5</v>
      </c>
      <c r="R981" s="65"/>
      <c r="S981" s="65" t="b">
        <v>0</v>
      </c>
      <c r="T981" s="65" t="b">
        <v>0</v>
      </c>
      <c r="Z981" s="56"/>
      <c r="AA981" s="56"/>
      <c r="AB981" s="56"/>
      <c r="AC981" s="56"/>
      <c r="AD981" s="56"/>
      <c r="AE981" s="56"/>
      <c r="AF981" s="56"/>
      <c r="AH981" s="56"/>
    </row>
    <row r="982" spans="2:34">
      <c r="B982" s="65" t="s">
        <v>234</v>
      </c>
      <c r="C982" s="65"/>
      <c r="D982" s="65" t="s">
        <v>227</v>
      </c>
      <c r="E982" s="65"/>
      <c r="F982" s="65"/>
      <c r="G982" s="65"/>
      <c r="H982" s="65"/>
      <c r="I982" s="65"/>
      <c r="J982" s="65"/>
      <c r="K982" s="56"/>
      <c r="L982" s="65"/>
      <c r="M982" s="56"/>
      <c r="N982" s="56"/>
      <c r="O982" s="56"/>
      <c r="P982" s="56"/>
      <c r="Q982" s="65">
        <v>3</v>
      </c>
      <c r="R982" s="65"/>
      <c r="S982" s="65" t="b">
        <v>0</v>
      </c>
      <c r="T982" s="65" t="b">
        <v>0</v>
      </c>
      <c r="Z982" s="56"/>
      <c r="AA982" s="56"/>
      <c r="AB982" s="56"/>
      <c r="AC982" s="56"/>
      <c r="AD982" s="56"/>
      <c r="AE982" s="56"/>
      <c r="AF982" s="56"/>
      <c r="AH982" s="56"/>
    </row>
    <row r="983" spans="2:34">
      <c r="B983" s="65" t="s">
        <v>233</v>
      </c>
      <c r="C983" s="65"/>
      <c r="D983" s="65" t="s">
        <v>227</v>
      </c>
      <c r="E983" s="65"/>
      <c r="F983" s="65"/>
      <c r="G983" s="65"/>
      <c r="H983" s="65"/>
      <c r="I983" s="65"/>
      <c r="J983" s="65"/>
      <c r="K983" s="56"/>
      <c r="L983" s="65"/>
      <c r="M983" s="56"/>
      <c r="N983" s="56"/>
      <c r="O983" s="56"/>
      <c r="P983" s="56"/>
      <c r="Q983" s="65">
        <v>2</v>
      </c>
      <c r="R983" s="65"/>
      <c r="S983" s="65" t="b">
        <v>0</v>
      </c>
      <c r="T983" s="65" t="b">
        <v>0</v>
      </c>
      <c r="Z983" s="56"/>
      <c r="AA983" s="56"/>
      <c r="AB983" s="56"/>
      <c r="AC983" s="56"/>
      <c r="AD983" s="56"/>
      <c r="AE983" s="56"/>
      <c r="AF983" s="56"/>
      <c r="AH983" s="56"/>
    </row>
    <row r="984" spans="2:34">
      <c r="B984" s="65" t="s">
        <v>232</v>
      </c>
      <c r="C984" s="65"/>
      <c r="D984" s="65" t="s">
        <v>227</v>
      </c>
      <c r="E984" s="65"/>
      <c r="F984" s="65"/>
      <c r="G984" s="65"/>
      <c r="H984" s="65"/>
      <c r="I984" s="65"/>
      <c r="J984" s="65"/>
      <c r="K984" s="56"/>
      <c r="L984" s="65"/>
      <c r="M984" s="56"/>
      <c r="N984" s="56"/>
      <c r="O984" s="56"/>
      <c r="P984" s="56"/>
      <c r="Q984" s="65">
        <v>2</v>
      </c>
      <c r="R984" s="65"/>
      <c r="S984" s="65" t="b">
        <v>0</v>
      </c>
      <c r="T984" s="65" t="b">
        <v>0</v>
      </c>
      <c r="Z984" s="56"/>
      <c r="AA984" s="56"/>
      <c r="AB984" s="56"/>
      <c r="AC984" s="56"/>
      <c r="AD984" s="56"/>
      <c r="AE984" s="56"/>
      <c r="AF984" s="56"/>
      <c r="AH984" s="56"/>
    </row>
    <row r="985" spans="2:34">
      <c r="B985" s="65" t="s">
        <v>231</v>
      </c>
      <c r="C985" s="65"/>
      <c r="D985" s="65" t="s">
        <v>227</v>
      </c>
      <c r="E985" s="65"/>
      <c r="F985" s="65"/>
      <c r="G985" s="65"/>
      <c r="H985" s="65"/>
      <c r="I985" s="65"/>
      <c r="J985" s="65"/>
      <c r="K985" s="56"/>
      <c r="L985" s="65"/>
      <c r="M985" s="56"/>
      <c r="N985" s="56"/>
      <c r="O985" s="56"/>
      <c r="P985" s="56"/>
      <c r="Q985" s="65">
        <v>2</v>
      </c>
      <c r="R985" s="65"/>
      <c r="S985" s="65" t="b">
        <v>0</v>
      </c>
      <c r="T985" s="65" t="b">
        <v>0</v>
      </c>
      <c r="Z985" s="56"/>
      <c r="AA985" s="56"/>
      <c r="AB985" s="56"/>
      <c r="AC985" s="56"/>
      <c r="AD985" s="56"/>
      <c r="AE985" s="56"/>
      <c r="AF985" s="56"/>
      <c r="AH985" s="56"/>
    </row>
    <row r="986" spans="2:34">
      <c r="B986" s="65" t="s">
        <v>230</v>
      </c>
      <c r="C986" s="65"/>
      <c r="D986" s="65" t="s">
        <v>227</v>
      </c>
      <c r="E986" s="65"/>
      <c r="F986" s="65"/>
      <c r="G986" s="65"/>
      <c r="H986" s="65"/>
      <c r="I986" s="65"/>
      <c r="J986" s="65"/>
      <c r="K986" s="56"/>
      <c r="L986" s="65"/>
      <c r="M986" s="56"/>
      <c r="N986" s="56"/>
      <c r="O986" s="56"/>
      <c r="P986" s="56"/>
      <c r="Q986" s="65">
        <v>1</v>
      </c>
      <c r="R986" s="65"/>
      <c r="S986" s="65" t="b">
        <v>0</v>
      </c>
      <c r="T986" s="65" t="b">
        <v>0</v>
      </c>
      <c r="Z986" s="56"/>
      <c r="AA986" s="56"/>
      <c r="AB986" s="56"/>
      <c r="AC986" s="56"/>
      <c r="AD986" s="56"/>
      <c r="AE986" s="56"/>
      <c r="AF986" s="56"/>
      <c r="AH986" s="56"/>
    </row>
    <row r="987" spans="2:34">
      <c r="B987" s="65" t="s">
        <v>229</v>
      </c>
      <c r="C987" s="65"/>
      <c r="D987" s="65" t="s">
        <v>227</v>
      </c>
      <c r="E987" s="65"/>
      <c r="F987" s="65"/>
      <c r="G987" s="65"/>
      <c r="H987" s="65"/>
      <c r="I987" s="65"/>
      <c r="J987" s="65"/>
      <c r="K987" s="56"/>
      <c r="L987" s="65"/>
      <c r="M987" s="56"/>
      <c r="N987" s="56"/>
      <c r="O987" s="56"/>
      <c r="P987" s="56"/>
      <c r="Q987" s="65">
        <v>4</v>
      </c>
      <c r="R987" s="65"/>
      <c r="S987" s="65" t="b">
        <v>0</v>
      </c>
      <c r="T987" s="65" t="b">
        <v>0</v>
      </c>
      <c r="Z987" s="56"/>
      <c r="AA987" s="56"/>
      <c r="AB987" s="56"/>
      <c r="AC987" s="56"/>
      <c r="AD987" s="56"/>
      <c r="AE987" s="56"/>
      <c r="AF987" s="56"/>
      <c r="AH987" s="56"/>
    </row>
    <row r="988" spans="2:34">
      <c r="B988" s="65" t="s">
        <v>228</v>
      </c>
      <c r="C988" s="65"/>
      <c r="D988" s="65" t="s">
        <v>227</v>
      </c>
      <c r="E988" s="65"/>
      <c r="F988" s="65"/>
      <c r="G988" s="65"/>
      <c r="H988" s="65"/>
      <c r="I988" s="65"/>
      <c r="J988" s="65"/>
      <c r="K988" s="56"/>
      <c r="L988" s="65"/>
      <c r="M988" s="56"/>
      <c r="N988" s="56"/>
      <c r="O988" s="56"/>
      <c r="P988" s="56"/>
      <c r="Q988" s="65">
        <v>3</v>
      </c>
      <c r="R988" s="65"/>
      <c r="S988" s="65" t="b">
        <v>0</v>
      </c>
      <c r="T988" s="65" t="b">
        <v>0</v>
      </c>
      <c r="Z988" s="56"/>
      <c r="AA988" s="56"/>
      <c r="AB988" s="56"/>
      <c r="AC988" s="56"/>
      <c r="AD988" s="56"/>
      <c r="AE988" s="56"/>
      <c r="AF988" s="56"/>
      <c r="AH988" s="56"/>
    </row>
    <row r="989" spans="2:34">
      <c r="B989" s="65" t="s">
        <v>226</v>
      </c>
      <c r="C989" s="65"/>
      <c r="D989" s="65" t="s">
        <v>204</v>
      </c>
      <c r="E989" s="65"/>
      <c r="F989" s="65"/>
      <c r="G989" s="65"/>
      <c r="H989" s="65"/>
      <c r="I989" s="65"/>
      <c r="J989" s="65"/>
      <c r="K989" s="56"/>
      <c r="L989" s="65"/>
      <c r="M989" s="56"/>
      <c r="N989" s="56"/>
      <c r="O989" s="56"/>
      <c r="P989" s="56"/>
      <c r="Q989" s="65"/>
      <c r="R989" s="65" t="s">
        <v>202</v>
      </c>
      <c r="S989" s="65" t="b">
        <v>1</v>
      </c>
      <c r="T989" s="65" t="b">
        <v>1</v>
      </c>
      <c r="Z989" s="56"/>
      <c r="AA989" s="56"/>
      <c r="AB989" s="56"/>
      <c r="AC989" s="56"/>
      <c r="AD989" s="56"/>
      <c r="AE989" s="56"/>
      <c r="AF989" s="56"/>
      <c r="AH989" s="56"/>
    </row>
    <row r="990" spans="2:34">
      <c r="B990" s="65" t="s">
        <v>225</v>
      </c>
      <c r="C990" s="65"/>
      <c r="D990" s="65" t="s">
        <v>204</v>
      </c>
      <c r="E990" s="65"/>
      <c r="F990" s="65"/>
      <c r="G990" s="65"/>
      <c r="H990" s="65"/>
      <c r="I990" s="65"/>
      <c r="J990" s="65"/>
      <c r="K990" s="56"/>
      <c r="L990" s="65"/>
      <c r="M990" s="56"/>
      <c r="N990" s="56"/>
      <c r="O990" s="56"/>
      <c r="P990" s="56"/>
      <c r="Q990" s="65"/>
      <c r="R990" s="65" t="s">
        <v>202</v>
      </c>
      <c r="S990" s="65" t="b">
        <v>1</v>
      </c>
      <c r="T990" s="65" t="b">
        <v>1</v>
      </c>
      <c r="Z990" s="56"/>
      <c r="AA990" s="56"/>
      <c r="AB990" s="56"/>
      <c r="AC990" s="56"/>
      <c r="AD990" s="56"/>
      <c r="AE990" s="56"/>
      <c r="AF990" s="56"/>
      <c r="AH990" s="56"/>
    </row>
    <row r="991" spans="2:34">
      <c r="B991" s="65" t="s">
        <v>224</v>
      </c>
      <c r="C991" s="65"/>
      <c r="D991" s="65" t="s">
        <v>204</v>
      </c>
      <c r="E991" s="65"/>
      <c r="F991" s="65"/>
      <c r="G991" s="65"/>
      <c r="H991" s="65"/>
      <c r="I991" s="65"/>
      <c r="J991" s="65"/>
      <c r="K991" s="56"/>
      <c r="L991" s="65"/>
      <c r="M991" s="56"/>
      <c r="N991" s="56"/>
      <c r="O991" s="56"/>
      <c r="P991" s="56"/>
      <c r="Q991" s="65"/>
      <c r="R991" s="65" t="s">
        <v>202</v>
      </c>
      <c r="S991" s="65" t="b">
        <v>1</v>
      </c>
      <c r="T991" s="65" t="b">
        <v>0</v>
      </c>
      <c r="Z991" s="56"/>
      <c r="AA991" s="56"/>
      <c r="AB991" s="56"/>
      <c r="AC991" s="56"/>
      <c r="AD991" s="56"/>
      <c r="AE991" s="56"/>
      <c r="AF991" s="56"/>
      <c r="AH991" s="56"/>
    </row>
    <row r="992" spans="2:34">
      <c r="B992" s="65" t="s">
        <v>223</v>
      </c>
      <c r="C992" s="65"/>
      <c r="D992" s="65" t="s">
        <v>204</v>
      </c>
      <c r="E992" s="65"/>
      <c r="F992" s="65"/>
      <c r="G992" s="65"/>
      <c r="H992" s="65"/>
      <c r="I992" s="65"/>
      <c r="J992" s="65"/>
      <c r="K992" s="56"/>
      <c r="L992" s="65"/>
      <c r="M992" s="56"/>
      <c r="N992" s="56"/>
      <c r="O992" s="56"/>
      <c r="P992" s="56"/>
      <c r="Q992" s="65"/>
      <c r="R992" s="65" t="s">
        <v>202</v>
      </c>
      <c r="S992" s="65" t="b">
        <v>1</v>
      </c>
      <c r="T992" s="65" t="b">
        <v>1</v>
      </c>
      <c r="Z992" s="56"/>
      <c r="AA992" s="56"/>
      <c r="AB992" s="56"/>
      <c r="AC992" s="56"/>
      <c r="AD992" s="56"/>
      <c r="AE992" s="56"/>
      <c r="AF992" s="56"/>
      <c r="AH992" s="56"/>
    </row>
    <row r="993" spans="2:34">
      <c r="B993" s="65" t="s">
        <v>222</v>
      </c>
      <c r="C993" s="65"/>
      <c r="D993" s="65" t="s">
        <v>204</v>
      </c>
      <c r="E993" s="65"/>
      <c r="F993" s="65"/>
      <c r="G993" s="65"/>
      <c r="H993" s="65"/>
      <c r="I993" s="65"/>
      <c r="J993" s="65"/>
      <c r="K993" s="56"/>
      <c r="L993" s="65"/>
      <c r="M993" s="56"/>
      <c r="N993" s="56"/>
      <c r="O993" s="56"/>
      <c r="P993" s="56"/>
      <c r="Q993" s="65"/>
      <c r="R993" s="65" t="s">
        <v>202</v>
      </c>
      <c r="S993" s="65" t="b">
        <v>1</v>
      </c>
      <c r="T993" s="65" t="b">
        <v>1</v>
      </c>
      <c r="Z993" s="56"/>
      <c r="AA993" s="56"/>
      <c r="AB993" s="56"/>
      <c r="AC993" s="56"/>
      <c r="AD993" s="56"/>
      <c r="AE993" s="56"/>
      <c r="AF993" s="56"/>
      <c r="AH993" s="56"/>
    </row>
    <row r="994" spans="2:34">
      <c r="B994" s="65" t="s">
        <v>221</v>
      </c>
      <c r="C994" s="65"/>
      <c r="D994" s="65" t="s">
        <v>204</v>
      </c>
      <c r="E994" s="65"/>
      <c r="F994" s="65"/>
      <c r="G994" s="65"/>
      <c r="H994" s="65"/>
      <c r="I994" s="65"/>
      <c r="J994" s="65"/>
      <c r="K994" s="56"/>
      <c r="L994" s="65"/>
      <c r="M994" s="56"/>
      <c r="N994" s="56"/>
      <c r="O994" s="56"/>
      <c r="P994" s="56"/>
      <c r="Q994" s="65"/>
      <c r="R994" s="65" t="s">
        <v>202</v>
      </c>
      <c r="S994" s="65" t="b">
        <v>1</v>
      </c>
      <c r="T994" s="65" t="b">
        <v>1</v>
      </c>
      <c r="Z994" s="56"/>
      <c r="AA994" s="56"/>
      <c r="AB994" s="56"/>
      <c r="AC994" s="56"/>
      <c r="AD994" s="56"/>
      <c r="AE994" s="56"/>
      <c r="AF994" s="56"/>
      <c r="AH994" s="56"/>
    </row>
    <row r="995" spans="2:34">
      <c r="B995" s="65" t="s">
        <v>220</v>
      </c>
      <c r="C995" s="65"/>
      <c r="D995" s="65" t="s">
        <v>204</v>
      </c>
      <c r="E995" s="65"/>
      <c r="F995" s="65"/>
      <c r="G995" s="65"/>
      <c r="H995" s="65"/>
      <c r="I995" s="65"/>
      <c r="J995" s="65"/>
      <c r="K995" s="56"/>
      <c r="L995" s="65"/>
      <c r="M995" s="56"/>
      <c r="N995" s="56"/>
      <c r="O995" s="56"/>
      <c r="P995" s="56"/>
      <c r="Q995" s="65"/>
      <c r="R995" s="65" t="s">
        <v>202</v>
      </c>
      <c r="S995" s="65" t="b">
        <v>1</v>
      </c>
      <c r="T995" s="65" t="b">
        <v>1</v>
      </c>
      <c r="Z995" s="56"/>
      <c r="AA995" s="56"/>
      <c r="AB995" s="56"/>
      <c r="AC995" s="56"/>
      <c r="AD995" s="56"/>
      <c r="AE995" s="56"/>
      <c r="AF995" s="56"/>
      <c r="AH995" s="56"/>
    </row>
    <row r="996" spans="2:34">
      <c r="B996" s="65" t="s">
        <v>219</v>
      </c>
      <c r="C996" s="65"/>
      <c r="D996" s="65" t="s">
        <v>204</v>
      </c>
      <c r="E996" s="65"/>
      <c r="F996" s="65"/>
      <c r="G996" s="65"/>
      <c r="H996" s="65"/>
      <c r="I996" s="65"/>
      <c r="J996" s="65"/>
      <c r="K996" s="56"/>
      <c r="L996" s="65"/>
      <c r="M996" s="56"/>
      <c r="N996" s="56"/>
      <c r="O996" s="56"/>
      <c r="P996" s="56"/>
      <c r="Q996" s="65"/>
      <c r="R996" s="65" t="s">
        <v>202</v>
      </c>
      <c r="S996" s="65" t="b">
        <v>1</v>
      </c>
      <c r="T996" s="65" t="b">
        <v>1</v>
      </c>
      <c r="Z996" s="56"/>
      <c r="AA996" s="56"/>
      <c r="AB996" s="56"/>
      <c r="AC996" s="56"/>
      <c r="AD996" s="56"/>
      <c r="AE996" s="56"/>
      <c r="AF996" s="56"/>
      <c r="AH996" s="56"/>
    </row>
    <row r="997" spans="2:34">
      <c r="B997" s="65" t="s">
        <v>218</v>
      </c>
      <c r="C997" s="65"/>
      <c r="D997" s="65" t="s">
        <v>204</v>
      </c>
      <c r="E997" s="65"/>
      <c r="F997" s="65"/>
      <c r="G997" s="65"/>
      <c r="H997" s="65"/>
      <c r="I997" s="65"/>
      <c r="J997" s="65"/>
      <c r="K997" s="56"/>
      <c r="L997" s="65"/>
      <c r="M997" s="56"/>
      <c r="N997" s="56"/>
      <c r="O997" s="56"/>
      <c r="P997" s="56"/>
      <c r="Q997" s="65"/>
      <c r="R997" s="65" t="s">
        <v>202</v>
      </c>
      <c r="S997" s="65" t="b">
        <v>1</v>
      </c>
      <c r="T997" s="65" t="b">
        <v>1</v>
      </c>
      <c r="Z997" s="56"/>
      <c r="AA997" s="56"/>
      <c r="AB997" s="56"/>
      <c r="AC997" s="56"/>
      <c r="AD997" s="56"/>
      <c r="AE997" s="56"/>
      <c r="AF997" s="56"/>
      <c r="AH997" s="56"/>
    </row>
    <row r="998" spans="2:34">
      <c r="B998" s="65" t="s">
        <v>217</v>
      </c>
      <c r="C998" s="65"/>
      <c r="D998" s="65" t="s">
        <v>204</v>
      </c>
      <c r="E998" s="65"/>
      <c r="F998" s="65"/>
      <c r="G998" s="65"/>
      <c r="H998" s="65"/>
      <c r="I998" s="65"/>
      <c r="J998" s="65"/>
      <c r="K998" s="56"/>
      <c r="L998" s="65"/>
      <c r="M998" s="56"/>
      <c r="N998" s="56"/>
      <c r="O998" s="56"/>
      <c r="P998" s="56"/>
      <c r="Q998" s="65"/>
      <c r="R998" s="65" t="s">
        <v>202</v>
      </c>
      <c r="S998" s="65" t="b">
        <v>1</v>
      </c>
      <c r="T998" s="65" t="b">
        <v>1</v>
      </c>
      <c r="Z998" s="56"/>
      <c r="AA998" s="56"/>
      <c r="AB998" s="56"/>
      <c r="AC998" s="56"/>
      <c r="AD998" s="56"/>
      <c r="AE998" s="56"/>
      <c r="AF998" s="56"/>
      <c r="AH998" s="56"/>
    </row>
    <row r="999" spans="2:34">
      <c r="B999" s="65" t="s">
        <v>216</v>
      </c>
      <c r="C999" s="65"/>
      <c r="D999" s="65" t="s">
        <v>204</v>
      </c>
      <c r="E999" s="65"/>
      <c r="F999" s="65"/>
      <c r="G999" s="65"/>
      <c r="H999" s="65"/>
      <c r="I999" s="65"/>
      <c r="J999" s="65"/>
      <c r="K999" s="56"/>
      <c r="L999" s="65"/>
      <c r="M999" s="56"/>
      <c r="N999" s="56"/>
      <c r="O999" s="56"/>
      <c r="P999" s="56"/>
      <c r="Q999" s="65"/>
      <c r="R999" s="65" t="s">
        <v>202</v>
      </c>
      <c r="S999" s="65" t="b">
        <v>1</v>
      </c>
      <c r="T999" s="65" t="b">
        <v>1</v>
      </c>
      <c r="Z999" s="56"/>
      <c r="AA999" s="56"/>
      <c r="AB999" s="56"/>
      <c r="AC999" s="56"/>
      <c r="AD999" s="56"/>
      <c r="AE999" s="56"/>
      <c r="AF999" s="56"/>
      <c r="AH999" s="56"/>
    </row>
    <row r="1000" spans="2:34">
      <c r="B1000" s="65" t="s">
        <v>215</v>
      </c>
      <c r="C1000" s="65"/>
      <c r="D1000" s="65" t="s">
        <v>204</v>
      </c>
      <c r="E1000" s="65"/>
      <c r="F1000" s="65"/>
      <c r="G1000" s="65"/>
      <c r="H1000" s="65"/>
      <c r="I1000" s="65"/>
      <c r="J1000" s="65"/>
      <c r="K1000" s="56"/>
      <c r="L1000" s="65"/>
      <c r="M1000" s="56"/>
      <c r="N1000" s="56"/>
      <c r="O1000" s="56"/>
      <c r="P1000" s="56"/>
      <c r="Q1000" s="65"/>
      <c r="R1000" s="65" t="s">
        <v>202</v>
      </c>
      <c r="S1000" s="65" t="b">
        <v>1</v>
      </c>
      <c r="T1000" s="65" t="b">
        <v>1</v>
      </c>
      <c r="Z1000" s="56"/>
      <c r="AA1000" s="56"/>
      <c r="AB1000" s="56"/>
      <c r="AC1000" s="56"/>
      <c r="AD1000" s="56"/>
      <c r="AE1000" s="56"/>
      <c r="AF1000" s="56"/>
      <c r="AH1000" s="56"/>
    </row>
    <row r="1001" spans="2:34">
      <c r="B1001" s="65" t="s">
        <v>214</v>
      </c>
      <c r="C1001" s="65"/>
      <c r="D1001" s="65" t="s">
        <v>204</v>
      </c>
      <c r="E1001" s="65"/>
      <c r="F1001" s="65"/>
      <c r="G1001" s="65"/>
      <c r="H1001" s="65"/>
      <c r="I1001" s="65"/>
      <c r="J1001" s="65"/>
      <c r="K1001" s="56"/>
      <c r="L1001" s="65"/>
      <c r="M1001" s="56"/>
      <c r="N1001" s="56"/>
      <c r="O1001" s="56"/>
      <c r="P1001" s="56"/>
      <c r="Q1001" s="65"/>
      <c r="R1001" s="65" t="s">
        <v>202</v>
      </c>
      <c r="S1001" s="65" t="b">
        <v>1</v>
      </c>
      <c r="T1001" s="65" t="b">
        <v>1</v>
      </c>
      <c r="Z1001" s="56"/>
      <c r="AA1001" s="56"/>
      <c r="AB1001" s="56"/>
      <c r="AC1001" s="56"/>
      <c r="AD1001" s="56"/>
      <c r="AE1001" s="56"/>
      <c r="AF1001" s="56"/>
      <c r="AH1001" s="56"/>
    </row>
    <row r="1002" spans="2:34">
      <c r="B1002" s="65" t="s">
        <v>213</v>
      </c>
      <c r="C1002" s="65"/>
      <c r="D1002" s="65" t="s">
        <v>204</v>
      </c>
      <c r="E1002" s="65"/>
      <c r="F1002" s="65"/>
      <c r="G1002" s="65"/>
      <c r="H1002" s="65"/>
      <c r="I1002" s="65"/>
      <c r="J1002" s="65"/>
      <c r="K1002" s="56"/>
      <c r="L1002" s="65"/>
      <c r="M1002" s="56"/>
      <c r="N1002" s="56"/>
      <c r="O1002" s="56"/>
      <c r="P1002" s="56"/>
      <c r="Q1002" s="65"/>
      <c r="R1002" s="65" t="s">
        <v>202</v>
      </c>
      <c r="S1002" s="65" t="b">
        <v>1</v>
      </c>
      <c r="T1002" s="65" t="b">
        <v>1</v>
      </c>
      <c r="Z1002" s="56"/>
      <c r="AA1002" s="56"/>
      <c r="AB1002" s="56"/>
      <c r="AC1002" s="56"/>
      <c r="AD1002" s="56"/>
      <c r="AE1002" s="56"/>
      <c r="AF1002" s="56"/>
      <c r="AH1002" s="56"/>
    </row>
    <row r="1003" spans="2:34">
      <c r="B1003" s="65" t="s">
        <v>212</v>
      </c>
      <c r="C1003" s="65"/>
      <c r="D1003" s="65" t="s">
        <v>204</v>
      </c>
      <c r="E1003" s="65"/>
      <c r="F1003" s="65"/>
      <c r="G1003" s="65"/>
      <c r="H1003" s="65"/>
      <c r="I1003" s="65"/>
      <c r="J1003" s="65"/>
      <c r="K1003" s="56"/>
      <c r="L1003" s="65"/>
      <c r="M1003" s="56"/>
      <c r="N1003" s="56"/>
      <c r="O1003" s="56"/>
      <c r="P1003" s="56"/>
      <c r="Q1003" s="65"/>
      <c r="R1003" s="65" t="s">
        <v>202</v>
      </c>
      <c r="S1003" s="65" t="b">
        <v>1</v>
      </c>
      <c r="T1003" s="65" t="b">
        <v>1</v>
      </c>
      <c r="Z1003" s="56"/>
      <c r="AA1003" s="56"/>
      <c r="AB1003" s="56"/>
      <c r="AC1003" s="56"/>
      <c r="AD1003" s="56"/>
      <c r="AE1003" s="56"/>
      <c r="AF1003" s="56"/>
      <c r="AH1003" s="56"/>
    </row>
    <row r="1004" spans="2:34">
      <c r="B1004" s="65" t="s">
        <v>211</v>
      </c>
      <c r="C1004" s="65"/>
      <c r="D1004" s="65" t="s">
        <v>204</v>
      </c>
      <c r="E1004" s="65"/>
      <c r="F1004" s="65"/>
      <c r="G1004" s="65"/>
      <c r="H1004" s="65"/>
      <c r="I1004" s="65"/>
      <c r="J1004" s="65"/>
      <c r="K1004" s="56"/>
      <c r="L1004" s="65"/>
      <c r="M1004" s="56"/>
      <c r="N1004" s="56"/>
      <c r="O1004" s="56"/>
      <c r="P1004" s="56"/>
      <c r="Q1004" s="65"/>
      <c r="R1004" s="65" t="s">
        <v>202</v>
      </c>
      <c r="S1004" s="65" t="b">
        <v>1</v>
      </c>
      <c r="T1004" s="65" t="b">
        <v>1</v>
      </c>
      <c r="Z1004" s="56"/>
      <c r="AA1004" s="56"/>
      <c r="AB1004" s="56"/>
      <c r="AC1004" s="56"/>
      <c r="AD1004" s="56"/>
      <c r="AE1004" s="56"/>
      <c r="AF1004" s="56"/>
      <c r="AH1004" s="56"/>
    </row>
    <row r="1005" spans="2:34">
      <c r="B1005" s="65" t="s">
        <v>210</v>
      </c>
      <c r="C1005" s="65"/>
      <c r="D1005" s="65" t="s">
        <v>204</v>
      </c>
      <c r="E1005" s="65"/>
      <c r="F1005" s="65"/>
      <c r="G1005" s="65"/>
      <c r="H1005" s="65"/>
      <c r="I1005" s="65"/>
      <c r="J1005" s="65"/>
      <c r="K1005" s="56"/>
      <c r="L1005" s="65"/>
      <c r="M1005" s="56"/>
      <c r="N1005" s="56"/>
      <c r="O1005" s="56"/>
      <c r="P1005" s="56"/>
      <c r="Q1005" s="65"/>
      <c r="R1005" s="65" t="s">
        <v>202</v>
      </c>
      <c r="S1005" s="65" t="b">
        <v>1</v>
      </c>
      <c r="T1005" s="65" t="b">
        <v>1</v>
      </c>
      <c r="Z1005" s="56"/>
      <c r="AA1005" s="56"/>
      <c r="AB1005" s="56"/>
      <c r="AC1005" s="56"/>
      <c r="AD1005" s="56"/>
      <c r="AE1005" s="56"/>
      <c r="AF1005" s="56"/>
      <c r="AH1005" s="56"/>
    </row>
    <row r="1006" spans="2:34">
      <c r="B1006" s="65" t="s">
        <v>209</v>
      </c>
      <c r="C1006" s="65"/>
      <c r="D1006" s="65" t="s">
        <v>204</v>
      </c>
      <c r="E1006" s="65"/>
      <c r="F1006" s="65"/>
      <c r="G1006" s="65"/>
      <c r="H1006" s="65"/>
      <c r="I1006" s="65"/>
      <c r="J1006" s="65"/>
      <c r="K1006" s="56"/>
      <c r="L1006" s="65"/>
      <c r="M1006" s="56"/>
      <c r="N1006" s="56"/>
      <c r="O1006" s="56"/>
      <c r="P1006" s="56"/>
      <c r="Q1006" s="65"/>
      <c r="R1006" s="65" t="s">
        <v>202</v>
      </c>
      <c r="S1006" s="65" t="b">
        <v>1</v>
      </c>
      <c r="T1006" s="65" t="b">
        <v>1</v>
      </c>
      <c r="Z1006" s="56"/>
      <c r="AA1006" s="56"/>
      <c r="AB1006" s="56"/>
      <c r="AC1006" s="56"/>
      <c r="AD1006" s="56"/>
      <c r="AE1006" s="56"/>
      <c r="AF1006" s="56"/>
      <c r="AH1006" s="56"/>
    </row>
    <row r="1007" spans="2:34">
      <c r="B1007" s="65" t="s">
        <v>208</v>
      </c>
      <c r="C1007" s="65"/>
      <c r="D1007" s="65" t="s">
        <v>204</v>
      </c>
      <c r="E1007" s="65"/>
      <c r="F1007" s="65"/>
      <c r="G1007" s="65"/>
      <c r="H1007" s="65"/>
      <c r="I1007" s="65"/>
      <c r="J1007" s="65"/>
      <c r="K1007" s="56"/>
      <c r="L1007" s="65"/>
      <c r="M1007" s="56"/>
      <c r="N1007" s="56"/>
      <c r="O1007" s="56"/>
      <c r="P1007" s="56"/>
      <c r="Q1007" s="65"/>
      <c r="R1007" s="65" t="s">
        <v>202</v>
      </c>
      <c r="S1007" s="65" t="b">
        <v>1</v>
      </c>
      <c r="T1007" s="65" t="b">
        <v>1</v>
      </c>
      <c r="Z1007" s="56"/>
      <c r="AA1007" s="56"/>
      <c r="AB1007" s="56"/>
      <c r="AC1007" s="56"/>
      <c r="AD1007" s="56"/>
      <c r="AE1007" s="56"/>
      <c r="AF1007" s="56"/>
      <c r="AH1007" s="56"/>
    </row>
    <row r="1008" spans="2:34">
      <c r="B1008" s="65" t="s">
        <v>207</v>
      </c>
      <c r="C1008" s="65"/>
      <c r="D1008" s="65" t="s">
        <v>204</v>
      </c>
      <c r="E1008" s="65"/>
      <c r="F1008" s="65"/>
      <c r="G1008" s="65"/>
      <c r="H1008" s="65"/>
      <c r="I1008" s="65"/>
      <c r="J1008" s="65"/>
      <c r="K1008" s="56"/>
      <c r="L1008" s="65"/>
      <c r="M1008" s="56"/>
      <c r="N1008" s="56"/>
      <c r="O1008" s="56"/>
      <c r="P1008" s="56"/>
      <c r="Q1008" s="65"/>
      <c r="R1008" s="65" t="s">
        <v>202</v>
      </c>
      <c r="S1008" s="65" t="b">
        <v>1</v>
      </c>
      <c r="T1008" s="65" t="b">
        <v>1</v>
      </c>
      <c r="Z1008" s="56"/>
      <c r="AA1008" s="56"/>
      <c r="AB1008" s="56"/>
      <c r="AC1008" s="56"/>
      <c r="AD1008" s="56"/>
      <c r="AE1008" s="56"/>
      <c r="AF1008" s="56"/>
      <c r="AH1008" s="56"/>
    </row>
    <row r="1009" spans="2:34">
      <c r="B1009" s="65" t="s">
        <v>206</v>
      </c>
      <c r="C1009" s="65"/>
      <c r="D1009" s="65" t="s">
        <v>204</v>
      </c>
      <c r="E1009" s="65"/>
      <c r="F1009" s="65"/>
      <c r="G1009" s="65"/>
      <c r="H1009" s="65"/>
      <c r="I1009" s="65"/>
      <c r="J1009" s="65"/>
      <c r="K1009" s="56"/>
      <c r="L1009" s="65"/>
      <c r="M1009" s="56"/>
      <c r="N1009" s="56"/>
      <c r="O1009" s="56"/>
      <c r="P1009" s="56"/>
      <c r="Q1009" s="65"/>
      <c r="R1009" s="65" t="s">
        <v>202</v>
      </c>
      <c r="S1009" s="65" t="b">
        <v>1</v>
      </c>
      <c r="T1009" s="65" t="b">
        <v>1</v>
      </c>
      <c r="Z1009" s="56"/>
      <c r="AA1009" s="56"/>
      <c r="AB1009" s="56"/>
      <c r="AC1009" s="56"/>
      <c r="AD1009" s="56"/>
      <c r="AE1009" s="56"/>
      <c r="AF1009" s="56"/>
      <c r="AH1009" s="56"/>
    </row>
    <row r="1010" spans="2:34" ht="15" thickBot="1">
      <c r="B1010" s="65" t="s">
        <v>205</v>
      </c>
      <c r="C1010" s="65"/>
      <c r="D1010" s="65" t="s">
        <v>204</v>
      </c>
      <c r="E1010" s="65"/>
      <c r="F1010" s="65"/>
      <c r="G1010" s="65"/>
      <c r="H1010" s="65"/>
      <c r="I1010" s="65"/>
      <c r="J1010" s="65"/>
      <c r="K1010" s="56"/>
      <c r="L1010" s="65"/>
      <c r="M1010" s="56"/>
      <c r="N1010" s="56"/>
      <c r="O1010" s="56"/>
      <c r="P1010" s="56"/>
      <c r="Q1010" s="65"/>
      <c r="R1010" s="65" t="s">
        <v>202</v>
      </c>
      <c r="S1010" s="65" t="b">
        <v>1</v>
      </c>
      <c r="T1010" s="65" t="b">
        <v>1</v>
      </c>
      <c r="Z1010" s="56"/>
      <c r="AA1010" s="56"/>
      <c r="AB1010" s="56"/>
      <c r="AC1010" s="56"/>
      <c r="AD1010" s="56"/>
      <c r="AE1010" s="56"/>
      <c r="AF1010" s="56"/>
      <c r="AH1010" s="56"/>
    </row>
    <row r="1011" spans="2:34" ht="15" thickBot="1">
      <c r="B1011" s="63"/>
      <c r="C1011" s="63"/>
      <c r="D1011" s="63" t="s">
        <v>203</v>
      </c>
      <c r="E1011" s="63"/>
      <c r="F1011" s="63"/>
      <c r="G1011" s="63" t="s">
        <v>202</v>
      </c>
      <c r="H1011" s="63"/>
      <c r="I1011" s="63"/>
      <c r="J1011" s="56"/>
      <c r="K1011" s="56"/>
      <c r="L1011" s="56"/>
      <c r="M1011" s="56"/>
      <c r="N1011" s="56"/>
      <c r="O1011" s="56"/>
      <c r="P1011" s="56"/>
      <c r="Q1011" s="56"/>
      <c r="Z1011" s="56"/>
      <c r="AA1011" s="56"/>
      <c r="AB1011" s="56"/>
      <c r="AC1011" s="56"/>
      <c r="AD1011" s="56"/>
      <c r="AE1011" s="56"/>
      <c r="AF1011" s="56"/>
      <c r="AH1011" s="56"/>
    </row>
    <row r="1012" spans="2:34" ht="16.5" thickBot="1">
      <c r="B1012" s="63" t="s">
        <v>201</v>
      </c>
      <c r="C1012" s="63"/>
      <c r="D1012" s="64" t="s">
        <v>184</v>
      </c>
      <c r="E1012" s="64"/>
      <c r="F1012" s="63"/>
      <c r="G1012" s="63"/>
      <c r="H1012" s="63"/>
      <c r="I1012" s="63"/>
      <c r="J1012" s="56"/>
      <c r="K1012" s="56"/>
      <c r="L1012" s="56"/>
      <c r="M1012" s="56"/>
      <c r="N1012" s="56"/>
      <c r="O1012" s="56"/>
      <c r="P1012" s="56"/>
      <c r="Q1012" s="56"/>
      <c r="Z1012" s="56"/>
      <c r="AA1012" s="56"/>
      <c r="AB1012" s="56"/>
      <c r="AC1012" s="56"/>
      <c r="AD1012" s="56"/>
      <c r="AE1012" s="56"/>
      <c r="AF1012" s="56"/>
      <c r="AH1012" s="56"/>
    </row>
    <row r="1013" spans="2:34" ht="16.5" thickBot="1">
      <c r="B1013" s="63" t="s">
        <v>200</v>
      </c>
      <c r="C1013" s="63"/>
      <c r="D1013" s="63"/>
      <c r="E1013" s="63"/>
      <c r="F1013" s="64"/>
      <c r="G1013" s="64" t="s">
        <v>184</v>
      </c>
      <c r="H1013" s="64"/>
      <c r="I1013" s="64"/>
      <c r="J1013" s="56"/>
      <c r="K1013" s="56"/>
      <c r="L1013" s="56"/>
      <c r="M1013" s="56"/>
      <c r="N1013" s="56"/>
      <c r="O1013" s="56"/>
      <c r="P1013" s="56"/>
      <c r="Q1013" s="56"/>
      <c r="Z1013" s="56"/>
      <c r="AA1013" s="56"/>
      <c r="AB1013" s="56"/>
      <c r="AC1013" s="56"/>
      <c r="AD1013" s="56"/>
      <c r="AE1013" s="56"/>
      <c r="AF1013" s="56"/>
      <c r="AH1013" s="56"/>
    </row>
    <row r="1014" spans="2:34" ht="16.5" thickBot="1">
      <c r="B1014" s="63" t="s">
        <v>199</v>
      </c>
      <c r="C1014" s="63"/>
      <c r="D1014" s="63"/>
      <c r="E1014" s="63"/>
      <c r="F1014" s="64"/>
      <c r="G1014" s="64" t="s">
        <v>184</v>
      </c>
      <c r="H1014" s="64"/>
      <c r="I1014" s="64"/>
      <c r="J1014" s="56"/>
      <c r="K1014" s="56"/>
      <c r="L1014" s="56"/>
      <c r="M1014" s="56"/>
      <c r="N1014" s="56"/>
      <c r="O1014" s="56"/>
      <c r="P1014" s="56"/>
      <c r="Q1014" s="56"/>
      <c r="Z1014" s="56"/>
      <c r="AA1014" s="56"/>
      <c r="AB1014" s="56"/>
      <c r="AC1014" s="56"/>
      <c r="AD1014" s="56"/>
      <c r="AE1014" s="56"/>
      <c r="AF1014" s="56"/>
      <c r="AH1014" s="56"/>
    </row>
    <row r="1015" spans="2:34" ht="16.5" thickBot="1">
      <c r="B1015" s="63" t="s">
        <v>198</v>
      </c>
      <c r="C1015" s="63"/>
      <c r="D1015" s="63"/>
      <c r="E1015" s="63"/>
      <c r="F1015" s="64"/>
      <c r="G1015" s="64" t="s">
        <v>184</v>
      </c>
      <c r="H1015" s="64"/>
      <c r="I1015" s="64"/>
      <c r="J1015" s="56"/>
      <c r="K1015" s="56"/>
      <c r="L1015" s="56"/>
      <c r="M1015" s="56"/>
      <c r="N1015" s="56"/>
      <c r="O1015" s="56"/>
      <c r="P1015" s="56"/>
      <c r="Q1015" s="56"/>
      <c r="Z1015" s="56"/>
      <c r="AA1015" s="56"/>
      <c r="AB1015" s="56"/>
      <c r="AC1015" s="56"/>
      <c r="AD1015" s="56"/>
      <c r="AE1015" s="56"/>
      <c r="AF1015" s="56"/>
      <c r="AH1015" s="56"/>
    </row>
    <row r="1016" spans="2:34" ht="16.5" thickBot="1">
      <c r="B1016" s="63" t="s">
        <v>197</v>
      </c>
      <c r="C1016" s="63"/>
      <c r="D1016" s="64" t="s">
        <v>184</v>
      </c>
      <c r="E1016" s="64"/>
      <c r="F1016" s="63"/>
      <c r="G1016" s="63"/>
      <c r="H1016" s="63"/>
      <c r="I1016" s="63"/>
      <c r="J1016" s="56"/>
      <c r="K1016" s="56"/>
      <c r="L1016" s="56"/>
      <c r="M1016" s="56"/>
      <c r="N1016" s="56"/>
      <c r="O1016" s="56"/>
      <c r="P1016" s="56"/>
      <c r="Q1016" s="56"/>
      <c r="Z1016" s="56"/>
      <c r="AA1016" s="56"/>
      <c r="AB1016" s="56"/>
      <c r="AC1016" s="56"/>
      <c r="AD1016" s="56"/>
      <c r="AE1016" s="56"/>
      <c r="AF1016" s="56"/>
      <c r="AH1016" s="56"/>
    </row>
    <row r="1017" spans="2:34" ht="16.5" thickBot="1">
      <c r="B1017" s="63" t="s">
        <v>196</v>
      </c>
      <c r="C1017" s="63"/>
      <c r="D1017" s="64" t="s">
        <v>184</v>
      </c>
      <c r="E1017" s="64"/>
      <c r="F1017" s="63"/>
      <c r="G1017" s="63"/>
      <c r="H1017" s="63"/>
      <c r="I1017" s="63"/>
      <c r="J1017" s="56"/>
      <c r="K1017" s="56"/>
      <c r="L1017" s="56"/>
      <c r="M1017" s="56"/>
      <c r="N1017" s="56"/>
      <c r="O1017" s="56"/>
      <c r="P1017" s="56"/>
      <c r="Q1017" s="56"/>
      <c r="Z1017" s="56"/>
      <c r="AA1017" s="56"/>
      <c r="AB1017" s="56"/>
      <c r="AC1017" s="56"/>
      <c r="AD1017" s="56"/>
      <c r="AE1017" s="56"/>
      <c r="AF1017" s="56"/>
      <c r="AH1017" s="56"/>
    </row>
    <row r="1018" spans="2:34" ht="16.5" thickBot="1">
      <c r="B1018" s="63" t="s">
        <v>195</v>
      </c>
      <c r="C1018" s="63"/>
      <c r="D1018" s="64" t="s">
        <v>184</v>
      </c>
      <c r="E1018" s="64"/>
      <c r="F1018" s="63"/>
      <c r="G1018" s="63"/>
      <c r="H1018" s="63"/>
      <c r="I1018" s="63"/>
      <c r="J1018" s="56"/>
      <c r="K1018" s="56"/>
      <c r="L1018" s="56"/>
      <c r="M1018" s="56"/>
      <c r="N1018" s="56"/>
      <c r="O1018" s="56"/>
      <c r="P1018" s="56"/>
      <c r="Q1018" s="56"/>
      <c r="Z1018" s="56"/>
      <c r="AA1018" s="56"/>
      <c r="AB1018" s="56"/>
      <c r="AC1018" s="56"/>
      <c r="AD1018" s="56"/>
      <c r="AE1018" s="56"/>
      <c r="AF1018" s="56"/>
      <c r="AH1018" s="56"/>
    </row>
    <row r="1019" spans="2:34" ht="16.5" thickBot="1">
      <c r="B1019" s="63" t="s">
        <v>194</v>
      </c>
      <c r="C1019" s="63"/>
      <c r="D1019" s="64" t="s">
        <v>184</v>
      </c>
      <c r="E1019" s="64"/>
      <c r="F1019" s="63"/>
      <c r="G1019" s="63"/>
      <c r="H1019" s="63"/>
      <c r="I1019" s="63"/>
      <c r="J1019" s="56"/>
      <c r="K1019" s="56"/>
      <c r="L1019" s="56"/>
      <c r="M1019" s="56"/>
      <c r="N1019" s="56"/>
      <c r="O1019" s="56"/>
      <c r="P1019" s="56"/>
      <c r="Q1019" s="56"/>
      <c r="Z1019" s="56"/>
      <c r="AA1019" s="56"/>
      <c r="AB1019" s="56"/>
      <c r="AC1019" s="56"/>
      <c r="AD1019" s="56"/>
      <c r="AE1019" s="56"/>
      <c r="AF1019" s="56"/>
      <c r="AH1019" s="56"/>
    </row>
    <row r="1020" spans="2:34" ht="16.5" thickBot="1">
      <c r="B1020" s="63" t="s">
        <v>193</v>
      </c>
      <c r="C1020" s="63"/>
      <c r="D1020" s="64" t="s">
        <v>184</v>
      </c>
      <c r="E1020" s="64"/>
      <c r="F1020" s="64"/>
      <c r="G1020" s="64" t="s">
        <v>184</v>
      </c>
      <c r="H1020" s="64"/>
      <c r="I1020" s="64"/>
      <c r="J1020" s="56"/>
      <c r="K1020" s="56"/>
      <c r="L1020" s="56"/>
      <c r="M1020" s="56"/>
      <c r="N1020" s="56"/>
      <c r="O1020" s="56"/>
      <c r="P1020" s="56"/>
      <c r="Q1020" s="56"/>
      <c r="Z1020" s="56"/>
      <c r="AA1020" s="56"/>
      <c r="AB1020" s="56"/>
      <c r="AC1020" s="56"/>
      <c r="AD1020" s="56"/>
      <c r="AE1020" s="56"/>
      <c r="AF1020" s="56"/>
      <c r="AH1020" s="56"/>
    </row>
    <row r="1021" spans="2:34" ht="16.5" thickBot="1">
      <c r="B1021" s="63" t="s">
        <v>192</v>
      </c>
      <c r="C1021" s="63"/>
      <c r="D1021" s="64" t="s">
        <v>184</v>
      </c>
      <c r="E1021" s="64"/>
      <c r="F1021" s="63"/>
      <c r="G1021" s="63"/>
      <c r="H1021" s="63"/>
      <c r="I1021" s="63"/>
      <c r="J1021" s="56"/>
      <c r="K1021" s="56"/>
      <c r="L1021" s="56"/>
      <c r="M1021" s="56"/>
      <c r="N1021" s="56"/>
      <c r="O1021" s="56"/>
      <c r="P1021" s="56"/>
      <c r="Q1021" s="56"/>
      <c r="Z1021" s="56"/>
      <c r="AA1021" s="56"/>
      <c r="AB1021" s="56"/>
      <c r="AC1021" s="56"/>
      <c r="AD1021" s="56"/>
      <c r="AE1021" s="56"/>
      <c r="AF1021" s="56"/>
      <c r="AH1021" s="56"/>
    </row>
    <row r="1022" spans="2:34" ht="16.5" thickBot="1">
      <c r="B1022" s="63" t="s">
        <v>191</v>
      </c>
      <c r="C1022" s="63"/>
      <c r="D1022" s="64" t="s">
        <v>184</v>
      </c>
      <c r="E1022" s="64"/>
      <c r="F1022" s="63"/>
      <c r="G1022" s="63"/>
      <c r="H1022" s="63"/>
      <c r="I1022" s="63"/>
      <c r="J1022" s="56"/>
      <c r="K1022" s="56"/>
      <c r="L1022" s="56"/>
      <c r="M1022" s="56"/>
      <c r="N1022" s="56"/>
      <c r="O1022" s="56"/>
      <c r="P1022" s="56"/>
      <c r="Q1022" s="56"/>
      <c r="Z1022" s="56"/>
      <c r="AA1022" s="56"/>
      <c r="AB1022" s="56"/>
      <c r="AC1022" s="56"/>
      <c r="AD1022" s="56"/>
      <c r="AE1022" s="56"/>
      <c r="AF1022" s="56"/>
      <c r="AH1022" s="56"/>
    </row>
    <row r="1023" spans="2:34" ht="16.5" thickBot="1">
      <c r="B1023" s="63" t="s">
        <v>190</v>
      </c>
      <c r="C1023" s="63"/>
      <c r="D1023" s="64" t="s">
        <v>184</v>
      </c>
      <c r="E1023" s="64"/>
      <c r="F1023" s="63"/>
      <c r="G1023" s="63"/>
      <c r="H1023" s="63"/>
      <c r="I1023" s="63"/>
      <c r="J1023" s="56"/>
      <c r="K1023" s="56"/>
      <c r="L1023" s="56"/>
      <c r="M1023" s="56"/>
      <c r="N1023" s="56"/>
      <c r="O1023" s="56"/>
      <c r="P1023" s="56"/>
      <c r="Q1023" s="56"/>
      <c r="Z1023" s="56"/>
      <c r="AA1023" s="56"/>
      <c r="AB1023" s="56"/>
      <c r="AC1023" s="56"/>
      <c r="AD1023" s="56"/>
      <c r="AE1023" s="56"/>
      <c r="AF1023" s="56"/>
      <c r="AH1023" s="56"/>
    </row>
    <row r="1024" spans="2:34" ht="15" thickBot="1">
      <c r="B1024" s="63" t="s">
        <v>189</v>
      </c>
      <c r="C1024" s="63"/>
      <c r="D1024" s="63"/>
      <c r="E1024" s="63"/>
      <c r="F1024" s="63"/>
      <c r="G1024" s="63"/>
      <c r="H1024" s="63"/>
      <c r="I1024" s="63"/>
      <c r="J1024" s="56"/>
      <c r="K1024" s="56"/>
      <c r="L1024" s="56"/>
      <c r="M1024" s="56"/>
      <c r="N1024" s="56"/>
      <c r="O1024" s="56"/>
      <c r="P1024" s="56"/>
      <c r="Q1024" s="56"/>
      <c r="Z1024" s="56"/>
      <c r="AA1024" s="56"/>
      <c r="AB1024" s="56"/>
      <c r="AC1024" s="56"/>
      <c r="AD1024" s="56"/>
      <c r="AE1024" s="56"/>
      <c r="AF1024" s="56"/>
      <c r="AH1024" s="56"/>
    </row>
    <row r="1025" spans="2:34" ht="16.5" thickBot="1">
      <c r="B1025" s="63" t="s">
        <v>188</v>
      </c>
      <c r="C1025" s="63"/>
      <c r="D1025" s="64" t="s">
        <v>184</v>
      </c>
      <c r="E1025" s="64"/>
      <c r="F1025" s="64"/>
      <c r="G1025" s="64" t="s">
        <v>184</v>
      </c>
      <c r="H1025" s="64"/>
      <c r="I1025" s="64"/>
      <c r="J1025" s="56"/>
      <c r="K1025" s="56"/>
      <c r="L1025" s="56"/>
      <c r="M1025" s="56"/>
      <c r="N1025" s="56"/>
      <c r="O1025" s="56"/>
      <c r="P1025" s="56"/>
      <c r="Q1025" s="56"/>
      <c r="Z1025" s="56"/>
      <c r="AA1025" s="56"/>
      <c r="AB1025" s="56"/>
      <c r="AC1025" s="56"/>
      <c r="AD1025" s="56"/>
      <c r="AE1025" s="56"/>
      <c r="AF1025" s="56"/>
      <c r="AH1025" s="56"/>
    </row>
    <row r="1026" spans="2:34" ht="16.5" thickBot="1">
      <c r="B1026" s="63" t="s">
        <v>187</v>
      </c>
      <c r="C1026" s="63"/>
      <c r="D1026" s="63"/>
      <c r="E1026" s="63"/>
      <c r="F1026" s="64"/>
      <c r="G1026" s="64" t="s">
        <v>184</v>
      </c>
      <c r="H1026" s="64"/>
      <c r="I1026" s="64"/>
      <c r="J1026" s="56"/>
      <c r="K1026" s="56"/>
      <c r="L1026" s="56"/>
      <c r="M1026" s="56"/>
      <c r="N1026" s="56"/>
      <c r="O1026" s="56"/>
      <c r="P1026" s="56"/>
      <c r="Q1026" s="56"/>
      <c r="Z1026" s="56"/>
      <c r="AA1026" s="56"/>
      <c r="AB1026" s="56"/>
      <c r="AC1026" s="56"/>
      <c r="AD1026" s="56"/>
      <c r="AE1026" s="56"/>
      <c r="AF1026" s="56"/>
      <c r="AH1026" s="56"/>
    </row>
    <row r="1027" spans="2:34" ht="16.5" thickBot="1">
      <c r="B1027" s="63" t="s">
        <v>186</v>
      </c>
      <c r="C1027" s="63"/>
      <c r="D1027" s="64" t="s">
        <v>184</v>
      </c>
      <c r="E1027" s="64"/>
      <c r="F1027" s="63"/>
      <c r="G1027" s="63"/>
      <c r="H1027" s="63"/>
      <c r="I1027" s="63"/>
      <c r="J1027" s="56"/>
      <c r="K1027" s="56"/>
      <c r="L1027" s="56"/>
      <c r="M1027" s="56"/>
      <c r="N1027" s="56"/>
      <c r="O1027" s="56"/>
      <c r="P1027" s="56"/>
      <c r="Q1027" s="56"/>
      <c r="Z1027" s="56"/>
      <c r="AA1027" s="56"/>
      <c r="AB1027" s="56"/>
      <c r="AC1027" s="56"/>
      <c r="AD1027" s="56"/>
      <c r="AE1027" s="56"/>
      <c r="AF1027" s="56"/>
      <c r="AH1027" s="56"/>
    </row>
    <row r="1028" spans="2:34" ht="16.5" thickBot="1">
      <c r="B1028" s="63" t="s">
        <v>185</v>
      </c>
      <c r="C1028" s="63"/>
      <c r="D1028" s="64" t="s">
        <v>184</v>
      </c>
      <c r="E1028" s="64"/>
      <c r="F1028" s="64"/>
      <c r="G1028" s="64" t="s">
        <v>184</v>
      </c>
      <c r="H1028" s="64"/>
      <c r="I1028" s="64"/>
      <c r="J1028" s="56"/>
      <c r="K1028" s="56"/>
      <c r="L1028" s="56"/>
      <c r="M1028" s="56"/>
      <c r="N1028" s="56"/>
      <c r="O1028" s="56"/>
      <c r="P1028" s="56"/>
      <c r="Q1028" s="56"/>
      <c r="Z1028" s="56"/>
      <c r="AA1028" s="56"/>
      <c r="AB1028" s="56"/>
      <c r="AC1028" s="56"/>
      <c r="AD1028" s="56"/>
      <c r="AE1028" s="56"/>
      <c r="AF1028" s="56"/>
      <c r="AH1028" s="56"/>
    </row>
    <row r="1029" spans="2:34" ht="15" thickBot="1">
      <c r="B1029" s="63"/>
      <c r="C1029" s="63"/>
      <c r="D1029" s="63"/>
      <c r="E1029" s="63"/>
      <c r="F1029" s="63"/>
      <c r="G1029" s="63"/>
      <c r="H1029" s="63"/>
      <c r="I1029" s="63"/>
      <c r="J1029" s="56"/>
      <c r="K1029" s="56"/>
      <c r="L1029" s="56"/>
      <c r="M1029" s="56"/>
      <c r="N1029" s="56"/>
      <c r="O1029" s="56"/>
      <c r="P1029" s="56"/>
      <c r="Q1029" s="56"/>
      <c r="Z1029" s="56"/>
      <c r="AA1029" s="56"/>
      <c r="AB1029" s="56"/>
      <c r="AC1029" s="56"/>
      <c r="AD1029" s="56"/>
      <c r="AE1029" s="56"/>
      <c r="AF1029" s="56"/>
      <c r="AH1029" s="56"/>
    </row>
    <row r="1030" spans="2:34">
      <c r="B1030" s="62" t="s">
        <v>183</v>
      </c>
      <c r="C1030" s="62"/>
      <c r="D1030" s="56"/>
      <c r="E1030" s="56"/>
      <c r="F1030" s="56"/>
      <c r="G1030" s="56"/>
      <c r="H1030" s="56"/>
      <c r="I1030" s="56"/>
      <c r="J1030" s="56"/>
      <c r="K1030" s="56"/>
      <c r="L1030" s="56"/>
      <c r="M1030" s="56"/>
      <c r="N1030" s="56"/>
      <c r="O1030" s="56"/>
      <c r="P1030" s="56"/>
      <c r="Q1030" s="56"/>
      <c r="Z1030" s="56"/>
      <c r="AA1030" s="56"/>
      <c r="AB1030" s="56"/>
      <c r="AC1030" s="56"/>
      <c r="AD1030" s="56"/>
      <c r="AE1030" s="56"/>
      <c r="AF1030" s="56"/>
      <c r="AH1030" s="56"/>
    </row>
    <row r="1031" spans="2:34">
      <c r="B1031" s="62" t="s">
        <v>182</v>
      </c>
      <c r="C1031" s="62"/>
      <c r="D1031" s="56"/>
      <c r="E1031" s="56"/>
      <c r="F1031" s="56"/>
      <c r="G1031" s="56"/>
      <c r="H1031" s="56"/>
      <c r="I1031" s="56"/>
      <c r="J1031" s="56"/>
      <c r="K1031" s="56"/>
      <c r="L1031" s="56"/>
      <c r="M1031" s="56"/>
      <c r="N1031" s="56"/>
      <c r="O1031" s="56"/>
      <c r="P1031" s="56"/>
      <c r="Q1031" s="56"/>
      <c r="Z1031" s="56"/>
      <c r="AA1031" s="56"/>
      <c r="AB1031" s="56"/>
      <c r="AC1031" s="56"/>
      <c r="AD1031" s="56"/>
      <c r="AE1031" s="56"/>
      <c r="AF1031" s="56"/>
      <c r="AH1031" s="56"/>
    </row>
    <row r="1032" spans="2:34">
      <c r="B1032" s="62" t="s">
        <v>181</v>
      </c>
      <c r="C1032" s="62"/>
      <c r="D1032" s="56"/>
      <c r="E1032" s="56"/>
      <c r="F1032" s="56"/>
      <c r="G1032" s="56"/>
      <c r="H1032" s="56"/>
      <c r="I1032" s="56"/>
      <c r="J1032" s="56"/>
      <c r="K1032" s="56"/>
      <c r="L1032" s="56"/>
      <c r="M1032" s="56"/>
      <c r="N1032" s="56"/>
      <c r="O1032" s="56"/>
      <c r="P1032" s="56"/>
      <c r="Q1032" s="56"/>
      <c r="Z1032" s="56"/>
      <c r="AA1032" s="56"/>
      <c r="AB1032" s="56"/>
      <c r="AC1032" s="56"/>
      <c r="AD1032" s="56"/>
      <c r="AE1032" s="56"/>
      <c r="AF1032" s="56"/>
      <c r="AH1032" s="56"/>
    </row>
    <row r="1033" spans="2:34">
      <c r="B1033" s="62" t="s">
        <v>180</v>
      </c>
      <c r="C1033" s="62"/>
      <c r="D1033" s="56"/>
      <c r="E1033" s="56"/>
      <c r="F1033" s="56"/>
      <c r="G1033" s="56"/>
      <c r="H1033" s="56"/>
      <c r="I1033" s="56"/>
      <c r="J1033" s="56"/>
      <c r="K1033" s="56"/>
      <c r="L1033" s="56"/>
      <c r="M1033" s="56"/>
      <c r="N1033" s="56"/>
      <c r="O1033" s="56"/>
      <c r="P1033" s="56"/>
      <c r="Q1033" s="56"/>
      <c r="Z1033" s="56"/>
      <c r="AA1033" s="56"/>
      <c r="AB1033" s="56"/>
      <c r="AC1033" s="56"/>
      <c r="AD1033" s="56"/>
      <c r="AE1033" s="56"/>
      <c r="AF1033" s="56"/>
      <c r="AH1033" s="56"/>
    </row>
    <row r="1034" spans="2:34">
      <c r="B1034" s="62" t="s">
        <v>179</v>
      </c>
      <c r="C1034" s="62"/>
      <c r="D1034" s="56"/>
      <c r="E1034" s="56"/>
      <c r="F1034" s="56"/>
      <c r="G1034" s="56"/>
      <c r="H1034" s="56"/>
      <c r="I1034" s="56"/>
      <c r="J1034" s="56"/>
      <c r="K1034" s="56"/>
      <c r="L1034" s="56"/>
      <c r="M1034" s="56"/>
      <c r="N1034" s="56"/>
      <c r="O1034" s="56"/>
      <c r="P1034" s="56"/>
      <c r="Q1034" s="56"/>
      <c r="Z1034" s="56"/>
      <c r="AA1034" s="56"/>
      <c r="AB1034" s="56"/>
      <c r="AC1034" s="56"/>
      <c r="AD1034" s="56"/>
      <c r="AE1034" s="56"/>
      <c r="AF1034" s="56"/>
      <c r="AH1034" s="56"/>
    </row>
    <row r="1035" spans="2:34">
      <c r="B1035" s="62" t="s">
        <v>178</v>
      </c>
      <c r="C1035" s="62"/>
      <c r="D1035" s="56"/>
      <c r="E1035" s="56"/>
      <c r="F1035" s="56"/>
      <c r="G1035" s="56"/>
      <c r="H1035" s="56"/>
      <c r="I1035" s="56"/>
      <c r="J1035" s="56"/>
      <c r="K1035" s="56"/>
      <c r="L1035" s="56"/>
      <c r="M1035" s="56"/>
      <c r="N1035" s="56"/>
      <c r="O1035" s="56"/>
      <c r="P1035" s="56"/>
      <c r="Q1035" s="56"/>
      <c r="Z1035" s="56"/>
      <c r="AA1035" s="56"/>
      <c r="AB1035" s="56"/>
      <c r="AC1035" s="56"/>
      <c r="AD1035" s="56"/>
      <c r="AE1035" s="56"/>
      <c r="AF1035" s="56"/>
      <c r="AH1035" s="56"/>
    </row>
    <row r="1036" spans="2:34">
      <c r="B1036" s="62" t="s">
        <v>177</v>
      </c>
      <c r="C1036" s="62"/>
      <c r="D1036" s="56"/>
      <c r="E1036" s="56"/>
      <c r="F1036" s="56"/>
      <c r="G1036" s="56"/>
      <c r="H1036" s="56"/>
      <c r="I1036" s="56"/>
      <c r="J1036" s="56"/>
      <c r="K1036" s="56"/>
      <c r="L1036" s="56"/>
      <c r="M1036" s="56"/>
      <c r="N1036" s="56"/>
      <c r="O1036" s="56"/>
      <c r="P1036" s="56"/>
      <c r="Q1036" s="56"/>
      <c r="Z1036" s="56"/>
      <c r="AA1036" s="56"/>
      <c r="AB1036" s="56"/>
      <c r="AC1036" s="56"/>
      <c r="AD1036" s="56"/>
      <c r="AE1036" s="56"/>
      <c r="AF1036" s="56"/>
      <c r="AH1036" s="56"/>
    </row>
    <row r="1037" spans="2:34">
      <c r="B1037" s="62" t="s">
        <v>176</v>
      </c>
      <c r="C1037" s="62"/>
      <c r="D1037" s="56"/>
      <c r="E1037" s="56"/>
      <c r="F1037" s="56"/>
      <c r="G1037" s="56"/>
      <c r="H1037" s="56"/>
      <c r="I1037" s="56"/>
      <c r="J1037" s="56"/>
      <c r="K1037" s="56"/>
      <c r="L1037" s="56"/>
      <c r="M1037" s="56"/>
      <c r="N1037" s="56"/>
      <c r="O1037" s="56"/>
      <c r="P1037" s="56"/>
      <c r="Q1037" s="56"/>
      <c r="Z1037" s="56"/>
      <c r="AA1037" s="56"/>
      <c r="AB1037" s="56"/>
      <c r="AC1037" s="56"/>
      <c r="AD1037" s="56"/>
      <c r="AE1037" s="56"/>
      <c r="AF1037" s="56"/>
      <c r="AH1037" s="56"/>
    </row>
    <row r="1038" spans="2:34">
      <c r="B1038" s="62" t="s">
        <v>175</v>
      </c>
      <c r="C1038" s="62"/>
      <c r="D1038" s="56"/>
      <c r="E1038" s="56"/>
      <c r="F1038" s="56"/>
      <c r="G1038" s="56"/>
      <c r="H1038" s="56"/>
      <c r="I1038" s="56"/>
      <c r="J1038" s="56"/>
      <c r="K1038" s="56"/>
      <c r="L1038" s="56"/>
      <c r="M1038" s="56"/>
      <c r="N1038" s="56"/>
      <c r="O1038" s="56"/>
      <c r="P1038" s="56"/>
      <c r="Q1038" s="56"/>
      <c r="Z1038" s="56"/>
      <c r="AA1038" s="56"/>
      <c r="AB1038" s="56"/>
      <c r="AC1038" s="56"/>
      <c r="AD1038" s="56"/>
      <c r="AE1038" s="56"/>
      <c r="AF1038" s="56"/>
      <c r="AH1038" s="56"/>
    </row>
    <row r="1039" spans="2:34">
      <c r="B1039" s="62" t="s">
        <v>174</v>
      </c>
      <c r="C1039" s="62"/>
      <c r="D1039" s="56"/>
      <c r="E1039" s="56"/>
      <c r="F1039" s="56"/>
      <c r="G1039" s="56"/>
      <c r="H1039" s="56"/>
      <c r="I1039" s="56"/>
      <c r="J1039" s="56"/>
      <c r="K1039" s="56"/>
      <c r="L1039" s="56"/>
      <c r="M1039" s="56"/>
      <c r="N1039" s="56"/>
      <c r="O1039" s="56"/>
      <c r="P1039" s="56"/>
      <c r="Q1039" s="56"/>
      <c r="Z1039" s="56"/>
      <c r="AA1039" s="56"/>
      <c r="AB1039" s="56"/>
      <c r="AC1039" s="56"/>
      <c r="AD1039" s="56"/>
      <c r="AE1039" s="56"/>
      <c r="AF1039" s="56"/>
      <c r="AH1039" s="56"/>
    </row>
    <row r="1040" spans="2:34">
      <c r="B1040" s="62" t="s">
        <v>173</v>
      </c>
      <c r="C1040" s="62"/>
      <c r="D1040" s="56"/>
      <c r="E1040" s="56"/>
      <c r="F1040" s="56"/>
      <c r="G1040" s="56"/>
      <c r="H1040" s="56"/>
      <c r="I1040" s="56"/>
      <c r="J1040" s="56"/>
      <c r="K1040" s="56"/>
      <c r="L1040" s="56"/>
      <c r="M1040" s="56"/>
      <c r="N1040" s="56"/>
      <c r="O1040" s="56"/>
      <c r="P1040" s="56"/>
      <c r="Q1040" s="56"/>
      <c r="Z1040" s="56"/>
      <c r="AA1040" s="56"/>
      <c r="AB1040" s="56"/>
      <c r="AC1040" s="56"/>
      <c r="AD1040" s="56"/>
      <c r="AE1040" s="56"/>
      <c r="AF1040" s="56"/>
      <c r="AH1040" s="56"/>
    </row>
    <row r="1041" spans="2:34">
      <c r="B1041" s="62" t="s">
        <v>172</v>
      </c>
      <c r="C1041" s="62"/>
      <c r="D1041" s="56"/>
      <c r="E1041" s="56"/>
      <c r="F1041" s="56"/>
      <c r="G1041" s="56"/>
      <c r="H1041" s="56"/>
      <c r="I1041" s="56"/>
      <c r="J1041" s="56"/>
      <c r="K1041" s="56"/>
      <c r="L1041" s="56"/>
      <c r="M1041" s="56"/>
      <c r="N1041" s="56"/>
      <c r="O1041" s="56"/>
      <c r="P1041" s="56"/>
      <c r="Q1041" s="56"/>
      <c r="Z1041" s="56"/>
      <c r="AA1041" s="56"/>
      <c r="AB1041" s="56"/>
      <c r="AC1041" s="56"/>
      <c r="AD1041" s="56"/>
      <c r="AE1041" s="56"/>
      <c r="AF1041" s="56"/>
      <c r="AH1041" s="56"/>
    </row>
    <row r="1042" spans="2:34">
      <c r="B1042" s="62" t="s">
        <v>171</v>
      </c>
      <c r="C1042" s="62"/>
      <c r="D1042" s="56"/>
      <c r="E1042" s="56"/>
      <c r="F1042" s="56"/>
      <c r="G1042" s="56"/>
      <c r="H1042" s="56"/>
      <c r="I1042" s="56"/>
      <c r="J1042" s="56"/>
      <c r="K1042" s="56"/>
      <c r="L1042" s="56"/>
      <c r="M1042" s="56"/>
      <c r="N1042" s="56"/>
      <c r="O1042" s="56"/>
      <c r="P1042" s="56"/>
      <c r="Q1042" s="56"/>
      <c r="Z1042" s="56"/>
      <c r="AA1042" s="56"/>
      <c r="AB1042" s="56"/>
      <c r="AC1042" s="56"/>
      <c r="AD1042" s="56"/>
      <c r="AE1042" s="56"/>
      <c r="AF1042" s="56"/>
      <c r="AH1042" s="56"/>
    </row>
    <row r="1043" spans="2:34">
      <c r="B1043" s="62" t="s">
        <v>170</v>
      </c>
      <c r="C1043" s="62"/>
      <c r="D1043" s="56"/>
      <c r="E1043" s="56"/>
      <c r="F1043" s="56"/>
      <c r="G1043" s="56"/>
      <c r="H1043" s="56"/>
      <c r="I1043" s="56"/>
      <c r="J1043" s="56"/>
      <c r="K1043" s="56"/>
      <c r="L1043" s="56"/>
      <c r="M1043" s="56"/>
      <c r="N1043" s="56"/>
      <c r="O1043" s="56"/>
      <c r="P1043" s="56"/>
      <c r="Q1043" s="56"/>
      <c r="Z1043" s="56"/>
      <c r="AA1043" s="56"/>
      <c r="AB1043" s="56"/>
      <c r="AC1043" s="56"/>
      <c r="AD1043" s="56"/>
      <c r="AE1043" s="56"/>
      <c r="AF1043" s="56"/>
      <c r="AH1043" s="56"/>
    </row>
    <row r="1044" spans="2:34">
      <c r="B1044" s="62" t="s">
        <v>169</v>
      </c>
      <c r="C1044" s="62"/>
      <c r="D1044" s="56"/>
      <c r="E1044" s="56"/>
      <c r="F1044" s="56"/>
      <c r="G1044" s="56"/>
      <c r="H1044" s="56"/>
      <c r="I1044" s="56"/>
      <c r="J1044" s="56"/>
      <c r="K1044" s="56"/>
      <c r="L1044" s="56"/>
      <c r="M1044" s="56"/>
      <c r="N1044" s="56"/>
      <c r="O1044" s="56"/>
      <c r="P1044" s="56"/>
      <c r="Q1044" s="56"/>
      <c r="Z1044" s="56"/>
      <c r="AA1044" s="56"/>
      <c r="AB1044" s="56"/>
      <c r="AC1044" s="56"/>
      <c r="AD1044" s="56"/>
      <c r="AE1044" s="56"/>
      <c r="AF1044" s="56"/>
      <c r="AH1044" s="56"/>
    </row>
    <row r="1045" spans="2:34">
      <c r="B1045" s="62" t="s">
        <v>168</v>
      </c>
      <c r="C1045" s="62"/>
      <c r="D1045" s="56"/>
      <c r="E1045" s="56"/>
      <c r="F1045" s="56"/>
      <c r="G1045" s="56"/>
      <c r="H1045" s="56"/>
      <c r="I1045" s="56"/>
      <c r="J1045" s="56"/>
      <c r="K1045" s="56"/>
      <c r="L1045" s="56"/>
      <c r="M1045" s="56"/>
      <c r="N1045" s="56"/>
      <c r="O1045" s="56"/>
      <c r="P1045" s="56"/>
      <c r="Q1045" s="56"/>
      <c r="Z1045" s="56"/>
      <c r="AA1045" s="56"/>
      <c r="AB1045" s="56"/>
      <c r="AC1045" s="56"/>
      <c r="AD1045" s="56"/>
      <c r="AE1045" s="56"/>
      <c r="AF1045" s="56"/>
      <c r="AH1045" s="56"/>
    </row>
    <row r="1046" spans="2:34">
      <c r="B1046" s="62" t="s">
        <v>167</v>
      </c>
      <c r="C1046" s="62"/>
      <c r="D1046" s="56"/>
      <c r="E1046" s="56"/>
      <c r="F1046" s="56"/>
      <c r="G1046" s="56"/>
      <c r="H1046" s="56"/>
      <c r="I1046" s="56"/>
      <c r="J1046" s="56"/>
      <c r="K1046" s="56"/>
      <c r="L1046" s="56"/>
      <c r="M1046" s="56"/>
      <c r="N1046" s="56"/>
      <c r="O1046" s="56"/>
      <c r="P1046" s="56"/>
      <c r="Q1046" s="56"/>
      <c r="Z1046" s="56"/>
      <c r="AA1046" s="56"/>
      <c r="AB1046" s="56"/>
      <c r="AC1046" s="56"/>
      <c r="AD1046" s="56"/>
      <c r="AE1046" s="56"/>
      <c r="AF1046" s="56"/>
      <c r="AH1046" s="56"/>
    </row>
    <row r="1047" spans="2:34">
      <c r="B1047" s="62" t="s">
        <v>166</v>
      </c>
      <c r="C1047" s="62"/>
      <c r="D1047" s="56"/>
      <c r="E1047" s="56"/>
      <c r="F1047" s="56"/>
      <c r="G1047" s="56"/>
      <c r="H1047" s="56"/>
      <c r="I1047" s="56"/>
      <c r="J1047" s="56"/>
      <c r="K1047" s="56"/>
      <c r="L1047" s="56"/>
      <c r="M1047" s="56"/>
      <c r="N1047" s="56"/>
      <c r="O1047" s="56"/>
      <c r="P1047" s="56"/>
      <c r="Q1047" s="56"/>
      <c r="Z1047" s="56"/>
      <c r="AA1047" s="56"/>
      <c r="AB1047" s="56"/>
      <c r="AC1047" s="56"/>
      <c r="AD1047" s="56"/>
      <c r="AE1047" s="56"/>
      <c r="AF1047" s="56"/>
      <c r="AH1047" s="56"/>
    </row>
    <row r="1048" spans="2:34">
      <c r="B1048" s="62" t="s">
        <v>165</v>
      </c>
      <c r="C1048" s="62"/>
      <c r="D1048" s="56"/>
      <c r="E1048" s="56"/>
      <c r="F1048" s="56"/>
      <c r="G1048" s="56"/>
      <c r="H1048" s="56"/>
      <c r="I1048" s="56"/>
      <c r="J1048" s="56"/>
      <c r="K1048" s="56"/>
      <c r="L1048" s="56"/>
      <c r="M1048" s="56"/>
      <c r="N1048" s="56"/>
      <c r="O1048" s="56"/>
      <c r="P1048" s="56"/>
      <c r="Q1048" s="56"/>
      <c r="Z1048" s="56"/>
      <c r="AA1048" s="56"/>
      <c r="AB1048" s="56"/>
      <c r="AC1048" s="56"/>
      <c r="AD1048" s="56"/>
      <c r="AE1048" s="56"/>
      <c r="AF1048" s="56"/>
      <c r="AH1048" s="56"/>
    </row>
    <row r="1049" spans="2:34">
      <c r="B1049" s="62" t="s">
        <v>164</v>
      </c>
      <c r="C1049" s="62"/>
      <c r="D1049" s="56"/>
      <c r="E1049" s="56"/>
      <c r="F1049" s="56"/>
      <c r="G1049" s="56"/>
      <c r="H1049" s="56"/>
      <c r="I1049" s="56"/>
      <c r="J1049" s="56"/>
      <c r="K1049" s="56"/>
      <c r="L1049" s="56"/>
      <c r="M1049" s="56"/>
      <c r="N1049" s="56"/>
      <c r="O1049" s="56"/>
      <c r="P1049" s="56"/>
      <c r="Q1049" s="56"/>
      <c r="Z1049" s="56"/>
      <c r="AA1049" s="56"/>
      <c r="AB1049" s="56"/>
      <c r="AC1049" s="56"/>
      <c r="AD1049" s="56"/>
      <c r="AE1049" s="56"/>
      <c r="AF1049" s="56"/>
      <c r="AH1049" s="56"/>
    </row>
    <row r="1050" spans="2:34">
      <c r="B1050" s="62"/>
      <c r="C1050" s="62"/>
      <c r="D1050" s="56"/>
      <c r="E1050" s="56"/>
      <c r="F1050" s="56"/>
      <c r="G1050" s="56"/>
      <c r="H1050" s="56"/>
      <c r="I1050" s="56"/>
      <c r="J1050" s="56"/>
      <c r="K1050" s="56"/>
      <c r="L1050" s="56"/>
      <c r="M1050" s="56"/>
      <c r="N1050" s="56"/>
      <c r="O1050" s="56"/>
      <c r="P1050" s="56"/>
      <c r="Q1050" s="56"/>
      <c r="Z1050" s="56"/>
      <c r="AA1050" s="56"/>
      <c r="AB1050" s="56"/>
      <c r="AC1050" s="56"/>
      <c r="AD1050" s="56"/>
      <c r="AE1050" s="56"/>
      <c r="AF1050" s="56"/>
      <c r="AH1050" s="56"/>
    </row>
    <row r="1051" spans="2:34">
      <c r="B1051" s="62" t="s">
        <v>163</v>
      </c>
      <c r="C1051" s="62"/>
      <c r="D1051" s="56"/>
      <c r="E1051" s="56"/>
      <c r="F1051" s="56"/>
      <c r="G1051" s="56"/>
      <c r="H1051" s="56"/>
      <c r="I1051" s="56"/>
      <c r="J1051" s="56"/>
      <c r="K1051" s="56"/>
      <c r="L1051" s="56"/>
      <c r="M1051" s="56"/>
      <c r="N1051" s="56"/>
      <c r="O1051" s="56"/>
      <c r="P1051" s="56"/>
      <c r="Q1051" s="56"/>
      <c r="Z1051" s="56"/>
      <c r="AA1051" s="56"/>
      <c r="AB1051" s="56"/>
      <c r="AC1051" s="56"/>
      <c r="AD1051" s="56"/>
      <c r="AE1051" s="56"/>
      <c r="AF1051" s="56"/>
      <c r="AH1051" s="56"/>
    </row>
    <row r="1052" spans="2:34">
      <c r="B1052" s="62" t="s">
        <v>162</v>
      </c>
      <c r="C1052" s="62"/>
      <c r="D1052" s="56"/>
      <c r="E1052" s="56"/>
      <c r="F1052" s="56"/>
      <c r="G1052" s="56"/>
      <c r="H1052" s="56"/>
      <c r="I1052" s="56"/>
      <c r="J1052" s="56"/>
      <c r="K1052" s="56"/>
      <c r="L1052" s="56"/>
      <c r="M1052" s="56"/>
      <c r="N1052" s="56"/>
      <c r="O1052" s="56"/>
      <c r="P1052" s="56"/>
      <c r="Q1052" s="56"/>
      <c r="Z1052" s="56"/>
      <c r="AA1052" s="56"/>
      <c r="AB1052" s="56"/>
      <c r="AC1052" s="56"/>
      <c r="AD1052" s="56"/>
      <c r="AE1052" s="56"/>
      <c r="AF1052" s="56"/>
      <c r="AH1052" s="56"/>
    </row>
    <row r="1053" spans="2:34">
      <c r="B1053" s="62" t="s">
        <v>161</v>
      </c>
      <c r="C1053" s="62"/>
      <c r="D1053" s="56"/>
      <c r="E1053" s="56"/>
      <c r="F1053" s="56"/>
      <c r="G1053" s="56"/>
      <c r="H1053" s="56"/>
      <c r="I1053" s="56"/>
      <c r="J1053" s="56"/>
      <c r="K1053" s="56"/>
      <c r="L1053" s="56"/>
      <c r="M1053" s="56"/>
      <c r="N1053" s="56"/>
      <c r="O1053" s="56"/>
      <c r="P1053" s="56"/>
      <c r="Q1053" s="56"/>
      <c r="Z1053" s="56"/>
      <c r="AA1053" s="56"/>
      <c r="AB1053" s="56"/>
      <c r="AC1053" s="56"/>
      <c r="AD1053" s="56"/>
      <c r="AE1053" s="56"/>
      <c r="AF1053" s="56"/>
      <c r="AH1053" s="56"/>
    </row>
    <row r="1054" spans="2:34">
      <c r="B1054" s="62" t="s">
        <v>160</v>
      </c>
      <c r="C1054" s="62"/>
      <c r="D1054" s="56"/>
      <c r="E1054" s="56"/>
      <c r="F1054" s="56"/>
      <c r="G1054" s="56"/>
      <c r="H1054" s="56"/>
      <c r="I1054" s="56"/>
      <c r="J1054" s="56"/>
      <c r="K1054" s="56"/>
      <c r="L1054" s="56"/>
      <c r="M1054" s="56"/>
      <c r="N1054" s="56"/>
      <c r="O1054" s="56"/>
      <c r="P1054" s="56"/>
      <c r="Q1054" s="56"/>
      <c r="Z1054" s="56"/>
      <c r="AA1054" s="56"/>
      <c r="AB1054" s="56"/>
      <c r="AC1054" s="56"/>
      <c r="AD1054" s="56"/>
      <c r="AE1054" s="56"/>
      <c r="AF1054" s="56"/>
      <c r="AH1054" s="56"/>
    </row>
    <row r="1055" spans="2:34">
      <c r="B1055" s="62" t="s">
        <v>159</v>
      </c>
      <c r="C1055" s="62"/>
      <c r="D1055" s="56"/>
      <c r="E1055" s="56"/>
      <c r="F1055" s="56"/>
      <c r="G1055" s="56"/>
      <c r="H1055" s="56"/>
      <c r="I1055" s="56"/>
      <c r="J1055" s="56"/>
      <c r="K1055" s="56"/>
      <c r="L1055" s="56"/>
      <c r="M1055" s="56"/>
      <c r="N1055" s="56"/>
      <c r="O1055" s="56"/>
      <c r="P1055" s="56"/>
      <c r="Q1055" s="56"/>
      <c r="Z1055" s="56"/>
      <c r="AA1055" s="56"/>
      <c r="AB1055" s="56"/>
      <c r="AC1055" s="56"/>
      <c r="AD1055" s="56"/>
      <c r="AE1055" s="56"/>
      <c r="AF1055" s="56"/>
      <c r="AH1055" s="56"/>
    </row>
    <row r="1056" spans="2:34">
      <c r="B1056" s="62" t="s">
        <v>158</v>
      </c>
      <c r="C1056" s="62"/>
      <c r="D1056" s="56"/>
      <c r="E1056" s="56"/>
      <c r="F1056" s="56"/>
      <c r="G1056" s="56"/>
      <c r="H1056" s="56"/>
      <c r="I1056" s="56"/>
      <c r="J1056" s="56"/>
      <c r="K1056" s="56"/>
      <c r="L1056" s="56"/>
      <c r="M1056" s="56"/>
      <c r="N1056" s="56"/>
      <c r="O1056" s="56"/>
      <c r="P1056" s="56"/>
      <c r="Q1056" s="56"/>
      <c r="Z1056" s="56"/>
      <c r="AA1056" s="56"/>
      <c r="AB1056" s="56"/>
      <c r="AC1056" s="56"/>
      <c r="AD1056" s="56"/>
      <c r="AE1056" s="56"/>
      <c r="AF1056" s="56"/>
      <c r="AH1056" s="56"/>
    </row>
    <row r="1057" spans="2:34">
      <c r="B1057" s="62" t="s">
        <v>157</v>
      </c>
      <c r="C1057" s="62"/>
      <c r="D1057" s="56"/>
      <c r="E1057" s="56"/>
      <c r="F1057" s="56"/>
      <c r="G1057" s="56"/>
      <c r="H1057" s="56"/>
      <c r="I1057" s="56"/>
      <c r="J1057" s="56"/>
      <c r="K1057" s="56"/>
      <c r="L1057" s="56"/>
      <c r="M1057" s="56"/>
      <c r="N1057" s="56"/>
      <c r="O1057" s="56"/>
      <c r="P1057" s="56"/>
      <c r="Q1057" s="56"/>
      <c r="Z1057" s="56"/>
      <c r="AA1057" s="56"/>
      <c r="AB1057" s="56"/>
      <c r="AC1057" s="56"/>
      <c r="AD1057" s="56"/>
      <c r="AE1057" s="56"/>
      <c r="AF1057" s="56"/>
      <c r="AH1057" s="56"/>
    </row>
    <row r="1058" spans="2:34">
      <c r="B1058" s="56"/>
      <c r="C1058" s="56"/>
      <c r="D1058" s="56"/>
      <c r="E1058" s="56"/>
      <c r="F1058" s="56"/>
      <c r="G1058" s="56"/>
      <c r="H1058" s="56"/>
      <c r="I1058" s="56"/>
      <c r="J1058" s="56"/>
      <c r="K1058" s="56"/>
      <c r="L1058" s="56"/>
      <c r="M1058" s="56"/>
      <c r="N1058" s="56"/>
      <c r="O1058" s="56"/>
      <c r="P1058" s="56"/>
      <c r="Q1058" s="56"/>
      <c r="Z1058" s="56"/>
      <c r="AA1058" s="56"/>
      <c r="AB1058" s="56"/>
      <c r="AC1058" s="56"/>
      <c r="AD1058" s="56"/>
      <c r="AE1058" s="56"/>
      <c r="AF1058" s="56"/>
      <c r="AH1058" s="56"/>
    </row>
    <row r="1059" spans="2:34">
      <c r="B1059" s="56"/>
      <c r="C1059" s="56"/>
      <c r="D1059" s="56"/>
      <c r="E1059" s="56"/>
      <c r="F1059" s="56"/>
      <c r="G1059" s="56"/>
      <c r="H1059" s="56"/>
      <c r="I1059" s="56"/>
      <c r="J1059" s="56"/>
      <c r="K1059" s="56"/>
      <c r="L1059" s="56"/>
      <c r="M1059" s="56"/>
      <c r="N1059" s="56"/>
      <c r="O1059" s="56"/>
      <c r="P1059" s="56"/>
      <c r="Q1059" s="56"/>
      <c r="Z1059" s="56"/>
      <c r="AA1059" s="56"/>
      <c r="AB1059" s="56"/>
      <c r="AC1059" s="56"/>
      <c r="AD1059" s="56"/>
      <c r="AE1059" s="56"/>
      <c r="AF1059" s="56"/>
      <c r="AH1059" s="56"/>
    </row>
    <row r="1060" spans="2:34">
      <c r="B1060" s="56"/>
      <c r="C1060" s="56"/>
      <c r="D1060" s="56"/>
      <c r="E1060" s="56"/>
      <c r="F1060" s="56"/>
      <c r="G1060" s="56"/>
      <c r="H1060" s="56"/>
      <c r="I1060" s="56"/>
      <c r="J1060" s="56"/>
      <c r="K1060" s="56"/>
      <c r="L1060" s="56"/>
      <c r="M1060" s="56"/>
      <c r="N1060" s="56"/>
      <c r="O1060" s="56"/>
      <c r="P1060" s="56"/>
      <c r="Q1060" s="56"/>
      <c r="Z1060" s="56"/>
      <c r="AA1060" s="56"/>
      <c r="AB1060" s="56"/>
      <c r="AC1060" s="56"/>
      <c r="AD1060" s="56"/>
      <c r="AE1060" s="56"/>
      <c r="AF1060" s="56"/>
      <c r="AH1060" s="56"/>
    </row>
    <row r="1061" spans="2:34">
      <c r="B1061" s="56"/>
      <c r="C1061" s="56"/>
      <c r="D1061" s="56"/>
      <c r="E1061" s="56"/>
      <c r="F1061" s="56"/>
      <c r="G1061" s="56"/>
      <c r="H1061" s="56"/>
      <c r="I1061" s="56"/>
      <c r="J1061" s="56"/>
      <c r="K1061" s="56"/>
      <c r="L1061" s="56"/>
      <c r="M1061" s="56"/>
      <c r="N1061" s="56"/>
      <c r="O1061" s="56"/>
      <c r="P1061" s="56"/>
      <c r="Q1061" s="56"/>
      <c r="Z1061" s="56"/>
      <c r="AA1061" s="56"/>
      <c r="AB1061" s="56"/>
      <c r="AC1061" s="56"/>
      <c r="AD1061" s="56"/>
      <c r="AE1061" s="56"/>
      <c r="AF1061" s="56"/>
      <c r="AH1061" s="56"/>
    </row>
    <row r="1062" spans="2:34">
      <c r="B1062" s="56"/>
      <c r="C1062" s="56"/>
      <c r="D1062" s="56"/>
      <c r="E1062" s="56"/>
      <c r="F1062" s="56"/>
      <c r="G1062" s="56"/>
      <c r="H1062" s="56"/>
      <c r="I1062" s="56"/>
      <c r="J1062" s="56"/>
      <c r="K1062" s="56"/>
      <c r="L1062" s="56"/>
      <c r="M1062" s="56"/>
      <c r="N1062" s="56"/>
      <c r="O1062" s="56"/>
      <c r="P1062" s="56"/>
      <c r="Q1062" s="56"/>
      <c r="Z1062" s="56"/>
      <c r="AA1062" s="56"/>
      <c r="AB1062" s="56"/>
      <c r="AC1062" s="56"/>
      <c r="AD1062" s="56"/>
      <c r="AE1062" s="56"/>
      <c r="AF1062" s="56"/>
      <c r="AH1062" s="56"/>
    </row>
    <row r="1063" spans="2:34">
      <c r="B1063" s="56"/>
      <c r="C1063" s="56"/>
      <c r="D1063" s="56"/>
      <c r="E1063" s="56"/>
      <c r="F1063" s="56"/>
      <c r="G1063" s="56"/>
      <c r="H1063" s="56"/>
      <c r="I1063" s="56"/>
      <c r="J1063" s="56"/>
      <c r="K1063" s="56"/>
      <c r="L1063" s="56"/>
      <c r="M1063" s="56"/>
      <c r="N1063" s="56"/>
      <c r="O1063" s="56"/>
      <c r="P1063" s="56"/>
      <c r="Q1063" s="56"/>
      <c r="Z1063" s="56"/>
      <c r="AA1063" s="56"/>
      <c r="AB1063" s="56"/>
      <c r="AC1063" s="56"/>
      <c r="AD1063" s="56"/>
      <c r="AE1063" s="56"/>
      <c r="AF1063" s="56"/>
      <c r="AH1063" s="56"/>
    </row>
    <row r="1064" spans="2:34">
      <c r="B1064" s="56"/>
      <c r="C1064" s="56"/>
      <c r="D1064" s="56"/>
      <c r="E1064" s="56"/>
      <c r="F1064" s="56"/>
      <c r="G1064" s="56"/>
      <c r="H1064" s="56"/>
      <c r="I1064" s="56"/>
      <c r="J1064" s="56"/>
      <c r="K1064" s="56"/>
      <c r="L1064" s="56"/>
      <c r="M1064" s="56"/>
      <c r="N1064" s="56"/>
      <c r="O1064" s="56"/>
      <c r="P1064" s="56"/>
      <c r="Q1064" s="56"/>
      <c r="Z1064" s="56"/>
      <c r="AA1064" s="56"/>
      <c r="AB1064" s="56"/>
      <c r="AC1064" s="56"/>
      <c r="AD1064" s="56"/>
      <c r="AE1064" s="56"/>
      <c r="AF1064" s="56"/>
      <c r="AH1064" s="56"/>
    </row>
    <row r="1065" spans="2:34">
      <c r="B1065" s="56"/>
      <c r="C1065" s="56"/>
      <c r="D1065" s="56"/>
      <c r="E1065" s="56"/>
      <c r="F1065" s="56"/>
      <c r="G1065" s="56"/>
      <c r="H1065" s="56"/>
      <c r="I1065" s="56"/>
      <c r="J1065" s="56"/>
      <c r="K1065" s="56"/>
      <c r="L1065" s="56"/>
      <c r="M1065" s="56"/>
      <c r="N1065" s="56"/>
      <c r="O1065" s="56"/>
      <c r="P1065" s="56"/>
      <c r="Q1065" s="56"/>
      <c r="Z1065" s="56"/>
      <c r="AA1065" s="56"/>
      <c r="AB1065" s="56"/>
      <c r="AC1065" s="56"/>
      <c r="AD1065" s="56"/>
      <c r="AE1065" s="56"/>
      <c r="AF1065" s="56"/>
      <c r="AH1065" s="56"/>
    </row>
    <row r="1066" spans="2:34">
      <c r="B1066" s="56"/>
      <c r="C1066" s="56"/>
      <c r="D1066" s="56"/>
      <c r="E1066" s="56"/>
      <c r="F1066" s="56"/>
      <c r="G1066" s="56"/>
      <c r="H1066" s="56"/>
      <c r="I1066" s="56"/>
      <c r="J1066" s="56"/>
      <c r="K1066" s="56"/>
      <c r="L1066" s="56"/>
      <c r="M1066" s="56"/>
      <c r="N1066" s="56"/>
      <c r="O1066" s="56"/>
      <c r="P1066" s="56"/>
      <c r="Q1066" s="56"/>
      <c r="Z1066" s="56"/>
      <c r="AA1066" s="56"/>
      <c r="AB1066" s="56"/>
      <c r="AC1066" s="56"/>
      <c r="AD1066" s="56"/>
      <c r="AE1066" s="56"/>
      <c r="AF1066" s="56"/>
      <c r="AH1066" s="56"/>
    </row>
    <row r="1067" spans="2:34">
      <c r="B1067" s="56"/>
      <c r="C1067" s="56"/>
      <c r="D1067" s="56"/>
      <c r="E1067" s="56"/>
      <c r="F1067" s="56"/>
      <c r="G1067" s="56"/>
      <c r="H1067" s="56"/>
      <c r="I1067" s="56"/>
      <c r="J1067" s="56"/>
      <c r="K1067" s="56"/>
      <c r="L1067" s="56"/>
      <c r="M1067" s="56"/>
      <c r="N1067" s="56"/>
      <c r="O1067" s="56"/>
      <c r="P1067" s="56"/>
      <c r="Q1067" s="56"/>
      <c r="Z1067" s="56"/>
      <c r="AA1067" s="56"/>
      <c r="AB1067" s="56"/>
      <c r="AC1067" s="56"/>
      <c r="AD1067" s="56"/>
      <c r="AE1067" s="56"/>
      <c r="AF1067" s="56"/>
      <c r="AH1067" s="56"/>
    </row>
    <row r="1095" spans="2:34">
      <c r="B1095" s="61"/>
      <c r="D1095" s="61"/>
      <c r="E1095" s="61"/>
      <c r="F1095" s="61"/>
      <c r="G1095" s="61"/>
      <c r="H1095" s="61"/>
      <c r="I1095" s="61"/>
      <c r="J1095" s="61"/>
      <c r="K1095" s="59"/>
      <c r="L1095" s="61"/>
      <c r="M1095" s="59"/>
      <c r="N1095" s="59"/>
      <c r="O1095" s="59"/>
      <c r="P1095" s="59"/>
      <c r="Q1095" s="61"/>
      <c r="R1095" s="60"/>
      <c r="S1095" s="60"/>
      <c r="T1095" s="60"/>
      <c r="U1095" s="60"/>
      <c r="V1095" s="60"/>
      <c r="W1095" s="60"/>
      <c r="X1095" s="60"/>
      <c r="Y1095" s="60"/>
      <c r="Z1095" s="59"/>
      <c r="AA1095" s="59"/>
      <c r="AB1095" s="59"/>
      <c r="AC1095" s="59"/>
      <c r="AD1095" s="59"/>
      <c r="AE1095" s="59"/>
      <c r="AF1095" s="59"/>
      <c r="AG1095" s="60"/>
      <c r="AH1095" s="59"/>
    </row>
  </sheetData>
  <autoFilter ref="A1:AG1094" xr:uid="{526E78F3-4246-45A6-860F-A98121D63766}"/>
  <phoneticPr fontId="2" type="noConversion"/>
  <dataValidations count="11">
    <dataValidation type="list" allowBlank="1" showInputMessage="1" showErrorMessage="1" sqref="B588:F708 B876:F880" xr:uid="{3B53A3CC-9F2C-473F-B497-75FF53678521}">
      <formula1>$B$430:$B$447</formula1>
    </dataValidation>
    <dataValidation type="list" allowBlank="1" showInputMessage="1" showErrorMessage="1" sqref="WVN786:WVN811 JB786:JB811 SX786:SX811 ACT786:ACT811 AMP786:AMP811 AWL786:AWL811 BGH786:BGH811 BQD786:BQD811 BZZ786:BZZ811 CJV786:CJV811 CTR786:CTR811 DDN786:DDN811 DNJ786:DNJ811 DXF786:DXF811 EHB786:EHB811 EQX786:EQX811 FAT786:FAT811 FKP786:FKP811 FUL786:FUL811 GEH786:GEH811 GOD786:GOD811 GXZ786:GXZ811 HHV786:HHV811 HRR786:HRR811 IBN786:IBN811 ILJ786:ILJ811 IVF786:IVF811 JFB786:JFB811 JOX786:JOX811 JYT786:JYT811 KIP786:KIP811 KSL786:KSL811 LCH786:LCH811 LMD786:LMD811 LVZ786:LVZ811 MFV786:MFV811 MPR786:MPR811 MZN786:MZN811 NJJ786:NJJ811 NTF786:NTF811 ODB786:ODB811 OMX786:OMX811 OWT786:OWT811 PGP786:PGP811 PQL786:PQL811 QAH786:QAH811 QKD786:QKD811 QTZ786:QTZ811 RDV786:RDV811 RNR786:RNR811 RXN786:RXN811 SHJ786:SHJ811 SRF786:SRF811 TBB786:TBB811 TKX786:TKX811 TUT786:TUT811 UEP786:UEP811 UOL786:UOL811 UYH786:UYH811 VID786:VID811 VRZ786:VRZ811 WBV786:WBV811 WLR786:WLR811" xr:uid="{847D06FC-6C23-4BC8-AD93-A9155DD3BAC7}">
      <formula1>$G$238:$G$239</formula1>
    </dataValidation>
    <dataValidation type="list" allowBlank="1" showInputMessage="1" showErrorMessage="1" sqref="S786:S811 WVT863:WVT870 WVW815:WVW862 WLX863:WLX870 WMA815:WMA862 WCB863:WCB870 WCE815:WCE862 VSF863:VSF870 VSI815:VSI862 VIJ863:VIJ870 VIM815:VIM862 UYN863:UYN870 UYQ815:UYQ862 UOR863:UOR870 UOU815:UOU862 UEV863:UEV870 UEY815:UEY862 TUZ863:TUZ870 TVC815:TVC862 TLD863:TLD870 TLG815:TLG862 TBH863:TBH870 TBK815:TBK862 SRL863:SRL870 SRO815:SRO862 SHP863:SHP870 SHS815:SHS862 RXT863:RXT870 RXW815:RXW862 RNX863:RNX870 ROA815:ROA862 REB863:REB870 REE815:REE862 QUF863:QUF870 QUI815:QUI862 QKJ863:QKJ870 QKM815:QKM862 QAN863:QAN870 QAQ815:QAQ862 PQR863:PQR870 PQU815:PQU862 PGV863:PGV870 PGY815:PGY862 OWZ863:OWZ870 OXC815:OXC862 OND863:OND870 ONG815:ONG862 ODH863:ODH870 ODK815:ODK862 NTL863:NTL870 NTO815:NTO862 NJP863:NJP870 NJS815:NJS862 MZT863:MZT870 MZW815:MZW862 MPX863:MPX870 MQA815:MQA862 MGB863:MGB870 MGE815:MGE862 LWF863:LWF870 LWI815:LWI862 LMJ863:LMJ870 LMM815:LMM862 LCN863:LCN870 LCQ815:LCQ862 KSR863:KSR870 KSU815:KSU862 KIV863:KIV870 KIY815:KIY862 JYZ863:JYZ870 JZC815:JZC862 JPD863:JPD870 JPG815:JPG862 JFH863:JFH870 JFK815:JFK862 IVL863:IVL870 IVO815:IVO862 ILP863:ILP870 ILS815:ILS862 IBT863:IBT870 IBW815:IBW862 HRX863:HRX870 HSA815:HSA862 HIB863:HIB870 HIE815:HIE862 GYF863:GYF870 GYI815:GYI862 GOJ863:GOJ870 GOM815:GOM862 GEN863:GEN870 GEQ815:GEQ862 FUR863:FUR870 FUU815:FUU862 FKV863:FKV870 FKY815:FKY862 FAZ863:FAZ870 FBC815:FBC862 ERD863:ERD870 ERG815:ERG862 EHH863:EHH870 EHK815:EHK862 DXL863:DXL870 DXO815:DXO862 DNP863:DNP870 DNS815:DNS862 DDT863:DDT870 DDW815:DDW862 CTX863:CTX870 CUA815:CUA862 CKB863:CKB870 CKE815:CKE862 CAF863:CAF870 CAI815:CAI862 BQJ863:BQJ870 BQM815:BQM862 BGN863:BGN870 BGQ815:BGQ862 AWR863:AWR870 AWU815:AWU862 AMV863:AMV870 AMY815:AMY862 ACZ863:ACZ870 ADC815:ADC862 TD863:TD870 TG815:TG862 JH863:JH870 JK815:JK862 R863 U815:U862 S864:S870 JH786:JH811 TD786:TD811 ACZ786:ACZ811 AMV786:AMV811 AWR786:AWR811 BGN786:BGN811 BQJ786:BQJ811 CAF786:CAF811 CKB786:CKB811 CTX786:CTX811 DDT786:DDT811 DNP786:DNP811 DXL786:DXL811 EHH786:EHH811 ERD786:ERD811 FAZ786:FAZ811 FKV786:FKV811 FUR786:FUR811 GEN786:GEN811 GOJ786:GOJ811 GYF786:GYF811 HIB786:HIB811 HRX786:HRX811 IBT786:IBT811 ILP786:ILP811 IVL786:IVL811 JFH786:JFH811 JPD786:JPD811 JYZ786:JYZ811 KIV786:KIV811 KSR786:KSR811 LCN786:LCN811 LMJ786:LMJ811 LWF786:LWF811 MGB786:MGB811 MPX786:MPX811 MZT786:MZT811 NJP786:NJP811 NTL786:NTL811 ODH786:ODH811 OND786:OND811 OWZ786:OWZ811 PGV786:PGV811 PQR786:PQR811 QAN786:QAN811 QKJ786:QKJ811 QUF786:QUF811 REB786:REB811 RNX786:RNX811 RXT786:RXT811 SHP786:SHP811 SRL786:SRL811 TBH786:TBH811 TLD786:TLD811 TUZ786:TUZ811 UEV786:UEV811 UOR786:UOR811 UYN786:UYN811 VIJ786:VIJ811 VSF786:VSF811 WCB786:WCB811 WLX786:WLX811 WVT786:WVT811" xr:uid="{6BF03AC6-EF61-4D95-A258-71FE424D0241}">
      <formula1>$S$231:$S$239</formula1>
    </dataValidation>
    <dataValidation type="list" allowBlank="1" showInputMessage="1" showErrorMessage="1" sqref="J786:K811 WVP863:WVP870 WVS815:WVS862 WLT863:WLT870 WLW815:WLW862 WBX863:WBX870 WCA815:WCA862 VSB863:VSB870 VSE815:VSE862 VIF863:VIF870 VII815:VII862 UYJ863:UYJ870 UYM815:UYM862 UON863:UON870 UOQ815:UOQ862 UER863:UER870 UEU815:UEU862 TUV863:TUV870 TUY815:TUY862 TKZ863:TKZ870 TLC815:TLC862 TBD863:TBD870 TBG815:TBG862 SRH863:SRH870 SRK815:SRK862 SHL863:SHL870 SHO815:SHO862 RXP863:RXP870 RXS815:RXS862 RNT863:RNT870 RNW815:RNW862 RDX863:RDX870 REA815:REA862 QUB863:QUB870 QUE815:QUE862 QKF863:QKF870 QKI815:QKI862 QAJ863:QAJ870 QAM815:QAM862 PQN863:PQN870 PQQ815:PQQ862 PGR863:PGR870 PGU815:PGU862 OWV863:OWV870 OWY815:OWY862 OMZ863:OMZ870 ONC815:ONC862 ODD863:ODD870 ODG815:ODG862 NTH863:NTH870 NTK815:NTK862 NJL863:NJL870 NJO815:NJO862 MZP863:MZP870 MZS815:MZS862 MPT863:MPT870 MPW815:MPW862 MFX863:MFX870 MGA815:MGA862 LWB863:LWB870 LWE815:LWE862 LMF863:LMF870 LMI815:LMI862 LCJ863:LCJ870 LCM815:LCM862 KSN863:KSN870 KSQ815:KSQ862 KIR863:KIR870 KIU815:KIU862 JYV863:JYV870 JYY815:JYY862 JOZ863:JOZ870 JPC815:JPC862 JFD863:JFD870 JFG815:JFG862 IVH863:IVH870 IVK815:IVK862 ILL863:ILL870 ILO815:ILO862 IBP863:IBP870 IBS815:IBS862 HRT863:HRT870 HRW815:HRW862 HHX863:HHX870 HIA815:HIA862 GYB863:GYB870 GYE815:GYE862 GOF863:GOF870 GOI815:GOI862 GEJ863:GEJ870 GEM815:GEM862 FUN863:FUN870 FUQ815:FUQ862 FKR863:FKR870 FKU815:FKU862 FAV863:FAV870 FAY815:FAY862 EQZ863:EQZ870 ERC815:ERC862 EHD863:EHD870 EHG815:EHG862 DXH863:DXH870 DXK815:DXK862 DNL863:DNL870 DNO815:DNO862 DDP863:DDP870 DDS815:DDS862 CTT863:CTT870 CTW815:CTW862 CJX863:CJX870 CKA815:CKA862 CAB863:CAB870 CAE815:CAE862 BQF863:BQF870 BQI815:BQI862 BGJ863:BGJ870 BGM815:BGM862 AWN863:AWN870 AWQ815:AWQ862 AMR863:AMR870 AMU815:AMU862 ACV863:ACV870 ACY815:ACY862 SZ863:SZ870 TC815:TC862 JD863:JD870 JG815:JG862 J864:K870 D815:E863 JD786:JD811 SZ786:SZ811 ACV786:ACV811 AMR786:AMR811 AWN786:AWN811 BGJ786:BGJ811 BQF786:BQF811 CAB786:CAB811 CJX786:CJX811 CTT786:CTT811 DDP786:DDP811 DNL786:DNL811 DXH786:DXH811 EHD786:EHD811 EQZ786:EQZ811 FAV786:FAV811 FKR786:FKR811 FUN786:FUN811 GEJ786:GEJ811 GOF786:GOF811 GYB786:GYB811 HHX786:HHX811 HRT786:HRT811 IBP786:IBP811 ILL786:ILL811 IVH786:IVH811 JFD786:JFD811 JOZ786:JOZ811 JYV786:JYV811 KIR786:KIR811 KSN786:KSN811 LCJ786:LCJ811 LMF786:LMF811 LWB786:LWB811 MFX786:MFX811 MPT786:MPT811 MZP786:MZP811 NJL786:NJL811 NTH786:NTH811 ODD786:ODD811 OMZ786:OMZ811 OWV786:OWV811 PGR786:PGR811 PQN786:PQN811 QAJ786:QAJ811 QKF786:QKF811 QUB786:QUB811 RDX786:RDX811 RNT786:RNT811 RXP786:RXP811 SHL786:SHL811 SRH786:SRH811 TBD786:TBD811 TKZ786:TKZ811 TUV786:TUV811 UER786:UER811 UON786:UON811 UYJ786:UYJ811 VIF786:VIF811 VSB786:VSB811 WBX786:WBX811 WLT786:WLT811 WVP786:WVP811" xr:uid="{060D76EF-B75D-4A91-94FF-0ABFCC1E8081}">
      <formula1>$J$231:$J$239</formula1>
    </dataValidation>
    <dataValidation type="list" allowBlank="1" showInputMessage="1" showErrorMessage="1" sqref="WVM863:WVM870 B786:I811 WVM786:WVM811 WLQ786:WLQ811 WBU786:WBU811 VRY786:VRY811 VIC786:VIC811 UYG786:UYG811 UOK786:UOK811 UEO786:UEO811 TUS786:TUS811 TKW786:TKW811 TBA786:TBA811 SRE786:SRE811 SHI786:SHI811 RXM786:RXM811 RNQ786:RNQ811 RDU786:RDU811 QTY786:QTY811 QKC786:QKC811 QAG786:QAG811 PQK786:PQK811 PGO786:PGO811 OWS786:OWS811 OMW786:OMW811 ODA786:ODA811 NTE786:NTE811 NJI786:NJI811 MZM786:MZM811 MPQ786:MPQ811 MFU786:MFU811 LVY786:LVY811 LMC786:LMC811 LCG786:LCG811 KSK786:KSK811 KIO786:KIO811 JYS786:JYS811 JOW786:JOW811 JFA786:JFA811 IVE786:IVE811 ILI786:ILI811 IBM786:IBM811 HRQ786:HRQ811 HHU786:HHU811 GXY786:GXY811 GOC786:GOC811 GEG786:GEG811 FUK786:FUK811 FKO786:FKO811 FAS786:FAS811 EQW786:EQW811 EHA786:EHA811 DXE786:DXE811 DNI786:DNI811 DDM786:DDM811 CTQ786:CTQ811 CJU786:CJU811 BZY786:BZY811 BQC786:BQC811 BGG786:BGG811 AWK786:AWK811 AMO786:AMO811 ACS786:ACS811 SW786:SW811 JA786:JA811 B815:F870 JD815:JD862 JA863:JA870 SZ815:SZ862 SW863:SW870 ACV815:ACV862 ACS863:ACS870 AMR815:AMR862 AMO863:AMO870 AWN815:AWN862 AWK863:AWK870 BGJ815:BGJ862 BGG863:BGG870 BQF815:BQF862 BQC863:BQC870 CAB815:CAB862 BZY863:BZY870 CJX815:CJX862 CJU863:CJU870 CTT815:CTT862 CTQ863:CTQ870 DDP815:DDP862 DDM863:DDM870 DNL815:DNL862 DNI863:DNI870 DXH815:DXH862 DXE863:DXE870 EHD815:EHD862 EHA863:EHA870 EQZ815:EQZ862 EQW863:EQW870 FAV815:FAV862 FAS863:FAS870 FKR815:FKR862 FKO863:FKO870 FUN815:FUN862 FUK863:FUK870 GEJ815:GEJ862 GEG863:GEG870 GOF815:GOF862 GOC863:GOC870 GYB815:GYB862 GXY863:GXY870 HHX815:HHX862 HHU863:HHU870 HRT815:HRT862 HRQ863:HRQ870 IBP815:IBP862 IBM863:IBM870 ILL815:ILL862 ILI863:ILI870 IVH815:IVH862 IVE863:IVE870 JFD815:JFD862 JFA863:JFA870 JOZ815:JOZ862 JOW863:JOW870 JYV815:JYV862 JYS863:JYS870 KIR815:KIR862 KIO863:KIO870 KSN815:KSN862 KSK863:KSK870 LCJ815:LCJ862 LCG863:LCG870 LMF815:LMF862 LMC863:LMC870 LWB815:LWB862 LVY863:LVY870 MFX815:MFX862 MFU863:MFU870 MPT815:MPT862 MPQ863:MPQ870 MZP815:MZP862 MZM863:MZM870 NJL815:NJL862 NJI863:NJI870 NTH815:NTH862 NTE863:NTE870 ODD815:ODD862 ODA863:ODA870 OMZ815:OMZ862 OMW863:OMW870 OWV815:OWV862 OWS863:OWS870 PGR815:PGR862 PGO863:PGO870 PQN815:PQN862 PQK863:PQK870 QAJ815:QAJ862 QAG863:QAG870 QKF815:QKF862 QKC863:QKC870 QUB815:QUB862 QTY863:QTY870 RDX815:RDX862 RDU863:RDU870 RNT815:RNT862 RNQ863:RNQ870 RXP815:RXP862 RXM863:RXM870 SHL815:SHL862 SHI863:SHI870 SRH815:SRH862 SRE863:SRE870 TBD815:TBD862 TBA863:TBA870 TKZ815:TKZ862 TKW863:TKW870 TUV815:TUV862 TUS863:TUS870 UER815:UER862 UEO863:UEO870 UON815:UON862 UOK863:UOK870 UYJ815:UYJ862 UYG863:UYG870 VIF815:VIF862 VIC863:VIC870 VSB815:VSB862 VRY863:VRY870 WBX815:WBX862 WBU863:WBU870 WLT815:WLT862 WLQ863:WLQ870 WVP815:WVP862" xr:uid="{20305C8B-4113-46E7-9D8A-96DFADDFFB44}">
      <formula1>$B$231:$B$239</formula1>
    </dataValidation>
    <dataValidation type="list" allowBlank="1" showInputMessage="1" showErrorMessage="1" sqref="SW871:SW875 ACS871:ACS875 AMO871:AMO875 AWK871:AWK875 BGG871:BGG875 BQC871:BQC875 BZY871:BZY875 CJU871:CJU875 CTQ871:CTQ875 DDM871:DDM875 DNI871:DNI875 DXE871:DXE875 EHA871:EHA875 EQW871:EQW875 FAS871:FAS875 FKO871:FKO875 FUK871:FUK875 GEG871:GEG875 GOC871:GOC875 GXY871:GXY875 HHU871:HHU875 HRQ871:HRQ875 IBM871:IBM875 ILI871:ILI875 IVE871:IVE875 JFA871:JFA875 JOW871:JOW875 JYS871:JYS875 KIO871:KIO875 KSK871:KSK875 LCG871:LCG875 LMC871:LMC875 LVY871:LVY875 MFU871:MFU875 MPQ871:MPQ875 MZM871:MZM875 NJI871:NJI875 NTE871:NTE875 ODA871:ODA875 OMW871:OMW875 OWS871:OWS875 PGO871:PGO875 PQK871:PQK875 QAG871:QAG875 QKC871:QKC875 QTY871:QTY875 RDU871:RDU875 RNQ871:RNQ875 RXM871:RXM875 SHI871:SHI875 SRE871:SRE875 TBA871:TBA875 TKW871:TKW875 TUS871:TUS875 UEO871:UEO875 UOK871:UOK875 UYG871:UYG875 VIC871:VIC875 VRY871:VRY875 WBU871:WBU875 WLQ871:WLQ875 WVM871:WVM875 B871:F875 B710:F785 JC766:JC768 JA769:JA785 SW769:SW785 ACS769:ACS785 AMO769:AMO785 AWK769:AWK785 BGG769:BGG785 BQC769:BQC785 BZY769:BZY785 CJU769:CJU785 CTQ769:CTQ785 DDM769:DDM785 DNI769:DNI785 DXE769:DXE785 EHA769:EHA785 EQW769:EQW785 FAS769:FAS785 FKO769:FKO785 FUK769:FUK785 GEG769:GEG785 GOC769:GOC785 GXY769:GXY785 HHU769:HHU785 HRQ769:HRQ785 IBM769:IBM785 ILI769:ILI785 IVE769:IVE785 JFA769:JFA785 JOW769:JOW785 JYS769:JYS785 KIO769:KIO785 KSK769:KSK785 LCG769:LCG785 LMC769:LMC785 LVY769:LVY785 MFU769:MFU785 MPQ769:MPQ785 MZM769:MZM785 NJI769:NJI785 NTE769:NTE785 ODA769:ODA785 OMW769:OMW785 OWS769:OWS785 PGO769:PGO785 PQK769:PQK785 QAG769:QAG785 QKC769:QKC785 QTY769:QTY785 RDU769:RDU785 RNQ769:RNQ785 RXM769:RXM785 SHI769:SHI785 SRE769:SRE785 TBA769:TBA785 TKW769:TKW785 TUS769:TUS785 UEO769:UEO785 UOK769:UOK785 UYG769:UYG785 VIC769:VIC785 VRY769:VRY785 WBU769:WBU785 WLQ769:WLQ785 WVM769:WVM785 WVP710:WVP765 WVO766:WVO768 WLT710:WLT765 WLS766:WLS768 WBX710:WBX765 WBW766:WBW768 VSB710:VSB765 VSA766:VSA768 VIF710:VIF765 VIE766:VIE768 UYJ710:UYJ765 UYI766:UYI768 UON710:UON765 UOM766:UOM768 UER710:UER765 UEQ766:UEQ768 TUV710:TUV765 TUU766:TUU768 TKZ710:TKZ765 TKY766:TKY768 TBD710:TBD765 TBC766:TBC768 SRH710:SRH765 SRG766:SRG768 SHL710:SHL765 SHK766:SHK768 RXP710:RXP765 RXO766:RXO768 RNT710:RNT765 RNS766:RNS768 RDX710:RDX765 RDW766:RDW768 QUB710:QUB765 QUA766:QUA768 QKF710:QKF765 QKE766:QKE768 QAJ710:QAJ765 QAI766:QAI768 PQN710:PQN765 PQM766:PQM768 PGR710:PGR765 PGQ766:PGQ768 OWV710:OWV765 OWU766:OWU768 OMZ710:OMZ765 OMY766:OMY768 ODD710:ODD765 ODC766:ODC768 NTH710:NTH765 NTG766:NTG768 NJL710:NJL765 NJK766:NJK768 MZP710:MZP765 MZO766:MZO768 MPT710:MPT765 MPS766:MPS768 MFX710:MFX765 MFW766:MFW768 LWB710:LWB765 LWA766:LWA768 LMF710:LMF765 LME766:LME768 LCJ710:LCJ765 LCI766:LCI768 KSN710:KSN765 KSM766:KSM768 KIR710:KIR765 KIQ766:KIQ768 JYV710:JYV765 JYU766:JYU768 JOZ710:JOZ765 JOY766:JOY768 JFD710:JFD765 JFC766:JFC768 IVH710:IVH765 IVG766:IVG768 ILL710:ILL765 ILK766:ILK768 IBP710:IBP765 IBO766:IBO768 HRT710:HRT765 HRS766:HRS768 HHX710:HHX765 HHW766:HHW768 GYB710:GYB765 GYA766:GYA768 GOF710:GOF765 GOE766:GOE768 GEJ710:GEJ765 GEI766:GEI768 FUN710:FUN765 FUM766:FUM768 FKR710:FKR765 FKQ766:FKQ768 FAV710:FAV765 FAU766:FAU768 EQZ710:EQZ765 EQY766:EQY768 EHD710:EHD765 EHC766:EHC768 DXH710:DXH765 DXG766:DXG768 DNL710:DNL765 DNK766:DNK768 DDP710:DDP765 DDO766:DDO768 CTT710:CTT765 CTS766:CTS768 CJX710:CJX765 CJW766:CJW768 CAB710:CAB765 CAA766:CAA768 BQF710:BQF765 BQE766:BQE768 BGJ710:BGJ765 BGI766:BGI768 AWN710:AWN765 AWM766:AWM768 AMR710:AMR765 AMQ766:AMQ768 ACV710:ACV765 ACU766:ACU768 SZ710:SZ765 SY766:SY768 JD710:JD765 B812:F813 WVM812:WVM813 WLQ812:WLQ813 WBU812:WBU813 VRY812:VRY813 VIC812:VIC813 UYG812:UYG813 UOK812:UOK813 UEO812:UEO813 TUS812:TUS813 TKW812:TKW813 TBA812:TBA813 SRE812:SRE813 SHI812:SHI813 RXM812:RXM813 RNQ812:RNQ813 RDU812:RDU813 QTY812:QTY813 QKC812:QKC813 QAG812:QAG813 PQK812:PQK813 PGO812:PGO813 OWS812:OWS813 OMW812:OMW813 ODA812:ODA813 NTE812:NTE813 NJI812:NJI813 MZM812:MZM813 MPQ812:MPQ813 MFU812:MFU813 LVY812:LVY813 LMC812:LMC813 LCG812:LCG813 KSK812:KSK813 KIO812:KIO813 JYS812:JYS813 JOW812:JOW813 JFA812:JFA813 IVE812:IVE813 ILI812:ILI813 IBM812:IBM813 HRQ812:HRQ813 HHU812:HHU813 GXY812:GXY813 GOC812:GOC813 GEG812:GEG813 FUK812:FUK813 FKO812:FKO813 FAS812:FAS813 EQW812:EQW813 EHA812:EHA813 DXE812:DXE813 DNI812:DNI813 DDM812:DDM813 CTQ812:CTQ813 CJU812:CJU813 BZY812:BZY813 BQC812:BQC813 BGG812:BGG813 AWK812:AWK813 AMO812:AMO813 ACS812:ACS813 SW812:SW813 JA812:JA813 JA871:JA875" xr:uid="{989D9F7C-1F19-49DF-96FC-E691DDB3AE02}">
      <formula1>$B$251:$B$259</formula1>
    </dataValidation>
    <dataValidation type="list" allowBlank="1" showInputMessage="1" showErrorMessage="1" sqref="ACY871:ACY875 TC871:TC875 TC812:TC813 ACY812:ACY813 AMU812:AMU813 AWQ812:AWQ813 BGM812:BGM813 BQI812:BQI813 CAE812:CAE813 CKA812:CKA813 CTW812:CTW813 DDS812:DDS813 DNO812:DNO813 DXK812:DXK813 EHG812:EHG813 ERC812:ERC813 FAY812:FAY813 FKU812:FKU813 FUQ812:FUQ813 GEM812:GEM813 GOI812:GOI813 GYE812:GYE813 HIA812:HIA813 HRW812:HRW813 IBS812:IBS813 ILO812:ILO813 IVK812:IVK813 JFG812:JFG813 JPC812:JPC813 JYY812:JYY813 KIU812:KIU813 KSQ812:KSQ813 LCM812:LCM813 LMI812:LMI813 LWE812:LWE813 MGA812:MGA813 MPW812:MPW813 MZS812:MZS813 NJO812:NJO813 NTK812:NTK813 ODG812:ODG813 ONC812:ONC813 OWY812:OWY813 PGU812:PGU813 PQQ812:PQQ813 QAM812:QAM813 QKI812:QKI813 QUE812:QUE813 REA812:REA813 RNW812:RNW813 RXS812:RXS813 SHO812:SHO813 SRK812:SRK813 TBG812:TBG813 TLC812:TLC813 TUY812:TUY813 UEU812:UEU813 UOQ812:UOQ813 UYM812:UYM813 VII812:VII813 VSE812:VSE813 WCA812:WCA813 WLW812:WLW813 WVS812:WVS813 R812:R813 JG812:JG813 U710:U765 JI766:JI768 JJ710:JJ765 TE766:TE768 TF710:TF765 ADA766:ADA768 ADB710:ADB765 AMW766:AMW768 AMX710:AMX765 AWS766:AWS768 AWT710:AWT765 BGO766:BGO768 BGP710:BGP765 BQK766:BQK768 BQL710:BQL765 CAG766:CAG768 CAH710:CAH765 CKC766:CKC768 CKD710:CKD765 CTY766:CTY768 CTZ710:CTZ765 DDU766:DDU768 DDV710:DDV765 DNQ766:DNQ768 DNR710:DNR765 DXM766:DXM768 DXN710:DXN765 EHI766:EHI768 EHJ710:EHJ765 ERE766:ERE768 ERF710:ERF765 FBA766:FBA768 FBB710:FBB765 FKW766:FKW768 FKX710:FKX765 FUS766:FUS768 FUT710:FUT765 GEO766:GEO768 GEP710:GEP765 GOK766:GOK768 GOL710:GOL765 GYG766:GYG768 GYH710:GYH765 HIC766:HIC768 HID710:HID765 HRY766:HRY768 HRZ710:HRZ765 IBU766:IBU768 IBV710:IBV765 ILQ766:ILQ768 ILR710:ILR765 IVM766:IVM768 IVN710:IVN765 JFI766:JFI768 JFJ710:JFJ765 JPE766:JPE768 JPF710:JPF765 JZA766:JZA768 JZB710:JZB765 KIW766:KIW768 KIX710:KIX765 KSS766:KSS768 KST710:KST765 LCO766:LCO768 LCP710:LCP765 LMK766:LMK768 LML710:LML765 LWG766:LWG768 LWH710:LWH765 MGC766:MGC768 MGD710:MGD765 MPY766:MPY768 MPZ710:MPZ765 MZU766:MZU768 MZV710:MZV765 NJQ766:NJQ768 NJR710:NJR765 NTM766:NTM768 NTN710:NTN765 ODI766:ODI768 ODJ710:ODJ765 ONE766:ONE768 ONF710:ONF765 OXA766:OXA768 OXB710:OXB765 PGW766:PGW768 PGX710:PGX765 PQS766:PQS768 PQT710:PQT765 QAO766:QAO768 QAP710:QAP765 QKK766:QKK768 QKL710:QKL765 QUG766:QUG768 QUH710:QUH765 REC766:REC768 RED710:RED765 RNY766:RNY768 RNZ710:RNZ765 RXU766:RXU768 RXV710:RXV765 SHQ766:SHQ768 SHR710:SHR765 SRM766:SRM768 SRN710:SRN765 TBI766:TBI768 TBJ710:TBJ765 TLE766:TLE768 TLF710:TLF765 TVA766:TVA768 TVB710:TVB765 UEW766:UEW768 UEX710:UEX765 UOS766:UOS768 UOT710:UOT765 UYO766:UYO768 UYP710:UYP765 VIK766:VIK768 VIL710:VIL765 VSG766:VSG768 VSH710:VSH765 WCC766:WCC768 WCD710:WCD765 WLY766:WLY768 WLZ710:WLZ765 WVU766:WVU768 WVV710:WVV765 T766:T768 JG871:JG875 R769:R785 JG769:JG785 TC769:TC785 ACY769:ACY785 AMU769:AMU785 AWQ769:AWQ785 BGM769:BGM785 BQI769:BQI785 CAE769:CAE785 CKA769:CKA785 CTW769:CTW785 DDS769:DDS785 DNO769:DNO785 DXK769:DXK785 EHG769:EHG785 ERC769:ERC785 FAY769:FAY785 FKU769:FKU785 FUQ769:FUQ785 GEM769:GEM785 GOI769:GOI785 GYE769:GYE785 HIA769:HIA785 HRW769:HRW785 IBS769:IBS785 ILO769:ILO785 IVK769:IVK785 JFG769:JFG785 JPC769:JPC785 JYY769:JYY785 KIU769:KIU785 KSQ769:KSQ785 LCM769:LCM785 LMI769:LMI785 LWE769:LWE785 MGA769:MGA785 MPW769:MPW785 MZS769:MZS785 NJO769:NJO785 NTK769:NTK785 ODG769:ODG785 ONC769:ONC785 OWY769:OWY785 PGU769:PGU785 PQQ769:PQQ785 QAM769:QAM785 QKI769:QKI785 QUE769:QUE785 REA769:REA785 RNW769:RNW785 RXS769:RXS785 SHO769:SHO785 SRK769:SRK785 TBG769:TBG785 TLC769:TLC785 TUY769:TUY785 UEU769:UEU785 UOQ769:UOQ785 UYM769:UYM785 VII769:VII785 VSE769:VSE785 WCA769:WCA785 WLW769:WLW785 WVS769:WVS785 R871:R875 WVS871:WVS875 WLW871:WLW875 WCA871:WCA875 VSE871:VSE875 VII871:VII875 UYM871:UYM875 UOQ871:UOQ875 UEU871:UEU875 TUY871:TUY875 TLC871:TLC875 TBG871:TBG875 SRK871:SRK875 SHO871:SHO875 RXS871:RXS875 RNW871:RNW875 REA871:REA875 QUE871:QUE875 QKI871:QKI875 QAM871:QAM875 PQQ871:PQQ875 PGU871:PGU875 OWY871:OWY875 ONC871:ONC875 ODG871:ODG875 NTK871:NTK875 NJO871:NJO875 MZS871:MZS875 MPW871:MPW875 MGA871:MGA875 LWE871:LWE875 LMI871:LMI875 LCM871:LCM875 KSQ871:KSQ875 KIU871:KIU875 JYY871:JYY875 JPC871:JPC875 JFG871:JFG875 IVK871:IVK875 ILO871:ILO875 IBS871:IBS875 HRW871:HRW875 HIA871:HIA875 GYE871:GYE875 GOI871:GOI875 GEM871:GEM875 FUQ871:FUQ875 FKU871:FKU875 FAY871:FAY875 ERC871:ERC875 EHG871:EHG875 DXK871:DXK875 DNO871:DNO875 DDS871:DDS875 CTW871:CTW875 CKA871:CKA875 CAE871:CAE875 BQI871:BQI875 BGM871:BGM875 AWQ871:AWQ875 AMU871:AMU875" xr:uid="{67DD9F04-7CE9-47F8-AFD6-1BC9FAD71065}">
      <formula1>$R$251:$R$259</formula1>
    </dataValidation>
    <dataValidation type="list" allowBlank="1" showInputMessage="1" showErrorMessage="1" sqref="D871:E875 JE766:JE768 JF710:JF765 TA766:TA768 TB710:TB765 ACW766:ACW768 ACX710:ACX765 AMS766:AMS768 AMT710:AMT765 AWO766:AWO768 AWP710:AWP765 BGK766:BGK768 BGL710:BGL765 BQG766:BQG768 BQH710:BQH765 CAC766:CAC768 CAD710:CAD765 CJY766:CJY768 CJZ710:CJZ765 CTU766:CTU768 CTV710:CTV765 DDQ766:DDQ768 DDR710:DDR765 DNM766:DNM768 DNN710:DNN765 DXI766:DXI768 DXJ710:DXJ765 EHE766:EHE768 EHF710:EHF765 ERA766:ERA768 ERB710:ERB765 FAW766:FAW768 FAX710:FAX765 FKS766:FKS768 FKT710:FKT765 FUO766:FUO768 FUP710:FUP765 GEK766:GEK768 GEL710:GEL765 GOG766:GOG768 GOH710:GOH765 GYC766:GYC768 GYD710:GYD765 HHY766:HHY768 HHZ710:HHZ765 HRU766:HRU768 HRV710:HRV765 IBQ766:IBQ768 IBR710:IBR765 ILM766:ILM768 ILN710:ILN765 IVI766:IVI768 IVJ710:IVJ765 JFE766:JFE768 JFF710:JFF765 JPA766:JPA768 JPB710:JPB765 JYW766:JYW768 JYX710:JYX765 KIS766:KIS768 KIT710:KIT765 KSO766:KSO768 KSP710:KSP765 LCK766:LCK768 LCL710:LCL765 LMG766:LMG768 LMH710:LMH765 LWC766:LWC768 LWD710:LWD765 MFY766:MFY768 MFZ710:MFZ765 MPU766:MPU768 MPV710:MPV765 MZQ766:MZQ768 MZR710:MZR765 NJM766:NJM768 NJN710:NJN765 NTI766:NTI768 NTJ710:NTJ765 ODE766:ODE768 ODF710:ODF765 ONA766:ONA768 ONB710:ONB765 OWW766:OWW768 OWX710:OWX765 PGS766:PGS768 PGT710:PGT765 PQO766:PQO768 PQP710:PQP765 QAK766:QAK768 QAL710:QAL765 QKG766:QKG768 QKH710:QKH765 QUC766:QUC768 QUD710:QUD765 RDY766:RDY768 RDZ710:RDZ765 RNU766:RNU768 RNV710:RNV765 RXQ766:RXQ768 RXR710:RXR765 SHM766:SHM768 SHN710:SHN765 SRI766:SRI768 SRJ710:SRJ765 TBE766:TBE768 TBF710:TBF765 TLA766:TLA768 TLB710:TLB765 TUW766:TUW768 TUX710:TUX765 UES766:UES768 UET710:UET765 UOO766:UOO768 UOP710:UOP765 UYK766:UYK768 UYL710:UYL765 VIG766:VIG768 VIH710:VIH765 VSC766:VSC768 VSD710:VSD765 WBY766:WBY768 WBZ710:WBZ765 WLU766:WLU768 WLV710:WLV765 WVQ766:WVQ768 WVR710:WVR765 WVO769:WVO785 WLS769:WLS785 WBW769:WBW785 VSA769:VSA785 VIE769:VIE785 UYI769:UYI785 UOM769:UOM785 UEQ769:UEQ785 TUU769:TUU785 TKY769:TKY785 TBC769:TBC785 SRG769:SRG785 SHK769:SHK785 RXO769:RXO785 RNS769:RNS785 RDW769:RDW785 QUA769:QUA785 QKE769:QKE785 QAI769:QAI785 PQM769:PQM785 PGQ769:PGQ785 OWU769:OWU785 OMY769:OMY785 ODC769:ODC785 NTG769:NTG785 NJK769:NJK785 MZO769:MZO785 MPS769:MPS785 MFW769:MFW785 LWA769:LWA785 LME769:LME785 LCI769:LCI785 KSM769:KSM785 KIQ769:KIQ785 JYU769:JYU785 JOY769:JOY785 JFC769:JFC785 IVG769:IVG785 ILK769:ILK785 IBO769:IBO785 HRS769:HRS785 HHW769:HHW785 GYA769:GYA785 GOE769:GOE785 GEI769:GEI785 FUM769:FUM785 FKQ769:FKQ785 FAU769:FAU785 EQY769:EQY785 EHC769:EHC785 DXG769:DXG785 DNK769:DNK785 DDO769:DDO785 CTS769:CTS785 CJW769:CJW785 CAA769:CAA785 BQE769:BQE785 BGI769:BGI785 AWM769:AWM785 AMQ769:AMQ785 ACU769:ACU785 SY769:SY785 JC769:JC785 WVO871:WVO875 D710:E785 WLS871:WLS875 WBW871:WBW875 VSA871:VSA875 VIE871:VIE875 UYI871:UYI875 UOM871:UOM875 UEQ871:UEQ875 TUU871:TUU875 TKY871:TKY875 TBC871:TBC875 SRG871:SRG875 SHK871:SHK875 RXO871:RXO875 RNS871:RNS875 RDW871:RDW875 QUA871:QUA875 QKE871:QKE875 QAI871:QAI875 PQM871:PQM875 PGQ871:PGQ875 OWU871:OWU875 OMY871:OMY875 ODC871:ODC875 NTG871:NTG875 NJK871:NJK875 MZO871:MZO875 MPS871:MPS875 MFW871:MFW875 LWA871:LWA875 LME871:LME875 LCI871:LCI875 KSM871:KSM875 KIQ871:KIQ875 JYU871:JYU875 JOY871:JOY875 JFC871:JFC875 IVG871:IVG875 ILK871:ILK875 IBO871:IBO875 HRS871:HRS875 HHW871:HHW875 GYA871:GYA875 GOE871:GOE875 GEI871:GEI875 FUM871:FUM875 FKQ871:FKQ875 FAU871:FAU875 EQY871:EQY875 EHC871:EHC875 DXG871:DXG875 DNK871:DNK875 DDO871:DDO875 CTS871:CTS875 CJW871:CJW875 CAA871:CAA875 BQE871:BQE875 BGI871:BGI875 AWM871:AWM875 AMQ871:AMQ875 ACU871:ACU875 SY871:SY875 SY812:SY813 ACU812:ACU813 AMQ812:AMQ813 AWM812:AWM813 BGI812:BGI813 BQE812:BQE813 CAA812:CAA813 CJW812:CJW813 CTS812:CTS813 DDO812:DDO813 DNK812:DNK813 DXG812:DXG813 EHC812:EHC813 EQY812:EQY813 FAU812:FAU813 FKQ812:FKQ813 FUM812:FUM813 GEI812:GEI813 GOE812:GOE813 GYA812:GYA813 HHW812:HHW813 HRS812:HRS813 IBO812:IBO813 ILK812:ILK813 IVG812:IVG813 JFC812:JFC813 JOY812:JOY813 JYU812:JYU813 KIQ812:KIQ813 KSM812:KSM813 LCI812:LCI813 LME812:LME813 LWA812:LWA813 MFW812:MFW813 MPS812:MPS813 MZO812:MZO813 NJK812:NJK813 NTG812:NTG813 ODC812:ODC813 OMY812:OMY813 OWU812:OWU813 PGQ812:PGQ813 PQM812:PQM813 QAI812:QAI813 QKE812:QKE813 QUA812:QUA813 RDW812:RDW813 RNS812:RNS813 RXO812:RXO813 SHK812:SHK813 SRG812:SRG813 TBC812:TBC813 TKY812:TKY813 TUU812:TUU813 UEQ812:UEQ813 UOM812:UOM813 UYI812:UYI813 VIE812:VIE813 VSA812:VSA813 WBW812:WBW813 WLS812:WLS813 WVO812:WVO813 D812:E813 JC812:JC813 JC871:JC875" xr:uid="{2300FDF4-18C6-4062-93EF-09D99795B06A}">
      <formula1>$D$251:$D$259</formula1>
    </dataValidation>
    <dataValidation type="list" allowBlank="1" showInputMessage="1" showErrorMessage="1" sqref="D588:E708 D876:E880" xr:uid="{72A1E3C8-30F4-40FD-B679-984BA503D544}">
      <formula1>$D$430:$D$447</formula1>
    </dataValidation>
    <dataValidation type="list" allowBlank="1" showInputMessage="1" showErrorMessage="1" sqref="T588:T616 T623:T630 T635:T708 U588:U708 T876:U880" xr:uid="{7E9F3924-3A42-46D8-BEA3-AB2E5F7CD364}">
      <formula1>$U$430:$U$447</formula1>
    </dataValidation>
    <dataValidation type="list" allowBlank="1" showInputMessage="1" showErrorMessage="1" sqref="WVN863:WVN870 X815:X862 U863 JE815:JE862 JB863:JB870 TA815:TA862 SX863:SX870 ACW815:ACW862 ACT863:ACT870 AMS815:AMS862 AMP863:AMP870 AWO815:AWO862 AWL863:AWL870 BGK815:BGK862 BGH863:BGH870 BQG815:BQG862 BQD863:BQD870 CAC815:CAC862 BZZ863:BZZ870 CJY815:CJY862 CJV863:CJV870 CTU815:CTU862 CTR863:CTR870 DDQ815:DDQ862 DDN863:DDN870 DNM815:DNM862 DNJ863:DNJ870 DXI815:DXI862 DXF863:DXF870 EHE815:EHE862 EHB863:EHB870 ERA815:ERA862 EQX863:EQX870 FAW815:FAW862 FAT863:FAT870 FKS815:FKS862 FKP863:FKP870 FUO815:FUO862 FUL863:FUL870 GEK815:GEK862 GEH863:GEH870 GOG815:GOG862 GOD863:GOD870 GYC815:GYC862 GXZ863:GXZ870 HHY815:HHY862 HHV863:HHV870 HRU815:HRU862 HRR863:HRR870 IBQ815:IBQ862 IBN863:IBN870 ILM815:ILM862 ILJ863:ILJ870 IVI815:IVI862 IVF863:IVF870 JFE815:JFE862 JFB863:JFB870 JPA815:JPA862 JOX863:JOX870 JYW815:JYW862 JYT863:JYT870 KIS815:KIS862 KIP863:KIP870 KSO815:KSO862 KSL863:KSL870 LCK815:LCK862 LCH863:LCH870 LMG815:LMG862 LMD863:LMD870 LWC815:LWC862 LVZ863:LVZ870 MFY815:MFY862 MFV863:MFV870 MPU815:MPU862 MPR863:MPR870 MZQ815:MZQ862 MZN863:MZN870 NJM815:NJM862 NJJ863:NJJ870 NTI815:NTI862 NTF863:NTF870 ODE815:ODE862 ODB863:ODB870 ONA815:ONA862 OMX863:OMX870 OWW815:OWW862 OWT863:OWT870 PGS815:PGS862 PGP863:PGP870 PQO815:PQO862 PQL863:PQL870 QAK815:QAK862 QAH863:QAH870 QKG815:QKG862 QKD863:QKD870 QUC815:QUC862 QTZ863:QTZ870 RDY815:RDY862 RDV863:RDV870 RNU815:RNU862 RNR863:RNR870 RXQ815:RXQ862 RXN863:RXN870 SHM815:SHM862 SHJ863:SHJ870 SRI815:SRI862 SRF863:SRF870 TBE815:TBE862 TBB863:TBB870 TLA815:TLA862 TKX863:TKX870 TUW815:TUW862 TUT863:TUT870 UES815:UES862 UEP863:UEP870 UOO815:UOO862 UOL863:UOL870 UYK815:UYK862 UYH863:UYH870 VIG815:VIG862 VID863:VID870 VSC815:VSC862 VRZ863:VRZ870 WBY815:WBY862 WBV863:WBV870 WLU815:WLU862 WLR863:WLR870 WVQ815:WVQ862 F864:I870" xr:uid="{2A043878-5112-4285-8156-5BAA1F3CD9B3}">
      <formula1>$G$231:$G$239</formula1>
    </dataValidation>
  </dataValidations>
  <hyperlinks>
    <hyperlink ref="R557" r:id="rId1" location="catalog" xr:uid="{DFD9B4C3-2B20-4A1B-9713-010BB2B22C77}"/>
    <hyperlink ref="R545" r:id="rId2" location="catalog" xr:uid="{30A4EB21-1464-4FF2-AD00-C1C4BBF84049}"/>
  </hyperlinks>
  <pageMargins left="0.7" right="0.7" top="0.75" bottom="0.75" header="0.3" footer="0.3"/>
  <pageSetup paperSize="9" orientation="portrait"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385377-F050-435E-92DA-78CD82514D6C}">
  <sheetPr codeName="Memorandum"/>
  <dimension ref="A1:AO19"/>
  <sheetViews>
    <sheetView workbookViewId="0">
      <pane xSplit="4" ySplit="2" topLeftCell="E3" activePane="bottomRight" state="frozen"/>
      <selection activeCell="A2" sqref="A2"/>
      <selection pane="topRight" activeCell="A2" sqref="A2"/>
      <selection pane="bottomLeft" activeCell="A2" sqref="A2"/>
      <selection pane="bottomRight" activeCell="B14" sqref="B14"/>
    </sheetView>
  </sheetViews>
  <sheetFormatPr defaultRowHeight="14.25"/>
  <cols>
    <col min="1" max="1" width="17.625" style="1" customWidth="1"/>
    <col min="2" max="2" width="67.625" style="3" customWidth="1"/>
    <col min="3" max="3" width="8.5" style="1" customWidth="1"/>
    <col min="4" max="4" width="10.125" style="3" customWidth="1"/>
    <col min="5" max="10" width="9.625" style="5" customWidth="1"/>
    <col min="11" max="11" width="13" style="5" customWidth="1"/>
    <col min="12" max="12" width="16.5" style="3" customWidth="1"/>
    <col min="13" max="13" width="16.625" style="5" customWidth="1"/>
    <col min="14" max="14" width="9.625" style="5" customWidth="1"/>
    <col min="15" max="15" width="21.125" style="20" customWidth="1"/>
    <col min="16" max="16" width="17.625" style="20" customWidth="1"/>
    <col min="17" max="17" width="12" style="5" customWidth="1"/>
    <col min="18" max="18" width="11.375" style="5" customWidth="1"/>
    <col min="19" max="19" width="14.875" style="5" customWidth="1"/>
    <col min="20" max="16384" width="9" style="5"/>
  </cols>
  <sheetData>
    <row r="1" spans="1:41" ht="18.75">
      <c r="K1" s="7" t="s">
        <v>4</v>
      </c>
      <c r="O1" s="8" t="s">
        <v>8</v>
      </c>
      <c r="P1" s="8" t="s">
        <v>9</v>
      </c>
      <c r="Q1" s="9"/>
      <c r="R1" s="10" t="s">
        <v>10</v>
      </c>
    </row>
    <row r="2" spans="1:41" ht="40.5">
      <c r="A2" s="11" t="s">
        <v>11</v>
      </c>
      <c r="B2" s="17" t="s">
        <v>12</v>
      </c>
      <c r="C2" s="13" t="s">
        <v>13</v>
      </c>
      <c r="D2" s="11" t="s">
        <v>14</v>
      </c>
      <c r="E2" s="9" t="s">
        <v>18</v>
      </c>
      <c r="F2" s="9" t="s">
        <v>18</v>
      </c>
      <c r="G2" s="9" t="s">
        <v>18</v>
      </c>
      <c r="H2" s="9" t="s">
        <v>18</v>
      </c>
      <c r="I2" s="9" t="s">
        <v>18</v>
      </c>
      <c r="J2" s="9" t="s">
        <v>18</v>
      </c>
      <c r="K2" s="16" t="s">
        <v>22</v>
      </c>
      <c r="L2" s="14" t="s">
        <v>156</v>
      </c>
      <c r="M2" s="14" t="s">
        <v>16</v>
      </c>
      <c r="N2" s="9"/>
      <c r="O2" s="8" t="s">
        <v>8</v>
      </c>
      <c r="P2" s="8" t="s">
        <v>9</v>
      </c>
      <c r="Q2" s="9" t="s">
        <v>26</v>
      </c>
      <c r="R2" s="10" t="s">
        <v>10</v>
      </c>
    </row>
    <row r="3" spans="1:41" ht="121.5">
      <c r="A3" s="13" t="s">
        <v>1178</v>
      </c>
      <c r="B3" s="13" t="s">
        <v>1179</v>
      </c>
      <c r="D3" s="1" t="s">
        <v>29</v>
      </c>
      <c r="E3" s="19" t="s">
        <v>1180</v>
      </c>
      <c r="F3" s="19" t="s">
        <v>1181</v>
      </c>
      <c r="L3" s="19" t="s">
        <v>1182</v>
      </c>
      <c r="O3" s="20">
        <v>44267.017002314817</v>
      </c>
      <c r="P3" s="20">
        <v>44272.438483796293</v>
      </c>
      <c r="Y3" s="3"/>
      <c r="AH3" s="3"/>
      <c r="AO3" s="22"/>
    </row>
    <row r="4" spans="1:41" ht="16.5">
      <c r="A4" s="13"/>
      <c r="B4" s="13"/>
      <c r="D4" s="1"/>
      <c r="E4" s="19"/>
      <c r="F4" s="19"/>
      <c r="K4" s="19"/>
      <c r="Y4" s="3"/>
      <c r="AH4" s="3"/>
      <c r="AO4" s="22"/>
    </row>
    <row r="5" spans="1:41" ht="16.5">
      <c r="A5" s="13"/>
      <c r="B5" s="13"/>
      <c r="D5" s="1"/>
      <c r="E5" s="19"/>
      <c r="F5" s="19"/>
      <c r="K5" s="19"/>
      <c r="Y5" s="3"/>
      <c r="AH5" s="3"/>
      <c r="AO5" s="22"/>
    </row>
    <row r="6" spans="1:41" ht="16.5">
      <c r="A6" s="13"/>
      <c r="B6" s="13"/>
      <c r="D6" s="1"/>
      <c r="E6" s="19"/>
      <c r="F6" s="19"/>
      <c r="K6" s="19"/>
      <c r="Y6" s="3"/>
      <c r="AH6" s="3"/>
      <c r="AO6" s="22"/>
    </row>
    <row r="7" spans="1:41" ht="16.5">
      <c r="A7" s="13"/>
      <c r="B7" s="13"/>
      <c r="D7" s="1"/>
      <c r="E7" s="19"/>
      <c r="F7" s="19"/>
      <c r="K7" s="19"/>
      <c r="Y7" s="3"/>
      <c r="AH7" s="3"/>
      <c r="AO7" s="22"/>
    </row>
    <row r="8" spans="1:41" ht="16.5">
      <c r="A8" s="13"/>
      <c r="B8" s="13"/>
      <c r="D8" s="1"/>
      <c r="E8" s="19"/>
      <c r="F8" s="19"/>
      <c r="K8" s="19"/>
      <c r="Y8" s="3"/>
      <c r="AH8" s="3"/>
      <c r="AO8" s="22"/>
    </row>
    <row r="9" spans="1:41" ht="16.5">
      <c r="A9" s="13"/>
      <c r="B9" s="13"/>
      <c r="D9" s="1"/>
      <c r="E9" s="19"/>
      <c r="F9" s="19"/>
      <c r="K9" s="19"/>
      <c r="Y9" s="3"/>
      <c r="AH9" s="3"/>
      <c r="AO9" s="22"/>
    </row>
    <row r="10" spans="1:41" ht="16.5">
      <c r="A10" s="13"/>
      <c r="B10" s="13"/>
      <c r="D10" s="1"/>
      <c r="E10" s="19"/>
      <c r="F10" s="19"/>
      <c r="K10" s="19"/>
      <c r="Y10" s="3"/>
      <c r="AH10" s="3"/>
      <c r="AO10" s="22"/>
    </row>
    <row r="11" spans="1:41" ht="16.5">
      <c r="A11" s="13"/>
      <c r="B11" s="13"/>
      <c r="D11" s="1"/>
      <c r="E11" s="19"/>
      <c r="F11" s="19"/>
      <c r="K11" s="19"/>
      <c r="Y11" s="3"/>
      <c r="AH11" s="3"/>
      <c r="AO11" s="22"/>
    </row>
    <row r="12" spans="1:41" ht="16.5">
      <c r="A12" s="13"/>
      <c r="B12" s="13"/>
      <c r="D12" s="1"/>
      <c r="E12" s="19"/>
      <c r="F12" s="19"/>
      <c r="K12" s="19"/>
      <c r="Y12" s="3"/>
      <c r="AH12" s="3"/>
      <c r="AO12" s="22"/>
    </row>
    <row r="13" spans="1:41" ht="16.5">
      <c r="A13" s="13"/>
      <c r="B13" s="13"/>
      <c r="D13" s="1"/>
      <c r="E13" s="19"/>
      <c r="F13" s="19"/>
      <c r="K13" s="19"/>
      <c r="Y13" s="3"/>
      <c r="AH13" s="3"/>
      <c r="AO13" s="22"/>
    </row>
    <row r="14" spans="1:41" ht="16.5">
      <c r="A14" s="13"/>
      <c r="B14" s="13"/>
      <c r="D14" s="1"/>
      <c r="E14" s="19"/>
      <c r="F14" s="19"/>
      <c r="K14" s="19"/>
      <c r="Y14" s="3"/>
      <c r="AH14" s="3"/>
      <c r="AO14" s="22"/>
    </row>
    <row r="15" spans="1:41" ht="16.5">
      <c r="A15" s="13"/>
      <c r="B15" s="13"/>
      <c r="D15" s="1"/>
      <c r="E15" s="19"/>
      <c r="F15" s="19"/>
      <c r="K15" s="19"/>
      <c r="Y15" s="3"/>
      <c r="AH15" s="3"/>
      <c r="AO15" s="22"/>
    </row>
    <row r="16" spans="1:41" ht="16.5">
      <c r="A16" s="13"/>
      <c r="B16" s="13"/>
      <c r="D16" s="1"/>
      <c r="E16" s="19"/>
      <c r="F16" s="19"/>
      <c r="K16" s="19"/>
      <c r="Y16" s="3"/>
      <c r="AH16" s="3"/>
      <c r="AO16" s="22"/>
    </row>
    <row r="17" spans="1:41" ht="16.5">
      <c r="A17" s="13"/>
      <c r="B17" s="13"/>
      <c r="D17" s="1"/>
      <c r="E17" s="19"/>
      <c r="F17" s="19"/>
      <c r="K17" s="19"/>
      <c r="Y17" s="3"/>
      <c r="AH17" s="3"/>
      <c r="AO17" s="22"/>
    </row>
    <row r="18" spans="1:41" ht="16.5">
      <c r="A18" s="13"/>
      <c r="B18" s="13"/>
      <c r="D18" s="1"/>
      <c r="Q18" s="44"/>
    </row>
    <row r="19" spans="1:41" ht="28.5" customHeight="1">
      <c r="A19" s="25" t="s">
        <v>10</v>
      </c>
      <c r="B19" s="27"/>
      <c r="C19" s="25"/>
      <c r="D19" s="27"/>
      <c r="E19" s="28"/>
      <c r="F19" s="28"/>
      <c r="G19" s="28"/>
      <c r="H19" s="28"/>
      <c r="I19" s="28"/>
      <c r="J19" s="28"/>
      <c r="K19" s="28"/>
      <c r="L19" s="27"/>
      <c r="M19" s="28"/>
      <c r="N19" s="28"/>
      <c r="O19" s="29"/>
      <c r="P19" s="29"/>
      <c r="Q19" s="28"/>
    </row>
  </sheetData>
  <autoFilter ref="A2:P18" xr:uid="{27AAE171-7668-4C1B-AADB-82994DD79567}">
    <sortState xmlns:xlrd2="http://schemas.microsoft.com/office/spreadsheetml/2017/richdata2" ref="A3:P18">
      <sortCondition ref="A3:A18"/>
    </sortState>
  </autoFilter>
  <phoneticPr fontId="3"/>
  <pageMargins left="0.7" right="0.7" top="0.75" bottom="0.75" header="0.3" footer="0.3"/>
  <pageSetup paperSize="9"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27DDD-04E9-458A-A8FB-08B107F66D55}">
  <sheetPr codeName="Enterprise"/>
  <dimension ref="A1:CG453"/>
  <sheetViews>
    <sheetView workbookViewId="0">
      <pane xSplit="1" ySplit="1" topLeftCell="AO425" activePane="bottomRight" state="frozen"/>
      <selection activeCell="A2" sqref="A2"/>
      <selection pane="topRight" activeCell="A2" sqref="A2"/>
      <selection pane="bottomLeft" activeCell="A2" sqref="A2"/>
      <selection pane="bottomRight" activeCell="AQ436" sqref="AQ436"/>
    </sheetView>
  </sheetViews>
  <sheetFormatPr defaultColWidth="9" defaultRowHeight="14.25"/>
  <cols>
    <col min="1" max="1" width="29.25" style="170" customWidth="1"/>
    <col min="2" max="2" width="16.5" style="165" customWidth="1"/>
    <col min="3" max="3" width="17.875" style="165" customWidth="1"/>
    <col min="4" max="4" width="16.875" style="224" customWidth="1"/>
    <col min="5" max="5" width="30.625" style="170" customWidth="1"/>
    <col min="6" max="6" width="44.375" style="165" customWidth="1"/>
    <col min="7" max="7" width="14.125" style="165" customWidth="1"/>
    <col min="8" max="11" width="15.125" style="165" customWidth="1"/>
    <col min="12" max="12" width="9" style="165"/>
    <col min="13" max="13" width="11.125" style="165" customWidth="1"/>
    <col min="14" max="14" width="22.625" style="165" bestFit="1" customWidth="1"/>
    <col min="15" max="15" width="22.625" style="165" customWidth="1"/>
    <col min="16" max="16" width="9" style="165"/>
    <col min="17" max="21" width="13.75" style="165" customWidth="1"/>
    <col min="22" max="23" width="14.125" style="165" customWidth="1"/>
    <col min="24" max="28" width="14.375" style="165" customWidth="1"/>
    <col min="29" max="29" width="12.25" style="165" customWidth="1"/>
    <col min="30" max="30" width="14.375" style="165" customWidth="1"/>
    <col min="31" max="31" width="10.625" style="165" customWidth="1"/>
    <col min="32" max="32" width="10.75" style="165" customWidth="1"/>
    <col min="33" max="33" width="14.375" style="165" customWidth="1"/>
    <col min="34" max="34" width="14.125" style="165" customWidth="1"/>
    <col min="35" max="35" width="12.25" style="165" customWidth="1"/>
    <col min="36" max="36" width="14.125" style="165" customWidth="1"/>
    <col min="37" max="37" width="14.375" style="165" customWidth="1"/>
    <col min="38" max="39" width="14.125" style="165" customWidth="1"/>
    <col min="40" max="40" width="17" style="165" customWidth="1"/>
    <col min="41" max="41" width="11.125" style="165" customWidth="1"/>
    <col min="42" max="43" width="30.5" style="165" customWidth="1"/>
    <col min="44" max="45" width="15.5" style="170" customWidth="1"/>
    <col min="46" max="46" width="15.5" style="165" customWidth="1"/>
    <col min="47" max="47" width="9" style="165"/>
    <col min="48" max="49" width="29.25" style="170" customWidth="1"/>
    <col min="50" max="56" width="14.125" style="165" customWidth="1"/>
    <col min="57" max="60" width="14.625" style="171" customWidth="1"/>
    <col min="61" max="63" width="16.625" style="171" customWidth="1"/>
    <col min="64" max="66" width="14.625" style="165" customWidth="1"/>
    <col min="67" max="67" width="14.625" style="171" customWidth="1"/>
    <col min="68" max="68" width="14.625" style="165" customWidth="1"/>
    <col min="69" max="71" width="17.375" style="165" customWidth="1"/>
    <col min="79" max="82" width="14.625" style="165" customWidth="1"/>
    <col min="83" max="84" width="20" style="174" customWidth="1"/>
    <col min="85" max="16384" width="9" style="165"/>
  </cols>
  <sheetData>
    <row r="1" spans="1:85" s="145" customFormat="1" ht="33.75" thickBot="1">
      <c r="A1" s="144" t="s">
        <v>1183</v>
      </c>
      <c r="B1" s="145" t="s">
        <v>1184</v>
      </c>
      <c r="C1" s="146" t="s">
        <v>1185</v>
      </c>
      <c r="D1" s="147" t="s">
        <v>1186</v>
      </c>
      <c r="E1" s="144" t="s">
        <v>1187</v>
      </c>
      <c r="F1" s="148" t="s">
        <v>1188</v>
      </c>
      <c r="G1" s="149" t="s">
        <v>1189</v>
      </c>
      <c r="H1" s="150" t="s">
        <v>1190</v>
      </c>
      <c r="I1" s="150" t="s">
        <v>1191</v>
      </c>
      <c r="J1" s="150" t="s">
        <v>1192</v>
      </c>
      <c r="K1" s="150" t="s">
        <v>1193</v>
      </c>
      <c r="L1" s="150" t="s">
        <v>1194</v>
      </c>
      <c r="M1" s="150" t="s">
        <v>1195</v>
      </c>
      <c r="N1" s="150" t="s">
        <v>1196</v>
      </c>
      <c r="O1" s="150" t="s">
        <v>1197</v>
      </c>
      <c r="P1" s="151" t="s">
        <v>1198</v>
      </c>
      <c r="Q1" s="152" t="s">
        <v>1199</v>
      </c>
      <c r="R1" s="153" t="s">
        <v>1200</v>
      </c>
      <c r="S1" s="153" t="s">
        <v>1201</v>
      </c>
      <c r="T1" s="153" t="s">
        <v>1202</v>
      </c>
      <c r="U1" s="153" t="s">
        <v>1203</v>
      </c>
      <c r="V1" s="153" t="s">
        <v>1204</v>
      </c>
      <c r="W1" s="153" t="s">
        <v>1205</v>
      </c>
      <c r="X1" s="151" t="s">
        <v>1206</v>
      </c>
      <c r="Y1" s="154" t="s">
        <v>1207</v>
      </c>
      <c r="Z1" s="151" t="s">
        <v>1208</v>
      </c>
      <c r="AA1" s="154" t="s">
        <v>1209</v>
      </c>
      <c r="AB1" s="151" t="s">
        <v>1210</v>
      </c>
      <c r="AC1" s="151" t="s">
        <v>1211</v>
      </c>
      <c r="AD1" s="154" t="s">
        <v>1212</v>
      </c>
      <c r="AE1" s="151" t="s">
        <v>1213</v>
      </c>
      <c r="AF1" s="151" t="s">
        <v>1214</v>
      </c>
      <c r="AG1" s="154" t="s">
        <v>1215</v>
      </c>
      <c r="AH1" s="151" t="s">
        <v>1216</v>
      </c>
      <c r="AI1" s="151" t="s">
        <v>1217</v>
      </c>
      <c r="AJ1" s="151" t="s">
        <v>1218</v>
      </c>
      <c r="AK1" s="154" t="s">
        <v>1219</v>
      </c>
      <c r="AL1" s="151" t="s">
        <v>1220</v>
      </c>
      <c r="AM1" s="151" t="s">
        <v>1221</v>
      </c>
      <c r="AN1" s="151" t="s">
        <v>1222</v>
      </c>
      <c r="AO1" s="150" t="s">
        <v>1223</v>
      </c>
      <c r="AP1" s="154" t="s">
        <v>1224</v>
      </c>
      <c r="AQ1" s="154" t="s">
        <v>1225</v>
      </c>
      <c r="AR1" s="154" t="s">
        <v>1226</v>
      </c>
      <c r="AS1" s="154" t="s">
        <v>1227</v>
      </c>
      <c r="AT1" s="154" t="s">
        <v>1228</v>
      </c>
      <c r="AU1" s="155" t="s">
        <v>1229</v>
      </c>
      <c r="AV1" s="150" t="s">
        <v>1230</v>
      </c>
      <c r="AW1" s="156" t="s">
        <v>1231</v>
      </c>
      <c r="AX1" s="157" t="s">
        <v>1097</v>
      </c>
      <c r="AY1" s="158" t="s">
        <v>1232</v>
      </c>
      <c r="AZ1" s="158" t="s">
        <v>1233</v>
      </c>
      <c r="BA1" s="158" t="s">
        <v>1234</v>
      </c>
      <c r="BB1" s="149" t="s">
        <v>1235</v>
      </c>
      <c r="BC1" s="158"/>
      <c r="BD1" s="158" t="s">
        <v>1236</v>
      </c>
      <c r="BE1" s="154" t="s">
        <v>1237</v>
      </c>
      <c r="BF1" s="154" t="s">
        <v>1238</v>
      </c>
      <c r="BG1" s="154" t="s">
        <v>1239</v>
      </c>
      <c r="BH1" s="159" t="s">
        <v>1240</v>
      </c>
      <c r="BI1" s="154" t="s">
        <v>1241</v>
      </c>
      <c r="BJ1" s="154"/>
      <c r="BK1" s="154"/>
      <c r="BL1" s="154" t="s">
        <v>1242</v>
      </c>
      <c r="BM1" s="154" t="s">
        <v>1242</v>
      </c>
      <c r="BN1" s="154" t="s">
        <v>1242</v>
      </c>
      <c r="BO1" s="160" t="s">
        <v>1243</v>
      </c>
      <c r="BP1" s="145" t="s">
        <v>1244</v>
      </c>
      <c r="BQ1" s="161" t="s">
        <v>1245</v>
      </c>
      <c r="BR1" s="161" t="s">
        <v>1246</v>
      </c>
      <c r="BS1" s="161" t="s">
        <v>1247</v>
      </c>
      <c r="CE1" s="162" t="s">
        <v>1249</v>
      </c>
      <c r="CF1" s="162" t="s">
        <v>1251</v>
      </c>
      <c r="CG1" s="163" t="s">
        <v>1252</v>
      </c>
    </row>
    <row r="2" spans="1:85" ht="15" thickBot="1">
      <c r="A2" s="164" t="s">
        <v>1253</v>
      </c>
      <c r="C2" s="166"/>
      <c r="D2" s="167">
        <v>40026</v>
      </c>
      <c r="E2" s="164"/>
      <c r="F2" s="168"/>
      <c r="G2" s="168"/>
      <c r="H2" s="168"/>
      <c r="I2" s="168"/>
      <c r="J2" s="168"/>
      <c r="K2" s="168"/>
      <c r="L2" s="168"/>
      <c r="M2" s="168"/>
      <c r="N2" s="168"/>
      <c r="O2" s="168"/>
      <c r="P2" s="168"/>
      <c r="Q2" s="166">
        <v>900</v>
      </c>
      <c r="R2" s="169"/>
      <c r="S2" s="169"/>
      <c r="T2" s="169"/>
      <c r="U2" s="169"/>
      <c r="AE2" s="168"/>
      <c r="AF2" s="168"/>
      <c r="AN2" s="166" t="s">
        <v>1254</v>
      </c>
      <c r="AO2" s="168"/>
      <c r="AU2" s="168"/>
      <c r="BH2" s="5"/>
      <c r="BQ2" s="172"/>
      <c r="BR2" s="172"/>
      <c r="BS2" s="172"/>
      <c r="CE2" s="173">
        <v>44082</v>
      </c>
      <c r="CF2" s="174">
        <v>44305.733854166669</v>
      </c>
    </row>
    <row r="3" spans="1:85" ht="29.25" thickBot="1">
      <c r="A3" s="164" t="s">
        <v>1255</v>
      </c>
      <c r="C3" s="166"/>
      <c r="D3" s="167">
        <v>35947</v>
      </c>
      <c r="E3" s="164"/>
      <c r="F3" s="168"/>
      <c r="G3" s="168"/>
      <c r="H3" s="168"/>
      <c r="I3" s="168"/>
      <c r="J3" s="168"/>
      <c r="K3" s="168"/>
      <c r="L3" s="168"/>
      <c r="M3" s="168"/>
      <c r="N3" s="168"/>
      <c r="O3" s="168"/>
      <c r="P3" s="168"/>
      <c r="Q3" s="175">
        <v>2520</v>
      </c>
      <c r="R3" s="176"/>
      <c r="S3" s="176"/>
      <c r="T3" s="176"/>
      <c r="U3" s="176"/>
      <c r="AE3" s="168"/>
      <c r="AF3" s="168"/>
      <c r="AN3" s="166" t="s">
        <v>1256</v>
      </c>
      <c r="AO3" s="168"/>
      <c r="AU3" s="177" t="s">
        <v>1257</v>
      </c>
      <c r="AV3" s="31" t="s">
        <v>1258</v>
      </c>
      <c r="AW3" s="31"/>
      <c r="BH3" s="5"/>
      <c r="BQ3" s="172"/>
      <c r="BR3" s="172"/>
      <c r="BS3" s="172"/>
      <c r="CE3" s="178">
        <v>44082</v>
      </c>
      <c r="CF3" s="179">
        <v>44261</v>
      </c>
    </row>
    <row r="4" spans="1:85" ht="15" thickBot="1">
      <c r="A4" s="180" t="s">
        <v>1259</v>
      </c>
      <c r="C4" s="180"/>
      <c r="D4" s="181"/>
      <c r="E4" s="180"/>
      <c r="F4" s="182"/>
      <c r="G4" s="177"/>
      <c r="H4" s="180"/>
      <c r="I4" s="180"/>
      <c r="J4" s="180"/>
      <c r="K4" s="180"/>
      <c r="L4" s="180"/>
      <c r="M4" s="180"/>
      <c r="N4" s="180"/>
      <c r="O4" s="180"/>
      <c r="P4" s="182"/>
      <c r="Q4" s="183">
        <v>3000</v>
      </c>
      <c r="R4" s="184"/>
      <c r="S4" s="184"/>
      <c r="T4" s="184"/>
      <c r="U4" s="184"/>
      <c r="V4" s="185"/>
      <c r="W4" s="185"/>
      <c r="AE4" s="182"/>
      <c r="AF4" s="182"/>
      <c r="AH4" s="185"/>
      <c r="AI4" s="186"/>
      <c r="AJ4" s="185"/>
      <c r="AL4" s="185"/>
      <c r="AM4" s="185"/>
      <c r="AN4" s="182"/>
      <c r="AO4" s="180"/>
      <c r="AU4" s="177" t="s">
        <v>1257</v>
      </c>
      <c r="AV4" s="31" t="s">
        <v>1260</v>
      </c>
      <c r="AW4" s="31"/>
      <c r="AX4" s="185"/>
      <c r="AY4" s="185"/>
      <c r="AZ4" s="185"/>
      <c r="BA4" s="185"/>
      <c r="BB4" s="185"/>
      <c r="BC4" s="185"/>
      <c r="BD4" s="185"/>
      <c r="BH4" s="5"/>
      <c r="BQ4" s="172"/>
      <c r="BR4" s="172"/>
      <c r="BS4" s="172"/>
      <c r="CE4" s="173">
        <v>44082</v>
      </c>
      <c r="CF4" s="174">
        <v>44301.53601851852</v>
      </c>
    </row>
    <row r="5" spans="1:85" ht="15" thickBot="1">
      <c r="A5" s="164" t="s">
        <v>1261</v>
      </c>
      <c r="C5" s="166"/>
      <c r="D5" s="167">
        <v>37712</v>
      </c>
      <c r="E5" s="164"/>
      <c r="F5" s="168"/>
      <c r="G5" s="168"/>
      <c r="H5" s="168"/>
      <c r="I5" s="168"/>
      <c r="J5" s="168"/>
      <c r="K5" s="168"/>
      <c r="L5" s="168"/>
      <c r="M5" s="168"/>
      <c r="N5" s="168"/>
      <c r="O5" s="168"/>
      <c r="P5" s="168"/>
      <c r="Q5" s="175">
        <v>1000</v>
      </c>
      <c r="R5" s="176"/>
      <c r="S5" s="176"/>
      <c r="T5" s="176"/>
      <c r="U5" s="176"/>
      <c r="AE5" s="168"/>
      <c r="AF5" s="168"/>
      <c r="AN5" s="166" t="s">
        <v>1262</v>
      </c>
      <c r="AO5" s="168"/>
      <c r="AU5" s="177" t="s">
        <v>1257</v>
      </c>
      <c r="AV5" s="31" t="s">
        <v>1263</v>
      </c>
      <c r="AW5" s="31"/>
      <c r="BH5" s="5"/>
      <c r="BQ5" s="172"/>
      <c r="BR5" s="172"/>
      <c r="BS5" s="172"/>
      <c r="CE5" s="173">
        <v>44082</v>
      </c>
      <c r="CF5" s="174">
        <v>44261</v>
      </c>
    </row>
    <row r="6" spans="1:85" ht="15" thickBot="1">
      <c r="A6" s="187" t="s">
        <v>1264</v>
      </c>
      <c r="B6" s="188"/>
      <c r="C6" s="187"/>
      <c r="D6" s="189"/>
      <c r="E6" s="187"/>
      <c r="F6" s="187"/>
      <c r="G6" s="187"/>
      <c r="H6" s="190"/>
      <c r="I6" s="187"/>
      <c r="J6" s="187"/>
      <c r="K6" s="187"/>
      <c r="L6" s="187"/>
      <c r="M6" s="187"/>
      <c r="N6" s="187"/>
      <c r="O6" s="187"/>
      <c r="P6" s="187"/>
      <c r="Q6" s="187"/>
      <c r="R6" s="188"/>
      <c r="S6" s="188"/>
      <c r="T6" s="188"/>
      <c r="U6" s="188"/>
      <c r="V6" s="188"/>
      <c r="W6" s="188"/>
      <c r="X6" s="188"/>
      <c r="Y6" s="188"/>
      <c r="Z6" s="188"/>
      <c r="AA6" s="188"/>
      <c r="AB6" s="188"/>
      <c r="AC6" s="188"/>
      <c r="AD6" s="188"/>
      <c r="AE6" s="187"/>
      <c r="AF6" s="187"/>
      <c r="AG6" s="188"/>
      <c r="AH6" s="188"/>
      <c r="AI6" s="188"/>
      <c r="AJ6" s="188"/>
      <c r="AK6" s="188"/>
      <c r="AL6" s="188"/>
      <c r="AM6" s="188"/>
      <c r="AN6" s="187"/>
      <c r="AO6" s="187"/>
      <c r="AP6" s="188"/>
      <c r="AQ6" s="188"/>
      <c r="AR6" s="188"/>
      <c r="AS6" s="188"/>
      <c r="AT6" s="188"/>
      <c r="AU6" s="187"/>
      <c r="AV6" s="188"/>
      <c r="AW6" s="188"/>
      <c r="AX6" s="188"/>
      <c r="AY6" s="188"/>
      <c r="AZ6" s="188"/>
      <c r="BA6" s="188"/>
      <c r="BB6" s="188"/>
      <c r="BC6" s="188"/>
      <c r="BD6" s="188"/>
      <c r="BH6" s="5"/>
      <c r="BQ6" s="172"/>
      <c r="BR6" s="172"/>
      <c r="BS6" s="172"/>
      <c r="CE6" s="173">
        <v>44082</v>
      </c>
      <c r="CF6" s="174">
        <v>44261</v>
      </c>
    </row>
    <row r="7" spans="1:85" ht="15" thickBot="1">
      <c r="A7" s="187" t="s">
        <v>1265</v>
      </c>
      <c r="B7" s="188"/>
      <c r="C7" s="187"/>
      <c r="D7" s="189"/>
      <c r="E7" s="187"/>
      <c r="F7" s="187"/>
      <c r="G7" s="187"/>
      <c r="H7" s="190"/>
      <c r="I7" s="187"/>
      <c r="J7" s="187"/>
      <c r="K7" s="187"/>
      <c r="L7" s="187"/>
      <c r="M7" s="187"/>
      <c r="N7" s="187"/>
      <c r="O7" s="187"/>
      <c r="P7" s="187"/>
      <c r="Q7" s="187"/>
      <c r="R7" s="188"/>
      <c r="S7" s="188"/>
      <c r="T7" s="188"/>
      <c r="U7" s="188"/>
      <c r="V7" s="188"/>
      <c r="W7" s="188"/>
      <c r="X7" s="188"/>
      <c r="Y7" s="188"/>
      <c r="Z7" s="188"/>
      <c r="AA7" s="188"/>
      <c r="AB7" s="188"/>
      <c r="AC7" s="188"/>
      <c r="AD7" s="188"/>
      <c r="AE7" s="187"/>
      <c r="AF7" s="187"/>
      <c r="AG7" s="188"/>
      <c r="AH7" s="188"/>
      <c r="AI7" s="188"/>
      <c r="AJ7" s="188"/>
      <c r="AK7" s="188"/>
      <c r="AL7" s="188"/>
      <c r="AM7" s="188"/>
      <c r="AN7" s="187"/>
      <c r="AO7" s="187"/>
      <c r="AP7" s="188"/>
      <c r="AQ7" s="188"/>
      <c r="AR7" s="188"/>
      <c r="AS7" s="188"/>
      <c r="AT7" s="188"/>
      <c r="AU7" s="187"/>
      <c r="AV7" s="188"/>
      <c r="AW7" s="188"/>
      <c r="AX7" s="188"/>
      <c r="AY7" s="188"/>
      <c r="AZ7" s="188"/>
      <c r="BA7" s="188"/>
      <c r="BB7" s="188"/>
      <c r="BC7" s="188"/>
      <c r="BD7" s="188"/>
      <c r="BH7" s="5"/>
      <c r="BQ7" s="172"/>
      <c r="BR7" s="172"/>
      <c r="BS7" s="172"/>
      <c r="CE7" s="173">
        <v>44082</v>
      </c>
      <c r="CF7" s="174">
        <v>44261</v>
      </c>
    </row>
    <row r="8" spans="1:85" ht="25.5" customHeight="1" thickBot="1">
      <c r="A8" s="187" t="s">
        <v>1266</v>
      </c>
      <c r="B8" s="188"/>
      <c r="C8" s="187"/>
      <c r="D8" s="189"/>
      <c r="E8" s="187"/>
      <c r="F8" s="187"/>
      <c r="G8" s="187"/>
      <c r="H8" s="190"/>
      <c r="I8" s="187"/>
      <c r="J8" s="187"/>
      <c r="K8" s="187"/>
      <c r="L8" s="187"/>
      <c r="M8" s="187"/>
      <c r="N8" s="187"/>
      <c r="O8" s="187"/>
      <c r="P8" s="187"/>
      <c r="Q8" s="187"/>
      <c r="R8" s="188"/>
      <c r="S8" s="188"/>
      <c r="T8" s="188"/>
      <c r="U8" s="188"/>
      <c r="V8" s="188"/>
      <c r="W8" s="188"/>
      <c r="X8" s="188"/>
      <c r="Y8" s="188"/>
      <c r="Z8" s="188"/>
      <c r="AA8" s="188"/>
      <c r="AB8" s="188"/>
      <c r="AC8" s="188"/>
      <c r="AD8" s="188"/>
      <c r="AE8" s="187"/>
      <c r="AF8" s="187"/>
      <c r="AG8" s="188"/>
      <c r="AH8" s="188"/>
      <c r="AI8" s="188"/>
      <c r="AJ8" s="188"/>
      <c r="AK8" s="188"/>
      <c r="AL8" s="188"/>
      <c r="AM8" s="188"/>
      <c r="AN8" s="187"/>
      <c r="AO8" s="187"/>
      <c r="AP8" s="188"/>
      <c r="AQ8" s="188"/>
      <c r="AR8" s="188"/>
      <c r="AS8" s="188"/>
      <c r="AT8" s="188"/>
      <c r="AU8" s="187"/>
      <c r="AV8" s="188"/>
      <c r="AW8" s="188"/>
      <c r="AX8" s="188"/>
      <c r="AY8" s="188"/>
      <c r="AZ8" s="188"/>
      <c r="BA8" s="188"/>
      <c r="BB8" s="188"/>
      <c r="BC8" s="188"/>
      <c r="BD8" s="188"/>
      <c r="BH8" s="5"/>
      <c r="BQ8" s="172"/>
      <c r="BR8" s="172"/>
      <c r="BS8" s="172"/>
      <c r="CE8" s="173">
        <v>44269</v>
      </c>
      <c r="CF8" s="174">
        <v>44269</v>
      </c>
    </row>
    <row r="9" spans="1:85" ht="20.25" customHeight="1" thickBot="1">
      <c r="A9" s="187" t="s">
        <v>1267</v>
      </c>
      <c r="B9" s="188"/>
      <c r="C9" s="187"/>
      <c r="D9" s="189"/>
      <c r="E9" s="187"/>
      <c r="F9" s="187"/>
      <c r="G9" s="187"/>
      <c r="H9" s="190"/>
      <c r="I9" s="187"/>
      <c r="J9" s="187"/>
      <c r="K9" s="187"/>
      <c r="L9" s="187"/>
      <c r="M9" s="187"/>
      <c r="N9" s="187"/>
      <c r="O9" s="187"/>
      <c r="P9" s="187"/>
      <c r="Q9" s="187"/>
      <c r="R9" s="188"/>
      <c r="S9" s="188"/>
      <c r="T9" s="188"/>
      <c r="U9" s="188"/>
      <c r="V9" s="188"/>
      <c r="W9" s="188"/>
      <c r="X9" s="188"/>
      <c r="Y9" s="188"/>
      <c r="Z9" s="188"/>
      <c r="AA9" s="188"/>
      <c r="AB9" s="188"/>
      <c r="AC9" s="188"/>
      <c r="AD9" s="188"/>
      <c r="AE9" s="187"/>
      <c r="AF9" s="187"/>
      <c r="AG9" s="188"/>
      <c r="AH9" s="188"/>
      <c r="AI9" s="188"/>
      <c r="AJ9" s="188"/>
      <c r="AK9" s="188"/>
      <c r="AL9" s="188"/>
      <c r="AM9" s="188"/>
      <c r="AN9" s="187"/>
      <c r="AO9" s="187"/>
      <c r="AP9" s="188"/>
      <c r="AQ9" s="188"/>
      <c r="AR9" s="188"/>
      <c r="AS9" s="188"/>
      <c r="AT9" s="188"/>
      <c r="AU9" s="187"/>
      <c r="AV9" s="188"/>
      <c r="AW9" s="188"/>
      <c r="AX9" s="188"/>
      <c r="AY9" s="188"/>
      <c r="AZ9" s="188"/>
      <c r="BA9" s="188"/>
      <c r="BB9" s="188"/>
      <c r="BC9" s="188"/>
      <c r="BD9" s="188"/>
      <c r="BH9" s="5"/>
      <c r="BQ9" s="172"/>
      <c r="BR9" s="172"/>
      <c r="BS9" s="172"/>
      <c r="CE9" s="173">
        <v>44082</v>
      </c>
      <c r="CF9" s="174">
        <v>44261</v>
      </c>
    </row>
    <row r="10" spans="1:85" ht="15" thickBot="1">
      <c r="A10" s="187" t="s">
        <v>1268</v>
      </c>
      <c r="B10" s="188"/>
      <c r="C10" s="187"/>
      <c r="D10" s="189"/>
      <c r="E10" s="187"/>
      <c r="F10" s="187"/>
      <c r="G10" s="187"/>
      <c r="H10" s="190"/>
      <c r="I10" s="187"/>
      <c r="J10" s="187"/>
      <c r="K10" s="187"/>
      <c r="L10" s="187"/>
      <c r="M10" s="187"/>
      <c r="N10" s="187"/>
      <c r="O10" s="187"/>
      <c r="P10" s="187"/>
      <c r="Q10" s="187"/>
      <c r="R10" s="188"/>
      <c r="S10" s="188"/>
      <c r="T10" s="188"/>
      <c r="U10" s="188"/>
      <c r="V10" s="188"/>
      <c r="W10" s="188"/>
      <c r="X10" s="188"/>
      <c r="Y10" s="188"/>
      <c r="Z10" s="188"/>
      <c r="AA10" s="188"/>
      <c r="AB10" s="188"/>
      <c r="AC10" s="188"/>
      <c r="AD10" s="188"/>
      <c r="AE10" s="187"/>
      <c r="AF10" s="187"/>
      <c r="AG10" s="188"/>
      <c r="AH10" s="188"/>
      <c r="AI10" s="188"/>
      <c r="AJ10" s="188"/>
      <c r="AK10" s="188"/>
      <c r="AL10" s="188"/>
      <c r="AM10" s="188"/>
      <c r="AN10" s="187"/>
      <c r="AO10" s="187"/>
      <c r="AP10" s="188"/>
      <c r="AQ10" s="188"/>
      <c r="AR10" s="188"/>
      <c r="AS10" s="188"/>
      <c r="AT10" s="188"/>
      <c r="AU10" s="187"/>
      <c r="AV10" s="188"/>
      <c r="AW10" s="188"/>
      <c r="AX10" s="188"/>
      <c r="AY10" s="188"/>
      <c r="AZ10" s="188"/>
      <c r="BA10" s="188"/>
      <c r="BB10" s="188"/>
      <c r="BC10" s="188"/>
      <c r="BD10" s="188"/>
      <c r="BH10" s="5"/>
      <c r="BQ10" s="172"/>
      <c r="BR10" s="172"/>
      <c r="BS10" s="172"/>
      <c r="CE10" s="173">
        <v>44082</v>
      </c>
      <c r="CF10" s="174">
        <v>44261</v>
      </c>
    </row>
    <row r="11" spans="1:85" ht="15" thickBot="1">
      <c r="A11" s="187" t="s">
        <v>1269</v>
      </c>
      <c r="B11" s="188"/>
      <c r="C11" s="187"/>
      <c r="D11" s="189"/>
      <c r="E11" s="187"/>
      <c r="F11" s="187"/>
      <c r="G11" s="187"/>
      <c r="H11" s="190"/>
      <c r="I11" s="187"/>
      <c r="J11" s="187"/>
      <c r="K11" s="187"/>
      <c r="L11" s="187"/>
      <c r="M11" s="187"/>
      <c r="N11" s="187"/>
      <c r="O11" s="187"/>
      <c r="P11" s="187"/>
      <c r="Q11" s="187"/>
      <c r="R11" s="188"/>
      <c r="S11" s="188"/>
      <c r="T11" s="188"/>
      <c r="U11" s="188"/>
      <c r="V11" s="188"/>
      <c r="W11" s="188"/>
      <c r="X11" s="188"/>
      <c r="Y11" s="188"/>
      <c r="Z11" s="188"/>
      <c r="AA11" s="188"/>
      <c r="AB11" s="188"/>
      <c r="AC11" s="188"/>
      <c r="AD11" s="188"/>
      <c r="AE11" s="187"/>
      <c r="AF11" s="187"/>
      <c r="AG11" s="188"/>
      <c r="AH11" s="188"/>
      <c r="AI11" s="188"/>
      <c r="AJ11" s="188"/>
      <c r="AK11" s="188"/>
      <c r="AL11" s="188"/>
      <c r="AM11" s="188"/>
      <c r="AN11" s="187"/>
      <c r="AO11" s="187"/>
      <c r="AP11" s="188"/>
      <c r="AQ11" s="188"/>
      <c r="AR11" s="188"/>
      <c r="AS11" s="188"/>
      <c r="AT11" s="188"/>
      <c r="AU11" s="187"/>
      <c r="AV11" s="188"/>
      <c r="AW11" s="188"/>
      <c r="AX11" s="188"/>
      <c r="AY11" s="188"/>
      <c r="AZ11" s="188"/>
      <c r="BA11" s="188"/>
      <c r="BB11" s="188"/>
      <c r="BC11" s="188"/>
      <c r="BD11" s="188"/>
      <c r="BH11" s="5"/>
      <c r="BQ11" s="188"/>
      <c r="BR11" s="188"/>
      <c r="BS11" s="188"/>
      <c r="CE11" s="178">
        <v>44082</v>
      </c>
      <c r="CF11" s="179">
        <v>44261</v>
      </c>
    </row>
    <row r="12" spans="1:85" ht="18.75" customHeight="1" thickBot="1">
      <c r="A12" s="191" t="s">
        <v>1270</v>
      </c>
      <c r="B12" s="188"/>
      <c r="C12" s="187"/>
      <c r="D12" s="189"/>
      <c r="E12" s="187"/>
      <c r="F12" s="187"/>
      <c r="G12" s="187"/>
      <c r="H12" s="190"/>
      <c r="I12" s="187"/>
      <c r="J12" s="187"/>
      <c r="K12" s="187"/>
      <c r="L12" s="187"/>
      <c r="M12" s="187"/>
      <c r="N12" s="187"/>
      <c r="O12" s="187"/>
      <c r="P12" s="187"/>
      <c r="Q12" s="187"/>
      <c r="R12" s="188"/>
      <c r="S12" s="188"/>
      <c r="T12" s="188"/>
      <c r="U12" s="188"/>
      <c r="V12" s="188"/>
      <c r="W12" s="188"/>
      <c r="X12" s="188"/>
      <c r="Y12" s="188"/>
      <c r="Z12" s="188"/>
      <c r="AA12" s="188"/>
      <c r="AB12" s="188"/>
      <c r="AC12" s="188"/>
      <c r="AD12" s="188"/>
      <c r="AE12" s="187"/>
      <c r="AF12" s="187"/>
      <c r="AG12" s="188"/>
      <c r="AH12" s="188"/>
      <c r="AI12" s="188"/>
      <c r="AJ12" s="188"/>
      <c r="AK12" s="188"/>
      <c r="AL12" s="188"/>
      <c r="AM12" s="188"/>
      <c r="AN12" s="187"/>
      <c r="AO12" s="187"/>
      <c r="AP12" s="188"/>
      <c r="AQ12" s="188"/>
      <c r="AR12" s="188"/>
      <c r="AS12" s="188"/>
      <c r="AT12" s="188"/>
      <c r="AU12" s="187"/>
      <c r="AV12" s="188"/>
      <c r="AW12" s="188"/>
      <c r="AX12" s="188"/>
      <c r="AY12" s="188"/>
      <c r="AZ12" s="188"/>
      <c r="BA12" s="188"/>
      <c r="BB12" s="188"/>
      <c r="BC12" s="188"/>
      <c r="BD12" s="188"/>
      <c r="BH12" s="5"/>
      <c r="BQ12" s="192"/>
      <c r="BR12" s="192"/>
      <c r="BS12" s="192"/>
      <c r="CE12" s="173">
        <v>44082</v>
      </c>
      <c r="CF12" s="174">
        <v>44261</v>
      </c>
    </row>
    <row r="13" spans="1:85" ht="15" thickBot="1">
      <c r="A13" s="187" t="s">
        <v>1271</v>
      </c>
      <c r="B13" s="188"/>
      <c r="C13" s="187"/>
      <c r="D13" s="189"/>
      <c r="E13" s="187"/>
      <c r="F13" s="187"/>
      <c r="G13" s="187"/>
      <c r="H13" s="190"/>
      <c r="I13" s="187"/>
      <c r="J13" s="187"/>
      <c r="K13" s="187"/>
      <c r="L13" s="187"/>
      <c r="M13" s="187"/>
      <c r="N13" s="187"/>
      <c r="O13" s="187"/>
      <c r="P13" s="187"/>
      <c r="Q13" s="187"/>
      <c r="R13" s="188"/>
      <c r="S13" s="188"/>
      <c r="T13" s="188"/>
      <c r="U13" s="188"/>
      <c r="V13" s="188"/>
      <c r="W13" s="188"/>
      <c r="X13" s="188"/>
      <c r="Y13" s="188"/>
      <c r="Z13" s="188"/>
      <c r="AA13" s="188"/>
      <c r="AB13" s="188"/>
      <c r="AC13" s="188"/>
      <c r="AD13" s="188"/>
      <c r="AE13" s="187"/>
      <c r="AF13" s="187"/>
      <c r="AG13" s="188"/>
      <c r="AH13" s="188"/>
      <c r="AI13" s="188"/>
      <c r="AJ13" s="188"/>
      <c r="AK13" s="188"/>
      <c r="AL13" s="188"/>
      <c r="AM13" s="188"/>
      <c r="AN13" s="187"/>
      <c r="AO13" s="187"/>
      <c r="AP13" s="188"/>
      <c r="AQ13" s="188"/>
      <c r="AR13" s="188"/>
      <c r="AS13" s="188"/>
      <c r="AT13" s="188"/>
      <c r="AU13" s="187"/>
      <c r="AV13" s="188"/>
      <c r="AW13" s="188"/>
      <c r="AX13" s="188"/>
      <c r="AY13" s="188"/>
      <c r="AZ13" s="188"/>
      <c r="BA13" s="188"/>
      <c r="BB13" s="188"/>
      <c r="BC13" s="188"/>
      <c r="BD13" s="188"/>
      <c r="BH13" s="5"/>
      <c r="BQ13" s="192"/>
      <c r="BR13" s="192"/>
      <c r="BS13" s="192"/>
      <c r="CE13" s="173">
        <v>44082</v>
      </c>
      <c r="CF13" s="174">
        <v>44261</v>
      </c>
    </row>
    <row r="14" spans="1:85" ht="15" thickBot="1">
      <c r="A14" s="187" t="s">
        <v>1272</v>
      </c>
      <c r="B14" s="188"/>
      <c r="C14" s="187"/>
      <c r="D14" s="189"/>
      <c r="E14" s="187"/>
      <c r="F14" s="187"/>
      <c r="G14" s="187"/>
      <c r="H14" s="190"/>
      <c r="I14" s="187"/>
      <c r="J14" s="187"/>
      <c r="K14" s="187"/>
      <c r="L14" s="187"/>
      <c r="M14" s="187"/>
      <c r="N14" s="187"/>
      <c r="O14" s="187"/>
      <c r="P14" s="187"/>
      <c r="Q14" s="187"/>
      <c r="R14" s="188"/>
      <c r="S14" s="188"/>
      <c r="T14" s="188"/>
      <c r="U14" s="188"/>
      <c r="V14" s="188"/>
      <c r="W14" s="188"/>
      <c r="X14" s="188"/>
      <c r="Y14" s="188"/>
      <c r="Z14" s="188"/>
      <c r="AA14" s="188"/>
      <c r="AB14" s="188"/>
      <c r="AC14" s="188"/>
      <c r="AD14" s="188"/>
      <c r="AE14" s="187"/>
      <c r="AF14" s="187"/>
      <c r="AG14" s="188"/>
      <c r="AH14" s="188"/>
      <c r="AI14" s="188"/>
      <c r="AJ14" s="188"/>
      <c r="AK14" s="188"/>
      <c r="AL14" s="188"/>
      <c r="AM14" s="188"/>
      <c r="AN14" s="187"/>
      <c r="AO14" s="187"/>
      <c r="AP14" s="188"/>
      <c r="AQ14" s="188"/>
      <c r="AR14" s="188"/>
      <c r="AS14" s="188"/>
      <c r="AT14" s="188"/>
      <c r="AU14" s="187"/>
      <c r="AV14" s="188"/>
      <c r="AW14" s="188"/>
      <c r="AX14" s="188"/>
      <c r="AY14" s="188"/>
      <c r="AZ14" s="188"/>
      <c r="BA14" s="188"/>
      <c r="BB14" s="188"/>
      <c r="BC14" s="188"/>
      <c r="BD14" s="188"/>
      <c r="BE14" s="188"/>
      <c r="BF14" s="188"/>
      <c r="BG14" s="188"/>
      <c r="BH14" s="188"/>
      <c r="BI14" s="188"/>
      <c r="BJ14" s="188"/>
      <c r="BK14" s="188"/>
      <c r="BL14" s="188"/>
      <c r="BM14" s="188"/>
      <c r="BN14" s="188"/>
      <c r="BO14" s="188"/>
      <c r="BP14" s="188"/>
      <c r="BQ14" s="192"/>
      <c r="BR14" s="192"/>
      <c r="BS14" s="192"/>
      <c r="CA14" s="188"/>
      <c r="CB14" s="188"/>
      <c r="CC14" s="188"/>
      <c r="CD14" s="188"/>
      <c r="CE14" s="173">
        <v>44269</v>
      </c>
    </row>
    <row r="15" spans="1:85" ht="15" thickBot="1">
      <c r="A15" s="187" t="s">
        <v>1273</v>
      </c>
      <c r="B15" s="188"/>
      <c r="C15" s="187"/>
      <c r="D15" s="189"/>
      <c r="E15" s="187"/>
      <c r="F15" s="187"/>
      <c r="G15" s="187"/>
      <c r="H15" s="190"/>
      <c r="I15" s="187"/>
      <c r="J15" s="187"/>
      <c r="K15" s="187"/>
      <c r="L15" s="187"/>
      <c r="M15" s="187"/>
      <c r="N15" s="187"/>
      <c r="O15" s="187"/>
      <c r="P15" s="187"/>
      <c r="Q15" s="187"/>
      <c r="R15" s="188"/>
      <c r="S15" s="188"/>
      <c r="T15" s="188"/>
      <c r="U15" s="188"/>
      <c r="V15" s="188"/>
      <c r="W15" s="188"/>
      <c r="X15" s="188"/>
      <c r="Y15" s="188"/>
      <c r="Z15" s="188"/>
      <c r="AA15" s="188"/>
      <c r="AB15" s="188"/>
      <c r="AC15" s="188"/>
      <c r="AD15" s="188"/>
      <c r="AE15" s="187"/>
      <c r="AF15" s="187"/>
      <c r="AG15" s="188"/>
      <c r="AH15" s="188"/>
      <c r="AI15" s="188"/>
      <c r="AJ15" s="188"/>
      <c r="AK15" s="188"/>
      <c r="AL15" s="188"/>
      <c r="AM15" s="188"/>
      <c r="AN15" s="187"/>
      <c r="AO15" s="187"/>
      <c r="AP15" s="188"/>
      <c r="AQ15" s="188"/>
      <c r="AR15" s="188"/>
      <c r="AS15" s="188"/>
      <c r="AT15" s="188"/>
      <c r="AU15" s="187"/>
      <c r="AV15" s="188"/>
      <c r="AW15" s="188"/>
      <c r="AX15" s="188"/>
      <c r="AY15" s="188"/>
      <c r="AZ15" s="188"/>
      <c r="BA15" s="188"/>
      <c r="BB15" s="188"/>
      <c r="BC15" s="188"/>
      <c r="BD15" s="188"/>
      <c r="BH15" s="5"/>
      <c r="BQ15" s="192"/>
      <c r="BR15" s="192"/>
      <c r="BS15" s="192"/>
      <c r="CE15" s="178">
        <v>44082</v>
      </c>
      <c r="CF15" s="179">
        <v>44261</v>
      </c>
    </row>
    <row r="16" spans="1:85" ht="15" thickBot="1">
      <c r="A16" s="187" t="s">
        <v>1274</v>
      </c>
      <c r="B16" s="188"/>
      <c r="C16" s="187"/>
      <c r="D16" s="189"/>
      <c r="E16" s="187"/>
      <c r="F16" s="187"/>
      <c r="G16" s="187"/>
      <c r="H16" s="190"/>
      <c r="I16" s="187"/>
      <c r="J16" s="187"/>
      <c r="K16" s="187"/>
      <c r="L16" s="187"/>
      <c r="M16" s="187"/>
      <c r="N16" s="187"/>
      <c r="O16" s="187"/>
      <c r="P16" s="187"/>
      <c r="Q16" s="187"/>
      <c r="R16" s="188"/>
      <c r="S16" s="188"/>
      <c r="T16" s="188"/>
      <c r="U16" s="188"/>
      <c r="V16" s="188"/>
      <c r="W16" s="188"/>
      <c r="X16" s="188"/>
      <c r="Y16" s="188"/>
      <c r="Z16" s="188"/>
      <c r="AA16" s="188"/>
      <c r="AB16" s="188"/>
      <c r="AC16" s="188"/>
      <c r="AD16" s="188"/>
      <c r="AE16" s="187"/>
      <c r="AF16" s="187"/>
      <c r="AG16" s="188"/>
      <c r="AH16" s="188"/>
      <c r="AI16" s="188"/>
      <c r="AJ16" s="188"/>
      <c r="AK16" s="188"/>
      <c r="AL16" s="188"/>
      <c r="AM16" s="188"/>
      <c r="AN16" s="187"/>
      <c r="AO16" s="187"/>
      <c r="AP16" s="188"/>
      <c r="AQ16" s="188"/>
      <c r="AR16" s="188"/>
      <c r="AS16" s="188"/>
      <c r="AT16" s="188"/>
      <c r="AU16" s="187"/>
      <c r="AV16" s="188"/>
      <c r="AW16" s="188"/>
      <c r="AX16" s="188"/>
      <c r="AY16" s="188"/>
      <c r="AZ16" s="188"/>
      <c r="BA16" s="188"/>
      <c r="BB16" s="188"/>
      <c r="BC16" s="188"/>
      <c r="BD16" s="188"/>
      <c r="BH16" s="5"/>
      <c r="BQ16" s="192"/>
      <c r="BR16" s="192"/>
      <c r="BS16" s="192"/>
      <c r="CE16" s="173">
        <v>44082</v>
      </c>
      <c r="CF16" s="174">
        <v>44261</v>
      </c>
    </row>
    <row r="17" spans="1:84" ht="15" thickBot="1">
      <c r="A17" s="187" t="s">
        <v>1275</v>
      </c>
      <c r="B17" s="188"/>
      <c r="C17" s="187"/>
      <c r="D17" s="189"/>
      <c r="E17" s="187"/>
      <c r="F17" s="187"/>
      <c r="G17" s="187"/>
      <c r="H17" s="190"/>
      <c r="I17" s="187"/>
      <c r="J17" s="187"/>
      <c r="K17" s="187"/>
      <c r="L17" s="187"/>
      <c r="M17" s="187"/>
      <c r="N17" s="187"/>
      <c r="O17" s="187"/>
      <c r="P17" s="187"/>
      <c r="Q17" s="187"/>
      <c r="R17" s="188"/>
      <c r="S17" s="188"/>
      <c r="T17" s="188"/>
      <c r="U17" s="188"/>
      <c r="V17" s="188"/>
      <c r="W17" s="188"/>
      <c r="X17" s="188"/>
      <c r="Y17" s="188"/>
      <c r="Z17" s="188"/>
      <c r="AA17" s="188"/>
      <c r="AB17" s="188"/>
      <c r="AC17" s="188"/>
      <c r="AD17" s="188"/>
      <c r="AE17" s="187"/>
      <c r="AF17" s="187"/>
      <c r="AG17" s="188"/>
      <c r="AH17" s="188"/>
      <c r="AI17" s="188"/>
      <c r="AJ17" s="188"/>
      <c r="AK17" s="188"/>
      <c r="AL17" s="188"/>
      <c r="AM17" s="188"/>
      <c r="AN17" s="187"/>
      <c r="AO17" s="187"/>
      <c r="AP17" s="188"/>
      <c r="AQ17" s="188"/>
      <c r="AR17" s="188"/>
      <c r="AS17" s="188"/>
      <c r="AT17" s="188"/>
      <c r="AU17" s="187"/>
      <c r="AV17" s="188"/>
      <c r="AW17" s="188"/>
      <c r="AX17" s="188"/>
      <c r="AY17" s="188"/>
      <c r="AZ17" s="188"/>
      <c r="BA17" s="188"/>
      <c r="BB17" s="188"/>
      <c r="BC17" s="188"/>
      <c r="BD17" s="188"/>
      <c r="BH17" s="5"/>
      <c r="BQ17" s="192"/>
      <c r="BR17" s="192"/>
      <c r="BS17" s="192"/>
      <c r="CE17" s="173">
        <v>44082</v>
      </c>
      <c r="CF17" s="174">
        <v>44261</v>
      </c>
    </row>
    <row r="18" spans="1:84" ht="15" thickBot="1">
      <c r="A18" s="187" t="s">
        <v>1276</v>
      </c>
      <c r="B18" s="188"/>
      <c r="C18" s="187"/>
      <c r="D18" s="189"/>
      <c r="E18" s="187"/>
      <c r="F18" s="187"/>
      <c r="G18" s="187"/>
      <c r="H18" s="190"/>
      <c r="I18" s="187"/>
      <c r="J18" s="187"/>
      <c r="K18" s="187"/>
      <c r="L18" s="187"/>
      <c r="M18" s="187"/>
      <c r="N18" s="187"/>
      <c r="O18" s="187"/>
      <c r="P18" s="187"/>
      <c r="Q18" s="187"/>
      <c r="R18" s="188"/>
      <c r="S18" s="188"/>
      <c r="T18" s="188"/>
      <c r="U18" s="188"/>
      <c r="V18" s="188"/>
      <c r="W18" s="188"/>
      <c r="X18" s="188"/>
      <c r="Y18" s="188"/>
      <c r="Z18" s="188"/>
      <c r="AA18" s="188"/>
      <c r="AB18" s="188"/>
      <c r="AC18" s="188"/>
      <c r="AD18" s="188"/>
      <c r="AE18" s="187"/>
      <c r="AF18" s="187"/>
      <c r="AG18" s="188"/>
      <c r="AH18" s="188"/>
      <c r="AI18" s="188"/>
      <c r="AJ18" s="188"/>
      <c r="AK18" s="188"/>
      <c r="AL18" s="188"/>
      <c r="AM18" s="188"/>
      <c r="AN18" s="187"/>
      <c r="AO18" s="187"/>
      <c r="AP18" s="188"/>
      <c r="AQ18" s="188"/>
      <c r="AR18" s="188"/>
      <c r="AS18" s="188"/>
      <c r="AT18" s="188"/>
      <c r="AU18" s="187"/>
      <c r="AV18" s="188"/>
      <c r="AW18" s="188"/>
      <c r="AX18" s="188"/>
      <c r="AY18" s="188"/>
      <c r="AZ18" s="188"/>
      <c r="BA18" s="188"/>
      <c r="BB18" s="188"/>
      <c r="BC18" s="188"/>
      <c r="BD18" s="188"/>
      <c r="BE18" s="188"/>
      <c r="BF18" s="188"/>
      <c r="BG18" s="188"/>
      <c r="BH18" s="188"/>
      <c r="BI18" s="188"/>
      <c r="BJ18" s="188"/>
      <c r="BK18" s="188"/>
      <c r="BL18" s="188"/>
      <c r="BM18" s="188"/>
      <c r="BN18" s="188"/>
      <c r="BO18" s="188"/>
      <c r="BP18" s="188"/>
      <c r="BQ18" s="188"/>
      <c r="BR18" s="188"/>
      <c r="BS18" s="188"/>
      <c r="CA18" s="188"/>
      <c r="CB18" s="188"/>
      <c r="CC18" s="188"/>
      <c r="CD18" s="188"/>
      <c r="CE18" s="173">
        <v>44082</v>
      </c>
      <c r="CF18" s="174">
        <v>44261</v>
      </c>
    </row>
    <row r="19" spans="1:84" ht="15" thickBot="1">
      <c r="A19" s="187" t="s">
        <v>1277</v>
      </c>
      <c r="B19" s="188"/>
      <c r="C19" s="187"/>
      <c r="D19" s="189"/>
      <c r="E19" s="187"/>
      <c r="F19" s="187"/>
      <c r="G19" s="187"/>
      <c r="H19" s="190"/>
      <c r="I19" s="187"/>
      <c r="J19" s="187"/>
      <c r="K19" s="187"/>
      <c r="L19" s="187"/>
      <c r="M19" s="187"/>
      <c r="N19" s="187"/>
      <c r="O19" s="187"/>
      <c r="P19" s="187"/>
      <c r="Q19" s="187"/>
      <c r="R19" s="188"/>
      <c r="S19" s="188"/>
      <c r="T19" s="188"/>
      <c r="U19" s="188"/>
      <c r="V19" s="188"/>
      <c r="W19" s="188"/>
      <c r="X19" s="188"/>
      <c r="Y19" s="188"/>
      <c r="Z19" s="188"/>
      <c r="AA19" s="188"/>
      <c r="AB19" s="188"/>
      <c r="AC19" s="188"/>
      <c r="AD19" s="188"/>
      <c r="AE19" s="187"/>
      <c r="AF19" s="187"/>
      <c r="AG19" s="188"/>
      <c r="AH19" s="188"/>
      <c r="AI19" s="188"/>
      <c r="AJ19" s="188"/>
      <c r="AK19" s="188"/>
      <c r="AL19" s="188"/>
      <c r="AM19" s="188"/>
      <c r="AN19" s="187"/>
      <c r="AO19" s="187"/>
      <c r="AP19" s="188"/>
      <c r="AQ19" s="188"/>
      <c r="AR19" s="188"/>
      <c r="AS19" s="188"/>
      <c r="AT19" s="188"/>
      <c r="AU19" s="187"/>
      <c r="AV19" s="188"/>
      <c r="AW19" s="188"/>
      <c r="AX19" s="188"/>
      <c r="AY19" s="188"/>
      <c r="AZ19" s="188"/>
      <c r="BA19" s="188"/>
      <c r="BB19" s="188"/>
      <c r="BC19" s="188"/>
      <c r="BD19" s="188"/>
      <c r="BH19" s="5"/>
      <c r="BQ19" s="192"/>
      <c r="BR19" s="192"/>
      <c r="BS19" s="192"/>
      <c r="CE19" s="173">
        <v>44082</v>
      </c>
      <c r="CF19" s="174">
        <v>44261</v>
      </c>
    </row>
    <row r="20" spans="1:84" ht="15" thickBot="1">
      <c r="A20" s="187" t="s">
        <v>1278</v>
      </c>
      <c r="B20" s="188"/>
      <c r="C20" s="187"/>
      <c r="D20" s="189"/>
      <c r="E20" s="187"/>
      <c r="F20" s="187"/>
      <c r="G20" s="187"/>
      <c r="H20" s="190"/>
      <c r="I20" s="187"/>
      <c r="J20" s="187"/>
      <c r="K20" s="187"/>
      <c r="L20" s="187"/>
      <c r="M20" s="187"/>
      <c r="N20" s="187"/>
      <c r="O20" s="187"/>
      <c r="P20" s="187"/>
      <c r="Q20" s="187"/>
      <c r="R20" s="188"/>
      <c r="S20" s="188"/>
      <c r="T20" s="188"/>
      <c r="U20" s="188"/>
      <c r="V20" s="188"/>
      <c r="W20" s="188"/>
      <c r="X20" s="188"/>
      <c r="Y20" s="188"/>
      <c r="Z20" s="188"/>
      <c r="AA20" s="188"/>
      <c r="AB20" s="188"/>
      <c r="AC20" s="188"/>
      <c r="AD20" s="188"/>
      <c r="AE20" s="187"/>
      <c r="AF20" s="187"/>
      <c r="AG20" s="188"/>
      <c r="AH20" s="188"/>
      <c r="AI20" s="188"/>
      <c r="AJ20" s="188"/>
      <c r="AK20" s="188"/>
      <c r="AL20" s="188"/>
      <c r="AM20" s="188"/>
      <c r="AN20" s="187"/>
      <c r="AO20" s="187"/>
      <c r="AP20" s="188"/>
      <c r="AQ20" s="188"/>
      <c r="AR20" s="188"/>
      <c r="AS20" s="188"/>
      <c r="AT20" s="188"/>
      <c r="AU20" s="187"/>
      <c r="AV20" s="188"/>
      <c r="AW20" s="188"/>
      <c r="AX20" s="188"/>
      <c r="AY20" s="188"/>
      <c r="AZ20" s="188"/>
      <c r="BA20" s="188"/>
      <c r="BB20" s="188"/>
      <c r="BC20" s="188"/>
      <c r="BD20" s="188"/>
      <c r="BH20" s="5"/>
      <c r="BQ20" s="192"/>
      <c r="BR20" s="192"/>
      <c r="BS20" s="192"/>
      <c r="CE20" s="178"/>
      <c r="CF20" s="179"/>
    </row>
    <row r="21" spans="1:84" ht="17.25" thickBot="1">
      <c r="A21" s="187" t="s">
        <v>1279</v>
      </c>
      <c r="B21" s="188"/>
      <c r="C21" s="187"/>
      <c r="D21" s="189"/>
      <c r="E21" s="187"/>
      <c r="F21" s="187"/>
      <c r="G21" s="187"/>
      <c r="H21" s="187"/>
      <c r="I21" s="187"/>
      <c r="J21" s="187"/>
      <c r="K21" s="187"/>
      <c r="L21" s="187"/>
      <c r="M21" s="187"/>
      <c r="N21" s="187"/>
      <c r="O21" s="187"/>
      <c r="P21" s="187"/>
      <c r="Q21" s="187"/>
      <c r="R21" s="188"/>
      <c r="S21" s="188"/>
      <c r="T21" s="188"/>
      <c r="U21" s="188"/>
      <c r="V21" s="188"/>
      <c r="W21" s="188"/>
      <c r="X21" s="188"/>
      <c r="Y21" s="188"/>
      <c r="Z21" s="188"/>
      <c r="AA21" s="188"/>
      <c r="AB21" s="188"/>
      <c r="AC21" s="188"/>
      <c r="AD21" s="188"/>
      <c r="AE21" s="187"/>
      <c r="AF21" s="187"/>
      <c r="AG21" s="188"/>
      <c r="AH21" s="188"/>
      <c r="AI21" s="188"/>
      <c r="AJ21" s="188"/>
      <c r="AK21" s="188"/>
      <c r="AL21" s="188"/>
      <c r="AM21" s="188"/>
      <c r="AN21" s="187"/>
      <c r="AO21" s="187"/>
      <c r="AP21" s="188"/>
      <c r="AQ21" s="188"/>
      <c r="AR21" s="188"/>
      <c r="AS21" s="188"/>
      <c r="AT21" s="188"/>
      <c r="AU21" s="187"/>
      <c r="AV21" s="188"/>
      <c r="AW21" s="188"/>
      <c r="AX21" s="188"/>
      <c r="AY21" s="188"/>
      <c r="AZ21" s="188"/>
      <c r="BA21" s="188"/>
      <c r="BB21" s="188"/>
      <c r="BC21" s="188"/>
      <c r="BD21" s="188"/>
      <c r="BH21" s="5"/>
      <c r="BQ21" s="188"/>
      <c r="BR21" s="188"/>
      <c r="BS21" s="188"/>
      <c r="CE21" s="173">
        <v>44082</v>
      </c>
      <c r="CF21" s="174">
        <v>44261</v>
      </c>
    </row>
    <row r="22" spans="1:84" ht="15" thickBot="1">
      <c r="A22" s="187" t="s">
        <v>1280</v>
      </c>
      <c r="B22" s="188"/>
      <c r="C22" s="187"/>
      <c r="D22" s="189"/>
      <c r="E22" s="187"/>
      <c r="F22" s="187"/>
      <c r="G22" s="187"/>
      <c r="H22" s="187"/>
      <c r="I22" s="187"/>
      <c r="J22" s="187"/>
      <c r="K22" s="187"/>
      <c r="L22" s="187"/>
      <c r="M22" s="187"/>
      <c r="N22" s="187"/>
      <c r="O22" s="187"/>
      <c r="P22" s="187"/>
      <c r="Q22" s="187"/>
      <c r="R22" s="188"/>
      <c r="S22" s="188"/>
      <c r="T22" s="188"/>
      <c r="U22" s="188"/>
      <c r="V22" s="188"/>
      <c r="W22" s="188"/>
      <c r="X22" s="188"/>
      <c r="Y22" s="188"/>
      <c r="Z22" s="188"/>
      <c r="AA22" s="188"/>
      <c r="AB22" s="188"/>
      <c r="AC22" s="188"/>
      <c r="AD22" s="188"/>
      <c r="AE22" s="187"/>
      <c r="AF22" s="187"/>
      <c r="AG22" s="188"/>
      <c r="AH22" s="188"/>
      <c r="AI22" s="188"/>
      <c r="AJ22" s="188"/>
      <c r="AK22" s="188"/>
      <c r="AL22" s="188"/>
      <c r="AM22" s="188"/>
      <c r="AN22" s="187"/>
      <c r="AO22" s="187"/>
      <c r="AP22" s="188"/>
      <c r="AQ22" s="188"/>
      <c r="AR22" s="188"/>
      <c r="AS22" s="188"/>
      <c r="AT22" s="188"/>
      <c r="AU22" s="187"/>
      <c r="AV22" s="188"/>
      <c r="AW22" s="188"/>
      <c r="AX22" s="188"/>
      <c r="AY22" s="188"/>
      <c r="AZ22" s="188"/>
      <c r="BA22" s="188"/>
      <c r="BB22" s="188"/>
      <c r="BC22" s="188"/>
      <c r="BD22" s="188"/>
      <c r="BH22" s="5"/>
      <c r="BQ22" s="188"/>
      <c r="BR22" s="188"/>
      <c r="BS22" s="188"/>
      <c r="CE22" s="178">
        <v>44082</v>
      </c>
      <c r="CF22" s="179">
        <v>44261</v>
      </c>
    </row>
    <row r="23" spans="1:84" ht="15" thickBot="1">
      <c r="A23" s="187" t="s">
        <v>1281</v>
      </c>
      <c r="B23" s="188"/>
      <c r="C23" s="187"/>
      <c r="D23" s="189"/>
      <c r="E23" s="187"/>
      <c r="F23" s="187"/>
      <c r="G23" s="187"/>
      <c r="H23" s="187"/>
      <c r="I23" s="187"/>
      <c r="J23" s="187"/>
      <c r="K23" s="187"/>
      <c r="L23" s="187"/>
      <c r="M23" s="187"/>
      <c r="N23" s="187"/>
      <c r="O23" s="187"/>
      <c r="P23" s="187"/>
      <c r="Q23" s="187"/>
      <c r="R23" s="188"/>
      <c r="S23" s="188"/>
      <c r="T23" s="188"/>
      <c r="U23" s="188"/>
      <c r="V23" s="188"/>
      <c r="W23" s="188"/>
      <c r="X23" s="188"/>
      <c r="Y23" s="188"/>
      <c r="Z23" s="188"/>
      <c r="AA23" s="188"/>
      <c r="AB23" s="188"/>
      <c r="AC23" s="188"/>
      <c r="AD23" s="188"/>
      <c r="AE23" s="187"/>
      <c r="AF23" s="187"/>
      <c r="AG23" s="188"/>
      <c r="AH23" s="188"/>
      <c r="AI23" s="188"/>
      <c r="AJ23" s="188"/>
      <c r="AK23" s="188"/>
      <c r="AL23" s="188"/>
      <c r="AM23" s="188"/>
      <c r="AN23" s="187"/>
      <c r="AO23" s="187"/>
      <c r="AP23" s="188"/>
      <c r="AQ23" s="188"/>
      <c r="AR23" s="188"/>
      <c r="AS23" s="188"/>
      <c r="AT23" s="188"/>
      <c r="AU23" s="187"/>
      <c r="AV23" s="188"/>
      <c r="AW23" s="188"/>
      <c r="AX23" s="188"/>
      <c r="AY23" s="188"/>
      <c r="AZ23" s="188"/>
      <c r="BA23" s="188"/>
      <c r="BB23" s="188"/>
      <c r="BC23" s="188"/>
      <c r="BD23" s="188"/>
      <c r="BH23" s="5"/>
      <c r="BQ23" s="188"/>
      <c r="BR23" s="188"/>
      <c r="BS23" s="188"/>
      <c r="CE23" s="178">
        <v>44082</v>
      </c>
      <c r="CF23" s="179">
        <v>44261</v>
      </c>
    </row>
    <row r="24" spans="1:84" ht="15" thickBot="1">
      <c r="A24" s="187" t="s">
        <v>1280</v>
      </c>
      <c r="B24" s="188"/>
      <c r="C24" s="187"/>
      <c r="D24" s="189"/>
      <c r="E24" s="187"/>
      <c r="F24" s="187"/>
      <c r="G24" s="187"/>
      <c r="H24" s="187"/>
      <c r="I24" s="187"/>
      <c r="J24" s="187"/>
      <c r="K24" s="187"/>
      <c r="L24" s="187"/>
      <c r="M24" s="187"/>
      <c r="N24" s="187"/>
      <c r="O24" s="187"/>
      <c r="P24" s="187"/>
      <c r="Q24" s="187"/>
      <c r="R24" s="188"/>
      <c r="S24" s="188"/>
      <c r="T24" s="188"/>
      <c r="U24" s="188"/>
      <c r="V24" s="188"/>
      <c r="W24" s="188"/>
      <c r="X24" s="188"/>
      <c r="Y24" s="188"/>
      <c r="Z24" s="188"/>
      <c r="AA24" s="188"/>
      <c r="AB24" s="188"/>
      <c r="AC24" s="188"/>
      <c r="AD24" s="188"/>
      <c r="AE24" s="187"/>
      <c r="AF24" s="187"/>
      <c r="AG24" s="188"/>
      <c r="AH24" s="188"/>
      <c r="AI24" s="188"/>
      <c r="AJ24" s="188"/>
      <c r="AK24" s="188"/>
      <c r="AL24" s="188"/>
      <c r="AM24" s="188"/>
      <c r="AN24" s="187"/>
      <c r="AO24" s="187"/>
      <c r="AP24" s="188"/>
      <c r="AQ24" s="188"/>
      <c r="AR24" s="188"/>
      <c r="AS24" s="188"/>
      <c r="AT24" s="188"/>
      <c r="AU24" s="187"/>
      <c r="AV24" s="188"/>
      <c r="AW24" s="188"/>
      <c r="AX24" s="188"/>
      <c r="AY24" s="188"/>
      <c r="AZ24" s="188"/>
      <c r="BA24" s="188"/>
      <c r="BB24" s="188"/>
      <c r="BC24" s="188"/>
      <c r="BD24" s="188"/>
      <c r="BH24" s="5"/>
      <c r="BQ24" s="188"/>
      <c r="BR24" s="188"/>
      <c r="BS24" s="188"/>
      <c r="CE24" s="173">
        <v>44082</v>
      </c>
      <c r="CF24" s="174">
        <v>44261</v>
      </c>
    </row>
    <row r="25" spans="1:84" ht="15" thickBot="1">
      <c r="A25" s="187" t="s">
        <v>1282</v>
      </c>
      <c r="B25" s="188"/>
      <c r="C25" s="187"/>
      <c r="D25" s="189"/>
      <c r="E25" s="187"/>
      <c r="F25" s="187"/>
      <c r="G25" s="187"/>
      <c r="H25" s="187"/>
      <c r="I25" s="187"/>
      <c r="J25" s="187"/>
      <c r="K25" s="187"/>
      <c r="L25" s="187"/>
      <c r="M25" s="187"/>
      <c r="N25" s="187"/>
      <c r="O25" s="187"/>
      <c r="P25" s="187"/>
      <c r="Q25" s="187"/>
      <c r="R25" s="188"/>
      <c r="S25" s="188"/>
      <c r="T25" s="188"/>
      <c r="U25" s="188"/>
      <c r="V25" s="188"/>
      <c r="W25" s="188"/>
      <c r="X25" s="188"/>
      <c r="Y25" s="188"/>
      <c r="Z25" s="188"/>
      <c r="AA25" s="188"/>
      <c r="AB25" s="188"/>
      <c r="AC25" s="188"/>
      <c r="AD25" s="188"/>
      <c r="AE25" s="187"/>
      <c r="AF25" s="187"/>
      <c r="AG25" s="188"/>
      <c r="AH25" s="188"/>
      <c r="AI25" s="188"/>
      <c r="AJ25" s="188"/>
      <c r="AK25" s="188"/>
      <c r="AL25" s="188"/>
      <c r="AM25" s="188"/>
      <c r="AN25" s="187"/>
      <c r="AO25" s="187"/>
      <c r="AP25" s="188"/>
      <c r="AQ25" s="188"/>
      <c r="AR25" s="188"/>
      <c r="AS25" s="188"/>
      <c r="AT25" s="188"/>
      <c r="AU25" s="187"/>
      <c r="AV25" s="188"/>
      <c r="AW25" s="188"/>
      <c r="AX25" s="188"/>
      <c r="AY25" s="188"/>
      <c r="AZ25" s="188"/>
      <c r="BA25" s="188"/>
      <c r="BB25" s="188"/>
      <c r="BC25" s="188"/>
      <c r="BD25" s="188"/>
      <c r="BE25" s="171">
        <v>1</v>
      </c>
      <c r="BH25" s="5"/>
      <c r="BQ25" s="188"/>
      <c r="BR25" s="188"/>
      <c r="BS25" s="188"/>
      <c r="CE25" s="173">
        <v>44082</v>
      </c>
      <c r="CF25" s="174">
        <v>44301.548078703701</v>
      </c>
    </row>
    <row r="26" spans="1:84" ht="15" thickBot="1">
      <c r="A26" s="187" t="s">
        <v>1281</v>
      </c>
      <c r="B26" s="188"/>
      <c r="C26" s="187"/>
      <c r="D26" s="189"/>
      <c r="E26" s="187"/>
      <c r="F26" s="187"/>
      <c r="G26" s="187"/>
      <c r="H26" s="187"/>
      <c r="I26" s="187"/>
      <c r="J26" s="187"/>
      <c r="K26" s="187"/>
      <c r="L26" s="187"/>
      <c r="M26" s="187"/>
      <c r="N26" s="187"/>
      <c r="O26" s="187"/>
      <c r="P26" s="187"/>
      <c r="Q26" s="187"/>
      <c r="R26" s="188"/>
      <c r="S26" s="188"/>
      <c r="T26" s="188"/>
      <c r="U26" s="188"/>
      <c r="V26" s="188"/>
      <c r="W26" s="188"/>
      <c r="X26" s="188"/>
      <c r="Y26" s="188"/>
      <c r="Z26" s="188"/>
      <c r="AA26" s="188"/>
      <c r="AB26" s="188"/>
      <c r="AC26" s="188"/>
      <c r="AD26" s="188"/>
      <c r="AE26" s="187"/>
      <c r="AF26" s="187"/>
      <c r="AG26" s="188"/>
      <c r="AH26" s="188"/>
      <c r="AI26" s="188"/>
      <c r="AJ26" s="188"/>
      <c r="AK26" s="188"/>
      <c r="AL26" s="188"/>
      <c r="AM26" s="188"/>
      <c r="AN26" s="187"/>
      <c r="AO26" s="187"/>
      <c r="AP26" s="188"/>
      <c r="AQ26" s="188"/>
      <c r="AR26" s="188"/>
      <c r="AS26" s="188"/>
      <c r="AT26" s="188"/>
      <c r="AU26" s="187"/>
      <c r="AV26" s="188"/>
      <c r="AW26" s="188"/>
      <c r="AX26" s="188"/>
      <c r="AY26" s="188"/>
      <c r="AZ26" s="188"/>
      <c r="BA26" s="188"/>
      <c r="BB26" s="188"/>
      <c r="BC26" s="188"/>
      <c r="BD26" s="188"/>
      <c r="BH26" s="5"/>
      <c r="BQ26" s="172"/>
      <c r="BR26" s="172"/>
      <c r="BS26" s="172"/>
      <c r="CE26" s="178">
        <v>44082</v>
      </c>
      <c r="CF26" s="179">
        <v>44301.552002314813</v>
      </c>
    </row>
    <row r="27" spans="1:84" ht="15" thickBot="1">
      <c r="A27" s="187" t="s">
        <v>1283</v>
      </c>
      <c r="B27" s="188"/>
      <c r="C27" s="187"/>
      <c r="D27" s="189"/>
      <c r="E27" s="187"/>
      <c r="F27" s="187"/>
      <c r="G27" s="187"/>
      <c r="H27" s="187"/>
      <c r="I27" s="187"/>
      <c r="J27" s="187"/>
      <c r="K27" s="187"/>
      <c r="L27" s="187"/>
      <c r="M27" s="187"/>
      <c r="N27" s="187"/>
      <c r="O27" s="187"/>
      <c r="P27" s="187"/>
      <c r="Q27" s="187"/>
      <c r="R27" s="188"/>
      <c r="S27" s="188"/>
      <c r="T27" s="188"/>
      <c r="U27" s="188"/>
      <c r="V27" s="188"/>
      <c r="W27" s="188"/>
      <c r="X27" s="188"/>
      <c r="Y27" s="188"/>
      <c r="Z27" s="188"/>
      <c r="AA27" s="188"/>
      <c r="AB27" s="188"/>
      <c r="AC27" s="188"/>
      <c r="AD27" s="188"/>
      <c r="AE27" s="187"/>
      <c r="AF27" s="187"/>
      <c r="AG27" s="188"/>
      <c r="AH27" s="188"/>
      <c r="AI27" s="188"/>
      <c r="AJ27" s="188"/>
      <c r="AK27" s="188"/>
      <c r="AL27" s="188"/>
      <c r="AM27" s="188"/>
      <c r="AN27" s="187"/>
      <c r="AO27" s="187"/>
      <c r="AP27" s="188"/>
      <c r="AQ27" s="188"/>
      <c r="AR27" s="188"/>
      <c r="AS27" s="188"/>
      <c r="AT27" s="188"/>
      <c r="AU27" s="187"/>
      <c r="AV27" s="188"/>
      <c r="AW27" s="188"/>
      <c r="AX27" s="188"/>
      <c r="AY27" s="188"/>
      <c r="AZ27" s="188"/>
      <c r="BA27" s="188"/>
      <c r="BB27" s="188"/>
      <c r="BC27" s="188"/>
      <c r="BD27" s="188"/>
      <c r="BH27" s="5"/>
      <c r="BQ27" s="172"/>
      <c r="BR27" s="172"/>
      <c r="BS27" s="172"/>
      <c r="CE27" s="173">
        <v>44301.548136574071</v>
      </c>
      <c r="CF27" s="174">
        <v>44301.548229166663</v>
      </c>
    </row>
    <row r="28" spans="1:84" ht="17.25" thickBot="1">
      <c r="A28" s="187" t="s">
        <v>1284</v>
      </c>
      <c r="B28" s="188"/>
      <c r="C28" s="187"/>
      <c r="D28" s="189"/>
      <c r="E28" s="187"/>
      <c r="F28" s="187"/>
      <c r="G28" s="187"/>
      <c r="H28" s="187"/>
      <c r="I28" s="187"/>
      <c r="J28" s="187"/>
      <c r="K28" s="187"/>
      <c r="L28" s="187"/>
      <c r="M28" s="187"/>
      <c r="N28" s="187"/>
      <c r="O28" s="187"/>
      <c r="P28" s="187"/>
      <c r="Q28" s="187"/>
      <c r="R28" s="188"/>
      <c r="S28" s="188"/>
      <c r="T28" s="188"/>
      <c r="U28" s="188"/>
      <c r="V28" s="188"/>
      <c r="W28" s="188"/>
      <c r="X28" s="188"/>
      <c r="Y28" s="188"/>
      <c r="Z28" s="188"/>
      <c r="AA28" s="188"/>
      <c r="AB28" s="188"/>
      <c r="AC28" s="188"/>
      <c r="AD28" s="188"/>
      <c r="AE28" s="187"/>
      <c r="AF28" s="187"/>
      <c r="AG28" s="188"/>
      <c r="AH28" s="188"/>
      <c r="AI28" s="188"/>
      <c r="AJ28" s="188"/>
      <c r="AK28" s="188"/>
      <c r="AL28" s="188"/>
      <c r="AM28" s="188"/>
      <c r="AN28" s="187"/>
      <c r="AO28" s="187"/>
      <c r="AP28" s="188"/>
      <c r="AQ28" s="188"/>
      <c r="AR28" s="188"/>
      <c r="AS28" s="188"/>
      <c r="AT28" s="188"/>
      <c r="AU28" s="187"/>
      <c r="AV28" s="188"/>
      <c r="AW28" s="188"/>
      <c r="AX28" s="188"/>
      <c r="AY28" s="188"/>
      <c r="AZ28" s="188"/>
      <c r="BA28" s="188"/>
      <c r="BB28" s="188"/>
      <c r="BC28" s="188"/>
      <c r="BD28" s="188"/>
      <c r="BH28" s="5"/>
      <c r="BQ28" s="172">
        <v>44270</v>
      </c>
      <c r="BR28" s="193" t="s">
        <v>1285</v>
      </c>
      <c r="BS28" s="172"/>
      <c r="CE28" s="173">
        <v>44082</v>
      </c>
      <c r="CF28" s="174">
        <v>44301.554456018515</v>
      </c>
    </row>
    <row r="29" spans="1:84" ht="17.25" thickBot="1">
      <c r="A29" s="187" t="s">
        <v>1286</v>
      </c>
      <c r="B29" s="188"/>
      <c r="C29" s="187"/>
      <c r="D29" s="189"/>
      <c r="E29" s="187"/>
      <c r="F29" s="187"/>
      <c r="G29" s="187"/>
      <c r="H29" s="187"/>
      <c r="I29" s="187"/>
      <c r="J29" s="187"/>
      <c r="K29" s="187"/>
      <c r="L29" s="187"/>
      <c r="M29" s="187"/>
      <c r="N29" s="187"/>
      <c r="O29" s="187"/>
      <c r="P29" s="187"/>
      <c r="Q29" s="187"/>
      <c r="R29" s="188"/>
      <c r="S29" s="188"/>
      <c r="T29" s="188"/>
      <c r="U29" s="188"/>
      <c r="V29" s="188"/>
      <c r="W29" s="188"/>
      <c r="X29" s="188"/>
      <c r="Y29" s="188"/>
      <c r="Z29" s="188"/>
      <c r="AA29" s="188"/>
      <c r="AB29" s="188"/>
      <c r="AC29" s="188"/>
      <c r="AD29" s="188"/>
      <c r="AE29" s="187"/>
      <c r="AF29" s="187"/>
      <c r="AG29" s="188"/>
      <c r="AH29" s="188"/>
      <c r="AI29" s="188"/>
      <c r="AJ29" s="188"/>
      <c r="AK29" s="188"/>
      <c r="AL29" s="188"/>
      <c r="AM29" s="188"/>
      <c r="AN29" s="187"/>
      <c r="AO29" s="187"/>
      <c r="AP29" s="188"/>
      <c r="AQ29" s="188"/>
      <c r="AR29" s="188"/>
      <c r="AS29" s="188"/>
      <c r="AT29" s="188"/>
      <c r="AU29" s="187"/>
      <c r="AV29" s="188"/>
      <c r="AW29" s="188"/>
      <c r="AX29" s="188"/>
      <c r="AY29" s="188"/>
      <c r="AZ29" s="188"/>
      <c r="BA29" s="188"/>
      <c r="BB29" s="188"/>
      <c r="BC29" s="188"/>
      <c r="BD29" s="188"/>
      <c r="BE29" s="194"/>
      <c r="BF29" s="194"/>
      <c r="BG29" s="194"/>
      <c r="BH29" s="5"/>
      <c r="BI29" s="194"/>
      <c r="BJ29" s="194"/>
      <c r="BK29" s="194"/>
      <c r="BL29" s="195"/>
      <c r="BM29" s="195"/>
      <c r="BN29" s="195"/>
      <c r="BO29" s="194"/>
      <c r="BP29" s="195"/>
      <c r="BQ29" s="172">
        <v>44270</v>
      </c>
      <c r="BR29" s="193" t="s">
        <v>1287</v>
      </c>
      <c r="BS29" s="172"/>
      <c r="CA29" s="195"/>
      <c r="CB29" s="195"/>
      <c r="CC29" s="195"/>
      <c r="CD29" s="195"/>
      <c r="CE29" s="173">
        <v>44082</v>
      </c>
      <c r="CF29" s="174">
        <v>44301.554583333331</v>
      </c>
    </row>
    <row r="30" spans="1:84" ht="15" thickBot="1">
      <c r="A30" s="187" t="s">
        <v>1288</v>
      </c>
      <c r="B30" s="188"/>
      <c r="C30" s="187"/>
      <c r="D30" s="189"/>
      <c r="E30" s="187"/>
      <c r="F30" s="187"/>
      <c r="G30" s="187"/>
      <c r="H30" s="187"/>
      <c r="I30" s="187"/>
      <c r="J30" s="187"/>
      <c r="K30" s="187"/>
      <c r="L30" s="187"/>
      <c r="M30" s="187"/>
      <c r="N30" s="187"/>
      <c r="O30" s="187"/>
      <c r="P30" s="187"/>
      <c r="Q30" s="187"/>
      <c r="R30" s="188"/>
      <c r="S30" s="188"/>
      <c r="T30" s="188"/>
      <c r="U30" s="188"/>
      <c r="V30" s="188"/>
      <c r="W30" s="188"/>
      <c r="X30" s="188"/>
      <c r="Y30" s="188"/>
      <c r="Z30" s="188"/>
      <c r="AA30" s="188"/>
      <c r="AB30" s="188"/>
      <c r="AC30" s="188"/>
      <c r="AD30" s="188"/>
      <c r="AE30" s="187"/>
      <c r="AF30" s="187"/>
      <c r="AG30" s="188"/>
      <c r="AH30" s="188"/>
      <c r="AI30" s="188"/>
      <c r="AJ30" s="188"/>
      <c r="AK30" s="188"/>
      <c r="AL30" s="188"/>
      <c r="AM30" s="188"/>
      <c r="AN30" s="187"/>
      <c r="AO30" s="187"/>
      <c r="AP30" s="188"/>
      <c r="AQ30" s="188"/>
      <c r="AR30" s="188"/>
      <c r="AS30" s="188"/>
      <c r="AT30" s="188"/>
      <c r="AU30" s="187"/>
      <c r="AV30" s="188"/>
      <c r="AW30" s="188"/>
      <c r="AX30" s="188"/>
      <c r="AY30" s="188"/>
      <c r="AZ30" s="188"/>
      <c r="BA30" s="188"/>
      <c r="BB30" s="188"/>
      <c r="BC30" s="188"/>
      <c r="BD30" s="188"/>
      <c r="BH30" s="5"/>
      <c r="BQ30" s="172"/>
      <c r="BR30" s="172"/>
      <c r="BS30" s="172"/>
      <c r="CE30" s="173">
        <v>44082</v>
      </c>
      <c r="CF30" s="174">
        <v>44261</v>
      </c>
    </row>
    <row r="31" spans="1:84" ht="15" thickBot="1">
      <c r="A31" s="187" t="s">
        <v>1289</v>
      </c>
      <c r="B31" s="188"/>
      <c r="C31" s="187"/>
      <c r="D31" s="189"/>
      <c r="E31" s="187"/>
      <c r="F31" s="187"/>
      <c r="G31" s="187"/>
      <c r="H31" s="187"/>
      <c r="I31" s="187"/>
      <c r="J31" s="187"/>
      <c r="K31" s="187"/>
      <c r="L31" s="187"/>
      <c r="M31" s="187"/>
      <c r="N31" s="187"/>
      <c r="O31" s="187"/>
      <c r="P31" s="187"/>
      <c r="Q31" s="187"/>
      <c r="R31" s="188"/>
      <c r="S31" s="188"/>
      <c r="T31" s="188"/>
      <c r="U31" s="188"/>
      <c r="V31" s="188"/>
      <c r="W31" s="188"/>
      <c r="X31" s="188"/>
      <c r="Y31" s="188"/>
      <c r="Z31" s="188"/>
      <c r="AA31" s="188"/>
      <c r="AB31" s="188"/>
      <c r="AC31" s="188"/>
      <c r="AD31" s="188"/>
      <c r="AE31" s="187"/>
      <c r="AF31" s="187"/>
      <c r="AG31" s="188"/>
      <c r="AH31" s="188"/>
      <c r="AI31" s="188"/>
      <c r="AJ31" s="188"/>
      <c r="AK31" s="188"/>
      <c r="AL31" s="188"/>
      <c r="AM31" s="188"/>
      <c r="AN31" s="187"/>
      <c r="AO31" s="187"/>
      <c r="AP31" s="188"/>
      <c r="AQ31" s="188"/>
      <c r="AR31" s="188"/>
      <c r="AS31" s="188"/>
      <c r="AT31" s="188"/>
      <c r="AU31" s="187"/>
      <c r="AV31" s="188"/>
      <c r="AW31" s="188"/>
      <c r="AX31" s="188"/>
      <c r="AY31" s="188"/>
      <c r="AZ31" s="188"/>
      <c r="BA31" s="188"/>
      <c r="BB31" s="188"/>
      <c r="BC31" s="188"/>
      <c r="BD31" s="188"/>
      <c r="BE31" s="188"/>
      <c r="BF31" s="188"/>
      <c r="BG31" s="188"/>
      <c r="BH31" s="188"/>
      <c r="BI31" s="188"/>
      <c r="BJ31" s="188"/>
      <c r="BK31" s="188"/>
      <c r="BL31" s="188"/>
      <c r="BM31" s="188"/>
      <c r="BN31" s="188"/>
      <c r="BO31" s="188"/>
      <c r="BP31" s="188"/>
      <c r="BQ31" s="172"/>
      <c r="BR31" s="172"/>
      <c r="BS31" s="172"/>
      <c r="CA31" s="188"/>
      <c r="CB31" s="188"/>
      <c r="CC31" s="188"/>
      <c r="CD31" s="188"/>
      <c r="CE31" s="178">
        <v>44082</v>
      </c>
      <c r="CF31" s="179">
        <v>44261</v>
      </c>
    </row>
    <row r="32" spans="1:84" ht="15" thickBot="1">
      <c r="A32" s="187" t="s">
        <v>1290</v>
      </c>
      <c r="B32" s="188"/>
      <c r="C32" s="187"/>
      <c r="D32" s="189"/>
      <c r="E32" s="187"/>
      <c r="F32" s="187"/>
      <c r="G32" s="187"/>
      <c r="H32" s="187"/>
      <c r="I32" s="187"/>
      <c r="J32" s="187"/>
      <c r="K32" s="187"/>
      <c r="L32" s="187"/>
      <c r="M32" s="187"/>
      <c r="N32" s="187"/>
      <c r="O32" s="187"/>
      <c r="P32" s="187"/>
      <c r="Q32" s="187"/>
      <c r="R32" s="188"/>
      <c r="S32" s="188"/>
      <c r="T32" s="188"/>
      <c r="U32" s="188"/>
      <c r="V32" s="188"/>
      <c r="W32" s="188"/>
      <c r="X32" s="188"/>
      <c r="Y32" s="188"/>
      <c r="Z32" s="188"/>
      <c r="AA32" s="188"/>
      <c r="AB32" s="188"/>
      <c r="AC32" s="188"/>
      <c r="AD32" s="188"/>
      <c r="AE32" s="187"/>
      <c r="AF32" s="187"/>
      <c r="AG32" s="188"/>
      <c r="AH32" s="188"/>
      <c r="AI32" s="188"/>
      <c r="AJ32" s="188"/>
      <c r="AK32" s="188"/>
      <c r="AL32" s="188"/>
      <c r="AM32" s="188"/>
      <c r="AN32" s="187"/>
      <c r="AO32" s="187"/>
      <c r="AP32" s="188"/>
      <c r="AQ32" s="188"/>
      <c r="AR32" s="188"/>
      <c r="AS32" s="188"/>
      <c r="AT32" s="188"/>
      <c r="AU32" s="187"/>
      <c r="AV32" s="188"/>
      <c r="AW32" s="188"/>
      <c r="AX32" s="188"/>
      <c r="AY32" s="188"/>
      <c r="AZ32" s="188"/>
      <c r="BA32" s="188"/>
      <c r="BB32" s="188"/>
      <c r="BC32" s="188"/>
      <c r="BD32" s="188"/>
      <c r="BH32" s="5"/>
      <c r="BQ32" s="172"/>
      <c r="BR32" s="172"/>
      <c r="BS32" s="172"/>
      <c r="CE32" s="173">
        <v>44301.548414351855</v>
      </c>
      <c r="CF32" s="174">
        <v>44301.548506944448</v>
      </c>
    </row>
    <row r="33" spans="1:84" ht="15" thickBot="1">
      <c r="A33" s="187" t="s">
        <v>1291</v>
      </c>
      <c r="B33" s="188"/>
      <c r="C33" s="187"/>
      <c r="D33" s="189"/>
      <c r="E33" s="187"/>
      <c r="F33" s="187"/>
      <c r="G33" s="187"/>
      <c r="H33" s="187"/>
      <c r="I33" s="187"/>
      <c r="J33" s="187"/>
      <c r="K33" s="187"/>
      <c r="L33" s="187"/>
      <c r="M33" s="187"/>
      <c r="N33" s="187"/>
      <c r="O33" s="187"/>
      <c r="P33" s="187"/>
      <c r="Q33" s="187"/>
      <c r="R33" s="188"/>
      <c r="S33" s="188"/>
      <c r="T33" s="188"/>
      <c r="U33" s="188"/>
      <c r="V33" s="188"/>
      <c r="W33" s="188"/>
      <c r="X33" s="188"/>
      <c r="Y33" s="188"/>
      <c r="Z33" s="188"/>
      <c r="AA33" s="188"/>
      <c r="AB33" s="188"/>
      <c r="AC33" s="188"/>
      <c r="AD33" s="188"/>
      <c r="AE33" s="187"/>
      <c r="AF33" s="187"/>
      <c r="AG33" s="188"/>
      <c r="AH33" s="188"/>
      <c r="AI33" s="188"/>
      <c r="AJ33" s="188"/>
      <c r="AK33" s="188"/>
      <c r="AL33" s="188"/>
      <c r="AM33" s="188"/>
      <c r="AN33" s="187"/>
      <c r="AO33" s="187"/>
      <c r="AP33" s="188"/>
      <c r="AQ33" s="188"/>
      <c r="AR33" s="188"/>
      <c r="AS33" s="188"/>
      <c r="AT33" s="188"/>
      <c r="AU33" s="187"/>
      <c r="AV33" s="188"/>
      <c r="AW33" s="188"/>
      <c r="AX33" s="188"/>
      <c r="AY33" s="188"/>
      <c r="AZ33" s="188"/>
      <c r="BA33" s="188"/>
      <c r="BB33" s="188"/>
      <c r="BC33" s="188"/>
      <c r="BD33" s="188"/>
      <c r="BH33" s="5"/>
      <c r="BQ33" s="172"/>
      <c r="BR33" s="172"/>
      <c r="BS33" s="172"/>
      <c r="CE33" s="173">
        <v>44082</v>
      </c>
      <c r="CF33" s="174">
        <v>44301.552025462966</v>
      </c>
    </row>
    <row r="34" spans="1:84" ht="17.25" thickBot="1">
      <c r="A34" s="187" t="s">
        <v>1292</v>
      </c>
      <c r="B34" s="188"/>
      <c r="C34" s="187"/>
      <c r="D34" s="189"/>
      <c r="E34" s="187"/>
      <c r="F34" s="187"/>
      <c r="G34" s="187"/>
      <c r="H34" s="187"/>
      <c r="I34" s="187"/>
      <c r="J34" s="187"/>
      <c r="K34" s="187"/>
      <c r="L34" s="187"/>
      <c r="M34" s="187"/>
      <c r="N34" s="187"/>
      <c r="O34" s="187"/>
      <c r="P34" s="187"/>
      <c r="Q34" s="187"/>
      <c r="R34" s="188"/>
      <c r="S34" s="188"/>
      <c r="T34" s="188"/>
      <c r="U34" s="188"/>
      <c r="V34" s="188"/>
      <c r="W34" s="188"/>
      <c r="X34" s="188"/>
      <c r="Y34" s="188"/>
      <c r="Z34" s="188"/>
      <c r="AA34" s="188"/>
      <c r="AB34" s="188"/>
      <c r="AC34" s="188"/>
      <c r="AD34" s="188"/>
      <c r="AE34" s="187"/>
      <c r="AF34" s="187"/>
      <c r="AG34" s="188"/>
      <c r="AH34" s="188"/>
      <c r="AI34" s="188"/>
      <c r="AJ34" s="188"/>
      <c r="AK34" s="188"/>
      <c r="AL34" s="188"/>
      <c r="AM34" s="188"/>
      <c r="AN34" s="187"/>
      <c r="AO34" s="187"/>
      <c r="AP34" s="188"/>
      <c r="AQ34" s="188"/>
      <c r="AR34" s="188"/>
      <c r="AS34" s="188"/>
      <c r="AT34" s="188"/>
      <c r="AU34" s="187"/>
      <c r="AV34" s="188"/>
      <c r="AW34" s="188"/>
      <c r="AX34" s="188"/>
      <c r="AY34" s="188"/>
      <c r="AZ34" s="188"/>
      <c r="BA34" s="188"/>
      <c r="BB34" s="188"/>
      <c r="BC34" s="188"/>
      <c r="BD34" s="188"/>
      <c r="BH34" s="5"/>
      <c r="BQ34" s="172">
        <v>44269</v>
      </c>
      <c r="BR34" s="193" t="s">
        <v>1285</v>
      </c>
      <c r="BS34" s="196">
        <v>44270.510416666664</v>
      </c>
      <c r="CE34" s="173">
        <v>44082</v>
      </c>
      <c r="CF34" s="174">
        <v>44301.554768518516</v>
      </c>
    </row>
    <row r="35" spans="1:84" ht="17.25" thickBot="1">
      <c r="A35" s="187" t="s">
        <v>1293</v>
      </c>
      <c r="B35" s="188"/>
      <c r="C35" s="187"/>
      <c r="D35" s="189"/>
      <c r="E35" s="187"/>
      <c r="F35" s="187"/>
      <c r="G35" s="187"/>
      <c r="H35" s="187"/>
      <c r="I35" s="187"/>
      <c r="J35" s="187"/>
      <c r="K35" s="187"/>
      <c r="L35" s="187"/>
      <c r="M35" s="187"/>
      <c r="N35" s="187"/>
      <c r="O35" s="187"/>
      <c r="P35" s="187"/>
      <c r="Q35" s="187"/>
      <c r="R35" s="188"/>
      <c r="S35" s="188"/>
      <c r="T35" s="188"/>
      <c r="U35" s="188"/>
      <c r="V35" s="188"/>
      <c r="W35" s="188"/>
      <c r="X35" s="188"/>
      <c r="Y35" s="188"/>
      <c r="Z35" s="188"/>
      <c r="AA35" s="188"/>
      <c r="AB35" s="188"/>
      <c r="AC35" s="188"/>
      <c r="AD35" s="188"/>
      <c r="AE35" s="187"/>
      <c r="AF35" s="187"/>
      <c r="AG35" s="188"/>
      <c r="AH35" s="188"/>
      <c r="AI35" s="188"/>
      <c r="AJ35" s="188"/>
      <c r="AK35" s="188"/>
      <c r="AL35" s="188"/>
      <c r="AM35" s="188"/>
      <c r="AN35" s="187"/>
      <c r="AO35" s="187"/>
      <c r="AP35" s="188"/>
      <c r="AQ35" s="188"/>
      <c r="AR35" s="188"/>
      <c r="AS35" s="188"/>
      <c r="AT35" s="188"/>
      <c r="AU35" s="187"/>
      <c r="AV35" s="188"/>
      <c r="AW35" s="188"/>
      <c r="AX35" s="188"/>
      <c r="AY35" s="188"/>
      <c r="AZ35" s="188"/>
      <c r="BA35" s="188"/>
      <c r="BB35" s="188"/>
      <c r="BC35" s="188"/>
      <c r="BD35" s="188"/>
      <c r="BH35" s="5"/>
      <c r="BQ35" s="172">
        <v>44269</v>
      </c>
      <c r="BR35" s="193" t="s">
        <v>1285</v>
      </c>
      <c r="BS35" s="172"/>
      <c r="CE35" s="173">
        <v>44082</v>
      </c>
      <c r="CF35" s="174">
        <v>44261</v>
      </c>
    </row>
    <row r="36" spans="1:84" ht="15" thickBot="1">
      <c r="A36" s="187" t="s">
        <v>1294</v>
      </c>
      <c r="B36" s="188"/>
      <c r="C36" s="187"/>
      <c r="D36" s="189"/>
      <c r="E36" s="187"/>
      <c r="F36" s="187"/>
      <c r="G36" s="187"/>
      <c r="H36" s="190"/>
      <c r="I36" s="187"/>
      <c r="J36" s="187"/>
      <c r="K36" s="187"/>
      <c r="L36" s="187"/>
      <c r="M36" s="187"/>
      <c r="N36" s="187"/>
      <c r="O36" s="187"/>
      <c r="P36" s="187"/>
      <c r="Q36" s="187"/>
      <c r="R36" s="188"/>
      <c r="S36" s="188"/>
      <c r="T36" s="188"/>
      <c r="U36" s="188"/>
      <c r="V36" s="188"/>
      <c r="W36" s="188"/>
      <c r="X36" s="188"/>
      <c r="Y36" s="188"/>
      <c r="Z36" s="188"/>
      <c r="AA36" s="188"/>
      <c r="AB36" s="188"/>
      <c r="AC36" s="188"/>
      <c r="AD36" s="188"/>
      <c r="AE36" s="187"/>
      <c r="AF36" s="187"/>
      <c r="AG36" s="188"/>
      <c r="AH36" s="188"/>
      <c r="AI36" s="188"/>
      <c r="AJ36" s="188"/>
      <c r="AK36" s="188"/>
      <c r="AL36" s="188"/>
      <c r="AM36" s="188"/>
      <c r="AN36" s="187"/>
      <c r="AO36" s="187"/>
      <c r="AP36" s="188"/>
      <c r="AQ36" s="188"/>
      <c r="AR36" s="188"/>
      <c r="AS36" s="188"/>
      <c r="AT36" s="188"/>
      <c r="AU36" s="187"/>
      <c r="AV36" s="188"/>
      <c r="AW36" s="188"/>
      <c r="AX36" s="188"/>
      <c r="AY36" s="188"/>
      <c r="AZ36" s="188"/>
      <c r="BA36" s="188"/>
      <c r="BB36" s="188"/>
      <c r="BC36" s="188"/>
      <c r="BD36" s="188"/>
      <c r="BH36" s="5"/>
      <c r="BQ36" s="172"/>
      <c r="BR36" s="172"/>
      <c r="BS36" s="172"/>
      <c r="CE36" s="173">
        <v>44082</v>
      </c>
      <c r="CF36" s="174">
        <v>44301.549062500002</v>
      </c>
    </row>
    <row r="37" spans="1:84" ht="17.25" thickBot="1">
      <c r="A37" s="187" t="s">
        <v>1286</v>
      </c>
      <c r="B37" s="188"/>
      <c r="C37" s="187"/>
      <c r="D37" s="189"/>
      <c r="E37" s="187"/>
      <c r="F37" s="187"/>
      <c r="G37" s="187"/>
      <c r="H37" s="187"/>
      <c r="I37" s="187"/>
      <c r="J37" s="187"/>
      <c r="K37" s="187"/>
      <c r="L37" s="187"/>
      <c r="M37" s="187"/>
      <c r="N37" s="187"/>
      <c r="O37" s="187"/>
      <c r="P37" s="187"/>
      <c r="Q37" s="187"/>
      <c r="R37" s="188"/>
      <c r="S37" s="188"/>
      <c r="T37" s="188"/>
      <c r="U37" s="188"/>
      <c r="V37" s="188"/>
      <c r="W37" s="188"/>
      <c r="X37" s="188"/>
      <c r="Y37" s="188"/>
      <c r="Z37" s="188"/>
      <c r="AA37" s="188"/>
      <c r="AB37" s="188"/>
      <c r="AC37" s="188"/>
      <c r="AD37" s="188"/>
      <c r="AE37" s="187"/>
      <c r="AF37" s="187"/>
      <c r="AG37" s="188"/>
      <c r="AH37" s="188"/>
      <c r="AI37" s="188"/>
      <c r="AJ37" s="188"/>
      <c r="AK37" s="188"/>
      <c r="AL37" s="188"/>
      <c r="AM37" s="188"/>
      <c r="AN37" s="187"/>
      <c r="AO37" s="187"/>
      <c r="AP37" s="188"/>
      <c r="AQ37" s="188"/>
      <c r="AR37" s="188"/>
      <c r="AS37" s="188"/>
      <c r="AT37" s="188"/>
      <c r="AU37" s="187"/>
      <c r="AV37" s="188"/>
      <c r="AW37" s="188"/>
      <c r="AX37" s="188"/>
      <c r="AY37" s="188"/>
      <c r="AZ37" s="188"/>
      <c r="BA37" s="188"/>
      <c r="BB37" s="188"/>
      <c r="BC37" s="188"/>
      <c r="BD37" s="188"/>
      <c r="BH37" s="5"/>
      <c r="BQ37" s="172">
        <v>44269</v>
      </c>
      <c r="BR37" s="193" t="s">
        <v>1285</v>
      </c>
      <c r="BS37" s="172"/>
      <c r="CE37" s="178">
        <v>44082</v>
      </c>
      <c r="CF37" s="179">
        <v>44261</v>
      </c>
    </row>
    <row r="38" spans="1:84" ht="15" thickBot="1">
      <c r="A38" s="187" t="s">
        <v>1282</v>
      </c>
      <c r="B38" s="188"/>
      <c r="C38" s="187"/>
      <c r="D38" s="189"/>
      <c r="E38" s="187"/>
      <c r="F38" s="187"/>
      <c r="G38" s="187"/>
      <c r="H38" s="187"/>
      <c r="I38" s="187"/>
      <c r="J38" s="187"/>
      <c r="K38" s="187"/>
      <c r="L38" s="187"/>
      <c r="M38" s="187"/>
      <c r="N38" s="187"/>
      <c r="O38" s="187"/>
      <c r="P38" s="187"/>
      <c r="Q38" s="187"/>
      <c r="R38" s="188"/>
      <c r="S38" s="188"/>
      <c r="T38" s="188"/>
      <c r="U38" s="188"/>
      <c r="V38" s="188"/>
      <c r="W38" s="188"/>
      <c r="X38" s="188"/>
      <c r="Y38" s="188"/>
      <c r="Z38" s="188"/>
      <c r="AA38" s="188"/>
      <c r="AB38" s="188"/>
      <c r="AC38" s="188"/>
      <c r="AD38" s="188"/>
      <c r="AE38" s="187"/>
      <c r="AF38" s="187"/>
      <c r="AG38" s="188"/>
      <c r="AH38" s="188"/>
      <c r="AI38" s="188"/>
      <c r="AJ38" s="188"/>
      <c r="AK38" s="188"/>
      <c r="AL38" s="188"/>
      <c r="AM38" s="188"/>
      <c r="AN38" s="187"/>
      <c r="AO38" s="187"/>
      <c r="AP38" s="188"/>
      <c r="AQ38" s="188"/>
      <c r="AR38" s="188"/>
      <c r="AS38" s="188"/>
      <c r="AT38" s="188"/>
      <c r="AU38" s="187"/>
      <c r="AV38" s="188"/>
      <c r="AW38" s="188"/>
      <c r="AX38" s="188"/>
      <c r="AY38" s="188"/>
      <c r="AZ38" s="188"/>
      <c r="BA38" s="188"/>
      <c r="BB38" s="188"/>
      <c r="BC38" s="188"/>
      <c r="BD38" s="188"/>
      <c r="BH38" s="5"/>
      <c r="BQ38" s="172"/>
      <c r="BR38" s="172"/>
      <c r="BS38" s="172"/>
      <c r="CE38" s="173">
        <v>44082</v>
      </c>
      <c r="CF38" s="174">
        <v>44301.548981481479</v>
      </c>
    </row>
    <row r="39" spans="1:84" ht="15" thickBot="1">
      <c r="A39" s="187" t="s">
        <v>1281</v>
      </c>
      <c r="B39" s="188"/>
      <c r="C39" s="187"/>
      <c r="D39" s="189"/>
      <c r="E39" s="187"/>
      <c r="F39" s="187"/>
      <c r="G39" s="187"/>
      <c r="H39" s="187"/>
      <c r="I39" s="187"/>
      <c r="J39" s="187"/>
      <c r="K39" s="187"/>
      <c r="L39" s="187"/>
      <c r="M39" s="187"/>
      <c r="N39" s="187"/>
      <c r="O39" s="187"/>
      <c r="P39" s="187"/>
      <c r="Q39" s="187"/>
      <c r="R39" s="188"/>
      <c r="S39" s="188"/>
      <c r="T39" s="188"/>
      <c r="U39" s="188"/>
      <c r="V39" s="188"/>
      <c r="W39" s="188"/>
      <c r="X39" s="188"/>
      <c r="Y39" s="188"/>
      <c r="Z39" s="188"/>
      <c r="AA39" s="188"/>
      <c r="AB39" s="188"/>
      <c r="AC39" s="188"/>
      <c r="AD39" s="188"/>
      <c r="AE39" s="187"/>
      <c r="AF39" s="187"/>
      <c r="AG39" s="188"/>
      <c r="AH39" s="188"/>
      <c r="AI39" s="188"/>
      <c r="AJ39" s="188"/>
      <c r="AK39" s="188"/>
      <c r="AL39" s="188"/>
      <c r="AM39" s="188"/>
      <c r="AN39" s="187"/>
      <c r="AO39" s="187"/>
      <c r="AP39" s="188"/>
      <c r="AQ39" s="188"/>
      <c r="AR39" s="188"/>
      <c r="AS39" s="188"/>
      <c r="AT39" s="188"/>
      <c r="AU39" s="187"/>
      <c r="AV39" s="188"/>
      <c r="AW39" s="188"/>
      <c r="AX39" s="188"/>
      <c r="AY39" s="188"/>
      <c r="AZ39" s="188"/>
      <c r="BA39" s="188"/>
      <c r="BB39" s="188"/>
      <c r="BC39" s="188"/>
      <c r="BD39" s="188"/>
      <c r="BH39" s="5"/>
      <c r="BQ39" s="172"/>
      <c r="BR39" s="172"/>
      <c r="BS39" s="172"/>
      <c r="CE39" s="173">
        <v>44082</v>
      </c>
      <c r="CF39" s="174">
        <v>44301.552453703705</v>
      </c>
    </row>
    <row r="40" spans="1:84" ht="15" thickBot="1">
      <c r="A40" s="187" t="s">
        <v>1295</v>
      </c>
      <c r="B40" s="188"/>
      <c r="C40" s="187"/>
      <c r="D40" s="189"/>
      <c r="E40" s="187"/>
      <c r="F40" s="187"/>
      <c r="G40" s="187"/>
      <c r="H40" s="187"/>
      <c r="I40" s="187"/>
      <c r="J40" s="187"/>
      <c r="K40" s="187"/>
      <c r="L40" s="187"/>
      <c r="M40" s="187"/>
      <c r="N40" s="187"/>
      <c r="O40" s="187"/>
      <c r="P40" s="187"/>
      <c r="Q40" s="187"/>
      <c r="R40" s="188"/>
      <c r="S40" s="188"/>
      <c r="T40" s="188"/>
      <c r="U40" s="188"/>
      <c r="V40" s="188"/>
      <c r="W40" s="188"/>
      <c r="X40" s="188"/>
      <c r="Y40" s="188"/>
      <c r="Z40" s="188"/>
      <c r="AA40" s="188"/>
      <c r="AB40" s="188"/>
      <c r="AC40" s="188"/>
      <c r="AD40" s="188"/>
      <c r="AE40" s="187"/>
      <c r="AF40" s="187"/>
      <c r="AG40" s="188"/>
      <c r="AH40" s="188"/>
      <c r="AI40" s="188"/>
      <c r="AJ40" s="188"/>
      <c r="AK40" s="188"/>
      <c r="AL40" s="188"/>
      <c r="AM40" s="188"/>
      <c r="AN40" s="187"/>
      <c r="AO40" s="187"/>
      <c r="AP40" s="188"/>
      <c r="AQ40" s="188"/>
      <c r="AR40" s="188"/>
      <c r="AS40" s="188"/>
      <c r="AT40" s="188"/>
      <c r="AU40" s="187"/>
      <c r="AV40" s="188"/>
      <c r="AW40" s="188"/>
      <c r="AX40" s="188"/>
      <c r="AY40" s="188"/>
      <c r="AZ40" s="188"/>
      <c r="BA40" s="188"/>
      <c r="BB40" s="188"/>
      <c r="BC40" s="188"/>
      <c r="BD40" s="188"/>
      <c r="BH40" s="5"/>
      <c r="BQ40" s="188"/>
      <c r="BR40" s="188"/>
      <c r="BS40" s="188"/>
      <c r="CE40" s="173">
        <v>44082</v>
      </c>
      <c r="CF40" s="174">
        <v>44261</v>
      </c>
    </row>
    <row r="41" spans="1:84" ht="15" thickBot="1">
      <c r="A41" s="187" t="s">
        <v>1296</v>
      </c>
      <c r="B41" s="188"/>
      <c r="C41" s="187"/>
      <c r="D41" s="189"/>
      <c r="E41" s="187"/>
      <c r="F41" s="187"/>
      <c r="G41" s="187"/>
      <c r="H41" s="187"/>
      <c r="I41" s="187"/>
      <c r="J41" s="187"/>
      <c r="K41" s="187"/>
      <c r="L41" s="187"/>
      <c r="M41" s="187"/>
      <c r="N41" s="187"/>
      <c r="O41" s="187"/>
      <c r="P41" s="187"/>
      <c r="Q41" s="187"/>
      <c r="R41" s="188"/>
      <c r="S41" s="188"/>
      <c r="T41" s="188"/>
      <c r="U41" s="188"/>
      <c r="V41" s="188"/>
      <c r="W41" s="188"/>
      <c r="X41" s="188"/>
      <c r="Y41" s="188"/>
      <c r="Z41" s="188"/>
      <c r="AA41" s="188"/>
      <c r="AB41" s="188"/>
      <c r="AC41" s="188"/>
      <c r="AD41" s="188"/>
      <c r="AE41" s="187"/>
      <c r="AF41" s="187"/>
      <c r="AG41" s="188"/>
      <c r="AH41" s="188"/>
      <c r="AI41" s="188"/>
      <c r="AJ41" s="188"/>
      <c r="AK41" s="188"/>
      <c r="AL41" s="188"/>
      <c r="AM41" s="188"/>
      <c r="AN41" s="187"/>
      <c r="AO41" s="187"/>
      <c r="AP41" s="188"/>
      <c r="AQ41" s="188"/>
      <c r="AR41" s="188"/>
      <c r="AS41" s="188"/>
      <c r="AT41" s="188"/>
      <c r="AU41" s="187"/>
      <c r="AV41" s="188"/>
      <c r="AW41" s="188"/>
      <c r="AX41" s="188"/>
      <c r="AY41" s="188"/>
      <c r="AZ41" s="188"/>
      <c r="BA41" s="188"/>
      <c r="BB41" s="188"/>
      <c r="BC41" s="188"/>
      <c r="BD41" s="188"/>
      <c r="BH41" s="5"/>
      <c r="BQ41" s="188"/>
      <c r="BR41" s="188"/>
      <c r="BS41" s="188"/>
      <c r="CE41" s="173">
        <v>44082</v>
      </c>
      <c r="CF41" s="174">
        <v>44261</v>
      </c>
    </row>
    <row r="42" spans="1:84" ht="15" thickBot="1">
      <c r="A42" s="187" t="s">
        <v>1297</v>
      </c>
      <c r="B42" s="188"/>
      <c r="C42" s="187"/>
      <c r="D42" s="189"/>
      <c r="E42" s="187"/>
      <c r="F42" s="187"/>
      <c r="G42" s="187"/>
      <c r="H42" s="187"/>
      <c r="I42" s="187"/>
      <c r="J42" s="187"/>
      <c r="K42" s="187"/>
      <c r="L42" s="187"/>
      <c r="M42" s="187"/>
      <c r="N42" s="187"/>
      <c r="O42" s="187"/>
      <c r="P42" s="187"/>
      <c r="Q42" s="187"/>
      <c r="R42" s="188"/>
      <c r="S42" s="188"/>
      <c r="T42" s="188"/>
      <c r="U42" s="188"/>
      <c r="V42" s="188"/>
      <c r="W42" s="188"/>
      <c r="X42" s="188"/>
      <c r="Y42" s="188"/>
      <c r="Z42" s="188"/>
      <c r="AA42" s="188"/>
      <c r="AB42" s="188"/>
      <c r="AC42" s="188"/>
      <c r="AD42" s="188"/>
      <c r="AE42" s="187"/>
      <c r="AF42" s="187"/>
      <c r="AG42" s="188"/>
      <c r="AH42" s="188"/>
      <c r="AI42" s="188"/>
      <c r="AJ42" s="188"/>
      <c r="AK42" s="188"/>
      <c r="AL42" s="188"/>
      <c r="AM42" s="188"/>
      <c r="AN42" s="187"/>
      <c r="AO42" s="187"/>
      <c r="AP42" s="188"/>
      <c r="AQ42" s="188"/>
      <c r="AR42" s="188"/>
      <c r="AS42" s="188"/>
      <c r="AT42" s="188"/>
      <c r="AU42" s="187"/>
      <c r="AV42" s="188"/>
      <c r="AW42" s="188"/>
      <c r="AX42" s="188"/>
      <c r="AY42" s="188"/>
      <c r="AZ42" s="188"/>
      <c r="BA42" s="188"/>
      <c r="BB42" s="188"/>
      <c r="BC42" s="188"/>
      <c r="BD42" s="188"/>
      <c r="BH42" s="5"/>
      <c r="BQ42" s="188"/>
      <c r="BR42" s="188"/>
      <c r="BS42" s="188"/>
      <c r="CE42" s="173">
        <v>44082</v>
      </c>
      <c r="CF42" s="174">
        <v>44261</v>
      </c>
    </row>
    <row r="43" spans="1:84" ht="15" thickBot="1">
      <c r="A43" s="187" t="s">
        <v>1298</v>
      </c>
      <c r="B43" s="188"/>
      <c r="C43" s="187"/>
      <c r="D43" s="189"/>
      <c r="E43" s="187"/>
      <c r="F43" s="187"/>
      <c r="G43" s="187"/>
      <c r="H43" s="187"/>
      <c r="I43" s="187"/>
      <c r="J43" s="187"/>
      <c r="K43" s="187"/>
      <c r="L43" s="187"/>
      <c r="M43" s="187"/>
      <c r="N43" s="187"/>
      <c r="O43" s="187"/>
      <c r="P43" s="187"/>
      <c r="Q43" s="187"/>
      <c r="R43" s="188"/>
      <c r="S43" s="188"/>
      <c r="T43" s="188"/>
      <c r="U43" s="188"/>
      <c r="V43" s="188"/>
      <c r="W43" s="188"/>
      <c r="X43" s="188"/>
      <c r="Y43" s="188"/>
      <c r="Z43" s="188"/>
      <c r="AA43" s="188"/>
      <c r="AB43" s="188"/>
      <c r="AC43" s="188"/>
      <c r="AD43" s="188"/>
      <c r="AE43" s="187"/>
      <c r="AF43" s="187"/>
      <c r="AG43" s="188"/>
      <c r="AH43" s="188"/>
      <c r="AI43" s="188"/>
      <c r="AJ43" s="188"/>
      <c r="AK43" s="188"/>
      <c r="AL43" s="188"/>
      <c r="AM43" s="188"/>
      <c r="AN43" s="187"/>
      <c r="AO43" s="187"/>
      <c r="AP43" s="188"/>
      <c r="AQ43" s="188"/>
      <c r="AR43" s="188"/>
      <c r="AS43" s="188"/>
      <c r="AT43" s="188"/>
      <c r="AU43" s="187"/>
      <c r="AV43" s="188"/>
      <c r="AW43" s="188"/>
      <c r="AX43" s="188"/>
      <c r="AY43" s="188"/>
      <c r="AZ43" s="188"/>
      <c r="BA43" s="188"/>
      <c r="BB43" s="188"/>
      <c r="BC43" s="188"/>
      <c r="BD43" s="188"/>
      <c r="BH43" s="5"/>
      <c r="BQ43" s="188"/>
      <c r="BR43" s="188"/>
      <c r="BS43" s="188"/>
      <c r="CE43" s="178">
        <v>44082</v>
      </c>
      <c r="CF43" s="179">
        <v>44261</v>
      </c>
    </row>
    <row r="44" spans="1:84" ht="15" thickBot="1">
      <c r="A44" s="187" t="s">
        <v>1299</v>
      </c>
      <c r="B44" s="188"/>
      <c r="C44" s="187"/>
      <c r="D44" s="189"/>
      <c r="E44" s="187"/>
      <c r="F44" s="187"/>
      <c r="G44" s="187"/>
      <c r="H44" s="187"/>
      <c r="I44" s="187"/>
      <c r="J44" s="187"/>
      <c r="K44" s="187"/>
      <c r="L44" s="187"/>
      <c r="M44" s="187"/>
      <c r="N44" s="187"/>
      <c r="O44" s="187"/>
      <c r="P44" s="187"/>
      <c r="Q44" s="187"/>
      <c r="R44" s="188"/>
      <c r="S44" s="188"/>
      <c r="T44" s="188"/>
      <c r="U44" s="188"/>
      <c r="V44" s="188"/>
      <c r="W44" s="188"/>
      <c r="X44" s="188"/>
      <c r="Y44" s="188"/>
      <c r="Z44" s="188"/>
      <c r="AA44" s="188"/>
      <c r="AB44" s="188"/>
      <c r="AC44" s="188"/>
      <c r="AD44" s="188"/>
      <c r="AE44" s="187"/>
      <c r="AF44" s="187"/>
      <c r="AG44" s="188"/>
      <c r="AH44" s="188"/>
      <c r="AI44" s="188"/>
      <c r="AJ44" s="188"/>
      <c r="AK44" s="188"/>
      <c r="AL44" s="188"/>
      <c r="AM44" s="188"/>
      <c r="AN44" s="187"/>
      <c r="AO44" s="187"/>
      <c r="AP44" s="188"/>
      <c r="AQ44" s="188"/>
      <c r="AR44" s="188"/>
      <c r="AS44" s="188"/>
      <c r="AT44" s="188"/>
      <c r="AU44" s="187"/>
      <c r="AV44" s="188"/>
      <c r="AW44" s="188"/>
      <c r="AX44" s="188"/>
      <c r="AY44" s="188"/>
      <c r="AZ44" s="188"/>
      <c r="BA44" s="188"/>
      <c r="BB44" s="188"/>
      <c r="BC44" s="188"/>
      <c r="BD44" s="188"/>
      <c r="BH44" s="5"/>
      <c r="BQ44" s="188"/>
      <c r="BR44" s="188"/>
      <c r="BS44" s="188"/>
      <c r="CE44" s="173">
        <v>44082</v>
      </c>
      <c r="CF44" s="174">
        <v>44261</v>
      </c>
    </row>
    <row r="45" spans="1:84" ht="15" thickBot="1">
      <c r="A45" s="187" t="s">
        <v>1300</v>
      </c>
      <c r="B45" s="188"/>
      <c r="C45" s="187"/>
      <c r="D45" s="189"/>
      <c r="E45" s="187"/>
      <c r="F45" s="187"/>
      <c r="G45" s="187"/>
      <c r="H45" s="187"/>
      <c r="I45" s="187"/>
      <c r="J45" s="187"/>
      <c r="K45" s="187"/>
      <c r="L45" s="187"/>
      <c r="M45" s="187"/>
      <c r="N45" s="187"/>
      <c r="O45" s="187"/>
      <c r="P45" s="187"/>
      <c r="Q45" s="187"/>
      <c r="R45" s="188"/>
      <c r="S45" s="188"/>
      <c r="T45" s="188"/>
      <c r="U45" s="188"/>
      <c r="V45" s="188"/>
      <c r="W45" s="188"/>
      <c r="X45" s="188"/>
      <c r="Y45" s="188"/>
      <c r="Z45" s="188"/>
      <c r="AA45" s="188"/>
      <c r="AB45" s="188"/>
      <c r="AC45" s="188"/>
      <c r="AD45" s="188"/>
      <c r="AE45" s="187"/>
      <c r="AF45" s="187"/>
      <c r="AG45" s="188"/>
      <c r="AH45" s="188"/>
      <c r="AI45" s="188"/>
      <c r="AJ45" s="188"/>
      <c r="AK45" s="188"/>
      <c r="AL45" s="188"/>
      <c r="AM45" s="188"/>
      <c r="AN45" s="187"/>
      <c r="AO45" s="187"/>
      <c r="AP45" s="188"/>
      <c r="AQ45" s="188"/>
      <c r="AR45" s="188"/>
      <c r="AS45" s="188"/>
      <c r="AT45" s="188"/>
      <c r="AU45" s="187"/>
      <c r="AV45" s="188"/>
      <c r="AW45" s="188"/>
      <c r="AX45" s="188"/>
      <c r="AY45" s="188"/>
      <c r="AZ45" s="188"/>
      <c r="BA45" s="188"/>
      <c r="BB45" s="188"/>
      <c r="BC45" s="188"/>
      <c r="BD45" s="188"/>
      <c r="BH45" s="5"/>
      <c r="BQ45" s="188"/>
      <c r="BR45" s="188"/>
      <c r="BS45" s="188"/>
      <c r="CE45" s="178">
        <v>44082</v>
      </c>
      <c r="CF45" s="179">
        <v>44261</v>
      </c>
    </row>
    <row r="46" spans="1:84" ht="15" thickBot="1">
      <c r="A46" s="187" t="s">
        <v>1301</v>
      </c>
      <c r="B46" s="188"/>
      <c r="C46" s="187"/>
      <c r="D46" s="189"/>
      <c r="E46" s="187"/>
      <c r="F46" s="187"/>
      <c r="G46" s="187"/>
      <c r="H46" s="187"/>
      <c r="I46" s="187"/>
      <c r="J46" s="187"/>
      <c r="K46" s="187"/>
      <c r="L46" s="187"/>
      <c r="M46" s="187"/>
      <c r="N46" s="187"/>
      <c r="O46" s="187"/>
      <c r="P46" s="187"/>
      <c r="Q46" s="187"/>
      <c r="R46" s="188"/>
      <c r="S46" s="188"/>
      <c r="T46" s="188"/>
      <c r="U46" s="188"/>
      <c r="V46" s="188"/>
      <c r="W46" s="188"/>
      <c r="X46" s="188"/>
      <c r="Y46" s="188"/>
      <c r="Z46" s="188"/>
      <c r="AA46" s="188"/>
      <c r="AB46" s="188"/>
      <c r="AC46" s="188"/>
      <c r="AD46" s="188"/>
      <c r="AE46" s="187"/>
      <c r="AF46" s="187"/>
      <c r="AG46" s="188"/>
      <c r="AH46" s="188"/>
      <c r="AI46" s="188"/>
      <c r="AJ46" s="188"/>
      <c r="AK46" s="188"/>
      <c r="AL46" s="188"/>
      <c r="AM46" s="188"/>
      <c r="AN46" s="187"/>
      <c r="AO46" s="187"/>
      <c r="AP46" s="188"/>
      <c r="AQ46" s="188"/>
      <c r="AR46" s="188"/>
      <c r="AS46" s="188"/>
      <c r="AT46" s="188"/>
      <c r="AU46" s="187"/>
      <c r="AV46" s="188"/>
      <c r="AW46" s="188"/>
      <c r="AX46" s="188"/>
      <c r="AY46" s="188"/>
      <c r="AZ46" s="188"/>
      <c r="BA46" s="188"/>
      <c r="BB46" s="188"/>
      <c r="BC46" s="188"/>
      <c r="BD46" s="188"/>
      <c r="BH46" s="5"/>
      <c r="BQ46" s="188"/>
      <c r="BR46" s="188"/>
      <c r="BS46" s="188"/>
      <c r="CE46" s="173">
        <v>44082</v>
      </c>
      <c r="CF46" s="174">
        <v>44261</v>
      </c>
    </row>
    <row r="47" spans="1:84" ht="15" thickBot="1">
      <c r="A47" s="187" t="s">
        <v>1302</v>
      </c>
      <c r="B47" s="188"/>
      <c r="C47" s="187"/>
      <c r="D47" s="189"/>
      <c r="E47" s="187"/>
      <c r="F47" s="187"/>
      <c r="G47" s="187"/>
      <c r="H47" s="187"/>
      <c r="I47" s="187"/>
      <c r="J47" s="187"/>
      <c r="K47" s="187"/>
      <c r="L47" s="187"/>
      <c r="M47" s="187"/>
      <c r="N47" s="187"/>
      <c r="O47" s="187"/>
      <c r="P47" s="187"/>
      <c r="Q47" s="187"/>
      <c r="R47" s="188"/>
      <c r="S47" s="188"/>
      <c r="T47" s="188"/>
      <c r="U47" s="188"/>
      <c r="V47" s="188"/>
      <c r="W47" s="188"/>
      <c r="X47" s="188"/>
      <c r="Y47" s="188"/>
      <c r="Z47" s="188"/>
      <c r="AA47" s="188"/>
      <c r="AB47" s="188"/>
      <c r="AC47" s="188"/>
      <c r="AD47" s="188"/>
      <c r="AE47" s="187"/>
      <c r="AF47" s="187"/>
      <c r="AG47" s="188"/>
      <c r="AH47" s="188"/>
      <c r="AI47" s="188"/>
      <c r="AJ47" s="188"/>
      <c r="AK47" s="188"/>
      <c r="AL47" s="188"/>
      <c r="AM47" s="188"/>
      <c r="AN47" s="187"/>
      <c r="AO47" s="187"/>
      <c r="AP47" s="188"/>
      <c r="AQ47" s="188"/>
      <c r="AR47" s="188"/>
      <c r="AS47" s="188"/>
      <c r="AT47" s="188"/>
      <c r="AU47" s="187"/>
      <c r="AV47" s="188"/>
      <c r="AW47" s="188"/>
      <c r="AX47" s="188"/>
      <c r="AY47" s="188"/>
      <c r="AZ47" s="188"/>
      <c r="BA47" s="188"/>
      <c r="BB47" s="188"/>
      <c r="BC47" s="188"/>
      <c r="BD47" s="188"/>
      <c r="BH47" s="5"/>
      <c r="BQ47" s="188"/>
      <c r="BR47" s="188"/>
      <c r="BS47" s="188"/>
      <c r="CE47" s="173">
        <v>44082</v>
      </c>
      <c r="CF47" s="174">
        <v>44261</v>
      </c>
    </row>
    <row r="48" spans="1:84" ht="15" thickBot="1">
      <c r="A48" s="187" t="s">
        <v>1303</v>
      </c>
      <c r="B48" s="188"/>
      <c r="C48" s="187"/>
      <c r="D48" s="189"/>
      <c r="E48" s="187"/>
      <c r="F48" s="187"/>
      <c r="G48" s="187"/>
      <c r="H48" s="187"/>
      <c r="I48" s="187"/>
      <c r="J48" s="187"/>
      <c r="K48" s="187"/>
      <c r="L48" s="187"/>
      <c r="M48" s="187"/>
      <c r="N48" s="187"/>
      <c r="O48" s="187"/>
      <c r="P48" s="187"/>
      <c r="Q48" s="187"/>
      <c r="R48" s="188"/>
      <c r="S48" s="188"/>
      <c r="T48" s="188"/>
      <c r="U48" s="188"/>
      <c r="V48" s="188"/>
      <c r="W48" s="188"/>
      <c r="X48" s="188"/>
      <c r="Y48" s="188"/>
      <c r="Z48" s="188"/>
      <c r="AA48" s="188"/>
      <c r="AB48" s="188"/>
      <c r="AC48" s="188"/>
      <c r="AD48" s="188"/>
      <c r="AE48" s="187"/>
      <c r="AF48" s="187"/>
      <c r="AG48" s="188"/>
      <c r="AH48" s="188"/>
      <c r="AI48" s="188"/>
      <c r="AJ48" s="188"/>
      <c r="AK48" s="188"/>
      <c r="AL48" s="188"/>
      <c r="AM48" s="188"/>
      <c r="AN48" s="187"/>
      <c r="AO48" s="187"/>
      <c r="AP48" s="188"/>
      <c r="AQ48" s="188"/>
      <c r="AR48" s="188"/>
      <c r="AS48" s="188"/>
      <c r="AT48" s="188"/>
      <c r="AU48" s="187"/>
      <c r="AV48" s="188"/>
      <c r="AW48" s="188"/>
      <c r="AX48" s="188"/>
      <c r="AY48" s="188"/>
      <c r="AZ48" s="188"/>
      <c r="BA48" s="188"/>
      <c r="BB48" s="188"/>
      <c r="BC48" s="188"/>
      <c r="BD48" s="188"/>
      <c r="BH48" s="5"/>
      <c r="BQ48" s="188"/>
      <c r="BR48" s="188"/>
      <c r="BS48" s="188"/>
      <c r="CE48" s="173">
        <v>44082</v>
      </c>
      <c r="CF48" s="174">
        <v>44261</v>
      </c>
    </row>
    <row r="49" spans="1:84" ht="15" thickBot="1">
      <c r="A49" s="187" t="s">
        <v>1304</v>
      </c>
      <c r="B49" s="188"/>
      <c r="C49" s="187"/>
      <c r="D49" s="189"/>
      <c r="E49" s="187"/>
      <c r="F49" s="187"/>
      <c r="G49" s="187"/>
      <c r="H49" s="187"/>
      <c r="I49" s="187"/>
      <c r="J49" s="187"/>
      <c r="K49" s="187"/>
      <c r="L49" s="187"/>
      <c r="M49" s="187"/>
      <c r="N49" s="187"/>
      <c r="O49" s="187"/>
      <c r="P49" s="187"/>
      <c r="Q49" s="187"/>
      <c r="R49" s="188"/>
      <c r="S49" s="188"/>
      <c r="T49" s="188"/>
      <c r="U49" s="188"/>
      <c r="V49" s="188"/>
      <c r="W49" s="188"/>
      <c r="X49" s="188"/>
      <c r="Y49" s="188"/>
      <c r="Z49" s="188"/>
      <c r="AA49" s="188"/>
      <c r="AB49" s="188"/>
      <c r="AC49" s="188"/>
      <c r="AD49" s="188"/>
      <c r="AE49" s="187"/>
      <c r="AF49" s="187"/>
      <c r="AG49" s="188"/>
      <c r="AH49" s="188"/>
      <c r="AI49" s="188"/>
      <c r="AJ49" s="188"/>
      <c r="AK49" s="188"/>
      <c r="AL49" s="188"/>
      <c r="AM49" s="188"/>
      <c r="AN49" s="187"/>
      <c r="AO49" s="187"/>
      <c r="AP49" s="188"/>
      <c r="AQ49" s="188"/>
      <c r="AR49" s="188"/>
      <c r="AS49" s="188"/>
      <c r="AT49" s="188"/>
      <c r="AU49" s="187"/>
      <c r="AV49" s="188"/>
      <c r="AW49" s="188"/>
      <c r="AX49" s="188"/>
      <c r="AY49" s="188"/>
      <c r="AZ49" s="188"/>
      <c r="BA49" s="188"/>
      <c r="BB49" s="188"/>
      <c r="BC49" s="188"/>
      <c r="BD49" s="188"/>
      <c r="BH49" s="5"/>
      <c r="BQ49" s="188"/>
      <c r="BR49" s="188"/>
      <c r="BS49" s="188"/>
      <c r="CE49" s="178">
        <v>44082</v>
      </c>
      <c r="CF49" s="179">
        <v>44261</v>
      </c>
    </row>
    <row r="50" spans="1:84" ht="15" thickBot="1">
      <c r="A50" s="187" t="s">
        <v>1305</v>
      </c>
      <c r="B50" s="188"/>
      <c r="C50" s="187"/>
      <c r="D50" s="189"/>
      <c r="E50" s="187"/>
      <c r="F50" s="187"/>
      <c r="G50" s="187"/>
      <c r="H50" s="190"/>
      <c r="I50" s="187"/>
      <c r="J50" s="187"/>
      <c r="K50" s="187"/>
      <c r="L50" s="187"/>
      <c r="M50" s="187"/>
      <c r="N50" s="187"/>
      <c r="O50" s="187"/>
      <c r="P50" s="187"/>
      <c r="Q50" s="187"/>
      <c r="R50" s="188"/>
      <c r="S50" s="188"/>
      <c r="T50" s="188"/>
      <c r="U50" s="188"/>
      <c r="V50" s="188"/>
      <c r="W50" s="188"/>
      <c r="X50" s="188"/>
      <c r="Y50" s="188"/>
      <c r="Z50" s="188"/>
      <c r="AA50" s="188"/>
      <c r="AB50" s="188"/>
      <c r="AC50" s="188"/>
      <c r="AD50" s="188"/>
      <c r="AE50" s="187"/>
      <c r="AF50" s="187"/>
      <c r="AG50" s="188"/>
      <c r="AH50" s="188"/>
      <c r="AI50" s="188"/>
      <c r="AJ50" s="188"/>
      <c r="AK50" s="188"/>
      <c r="AL50" s="188"/>
      <c r="AM50" s="188"/>
      <c r="AN50" s="187"/>
      <c r="AO50" s="187"/>
      <c r="AP50" s="188"/>
      <c r="AQ50" s="188"/>
      <c r="AR50" s="188"/>
      <c r="AS50" s="188"/>
      <c r="AT50" s="188"/>
      <c r="AU50" s="187"/>
      <c r="AV50" s="188"/>
      <c r="AW50" s="188"/>
      <c r="AX50" s="188"/>
      <c r="AY50" s="188"/>
      <c r="AZ50" s="188"/>
      <c r="BA50" s="188"/>
      <c r="BB50" s="188"/>
      <c r="BC50" s="188"/>
      <c r="BD50" s="188"/>
      <c r="BH50" s="5"/>
      <c r="BQ50" s="172"/>
      <c r="BR50" s="172"/>
      <c r="BS50" s="172"/>
      <c r="CE50" s="173">
        <v>44082</v>
      </c>
      <c r="CF50" s="174">
        <v>44261</v>
      </c>
    </row>
    <row r="51" spans="1:84" ht="15" thickBot="1">
      <c r="A51" s="187" t="s">
        <v>1306</v>
      </c>
      <c r="B51" s="188"/>
      <c r="C51" s="187"/>
      <c r="D51" s="189"/>
      <c r="E51" s="187"/>
      <c r="F51" s="187"/>
      <c r="G51" s="187"/>
      <c r="H51" s="187"/>
      <c r="I51" s="187"/>
      <c r="J51" s="187"/>
      <c r="K51" s="187"/>
      <c r="L51" s="187"/>
      <c r="M51" s="187"/>
      <c r="N51" s="187"/>
      <c r="O51" s="187"/>
      <c r="P51" s="187"/>
      <c r="Q51" s="187"/>
      <c r="R51" s="188"/>
      <c r="S51" s="188"/>
      <c r="T51" s="188"/>
      <c r="U51" s="188"/>
      <c r="V51" s="188"/>
      <c r="W51" s="188"/>
      <c r="X51" s="188"/>
      <c r="Y51" s="188"/>
      <c r="Z51" s="188"/>
      <c r="AA51" s="188"/>
      <c r="AB51" s="188"/>
      <c r="AC51" s="188"/>
      <c r="AD51" s="188"/>
      <c r="AE51" s="187"/>
      <c r="AF51" s="187"/>
      <c r="AG51" s="188"/>
      <c r="AH51" s="188"/>
      <c r="AI51" s="188"/>
      <c r="AJ51" s="188"/>
      <c r="AK51" s="188"/>
      <c r="AL51" s="188"/>
      <c r="AM51" s="188"/>
      <c r="AN51" s="187"/>
      <c r="AO51" s="187"/>
      <c r="AP51" s="188"/>
      <c r="AQ51" s="188"/>
      <c r="AR51" s="188"/>
      <c r="AS51" s="188"/>
      <c r="AT51" s="188"/>
      <c r="AU51" s="187"/>
      <c r="AV51" s="188"/>
      <c r="AW51" s="188"/>
      <c r="AX51" s="188"/>
      <c r="AY51" s="188"/>
      <c r="AZ51" s="188"/>
      <c r="BA51" s="188"/>
      <c r="BB51" s="188"/>
      <c r="BC51" s="188"/>
      <c r="BD51" s="188"/>
      <c r="BH51" s="5"/>
      <c r="BQ51" s="196"/>
      <c r="BR51" s="196"/>
      <c r="BS51" s="196"/>
      <c r="CE51" s="173">
        <v>44082</v>
      </c>
      <c r="CF51" s="174">
        <v>44301.552731481483</v>
      </c>
    </row>
    <row r="52" spans="1:84" ht="15" thickBot="1">
      <c r="A52" s="187" t="s">
        <v>1307</v>
      </c>
      <c r="B52" s="188"/>
      <c r="C52" s="187"/>
      <c r="D52" s="189"/>
      <c r="E52" s="187"/>
      <c r="F52" s="187"/>
      <c r="G52" s="187"/>
      <c r="H52" s="187"/>
      <c r="I52" s="187"/>
      <c r="J52" s="187"/>
      <c r="K52" s="187"/>
      <c r="L52" s="187"/>
      <c r="M52" s="187"/>
      <c r="N52" s="187"/>
      <c r="O52" s="187"/>
      <c r="P52" s="187"/>
      <c r="Q52" s="187"/>
      <c r="R52" s="188"/>
      <c r="S52" s="188"/>
      <c r="T52" s="188"/>
      <c r="U52" s="188"/>
      <c r="V52" s="188"/>
      <c r="W52" s="188"/>
      <c r="X52" s="188"/>
      <c r="Y52" s="188"/>
      <c r="Z52" s="188"/>
      <c r="AA52" s="188"/>
      <c r="AB52" s="188"/>
      <c r="AC52" s="188"/>
      <c r="AD52" s="188"/>
      <c r="AE52" s="187"/>
      <c r="AF52" s="187"/>
      <c r="AG52" s="188"/>
      <c r="AH52" s="188"/>
      <c r="AI52" s="188"/>
      <c r="AJ52" s="188"/>
      <c r="AK52" s="188"/>
      <c r="AL52" s="188"/>
      <c r="AM52" s="188"/>
      <c r="AN52" s="187"/>
      <c r="AO52" s="187"/>
      <c r="AP52" s="188"/>
      <c r="AQ52" s="188"/>
      <c r="AR52" s="188"/>
      <c r="AS52" s="188"/>
      <c r="AT52" s="188"/>
      <c r="AU52" s="187"/>
      <c r="AV52" s="188"/>
      <c r="AW52" s="188"/>
      <c r="AX52" s="188"/>
      <c r="AY52" s="188"/>
      <c r="AZ52" s="188"/>
      <c r="BA52" s="188"/>
      <c r="BB52" s="188"/>
      <c r="BC52" s="188"/>
      <c r="BD52" s="188"/>
      <c r="BH52" s="5"/>
      <c r="BQ52" s="172"/>
      <c r="BR52" s="172"/>
      <c r="BS52" s="172"/>
      <c r="CE52" s="173">
        <v>44082</v>
      </c>
      <c r="CF52" s="174">
        <v>44261</v>
      </c>
    </row>
    <row r="53" spans="1:84" ht="15" thickBot="1">
      <c r="A53" s="187" t="s">
        <v>1308</v>
      </c>
      <c r="B53" s="188"/>
      <c r="C53" s="187"/>
      <c r="D53" s="189"/>
      <c r="E53" s="187"/>
      <c r="F53" s="187"/>
      <c r="G53" s="187"/>
      <c r="H53" s="187"/>
      <c r="I53" s="187"/>
      <c r="J53" s="187"/>
      <c r="K53" s="187"/>
      <c r="L53" s="187"/>
      <c r="M53" s="187"/>
      <c r="N53" s="187"/>
      <c r="O53" s="187"/>
      <c r="P53" s="187"/>
      <c r="Q53" s="187"/>
      <c r="R53" s="188"/>
      <c r="S53" s="188"/>
      <c r="T53" s="188"/>
      <c r="U53" s="188"/>
      <c r="V53" s="188"/>
      <c r="W53" s="188"/>
      <c r="X53" s="188"/>
      <c r="Y53" s="188"/>
      <c r="Z53" s="188"/>
      <c r="AA53" s="188"/>
      <c r="AB53" s="188"/>
      <c r="AC53" s="188"/>
      <c r="AD53" s="188"/>
      <c r="AE53" s="187"/>
      <c r="AF53" s="187"/>
      <c r="AG53" s="188"/>
      <c r="AH53" s="188"/>
      <c r="AI53" s="188"/>
      <c r="AJ53" s="188"/>
      <c r="AK53" s="188"/>
      <c r="AL53" s="188"/>
      <c r="AM53" s="188"/>
      <c r="AN53" s="187"/>
      <c r="AO53" s="187"/>
      <c r="AP53" s="188"/>
      <c r="AQ53" s="188"/>
      <c r="AR53" s="188"/>
      <c r="AS53" s="188"/>
      <c r="AT53" s="188"/>
      <c r="AU53" s="187"/>
      <c r="AV53" s="187"/>
      <c r="AW53" s="188"/>
      <c r="AX53" s="188"/>
      <c r="AY53" s="188"/>
      <c r="AZ53" s="188"/>
      <c r="BA53" s="188"/>
      <c r="BB53" s="188"/>
      <c r="BC53" s="188"/>
      <c r="BD53" s="188"/>
      <c r="BE53" s="171">
        <v>1</v>
      </c>
      <c r="BH53" s="5"/>
      <c r="BQ53" s="172"/>
      <c r="BR53" s="172"/>
      <c r="BS53" s="172"/>
      <c r="CE53" s="173"/>
    </row>
    <row r="54" spans="1:84" ht="15" thickBot="1">
      <c r="A54" s="187" t="s">
        <v>1309</v>
      </c>
      <c r="B54" s="188"/>
      <c r="C54" s="187"/>
      <c r="D54" s="189"/>
      <c r="E54" s="187"/>
      <c r="F54" s="187"/>
      <c r="G54" s="187"/>
      <c r="H54" s="187"/>
      <c r="I54" s="187"/>
      <c r="J54" s="187"/>
      <c r="K54" s="187"/>
      <c r="L54" s="187"/>
      <c r="M54" s="187"/>
      <c r="N54" s="187"/>
      <c r="O54" s="187"/>
      <c r="P54" s="187"/>
      <c r="Q54" s="187"/>
      <c r="R54" s="188"/>
      <c r="S54" s="188"/>
      <c r="T54" s="188"/>
      <c r="U54" s="188"/>
      <c r="V54" s="188"/>
      <c r="W54" s="188"/>
      <c r="X54" s="188"/>
      <c r="Y54" s="188"/>
      <c r="Z54" s="188"/>
      <c r="AA54" s="188"/>
      <c r="AB54" s="188"/>
      <c r="AC54" s="188"/>
      <c r="AD54" s="188"/>
      <c r="AE54" s="187"/>
      <c r="AF54" s="187"/>
      <c r="AG54" s="188"/>
      <c r="AH54" s="188"/>
      <c r="AI54" s="188"/>
      <c r="AJ54" s="188"/>
      <c r="AK54" s="188"/>
      <c r="AL54" s="188"/>
      <c r="AM54" s="188"/>
      <c r="AN54" s="187"/>
      <c r="AO54" s="187"/>
      <c r="AP54" s="188"/>
      <c r="AQ54" s="188"/>
      <c r="AR54" s="188"/>
      <c r="AS54" s="188"/>
      <c r="AT54" s="188"/>
      <c r="AU54" s="187"/>
      <c r="AV54" s="188"/>
      <c r="AW54" s="188"/>
      <c r="AX54" s="188"/>
      <c r="AY54" s="188"/>
      <c r="AZ54" s="188"/>
      <c r="BA54" s="188"/>
      <c r="BB54" s="188"/>
      <c r="BC54" s="188"/>
      <c r="BD54" s="188"/>
      <c r="BH54" s="5"/>
      <c r="BQ54" s="172"/>
      <c r="BR54" s="172"/>
      <c r="BS54" s="172"/>
      <c r="CE54" s="173">
        <v>44082</v>
      </c>
      <c r="CF54" s="174">
        <v>44261</v>
      </c>
    </row>
    <row r="55" spans="1:84" ht="15" thickBot="1">
      <c r="A55" s="187" t="s">
        <v>1310</v>
      </c>
      <c r="B55" s="188"/>
      <c r="C55" s="187"/>
      <c r="D55" s="189"/>
      <c r="E55" s="187"/>
      <c r="F55" s="187"/>
      <c r="G55" s="187"/>
      <c r="H55" s="187"/>
      <c r="I55" s="187"/>
      <c r="J55" s="187"/>
      <c r="K55" s="187"/>
      <c r="L55" s="187"/>
      <c r="M55" s="187"/>
      <c r="N55" s="187"/>
      <c r="O55" s="187"/>
      <c r="P55" s="187"/>
      <c r="Q55" s="187"/>
      <c r="R55" s="188"/>
      <c r="S55" s="188"/>
      <c r="T55" s="188"/>
      <c r="U55" s="188"/>
      <c r="V55" s="188"/>
      <c r="W55" s="188"/>
      <c r="X55" s="188"/>
      <c r="Y55" s="188"/>
      <c r="Z55" s="188"/>
      <c r="AA55" s="188"/>
      <c r="AB55" s="188"/>
      <c r="AC55" s="188"/>
      <c r="AD55" s="188"/>
      <c r="AE55" s="187"/>
      <c r="AF55" s="187"/>
      <c r="AG55" s="188"/>
      <c r="AH55" s="188"/>
      <c r="AI55" s="188"/>
      <c r="AJ55" s="188"/>
      <c r="AK55" s="188"/>
      <c r="AL55" s="188"/>
      <c r="AM55" s="188"/>
      <c r="AN55" s="187"/>
      <c r="AO55" s="187"/>
      <c r="AP55" s="188"/>
      <c r="AQ55" s="188"/>
      <c r="AR55" s="188"/>
      <c r="AS55" s="188"/>
      <c r="AT55" s="188"/>
      <c r="AU55" s="187"/>
      <c r="AV55" s="188"/>
      <c r="AW55" s="188"/>
      <c r="AX55" s="188"/>
      <c r="AY55" s="188"/>
      <c r="AZ55" s="188"/>
      <c r="BA55" s="188"/>
      <c r="BB55" s="188"/>
      <c r="BC55" s="188"/>
      <c r="BD55" s="188"/>
      <c r="BH55" s="5"/>
      <c r="BQ55" s="172"/>
      <c r="BR55" s="172"/>
      <c r="BS55" s="172"/>
      <c r="CE55" s="173">
        <v>44082</v>
      </c>
      <c r="CF55" s="174">
        <v>44261</v>
      </c>
    </row>
    <row r="56" spans="1:84" ht="15" thickBot="1">
      <c r="A56" s="187" t="s">
        <v>1311</v>
      </c>
      <c r="B56" s="188"/>
      <c r="C56" s="187"/>
      <c r="D56" s="189"/>
      <c r="E56" s="187"/>
      <c r="F56" s="187"/>
      <c r="G56" s="187"/>
      <c r="H56" s="187"/>
      <c r="I56" s="187"/>
      <c r="J56" s="187"/>
      <c r="K56" s="187"/>
      <c r="L56" s="187"/>
      <c r="M56" s="187"/>
      <c r="N56" s="187"/>
      <c r="O56" s="187"/>
      <c r="P56" s="187"/>
      <c r="Q56" s="187"/>
      <c r="R56" s="188"/>
      <c r="S56" s="188"/>
      <c r="T56" s="188"/>
      <c r="U56" s="188"/>
      <c r="V56" s="188"/>
      <c r="W56" s="188"/>
      <c r="X56" s="188"/>
      <c r="Y56" s="188"/>
      <c r="Z56" s="188"/>
      <c r="AA56" s="188"/>
      <c r="AB56" s="188"/>
      <c r="AC56" s="188"/>
      <c r="AD56" s="188"/>
      <c r="AE56" s="187"/>
      <c r="AF56" s="187"/>
      <c r="AG56" s="188"/>
      <c r="AH56" s="188"/>
      <c r="AI56" s="188"/>
      <c r="AJ56" s="188"/>
      <c r="AK56" s="188"/>
      <c r="AL56" s="188"/>
      <c r="AM56" s="188"/>
      <c r="AN56" s="187"/>
      <c r="AO56" s="187"/>
      <c r="AP56" s="188"/>
      <c r="AQ56" s="188"/>
      <c r="AR56" s="188"/>
      <c r="AS56" s="188"/>
      <c r="AT56" s="188"/>
      <c r="AU56" s="187"/>
      <c r="AV56" s="187"/>
      <c r="AW56" s="188"/>
      <c r="AX56" s="188"/>
      <c r="AY56" s="188"/>
      <c r="AZ56" s="188"/>
      <c r="BA56" s="188"/>
      <c r="BB56" s="188"/>
      <c r="BC56" s="188"/>
      <c r="BD56" s="188"/>
      <c r="BH56" s="5"/>
      <c r="BQ56" s="197"/>
      <c r="BR56" s="197"/>
      <c r="BS56" s="197"/>
      <c r="CE56" s="178">
        <v>44082</v>
      </c>
      <c r="CF56" s="179">
        <v>44261</v>
      </c>
    </row>
    <row r="57" spans="1:84" ht="15" thickBot="1">
      <c r="A57" s="187" t="s">
        <v>1312</v>
      </c>
      <c r="B57" s="188"/>
      <c r="C57" s="187"/>
      <c r="D57" s="189"/>
      <c r="E57" s="187"/>
      <c r="F57" s="187"/>
      <c r="G57" s="187"/>
      <c r="H57" s="187"/>
      <c r="I57" s="187"/>
      <c r="J57" s="187"/>
      <c r="K57" s="187"/>
      <c r="L57" s="187"/>
      <c r="M57" s="187"/>
      <c r="N57" s="187"/>
      <c r="O57" s="187"/>
      <c r="P57" s="187"/>
      <c r="Q57" s="187"/>
      <c r="R57" s="188"/>
      <c r="S57" s="188"/>
      <c r="T57" s="188"/>
      <c r="U57" s="188"/>
      <c r="V57" s="188"/>
      <c r="W57" s="188"/>
      <c r="X57" s="188"/>
      <c r="Y57" s="188"/>
      <c r="Z57" s="188"/>
      <c r="AA57" s="188"/>
      <c r="AB57" s="188"/>
      <c r="AC57" s="188"/>
      <c r="AD57" s="188"/>
      <c r="AE57" s="187"/>
      <c r="AF57" s="187"/>
      <c r="AG57" s="188"/>
      <c r="AH57" s="188"/>
      <c r="AI57" s="188"/>
      <c r="AJ57" s="188"/>
      <c r="AK57" s="188"/>
      <c r="AL57" s="188"/>
      <c r="AM57" s="188"/>
      <c r="AN57" s="187"/>
      <c r="AO57" s="187"/>
      <c r="AP57" s="188"/>
      <c r="AQ57" s="188"/>
      <c r="AR57" s="188"/>
      <c r="AS57" s="188"/>
      <c r="AT57" s="188"/>
      <c r="AU57" s="187"/>
      <c r="AV57" s="188"/>
      <c r="AW57" s="188"/>
      <c r="AX57" s="188"/>
      <c r="AY57" s="188"/>
      <c r="AZ57" s="188"/>
      <c r="BA57" s="188"/>
      <c r="BB57" s="188"/>
      <c r="BC57" s="188"/>
      <c r="BD57" s="188"/>
      <c r="BH57" s="5"/>
      <c r="BQ57" s="172"/>
      <c r="BR57" s="172"/>
      <c r="BS57" s="172"/>
      <c r="CE57" s="173">
        <v>44082</v>
      </c>
      <c r="CF57" s="174">
        <v>44261</v>
      </c>
    </row>
    <row r="58" spans="1:84" ht="15" thickBot="1">
      <c r="A58" s="187" t="s">
        <v>1281</v>
      </c>
      <c r="B58" s="188"/>
      <c r="C58" s="187"/>
      <c r="D58" s="189"/>
      <c r="E58" s="187"/>
      <c r="F58" s="187"/>
      <c r="G58" s="187"/>
      <c r="H58" s="187"/>
      <c r="I58" s="187"/>
      <c r="J58" s="187"/>
      <c r="K58" s="187"/>
      <c r="L58" s="187"/>
      <c r="M58" s="187"/>
      <c r="N58" s="187"/>
      <c r="O58" s="187"/>
      <c r="P58" s="187"/>
      <c r="Q58" s="187"/>
      <c r="R58" s="188"/>
      <c r="S58" s="188"/>
      <c r="T58" s="188"/>
      <c r="U58" s="188"/>
      <c r="V58" s="188"/>
      <c r="W58" s="188"/>
      <c r="X58" s="188"/>
      <c r="Y58" s="188"/>
      <c r="Z58" s="188"/>
      <c r="AA58" s="188"/>
      <c r="AB58" s="188"/>
      <c r="AC58" s="188"/>
      <c r="AD58" s="188"/>
      <c r="AE58" s="187"/>
      <c r="AF58" s="187"/>
      <c r="AG58" s="188"/>
      <c r="AH58" s="188"/>
      <c r="AI58" s="188"/>
      <c r="AJ58" s="188"/>
      <c r="AK58" s="188"/>
      <c r="AL58" s="188"/>
      <c r="AM58" s="188"/>
      <c r="AN58" s="187"/>
      <c r="AO58" s="187"/>
      <c r="AP58" s="188"/>
      <c r="AQ58" s="188"/>
      <c r="AR58" s="188"/>
      <c r="AS58" s="188"/>
      <c r="AT58" s="188"/>
      <c r="AU58" s="187"/>
      <c r="AV58" s="188"/>
      <c r="AW58" s="188"/>
      <c r="AX58" s="188"/>
      <c r="AY58" s="188"/>
      <c r="AZ58" s="188"/>
      <c r="BA58" s="188"/>
      <c r="BB58" s="188"/>
      <c r="BC58" s="188"/>
      <c r="BD58" s="188"/>
      <c r="BH58" s="5"/>
      <c r="BQ58" s="172"/>
      <c r="BR58" s="172"/>
      <c r="BS58" s="172"/>
      <c r="CE58" s="173">
        <v>44082</v>
      </c>
      <c r="CF58" s="174">
        <v>44261</v>
      </c>
    </row>
    <row r="59" spans="1:84" ht="15" thickBot="1">
      <c r="A59" s="187" t="s">
        <v>1313</v>
      </c>
      <c r="B59" s="188"/>
      <c r="C59" s="187"/>
      <c r="D59" s="189"/>
      <c r="E59" s="187"/>
      <c r="F59" s="187"/>
      <c r="G59" s="187"/>
      <c r="H59" s="187"/>
      <c r="I59" s="187"/>
      <c r="J59" s="187"/>
      <c r="K59" s="187"/>
      <c r="L59" s="187"/>
      <c r="M59" s="187"/>
      <c r="N59" s="187"/>
      <c r="O59" s="187"/>
      <c r="P59" s="187"/>
      <c r="Q59" s="187"/>
      <c r="R59" s="188"/>
      <c r="S59" s="188"/>
      <c r="T59" s="188"/>
      <c r="U59" s="188"/>
      <c r="V59" s="188"/>
      <c r="W59" s="188"/>
      <c r="X59" s="188"/>
      <c r="Y59" s="188"/>
      <c r="Z59" s="188"/>
      <c r="AA59" s="188"/>
      <c r="AB59" s="188"/>
      <c r="AC59" s="188"/>
      <c r="AD59" s="188"/>
      <c r="AE59" s="187"/>
      <c r="AF59" s="187"/>
      <c r="AG59" s="188"/>
      <c r="AH59" s="188"/>
      <c r="AI59" s="188"/>
      <c r="AJ59" s="188"/>
      <c r="AK59" s="188"/>
      <c r="AL59" s="188"/>
      <c r="AM59" s="188"/>
      <c r="AN59" s="187"/>
      <c r="AO59" s="187"/>
      <c r="AP59" s="188"/>
      <c r="AQ59" s="188"/>
      <c r="AR59" s="188"/>
      <c r="AS59" s="188"/>
      <c r="AT59" s="188"/>
      <c r="AU59" s="187"/>
      <c r="AV59" s="188"/>
      <c r="AW59" s="188"/>
      <c r="AX59" s="188"/>
      <c r="AY59" s="188"/>
      <c r="AZ59" s="188"/>
      <c r="BA59" s="188"/>
      <c r="BB59" s="188"/>
      <c r="BC59" s="188"/>
      <c r="BD59" s="188"/>
      <c r="BF59" s="198" t="s">
        <v>1314</v>
      </c>
      <c r="BH59" s="5"/>
      <c r="BQ59" s="172"/>
      <c r="BR59" s="172"/>
      <c r="BS59" s="172"/>
      <c r="CE59" s="178">
        <v>44082</v>
      </c>
      <c r="CF59" s="179">
        <v>44261</v>
      </c>
    </row>
    <row r="60" spans="1:84" ht="15" thickBot="1">
      <c r="A60" s="199" t="s">
        <v>1315</v>
      </c>
      <c r="B60" s="188"/>
      <c r="C60" s="187"/>
      <c r="D60" s="189"/>
      <c r="E60" s="187"/>
      <c r="F60" s="187"/>
      <c r="G60" s="187"/>
      <c r="H60" s="187"/>
      <c r="I60" s="187"/>
      <c r="J60" s="187"/>
      <c r="K60" s="187"/>
      <c r="L60" s="187"/>
      <c r="M60" s="187"/>
      <c r="N60" s="187"/>
      <c r="O60" s="187"/>
      <c r="P60" s="187"/>
      <c r="Q60" s="187"/>
      <c r="R60" s="188"/>
      <c r="S60" s="188"/>
      <c r="T60" s="188"/>
      <c r="U60" s="188"/>
      <c r="V60" s="188"/>
      <c r="W60" s="188"/>
      <c r="X60" s="188"/>
      <c r="Y60" s="188"/>
      <c r="Z60" s="188"/>
      <c r="AA60" s="188"/>
      <c r="AB60" s="188"/>
      <c r="AC60" s="188"/>
      <c r="AD60" s="188"/>
      <c r="AE60" s="187"/>
      <c r="AF60" s="187"/>
      <c r="AG60" s="188"/>
      <c r="AH60" s="188"/>
      <c r="AI60" s="188"/>
      <c r="AJ60" s="188"/>
      <c r="AK60" s="188"/>
      <c r="AL60" s="188"/>
      <c r="AM60" s="188"/>
      <c r="AN60" s="187"/>
      <c r="AO60" s="187"/>
      <c r="AP60" s="188"/>
      <c r="AQ60" s="188"/>
      <c r="AR60" s="188"/>
      <c r="AS60" s="188"/>
      <c r="AT60" s="188"/>
      <c r="AU60" s="187"/>
      <c r="AV60" s="188"/>
      <c r="AW60" s="188"/>
      <c r="AX60" s="188"/>
      <c r="AY60" s="188"/>
      <c r="AZ60" s="188"/>
      <c r="BA60" s="188"/>
      <c r="BB60" s="188"/>
      <c r="BC60" s="188"/>
      <c r="BD60" s="188"/>
      <c r="BH60" s="5"/>
      <c r="BQ60" s="172"/>
      <c r="BR60" s="172"/>
      <c r="BS60" s="172"/>
      <c r="CE60" s="173">
        <v>44082</v>
      </c>
      <c r="CF60" s="174">
        <v>44261</v>
      </c>
    </row>
    <row r="61" spans="1:84" ht="17.25" thickBot="1">
      <c r="A61" s="187" t="s">
        <v>1316</v>
      </c>
      <c r="B61" s="188"/>
      <c r="C61" s="187"/>
      <c r="D61" s="189"/>
      <c r="E61" s="187"/>
      <c r="F61" s="187"/>
      <c r="G61" s="187"/>
      <c r="H61" s="187"/>
      <c r="I61" s="187"/>
      <c r="J61" s="187"/>
      <c r="K61" s="187"/>
      <c r="L61" s="187"/>
      <c r="M61" s="187"/>
      <c r="N61" s="187"/>
      <c r="O61" s="187"/>
      <c r="P61" s="187"/>
      <c r="Q61" s="187"/>
      <c r="R61" s="188"/>
      <c r="S61" s="188"/>
      <c r="T61" s="188"/>
      <c r="U61" s="188"/>
      <c r="V61" s="188"/>
      <c r="W61" s="188"/>
      <c r="X61" s="188"/>
      <c r="Y61" s="188"/>
      <c r="Z61" s="188"/>
      <c r="AA61" s="188"/>
      <c r="AB61" s="188"/>
      <c r="AC61" s="188"/>
      <c r="AD61" s="188"/>
      <c r="AE61" s="187"/>
      <c r="AF61" s="187"/>
      <c r="AG61" s="188"/>
      <c r="AH61" s="188"/>
      <c r="AI61" s="188"/>
      <c r="AJ61" s="188"/>
      <c r="AK61" s="188"/>
      <c r="AL61" s="188"/>
      <c r="AM61" s="188"/>
      <c r="AN61" s="187"/>
      <c r="AO61" s="187"/>
      <c r="AP61" s="188"/>
      <c r="AQ61" s="188"/>
      <c r="AR61" s="188"/>
      <c r="AS61" s="188"/>
      <c r="AT61" s="188"/>
      <c r="AU61" s="187"/>
      <c r="AV61" s="188"/>
      <c r="AW61" s="188"/>
      <c r="AX61" s="188"/>
      <c r="AY61" s="188"/>
      <c r="AZ61" s="188"/>
      <c r="BA61" s="188"/>
      <c r="BB61" s="188"/>
      <c r="BC61" s="188"/>
      <c r="BD61" s="188"/>
      <c r="BH61" s="5"/>
      <c r="BQ61" s="193"/>
      <c r="BR61" s="193"/>
      <c r="BS61" s="193"/>
      <c r="CE61" s="173">
        <v>44082</v>
      </c>
      <c r="CF61" s="174">
        <v>44301.552800925929</v>
      </c>
    </row>
    <row r="62" spans="1:84" ht="15" thickBot="1">
      <c r="A62" s="187" t="s">
        <v>1317</v>
      </c>
      <c r="B62" s="188"/>
      <c r="C62" s="187"/>
      <c r="D62" s="189"/>
      <c r="E62" s="187"/>
      <c r="F62" s="187"/>
      <c r="G62" s="187"/>
      <c r="H62" s="187"/>
      <c r="I62" s="187"/>
      <c r="J62" s="187"/>
      <c r="K62" s="187"/>
      <c r="L62" s="187"/>
      <c r="M62" s="187"/>
      <c r="N62" s="187"/>
      <c r="O62" s="187"/>
      <c r="P62" s="187"/>
      <c r="Q62" s="187"/>
      <c r="R62" s="188"/>
      <c r="S62" s="188"/>
      <c r="T62" s="188"/>
      <c r="U62" s="188"/>
      <c r="V62" s="188"/>
      <c r="W62" s="188"/>
      <c r="X62" s="188"/>
      <c r="Y62" s="188"/>
      <c r="Z62" s="188"/>
      <c r="AA62" s="188"/>
      <c r="AB62" s="188"/>
      <c r="AC62" s="188"/>
      <c r="AD62" s="188"/>
      <c r="AE62" s="187"/>
      <c r="AF62" s="187"/>
      <c r="AG62" s="188"/>
      <c r="AH62" s="188"/>
      <c r="AI62" s="188"/>
      <c r="AJ62" s="188"/>
      <c r="AK62" s="188"/>
      <c r="AL62" s="188"/>
      <c r="AM62" s="188"/>
      <c r="AN62" s="187"/>
      <c r="AO62" s="187"/>
      <c r="AP62" s="188"/>
      <c r="AQ62" s="188"/>
      <c r="AR62" s="188"/>
      <c r="AS62" s="188"/>
      <c r="AT62" s="188"/>
      <c r="AU62" s="187"/>
      <c r="AV62" s="188"/>
      <c r="AW62" s="188"/>
      <c r="AX62" s="188"/>
      <c r="AY62" s="188"/>
      <c r="AZ62" s="188"/>
      <c r="BA62" s="188"/>
      <c r="BB62" s="188"/>
      <c r="BC62" s="188"/>
      <c r="BD62" s="188"/>
      <c r="BH62" s="5"/>
      <c r="BQ62" s="188"/>
      <c r="BR62" s="188"/>
      <c r="BS62" s="188"/>
      <c r="CE62" s="178">
        <v>44082</v>
      </c>
      <c r="CF62" s="179">
        <v>44261</v>
      </c>
    </row>
    <row r="63" spans="1:84" ht="15" thickBot="1">
      <c r="A63" s="187" t="s">
        <v>1318</v>
      </c>
      <c r="B63" s="188"/>
      <c r="C63" s="187"/>
      <c r="D63" s="189"/>
      <c r="E63" s="187"/>
      <c r="F63" s="187"/>
      <c r="G63" s="187"/>
      <c r="H63" s="187"/>
      <c r="I63" s="187"/>
      <c r="J63" s="187"/>
      <c r="K63" s="187"/>
      <c r="L63" s="187"/>
      <c r="M63" s="187"/>
      <c r="N63" s="187"/>
      <c r="O63" s="187"/>
      <c r="P63" s="187"/>
      <c r="Q63" s="187"/>
      <c r="R63" s="188"/>
      <c r="S63" s="188"/>
      <c r="T63" s="188"/>
      <c r="U63" s="188"/>
      <c r="V63" s="188"/>
      <c r="W63" s="188"/>
      <c r="X63" s="188"/>
      <c r="Y63" s="188"/>
      <c r="Z63" s="188"/>
      <c r="AA63" s="188"/>
      <c r="AB63" s="188"/>
      <c r="AC63" s="188"/>
      <c r="AD63" s="188"/>
      <c r="AE63" s="187"/>
      <c r="AF63" s="187"/>
      <c r="AG63" s="188"/>
      <c r="AH63" s="188"/>
      <c r="AI63" s="188"/>
      <c r="AJ63" s="188"/>
      <c r="AK63" s="188"/>
      <c r="AL63" s="188"/>
      <c r="AM63" s="188"/>
      <c r="AN63" s="187"/>
      <c r="AO63" s="187"/>
      <c r="AP63" s="188"/>
      <c r="AQ63" s="188"/>
      <c r="AR63" s="188"/>
      <c r="AS63" s="188"/>
      <c r="AT63" s="188"/>
      <c r="AU63" s="187"/>
      <c r="AV63" s="188"/>
      <c r="AW63" s="188"/>
      <c r="AX63" s="188"/>
      <c r="AY63" s="188"/>
      <c r="AZ63" s="188"/>
      <c r="BA63" s="188"/>
      <c r="BB63" s="188"/>
      <c r="BC63" s="188"/>
      <c r="BD63" s="188"/>
      <c r="BH63" s="5"/>
      <c r="CE63" s="173">
        <v>44082</v>
      </c>
      <c r="CF63" s="174">
        <v>44301.552916666667</v>
      </c>
    </row>
    <row r="64" spans="1:84" ht="15" thickBot="1">
      <c r="A64" s="187" t="s">
        <v>1319</v>
      </c>
      <c r="B64" s="188"/>
      <c r="C64" s="187"/>
      <c r="D64" s="189"/>
      <c r="E64" s="187"/>
      <c r="F64" s="187"/>
      <c r="G64" s="187"/>
      <c r="H64" s="187"/>
      <c r="I64" s="187"/>
      <c r="J64" s="187"/>
      <c r="K64" s="187"/>
      <c r="L64" s="187"/>
      <c r="M64" s="187"/>
      <c r="N64" s="187"/>
      <c r="O64" s="187"/>
      <c r="P64" s="187"/>
      <c r="Q64" s="187"/>
      <c r="R64" s="188"/>
      <c r="S64" s="188"/>
      <c r="T64" s="188"/>
      <c r="U64" s="188"/>
      <c r="V64" s="188"/>
      <c r="W64" s="188"/>
      <c r="X64" s="188"/>
      <c r="Y64" s="188"/>
      <c r="Z64" s="188"/>
      <c r="AA64" s="188"/>
      <c r="AB64" s="188"/>
      <c r="AC64" s="188"/>
      <c r="AD64" s="188"/>
      <c r="AE64" s="187"/>
      <c r="AF64" s="187"/>
      <c r="AG64" s="188"/>
      <c r="AH64" s="188"/>
      <c r="AI64" s="188"/>
      <c r="AJ64" s="188"/>
      <c r="AK64" s="188"/>
      <c r="AL64" s="188"/>
      <c r="AM64" s="188"/>
      <c r="AN64" s="187"/>
      <c r="AO64" s="187"/>
      <c r="AP64" s="188"/>
      <c r="AQ64" s="188"/>
      <c r="AR64" s="188"/>
      <c r="AS64" s="188"/>
      <c r="AT64" s="188"/>
      <c r="AU64" s="187"/>
      <c r="AV64" s="187"/>
      <c r="AW64" s="188"/>
      <c r="AX64" s="188"/>
      <c r="AY64" s="188"/>
      <c r="AZ64" s="188"/>
      <c r="BA64" s="188"/>
      <c r="BB64" s="188"/>
      <c r="BC64" s="188"/>
      <c r="BD64" s="188"/>
      <c r="BH64" s="5"/>
      <c r="BQ64" s="172"/>
      <c r="BR64" s="172"/>
      <c r="BS64" s="172"/>
      <c r="CE64" s="173">
        <v>44082</v>
      </c>
      <c r="CF64" s="174">
        <v>44301.553032407406</v>
      </c>
    </row>
    <row r="65" spans="1:84" ht="15" thickBot="1">
      <c r="A65" s="187" t="s">
        <v>1320</v>
      </c>
      <c r="B65" s="188"/>
      <c r="C65" s="187"/>
      <c r="D65" s="189"/>
      <c r="E65" s="187"/>
      <c r="F65" s="187"/>
      <c r="G65" s="187"/>
      <c r="H65" s="187"/>
      <c r="I65" s="187"/>
      <c r="J65" s="187"/>
      <c r="K65" s="187"/>
      <c r="L65" s="187"/>
      <c r="M65" s="187"/>
      <c r="N65" s="187"/>
      <c r="O65" s="187"/>
      <c r="P65" s="187"/>
      <c r="Q65" s="187"/>
      <c r="R65" s="188"/>
      <c r="S65" s="188"/>
      <c r="T65" s="188"/>
      <c r="U65" s="188"/>
      <c r="V65" s="188"/>
      <c r="W65" s="188"/>
      <c r="X65" s="188"/>
      <c r="Y65" s="188"/>
      <c r="Z65" s="188"/>
      <c r="AA65" s="188"/>
      <c r="AB65" s="188"/>
      <c r="AC65" s="188"/>
      <c r="AD65" s="188"/>
      <c r="AE65" s="187"/>
      <c r="AF65" s="187"/>
      <c r="AG65" s="188"/>
      <c r="AH65" s="188"/>
      <c r="AI65" s="188"/>
      <c r="AJ65" s="188"/>
      <c r="AK65" s="188"/>
      <c r="AL65" s="188"/>
      <c r="AM65" s="188"/>
      <c r="AN65" s="187"/>
      <c r="AO65" s="187"/>
      <c r="AP65" s="188"/>
      <c r="AQ65" s="188"/>
      <c r="AR65" s="188"/>
      <c r="AS65" s="188"/>
      <c r="AT65" s="188"/>
      <c r="AU65" s="187"/>
      <c r="AV65" s="188"/>
      <c r="AW65" s="188"/>
      <c r="AX65" s="188"/>
      <c r="AY65" s="188"/>
      <c r="AZ65" s="188"/>
      <c r="BA65" s="188"/>
      <c r="BB65" s="188"/>
      <c r="BC65" s="188"/>
      <c r="BD65" s="188"/>
      <c r="BE65" s="171">
        <v>1</v>
      </c>
      <c r="BH65" s="5"/>
      <c r="BO65" s="171">
        <v>1</v>
      </c>
      <c r="BQ65" s="172"/>
      <c r="BR65" s="172"/>
      <c r="BS65" s="172"/>
      <c r="CE65" s="173">
        <v>44301.552986111114</v>
      </c>
      <c r="CF65" s="174">
        <v>44301.55300925926</v>
      </c>
    </row>
    <row r="66" spans="1:84" ht="17.25" thickBot="1">
      <c r="A66" s="187" t="s">
        <v>1321</v>
      </c>
      <c r="B66" s="188"/>
      <c r="C66" s="187"/>
      <c r="D66" s="189"/>
      <c r="E66" s="187"/>
      <c r="F66" s="187"/>
      <c r="G66" s="187"/>
      <c r="H66" s="187"/>
      <c r="I66" s="187"/>
      <c r="J66" s="187"/>
      <c r="K66" s="187"/>
      <c r="L66" s="187"/>
      <c r="M66" s="187"/>
      <c r="N66" s="187"/>
      <c r="O66" s="187"/>
      <c r="P66" s="187"/>
      <c r="Q66" s="187"/>
      <c r="R66" s="188"/>
      <c r="S66" s="188"/>
      <c r="T66" s="188"/>
      <c r="U66" s="188"/>
      <c r="V66" s="188"/>
      <c r="W66" s="188"/>
      <c r="X66" s="188"/>
      <c r="Y66" s="188"/>
      <c r="Z66" s="188"/>
      <c r="AA66" s="188"/>
      <c r="AB66" s="188"/>
      <c r="AC66" s="188"/>
      <c r="AD66" s="188"/>
      <c r="AE66" s="187"/>
      <c r="AF66" s="187"/>
      <c r="AG66" s="188"/>
      <c r="AH66" s="188"/>
      <c r="AI66" s="188"/>
      <c r="AJ66" s="188"/>
      <c r="AK66" s="188"/>
      <c r="AL66" s="188"/>
      <c r="AM66" s="188"/>
      <c r="AN66" s="187"/>
      <c r="AO66" s="187"/>
      <c r="AP66" s="188"/>
      <c r="AQ66" s="188"/>
      <c r="AR66" s="188"/>
      <c r="AS66" s="188"/>
      <c r="AT66" s="188"/>
      <c r="AU66" s="187"/>
      <c r="AV66" s="188"/>
      <c r="AW66" s="188"/>
      <c r="AX66" s="188"/>
      <c r="AY66" s="188"/>
      <c r="AZ66" s="188"/>
      <c r="BA66" s="188"/>
      <c r="BB66" s="188"/>
      <c r="BC66" s="188"/>
      <c r="BD66" s="188"/>
      <c r="BH66" s="5"/>
      <c r="BQ66" s="172">
        <v>44257</v>
      </c>
      <c r="BR66" s="193" t="s">
        <v>1322</v>
      </c>
      <c r="BS66" s="172"/>
      <c r="CE66" s="173">
        <v>44301.555046296293</v>
      </c>
    </row>
    <row r="67" spans="1:84" ht="15" thickBot="1">
      <c r="A67" s="187" t="s">
        <v>1321</v>
      </c>
      <c r="B67" s="188"/>
      <c r="C67" s="187"/>
      <c r="D67" s="189"/>
      <c r="E67" s="187"/>
      <c r="F67" s="187"/>
      <c r="G67" s="187"/>
      <c r="H67" s="187"/>
      <c r="I67" s="187"/>
      <c r="J67" s="187"/>
      <c r="K67" s="187"/>
      <c r="L67" s="187"/>
      <c r="M67" s="187"/>
      <c r="N67" s="187"/>
      <c r="O67" s="187"/>
      <c r="P67" s="187"/>
      <c r="Q67" s="187"/>
      <c r="R67" s="188"/>
      <c r="S67" s="188"/>
      <c r="T67" s="188"/>
      <c r="U67" s="188"/>
      <c r="V67" s="188"/>
      <c r="W67" s="188"/>
      <c r="X67" s="188"/>
      <c r="Y67" s="188"/>
      <c r="Z67" s="188"/>
      <c r="AA67" s="188"/>
      <c r="AB67" s="188"/>
      <c r="AC67" s="188"/>
      <c r="AD67" s="188"/>
      <c r="AE67" s="187"/>
      <c r="AF67" s="187"/>
      <c r="AG67" s="188"/>
      <c r="AH67" s="188"/>
      <c r="AI67" s="188"/>
      <c r="AJ67" s="188"/>
      <c r="AK67" s="188"/>
      <c r="AL67" s="188"/>
      <c r="AM67" s="188"/>
      <c r="AN67" s="187"/>
      <c r="AO67" s="187"/>
      <c r="AP67" s="188"/>
      <c r="AQ67" s="188"/>
      <c r="AR67" s="188"/>
      <c r="AS67" s="188"/>
      <c r="AT67" s="188"/>
      <c r="AU67" s="187"/>
      <c r="AV67" s="188"/>
      <c r="AW67" s="188"/>
      <c r="AX67" s="188"/>
      <c r="AY67" s="188"/>
      <c r="AZ67" s="188"/>
      <c r="BA67" s="188"/>
      <c r="BB67" s="188"/>
      <c r="BC67" s="188"/>
      <c r="BD67" s="188"/>
      <c r="BH67" s="5"/>
      <c r="BQ67" s="188"/>
      <c r="BR67" s="188"/>
      <c r="BS67" s="188"/>
      <c r="CE67" s="173">
        <v>44082</v>
      </c>
      <c r="CF67" s="174">
        <v>44261</v>
      </c>
    </row>
    <row r="68" spans="1:84" ht="15" thickBot="1">
      <c r="A68" s="187" t="s">
        <v>1284</v>
      </c>
      <c r="B68" s="188"/>
      <c r="C68" s="187"/>
      <c r="D68" s="189"/>
      <c r="E68" s="187"/>
      <c r="F68" s="187"/>
      <c r="G68" s="187"/>
      <c r="H68" s="187"/>
      <c r="I68" s="187"/>
      <c r="J68" s="187"/>
      <c r="K68" s="187"/>
      <c r="L68" s="187"/>
      <c r="M68" s="187"/>
      <c r="N68" s="187"/>
      <c r="O68" s="187"/>
      <c r="P68" s="187"/>
      <c r="Q68" s="187"/>
      <c r="R68" s="188"/>
      <c r="S68" s="188"/>
      <c r="T68" s="188"/>
      <c r="U68" s="188"/>
      <c r="V68" s="188"/>
      <c r="W68" s="188"/>
      <c r="X68" s="188"/>
      <c r="Y68" s="188"/>
      <c r="Z68" s="188"/>
      <c r="AA68" s="188"/>
      <c r="AB68" s="188"/>
      <c r="AC68" s="188"/>
      <c r="AD68" s="188"/>
      <c r="AE68" s="187"/>
      <c r="AF68" s="187"/>
      <c r="AG68" s="188"/>
      <c r="AH68" s="188"/>
      <c r="AI68" s="188"/>
      <c r="AJ68" s="188"/>
      <c r="AK68" s="188"/>
      <c r="AL68" s="188"/>
      <c r="AM68" s="188"/>
      <c r="AN68" s="187"/>
      <c r="AO68" s="187"/>
      <c r="AP68" s="188"/>
      <c r="AQ68" s="188"/>
      <c r="AR68" s="188"/>
      <c r="AS68" s="188"/>
      <c r="AT68" s="188"/>
      <c r="AU68" s="187"/>
      <c r="AV68" s="188"/>
      <c r="AW68" s="188"/>
      <c r="AX68" s="188"/>
      <c r="AY68" s="188"/>
      <c r="AZ68" s="188"/>
      <c r="BA68" s="188"/>
      <c r="BB68" s="188"/>
      <c r="BC68" s="188"/>
      <c r="BD68" s="188"/>
      <c r="BH68" s="5"/>
      <c r="BQ68" s="188"/>
      <c r="BR68" s="188"/>
      <c r="BS68" s="188"/>
      <c r="CE68" s="173">
        <v>44082</v>
      </c>
      <c r="CF68" s="174">
        <v>44261</v>
      </c>
    </row>
    <row r="69" spans="1:84" ht="15" thickBot="1">
      <c r="A69" s="187" t="s">
        <v>1323</v>
      </c>
      <c r="B69" s="188"/>
      <c r="C69" s="187"/>
      <c r="D69" s="189"/>
      <c r="E69" s="187"/>
      <c r="F69" s="187"/>
      <c r="G69" s="187"/>
      <c r="H69" s="187"/>
      <c r="I69" s="187"/>
      <c r="J69" s="187"/>
      <c r="K69" s="187"/>
      <c r="L69" s="187"/>
      <c r="M69" s="187"/>
      <c r="N69" s="187"/>
      <c r="O69" s="187"/>
      <c r="P69" s="187"/>
      <c r="Q69" s="187"/>
      <c r="R69" s="188"/>
      <c r="S69" s="188"/>
      <c r="T69" s="188"/>
      <c r="U69" s="188"/>
      <c r="V69" s="188"/>
      <c r="W69" s="188"/>
      <c r="X69" s="188"/>
      <c r="Y69" s="188"/>
      <c r="Z69" s="188"/>
      <c r="AA69" s="188"/>
      <c r="AB69" s="188"/>
      <c r="AC69" s="188"/>
      <c r="AD69" s="188"/>
      <c r="AE69" s="187"/>
      <c r="AF69" s="187"/>
      <c r="AG69" s="188"/>
      <c r="AH69" s="188"/>
      <c r="AI69" s="188"/>
      <c r="AJ69" s="188"/>
      <c r="AK69" s="188"/>
      <c r="AL69" s="188"/>
      <c r="AM69" s="188"/>
      <c r="AN69" s="187"/>
      <c r="AO69" s="187"/>
      <c r="AP69" s="188"/>
      <c r="AQ69" s="188"/>
      <c r="AR69" s="188"/>
      <c r="AS69" s="188"/>
      <c r="AT69" s="188"/>
      <c r="AU69" s="187"/>
      <c r="AV69" s="188"/>
      <c r="AW69" s="188"/>
      <c r="AX69" s="188"/>
      <c r="AY69" s="188"/>
      <c r="AZ69" s="188"/>
      <c r="BA69" s="188"/>
      <c r="BB69" s="188"/>
      <c r="BC69" s="188"/>
      <c r="BD69" s="188"/>
      <c r="BH69" s="5"/>
      <c r="BQ69" s="188"/>
      <c r="BR69" s="188"/>
      <c r="BS69" s="188"/>
      <c r="CE69" s="173">
        <v>44269</v>
      </c>
    </row>
    <row r="70" spans="1:84" ht="15" thickBot="1">
      <c r="A70" s="164" t="s">
        <v>1324</v>
      </c>
      <c r="C70" s="166"/>
      <c r="D70" s="167">
        <v>39539</v>
      </c>
      <c r="E70" s="164"/>
      <c r="F70" s="168"/>
      <c r="G70" s="168"/>
      <c r="H70" s="168"/>
      <c r="I70" s="168"/>
      <c r="J70" s="168"/>
      <c r="K70" s="168"/>
      <c r="L70" s="168"/>
      <c r="M70" s="168"/>
      <c r="N70" s="168"/>
      <c r="O70" s="168"/>
      <c r="P70" s="168"/>
      <c r="Q70" s="166" t="s">
        <v>1325</v>
      </c>
      <c r="R70" s="169"/>
      <c r="S70" s="169"/>
      <c r="T70" s="169"/>
      <c r="U70" s="169"/>
      <c r="AE70" s="168"/>
      <c r="AF70" s="168"/>
      <c r="AN70" s="166" t="s">
        <v>1326</v>
      </c>
      <c r="AO70" s="168"/>
      <c r="AU70" s="168"/>
      <c r="BH70" s="5"/>
      <c r="CE70" s="173"/>
    </row>
    <row r="71" spans="1:84" ht="15" thickBot="1">
      <c r="A71" s="164" t="s">
        <v>1327</v>
      </c>
      <c r="C71" s="166"/>
      <c r="D71" s="167">
        <v>37712</v>
      </c>
      <c r="E71" s="164"/>
      <c r="F71" s="168"/>
      <c r="G71" s="168"/>
      <c r="H71" s="168"/>
      <c r="I71" s="168"/>
      <c r="J71" s="168"/>
      <c r="K71" s="168"/>
      <c r="L71" s="168"/>
      <c r="M71" s="168"/>
      <c r="N71" s="168"/>
      <c r="O71" s="168"/>
      <c r="P71" s="168"/>
      <c r="Q71" s="166" t="s">
        <v>1328</v>
      </c>
      <c r="R71" s="169"/>
      <c r="S71" s="169"/>
      <c r="T71" s="169"/>
      <c r="U71" s="169"/>
      <c r="AE71" s="168"/>
      <c r="AF71" s="168"/>
      <c r="AN71" s="166" t="s">
        <v>1329</v>
      </c>
      <c r="AO71" s="168"/>
      <c r="AU71" s="168"/>
      <c r="BH71" s="5"/>
      <c r="CE71" s="173">
        <v>44082</v>
      </c>
      <c r="CF71" s="174">
        <v>44261</v>
      </c>
    </row>
    <row r="72" spans="1:84" ht="15" thickBot="1">
      <c r="A72" s="200" t="s">
        <v>1330</v>
      </c>
      <c r="C72" s="201"/>
      <c r="D72" s="202"/>
      <c r="E72" s="201"/>
      <c r="F72" s="203"/>
      <c r="G72" s="168"/>
      <c r="H72" s="168"/>
      <c r="I72" s="168"/>
      <c r="J72" s="168"/>
      <c r="K72" s="168"/>
      <c r="L72" s="168"/>
      <c r="M72" s="168"/>
      <c r="N72" s="168" t="s">
        <v>1331</v>
      </c>
      <c r="O72" s="168"/>
      <c r="P72" s="203"/>
      <c r="Q72" s="168"/>
      <c r="Y72" s="165">
        <v>5</v>
      </c>
      <c r="AE72" s="203"/>
      <c r="AF72" s="203"/>
      <c r="AI72" s="204"/>
      <c r="AN72" s="203"/>
      <c r="AO72" s="168"/>
      <c r="AR72" s="205" t="s">
        <v>1332</v>
      </c>
      <c r="AS72" s="205"/>
      <c r="AU72" s="168"/>
      <c r="AV72" s="31" t="s">
        <v>1333</v>
      </c>
      <c r="AW72" s="31"/>
      <c r="BH72" s="5"/>
      <c r="CE72" s="173">
        <v>44082</v>
      </c>
      <c r="CF72" s="174">
        <v>44301.534687500003</v>
      </c>
    </row>
    <row r="73" spans="1:84" ht="15" thickBot="1">
      <c r="A73" s="164" t="s">
        <v>1334</v>
      </c>
      <c r="C73" s="166"/>
      <c r="D73" s="167">
        <v>37043</v>
      </c>
      <c r="E73" s="164"/>
      <c r="F73" s="168"/>
      <c r="G73" s="168"/>
      <c r="H73" s="168"/>
      <c r="I73" s="168"/>
      <c r="J73" s="168"/>
      <c r="K73" s="168"/>
      <c r="L73" s="168"/>
      <c r="M73" s="168"/>
      <c r="N73" s="168"/>
      <c r="O73" s="168"/>
      <c r="P73" s="168"/>
      <c r="Q73" s="166" t="s">
        <v>1335</v>
      </c>
      <c r="R73" s="169"/>
      <c r="S73" s="169"/>
      <c r="T73" s="169"/>
      <c r="U73" s="169"/>
      <c r="AE73" s="168"/>
      <c r="AF73" s="168"/>
      <c r="AN73" s="166" t="s">
        <v>1336</v>
      </c>
      <c r="AO73" s="168"/>
      <c r="AU73" s="177" t="s">
        <v>1257</v>
      </c>
      <c r="AV73" s="31" t="s">
        <v>1337</v>
      </c>
      <c r="AW73" s="31"/>
      <c r="BH73" s="5"/>
      <c r="CE73" s="173">
        <v>44082</v>
      </c>
      <c r="CF73" s="174">
        <v>44261</v>
      </c>
    </row>
    <row r="74" spans="1:84" ht="15" thickBot="1">
      <c r="A74" s="164" t="s">
        <v>1338</v>
      </c>
      <c r="C74" s="166"/>
      <c r="D74" s="167">
        <v>38473</v>
      </c>
      <c r="E74" s="164"/>
      <c r="F74" s="168"/>
      <c r="G74" s="168"/>
      <c r="H74" s="168"/>
      <c r="I74" s="168"/>
      <c r="J74" s="168"/>
      <c r="K74" s="168"/>
      <c r="L74" s="168"/>
      <c r="M74" s="168"/>
      <c r="N74" s="168"/>
      <c r="O74" s="168"/>
      <c r="P74" s="168"/>
      <c r="Q74" s="166" t="s">
        <v>1339</v>
      </c>
      <c r="R74" s="169"/>
      <c r="S74" s="169"/>
      <c r="T74" s="169"/>
      <c r="U74" s="169"/>
      <c r="AE74" s="168"/>
      <c r="AF74" s="168"/>
      <c r="AN74" s="166" t="s">
        <v>1340</v>
      </c>
      <c r="AO74" s="168"/>
      <c r="AU74" s="168"/>
      <c r="AV74" s="206"/>
      <c r="BH74" s="5"/>
      <c r="CE74" s="173"/>
    </row>
    <row r="75" spans="1:84" ht="17.25" thickBot="1">
      <c r="A75" s="206" t="s">
        <v>1341</v>
      </c>
      <c r="C75" s="168"/>
      <c r="D75" s="202"/>
      <c r="E75" s="206"/>
      <c r="F75" s="203"/>
      <c r="G75" s="168"/>
      <c r="H75" s="168"/>
      <c r="I75" s="168"/>
      <c r="J75" s="168"/>
      <c r="K75" s="168"/>
      <c r="L75" s="168"/>
      <c r="M75" s="168"/>
      <c r="N75" s="168"/>
      <c r="O75" s="168"/>
      <c r="P75" s="203"/>
      <c r="Q75" s="183" t="s">
        <v>1342</v>
      </c>
      <c r="R75" s="184"/>
      <c r="S75" s="184"/>
      <c r="T75" s="184"/>
      <c r="U75" s="184"/>
      <c r="AE75" s="203"/>
      <c r="AF75" s="168"/>
      <c r="AI75" s="204"/>
      <c r="AN75" s="203"/>
      <c r="AO75" s="168"/>
      <c r="AU75" s="168"/>
      <c r="AV75" s="170" t="s">
        <v>1343</v>
      </c>
      <c r="BH75" s="5"/>
      <c r="CE75" s="173">
        <v>44082</v>
      </c>
      <c r="CF75" s="174">
        <v>44261</v>
      </c>
    </row>
    <row r="76" spans="1:84" ht="15" thickBot="1">
      <c r="A76" s="180" t="s">
        <v>1344</v>
      </c>
      <c r="C76" s="180"/>
      <c r="D76" s="181"/>
      <c r="E76" s="180"/>
      <c r="F76" s="182"/>
      <c r="G76" s="177"/>
      <c r="H76" s="180"/>
      <c r="I76" s="180"/>
      <c r="J76" s="180"/>
      <c r="K76" s="180"/>
      <c r="L76" s="180"/>
      <c r="M76" s="180"/>
      <c r="N76" s="180"/>
      <c r="O76" s="180"/>
      <c r="P76" s="182"/>
      <c r="Q76" s="183" t="s">
        <v>1345</v>
      </c>
      <c r="R76" s="184"/>
      <c r="S76" s="184"/>
      <c r="T76" s="184"/>
      <c r="U76" s="184"/>
      <c r="V76" s="185"/>
      <c r="W76" s="185"/>
      <c r="AE76" s="182"/>
      <c r="AF76" s="182"/>
      <c r="AH76" s="185"/>
      <c r="AI76" s="186"/>
      <c r="AJ76" s="185"/>
      <c r="AL76" s="185"/>
      <c r="AM76" s="185"/>
      <c r="AN76" s="182"/>
      <c r="AO76" s="180"/>
      <c r="AU76" s="177" t="s">
        <v>1257</v>
      </c>
      <c r="AV76" s="31" t="s">
        <v>1346</v>
      </c>
      <c r="AW76" s="31"/>
      <c r="AX76" s="185"/>
      <c r="AY76" s="185"/>
      <c r="AZ76" s="185"/>
      <c r="BA76" s="185"/>
      <c r="BB76" s="185"/>
      <c r="BC76" s="185"/>
      <c r="BD76" s="185"/>
      <c r="BH76" s="5"/>
      <c r="BQ76" s="207"/>
      <c r="BR76" s="207"/>
      <c r="BS76" s="207"/>
      <c r="CE76" s="178">
        <v>44082</v>
      </c>
      <c r="CF76" s="179">
        <v>44261</v>
      </c>
    </row>
    <row r="77" spans="1:84" ht="15" thickBot="1">
      <c r="A77" s="164" t="s">
        <v>1347</v>
      </c>
      <c r="C77" s="166"/>
      <c r="D77" s="167">
        <v>39539</v>
      </c>
      <c r="E77" s="164"/>
      <c r="F77" s="168"/>
      <c r="G77" s="168"/>
      <c r="H77" s="168"/>
      <c r="I77" s="168"/>
      <c r="J77" s="168"/>
      <c r="K77" s="168"/>
      <c r="L77" s="168"/>
      <c r="M77" s="168"/>
      <c r="N77" s="168"/>
      <c r="O77" s="168"/>
      <c r="P77" s="168"/>
      <c r="Q77" s="166" t="s">
        <v>1339</v>
      </c>
      <c r="R77" s="169"/>
      <c r="S77" s="169"/>
      <c r="T77" s="169"/>
      <c r="U77" s="169"/>
      <c r="AE77" s="168"/>
      <c r="AF77" s="168"/>
      <c r="AN77" s="166" t="s">
        <v>1348</v>
      </c>
      <c r="AO77" s="168"/>
      <c r="AU77" s="168"/>
      <c r="BH77" s="5"/>
      <c r="CE77" s="173">
        <v>44082</v>
      </c>
      <c r="CF77" s="174">
        <v>44261</v>
      </c>
    </row>
    <row r="78" spans="1:84" ht="29.25" thickBot="1">
      <c r="A78" s="164" t="s">
        <v>1349</v>
      </c>
      <c r="C78" s="166"/>
      <c r="D78" s="167">
        <v>39234</v>
      </c>
      <c r="E78" s="164"/>
      <c r="F78" s="168"/>
      <c r="G78" s="168"/>
      <c r="H78" s="168"/>
      <c r="I78" s="168"/>
      <c r="J78" s="168"/>
      <c r="K78" s="168"/>
      <c r="L78" s="168"/>
      <c r="M78" s="168"/>
      <c r="N78" s="168"/>
      <c r="O78" s="168"/>
      <c r="P78" s="168"/>
      <c r="Q78" s="166" t="s">
        <v>1328</v>
      </c>
      <c r="R78" s="169"/>
      <c r="S78" s="169"/>
      <c r="T78" s="169"/>
      <c r="U78" s="169"/>
      <c r="AE78" s="168"/>
      <c r="AF78" s="168"/>
      <c r="AN78" s="166" t="s">
        <v>1336</v>
      </c>
      <c r="AO78" s="168"/>
      <c r="AU78" s="177" t="s">
        <v>1257</v>
      </c>
      <c r="AV78" s="31" t="s">
        <v>1350</v>
      </c>
      <c r="AW78" s="31"/>
      <c r="BH78" s="5"/>
      <c r="CE78" s="178">
        <v>44082</v>
      </c>
      <c r="CF78" s="179">
        <v>44261</v>
      </c>
    </row>
    <row r="79" spans="1:84" ht="17.25" thickBot="1">
      <c r="A79" s="168" t="s">
        <v>1351</v>
      </c>
      <c r="C79" s="168" t="s">
        <v>1351</v>
      </c>
      <c r="D79" s="202"/>
      <c r="E79" s="206"/>
      <c r="F79" s="168"/>
      <c r="G79" s="168"/>
      <c r="H79" s="168"/>
      <c r="I79" s="168"/>
      <c r="J79" s="168"/>
      <c r="K79" s="168"/>
      <c r="L79" s="168"/>
      <c r="M79" s="168"/>
      <c r="N79" s="168"/>
      <c r="O79" s="168"/>
      <c r="P79" s="168"/>
      <c r="Q79" s="168"/>
      <c r="AE79" s="168"/>
      <c r="AF79" s="168"/>
      <c r="AN79" s="168"/>
      <c r="AO79" s="208" t="s">
        <v>1352</v>
      </c>
      <c r="AU79" s="168"/>
      <c r="BH79" s="5"/>
      <c r="CE79" s="173">
        <v>44082</v>
      </c>
      <c r="CF79" s="174">
        <v>44261</v>
      </c>
    </row>
    <row r="80" spans="1:84" ht="15" thickBot="1">
      <c r="A80" s="180" t="s">
        <v>1353</v>
      </c>
      <c r="C80" s="180"/>
      <c r="D80" s="181"/>
      <c r="E80" s="180"/>
      <c r="F80" s="182"/>
      <c r="G80" s="177"/>
      <c r="H80" s="180"/>
      <c r="I80" s="180"/>
      <c r="J80" s="180"/>
      <c r="K80" s="180"/>
      <c r="L80" s="180"/>
      <c r="M80" s="180"/>
      <c r="N80" s="180"/>
      <c r="O80" s="180"/>
      <c r="P80" s="182"/>
      <c r="Q80" s="183" t="s">
        <v>1354</v>
      </c>
      <c r="R80" s="184"/>
      <c r="S80" s="184"/>
      <c r="T80" s="184"/>
      <c r="U80" s="184"/>
      <c r="V80" s="185"/>
      <c r="W80" s="185"/>
      <c r="AE80" s="182"/>
      <c r="AF80" s="182"/>
      <c r="AH80" s="185"/>
      <c r="AI80" s="186"/>
      <c r="AJ80" s="185"/>
      <c r="AL80" s="185"/>
      <c r="AM80" s="185"/>
      <c r="AN80" s="182"/>
      <c r="AO80" s="180"/>
      <c r="AU80" s="177" t="s">
        <v>1257</v>
      </c>
      <c r="AV80" s="31" t="s">
        <v>1355</v>
      </c>
      <c r="AW80" s="31"/>
      <c r="AX80" s="185"/>
      <c r="AY80" s="185"/>
      <c r="AZ80" s="185"/>
      <c r="BA80" s="185"/>
      <c r="BB80" s="185"/>
      <c r="BC80" s="185"/>
      <c r="BD80" s="185"/>
      <c r="BH80" s="5"/>
      <c r="BQ80" s="207"/>
      <c r="BR80" s="207"/>
      <c r="BS80" s="207"/>
      <c r="CE80" s="173">
        <v>44082</v>
      </c>
      <c r="CF80" s="174">
        <v>44261</v>
      </c>
    </row>
    <row r="81" spans="1:84" ht="15" thickBot="1">
      <c r="A81" s="164" t="s">
        <v>1356</v>
      </c>
      <c r="C81" s="166"/>
      <c r="D81" s="167">
        <v>37742</v>
      </c>
      <c r="E81" s="164"/>
      <c r="F81" s="168"/>
      <c r="G81" s="168"/>
      <c r="H81" s="168"/>
      <c r="I81" s="168"/>
      <c r="J81" s="168"/>
      <c r="K81" s="168"/>
      <c r="L81" s="168"/>
      <c r="M81" s="168"/>
      <c r="N81" s="168"/>
      <c r="O81" s="168"/>
      <c r="P81" s="168"/>
      <c r="Q81" s="166"/>
      <c r="R81" s="169"/>
      <c r="S81" s="169"/>
      <c r="T81" s="169"/>
      <c r="U81" s="169"/>
      <c r="AE81" s="168"/>
      <c r="AF81" s="168"/>
      <c r="AN81" s="166" t="s">
        <v>1357</v>
      </c>
      <c r="AO81" s="168"/>
      <c r="AU81" s="177" t="s">
        <v>1257</v>
      </c>
      <c r="AV81" s="31" t="s">
        <v>1358</v>
      </c>
      <c r="AW81" s="31"/>
      <c r="BH81" s="5"/>
      <c r="CE81" s="178">
        <v>44082</v>
      </c>
      <c r="CF81" s="179">
        <v>44261</v>
      </c>
    </row>
    <row r="82" spans="1:84" ht="15" thickBot="1">
      <c r="A82" s="164" t="s">
        <v>1359</v>
      </c>
      <c r="C82" s="166"/>
      <c r="D82" s="167">
        <v>37408</v>
      </c>
      <c r="E82" s="164"/>
      <c r="F82" s="168"/>
      <c r="G82" s="168"/>
      <c r="H82" s="168"/>
      <c r="I82" s="168"/>
      <c r="J82" s="168"/>
      <c r="K82" s="168"/>
      <c r="L82" s="168"/>
      <c r="M82" s="168"/>
      <c r="N82" s="168"/>
      <c r="O82" s="168"/>
      <c r="P82" s="168"/>
      <c r="Q82" s="166" t="s">
        <v>1328</v>
      </c>
      <c r="R82" s="169"/>
      <c r="S82" s="169"/>
      <c r="T82" s="169"/>
      <c r="U82" s="169"/>
      <c r="AE82" s="168"/>
      <c r="AF82" s="168"/>
      <c r="AN82" s="166" t="s">
        <v>1360</v>
      </c>
      <c r="AO82" s="168"/>
      <c r="AU82" s="168"/>
      <c r="BH82" s="5"/>
      <c r="CE82" s="173">
        <v>44082</v>
      </c>
      <c r="CF82" s="174">
        <v>44261</v>
      </c>
    </row>
    <row r="83" spans="1:84" ht="15" thickBot="1">
      <c r="A83" s="206" t="s">
        <v>1361</v>
      </c>
      <c r="B83" s="169"/>
      <c r="C83" s="168"/>
      <c r="D83" s="202"/>
      <c r="E83" s="206"/>
      <c r="F83" s="168"/>
      <c r="G83" s="168"/>
      <c r="H83" s="168"/>
      <c r="I83" s="168"/>
      <c r="J83" s="168"/>
      <c r="K83" s="168"/>
      <c r="L83" s="168"/>
      <c r="M83" s="168"/>
      <c r="N83" s="168"/>
      <c r="O83" s="168"/>
      <c r="P83" s="168"/>
      <c r="Q83" s="168"/>
      <c r="AE83" s="168"/>
      <c r="AF83" s="203"/>
      <c r="AN83" s="168"/>
      <c r="AO83" s="168"/>
      <c r="AU83" s="168"/>
      <c r="AV83" s="209" t="s">
        <v>1362</v>
      </c>
      <c r="AW83" s="209"/>
      <c r="BH83" s="5"/>
      <c r="CE83" s="178">
        <v>44082</v>
      </c>
      <c r="CF83" s="179">
        <v>44261</v>
      </c>
    </row>
    <row r="84" spans="1:84" ht="15" thickBot="1">
      <c r="A84" s="210" t="s">
        <v>1295</v>
      </c>
      <c r="B84" s="169"/>
      <c r="C84" s="168"/>
      <c r="D84" s="202"/>
      <c r="E84" s="206"/>
      <c r="F84" s="168"/>
      <c r="G84" s="168"/>
      <c r="H84" s="168"/>
      <c r="I84" s="168"/>
      <c r="J84" s="168"/>
      <c r="K84" s="168"/>
      <c r="L84" s="168"/>
      <c r="M84" s="168"/>
      <c r="N84" s="168"/>
      <c r="O84" s="168"/>
      <c r="P84" s="168"/>
      <c r="Q84" s="168"/>
      <c r="AE84" s="168"/>
      <c r="AF84" s="203">
        <v>726</v>
      </c>
      <c r="AJ84" s="165">
        <v>31.7</v>
      </c>
      <c r="AN84" s="168"/>
      <c r="AO84" s="168"/>
      <c r="AU84" s="168"/>
      <c r="AV84" s="209" t="s">
        <v>1362</v>
      </c>
      <c r="AW84" s="209"/>
      <c r="BH84" s="5"/>
      <c r="CE84" s="173">
        <v>44082</v>
      </c>
      <c r="CF84" s="174">
        <v>44261</v>
      </c>
    </row>
    <row r="85" spans="1:84" ht="15" thickBot="1">
      <c r="A85" s="164" t="s">
        <v>1363</v>
      </c>
      <c r="C85" s="166"/>
      <c r="D85" s="167">
        <v>37257</v>
      </c>
      <c r="E85" s="164"/>
      <c r="F85" s="168"/>
      <c r="G85" s="168"/>
      <c r="H85" s="168"/>
      <c r="I85" s="168"/>
      <c r="J85" s="168"/>
      <c r="K85" s="168"/>
      <c r="L85" s="168"/>
      <c r="M85" s="168"/>
      <c r="N85" s="168"/>
      <c r="O85" s="168"/>
      <c r="P85" s="168"/>
      <c r="Q85" s="166" t="s">
        <v>1364</v>
      </c>
      <c r="R85" s="169"/>
      <c r="S85" s="169"/>
      <c r="T85" s="169"/>
      <c r="U85" s="169"/>
      <c r="AE85" s="168"/>
      <c r="AF85" s="168"/>
      <c r="AN85" s="166" t="s">
        <v>1262</v>
      </c>
      <c r="AO85" s="168"/>
      <c r="AU85" s="177" t="s">
        <v>1257</v>
      </c>
      <c r="AV85" s="31" t="s">
        <v>1365</v>
      </c>
      <c r="AW85" s="31"/>
      <c r="BH85" s="5"/>
      <c r="CE85" s="178"/>
      <c r="CF85" s="179"/>
    </row>
    <row r="86" spans="1:84" ht="15" thickBot="1">
      <c r="A86" s="164" t="s">
        <v>1366</v>
      </c>
      <c r="C86" s="166"/>
      <c r="D86" s="167">
        <v>39142</v>
      </c>
      <c r="E86" s="164"/>
      <c r="F86" s="168"/>
      <c r="G86" s="168"/>
      <c r="H86" s="168"/>
      <c r="I86" s="168"/>
      <c r="J86" s="168"/>
      <c r="K86" s="168"/>
      <c r="L86" s="168"/>
      <c r="M86" s="168"/>
      <c r="N86" s="168"/>
      <c r="O86" s="168"/>
      <c r="P86" s="168"/>
      <c r="Q86" s="166" t="s">
        <v>1367</v>
      </c>
      <c r="R86" s="169"/>
      <c r="S86" s="169"/>
      <c r="T86" s="169"/>
      <c r="U86" s="169"/>
      <c r="AE86" s="168"/>
      <c r="AF86" s="168"/>
      <c r="AN86" s="166" t="s">
        <v>1368</v>
      </c>
      <c r="AO86" s="168"/>
      <c r="AU86" s="177" t="s">
        <v>1257</v>
      </c>
      <c r="AV86" s="31" t="s">
        <v>1369</v>
      </c>
      <c r="AW86" s="31"/>
      <c r="BH86" s="5"/>
      <c r="CE86" s="178">
        <v>44082</v>
      </c>
      <c r="CF86" s="179">
        <v>44261</v>
      </c>
    </row>
    <row r="87" spans="1:84" ht="15" thickBot="1">
      <c r="A87" s="180" t="s">
        <v>1370</v>
      </c>
      <c r="C87" s="180"/>
      <c r="D87" s="181"/>
      <c r="E87" s="180"/>
      <c r="F87" s="182"/>
      <c r="G87" s="177"/>
      <c r="H87" s="180"/>
      <c r="I87" s="180"/>
      <c r="J87" s="180"/>
      <c r="K87" s="180"/>
      <c r="L87" s="180"/>
      <c r="M87" s="180"/>
      <c r="N87" s="180"/>
      <c r="O87" s="180"/>
      <c r="P87" s="182"/>
      <c r="Q87" s="180"/>
      <c r="R87" s="211"/>
      <c r="S87" s="211"/>
      <c r="T87" s="211"/>
      <c r="U87" s="211"/>
      <c r="V87" s="185"/>
      <c r="W87" s="185"/>
      <c r="AE87" s="182"/>
      <c r="AF87" s="182"/>
      <c r="AH87" s="185"/>
      <c r="AI87" s="186"/>
      <c r="AJ87" s="185"/>
      <c r="AL87" s="185"/>
      <c r="AM87" s="185"/>
      <c r="AN87" s="182"/>
      <c r="AO87" s="180"/>
      <c r="AU87" s="177" t="s">
        <v>1257</v>
      </c>
      <c r="AV87" s="31" t="s">
        <v>1371</v>
      </c>
      <c r="AW87" s="31"/>
      <c r="AX87" s="185"/>
      <c r="AY87" s="185"/>
      <c r="AZ87" s="185"/>
      <c r="BA87" s="185"/>
      <c r="BB87" s="185"/>
      <c r="BC87" s="185"/>
      <c r="BD87" s="185"/>
      <c r="BH87" s="5"/>
      <c r="BQ87" s="207"/>
      <c r="BR87" s="207"/>
      <c r="BS87" s="207"/>
      <c r="CE87" s="173">
        <v>44082</v>
      </c>
      <c r="CF87" s="174">
        <v>44261</v>
      </c>
    </row>
    <row r="88" spans="1:84" ht="15" thickBot="1">
      <c r="A88" s="164" t="s">
        <v>1372</v>
      </c>
      <c r="C88" s="166"/>
      <c r="D88" s="167">
        <v>37561</v>
      </c>
      <c r="E88" s="164"/>
      <c r="F88" s="168"/>
      <c r="G88" s="168"/>
      <c r="H88" s="168"/>
      <c r="I88" s="168"/>
      <c r="J88" s="168"/>
      <c r="K88" s="168"/>
      <c r="L88" s="168"/>
      <c r="M88" s="168"/>
      <c r="N88" s="168"/>
      <c r="O88" s="168"/>
      <c r="P88" s="168"/>
      <c r="Q88" s="166" t="s">
        <v>1328</v>
      </c>
      <c r="R88" s="169"/>
      <c r="S88" s="169"/>
      <c r="T88" s="169"/>
      <c r="U88" s="169"/>
      <c r="AE88" s="168"/>
      <c r="AF88" s="168"/>
      <c r="AN88" s="166" t="s">
        <v>1360</v>
      </c>
      <c r="AO88" s="168"/>
      <c r="AU88" s="177" t="s">
        <v>1257</v>
      </c>
      <c r="AV88" s="31" t="s">
        <v>1373</v>
      </c>
      <c r="AW88" s="31"/>
      <c r="BH88" s="5"/>
      <c r="CE88" s="173">
        <v>44082</v>
      </c>
      <c r="CF88" s="174">
        <v>44261</v>
      </c>
    </row>
    <row r="89" spans="1:84" ht="15" thickBot="1">
      <c r="A89" s="180" t="s">
        <v>1374</v>
      </c>
      <c r="C89" s="180"/>
      <c r="D89" s="181"/>
      <c r="E89" s="180"/>
      <c r="F89" s="182"/>
      <c r="G89" s="177"/>
      <c r="H89" s="180"/>
      <c r="I89" s="180"/>
      <c r="J89" s="180"/>
      <c r="K89" s="180"/>
      <c r="L89" s="180"/>
      <c r="M89" s="180"/>
      <c r="N89" s="180"/>
      <c r="O89" s="180"/>
      <c r="P89" s="182"/>
      <c r="Q89" s="183" t="s">
        <v>1367</v>
      </c>
      <c r="R89" s="184"/>
      <c r="S89" s="184"/>
      <c r="T89" s="184"/>
      <c r="U89" s="184"/>
      <c r="V89" s="185"/>
      <c r="W89" s="185"/>
      <c r="AE89" s="182"/>
      <c r="AF89" s="182"/>
      <c r="AH89" s="185"/>
      <c r="AI89" s="186"/>
      <c r="AJ89" s="185"/>
      <c r="AL89" s="185"/>
      <c r="AM89" s="185"/>
      <c r="AN89" s="182"/>
      <c r="AO89" s="180"/>
      <c r="AU89" s="177" t="s">
        <v>1257</v>
      </c>
      <c r="AV89" s="31" t="s">
        <v>1375</v>
      </c>
      <c r="AW89" s="31"/>
      <c r="AX89" s="185"/>
      <c r="AY89" s="185"/>
      <c r="AZ89" s="185"/>
      <c r="BA89" s="185"/>
      <c r="BB89" s="185"/>
      <c r="BC89" s="185"/>
      <c r="BD89" s="185"/>
      <c r="BH89" s="5"/>
      <c r="BQ89" s="207"/>
      <c r="BR89" s="207"/>
      <c r="BS89" s="207"/>
      <c r="CE89" s="178">
        <v>44082</v>
      </c>
      <c r="CF89" s="179">
        <v>44261</v>
      </c>
    </row>
    <row r="90" spans="1:84" ht="15" thickBot="1">
      <c r="A90" s="206" t="s">
        <v>1376</v>
      </c>
      <c r="B90" s="169"/>
      <c r="C90" s="168"/>
      <c r="D90" s="202"/>
      <c r="E90" s="206"/>
      <c r="F90" s="168"/>
      <c r="G90" s="168"/>
      <c r="H90" s="168"/>
      <c r="I90" s="168"/>
      <c r="J90" s="168"/>
      <c r="K90" s="168"/>
      <c r="L90" s="168"/>
      <c r="M90" s="168"/>
      <c r="N90" s="168"/>
      <c r="O90" s="168"/>
      <c r="P90" s="168"/>
      <c r="Q90" s="168"/>
      <c r="AE90" s="168"/>
      <c r="AF90" s="203"/>
      <c r="AN90" s="168"/>
      <c r="AO90" s="168"/>
      <c r="AU90" s="168"/>
      <c r="AV90" s="209" t="s">
        <v>1377</v>
      </c>
      <c r="AW90" s="209"/>
      <c r="BH90" s="5"/>
      <c r="CE90" s="173">
        <v>44082</v>
      </c>
      <c r="CF90" s="174">
        <v>44261</v>
      </c>
    </row>
    <row r="91" spans="1:84" ht="15" thickBot="1">
      <c r="A91" s="180" t="s">
        <v>1378</v>
      </c>
      <c r="C91" s="180"/>
      <c r="D91" s="181"/>
      <c r="E91" s="180"/>
      <c r="F91" s="182"/>
      <c r="G91" s="177"/>
      <c r="H91" s="180"/>
      <c r="I91" s="180"/>
      <c r="J91" s="180"/>
      <c r="K91" s="180"/>
      <c r="L91" s="180"/>
      <c r="M91" s="180"/>
      <c r="N91" s="180"/>
      <c r="O91" s="180"/>
      <c r="P91" s="182"/>
      <c r="Q91" s="183" t="s">
        <v>1379</v>
      </c>
      <c r="R91" s="184"/>
      <c r="S91" s="184"/>
      <c r="T91" s="184"/>
      <c r="U91" s="184"/>
      <c r="V91" s="185"/>
      <c r="W91" s="185"/>
      <c r="AE91" s="182"/>
      <c r="AF91" s="182"/>
      <c r="AH91" s="185"/>
      <c r="AI91" s="186"/>
      <c r="AJ91" s="185"/>
      <c r="AL91" s="185"/>
      <c r="AM91" s="185"/>
      <c r="AN91" s="182"/>
      <c r="AO91" s="180"/>
      <c r="AU91" s="177" t="s">
        <v>1257</v>
      </c>
      <c r="AV91" s="31" t="s">
        <v>1380</v>
      </c>
      <c r="AW91" s="31"/>
      <c r="AX91" s="185"/>
      <c r="AY91" s="185"/>
      <c r="AZ91" s="185"/>
      <c r="BA91" s="185"/>
      <c r="BB91" s="185"/>
      <c r="BC91" s="185"/>
      <c r="BD91" s="185"/>
      <c r="BH91" s="5"/>
      <c r="BQ91" s="207"/>
      <c r="BR91" s="207"/>
      <c r="BS91" s="207"/>
      <c r="CE91" s="178">
        <v>44082</v>
      </c>
      <c r="CF91" s="179">
        <v>44261</v>
      </c>
    </row>
    <row r="92" spans="1:84" ht="15" thickBot="1">
      <c r="A92" s="164" t="s">
        <v>1381</v>
      </c>
      <c r="C92" s="166"/>
      <c r="D92" s="167">
        <v>34912</v>
      </c>
      <c r="E92" s="164"/>
      <c r="F92" s="168"/>
      <c r="G92" s="168"/>
      <c r="H92" s="168"/>
      <c r="I92" s="168"/>
      <c r="J92" s="168"/>
      <c r="K92" s="168"/>
      <c r="L92" s="168"/>
      <c r="M92" s="168"/>
      <c r="N92" s="168"/>
      <c r="O92" s="168"/>
      <c r="P92" s="168"/>
      <c r="Q92" s="166" t="s">
        <v>1382</v>
      </c>
      <c r="R92" s="169"/>
      <c r="S92" s="169"/>
      <c r="T92" s="169"/>
      <c r="U92" s="169"/>
      <c r="AE92" s="168"/>
      <c r="AF92" s="168"/>
      <c r="AN92" s="166" t="s">
        <v>1383</v>
      </c>
      <c r="AO92" s="168"/>
      <c r="AU92" s="177" t="s">
        <v>1257</v>
      </c>
      <c r="AV92" s="31" t="s">
        <v>1384</v>
      </c>
      <c r="AW92" s="31"/>
      <c r="BH92" s="5"/>
      <c r="CE92" s="173">
        <v>44082</v>
      </c>
      <c r="CF92" s="174">
        <v>44261</v>
      </c>
    </row>
    <row r="93" spans="1:84" ht="15" thickBot="1">
      <c r="A93" s="164" t="s">
        <v>1385</v>
      </c>
      <c r="C93" s="166"/>
      <c r="D93" s="167">
        <v>33359</v>
      </c>
      <c r="E93" s="164"/>
      <c r="F93" s="168"/>
      <c r="G93" s="168"/>
      <c r="H93" s="168"/>
      <c r="I93" s="168"/>
      <c r="J93" s="168"/>
      <c r="K93" s="168"/>
      <c r="L93" s="168"/>
      <c r="M93" s="168"/>
      <c r="N93" s="168"/>
      <c r="O93" s="168"/>
      <c r="P93" s="168"/>
      <c r="Q93" s="166" t="s">
        <v>1386</v>
      </c>
      <c r="R93" s="169"/>
      <c r="S93" s="169"/>
      <c r="T93" s="169"/>
      <c r="U93" s="169"/>
      <c r="Y93" s="165">
        <v>100</v>
      </c>
      <c r="AE93" s="168">
        <v>1700</v>
      </c>
      <c r="AF93" s="168">
        <v>1700</v>
      </c>
      <c r="AN93" s="166" t="s">
        <v>1348</v>
      </c>
      <c r="AO93" s="168" t="s">
        <v>1387</v>
      </c>
      <c r="AU93" s="168" t="s">
        <v>1388</v>
      </c>
      <c r="AV93" s="170" t="s">
        <v>1389</v>
      </c>
      <c r="BH93" s="5"/>
      <c r="CE93" s="178">
        <v>44082</v>
      </c>
      <c r="CF93" s="179">
        <v>44301.534722222219</v>
      </c>
    </row>
    <row r="94" spans="1:84" ht="15" thickBot="1">
      <c r="A94" s="201" t="s">
        <v>1385</v>
      </c>
      <c r="C94" s="180"/>
      <c r="D94" s="181">
        <v>41821</v>
      </c>
      <c r="E94" s="180"/>
      <c r="F94" s="182"/>
      <c r="G94" s="177"/>
      <c r="H94" s="180"/>
      <c r="I94" s="180"/>
      <c r="J94" s="180"/>
      <c r="K94" s="180"/>
      <c r="L94" s="180"/>
      <c r="M94" s="180"/>
      <c r="N94" s="180"/>
      <c r="O94" s="180"/>
      <c r="P94" s="182"/>
      <c r="Q94" s="183" t="s">
        <v>1390</v>
      </c>
      <c r="R94" s="184"/>
      <c r="S94" s="184"/>
      <c r="T94" s="184"/>
      <c r="U94" s="184"/>
      <c r="V94" s="185"/>
      <c r="W94" s="185"/>
      <c r="AE94" s="182"/>
      <c r="AF94" s="182"/>
      <c r="AH94" s="185"/>
      <c r="AI94" s="186"/>
      <c r="AJ94" s="185"/>
      <c r="AL94" s="185"/>
      <c r="AM94" s="185"/>
      <c r="AN94" s="182"/>
      <c r="AO94" s="180"/>
      <c r="AU94" s="177"/>
      <c r="AV94" s="31"/>
      <c r="AW94" s="31"/>
      <c r="AX94" s="185"/>
      <c r="AY94" s="185"/>
      <c r="AZ94" s="185"/>
      <c r="BA94" s="185"/>
      <c r="BB94" s="185"/>
      <c r="BC94" s="185"/>
      <c r="BD94" s="185"/>
      <c r="BH94" s="5"/>
      <c r="BQ94" s="207"/>
      <c r="BR94" s="207"/>
      <c r="BS94" s="207"/>
      <c r="CE94" s="173">
        <v>44082</v>
      </c>
      <c r="CF94" s="174">
        <v>44261</v>
      </c>
    </row>
    <row r="95" spans="1:84" ht="29.25" thickBot="1">
      <c r="A95" s="206" t="s">
        <v>1391</v>
      </c>
      <c r="C95" s="168"/>
      <c r="D95" s="202"/>
      <c r="E95" s="206"/>
      <c r="F95" s="168"/>
      <c r="G95" s="168"/>
      <c r="H95" s="168"/>
      <c r="I95" s="168"/>
      <c r="J95" s="168"/>
      <c r="K95" s="168"/>
      <c r="L95" s="168"/>
      <c r="M95" s="168"/>
      <c r="N95" s="168"/>
      <c r="O95" s="168"/>
      <c r="P95" s="168"/>
      <c r="Q95" s="168"/>
      <c r="AE95" s="168"/>
      <c r="AF95" s="168"/>
      <c r="AN95" s="168"/>
      <c r="AO95" s="168"/>
      <c r="AU95" s="168"/>
      <c r="BH95" s="5"/>
      <c r="CE95" s="178">
        <v>44082</v>
      </c>
      <c r="CF95" s="179">
        <v>44261</v>
      </c>
    </row>
    <row r="96" spans="1:84" ht="15" thickBot="1">
      <c r="A96" s="164" t="s">
        <v>1392</v>
      </c>
      <c r="C96" s="166"/>
      <c r="D96" s="167">
        <v>37653</v>
      </c>
      <c r="E96" s="164"/>
      <c r="F96" s="168"/>
      <c r="G96" s="168"/>
      <c r="H96" s="168"/>
      <c r="I96" s="168"/>
      <c r="J96" s="168"/>
      <c r="K96" s="168"/>
      <c r="L96" s="168"/>
      <c r="M96" s="168"/>
      <c r="N96" s="168"/>
      <c r="O96" s="168"/>
      <c r="P96" s="168"/>
      <c r="Q96" s="166" t="s">
        <v>1393</v>
      </c>
      <c r="R96" s="169"/>
      <c r="S96" s="169"/>
      <c r="T96" s="169"/>
      <c r="U96" s="169"/>
      <c r="AE96" s="168"/>
      <c r="AF96" s="168"/>
      <c r="AN96" s="166" t="s">
        <v>1383</v>
      </c>
      <c r="AO96" s="168"/>
      <c r="AU96" s="168" t="s">
        <v>1388</v>
      </c>
      <c r="AV96" s="170" t="s">
        <v>1394</v>
      </c>
      <c r="BH96" s="5"/>
      <c r="CE96" s="178">
        <v>44082</v>
      </c>
      <c r="CF96" s="179">
        <v>44261</v>
      </c>
    </row>
    <row r="97" spans="1:85" ht="15" thickBot="1">
      <c r="A97" s="164" t="s">
        <v>1395</v>
      </c>
      <c r="C97" s="166"/>
      <c r="D97" s="167">
        <v>37012</v>
      </c>
      <c r="E97" s="164"/>
      <c r="F97" s="168"/>
      <c r="G97" s="168"/>
      <c r="H97" s="168"/>
      <c r="I97" s="168"/>
      <c r="J97" s="168"/>
      <c r="K97" s="168"/>
      <c r="L97" s="168"/>
      <c r="M97" s="168"/>
      <c r="N97" s="168"/>
      <c r="O97" s="168"/>
      <c r="P97" s="168"/>
      <c r="Q97" s="166" t="s">
        <v>1396</v>
      </c>
      <c r="R97" s="169"/>
      <c r="S97" s="169"/>
      <c r="T97" s="169"/>
      <c r="U97" s="169"/>
      <c r="AE97" s="168"/>
      <c r="AF97" s="168"/>
      <c r="AN97" s="166" t="s">
        <v>1397</v>
      </c>
      <c r="AO97" s="168"/>
      <c r="AU97" s="168"/>
      <c r="BH97" s="5"/>
      <c r="CE97" s="178">
        <v>44082</v>
      </c>
      <c r="CF97" s="179">
        <v>44261</v>
      </c>
    </row>
    <row r="98" spans="1:85" ht="29.25" thickBot="1">
      <c r="A98" s="164" t="s">
        <v>1398</v>
      </c>
      <c r="C98" s="166"/>
      <c r="D98" s="167">
        <v>36831</v>
      </c>
      <c r="E98" s="164"/>
      <c r="F98" s="168"/>
      <c r="G98" s="168"/>
      <c r="H98" s="168"/>
      <c r="I98" s="168"/>
      <c r="J98" s="168"/>
      <c r="K98" s="168"/>
      <c r="L98" s="168"/>
      <c r="M98" s="168"/>
      <c r="N98" s="168"/>
      <c r="O98" s="168"/>
      <c r="P98" s="168"/>
      <c r="Q98" s="166" t="s">
        <v>1399</v>
      </c>
      <c r="R98" s="169"/>
      <c r="S98" s="169"/>
      <c r="T98" s="169"/>
      <c r="U98" s="169"/>
      <c r="AE98" s="168"/>
      <c r="AF98" s="168"/>
      <c r="AN98" s="166" t="s">
        <v>1262</v>
      </c>
      <c r="AO98" s="168"/>
      <c r="AU98" s="168" t="s">
        <v>1388</v>
      </c>
      <c r="AV98" s="170" t="s">
        <v>1400</v>
      </c>
      <c r="BH98" s="5"/>
      <c r="CE98" s="178">
        <v>44082</v>
      </c>
      <c r="CF98" s="179">
        <v>44261</v>
      </c>
    </row>
    <row r="99" spans="1:85" ht="15" thickBot="1">
      <c r="A99" s="180" t="s">
        <v>1401</v>
      </c>
      <c r="C99" s="180"/>
      <c r="D99" s="181"/>
      <c r="E99" s="180"/>
      <c r="F99" s="182"/>
      <c r="G99" s="177"/>
      <c r="H99" s="180"/>
      <c r="I99" s="180"/>
      <c r="J99" s="180"/>
      <c r="K99" s="180"/>
      <c r="L99" s="180"/>
      <c r="M99" s="180"/>
      <c r="N99" s="180"/>
      <c r="O99" s="180"/>
      <c r="P99" s="182"/>
      <c r="Q99" s="183" t="s">
        <v>1402</v>
      </c>
      <c r="R99" s="184"/>
      <c r="S99" s="184"/>
      <c r="T99" s="184"/>
      <c r="U99" s="184"/>
      <c r="V99" s="185"/>
      <c r="W99" s="185"/>
      <c r="AE99" s="182"/>
      <c r="AF99" s="182"/>
      <c r="AH99" s="185"/>
      <c r="AI99" s="186"/>
      <c r="AJ99" s="185"/>
      <c r="AL99" s="185"/>
      <c r="AM99" s="185"/>
      <c r="AN99" s="182"/>
      <c r="AO99" s="180"/>
      <c r="AU99" s="177" t="s">
        <v>1257</v>
      </c>
      <c r="AV99" s="31" t="s">
        <v>1403</v>
      </c>
      <c r="AW99" s="31"/>
      <c r="AX99" s="185"/>
      <c r="AY99" s="185"/>
      <c r="AZ99" s="185"/>
      <c r="BA99" s="185"/>
      <c r="BB99" s="185"/>
      <c r="BC99" s="185"/>
      <c r="BD99" s="185"/>
      <c r="BH99" s="5"/>
      <c r="BQ99" s="207"/>
      <c r="BR99" s="207"/>
      <c r="BS99" s="207"/>
      <c r="CE99" s="173">
        <v>44082</v>
      </c>
      <c r="CF99" s="174">
        <v>44261</v>
      </c>
    </row>
    <row r="100" spans="1:85" ht="29.25" thickBot="1">
      <c r="A100" s="164" t="s">
        <v>1404</v>
      </c>
      <c r="C100" s="166"/>
      <c r="D100" s="167">
        <v>37591</v>
      </c>
      <c r="E100" s="164"/>
      <c r="F100" s="168"/>
      <c r="G100" s="168"/>
      <c r="H100" s="168"/>
      <c r="I100" s="168"/>
      <c r="J100" s="168"/>
      <c r="K100" s="168"/>
      <c r="L100" s="168"/>
      <c r="M100" s="168"/>
      <c r="N100" s="168"/>
      <c r="O100" s="168"/>
      <c r="P100" s="168"/>
      <c r="Q100" s="166"/>
      <c r="R100" s="169"/>
      <c r="S100" s="169"/>
      <c r="T100" s="169"/>
      <c r="U100" s="169"/>
      <c r="AE100" s="168"/>
      <c r="AF100" s="168"/>
      <c r="AN100" s="166" t="s">
        <v>1397</v>
      </c>
      <c r="AO100" s="168"/>
      <c r="AU100" s="168"/>
      <c r="BH100" s="5"/>
      <c r="CE100" s="173">
        <v>44082</v>
      </c>
      <c r="CF100" s="174">
        <v>44261</v>
      </c>
    </row>
    <row r="101" spans="1:85" ht="15" thickBot="1">
      <c r="A101" s="164" t="s">
        <v>1405</v>
      </c>
      <c r="C101" s="166"/>
      <c r="D101" s="167">
        <v>37469</v>
      </c>
      <c r="E101" s="164"/>
      <c r="F101" s="168"/>
      <c r="G101" s="168"/>
      <c r="H101" s="168"/>
      <c r="I101" s="168"/>
      <c r="J101" s="168"/>
      <c r="K101" s="168"/>
      <c r="L101" s="168"/>
      <c r="M101" s="168"/>
      <c r="N101" s="168"/>
      <c r="O101" s="168"/>
      <c r="P101" s="168"/>
      <c r="Q101" s="166" t="s">
        <v>1406</v>
      </c>
      <c r="R101" s="169"/>
      <c r="S101" s="169"/>
      <c r="T101" s="169"/>
      <c r="U101" s="169"/>
      <c r="AE101" s="168"/>
      <c r="AF101" s="168"/>
      <c r="AN101" s="166" t="s">
        <v>1397</v>
      </c>
      <c r="AO101" s="168"/>
      <c r="AU101" s="168" t="s">
        <v>1388</v>
      </c>
      <c r="AV101" s="170" t="s">
        <v>1407</v>
      </c>
      <c r="BH101" s="5"/>
      <c r="CE101" s="178">
        <v>44082</v>
      </c>
      <c r="CF101" s="179">
        <v>44261</v>
      </c>
    </row>
    <row r="102" spans="1:85" ht="15" thickBot="1">
      <c r="A102" s="164" t="s">
        <v>1408</v>
      </c>
      <c r="C102" s="166"/>
      <c r="D102" s="167">
        <v>37742</v>
      </c>
      <c r="E102" s="164"/>
      <c r="F102" s="168"/>
      <c r="G102" s="168"/>
      <c r="H102" s="168"/>
      <c r="I102" s="168"/>
      <c r="J102" s="168"/>
      <c r="K102" s="168"/>
      <c r="L102" s="168"/>
      <c r="M102" s="168"/>
      <c r="N102" s="168"/>
      <c r="O102" s="168"/>
      <c r="P102" s="168"/>
      <c r="Q102" s="166" t="s">
        <v>1328</v>
      </c>
      <c r="R102" s="169"/>
      <c r="S102" s="169"/>
      <c r="T102" s="169"/>
      <c r="U102" s="169"/>
      <c r="AE102" s="168"/>
      <c r="AF102" s="168"/>
      <c r="AN102" s="166" t="s">
        <v>1383</v>
      </c>
      <c r="AO102" s="168"/>
      <c r="AU102" s="168"/>
      <c r="BH102" s="5"/>
      <c r="CE102" s="173">
        <v>44082</v>
      </c>
      <c r="CF102" s="174">
        <v>44261</v>
      </c>
    </row>
    <row r="103" spans="1:85" ht="15" thickBot="1">
      <c r="A103" s="164" t="s">
        <v>1409</v>
      </c>
      <c r="C103" s="166"/>
      <c r="D103" s="167">
        <v>39083</v>
      </c>
      <c r="E103" s="164"/>
      <c r="F103" s="168"/>
      <c r="G103" s="168"/>
      <c r="H103" s="168"/>
      <c r="I103" s="168"/>
      <c r="J103" s="168"/>
      <c r="K103" s="168"/>
      <c r="L103" s="168"/>
      <c r="M103" s="168"/>
      <c r="N103" s="168"/>
      <c r="O103" s="168"/>
      <c r="P103" s="168"/>
      <c r="Q103" s="166" t="s">
        <v>1410</v>
      </c>
      <c r="R103" s="169"/>
      <c r="S103" s="169"/>
      <c r="T103" s="169"/>
      <c r="U103" s="169"/>
      <c r="AE103" s="168"/>
      <c r="AF103" s="168"/>
      <c r="AN103" s="166" t="s">
        <v>1336</v>
      </c>
      <c r="AO103" s="168"/>
      <c r="AU103" s="168" t="s">
        <v>1388</v>
      </c>
      <c r="AV103" s="170" t="s">
        <v>1411</v>
      </c>
      <c r="BH103" s="5"/>
      <c r="CE103" s="178">
        <v>44082</v>
      </c>
      <c r="CF103" s="179">
        <v>44261</v>
      </c>
    </row>
    <row r="104" spans="1:85" ht="29.25" thickBot="1">
      <c r="A104" s="164" t="s">
        <v>1412</v>
      </c>
      <c r="C104" s="166"/>
      <c r="D104" s="167">
        <v>36892</v>
      </c>
      <c r="E104" s="164"/>
      <c r="F104" s="168"/>
      <c r="G104" s="168"/>
      <c r="H104" s="168"/>
      <c r="I104" s="168"/>
      <c r="J104" s="168"/>
      <c r="K104" s="168"/>
      <c r="L104" s="168"/>
      <c r="M104" s="168"/>
      <c r="N104" s="168"/>
      <c r="O104" s="168"/>
      <c r="P104" s="168"/>
      <c r="Q104" s="166" t="s">
        <v>1413</v>
      </c>
      <c r="R104" s="169"/>
      <c r="S104" s="169"/>
      <c r="T104" s="169"/>
      <c r="U104" s="169"/>
      <c r="AE104" s="168"/>
      <c r="AF104" s="168"/>
      <c r="AN104" s="166" t="s">
        <v>1368</v>
      </c>
      <c r="AO104" s="168"/>
      <c r="AU104" s="168" t="s">
        <v>1388</v>
      </c>
      <c r="AV104" s="170" t="s">
        <v>1414</v>
      </c>
      <c r="BH104" s="5"/>
      <c r="CE104" s="173">
        <v>44082</v>
      </c>
      <c r="CF104" s="174">
        <v>44261</v>
      </c>
    </row>
    <row r="105" spans="1:85" ht="15" thickBot="1">
      <c r="A105" s="180" t="s">
        <v>1415</v>
      </c>
      <c r="C105" s="180"/>
      <c r="D105" s="181"/>
      <c r="E105" s="180"/>
      <c r="F105" s="182"/>
      <c r="G105" s="177"/>
      <c r="H105" s="180"/>
      <c r="I105" s="180"/>
      <c r="J105" s="180"/>
      <c r="K105" s="180"/>
      <c r="L105" s="180"/>
      <c r="M105" s="180"/>
      <c r="N105" s="180"/>
      <c r="O105" s="180"/>
      <c r="P105" s="182"/>
      <c r="Q105" s="183" t="s">
        <v>1416</v>
      </c>
      <c r="R105" s="184"/>
      <c r="S105" s="184"/>
      <c r="T105" s="184"/>
      <c r="U105" s="184"/>
      <c r="V105" s="185"/>
      <c r="W105" s="185"/>
      <c r="AE105" s="182"/>
      <c r="AF105" s="182"/>
      <c r="AH105" s="185"/>
      <c r="AI105" s="186"/>
      <c r="AJ105" s="185"/>
      <c r="AL105" s="185"/>
      <c r="AM105" s="185"/>
      <c r="AN105" s="182"/>
      <c r="AO105" s="180"/>
      <c r="AU105" s="177" t="s">
        <v>1257</v>
      </c>
      <c r="AV105" s="212" t="s">
        <v>1417</v>
      </c>
      <c r="AW105" s="212"/>
      <c r="AX105" s="185"/>
      <c r="AY105" s="185"/>
      <c r="AZ105" s="185"/>
      <c r="BA105" s="185"/>
      <c r="BB105" s="185"/>
      <c r="BC105" s="185"/>
      <c r="BD105" s="185"/>
      <c r="BH105" s="5"/>
      <c r="BQ105" s="207"/>
      <c r="BR105" s="207"/>
      <c r="BS105" s="207"/>
      <c r="CE105" s="178">
        <v>44082</v>
      </c>
      <c r="CF105" s="179">
        <v>44261</v>
      </c>
    </row>
    <row r="106" spans="1:85" ht="15" thickBot="1">
      <c r="A106" s="164" t="s">
        <v>1418</v>
      </c>
      <c r="C106" s="166"/>
      <c r="D106" s="167">
        <v>36770</v>
      </c>
      <c r="E106" s="164"/>
      <c r="F106" s="168"/>
      <c r="G106" s="168"/>
      <c r="H106" s="168"/>
      <c r="I106" s="168"/>
      <c r="J106" s="168"/>
      <c r="K106" s="168"/>
      <c r="L106" s="168"/>
      <c r="M106" s="168"/>
      <c r="N106" s="168"/>
      <c r="O106" s="168"/>
      <c r="P106" s="168"/>
      <c r="Q106" s="166" t="s">
        <v>1382</v>
      </c>
      <c r="R106" s="169"/>
      <c r="S106" s="169"/>
      <c r="T106" s="169"/>
      <c r="U106" s="169"/>
      <c r="AE106" s="168"/>
      <c r="AF106" s="168"/>
      <c r="AN106" s="166" t="s">
        <v>1357</v>
      </c>
      <c r="AO106" s="168"/>
      <c r="AU106" s="168" t="s">
        <v>1388</v>
      </c>
      <c r="AV106" s="170" t="s">
        <v>1419</v>
      </c>
      <c r="BH106" s="5"/>
      <c r="CE106" s="213">
        <v>44082</v>
      </c>
      <c r="CF106" s="214">
        <v>44261</v>
      </c>
      <c r="CG106" s="215"/>
    </row>
    <row r="107" spans="1:85" ht="15" thickBot="1">
      <c r="A107" s="164" t="s">
        <v>1420</v>
      </c>
      <c r="C107" s="166"/>
      <c r="D107" s="167">
        <v>34213</v>
      </c>
      <c r="E107" s="164"/>
      <c r="F107" s="168"/>
      <c r="G107" s="168"/>
      <c r="H107" s="168"/>
      <c r="I107" s="168"/>
      <c r="J107" s="168"/>
      <c r="K107" s="168"/>
      <c r="L107" s="168"/>
      <c r="M107" s="168"/>
      <c r="N107" s="168"/>
      <c r="O107" s="168"/>
      <c r="P107" s="168"/>
      <c r="Q107" s="166" t="s">
        <v>1421</v>
      </c>
      <c r="R107" s="169"/>
      <c r="S107" s="169"/>
      <c r="T107" s="169"/>
      <c r="U107" s="169"/>
      <c r="AE107" s="168"/>
      <c r="AF107" s="168"/>
      <c r="AN107" s="166" t="s">
        <v>1357</v>
      </c>
      <c r="AO107" s="168"/>
      <c r="AU107" s="168" t="s">
        <v>1388</v>
      </c>
      <c r="AV107" s="170" t="s">
        <v>1422</v>
      </c>
      <c r="BH107" s="5"/>
      <c r="CE107" s="178">
        <v>44082</v>
      </c>
      <c r="CF107" s="179">
        <v>44261</v>
      </c>
    </row>
    <row r="108" spans="1:85" ht="15" thickBot="1">
      <c r="A108" s="206" t="s">
        <v>1423</v>
      </c>
      <c r="B108" s="169"/>
      <c r="C108" s="168"/>
      <c r="D108" s="202"/>
      <c r="E108" s="206"/>
      <c r="F108" s="168"/>
      <c r="G108" s="168"/>
      <c r="H108" s="168"/>
      <c r="I108" s="168"/>
      <c r="J108" s="168"/>
      <c r="K108" s="168"/>
      <c r="L108" s="168"/>
      <c r="M108" s="168"/>
      <c r="N108" s="168"/>
      <c r="O108" s="168"/>
      <c r="P108" s="168"/>
      <c r="Q108" s="168"/>
      <c r="AE108" s="168"/>
      <c r="AF108" s="203">
        <v>87</v>
      </c>
      <c r="AJ108" s="165">
        <v>30</v>
      </c>
      <c r="AN108" s="168"/>
      <c r="AO108" s="168"/>
      <c r="AU108" s="168"/>
      <c r="AV108" s="209" t="s">
        <v>1424</v>
      </c>
      <c r="AW108" s="209"/>
      <c r="BH108" s="5"/>
      <c r="CE108" s="173">
        <v>44082</v>
      </c>
      <c r="CF108" s="174">
        <v>44261</v>
      </c>
    </row>
    <row r="109" spans="1:85" ht="15" thickBot="1">
      <c r="A109" s="164" t="s">
        <v>1425</v>
      </c>
      <c r="C109" s="166"/>
      <c r="D109" s="167">
        <v>37895</v>
      </c>
      <c r="E109" s="164"/>
      <c r="F109" s="168"/>
      <c r="G109" s="168"/>
      <c r="H109" s="168"/>
      <c r="I109" s="168"/>
      <c r="J109" s="168"/>
      <c r="K109" s="168"/>
      <c r="L109" s="168"/>
      <c r="M109" s="168"/>
      <c r="N109" s="168"/>
      <c r="O109" s="168"/>
      <c r="P109" s="168"/>
      <c r="Q109" s="166" t="s">
        <v>1410</v>
      </c>
      <c r="R109" s="169"/>
      <c r="S109" s="169"/>
      <c r="T109" s="169"/>
      <c r="U109" s="169"/>
      <c r="AE109" s="168"/>
      <c r="AF109" s="168"/>
      <c r="AN109" s="166" t="s">
        <v>1262</v>
      </c>
      <c r="AO109" s="168"/>
      <c r="AU109" s="168" t="s">
        <v>1388</v>
      </c>
      <c r="AV109" s="170" t="s">
        <v>1426</v>
      </c>
      <c r="BH109" s="5"/>
      <c r="CE109" s="178">
        <v>44082</v>
      </c>
      <c r="CF109" s="179">
        <v>44261</v>
      </c>
    </row>
    <row r="110" spans="1:85" ht="15" thickBot="1">
      <c r="A110" s="164" t="s">
        <v>1427</v>
      </c>
      <c r="C110" s="166"/>
      <c r="D110" s="167">
        <v>35490</v>
      </c>
      <c r="E110" s="164"/>
      <c r="F110" s="168"/>
      <c r="G110" s="168"/>
      <c r="H110" s="168"/>
      <c r="I110" s="168"/>
      <c r="J110" s="168"/>
      <c r="K110" s="168"/>
      <c r="L110" s="168"/>
      <c r="M110" s="168"/>
      <c r="N110" s="168"/>
      <c r="O110" s="168"/>
      <c r="P110" s="168"/>
      <c r="Q110" s="166" t="s">
        <v>1328</v>
      </c>
      <c r="R110" s="169"/>
      <c r="S110" s="169"/>
      <c r="T110" s="169"/>
      <c r="U110" s="169"/>
      <c r="AE110" s="168"/>
      <c r="AF110" s="168"/>
      <c r="AN110" s="166" t="s">
        <v>1368</v>
      </c>
      <c r="AO110" s="168"/>
      <c r="AU110" s="168"/>
      <c r="BH110" s="5"/>
      <c r="CE110" s="178"/>
      <c r="CF110" s="179"/>
    </row>
    <row r="111" spans="1:85" ht="15" thickBot="1">
      <c r="A111" s="164" t="s">
        <v>1428</v>
      </c>
      <c r="C111" s="166"/>
      <c r="D111" s="167">
        <v>35339</v>
      </c>
      <c r="E111" s="164"/>
      <c r="F111" s="168"/>
      <c r="G111" s="168"/>
      <c r="H111" s="168"/>
      <c r="I111" s="168"/>
      <c r="J111" s="168"/>
      <c r="K111" s="168"/>
      <c r="L111" s="168"/>
      <c r="M111" s="168"/>
      <c r="N111" s="168"/>
      <c r="O111" s="168"/>
      <c r="P111" s="168"/>
      <c r="Q111" s="166" t="s">
        <v>1429</v>
      </c>
      <c r="R111" s="169"/>
      <c r="S111" s="169"/>
      <c r="T111" s="169"/>
      <c r="U111" s="169"/>
      <c r="AE111" s="168"/>
      <c r="AF111" s="168"/>
      <c r="AN111" s="166" t="s">
        <v>1430</v>
      </c>
      <c r="AO111" s="168"/>
      <c r="AU111" s="168" t="s">
        <v>1388</v>
      </c>
      <c r="AV111" s="170" t="s">
        <v>1431</v>
      </c>
      <c r="BH111" s="5"/>
      <c r="CE111" s="178">
        <v>44082</v>
      </c>
      <c r="CF111" s="179">
        <v>44261</v>
      </c>
    </row>
    <row r="112" spans="1:85" ht="29.25" thickBot="1">
      <c r="A112" s="180" t="s">
        <v>1432</v>
      </c>
      <c r="C112" s="180"/>
      <c r="D112" s="181"/>
      <c r="E112" s="180"/>
      <c r="F112" s="182"/>
      <c r="G112" s="177"/>
      <c r="H112" s="180"/>
      <c r="I112" s="180"/>
      <c r="J112" s="180"/>
      <c r="K112" s="180"/>
      <c r="L112" s="180"/>
      <c r="M112" s="180"/>
      <c r="N112" s="180"/>
      <c r="O112" s="180"/>
      <c r="P112" s="182"/>
      <c r="Q112" s="183" t="s">
        <v>1402</v>
      </c>
      <c r="R112" s="184"/>
      <c r="S112" s="184"/>
      <c r="T112" s="184"/>
      <c r="U112" s="184"/>
      <c r="V112" s="185"/>
      <c r="W112" s="185"/>
      <c r="AE112" s="182"/>
      <c r="AF112" s="182"/>
      <c r="AH112" s="185"/>
      <c r="AI112" s="186"/>
      <c r="AJ112" s="185"/>
      <c r="AL112" s="185"/>
      <c r="AM112" s="185"/>
      <c r="AN112" s="182"/>
      <c r="AO112" s="180"/>
      <c r="AU112" s="177" t="s">
        <v>1257</v>
      </c>
      <c r="AV112" s="31" t="s">
        <v>1433</v>
      </c>
      <c r="AW112" s="31"/>
      <c r="AX112" s="185"/>
      <c r="AY112" s="185"/>
      <c r="AZ112" s="185"/>
      <c r="BA112" s="185"/>
      <c r="BB112" s="185"/>
      <c r="BC112" s="185"/>
      <c r="BD112" s="185"/>
      <c r="BH112" s="5"/>
      <c r="BQ112" s="207"/>
      <c r="BR112" s="207"/>
      <c r="BS112" s="207"/>
      <c r="CE112" s="173">
        <v>44082</v>
      </c>
      <c r="CF112" s="174">
        <v>44261</v>
      </c>
    </row>
    <row r="113" spans="1:84" ht="29.25" thickBot="1">
      <c r="A113" s="164" t="s">
        <v>1434</v>
      </c>
      <c r="C113" s="166"/>
      <c r="D113" s="167">
        <v>38718</v>
      </c>
      <c r="E113" s="164"/>
      <c r="F113" s="168"/>
      <c r="G113" s="168"/>
      <c r="H113" s="168"/>
      <c r="I113" s="168"/>
      <c r="J113" s="168"/>
      <c r="K113" s="168"/>
      <c r="L113" s="168"/>
      <c r="M113" s="168"/>
      <c r="N113" s="168"/>
      <c r="O113" s="168"/>
      <c r="P113" s="168"/>
      <c r="Q113" s="166" t="s">
        <v>1328</v>
      </c>
      <c r="R113" s="169"/>
      <c r="S113" s="169"/>
      <c r="T113" s="169"/>
      <c r="U113" s="169"/>
      <c r="AE113" s="168"/>
      <c r="AF113" s="168"/>
      <c r="AN113" s="166" t="s">
        <v>1348</v>
      </c>
      <c r="AO113" s="168"/>
      <c r="AU113" s="168"/>
      <c r="BH113" s="5"/>
      <c r="CE113" s="178">
        <v>44082</v>
      </c>
      <c r="CF113" s="179">
        <v>44261</v>
      </c>
    </row>
    <row r="114" spans="1:84" ht="27.75" thickBot="1">
      <c r="A114" s="180" t="s">
        <v>1435</v>
      </c>
      <c r="C114" s="180"/>
      <c r="D114" s="181"/>
      <c r="E114" s="180"/>
      <c r="F114" s="182"/>
      <c r="G114" s="177"/>
      <c r="H114" s="180"/>
      <c r="I114" s="180"/>
      <c r="J114" s="180"/>
      <c r="K114" s="180"/>
      <c r="L114" s="180"/>
      <c r="M114" s="180"/>
      <c r="N114" s="180"/>
      <c r="O114" s="180"/>
      <c r="P114" s="182"/>
      <c r="Q114" s="183" t="s">
        <v>1402</v>
      </c>
      <c r="R114" s="184"/>
      <c r="S114" s="184"/>
      <c r="T114" s="184"/>
      <c r="U114" s="184"/>
      <c r="V114" s="185"/>
      <c r="W114" s="185"/>
      <c r="AE114" s="182"/>
      <c r="AF114" s="182"/>
      <c r="AH114" s="185"/>
      <c r="AI114" s="186"/>
      <c r="AJ114" s="185"/>
      <c r="AL114" s="185"/>
      <c r="AM114" s="185"/>
      <c r="AN114" s="182"/>
      <c r="AO114" s="180"/>
      <c r="AU114" s="177" t="s">
        <v>1257</v>
      </c>
      <c r="AV114" s="31" t="s">
        <v>1436</v>
      </c>
      <c r="AW114" s="31"/>
      <c r="AX114" s="185"/>
      <c r="AY114" s="185"/>
      <c r="AZ114" s="185"/>
      <c r="BA114" s="185"/>
      <c r="BB114" s="185"/>
      <c r="BC114" s="185"/>
      <c r="BD114" s="185"/>
      <c r="BH114" s="5"/>
      <c r="BQ114" s="207"/>
      <c r="BR114" s="207"/>
      <c r="BS114" s="207"/>
      <c r="CE114" s="173">
        <v>44082</v>
      </c>
      <c r="CF114" s="174">
        <v>44261</v>
      </c>
    </row>
    <row r="115" spans="1:84" ht="15" thickBot="1">
      <c r="A115" s="164" t="s">
        <v>1437</v>
      </c>
      <c r="C115" s="166"/>
      <c r="D115" s="167">
        <v>36069</v>
      </c>
      <c r="E115" s="164"/>
      <c r="F115" s="168"/>
      <c r="G115" s="168"/>
      <c r="H115" s="168"/>
      <c r="I115" s="168"/>
      <c r="J115" s="168"/>
      <c r="K115" s="168"/>
      <c r="L115" s="168"/>
      <c r="M115" s="168"/>
      <c r="N115" s="168"/>
      <c r="O115" s="168"/>
      <c r="P115" s="168"/>
      <c r="Q115" s="166" t="s">
        <v>1399</v>
      </c>
      <c r="R115" s="169"/>
      <c r="S115" s="169"/>
      <c r="T115" s="169"/>
      <c r="U115" s="169"/>
      <c r="AE115" s="168"/>
      <c r="AF115" s="168"/>
      <c r="AN115" s="166" t="s">
        <v>1262</v>
      </c>
      <c r="AO115" s="168"/>
      <c r="AU115" s="168"/>
      <c r="BH115" s="5"/>
      <c r="CE115" s="173">
        <v>44082</v>
      </c>
      <c r="CF115" s="174">
        <v>44261</v>
      </c>
    </row>
    <row r="116" spans="1:84" ht="15" thickBot="1">
      <c r="A116" s="164" t="s">
        <v>1438</v>
      </c>
      <c r="C116" s="166"/>
      <c r="D116" s="167">
        <v>36220</v>
      </c>
      <c r="E116" s="164"/>
      <c r="F116" s="168"/>
      <c r="G116" s="168"/>
      <c r="H116" s="168"/>
      <c r="I116" s="168"/>
      <c r="J116" s="168"/>
      <c r="K116" s="168"/>
      <c r="L116" s="168"/>
      <c r="M116" s="168"/>
      <c r="N116" s="168"/>
      <c r="O116" s="168"/>
      <c r="P116" s="168"/>
      <c r="Q116" s="166" t="s">
        <v>1328</v>
      </c>
      <c r="R116" s="169"/>
      <c r="S116" s="169"/>
      <c r="T116" s="169"/>
      <c r="U116" s="169"/>
      <c r="AE116" s="168"/>
      <c r="AF116" s="168"/>
      <c r="AN116" s="166" t="s">
        <v>1336</v>
      </c>
      <c r="AO116" s="168"/>
      <c r="AU116" s="168"/>
      <c r="BH116" s="5"/>
      <c r="CE116" s="173">
        <v>44082</v>
      </c>
      <c r="CF116" s="174">
        <v>44261</v>
      </c>
    </row>
    <row r="117" spans="1:84" ht="15" thickBot="1">
      <c r="A117" s="164" t="s">
        <v>1439</v>
      </c>
      <c r="C117" s="166"/>
      <c r="D117" s="167">
        <v>39326</v>
      </c>
      <c r="E117" s="164"/>
      <c r="F117" s="168"/>
      <c r="G117" s="168"/>
      <c r="H117" s="168"/>
      <c r="I117" s="168"/>
      <c r="J117" s="168"/>
      <c r="K117" s="168"/>
      <c r="L117" s="168" t="s">
        <v>1440</v>
      </c>
      <c r="M117" s="168"/>
      <c r="N117" s="168"/>
      <c r="O117" s="168"/>
      <c r="P117" s="168"/>
      <c r="Q117" s="166" t="s">
        <v>1367</v>
      </c>
      <c r="R117" s="169"/>
      <c r="S117" s="169"/>
      <c r="T117" s="169"/>
      <c r="U117" s="169"/>
      <c r="AE117" s="168"/>
      <c r="AF117" s="168"/>
      <c r="AN117" s="166" t="s">
        <v>1336</v>
      </c>
      <c r="AO117" s="168"/>
      <c r="AU117" s="168" t="s">
        <v>1388</v>
      </c>
      <c r="AV117" s="170" t="s">
        <v>1441</v>
      </c>
      <c r="BH117" s="5"/>
      <c r="CE117" s="173">
        <v>44082</v>
      </c>
      <c r="CF117" s="174">
        <v>44261</v>
      </c>
    </row>
    <row r="118" spans="1:84" ht="15" thickBot="1">
      <c r="A118" s="180" t="s">
        <v>1442</v>
      </c>
      <c r="C118" s="180"/>
      <c r="D118" s="181"/>
      <c r="E118" s="180"/>
      <c r="F118" s="182"/>
      <c r="G118" s="177"/>
      <c r="H118" s="180"/>
      <c r="I118" s="180"/>
      <c r="J118" s="180"/>
      <c r="K118" s="180"/>
      <c r="L118" s="180"/>
      <c r="M118" s="180"/>
      <c r="N118" s="180"/>
      <c r="O118" s="180"/>
      <c r="P118" s="182"/>
      <c r="Q118" s="183" t="s">
        <v>1443</v>
      </c>
      <c r="R118" s="184"/>
      <c r="S118" s="184"/>
      <c r="T118" s="184"/>
      <c r="U118" s="184"/>
      <c r="V118" s="185"/>
      <c r="W118" s="185"/>
      <c r="AE118" s="182"/>
      <c r="AF118" s="182"/>
      <c r="AH118" s="185"/>
      <c r="AI118" s="186"/>
      <c r="AJ118" s="185"/>
      <c r="AL118" s="185"/>
      <c r="AM118" s="185"/>
      <c r="AN118" s="182"/>
      <c r="AO118" s="180"/>
      <c r="AU118" s="177" t="s">
        <v>1257</v>
      </c>
      <c r="AV118" s="31" t="s">
        <v>1444</v>
      </c>
      <c r="AW118" s="31"/>
      <c r="AX118" s="185"/>
      <c r="AY118" s="185"/>
      <c r="AZ118" s="185"/>
      <c r="BA118" s="185"/>
      <c r="BB118" s="185"/>
      <c r="BC118" s="185"/>
      <c r="BD118" s="185"/>
      <c r="BF118" s="198" t="s">
        <v>1314</v>
      </c>
      <c r="BH118" s="5"/>
      <c r="BQ118" s="207"/>
      <c r="BR118" s="207"/>
      <c r="BS118" s="207"/>
      <c r="CE118" s="173">
        <v>44082</v>
      </c>
      <c r="CF118" s="174">
        <v>44261</v>
      </c>
    </row>
    <row r="119" spans="1:84" ht="15" thickBot="1">
      <c r="A119" s="164" t="s">
        <v>1445</v>
      </c>
      <c r="C119" s="166"/>
      <c r="D119" s="167">
        <v>36526</v>
      </c>
      <c r="E119" s="164"/>
      <c r="F119" s="168"/>
      <c r="G119" s="168"/>
      <c r="H119" s="168"/>
      <c r="I119" s="168"/>
      <c r="J119" s="168"/>
      <c r="K119" s="168"/>
      <c r="L119" s="168"/>
      <c r="M119" s="168"/>
      <c r="N119" s="168"/>
      <c r="O119" s="168"/>
      <c r="P119" s="168"/>
      <c r="Q119" s="166" t="s">
        <v>1410</v>
      </c>
      <c r="R119" s="169"/>
      <c r="S119" s="169"/>
      <c r="T119" s="169"/>
      <c r="U119" s="169"/>
      <c r="AE119" s="168"/>
      <c r="AF119" s="168"/>
      <c r="AN119" s="166" t="s">
        <v>1430</v>
      </c>
      <c r="AO119" s="168"/>
      <c r="AU119" s="168"/>
      <c r="BH119" s="5"/>
      <c r="CE119" s="178">
        <v>44082</v>
      </c>
      <c r="CF119" s="179">
        <v>44261</v>
      </c>
    </row>
    <row r="120" spans="1:84" ht="15" thickBot="1">
      <c r="A120" s="164" t="s">
        <v>1446</v>
      </c>
      <c r="C120" s="166"/>
      <c r="D120" s="167">
        <v>39479</v>
      </c>
      <c r="E120" s="164"/>
      <c r="F120" s="168"/>
      <c r="G120" s="168"/>
      <c r="H120" s="168"/>
      <c r="I120" s="168"/>
      <c r="J120" s="168"/>
      <c r="K120" s="168"/>
      <c r="L120" s="168"/>
      <c r="M120" s="168"/>
      <c r="N120" s="168"/>
      <c r="O120" s="168"/>
      <c r="P120" s="168"/>
      <c r="Q120" s="166" t="s">
        <v>1447</v>
      </c>
      <c r="R120" s="169"/>
      <c r="S120" s="169"/>
      <c r="T120" s="169"/>
      <c r="U120" s="169"/>
      <c r="AE120" s="168"/>
      <c r="AF120" s="168"/>
      <c r="AN120" s="166" t="s">
        <v>1262</v>
      </c>
      <c r="AO120" s="168"/>
      <c r="AU120" s="168" t="s">
        <v>1388</v>
      </c>
      <c r="AV120" s="170" t="s">
        <v>1448</v>
      </c>
      <c r="BH120" s="5"/>
      <c r="CE120" s="178">
        <v>44082</v>
      </c>
      <c r="CF120" s="179">
        <v>44261</v>
      </c>
    </row>
    <row r="121" spans="1:84" ht="15" thickBot="1">
      <c r="A121" s="164" t="s">
        <v>1449</v>
      </c>
      <c r="C121" s="166"/>
      <c r="D121" s="167">
        <v>39022</v>
      </c>
      <c r="E121" s="164"/>
      <c r="F121" s="168"/>
      <c r="G121" s="168"/>
      <c r="H121" s="168"/>
      <c r="I121" s="168"/>
      <c r="J121" s="168"/>
      <c r="K121" s="168"/>
      <c r="L121" s="168"/>
      <c r="M121" s="168"/>
      <c r="N121" s="168"/>
      <c r="O121" s="168"/>
      <c r="P121" s="168"/>
      <c r="Q121" s="166"/>
      <c r="R121" s="169"/>
      <c r="S121" s="169"/>
      <c r="T121" s="169"/>
      <c r="U121" s="169"/>
      <c r="AE121" s="168"/>
      <c r="AF121" s="168"/>
      <c r="AN121" s="166" t="s">
        <v>1450</v>
      </c>
      <c r="AO121" s="168"/>
      <c r="AU121" s="168" t="s">
        <v>1388</v>
      </c>
      <c r="AV121" s="170" t="s">
        <v>1451</v>
      </c>
      <c r="BH121" s="5"/>
      <c r="CE121" s="173">
        <v>44082</v>
      </c>
      <c r="CF121" s="174">
        <v>44261</v>
      </c>
    </row>
    <row r="122" spans="1:84" ht="17.25" thickBot="1">
      <c r="A122" s="206" t="s">
        <v>1452</v>
      </c>
      <c r="C122" s="168"/>
      <c r="D122" s="202"/>
      <c r="E122" s="206"/>
      <c r="F122" s="168"/>
      <c r="G122" s="168"/>
      <c r="H122" s="168"/>
      <c r="I122" s="168"/>
      <c r="J122" s="168"/>
      <c r="K122" s="168"/>
      <c r="L122" s="168"/>
      <c r="M122" s="168"/>
      <c r="N122" s="168"/>
      <c r="O122" s="168"/>
      <c r="P122" s="168"/>
      <c r="Q122" s="168"/>
      <c r="AE122" s="168"/>
      <c r="AF122" s="168"/>
      <c r="AN122" s="168"/>
      <c r="AO122" s="208" t="s">
        <v>1453</v>
      </c>
      <c r="AU122" s="168"/>
      <c r="BH122" s="5"/>
      <c r="CE122" s="178">
        <v>44082</v>
      </c>
      <c r="CF122" s="179">
        <v>44261</v>
      </c>
    </row>
    <row r="123" spans="1:84" ht="29.25" thickBot="1">
      <c r="A123" s="164" t="s">
        <v>1454</v>
      </c>
      <c r="C123" s="166"/>
      <c r="D123" s="167">
        <v>38808</v>
      </c>
      <c r="E123" s="164"/>
      <c r="F123" s="168"/>
      <c r="G123" s="168"/>
      <c r="H123" s="168"/>
      <c r="I123" s="168"/>
      <c r="J123" s="168"/>
      <c r="K123" s="168"/>
      <c r="L123" s="168"/>
      <c r="M123" s="168"/>
      <c r="N123" s="168"/>
      <c r="O123" s="168"/>
      <c r="P123" s="168"/>
      <c r="Q123" s="166" t="s">
        <v>1328</v>
      </c>
      <c r="R123" s="169"/>
      <c r="S123" s="169"/>
      <c r="T123" s="169"/>
      <c r="U123" s="169"/>
      <c r="AE123" s="168"/>
      <c r="AF123" s="168"/>
      <c r="AN123" s="166" t="s">
        <v>1397</v>
      </c>
      <c r="AO123" s="168"/>
      <c r="AU123" s="168" t="s">
        <v>1388</v>
      </c>
      <c r="AV123" s="170" t="s">
        <v>1455</v>
      </c>
      <c r="BH123" s="5"/>
      <c r="CE123" s="173">
        <v>44082</v>
      </c>
      <c r="CF123" s="174">
        <v>44261</v>
      </c>
    </row>
    <row r="124" spans="1:84" ht="15" thickBot="1">
      <c r="A124" s="164" t="s">
        <v>1456</v>
      </c>
      <c r="C124" s="166"/>
      <c r="D124" s="167">
        <v>37987</v>
      </c>
      <c r="E124" s="164"/>
      <c r="F124" s="168"/>
      <c r="G124" s="168"/>
      <c r="H124" s="168"/>
      <c r="I124" s="168"/>
      <c r="J124" s="168"/>
      <c r="K124" s="168"/>
      <c r="L124" s="168"/>
      <c r="M124" s="168"/>
      <c r="N124" s="168"/>
      <c r="O124" s="168"/>
      <c r="P124" s="168"/>
      <c r="Q124" s="166" t="s">
        <v>1457</v>
      </c>
      <c r="R124" s="169"/>
      <c r="S124" s="169"/>
      <c r="T124" s="169"/>
      <c r="U124" s="169"/>
      <c r="AE124" s="168"/>
      <c r="AF124" s="168"/>
      <c r="AN124" s="166" t="s">
        <v>1397</v>
      </c>
      <c r="AO124" s="168"/>
      <c r="AU124" s="168" t="s">
        <v>1388</v>
      </c>
      <c r="AV124" s="170" t="s">
        <v>1458</v>
      </c>
      <c r="BH124" s="5"/>
      <c r="CE124" s="173">
        <v>44082</v>
      </c>
      <c r="CF124" s="174">
        <v>44261</v>
      </c>
    </row>
    <row r="125" spans="1:84" ht="15" thickBot="1">
      <c r="A125" s="201" t="s">
        <v>1459</v>
      </c>
      <c r="C125" s="180"/>
      <c r="D125" s="181"/>
      <c r="E125" s="180"/>
      <c r="F125" s="182"/>
      <c r="G125" s="177"/>
      <c r="H125" s="180"/>
      <c r="I125" s="180"/>
      <c r="J125" s="180"/>
      <c r="K125" s="180"/>
      <c r="L125" s="180"/>
      <c r="M125" s="180"/>
      <c r="N125" s="180"/>
      <c r="O125" s="180"/>
      <c r="P125" s="182"/>
      <c r="Q125" s="183" t="s">
        <v>1460</v>
      </c>
      <c r="R125" s="184"/>
      <c r="S125" s="184"/>
      <c r="T125" s="184"/>
      <c r="U125" s="184"/>
      <c r="V125" s="185"/>
      <c r="W125" s="185"/>
      <c r="AE125" s="182"/>
      <c r="AF125" s="182"/>
      <c r="AH125" s="185"/>
      <c r="AI125" s="186"/>
      <c r="AJ125" s="185"/>
      <c r="AL125" s="185"/>
      <c r="AM125" s="185"/>
      <c r="AN125" s="182"/>
      <c r="AO125" s="180"/>
      <c r="AU125" s="177" t="s">
        <v>1388</v>
      </c>
      <c r="AV125" s="31" t="s">
        <v>1461</v>
      </c>
      <c r="AW125" s="31"/>
      <c r="AX125" s="185"/>
      <c r="AY125" s="185"/>
      <c r="AZ125" s="185"/>
      <c r="BA125" s="185"/>
      <c r="BB125" s="185"/>
      <c r="BC125" s="185"/>
      <c r="BD125" s="185"/>
      <c r="BH125" s="5"/>
      <c r="BQ125" s="207"/>
      <c r="BR125" s="207"/>
      <c r="BS125" s="207"/>
      <c r="CE125" s="173">
        <v>44082</v>
      </c>
      <c r="CF125" s="174">
        <v>44261</v>
      </c>
    </row>
    <row r="126" spans="1:84" ht="29.25" thickBot="1">
      <c r="A126" s="164" t="s">
        <v>1462</v>
      </c>
      <c r="C126" s="166"/>
      <c r="D126" s="167">
        <v>36647</v>
      </c>
      <c r="E126" s="164"/>
      <c r="F126" s="168"/>
      <c r="G126" s="168"/>
      <c r="H126" s="168"/>
      <c r="I126" s="168"/>
      <c r="J126" s="168"/>
      <c r="K126" s="168"/>
      <c r="L126" s="168"/>
      <c r="M126" s="168"/>
      <c r="N126" s="168"/>
      <c r="O126" s="168"/>
      <c r="P126" s="168"/>
      <c r="Q126" s="166" t="s">
        <v>1328</v>
      </c>
      <c r="R126" s="169"/>
      <c r="S126" s="169"/>
      <c r="T126" s="169"/>
      <c r="U126" s="169"/>
      <c r="AE126" s="168"/>
      <c r="AF126" s="168"/>
      <c r="AN126" s="166" t="s">
        <v>1463</v>
      </c>
      <c r="AO126" s="168"/>
      <c r="AU126" s="168" t="s">
        <v>1388</v>
      </c>
      <c r="AV126" s="170" t="s">
        <v>1464</v>
      </c>
      <c r="BH126" s="5"/>
      <c r="CE126" s="173">
        <v>44082</v>
      </c>
      <c r="CF126" s="174">
        <v>44261</v>
      </c>
    </row>
    <row r="127" spans="1:84" ht="29.25" thickBot="1">
      <c r="A127" s="164" t="s">
        <v>1465</v>
      </c>
      <c r="C127" s="166"/>
      <c r="D127" s="167">
        <v>35735</v>
      </c>
      <c r="E127" s="164"/>
      <c r="F127" s="168"/>
      <c r="G127" s="168"/>
      <c r="H127" s="168"/>
      <c r="I127" s="168"/>
      <c r="J127" s="168"/>
      <c r="K127" s="168"/>
      <c r="L127" s="168"/>
      <c r="M127" s="168"/>
      <c r="N127" s="168"/>
      <c r="O127" s="168"/>
      <c r="P127" s="168"/>
      <c r="Q127" s="166" t="s">
        <v>1466</v>
      </c>
      <c r="R127" s="169"/>
      <c r="S127" s="169"/>
      <c r="T127" s="169"/>
      <c r="U127" s="169"/>
      <c r="AE127" s="168"/>
      <c r="AF127" s="168"/>
      <c r="AN127" s="166" t="s">
        <v>1397</v>
      </c>
      <c r="AO127" s="168"/>
      <c r="AU127" s="168" t="s">
        <v>1388</v>
      </c>
      <c r="AV127" s="170" t="s">
        <v>1467</v>
      </c>
      <c r="BH127" s="5"/>
      <c r="CE127" s="173"/>
    </row>
    <row r="128" spans="1:84" ht="15" thickBot="1">
      <c r="A128" s="180" t="s">
        <v>1468</v>
      </c>
      <c r="C128" s="180"/>
      <c r="D128" s="181"/>
      <c r="E128" s="180"/>
      <c r="F128" s="182"/>
      <c r="G128" s="177"/>
      <c r="H128" s="180"/>
      <c r="I128" s="180"/>
      <c r="J128" s="180"/>
      <c r="K128" s="180"/>
      <c r="L128" s="180"/>
      <c r="M128" s="180"/>
      <c r="N128" s="180"/>
      <c r="O128" s="180"/>
      <c r="P128" s="182"/>
      <c r="Q128" s="183" t="s">
        <v>1469</v>
      </c>
      <c r="R128" s="184"/>
      <c r="S128" s="184"/>
      <c r="T128" s="184"/>
      <c r="U128" s="184"/>
      <c r="V128" s="185"/>
      <c r="W128" s="185"/>
      <c r="AE128" s="182"/>
      <c r="AF128" s="182"/>
      <c r="AH128" s="185"/>
      <c r="AI128" s="186"/>
      <c r="AJ128" s="185"/>
      <c r="AL128" s="185"/>
      <c r="AM128" s="185"/>
      <c r="AN128" s="182"/>
      <c r="AO128" s="180"/>
      <c r="AU128" s="177" t="s">
        <v>1257</v>
      </c>
      <c r="AV128" s="31" t="s">
        <v>1470</v>
      </c>
      <c r="AW128" s="31"/>
      <c r="AX128" s="185"/>
      <c r="AY128" s="185"/>
      <c r="AZ128" s="185"/>
      <c r="BA128" s="185"/>
      <c r="BB128" s="185"/>
      <c r="BC128" s="185"/>
      <c r="BD128" s="185"/>
      <c r="BH128" s="5"/>
      <c r="BQ128" s="207"/>
      <c r="BR128" s="207"/>
      <c r="BS128" s="207"/>
      <c r="CE128" s="173"/>
    </row>
    <row r="129" spans="1:84" ht="15" thickBot="1">
      <c r="A129" s="164" t="s">
        <v>1471</v>
      </c>
      <c r="C129" s="166"/>
      <c r="D129" s="167">
        <v>32752</v>
      </c>
      <c r="E129" s="164"/>
      <c r="F129" s="168"/>
      <c r="G129" s="168"/>
      <c r="H129" s="168"/>
      <c r="I129" s="168"/>
      <c r="J129" s="168"/>
      <c r="K129" s="168"/>
      <c r="L129" s="168"/>
      <c r="M129" s="168"/>
      <c r="N129" s="168"/>
      <c r="O129" s="168"/>
      <c r="P129" s="168"/>
      <c r="Q129" s="166" t="s">
        <v>1472</v>
      </c>
      <c r="R129" s="169"/>
      <c r="S129" s="169"/>
      <c r="T129" s="169"/>
      <c r="U129" s="169"/>
      <c r="AE129" s="168"/>
      <c r="AF129" s="168"/>
      <c r="AN129" s="166" t="s">
        <v>1383</v>
      </c>
      <c r="AO129" s="168"/>
      <c r="AU129" s="168"/>
      <c r="AV129" s="206"/>
      <c r="BH129" s="5"/>
      <c r="CE129" s="173">
        <v>44082</v>
      </c>
      <c r="CF129" s="174">
        <v>44261</v>
      </c>
    </row>
    <row r="130" spans="1:84" ht="15" thickBot="1">
      <c r="A130" s="206" t="s">
        <v>1473</v>
      </c>
      <c r="B130" s="169"/>
      <c r="C130" s="168"/>
      <c r="D130" s="202"/>
      <c r="E130" s="206"/>
      <c r="F130" s="168"/>
      <c r="G130" s="168"/>
      <c r="H130" s="168"/>
      <c r="I130" s="168"/>
      <c r="J130" s="168"/>
      <c r="K130" s="168"/>
      <c r="L130" s="168"/>
      <c r="M130" s="168"/>
      <c r="N130" s="168"/>
      <c r="O130" s="168"/>
      <c r="P130" s="168"/>
      <c r="Q130" s="168"/>
      <c r="AE130" s="168"/>
      <c r="AF130" s="203"/>
      <c r="AN130" s="168"/>
      <c r="AO130" s="168"/>
      <c r="AU130" s="168"/>
      <c r="AV130" s="209" t="s">
        <v>1474</v>
      </c>
      <c r="AW130" s="209"/>
      <c r="BH130" s="5"/>
      <c r="CE130" s="173">
        <v>44082</v>
      </c>
      <c r="CF130" s="174">
        <v>44261</v>
      </c>
    </row>
    <row r="131" spans="1:84" ht="15" thickBot="1">
      <c r="A131" s="164" t="s">
        <v>1475</v>
      </c>
      <c r="C131" s="166"/>
      <c r="D131" s="167">
        <v>37073</v>
      </c>
      <c r="E131" s="164"/>
      <c r="F131" s="168"/>
      <c r="G131" s="168"/>
      <c r="H131" s="168"/>
      <c r="I131" s="168"/>
      <c r="J131" s="168"/>
      <c r="K131" s="168"/>
      <c r="L131" s="168"/>
      <c r="M131" s="168"/>
      <c r="N131" s="168"/>
      <c r="O131" s="168"/>
      <c r="P131" s="168"/>
      <c r="Q131" s="166" t="s">
        <v>1476</v>
      </c>
      <c r="R131" s="169"/>
      <c r="S131" s="169"/>
      <c r="T131" s="169"/>
      <c r="U131" s="169"/>
      <c r="AE131" s="168"/>
      <c r="AF131" s="168"/>
      <c r="AN131" s="166" t="s">
        <v>1256</v>
      </c>
      <c r="AO131" s="168"/>
      <c r="AU131" s="168"/>
      <c r="BH131" s="5"/>
      <c r="CE131" s="173">
        <v>44082</v>
      </c>
      <c r="CF131" s="174">
        <v>44261</v>
      </c>
    </row>
    <row r="132" spans="1:84" ht="15" thickBot="1">
      <c r="A132" s="180" t="s">
        <v>1477</v>
      </c>
      <c r="C132" s="180"/>
      <c r="D132" s="181"/>
      <c r="E132" s="180"/>
      <c r="F132" s="182"/>
      <c r="G132" s="177"/>
      <c r="H132" s="180"/>
      <c r="I132" s="180"/>
      <c r="J132" s="180"/>
      <c r="K132" s="180"/>
      <c r="L132" s="180"/>
      <c r="M132" s="180"/>
      <c r="N132" s="180"/>
      <c r="O132" s="180"/>
      <c r="P132" s="182"/>
      <c r="Q132" s="183" t="s">
        <v>1478</v>
      </c>
      <c r="R132" s="184"/>
      <c r="S132" s="184"/>
      <c r="T132" s="184"/>
      <c r="U132" s="184"/>
      <c r="V132" s="185"/>
      <c r="W132" s="185"/>
      <c r="AE132" s="182"/>
      <c r="AF132" s="182"/>
      <c r="AH132" s="185"/>
      <c r="AI132" s="186"/>
      <c r="AJ132" s="185"/>
      <c r="AL132" s="185"/>
      <c r="AM132" s="185"/>
      <c r="AN132" s="182"/>
      <c r="AO132" s="180"/>
      <c r="AU132" s="177" t="s">
        <v>1257</v>
      </c>
      <c r="AV132" s="212" t="s">
        <v>1479</v>
      </c>
      <c r="AW132" s="212"/>
      <c r="AX132" s="185"/>
      <c r="AY132" s="185"/>
      <c r="AZ132" s="185"/>
      <c r="BA132" s="185"/>
      <c r="BB132" s="185"/>
      <c r="BC132" s="185"/>
      <c r="BD132" s="185"/>
      <c r="BH132" s="5"/>
      <c r="BQ132" s="207"/>
      <c r="BR132" s="207"/>
      <c r="BS132" s="207"/>
      <c r="CE132" s="178">
        <v>44082</v>
      </c>
      <c r="CF132" s="179">
        <v>44261</v>
      </c>
    </row>
    <row r="133" spans="1:84" ht="29.25" thickBot="1">
      <c r="A133" s="164" t="s">
        <v>1480</v>
      </c>
      <c r="C133" s="166"/>
      <c r="D133" s="167">
        <v>40057</v>
      </c>
      <c r="E133" s="164"/>
      <c r="F133" s="168"/>
      <c r="G133" s="168"/>
      <c r="H133" s="168"/>
      <c r="I133" s="168"/>
      <c r="J133" s="168"/>
      <c r="K133" s="168"/>
      <c r="L133" s="168"/>
      <c r="M133" s="168"/>
      <c r="N133" s="168"/>
      <c r="O133" s="168"/>
      <c r="P133" s="168"/>
      <c r="Q133" s="166" t="s">
        <v>1328</v>
      </c>
      <c r="R133" s="169"/>
      <c r="S133" s="169"/>
      <c r="T133" s="169"/>
      <c r="U133" s="169"/>
      <c r="AE133" s="168"/>
      <c r="AF133" s="168"/>
      <c r="AN133" s="166" t="s">
        <v>1481</v>
      </c>
      <c r="AO133" s="168"/>
      <c r="AU133" s="168"/>
      <c r="BH133" s="5"/>
      <c r="CE133" s="173">
        <v>44082</v>
      </c>
      <c r="CF133" s="174">
        <v>44261</v>
      </c>
    </row>
    <row r="134" spans="1:84" ht="29.25" thickBot="1">
      <c r="A134" s="164" t="s">
        <v>1482</v>
      </c>
      <c r="C134" s="166"/>
      <c r="D134" s="167">
        <v>37257</v>
      </c>
      <c r="E134" s="164"/>
      <c r="F134" s="168"/>
      <c r="G134" s="168"/>
      <c r="H134" s="168"/>
      <c r="I134" s="168"/>
      <c r="J134" s="168"/>
      <c r="K134" s="168"/>
      <c r="L134" s="168"/>
      <c r="M134" s="168"/>
      <c r="N134" s="168"/>
      <c r="O134" s="168"/>
      <c r="P134" s="168"/>
      <c r="Q134" s="166" t="s">
        <v>1457</v>
      </c>
      <c r="R134" s="169"/>
      <c r="S134" s="169"/>
      <c r="T134" s="169"/>
      <c r="U134" s="169"/>
      <c r="AE134" s="168"/>
      <c r="AF134" s="168"/>
      <c r="AN134" s="166" t="s">
        <v>1397</v>
      </c>
      <c r="AO134" s="168"/>
      <c r="AU134" s="168" t="s">
        <v>1388</v>
      </c>
      <c r="AV134" s="170" t="s">
        <v>1483</v>
      </c>
      <c r="BH134" s="5"/>
      <c r="CE134" s="173">
        <v>44082</v>
      </c>
      <c r="CF134" s="174">
        <v>44261</v>
      </c>
    </row>
    <row r="135" spans="1:84" ht="31.5" thickBot="1">
      <c r="A135" s="206" t="s">
        <v>1484</v>
      </c>
      <c r="C135" s="168"/>
      <c r="D135" s="202"/>
      <c r="E135" s="206"/>
      <c r="F135" s="168"/>
      <c r="G135" s="168"/>
      <c r="H135" s="168"/>
      <c r="I135" s="168"/>
      <c r="J135" s="168"/>
      <c r="K135" s="168"/>
      <c r="L135" s="168"/>
      <c r="M135" s="168"/>
      <c r="N135" s="168"/>
      <c r="O135" s="168"/>
      <c r="P135" s="168"/>
      <c r="Q135" s="168"/>
      <c r="AE135" s="168"/>
      <c r="AF135" s="168"/>
      <c r="AN135" s="168"/>
      <c r="AO135" s="168"/>
      <c r="AR135" s="170" t="s">
        <v>1485</v>
      </c>
      <c r="AT135" s="165" t="s">
        <v>1486</v>
      </c>
      <c r="AU135" s="177" t="s">
        <v>1257</v>
      </c>
      <c r="AV135" s="170" t="s">
        <v>1487</v>
      </c>
      <c r="BH135" s="5"/>
      <c r="CE135" s="173">
        <v>44082</v>
      </c>
      <c r="CF135" s="174">
        <v>44261</v>
      </c>
    </row>
    <row r="136" spans="1:84" ht="43.5" thickBot="1">
      <c r="A136" s="206" t="s">
        <v>1488</v>
      </c>
      <c r="C136" s="168"/>
      <c r="D136" s="202"/>
      <c r="E136" s="206"/>
      <c r="F136" s="168"/>
      <c r="G136" s="168"/>
      <c r="H136" s="168"/>
      <c r="I136" s="168"/>
      <c r="J136" s="168"/>
      <c r="K136" s="168"/>
      <c r="L136" s="168"/>
      <c r="M136" s="168"/>
      <c r="N136" s="168"/>
      <c r="O136" s="168"/>
      <c r="P136" s="168"/>
      <c r="Q136" s="168"/>
      <c r="AE136" s="168"/>
      <c r="AF136" s="168"/>
      <c r="AN136" s="168"/>
      <c r="AO136" s="168"/>
      <c r="AR136" s="170" t="s">
        <v>1489</v>
      </c>
      <c r="AU136" s="177" t="s">
        <v>1257</v>
      </c>
      <c r="BH136" s="5"/>
      <c r="CE136" s="178">
        <v>44082</v>
      </c>
      <c r="CF136" s="179">
        <v>44261</v>
      </c>
    </row>
    <row r="137" spans="1:84" ht="29.25" thickBot="1">
      <c r="A137" s="164" t="s">
        <v>1490</v>
      </c>
      <c r="C137" s="166"/>
      <c r="D137" s="167">
        <v>38838</v>
      </c>
      <c r="E137" s="164"/>
      <c r="F137" s="168"/>
      <c r="G137" s="168"/>
      <c r="H137" s="168"/>
      <c r="I137" s="168"/>
      <c r="J137" s="168"/>
      <c r="K137" s="168"/>
      <c r="L137" s="168"/>
      <c r="M137" s="168"/>
      <c r="N137" s="168"/>
      <c r="O137" s="168"/>
      <c r="P137" s="168"/>
      <c r="Q137" s="166" t="s">
        <v>1491</v>
      </c>
      <c r="R137" s="169"/>
      <c r="S137" s="169"/>
      <c r="T137" s="169"/>
      <c r="U137" s="169"/>
      <c r="AE137" s="168"/>
      <c r="AF137" s="168"/>
      <c r="AN137" s="166" t="s">
        <v>1492</v>
      </c>
      <c r="AO137" s="168"/>
      <c r="AU137" s="168"/>
      <c r="BH137" s="5"/>
      <c r="CE137" s="173">
        <v>44082</v>
      </c>
      <c r="CF137" s="174">
        <v>44261</v>
      </c>
    </row>
    <row r="138" spans="1:84" ht="29.25" thickBot="1">
      <c r="A138" s="164" t="s">
        <v>1493</v>
      </c>
      <c r="C138" s="166"/>
      <c r="D138" s="167">
        <v>37135</v>
      </c>
      <c r="E138" s="164"/>
      <c r="F138" s="168"/>
      <c r="G138" s="168"/>
      <c r="H138" s="168"/>
      <c r="I138" s="168"/>
      <c r="J138" s="168"/>
      <c r="K138" s="168"/>
      <c r="L138" s="168"/>
      <c r="M138" s="168"/>
      <c r="N138" s="168"/>
      <c r="O138" s="168"/>
      <c r="P138" s="168"/>
      <c r="Q138" s="166" t="s">
        <v>1328</v>
      </c>
      <c r="R138" s="169"/>
      <c r="S138" s="169"/>
      <c r="T138" s="169"/>
      <c r="U138" s="169"/>
      <c r="AE138" s="168"/>
      <c r="AF138" s="168"/>
      <c r="AN138" s="166" t="s">
        <v>1336</v>
      </c>
      <c r="AO138" s="168"/>
      <c r="AU138" s="168" t="s">
        <v>1388</v>
      </c>
      <c r="AV138" s="170" t="s">
        <v>1494</v>
      </c>
      <c r="BH138" s="5"/>
      <c r="CE138" s="173">
        <v>44082</v>
      </c>
      <c r="CF138" s="174">
        <v>44261</v>
      </c>
    </row>
    <row r="139" spans="1:84" ht="15" thickBot="1">
      <c r="A139" s="206" t="s">
        <v>1495</v>
      </c>
      <c r="C139" s="168"/>
      <c r="D139" s="202"/>
      <c r="E139" s="206"/>
      <c r="F139" s="168"/>
      <c r="G139" s="168"/>
      <c r="H139" s="168"/>
      <c r="I139" s="168"/>
      <c r="J139" s="168"/>
      <c r="K139" s="168"/>
      <c r="L139" s="168"/>
      <c r="M139" s="168"/>
      <c r="N139" s="168"/>
      <c r="O139" s="168"/>
      <c r="P139" s="168"/>
      <c r="Q139" s="168"/>
      <c r="AE139" s="168"/>
      <c r="AF139" s="168"/>
      <c r="AN139" s="168"/>
      <c r="AO139" s="168" t="s">
        <v>1496</v>
      </c>
      <c r="AU139" s="168"/>
      <c r="BH139" s="5"/>
      <c r="CE139" s="173">
        <v>44082</v>
      </c>
      <c r="CF139" s="174">
        <v>44261</v>
      </c>
    </row>
    <row r="140" spans="1:84" ht="15" thickBot="1">
      <c r="A140" s="206" t="s">
        <v>1497</v>
      </c>
      <c r="B140" s="165" t="s">
        <v>1498</v>
      </c>
      <c r="C140" s="168"/>
      <c r="D140" s="202"/>
      <c r="E140" s="206"/>
      <c r="F140" s="203"/>
      <c r="G140" s="177"/>
      <c r="H140" s="168"/>
      <c r="I140" s="168"/>
      <c r="J140" s="168"/>
      <c r="K140" s="168"/>
      <c r="L140" s="168"/>
      <c r="M140" s="168"/>
      <c r="N140" s="168"/>
      <c r="O140" s="168"/>
      <c r="P140" s="203"/>
      <c r="Q140" s="168"/>
      <c r="V140" s="185"/>
      <c r="W140" s="185"/>
      <c r="AE140" s="203"/>
      <c r="AF140" s="203"/>
      <c r="AH140" s="185"/>
      <c r="AI140" s="204"/>
      <c r="AJ140" s="185"/>
      <c r="AL140" s="185"/>
      <c r="AM140" s="185"/>
      <c r="AN140" s="203"/>
      <c r="AO140" s="168"/>
      <c r="AU140" s="177" t="s">
        <v>1257</v>
      </c>
      <c r="AV140" s="31" t="s">
        <v>1499</v>
      </c>
      <c r="AW140" s="31"/>
      <c r="AX140" s="185"/>
      <c r="AY140" s="185"/>
      <c r="AZ140" s="185"/>
      <c r="BA140" s="185"/>
      <c r="BB140" s="185"/>
      <c r="BC140" s="185"/>
      <c r="BD140" s="185"/>
      <c r="BH140" s="5"/>
      <c r="BQ140" s="207"/>
      <c r="BR140" s="207"/>
      <c r="BS140" s="207"/>
      <c r="CE140" s="173">
        <v>44082</v>
      </c>
      <c r="CF140" s="174">
        <v>44261</v>
      </c>
    </row>
    <row r="141" spans="1:84" ht="15" thickBot="1">
      <c r="A141" s="164" t="s">
        <v>1500</v>
      </c>
      <c r="C141" s="166"/>
      <c r="D141" s="167">
        <v>38078</v>
      </c>
      <c r="E141" s="164"/>
      <c r="F141" s="168"/>
      <c r="G141" s="168"/>
      <c r="H141" s="168"/>
      <c r="I141" s="168"/>
      <c r="J141" s="168"/>
      <c r="K141" s="168"/>
      <c r="L141" s="168"/>
      <c r="M141" s="168"/>
      <c r="N141" s="168"/>
      <c r="O141" s="168"/>
      <c r="P141" s="168"/>
      <c r="Q141" s="166" t="s">
        <v>1410</v>
      </c>
      <c r="R141" s="169"/>
      <c r="S141" s="169"/>
      <c r="T141" s="169"/>
      <c r="U141" s="169"/>
      <c r="AE141" s="168"/>
      <c r="AF141" s="168"/>
      <c r="AN141" s="166" t="s">
        <v>1368</v>
      </c>
      <c r="AO141" s="168"/>
      <c r="AU141" s="168" t="s">
        <v>1388</v>
      </c>
      <c r="AV141" s="170" t="s">
        <v>1501</v>
      </c>
      <c r="BH141" s="5"/>
      <c r="CE141" s="178">
        <v>44082</v>
      </c>
      <c r="CF141" s="179">
        <v>44261</v>
      </c>
    </row>
    <row r="142" spans="1:84" ht="15" thickBot="1">
      <c r="A142" s="164" t="s">
        <v>1502</v>
      </c>
      <c r="C142" s="166"/>
      <c r="D142" s="167">
        <v>33573</v>
      </c>
      <c r="E142" s="164"/>
      <c r="F142" s="168"/>
      <c r="G142" s="168"/>
      <c r="H142" s="168"/>
      <c r="I142" s="168"/>
      <c r="J142" s="168"/>
      <c r="K142" s="168"/>
      <c r="L142" s="168"/>
      <c r="M142" s="168"/>
      <c r="N142" s="168"/>
      <c r="O142" s="168"/>
      <c r="P142" s="168"/>
      <c r="Q142" s="166" t="s">
        <v>1503</v>
      </c>
      <c r="R142" s="169"/>
      <c r="S142" s="169"/>
      <c r="T142" s="169"/>
      <c r="U142" s="169"/>
      <c r="AE142" s="168"/>
      <c r="AF142" s="168"/>
      <c r="AN142" s="166" t="s">
        <v>1256</v>
      </c>
      <c r="AO142" s="168"/>
      <c r="AU142" s="168" t="s">
        <v>1388</v>
      </c>
      <c r="AV142" s="206" t="s">
        <v>1504</v>
      </c>
      <c r="BH142" s="5"/>
      <c r="CE142" s="173">
        <v>44082</v>
      </c>
      <c r="CF142" s="174">
        <v>44261</v>
      </c>
    </row>
    <row r="143" spans="1:84" ht="15" thickBot="1">
      <c r="A143" s="164" t="s">
        <v>1505</v>
      </c>
      <c r="C143" s="166"/>
      <c r="D143" s="167">
        <v>39630</v>
      </c>
      <c r="E143" s="164"/>
      <c r="F143" s="168"/>
      <c r="G143" s="168"/>
      <c r="H143" s="168"/>
      <c r="I143" s="168"/>
      <c r="J143" s="168"/>
      <c r="K143" s="168"/>
      <c r="L143" s="168"/>
      <c r="M143" s="168"/>
      <c r="N143" s="168"/>
      <c r="O143" s="168"/>
      <c r="P143" s="168"/>
      <c r="Q143" s="166" t="s">
        <v>1506</v>
      </c>
      <c r="R143" s="169"/>
      <c r="S143" s="169"/>
      <c r="T143" s="169"/>
      <c r="U143" s="169"/>
      <c r="AE143" s="168"/>
      <c r="AF143" s="168"/>
      <c r="AN143" s="166" t="s">
        <v>1507</v>
      </c>
      <c r="AO143" s="168"/>
      <c r="AU143" s="168"/>
      <c r="BH143" s="5"/>
      <c r="CE143" s="178">
        <v>44082</v>
      </c>
      <c r="CF143" s="179">
        <v>44261</v>
      </c>
    </row>
    <row r="144" spans="1:84" ht="15" thickBot="1">
      <c r="A144" s="164" t="s">
        <v>1508</v>
      </c>
      <c r="C144" s="166"/>
      <c r="D144" s="167">
        <v>37469</v>
      </c>
      <c r="E144" s="164"/>
      <c r="F144" s="168"/>
      <c r="G144" s="168"/>
      <c r="H144" s="168"/>
      <c r="I144" s="168"/>
      <c r="J144" s="168"/>
      <c r="K144" s="168"/>
      <c r="L144" s="168"/>
      <c r="M144" s="168"/>
      <c r="N144" s="168"/>
      <c r="O144" s="168"/>
      <c r="P144" s="168"/>
      <c r="Q144" s="166" t="s">
        <v>1509</v>
      </c>
      <c r="R144" s="169"/>
      <c r="S144" s="169"/>
      <c r="T144" s="169"/>
      <c r="U144" s="169"/>
      <c r="AE144" s="168"/>
      <c r="AF144" s="168"/>
      <c r="AN144" s="166" t="s">
        <v>1383</v>
      </c>
      <c r="AO144" s="168"/>
      <c r="AU144" s="168"/>
      <c r="AV144" s="206"/>
      <c r="BH144" s="5"/>
      <c r="CE144" s="178">
        <v>44082</v>
      </c>
      <c r="CF144" s="179">
        <v>44261</v>
      </c>
    </row>
    <row r="145" spans="1:84" ht="15" thickBot="1">
      <c r="A145" s="164" t="s">
        <v>1510</v>
      </c>
      <c r="C145" s="166"/>
      <c r="D145" s="167">
        <v>38838</v>
      </c>
      <c r="E145" s="164"/>
      <c r="F145" s="168"/>
      <c r="G145" s="168"/>
      <c r="H145" s="168"/>
      <c r="I145" s="168"/>
      <c r="J145" s="168"/>
      <c r="K145" s="168"/>
      <c r="L145" s="168" t="s">
        <v>1511</v>
      </c>
      <c r="M145" s="168"/>
      <c r="N145" s="168"/>
      <c r="O145" s="168"/>
      <c r="P145" s="168"/>
      <c r="Q145" s="166" t="s">
        <v>1512</v>
      </c>
      <c r="R145" s="169"/>
      <c r="S145" s="169"/>
      <c r="T145" s="169"/>
      <c r="U145" s="169"/>
      <c r="AE145" s="168"/>
      <c r="AF145" s="168"/>
      <c r="AN145" s="166" t="s">
        <v>1397</v>
      </c>
      <c r="AO145" s="168"/>
      <c r="AU145" s="168" t="s">
        <v>1388</v>
      </c>
      <c r="AV145" s="170" t="s">
        <v>1513</v>
      </c>
      <c r="BH145" s="5"/>
      <c r="CE145" s="173">
        <v>44082</v>
      </c>
      <c r="CF145" s="174">
        <v>44261</v>
      </c>
    </row>
    <row r="146" spans="1:84" ht="15" thickBot="1">
      <c r="A146" s="201" t="s">
        <v>1510</v>
      </c>
      <c r="C146" s="180"/>
      <c r="D146" s="181"/>
      <c r="E146" s="180"/>
      <c r="F146" s="182"/>
      <c r="G146" s="177"/>
      <c r="H146" s="180"/>
      <c r="I146" s="180"/>
      <c r="J146" s="180"/>
      <c r="K146" s="180"/>
      <c r="L146" s="180"/>
      <c r="M146" s="180"/>
      <c r="N146" s="180"/>
      <c r="O146" s="180"/>
      <c r="P146" s="182"/>
      <c r="Q146" s="183" t="s">
        <v>1512</v>
      </c>
      <c r="R146" s="184"/>
      <c r="S146" s="184"/>
      <c r="T146" s="184"/>
      <c r="U146" s="184"/>
      <c r="V146" s="185"/>
      <c r="W146" s="185"/>
      <c r="AE146" s="182"/>
      <c r="AF146" s="182"/>
      <c r="AH146" s="185"/>
      <c r="AI146" s="186"/>
      <c r="AJ146" s="185"/>
      <c r="AL146" s="185"/>
      <c r="AM146" s="185"/>
      <c r="AN146" s="182"/>
      <c r="AO146" s="180"/>
      <c r="AU146" s="177"/>
      <c r="AV146" s="31"/>
      <c r="AW146" s="31"/>
      <c r="AX146" s="185"/>
      <c r="AY146" s="185"/>
      <c r="AZ146" s="185"/>
      <c r="BA146" s="185"/>
      <c r="BB146" s="185"/>
      <c r="BC146" s="185"/>
      <c r="BD146" s="185"/>
      <c r="BH146" s="5"/>
      <c r="BQ146" s="207"/>
      <c r="BR146" s="207"/>
      <c r="BS146" s="207"/>
      <c r="CE146" s="173">
        <v>44082</v>
      </c>
      <c r="CF146" s="174">
        <v>44261</v>
      </c>
    </row>
    <row r="147" spans="1:84" ht="15" thickBot="1">
      <c r="A147" s="164" t="s">
        <v>1514</v>
      </c>
      <c r="C147" s="166"/>
      <c r="D147" s="167">
        <v>36982</v>
      </c>
      <c r="E147" s="164"/>
      <c r="F147" s="168"/>
      <c r="G147" s="168"/>
      <c r="H147" s="168"/>
      <c r="I147" s="168"/>
      <c r="J147" s="168"/>
      <c r="K147" s="168"/>
      <c r="L147" s="168"/>
      <c r="M147" s="168"/>
      <c r="N147" s="168"/>
      <c r="O147" s="168"/>
      <c r="P147" s="168"/>
      <c r="Q147" s="166" t="s">
        <v>1328</v>
      </c>
      <c r="R147" s="169"/>
      <c r="S147" s="169"/>
      <c r="T147" s="169"/>
      <c r="U147" s="169"/>
      <c r="AE147" s="168"/>
      <c r="AF147" s="168"/>
      <c r="AN147" s="166" t="s">
        <v>1262</v>
      </c>
      <c r="AO147" s="168"/>
      <c r="AU147" s="168"/>
      <c r="BH147" s="5"/>
      <c r="CE147" s="173">
        <v>44082</v>
      </c>
      <c r="CF147" s="174">
        <v>44261</v>
      </c>
    </row>
    <row r="148" spans="1:84" ht="27.75" thickBot="1">
      <c r="A148" s="180" t="s">
        <v>1515</v>
      </c>
      <c r="C148" s="180"/>
      <c r="D148" s="181"/>
      <c r="E148" s="180"/>
      <c r="F148" s="182"/>
      <c r="G148" s="177"/>
      <c r="H148" s="180"/>
      <c r="I148" s="180"/>
      <c r="J148" s="180"/>
      <c r="K148" s="180"/>
      <c r="L148" s="180"/>
      <c r="M148" s="180"/>
      <c r="N148" s="180"/>
      <c r="O148" s="180"/>
      <c r="P148" s="182"/>
      <c r="Q148" s="183" t="s">
        <v>1516</v>
      </c>
      <c r="R148" s="184"/>
      <c r="S148" s="184"/>
      <c r="T148" s="184"/>
      <c r="U148" s="184"/>
      <c r="V148" s="185"/>
      <c r="W148" s="185"/>
      <c r="AE148" s="182"/>
      <c r="AF148" s="182"/>
      <c r="AH148" s="185"/>
      <c r="AI148" s="186"/>
      <c r="AJ148" s="185"/>
      <c r="AL148" s="185"/>
      <c r="AM148" s="185"/>
      <c r="AN148" s="182"/>
      <c r="AO148" s="180"/>
      <c r="AU148" s="177" t="s">
        <v>1257</v>
      </c>
      <c r="AV148" s="212" t="s">
        <v>1517</v>
      </c>
      <c r="AW148" s="212"/>
      <c r="AX148" s="185"/>
      <c r="AY148" s="185"/>
      <c r="AZ148" s="185"/>
      <c r="BA148" s="185"/>
      <c r="BB148" s="185"/>
      <c r="BC148" s="185"/>
      <c r="BD148" s="185"/>
      <c r="BH148" s="5"/>
      <c r="BQ148" s="207"/>
      <c r="BR148" s="207"/>
      <c r="BS148" s="207"/>
      <c r="CE148" s="173">
        <v>44082</v>
      </c>
      <c r="CF148" s="174">
        <v>44261</v>
      </c>
    </row>
    <row r="149" spans="1:84" ht="15" thickBot="1">
      <c r="A149" s="164" t="s">
        <v>1518</v>
      </c>
      <c r="C149" s="166"/>
      <c r="D149" s="167">
        <v>38930</v>
      </c>
      <c r="E149" s="164"/>
      <c r="F149" s="168"/>
      <c r="G149" s="168"/>
      <c r="H149" s="168"/>
      <c r="I149" s="168"/>
      <c r="J149" s="168"/>
      <c r="K149" s="168"/>
      <c r="L149" s="168"/>
      <c r="M149" s="168"/>
      <c r="N149" s="168"/>
      <c r="O149" s="168"/>
      <c r="P149" s="168"/>
      <c r="Q149" s="166" t="s">
        <v>1328</v>
      </c>
      <c r="R149" s="169"/>
      <c r="S149" s="169"/>
      <c r="T149" s="169"/>
      <c r="U149" s="169"/>
      <c r="AE149" s="168"/>
      <c r="AF149" s="168"/>
      <c r="AN149" s="166" t="s">
        <v>1368</v>
      </c>
      <c r="AO149" s="168"/>
      <c r="AU149" s="168"/>
      <c r="BH149" s="5"/>
      <c r="CE149" s="173">
        <v>44082</v>
      </c>
      <c r="CF149" s="174">
        <v>44261</v>
      </c>
    </row>
    <row r="150" spans="1:84" ht="29.25" thickBot="1">
      <c r="A150" s="164" t="s">
        <v>1519</v>
      </c>
      <c r="C150" s="166"/>
      <c r="D150" s="167">
        <v>37469</v>
      </c>
      <c r="E150" s="164"/>
      <c r="F150" s="168"/>
      <c r="G150" s="168"/>
      <c r="H150" s="168"/>
      <c r="I150" s="168"/>
      <c r="J150" s="168"/>
      <c r="K150" s="168"/>
      <c r="L150" s="168"/>
      <c r="M150" s="168"/>
      <c r="N150" s="168"/>
      <c r="O150" s="168"/>
      <c r="P150" s="168"/>
      <c r="Q150" s="166" t="s">
        <v>1328</v>
      </c>
      <c r="R150" s="169"/>
      <c r="S150" s="169"/>
      <c r="T150" s="169"/>
      <c r="U150" s="169"/>
      <c r="AE150" s="168"/>
      <c r="AF150" s="168"/>
      <c r="AN150" s="166" t="s">
        <v>1450</v>
      </c>
      <c r="AO150" s="168"/>
      <c r="AU150" s="168" t="s">
        <v>1388</v>
      </c>
      <c r="AV150" s="170" t="s">
        <v>1520</v>
      </c>
      <c r="BH150" s="5"/>
      <c r="CE150" s="178">
        <v>44082</v>
      </c>
      <c r="CF150" s="179">
        <v>44261</v>
      </c>
    </row>
    <row r="151" spans="1:84" ht="15" thickBot="1">
      <c r="A151" s="201" t="s">
        <v>1519</v>
      </c>
      <c r="C151" s="180"/>
      <c r="D151" s="181"/>
      <c r="E151" s="180"/>
      <c r="F151" s="182"/>
      <c r="G151" s="177"/>
      <c r="H151" s="180"/>
      <c r="I151" s="180"/>
      <c r="J151" s="180"/>
      <c r="K151" s="180"/>
      <c r="L151" s="180"/>
      <c r="M151" s="180"/>
      <c r="N151" s="180"/>
      <c r="O151" s="180"/>
      <c r="P151" s="182"/>
      <c r="Q151" s="183" t="s">
        <v>1402</v>
      </c>
      <c r="R151" s="184"/>
      <c r="S151" s="184"/>
      <c r="T151" s="184"/>
      <c r="U151" s="184"/>
      <c r="V151" s="185"/>
      <c r="W151" s="185"/>
      <c r="AE151" s="182"/>
      <c r="AF151" s="182"/>
      <c r="AH151" s="185"/>
      <c r="AI151" s="186"/>
      <c r="AJ151" s="185"/>
      <c r="AL151" s="185"/>
      <c r="AM151" s="185"/>
      <c r="AN151" s="182"/>
      <c r="AO151" s="180"/>
      <c r="AU151" s="177"/>
      <c r="AV151" s="31"/>
      <c r="AW151" s="31"/>
      <c r="AX151" s="185"/>
      <c r="AY151" s="185"/>
      <c r="AZ151" s="185"/>
      <c r="BA151" s="185"/>
      <c r="BB151" s="185"/>
      <c r="BC151" s="185"/>
      <c r="BD151" s="185"/>
      <c r="BH151" s="5"/>
      <c r="BQ151" s="207"/>
      <c r="BR151" s="207"/>
      <c r="BS151" s="207"/>
      <c r="CE151" s="173">
        <v>44082</v>
      </c>
      <c r="CF151" s="174">
        <v>44261</v>
      </c>
    </row>
    <row r="152" spans="1:84" ht="15" thickBot="1">
      <c r="A152" s="164" t="s">
        <v>1521</v>
      </c>
      <c r="C152" s="166"/>
      <c r="D152" s="167">
        <v>38838</v>
      </c>
      <c r="E152" s="164"/>
      <c r="F152" s="168"/>
      <c r="G152" s="168"/>
      <c r="H152" s="168"/>
      <c r="I152" s="168"/>
      <c r="J152" s="168"/>
      <c r="K152" s="168"/>
      <c r="L152" s="168"/>
      <c r="M152" s="168"/>
      <c r="N152" s="168"/>
      <c r="O152" s="168"/>
      <c r="P152" s="168"/>
      <c r="Q152" s="166" t="s">
        <v>1522</v>
      </c>
      <c r="R152" s="169"/>
      <c r="S152" s="169"/>
      <c r="T152" s="169"/>
      <c r="U152" s="169"/>
      <c r="AE152" s="168"/>
      <c r="AF152" s="168"/>
      <c r="AN152" s="166" t="s">
        <v>1450</v>
      </c>
      <c r="AO152" s="168"/>
      <c r="AU152" s="168"/>
      <c r="BH152" s="5"/>
      <c r="CE152" s="173">
        <v>44082</v>
      </c>
      <c r="CF152" s="174">
        <v>44261</v>
      </c>
    </row>
    <row r="153" spans="1:84" ht="29.25" thickBot="1">
      <c r="A153" s="180" t="s">
        <v>1523</v>
      </c>
      <c r="C153" s="180"/>
      <c r="D153" s="181"/>
      <c r="E153" s="180"/>
      <c r="F153" s="182"/>
      <c r="G153" s="177"/>
      <c r="H153" s="180"/>
      <c r="I153" s="180"/>
      <c r="J153" s="180"/>
      <c r="K153" s="180"/>
      <c r="L153" s="180"/>
      <c r="M153" s="180"/>
      <c r="N153" s="180"/>
      <c r="O153" s="180"/>
      <c r="P153" s="182"/>
      <c r="Q153" s="183" t="s">
        <v>1522</v>
      </c>
      <c r="R153" s="184"/>
      <c r="S153" s="184"/>
      <c r="T153" s="184"/>
      <c r="U153" s="184"/>
      <c r="V153" s="185"/>
      <c r="W153" s="185"/>
      <c r="AE153" s="182"/>
      <c r="AF153" s="182"/>
      <c r="AH153" s="185"/>
      <c r="AI153" s="186"/>
      <c r="AJ153" s="185"/>
      <c r="AL153" s="185"/>
      <c r="AM153" s="185"/>
      <c r="AN153" s="182"/>
      <c r="AO153" s="180"/>
      <c r="AU153" s="177" t="s">
        <v>1257</v>
      </c>
      <c r="AV153" s="31" t="s">
        <v>1524</v>
      </c>
      <c r="AW153" s="31"/>
      <c r="AX153" s="185"/>
      <c r="AY153" s="185"/>
      <c r="AZ153" s="185"/>
      <c r="BA153" s="185"/>
      <c r="BB153" s="185"/>
      <c r="BC153" s="185"/>
      <c r="BD153" s="185"/>
      <c r="BH153" s="5"/>
      <c r="BQ153" s="207"/>
      <c r="BR153" s="207"/>
      <c r="BS153" s="207"/>
      <c r="CE153" s="178">
        <v>44082</v>
      </c>
      <c r="CF153" s="179">
        <v>44261</v>
      </c>
    </row>
    <row r="154" spans="1:84" ht="29.25" thickBot="1">
      <c r="A154" s="164" t="s">
        <v>1525</v>
      </c>
      <c r="C154" s="166"/>
      <c r="D154" s="167">
        <v>36100</v>
      </c>
      <c r="E154" s="164"/>
      <c r="F154" s="168"/>
      <c r="G154" s="168"/>
      <c r="H154" s="168"/>
      <c r="I154" s="168"/>
      <c r="J154" s="168"/>
      <c r="K154" s="168"/>
      <c r="L154" s="168"/>
      <c r="M154" s="168"/>
      <c r="N154" s="168"/>
      <c r="O154" s="168"/>
      <c r="P154" s="168"/>
      <c r="Q154" s="166" t="s">
        <v>1399</v>
      </c>
      <c r="R154" s="169"/>
      <c r="S154" s="169"/>
      <c r="T154" s="169"/>
      <c r="U154" s="169"/>
      <c r="AE154" s="168"/>
      <c r="AF154" s="168"/>
      <c r="AN154" s="166" t="s">
        <v>1254</v>
      </c>
      <c r="AO154" s="168"/>
      <c r="AU154" s="168"/>
      <c r="BE154" s="5"/>
      <c r="BF154" s="5"/>
      <c r="BG154" s="5"/>
      <c r="BH154" s="5"/>
      <c r="BI154" s="5"/>
      <c r="BJ154" s="5"/>
      <c r="BK154" s="5"/>
      <c r="BL154" s="215"/>
      <c r="BM154" s="215"/>
      <c r="BN154" s="215"/>
      <c r="BO154" s="5"/>
      <c r="BP154" s="215"/>
      <c r="CA154" s="215"/>
      <c r="CB154" s="215"/>
      <c r="CC154" s="215"/>
      <c r="CD154" s="215"/>
      <c r="CE154" s="173">
        <v>44082</v>
      </c>
      <c r="CF154" s="174">
        <v>44261</v>
      </c>
    </row>
    <row r="155" spans="1:84" ht="15" thickBot="1">
      <c r="A155" s="180" t="s">
        <v>1526</v>
      </c>
      <c r="C155" s="180"/>
      <c r="D155" s="181"/>
      <c r="E155" s="180"/>
      <c r="F155" s="182"/>
      <c r="G155" s="177"/>
      <c r="H155" s="180"/>
      <c r="I155" s="180"/>
      <c r="J155" s="180"/>
      <c r="K155" s="180"/>
      <c r="L155" s="180"/>
      <c r="M155" s="180"/>
      <c r="N155" s="180"/>
      <c r="O155" s="180"/>
      <c r="P155" s="182"/>
      <c r="Q155" s="180"/>
      <c r="R155" s="211"/>
      <c r="S155" s="211"/>
      <c r="T155" s="211"/>
      <c r="U155" s="211"/>
      <c r="V155" s="185"/>
      <c r="W155" s="185"/>
      <c r="AE155" s="182"/>
      <c r="AF155" s="182"/>
      <c r="AH155" s="185"/>
      <c r="AI155" s="186"/>
      <c r="AJ155" s="185"/>
      <c r="AL155" s="185"/>
      <c r="AM155" s="185"/>
      <c r="AN155" s="182"/>
      <c r="AO155" s="180"/>
      <c r="AU155" s="177" t="s">
        <v>1257</v>
      </c>
      <c r="AV155" s="31" t="s">
        <v>1527</v>
      </c>
      <c r="AW155" s="31"/>
      <c r="AX155" s="185"/>
      <c r="AY155" s="185"/>
      <c r="AZ155" s="185"/>
      <c r="BA155" s="185"/>
      <c r="BB155" s="185"/>
      <c r="BC155" s="185"/>
      <c r="BD155" s="185"/>
      <c r="BH155" s="5"/>
      <c r="BQ155" s="207"/>
      <c r="BR155" s="207"/>
      <c r="BS155" s="207"/>
      <c r="CE155" s="173">
        <v>44082</v>
      </c>
      <c r="CF155" s="174">
        <v>44261</v>
      </c>
    </row>
    <row r="156" spans="1:84" ht="15" thickBot="1">
      <c r="A156" s="180" t="s">
        <v>1528</v>
      </c>
      <c r="C156" s="180"/>
      <c r="D156" s="181"/>
      <c r="E156" s="180"/>
      <c r="F156" s="182"/>
      <c r="G156" s="177"/>
      <c r="H156" s="180"/>
      <c r="I156" s="180"/>
      <c r="J156" s="180"/>
      <c r="K156" s="180"/>
      <c r="L156" s="180"/>
      <c r="M156" s="180"/>
      <c r="N156" s="180"/>
      <c r="O156" s="180"/>
      <c r="P156" s="182"/>
      <c r="Q156" s="183" t="s">
        <v>1529</v>
      </c>
      <c r="R156" s="184"/>
      <c r="S156" s="184"/>
      <c r="T156" s="184"/>
      <c r="U156" s="184"/>
      <c r="V156" s="185"/>
      <c r="W156" s="185"/>
      <c r="AE156" s="182"/>
      <c r="AF156" s="182"/>
      <c r="AH156" s="185"/>
      <c r="AI156" s="186"/>
      <c r="AJ156" s="185"/>
      <c r="AL156" s="185"/>
      <c r="AM156" s="185"/>
      <c r="AN156" s="182"/>
      <c r="AO156" s="180"/>
      <c r="AU156" s="177" t="s">
        <v>1257</v>
      </c>
      <c r="AV156" s="31" t="s">
        <v>1530</v>
      </c>
      <c r="AW156" s="31"/>
      <c r="AX156" s="185"/>
      <c r="AY156" s="185"/>
      <c r="AZ156" s="185"/>
      <c r="BA156" s="185"/>
      <c r="BB156" s="185"/>
      <c r="BC156" s="185"/>
      <c r="BD156" s="185"/>
      <c r="BH156" s="5"/>
      <c r="BQ156" s="207"/>
      <c r="BR156" s="207"/>
      <c r="BS156" s="207"/>
      <c r="CE156" s="178">
        <v>44082</v>
      </c>
      <c r="CF156" s="179">
        <v>44261</v>
      </c>
    </row>
    <row r="157" spans="1:84" ht="15" thickBot="1">
      <c r="A157" s="164" t="s">
        <v>1531</v>
      </c>
      <c r="C157" s="166"/>
      <c r="D157" s="167">
        <v>38443</v>
      </c>
      <c r="E157" s="164"/>
      <c r="F157" s="168"/>
      <c r="G157" s="168"/>
      <c r="H157" s="168"/>
      <c r="I157" s="168"/>
      <c r="J157" s="168"/>
      <c r="K157" s="168"/>
      <c r="L157" s="168"/>
      <c r="M157" s="168"/>
      <c r="N157" s="168"/>
      <c r="O157" s="168"/>
      <c r="P157" s="168"/>
      <c r="Q157" s="166" t="s">
        <v>1328</v>
      </c>
      <c r="R157" s="169"/>
      <c r="S157" s="169"/>
      <c r="T157" s="169"/>
      <c r="U157" s="169"/>
      <c r="AE157" s="168"/>
      <c r="AF157" s="168"/>
      <c r="AN157" s="166" t="s">
        <v>1532</v>
      </c>
      <c r="AO157" s="168"/>
      <c r="AU157" s="168"/>
      <c r="BH157" s="5"/>
      <c r="CE157" s="173"/>
    </row>
    <row r="158" spans="1:84" ht="15" thickBot="1">
      <c r="A158" s="164" t="s">
        <v>1533</v>
      </c>
      <c r="C158" s="166"/>
      <c r="D158" s="167">
        <v>35431</v>
      </c>
      <c r="E158" s="164"/>
      <c r="F158" s="168"/>
      <c r="G158" s="168"/>
      <c r="H158" s="168"/>
      <c r="I158" s="168"/>
      <c r="J158" s="168"/>
      <c r="K158" s="168"/>
      <c r="L158" s="168"/>
      <c r="M158" s="168"/>
      <c r="N158" s="168"/>
      <c r="O158" s="168"/>
      <c r="P158" s="168"/>
      <c r="Q158" s="166" t="s">
        <v>1534</v>
      </c>
      <c r="R158" s="169"/>
      <c r="S158" s="169"/>
      <c r="T158" s="169"/>
      <c r="U158" s="169"/>
      <c r="AE158" s="168"/>
      <c r="AF158" s="168"/>
      <c r="AN158" s="166" t="s">
        <v>1368</v>
      </c>
      <c r="AO158" s="168"/>
      <c r="AU158" s="168" t="s">
        <v>1388</v>
      </c>
      <c r="AV158" s="170" t="s">
        <v>1535</v>
      </c>
      <c r="BH158" s="5"/>
      <c r="CE158" s="173">
        <v>44082</v>
      </c>
      <c r="CF158" s="174">
        <v>44261</v>
      </c>
    </row>
    <row r="159" spans="1:84" ht="15" thickBot="1">
      <c r="A159" s="201" t="s">
        <v>1533</v>
      </c>
      <c r="C159" s="180"/>
      <c r="D159" s="181"/>
      <c r="E159" s="180"/>
      <c r="F159" s="182"/>
      <c r="G159" s="177"/>
      <c r="H159" s="180"/>
      <c r="I159" s="180"/>
      <c r="J159" s="180"/>
      <c r="K159" s="180"/>
      <c r="L159" s="180"/>
      <c r="M159" s="180"/>
      <c r="N159" s="180"/>
      <c r="O159" s="180"/>
      <c r="P159" s="182"/>
      <c r="Q159" s="183" t="s">
        <v>1536</v>
      </c>
      <c r="R159" s="184"/>
      <c r="S159" s="184"/>
      <c r="T159" s="184"/>
      <c r="U159" s="184"/>
      <c r="V159" s="185"/>
      <c r="W159" s="185"/>
      <c r="AE159" s="182"/>
      <c r="AF159" s="182"/>
      <c r="AH159" s="185"/>
      <c r="AI159" s="186"/>
      <c r="AJ159" s="185"/>
      <c r="AL159" s="185"/>
      <c r="AM159" s="185"/>
      <c r="AN159" s="182"/>
      <c r="AO159" s="180"/>
      <c r="AU159" s="177"/>
      <c r="AV159" s="31"/>
      <c r="AW159" s="31"/>
      <c r="AX159" s="185"/>
      <c r="AY159" s="185"/>
      <c r="AZ159" s="185"/>
      <c r="BA159" s="185"/>
      <c r="BB159" s="185"/>
      <c r="BC159" s="185"/>
      <c r="BD159" s="185"/>
      <c r="BH159" s="5"/>
      <c r="BQ159" s="207"/>
      <c r="BR159" s="207"/>
      <c r="BS159" s="207"/>
      <c r="CE159" s="178">
        <v>44082</v>
      </c>
      <c r="CF159" s="179">
        <v>44261</v>
      </c>
    </row>
    <row r="160" spans="1:84" ht="29.25" thickBot="1">
      <c r="A160" s="164" t="s">
        <v>1537</v>
      </c>
      <c r="C160" s="166"/>
      <c r="D160" s="167">
        <v>38231</v>
      </c>
      <c r="E160" s="164"/>
      <c r="F160" s="168"/>
      <c r="G160" s="168"/>
      <c r="H160" s="168"/>
      <c r="I160" s="168"/>
      <c r="J160" s="168"/>
      <c r="K160" s="168"/>
      <c r="L160" s="168"/>
      <c r="M160" s="168"/>
      <c r="N160" s="168"/>
      <c r="O160" s="168"/>
      <c r="P160" s="168"/>
      <c r="Q160" s="166" t="s">
        <v>1382</v>
      </c>
      <c r="R160" s="169"/>
      <c r="S160" s="169"/>
      <c r="T160" s="169"/>
      <c r="U160" s="169"/>
      <c r="AE160" s="168"/>
      <c r="AF160" s="168"/>
      <c r="AN160" s="166" t="s">
        <v>1397</v>
      </c>
      <c r="AO160" s="168"/>
      <c r="AU160" s="168" t="s">
        <v>1388</v>
      </c>
      <c r="AV160" s="170" t="s">
        <v>1538</v>
      </c>
      <c r="BH160" s="5"/>
      <c r="CE160" s="178">
        <v>44082</v>
      </c>
      <c r="CF160" s="179">
        <v>44261</v>
      </c>
    </row>
    <row r="161" spans="1:85" ht="15" thickBot="1">
      <c r="A161" s="201" t="s">
        <v>1537</v>
      </c>
      <c r="C161" s="180"/>
      <c r="D161" s="181"/>
      <c r="E161" s="180"/>
      <c r="F161" s="182"/>
      <c r="G161" s="177"/>
      <c r="H161" s="180"/>
      <c r="I161" s="180"/>
      <c r="J161" s="180"/>
      <c r="K161" s="180"/>
      <c r="L161" s="180"/>
      <c r="M161" s="180"/>
      <c r="N161" s="180"/>
      <c r="O161" s="180"/>
      <c r="P161" s="182"/>
      <c r="Q161" s="183" t="s">
        <v>1539</v>
      </c>
      <c r="R161" s="184"/>
      <c r="S161" s="184"/>
      <c r="T161" s="184"/>
      <c r="U161" s="184"/>
      <c r="V161" s="185"/>
      <c r="W161" s="185"/>
      <c r="AE161" s="182"/>
      <c r="AF161" s="182"/>
      <c r="AH161" s="185"/>
      <c r="AI161" s="186"/>
      <c r="AJ161" s="185"/>
      <c r="AL161" s="185"/>
      <c r="AM161" s="185"/>
      <c r="AN161" s="182"/>
      <c r="AO161" s="180"/>
      <c r="AU161" s="177"/>
      <c r="AV161" s="31"/>
      <c r="AW161" s="31"/>
      <c r="AX161" s="185"/>
      <c r="AY161" s="185"/>
      <c r="AZ161" s="185"/>
      <c r="BA161" s="185"/>
      <c r="BB161" s="185"/>
      <c r="BC161" s="185"/>
      <c r="BD161" s="185"/>
      <c r="BH161" s="5"/>
      <c r="BQ161" s="207"/>
      <c r="BR161" s="207"/>
      <c r="BS161" s="207"/>
      <c r="CE161" s="213">
        <v>44082</v>
      </c>
      <c r="CF161" s="214">
        <v>44261</v>
      </c>
      <c r="CG161" s="215"/>
    </row>
    <row r="162" spans="1:85" ht="29.25" thickBot="1">
      <c r="A162" s="164" t="s">
        <v>1540</v>
      </c>
      <c r="C162" s="166"/>
      <c r="D162" s="167">
        <v>36951</v>
      </c>
      <c r="E162" s="164"/>
      <c r="F162" s="168"/>
      <c r="G162" s="168"/>
      <c r="H162" s="168"/>
      <c r="I162" s="168"/>
      <c r="J162" s="168"/>
      <c r="K162" s="168"/>
      <c r="L162" s="168"/>
      <c r="M162" s="168"/>
      <c r="N162" s="168"/>
      <c r="O162" s="168"/>
      <c r="P162" s="168"/>
      <c r="Q162" s="166" t="s">
        <v>1328</v>
      </c>
      <c r="R162" s="169"/>
      <c r="S162" s="169"/>
      <c r="T162" s="169"/>
      <c r="U162" s="169"/>
      <c r="AE162" s="168"/>
      <c r="AF162" s="168"/>
      <c r="AN162" s="166" t="s">
        <v>1541</v>
      </c>
      <c r="AO162" s="168"/>
      <c r="AU162" s="168" t="s">
        <v>1388</v>
      </c>
      <c r="AV162" s="170" t="s">
        <v>1542</v>
      </c>
      <c r="BH162" s="5"/>
      <c r="CE162" s="213">
        <v>44082</v>
      </c>
      <c r="CF162" s="214"/>
      <c r="CG162" s="215"/>
    </row>
    <row r="163" spans="1:85" ht="27.75" thickBot="1">
      <c r="A163" s="201" t="s">
        <v>1540</v>
      </c>
      <c r="C163" s="180"/>
      <c r="D163" s="181"/>
      <c r="E163" s="180"/>
      <c r="F163" s="182"/>
      <c r="G163" s="177"/>
      <c r="H163" s="180"/>
      <c r="I163" s="180"/>
      <c r="J163" s="180"/>
      <c r="K163" s="180"/>
      <c r="L163" s="180"/>
      <c r="M163" s="180"/>
      <c r="N163" s="180"/>
      <c r="O163" s="180"/>
      <c r="P163" s="182"/>
      <c r="Q163" s="183" t="s">
        <v>1402</v>
      </c>
      <c r="R163" s="184"/>
      <c r="S163" s="184"/>
      <c r="T163" s="184"/>
      <c r="U163" s="184"/>
      <c r="V163" s="185"/>
      <c r="W163" s="185"/>
      <c r="AE163" s="182"/>
      <c r="AF163" s="182"/>
      <c r="AH163" s="185"/>
      <c r="AI163" s="186"/>
      <c r="AJ163" s="185"/>
      <c r="AL163" s="185"/>
      <c r="AM163" s="185"/>
      <c r="AN163" s="182"/>
      <c r="AO163" s="180"/>
      <c r="AU163" s="177"/>
      <c r="AV163" s="31"/>
      <c r="AW163" s="31"/>
      <c r="AX163" s="185"/>
      <c r="AY163" s="185"/>
      <c r="AZ163" s="185"/>
      <c r="BA163" s="185"/>
      <c r="BB163" s="185"/>
      <c r="BC163" s="185"/>
      <c r="BD163" s="185"/>
      <c r="BH163" s="5"/>
      <c r="BQ163" s="207"/>
      <c r="BR163" s="207"/>
      <c r="BS163" s="207"/>
      <c r="CE163" s="173">
        <v>44082</v>
      </c>
      <c r="CF163" s="174">
        <v>44261</v>
      </c>
    </row>
    <row r="164" spans="1:85" ht="15" thickBot="1">
      <c r="A164" s="164" t="s">
        <v>1543</v>
      </c>
      <c r="C164" s="166"/>
      <c r="D164" s="167">
        <v>37012</v>
      </c>
      <c r="E164" s="164"/>
      <c r="F164" s="168"/>
      <c r="G164" s="168"/>
      <c r="H164" s="168"/>
      <c r="I164" s="168"/>
      <c r="J164" s="168"/>
      <c r="K164" s="168"/>
      <c r="L164" s="168"/>
      <c r="M164" s="168"/>
      <c r="N164" s="168"/>
      <c r="O164" s="168"/>
      <c r="P164" s="168"/>
      <c r="Q164" s="166" t="s">
        <v>1328</v>
      </c>
      <c r="R164" s="169"/>
      <c r="S164" s="169"/>
      <c r="T164" s="169"/>
      <c r="U164" s="169"/>
      <c r="AE164" s="168"/>
      <c r="AF164" s="168"/>
      <c r="AN164" s="166" t="s">
        <v>1357</v>
      </c>
      <c r="AO164" s="168"/>
      <c r="AU164" s="168" t="s">
        <v>1388</v>
      </c>
      <c r="AV164" s="170" t="s">
        <v>1544</v>
      </c>
      <c r="BH164" s="5"/>
      <c r="CE164" s="178">
        <v>44082</v>
      </c>
      <c r="CF164" s="179">
        <v>44261</v>
      </c>
    </row>
    <row r="165" spans="1:85" ht="15" thickBot="1">
      <c r="A165" s="201" t="s">
        <v>1543</v>
      </c>
      <c r="C165" s="180"/>
      <c r="D165" s="181"/>
      <c r="E165" s="180"/>
      <c r="F165" s="182"/>
      <c r="G165" s="177"/>
      <c r="H165" s="180"/>
      <c r="I165" s="180"/>
      <c r="J165" s="180"/>
      <c r="K165" s="180"/>
      <c r="L165" s="180"/>
      <c r="M165" s="180"/>
      <c r="N165" s="180"/>
      <c r="O165" s="180"/>
      <c r="P165" s="182"/>
      <c r="Q165" s="183" t="s">
        <v>1402</v>
      </c>
      <c r="R165" s="184"/>
      <c r="S165" s="184"/>
      <c r="T165" s="184"/>
      <c r="U165" s="184"/>
      <c r="V165" s="185"/>
      <c r="W165" s="185"/>
      <c r="AE165" s="182"/>
      <c r="AF165" s="182"/>
      <c r="AH165" s="185"/>
      <c r="AI165" s="186"/>
      <c r="AJ165" s="185"/>
      <c r="AL165" s="185"/>
      <c r="AM165" s="185"/>
      <c r="AN165" s="182"/>
      <c r="AO165" s="180"/>
      <c r="AU165" s="177"/>
      <c r="AV165" s="31"/>
      <c r="AW165" s="31"/>
      <c r="AX165" s="185"/>
      <c r="AY165" s="185"/>
      <c r="AZ165" s="185"/>
      <c r="BA165" s="185"/>
      <c r="BB165" s="185"/>
      <c r="BC165" s="185"/>
      <c r="BD165" s="185"/>
      <c r="BH165" s="5"/>
      <c r="BQ165" s="207"/>
      <c r="BR165" s="207"/>
      <c r="BS165" s="207"/>
      <c r="CE165" s="213">
        <v>44082</v>
      </c>
      <c r="CF165" s="214">
        <v>44261</v>
      </c>
      <c r="CG165" s="215"/>
    </row>
    <row r="166" spans="1:85" ht="29.25" thickBot="1">
      <c r="A166" s="180" t="s">
        <v>1545</v>
      </c>
      <c r="C166" s="180"/>
      <c r="D166" s="181"/>
      <c r="E166" s="180"/>
      <c r="F166" s="182"/>
      <c r="G166" s="177"/>
      <c r="H166" s="180"/>
      <c r="I166" s="180"/>
      <c r="J166" s="180"/>
      <c r="K166" s="180"/>
      <c r="L166" s="180"/>
      <c r="M166" s="180"/>
      <c r="N166" s="180"/>
      <c r="O166" s="180"/>
      <c r="P166" s="182"/>
      <c r="Q166" s="183" t="s">
        <v>1367</v>
      </c>
      <c r="R166" s="184"/>
      <c r="S166" s="184"/>
      <c r="T166" s="184"/>
      <c r="U166" s="184"/>
      <c r="V166" s="185"/>
      <c r="W166" s="185"/>
      <c r="AE166" s="182"/>
      <c r="AF166" s="182"/>
      <c r="AH166" s="185"/>
      <c r="AI166" s="186"/>
      <c r="AJ166" s="185"/>
      <c r="AL166" s="185"/>
      <c r="AM166" s="185"/>
      <c r="AN166" s="182"/>
      <c r="AO166" s="180"/>
      <c r="AU166" s="177" t="s">
        <v>1257</v>
      </c>
      <c r="AV166" s="31" t="s">
        <v>1546</v>
      </c>
      <c r="AW166" s="31"/>
      <c r="AX166" s="185"/>
      <c r="AY166" s="185"/>
      <c r="AZ166" s="185"/>
      <c r="BA166" s="185"/>
      <c r="BB166" s="185"/>
      <c r="BC166" s="185"/>
      <c r="BD166" s="185"/>
      <c r="BH166" s="5"/>
      <c r="BQ166" s="207"/>
      <c r="BR166" s="207"/>
      <c r="BS166" s="207"/>
      <c r="CE166" s="173">
        <v>44082</v>
      </c>
      <c r="CF166" s="174">
        <v>44261</v>
      </c>
    </row>
    <row r="167" spans="1:85" ht="29.25" thickBot="1">
      <c r="A167" s="180" t="s">
        <v>1547</v>
      </c>
      <c r="C167" s="180"/>
      <c r="D167" s="181"/>
      <c r="E167" s="180"/>
      <c r="F167" s="182"/>
      <c r="G167" s="177"/>
      <c r="H167" s="180"/>
      <c r="I167" s="180"/>
      <c r="J167" s="180"/>
      <c r="K167" s="180"/>
      <c r="L167" s="180"/>
      <c r="M167" s="180"/>
      <c r="N167" s="180"/>
      <c r="O167" s="180"/>
      <c r="P167" s="182"/>
      <c r="Q167" s="183" t="s">
        <v>1548</v>
      </c>
      <c r="R167" s="184"/>
      <c r="S167" s="184"/>
      <c r="T167" s="184"/>
      <c r="U167" s="184"/>
      <c r="V167" s="185"/>
      <c r="W167" s="185"/>
      <c r="AE167" s="182"/>
      <c r="AF167" s="182"/>
      <c r="AH167" s="185"/>
      <c r="AI167" s="186"/>
      <c r="AJ167" s="185"/>
      <c r="AL167" s="185"/>
      <c r="AM167" s="185"/>
      <c r="AN167" s="182"/>
      <c r="AO167" s="180"/>
      <c r="AU167" s="177" t="s">
        <v>1257</v>
      </c>
      <c r="AV167" s="31" t="s">
        <v>1549</v>
      </c>
      <c r="AW167" s="31"/>
      <c r="AX167" s="185"/>
      <c r="AY167" s="185"/>
      <c r="AZ167" s="185"/>
      <c r="BA167" s="185"/>
      <c r="BB167" s="185"/>
      <c r="BC167" s="185"/>
      <c r="BD167" s="185"/>
      <c r="BH167" s="5"/>
      <c r="BQ167" s="207"/>
      <c r="BR167" s="207"/>
      <c r="BS167" s="207"/>
      <c r="CE167" s="178">
        <v>44082</v>
      </c>
      <c r="CF167" s="179">
        <v>44261</v>
      </c>
    </row>
    <row r="168" spans="1:85" ht="29.25" thickBot="1">
      <c r="A168" s="180" t="s">
        <v>1550</v>
      </c>
      <c r="C168" s="180"/>
      <c r="D168" s="181"/>
      <c r="E168" s="180"/>
      <c r="F168" s="182"/>
      <c r="G168" s="177"/>
      <c r="H168" s="180"/>
      <c r="I168" s="180"/>
      <c r="J168" s="180"/>
      <c r="K168" s="180"/>
      <c r="L168" s="180"/>
      <c r="M168" s="180"/>
      <c r="N168" s="180"/>
      <c r="O168" s="180"/>
      <c r="P168" s="182"/>
      <c r="Q168" s="183" t="s">
        <v>1402</v>
      </c>
      <c r="R168" s="184"/>
      <c r="S168" s="184"/>
      <c r="T168" s="184"/>
      <c r="U168" s="184"/>
      <c r="V168" s="185"/>
      <c r="W168" s="185"/>
      <c r="AE168" s="182"/>
      <c r="AF168" s="182"/>
      <c r="AH168" s="185"/>
      <c r="AI168" s="186"/>
      <c r="AJ168" s="185"/>
      <c r="AL168" s="185"/>
      <c r="AM168" s="185"/>
      <c r="AN168" s="182"/>
      <c r="AO168" s="180"/>
      <c r="AU168" s="177" t="s">
        <v>1257</v>
      </c>
      <c r="AV168" s="31" t="s">
        <v>1551</v>
      </c>
      <c r="AW168" s="31"/>
      <c r="AX168" s="185"/>
      <c r="AY168" s="185"/>
      <c r="AZ168" s="185"/>
      <c r="BA168" s="185"/>
      <c r="BB168" s="185"/>
      <c r="BC168" s="185"/>
      <c r="BD168" s="185"/>
      <c r="BH168" s="5"/>
      <c r="BQ168" s="207"/>
      <c r="BR168" s="207"/>
      <c r="BS168" s="207"/>
      <c r="CE168" s="213">
        <v>44082</v>
      </c>
      <c r="CF168" s="214">
        <v>44261</v>
      </c>
      <c r="CG168" s="215"/>
    </row>
    <row r="169" spans="1:85" ht="15" thickBot="1">
      <c r="A169" s="164" t="s">
        <v>1552</v>
      </c>
      <c r="C169" s="166"/>
      <c r="D169" s="167">
        <v>35156</v>
      </c>
      <c r="E169" s="164"/>
      <c r="F169" s="168"/>
      <c r="G169" s="168"/>
      <c r="H169" s="168"/>
      <c r="I169" s="168"/>
      <c r="J169" s="168"/>
      <c r="K169" s="168"/>
      <c r="L169" s="168"/>
      <c r="M169" s="168"/>
      <c r="N169" s="168"/>
      <c r="O169" s="168"/>
      <c r="P169" s="168"/>
      <c r="Q169" s="166" t="s">
        <v>1553</v>
      </c>
      <c r="R169" s="169"/>
      <c r="S169" s="169"/>
      <c r="T169" s="169"/>
      <c r="U169" s="169"/>
      <c r="AE169" s="168"/>
      <c r="AF169" s="168"/>
      <c r="AN169" s="166" t="s">
        <v>1383</v>
      </c>
      <c r="AO169" s="168"/>
      <c r="AU169" s="168"/>
      <c r="BH169" s="5"/>
      <c r="CE169" s="178">
        <v>44082</v>
      </c>
      <c r="CF169" s="179">
        <v>44261</v>
      </c>
    </row>
    <row r="170" spans="1:85" ht="15" thickBot="1">
      <c r="A170" s="164" t="s">
        <v>1554</v>
      </c>
      <c r="C170" s="166"/>
      <c r="D170" s="167"/>
      <c r="E170" s="164"/>
      <c r="F170" s="168"/>
      <c r="G170" s="168"/>
      <c r="H170" s="168"/>
      <c r="I170" s="168"/>
      <c r="J170" s="168"/>
      <c r="K170" s="168"/>
      <c r="L170" s="168"/>
      <c r="M170" s="168"/>
      <c r="N170" s="168"/>
      <c r="O170" s="168"/>
      <c r="P170" s="168"/>
      <c r="Q170" s="166" t="s">
        <v>1555</v>
      </c>
      <c r="R170" s="169"/>
      <c r="S170" s="169"/>
      <c r="T170" s="169"/>
      <c r="U170" s="169"/>
      <c r="AE170" s="168"/>
      <c r="AF170" s="168"/>
      <c r="AN170" s="166" t="s">
        <v>1340</v>
      </c>
      <c r="AO170" s="168"/>
      <c r="AU170" s="168" t="s">
        <v>1388</v>
      </c>
      <c r="AV170" s="170" t="s">
        <v>1556</v>
      </c>
      <c r="BH170" s="5"/>
      <c r="CE170" s="173">
        <v>44082</v>
      </c>
      <c r="CF170" s="174">
        <v>44261</v>
      </c>
    </row>
    <row r="171" spans="1:85" ht="15" thickBot="1">
      <c r="A171" s="201" t="s">
        <v>1554</v>
      </c>
      <c r="C171" s="180"/>
      <c r="D171" s="181"/>
      <c r="E171" s="180"/>
      <c r="F171" s="182"/>
      <c r="G171" s="177"/>
      <c r="H171" s="180"/>
      <c r="I171" s="180"/>
      <c r="J171" s="180"/>
      <c r="K171" s="180"/>
      <c r="L171" s="180"/>
      <c r="M171" s="180"/>
      <c r="N171" s="180"/>
      <c r="O171" s="180"/>
      <c r="P171" s="182"/>
      <c r="Q171" s="183" t="s">
        <v>1555</v>
      </c>
      <c r="R171" s="184"/>
      <c r="S171" s="184"/>
      <c r="T171" s="184"/>
      <c r="U171" s="184"/>
      <c r="V171" s="185"/>
      <c r="W171" s="185"/>
      <c r="AE171" s="182"/>
      <c r="AF171" s="182"/>
      <c r="AH171" s="185"/>
      <c r="AI171" s="186"/>
      <c r="AJ171" s="185"/>
      <c r="AL171" s="185"/>
      <c r="AM171" s="185"/>
      <c r="AN171" s="182"/>
      <c r="AO171" s="180"/>
      <c r="AU171" s="177"/>
      <c r="AV171" s="31"/>
      <c r="AW171" s="31"/>
      <c r="AX171" s="185"/>
      <c r="AY171" s="185"/>
      <c r="AZ171" s="185"/>
      <c r="BA171" s="185"/>
      <c r="BB171" s="185"/>
      <c r="BC171" s="185"/>
      <c r="BD171" s="185"/>
      <c r="BH171" s="5"/>
      <c r="BQ171" s="207"/>
      <c r="BR171" s="207"/>
      <c r="BS171" s="207"/>
      <c r="CE171" s="178">
        <v>44082</v>
      </c>
      <c r="CF171" s="179">
        <v>44261</v>
      </c>
    </row>
    <row r="172" spans="1:85" ht="29.25" thickBot="1">
      <c r="A172" s="164" t="s">
        <v>1557</v>
      </c>
      <c r="C172" s="166"/>
      <c r="D172" s="167">
        <v>37591</v>
      </c>
      <c r="E172" s="164"/>
      <c r="F172" s="168"/>
      <c r="G172" s="168"/>
      <c r="H172" s="168"/>
      <c r="I172" s="168"/>
      <c r="J172" s="168"/>
      <c r="K172" s="168"/>
      <c r="L172" s="168"/>
      <c r="M172" s="168"/>
      <c r="N172" s="168"/>
      <c r="O172" s="168"/>
      <c r="P172" s="168"/>
      <c r="Q172" s="166" t="s">
        <v>1328</v>
      </c>
      <c r="R172" s="169"/>
      <c r="S172" s="169"/>
      <c r="T172" s="169"/>
      <c r="U172" s="169"/>
      <c r="AE172" s="168"/>
      <c r="AF172" s="168"/>
      <c r="AN172" s="166" t="s">
        <v>1368</v>
      </c>
      <c r="AO172" s="168"/>
      <c r="AU172" s="168" t="s">
        <v>1388</v>
      </c>
      <c r="AV172" s="170" t="s">
        <v>1558</v>
      </c>
      <c r="BH172" s="5"/>
      <c r="CE172" s="173">
        <v>44082</v>
      </c>
      <c r="CF172" s="174">
        <v>44261</v>
      </c>
    </row>
    <row r="173" spans="1:85" ht="15" thickBot="1">
      <c r="A173" s="201" t="s">
        <v>1557</v>
      </c>
      <c r="C173" s="180"/>
      <c r="D173" s="181"/>
      <c r="E173" s="180"/>
      <c r="F173" s="182"/>
      <c r="G173" s="177"/>
      <c r="H173" s="180"/>
      <c r="I173" s="180"/>
      <c r="J173" s="180"/>
      <c r="K173" s="180"/>
      <c r="L173" s="180"/>
      <c r="M173" s="180"/>
      <c r="N173" s="180"/>
      <c r="O173" s="180"/>
      <c r="P173" s="182"/>
      <c r="Q173" s="183" t="s">
        <v>1402</v>
      </c>
      <c r="R173" s="184"/>
      <c r="S173" s="184"/>
      <c r="T173" s="184"/>
      <c r="U173" s="184"/>
      <c r="V173" s="185"/>
      <c r="W173" s="185"/>
      <c r="AE173" s="182"/>
      <c r="AF173" s="182"/>
      <c r="AH173" s="185"/>
      <c r="AI173" s="186"/>
      <c r="AJ173" s="185"/>
      <c r="AL173" s="185"/>
      <c r="AM173" s="185"/>
      <c r="AN173" s="182"/>
      <c r="AO173" s="180"/>
      <c r="AU173" s="177"/>
      <c r="AV173" s="31"/>
      <c r="AW173" s="31"/>
      <c r="AX173" s="185"/>
      <c r="AY173" s="185"/>
      <c r="AZ173" s="185"/>
      <c r="BA173" s="185"/>
      <c r="BB173" s="185"/>
      <c r="BC173" s="185"/>
      <c r="BD173" s="185"/>
      <c r="BH173" s="5"/>
      <c r="BQ173" s="207"/>
      <c r="BR173" s="207"/>
      <c r="BS173" s="207"/>
      <c r="CE173" s="178"/>
      <c r="CF173" s="179"/>
    </row>
    <row r="174" spans="1:85" ht="29.25" thickBot="1">
      <c r="A174" s="216" t="s">
        <v>1559</v>
      </c>
      <c r="C174" s="169"/>
      <c r="D174" s="217">
        <v>35462</v>
      </c>
      <c r="E174" s="209"/>
      <c r="H174" s="218"/>
      <c r="I174" s="218"/>
      <c r="J174" s="218"/>
      <c r="K174" s="218"/>
      <c r="L174" s="218"/>
      <c r="M174" s="218"/>
      <c r="N174" s="218"/>
      <c r="O174" s="218"/>
      <c r="P174" s="218"/>
      <c r="Q174" s="219" t="s">
        <v>1328</v>
      </c>
      <c r="R174" s="169"/>
      <c r="S174" s="169"/>
      <c r="T174" s="169"/>
      <c r="U174" s="169"/>
      <c r="AE174" s="218"/>
      <c r="AF174" s="218"/>
      <c r="AN174" s="219" t="s">
        <v>1368</v>
      </c>
      <c r="AO174" s="218"/>
      <c r="AU174" s="168" t="s">
        <v>1388</v>
      </c>
      <c r="AV174" s="170" t="s">
        <v>1560</v>
      </c>
      <c r="BH174" s="5"/>
      <c r="CE174" s="179">
        <v>44082</v>
      </c>
      <c r="CF174" s="179">
        <v>44261</v>
      </c>
    </row>
    <row r="175" spans="1:85">
      <c r="A175" s="220" t="s">
        <v>1559</v>
      </c>
      <c r="C175" s="211"/>
      <c r="D175" s="221"/>
      <c r="E175" s="211"/>
      <c r="F175" s="186"/>
      <c r="G175" s="185"/>
      <c r="H175" s="211"/>
      <c r="I175" s="211"/>
      <c r="J175" s="211"/>
      <c r="K175" s="211"/>
      <c r="L175" s="211"/>
      <c r="M175" s="211"/>
      <c r="N175" s="211"/>
      <c r="O175" s="211"/>
      <c r="P175" s="186"/>
      <c r="Q175" s="184" t="s">
        <v>1402</v>
      </c>
      <c r="R175" s="184"/>
      <c r="S175" s="184"/>
      <c r="T175" s="184"/>
      <c r="U175" s="184"/>
      <c r="V175" s="185"/>
      <c r="W175" s="185"/>
      <c r="AE175" s="186"/>
      <c r="AF175" s="186"/>
      <c r="AH175" s="185"/>
      <c r="AI175" s="186"/>
      <c r="AJ175" s="185"/>
      <c r="AL175" s="185"/>
      <c r="AM175" s="185"/>
      <c r="AN175" s="186"/>
      <c r="AO175" s="211"/>
      <c r="AU175" s="185"/>
      <c r="AV175" s="31"/>
      <c r="AW175" s="31"/>
      <c r="AX175" s="185"/>
      <c r="AY175" s="185"/>
      <c r="AZ175" s="185"/>
      <c r="BA175" s="185"/>
      <c r="BB175" s="185"/>
      <c r="BC175" s="185"/>
      <c r="BD175" s="185"/>
      <c r="BH175" s="5"/>
      <c r="BQ175" s="207"/>
      <c r="BR175" s="207"/>
      <c r="BS175" s="207"/>
      <c r="CE175" s="179"/>
      <c r="CF175" s="179"/>
    </row>
    <row r="176" spans="1:85" ht="71.25">
      <c r="A176" s="215" t="s">
        <v>1561</v>
      </c>
      <c r="B176" s="215"/>
      <c r="C176" s="215"/>
      <c r="D176" s="222"/>
      <c r="E176" s="5" t="s">
        <v>1562</v>
      </c>
      <c r="F176" s="1" t="s">
        <v>1563</v>
      </c>
      <c r="G176" s="215"/>
      <c r="H176" s="215"/>
      <c r="I176" s="215"/>
      <c r="J176" s="215"/>
      <c r="K176" s="215"/>
      <c r="L176" s="215"/>
      <c r="M176" s="215"/>
      <c r="N176" s="215"/>
      <c r="O176" s="215"/>
      <c r="P176" s="215"/>
      <c r="Q176" s="215"/>
      <c r="R176" s="215"/>
      <c r="S176" s="215"/>
      <c r="T176" s="215"/>
      <c r="U176" s="215"/>
      <c r="V176" s="215"/>
      <c r="W176" s="215"/>
      <c r="X176" s="215"/>
      <c r="Y176" s="215"/>
      <c r="Z176" s="215"/>
      <c r="AA176" s="215"/>
      <c r="AB176" s="215"/>
      <c r="AC176" s="215"/>
      <c r="AD176" s="215"/>
      <c r="AE176" s="215">
        <v>108</v>
      </c>
      <c r="AF176" s="215">
        <v>108</v>
      </c>
      <c r="AG176" s="215"/>
      <c r="AH176" s="215"/>
      <c r="AI176" s="215"/>
      <c r="AJ176" s="215"/>
      <c r="AK176" s="215"/>
      <c r="AL176" s="215"/>
      <c r="AM176" s="215"/>
      <c r="AN176" s="215"/>
      <c r="AO176" s="215"/>
      <c r="AP176" s="215"/>
      <c r="AQ176" s="215"/>
      <c r="AR176" s="30"/>
      <c r="AS176" s="30"/>
      <c r="AT176" s="215"/>
      <c r="AU176" s="215"/>
      <c r="AV176" s="30"/>
      <c r="AW176" s="30"/>
      <c r="AX176" s="215"/>
      <c r="AY176" s="215"/>
      <c r="AZ176" s="215"/>
      <c r="BA176" s="215"/>
      <c r="BB176" s="215"/>
      <c r="BC176" s="215"/>
      <c r="BD176" s="215"/>
      <c r="BH176" s="5"/>
      <c r="BQ176" s="215"/>
      <c r="BR176" s="215"/>
      <c r="BS176" s="215"/>
      <c r="CE176" s="179">
        <v>44082</v>
      </c>
      <c r="CF176" s="179">
        <v>44261</v>
      </c>
    </row>
    <row r="177" spans="1:84" ht="28.5">
      <c r="A177" s="211" t="s">
        <v>1564</v>
      </c>
      <c r="C177" s="211"/>
      <c r="D177" s="221"/>
      <c r="E177" s="211"/>
      <c r="F177" s="186"/>
      <c r="G177" s="185"/>
      <c r="H177" s="211"/>
      <c r="I177" s="211"/>
      <c r="J177" s="211"/>
      <c r="K177" s="211"/>
      <c r="L177" s="211"/>
      <c r="M177" s="211"/>
      <c r="N177" s="211"/>
      <c r="O177" s="211"/>
      <c r="P177" s="186"/>
      <c r="Q177" s="184" t="s">
        <v>1565</v>
      </c>
      <c r="R177" s="184"/>
      <c r="S177" s="184"/>
      <c r="T177" s="184"/>
      <c r="U177" s="184"/>
      <c r="V177" s="185"/>
      <c r="W177" s="185"/>
      <c r="AE177" s="186"/>
      <c r="AF177" s="186"/>
      <c r="AH177" s="185"/>
      <c r="AI177" s="186"/>
      <c r="AJ177" s="185"/>
      <c r="AL177" s="185"/>
      <c r="AM177" s="185"/>
      <c r="AN177" s="186"/>
      <c r="AO177" s="211"/>
      <c r="AU177" s="185" t="s">
        <v>1257</v>
      </c>
      <c r="AV177" s="31" t="s">
        <v>1566</v>
      </c>
      <c r="AW177" s="31"/>
      <c r="AX177" s="185"/>
      <c r="AY177" s="185"/>
      <c r="AZ177" s="185"/>
      <c r="BA177" s="185"/>
      <c r="BB177" s="185"/>
      <c r="BC177" s="185"/>
      <c r="BD177" s="185"/>
      <c r="BH177" s="5"/>
      <c r="BQ177" s="207"/>
      <c r="BR177" s="207"/>
      <c r="BS177" s="207"/>
      <c r="CE177" s="174">
        <v>44082</v>
      </c>
      <c r="CF177" s="174">
        <v>44261</v>
      </c>
    </row>
    <row r="178" spans="1:84">
      <c r="A178" s="209" t="s">
        <v>1567</v>
      </c>
      <c r="C178" s="169"/>
      <c r="D178" s="223">
        <v>38808</v>
      </c>
      <c r="E178" s="209"/>
      <c r="Q178" s="169" t="s">
        <v>1565</v>
      </c>
      <c r="R178" s="169"/>
      <c r="S178" s="169"/>
      <c r="T178" s="169"/>
      <c r="U178" s="169"/>
      <c r="AN178" s="169" t="s">
        <v>1568</v>
      </c>
      <c r="BH178" s="5"/>
    </row>
    <row r="179" spans="1:84">
      <c r="A179" s="211" t="s">
        <v>1569</v>
      </c>
      <c r="C179" s="211"/>
      <c r="D179" s="221"/>
      <c r="E179" s="211"/>
      <c r="F179" s="186"/>
      <c r="G179" s="185"/>
      <c r="H179" s="211"/>
      <c r="I179" s="211"/>
      <c r="J179" s="211"/>
      <c r="K179" s="211"/>
      <c r="L179" s="211"/>
      <c r="M179" s="211"/>
      <c r="N179" s="211"/>
      <c r="O179" s="211"/>
      <c r="P179" s="186"/>
      <c r="Q179" s="184" t="s">
        <v>1506</v>
      </c>
      <c r="R179" s="184"/>
      <c r="S179" s="184"/>
      <c r="T179" s="184"/>
      <c r="U179" s="184"/>
      <c r="V179" s="185"/>
      <c r="W179" s="185"/>
      <c r="AE179" s="186"/>
      <c r="AF179" s="186"/>
      <c r="AH179" s="185"/>
      <c r="AI179" s="186"/>
      <c r="AJ179" s="185"/>
      <c r="AL179" s="185"/>
      <c r="AM179" s="185"/>
      <c r="AN179" s="186"/>
      <c r="AO179" s="211"/>
      <c r="AU179" s="185" t="s">
        <v>1257</v>
      </c>
      <c r="AV179" s="212" t="s">
        <v>1570</v>
      </c>
      <c r="AW179" s="212"/>
      <c r="AX179" s="185"/>
      <c r="AY179" s="185"/>
      <c r="AZ179" s="185"/>
      <c r="BA179" s="185"/>
      <c r="BB179" s="185"/>
      <c r="BC179" s="185"/>
      <c r="BD179" s="185"/>
      <c r="BH179" s="5"/>
      <c r="BQ179" s="207"/>
      <c r="BR179" s="207"/>
      <c r="BS179" s="207"/>
    </row>
    <row r="180" spans="1:84" ht="28.5">
      <c r="A180" s="211" t="s">
        <v>1571</v>
      </c>
      <c r="C180" s="211"/>
      <c r="D180" s="221"/>
      <c r="E180" s="211"/>
      <c r="F180" s="186"/>
      <c r="G180" s="185"/>
      <c r="H180" s="211"/>
      <c r="I180" s="211"/>
      <c r="J180" s="211"/>
      <c r="K180" s="211"/>
      <c r="L180" s="211"/>
      <c r="M180" s="211"/>
      <c r="N180" s="211"/>
      <c r="O180" s="211"/>
      <c r="P180" s="186"/>
      <c r="Q180" s="211"/>
      <c r="R180" s="211"/>
      <c r="S180" s="211"/>
      <c r="T180" s="211"/>
      <c r="U180" s="211"/>
      <c r="V180" s="185"/>
      <c r="W180" s="185"/>
      <c r="AE180" s="186"/>
      <c r="AF180" s="186"/>
      <c r="AH180" s="185"/>
      <c r="AI180" s="186"/>
      <c r="AJ180" s="185"/>
      <c r="AL180" s="185"/>
      <c r="AM180" s="185"/>
      <c r="AN180" s="186"/>
      <c r="AO180" s="211"/>
      <c r="AU180" s="185" t="s">
        <v>1257</v>
      </c>
      <c r="AV180" s="31" t="s">
        <v>1572</v>
      </c>
      <c r="AW180" s="31"/>
      <c r="AX180" s="185"/>
      <c r="AY180" s="185"/>
      <c r="AZ180" s="185"/>
      <c r="BA180" s="185"/>
      <c r="BB180" s="185"/>
      <c r="BC180" s="185"/>
      <c r="BD180" s="185"/>
      <c r="BH180" s="5"/>
      <c r="BQ180" s="207"/>
      <c r="BR180" s="207"/>
      <c r="BS180" s="207"/>
      <c r="CE180" s="179"/>
      <c r="CF180" s="179"/>
    </row>
    <row r="181" spans="1:84">
      <c r="A181" s="211" t="s">
        <v>1573</v>
      </c>
      <c r="C181" s="211"/>
      <c r="D181" s="221"/>
      <c r="E181" s="211"/>
      <c r="F181" s="186"/>
      <c r="G181" s="185"/>
      <c r="H181" s="211"/>
      <c r="I181" s="211"/>
      <c r="J181" s="211"/>
      <c r="K181" s="211"/>
      <c r="L181" s="211"/>
      <c r="M181" s="211"/>
      <c r="N181" s="211"/>
      <c r="O181" s="211"/>
      <c r="P181" s="186"/>
      <c r="Q181" s="184" t="s">
        <v>1367</v>
      </c>
      <c r="R181" s="184"/>
      <c r="S181" s="184"/>
      <c r="T181" s="184"/>
      <c r="U181" s="184"/>
      <c r="V181" s="185"/>
      <c r="W181" s="185"/>
      <c r="Y181" s="165">
        <v>20</v>
      </c>
      <c r="AE181" s="186"/>
      <c r="AF181" s="186"/>
      <c r="AH181" s="185"/>
      <c r="AI181" s="186"/>
      <c r="AJ181" s="185"/>
      <c r="AL181" s="185"/>
      <c r="AM181" s="185"/>
      <c r="AN181" s="186"/>
      <c r="AO181" s="211"/>
      <c r="AU181" s="185" t="s">
        <v>1257</v>
      </c>
      <c r="AV181" s="31" t="s">
        <v>1574</v>
      </c>
      <c r="AW181" s="31"/>
      <c r="AX181" s="185"/>
      <c r="AY181" s="185"/>
      <c r="AZ181" s="185"/>
      <c r="BA181" s="185"/>
      <c r="BB181" s="185"/>
      <c r="BC181" s="185"/>
      <c r="BD181" s="185"/>
      <c r="BH181" s="5"/>
      <c r="BQ181" s="207"/>
      <c r="BR181" s="207"/>
      <c r="BS181" s="207"/>
      <c r="CE181" s="174">
        <v>44301.534791666665</v>
      </c>
    </row>
    <row r="182" spans="1:84">
      <c r="A182" s="209" t="s">
        <v>1575</v>
      </c>
      <c r="C182" s="169"/>
      <c r="D182" s="223">
        <v>38200</v>
      </c>
      <c r="E182" s="209"/>
      <c r="Q182" s="169" t="s">
        <v>1457</v>
      </c>
      <c r="R182" s="169"/>
      <c r="S182" s="169"/>
      <c r="T182" s="169"/>
      <c r="U182" s="169"/>
      <c r="AN182" s="169" t="s">
        <v>1368</v>
      </c>
      <c r="AU182" s="165" t="s">
        <v>1388</v>
      </c>
      <c r="AV182" s="170" t="s">
        <v>1576</v>
      </c>
      <c r="BH182" s="5"/>
      <c r="CE182" s="174">
        <v>44082</v>
      </c>
      <c r="CF182" s="174">
        <v>44261</v>
      </c>
    </row>
    <row r="183" spans="1:84">
      <c r="A183" s="220" t="s">
        <v>1575</v>
      </c>
      <c r="C183" s="211"/>
      <c r="D183" s="221"/>
      <c r="E183" s="211"/>
      <c r="F183" s="186"/>
      <c r="G183" s="185"/>
      <c r="H183" s="211"/>
      <c r="I183" s="211"/>
      <c r="J183" s="211"/>
      <c r="K183" s="211"/>
      <c r="L183" s="211"/>
      <c r="M183" s="211"/>
      <c r="N183" s="211"/>
      <c r="O183" s="211"/>
      <c r="P183" s="186"/>
      <c r="Q183" s="184" t="s">
        <v>1460</v>
      </c>
      <c r="R183" s="184"/>
      <c r="S183" s="184"/>
      <c r="T183" s="184"/>
      <c r="U183" s="184"/>
      <c r="V183" s="185"/>
      <c r="W183" s="185"/>
      <c r="AE183" s="186"/>
      <c r="AF183" s="186"/>
      <c r="AH183" s="185"/>
      <c r="AI183" s="186"/>
      <c r="AJ183" s="185"/>
      <c r="AL183" s="185"/>
      <c r="AM183" s="185"/>
      <c r="AN183" s="186"/>
      <c r="AO183" s="211"/>
      <c r="AU183" s="185"/>
      <c r="AV183" s="31"/>
      <c r="AW183" s="31"/>
      <c r="AX183" s="185"/>
      <c r="AY183" s="185"/>
      <c r="AZ183" s="185"/>
      <c r="BA183" s="185"/>
      <c r="BB183" s="185"/>
      <c r="BC183" s="185"/>
      <c r="BD183" s="185"/>
      <c r="BH183" s="5"/>
      <c r="BQ183" s="207"/>
      <c r="BR183" s="207"/>
      <c r="BS183" s="207"/>
    </row>
    <row r="184" spans="1:84">
      <c r="A184" s="209" t="s">
        <v>1577</v>
      </c>
      <c r="C184" s="169"/>
      <c r="D184" s="223">
        <v>34669</v>
      </c>
      <c r="E184" s="209"/>
      <c r="Q184" s="169" t="s">
        <v>1578</v>
      </c>
      <c r="R184" s="169"/>
      <c r="S184" s="169"/>
      <c r="T184" s="169"/>
      <c r="U184" s="169"/>
      <c r="AN184" s="169" t="s">
        <v>1368</v>
      </c>
      <c r="BH184" s="5"/>
      <c r="CE184" s="179">
        <v>44082</v>
      </c>
      <c r="CF184" s="179">
        <v>44261</v>
      </c>
    </row>
    <row r="185" spans="1:84">
      <c r="A185" s="209" t="s">
        <v>1579</v>
      </c>
      <c r="C185" s="169"/>
      <c r="D185" s="223">
        <v>38899</v>
      </c>
      <c r="E185" s="209"/>
      <c r="Q185" s="169" t="s">
        <v>1457</v>
      </c>
      <c r="R185" s="169"/>
      <c r="S185" s="169"/>
      <c r="T185" s="169"/>
      <c r="U185" s="169"/>
      <c r="AN185" s="169" t="s">
        <v>1360</v>
      </c>
      <c r="BH185" s="5"/>
      <c r="CE185" s="174">
        <v>44082</v>
      </c>
      <c r="CF185" s="174">
        <v>44261</v>
      </c>
    </row>
    <row r="186" spans="1:84">
      <c r="A186" s="209" t="s">
        <v>1580</v>
      </c>
      <c r="C186" s="169"/>
      <c r="D186" s="223">
        <v>37043</v>
      </c>
      <c r="E186" s="209"/>
      <c r="Q186" s="169" t="s">
        <v>1328</v>
      </c>
      <c r="R186" s="169"/>
      <c r="S186" s="169"/>
      <c r="T186" s="169"/>
      <c r="U186" s="169"/>
      <c r="AN186" s="169" t="s">
        <v>1492</v>
      </c>
      <c r="BH186" s="5"/>
      <c r="CE186" s="174">
        <v>44082</v>
      </c>
      <c r="CF186" s="174">
        <v>44261</v>
      </c>
    </row>
    <row r="187" spans="1:84" ht="28.5">
      <c r="A187" s="209" t="s">
        <v>1581</v>
      </c>
      <c r="C187" s="169"/>
      <c r="D187" s="223">
        <v>35855</v>
      </c>
      <c r="E187" s="209"/>
      <c r="Q187" s="169" t="s">
        <v>1512</v>
      </c>
      <c r="R187" s="169"/>
      <c r="S187" s="169"/>
      <c r="T187" s="169"/>
      <c r="U187" s="169"/>
      <c r="AN187" s="169" t="s">
        <v>1262</v>
      </c>
      <c r="BH187" s="5"/>
      <c r="CE187" s="179">
        <v>44082</v>
      </c>
      <c r="CF187" s="179">
        <v>44261</v>
      </c>
    </row>
    <row r="188" spans="1:84">
      <c r="A188" s="209" t="s">
        <v>1582</v>
      </c>
      <c r="C188" s="169"/>
      <c r="D188" s="223">
        <v>38626</v>
      </c>
      <c r="E188" s="209"/>
      <c r="Q188" s="169" t="s">
        <v>1328</v>
      </c>
      <c r="R188" s="169"/>
      <c r="S188" s="169"/>
      <c r="T188" s="169"/>
      <c r="U188" s="169"/>
      <c r="AN188" s="169" t="s">
        <v>1583</v>
      </c>
      <c r="AU188" s="165" t="s">
        <v>1388</v>
      </c>
      <c r="AV188" s="170" t="s">
        <v>1584</v>
      </c>
      <c r="BH188" s="5"/>
      <c r="CE188" s="174">
        <v>44082</v>
      </c>
      <c r="CF188" s="174">
        <v>44261</v>
      </c>
    </row>
    <row r="189" spans="1:84">
      <c r="A189" s="220" t="s">
        <v>1582</v>
      </c>
      <c r="C189" s="211"/>
      <c r="D189" s="221"/>
      <c r="E189" s="211"/>
      <c r="F189" s="186"/>
      <c r="G189" s="185"/>
      <c r="H189" s="211"/>
      <c r="I189" s="211"/>
      <c r="J189" s="211"/>
      <c r="K189" s="211"/>
      <c r="L189" s="211"/>
      <c r="M189" s="211"/>
      <c r="N189" s="211"/>
      <c r="O189" s="211"/>
      <c r="P189" s="186"/>
      <c r="Q189" s="184" t="s">
        <v>1402</v>
      </c>
      <c r="R189" s="184"/>
      <c r="S189" s="184"/>
      <c r="T189" s="184"/>
      <c r="U189" s="184"/>
      <c r="V189" s="185"/>
      <c r="W189" s="185"/>
      <c r="AE189" s="186"/>
      <c r="AF189" s="186"/>
      <c r="AH189" s="185"/>
      <c r="AI189" s="186"/>
      <c r="AJ189" s="185"/>
      <c r="AL189" s="185"/>
      <c r="AM189" s="185"/>
      <c r="AN189" s="186"/>
      <c r="AO189" s="211"/>
      <c r="AU189" s="185"/>
      <c r="AV189" s="31"/>
      <c r="AW189" s="31"/>
      <c r="AX189" s="185"/>
      <c r="AY189" s="185"/>
      <c r="AZ189" s="185"/>
      <c r="BA189" s="185"/>
      <c r="BB189" s="185"/>
      <c r="BC189" s="185"/>
      <c r="BD189" s="185"/>
      <c r="BH189" s="5"/>
      <c r="BQ189" s="207"/>
      <c r="BR189" s="207"/>
      <c r="BS189" s="207"/>
      <c r="CE189" s="179">
        <v>44082</v>
      </c>
      <c r="CF189" s="179">
        <v>44261</v>
      </c>
    </row>
    <row r="190" spans="1:84">
      <c r="A190" s="211" t="s">
        <v>1585</v>
      </c>
      <c r="C190" s="211"/>
      <c r="D190" s="221"/>
      <c r="E190" s="211"/>
      <c r="F190" s="186"/>
      <c r="G190" s="185"/>
      <c r="H190" s="211"/>
      <c r="I190" s="211"/>
      <c r="J190" s="211"/>
      <c r="K190" s="211"/>
      <c r="L190" s="211" t="s">
        <v>1440</v>
      </c>
      <c r="M190" s="211"/>
      <c r="N190" s="211"/>
      <c r="O190" s="211"/>
      <c r="P190" s="186"/>
      <c r="Q190" s="184" t="s">
        <v>1506</v>
      </c>
      <c r="R190" s="184"/>
      <c r="S190" s="184"/>
      <c r="T190" s="184"/>
      <c r="U190" s="184"/>
      <c r="V190" s="185"/>
      <c r="W190" s="185"/>
      <c r="AE190" s="186"/>
      <c r="AF190" s="186"/>
      <c r="AH190" s="185"/>
      <c r="AI190" s="186"/>
      <c r="AJ190" s="185"/>
      <c r="AL190" s="185"/>
      <c r="AM190" s="185"/>
      <c r="AN190" s="186"/>
      <c r="AO190" s="211"/>
      <c r="AU190" s="185" t="s">
        <v>1257</v>
      </c>
      <c r="AV190" s="31" t="s">
        <v>1586</v>
      </c>
      <c r="AW190" s="31"/>
      <c r="AX190" s="185"/>
      <c r="AY190" s="185"/>
      <c r="AZ190" s="185"/>
      <c r="BA190" s="185"/>
      <c r="BB190" s="185"/>
      <c r="BC190" s="185"/>
      <c r="BD190" s="185"/>
      <c r="BH190" s="5"/>
      <c r="BQ190" s="207"/>
      <c r="BR190" s="207"/>
      <c r="BS190" s="207"/>
      <c r="CE190" s="174">
        <v>44082</v>
      </c>
      <c r="CF190" s="174">
        <v>44261</v>
      </c>
    </row>
    <row r="191" spans="1:84" ht="28.5">
      <c r="A191" s="170" t="s">
        <v>1587</v>
      </c>
      <c r="B191" s="169"/>
      <c r="AF191" s="204"/>
      <c r="AV191" s="209"/>
      <c r="AW191" s="209"/>
      <c r="BE191" s="194"/>
      <c r="BF191" s="194"/>
      <c r="BG191" s="194"/>
      <c r="BH191" s="5"/>
      <c r="BI191" s="194"/>
      <c r="BJ191" s="194"/>
      <c r="BK191" s="194"/>
      <c r="BL191" s="195"/>
      <c r="BM191" s="195"/>
      <c r="BN191" s="195"/>
      <c r="BO191" s="194"/>
      <c r="BP191" s="195"/>
      <c r="CA191" s="195"/>
      <c r="CB191" s="195"/>
      <c r="CC191" s="195"/>
      <c r="CD191" s="195"/>
      <c r="CE191" s="174">
        <v>44082</v>
      </c>
      <c r="CF191" s="174">
        <v>44261</v>
      </c>
    </row>
    <row r="192" spans="1:84" ht="28.5">
      <c r="A192" s="209" t="s">
        <v>1588</v>
      </c>
      <c r="C192" s="169"/>
      <c r="D192" s="223">
        <v>36251</v>
      </c>
      <c r="E192" s="209"/>
      <c r="Q192" s="169" t="s">
        <v>1382</v>
      </c>
      <c r="R192" s="169"/>
      <c r="S192" s="169"/>
      <c r="T192" s="169"/>
      <c r="U192" s="169"/>
      <c r="AN192" s="169" t="s">
        <v>1383</v>
      </c>
      <c r="AU192" s="165" t="s">
        <v>1388</v>
      </c>
      <c r="AV192" s="170" t="s">
        <v>1589</v>
      </c>
      <c r="BH192" s="5"/>
      <c r="CE192" s="179">
        <v>44082</v>
      </c>
      <c r="CF192" s="179">
        <v>44261</v>
      </c>
    </row>
    <row r="193" spans="1:85">
      <c r="A193" s="220" t="s">
        <v>1588</v>
      </c>
      <c r="C193" s="211"/>
      <c r="D193" s="221"/>
      <c r="E193" s="211"/>
      <c r="F193" s="186"/>
      <c r="G193" s="185"/>
      <c r="H193" s="211"/>
      <c r="I193" s="211"/>
      <c r="J193" s="211"/>
      <c r="K193" s="211"/>
      <c r="L193" s="211"/>
      <c r="M193" s="211"/>
      <c r="N193" s="211"/>
      <c r="O193" s="211"/>
      <c r="P193" s="186"/>
      <c r="Q193" s="184" t="s">
        <v>1539</v>
      </c>
      <c r="R193" s="184"/>
      <c r="S193" s="184"/>
      <c r="T193" s="184"/>
      <c r="U193" s="184"/>
      <c r="V193" s="185"/>
      <c r="W193" s="185"/>
      <c r="AE193" s="186"/>
      <c r="AF193" s="186"/>
      <c r="AH193" s="185"/>
      <c r="AI193" s="186"/>
      <c r="AJ193" s="185"/>
      <c r="AL193" s="185"/>
      <c r="AM193" s="185"/>
      <c r="AN193" s="186"/>
      <c r="AO193" s="211"/>
      <c r="AU193" s="185"/>
      <c r="AV193" s="31"/>
      <c r="AW193" s="31"/>
      <c r="AX193" s="185"/>
      <c r="AY193" s="185"/>
      <c r="AZ193" s="185"/>
      <c r="BA193" s="185"/>
      <c r="BB193" s="185"/>
      <c r="BC193" s="185"/>
      <c r="BD193" s="185"/>
      <c r="BH193" s="5"/>
      <c r="BQ193" s="207"/>
      <c r="BR193" s="207"/>
      <c r="BS193" s="207"/>
      <c r="CE193" s="174">
        <v>44082</v>
      </c>
      <c r="CF193" s="174">
        <v>44261</v>
      </c>
    </row>
    <row r="194" spans="1:85">
      <c r="A194" s="209" t="s">
        <v>1590</v>
      </c>
      <c r="C194" s="169"/>
      <c r="D194" s="223">
        <v>37530</v>
      </c>
      <c r="E194" s="209"/>
      <c r="Q194" s="169" t="s">
        <v>1328</v>
      </c>
      <c r="R194" s="169"/>
      <c r="S194" s="169"/>
      <c r="T194" s="169"/>
      <c r="U194" s="169"/>
      <c r="AN194" s="169" t="s">
        <v>1591</v>
      </c>
      <c r="BH194" s="5"/>
      <c r="CE194" s="214">
        <v>44082</v>
      </c>
      <c r="CF194" s="214"/>
      <c r="CG194" s="215"/>
    </row>
    <row r="195" spans="1:85">
      <c r="A195" s="209" t="s">
        <v>1592</v>
      </c>
      <c r="C195" s="169"/>
      <c r="D195" s="223">
        <v>37135</v>
      </c>
      <c r="E195" s="209"/>
      <c r="Q195" s="169" t="s">
        <v>1593</v>
      </c>
      <c r="R195" s="169"/>
      <c r="S195" s="169"/>
      <c r="T195" s="169"/>
      <c r="U195" s="169"/>
      <c r="AN195" s="169" t="s">
        <v>1383</v>
      </c>
      <c r="BH195" s="5"/>
      <c r="CE195" s="174">
        <v>44082</v>
      </c>
      <c r="CF195" s="174">
        <v>44261</v>
      </c>
    </row>
    <row r="196" spans="1:85">
      <c r="A196" s="209" t="s">
        <v>1594</v>
      </c>
      <c r="C196" s="169"/>
      <c r="D196" s="223">
        <v>35582</v>
      </c>
      <c r="E196" s="209"/>
      <c r="Q196" s="169" t="s">
        <v>1553</v>
      </c>
      <c r="R196" s="169"/>
      <c r="S196" s="169"/>
      <c r="T196" s="169"/>
      <c r="U196" s="169"/>
      <c r="AN196" s="169" t="s">
        <v>1368</v>
      </c>
      <c r="BH196" s="5"/>
      <c r="BO196" s="171">
        <v>1</v>
      </c>
      <c r="CE196" s="179">
        <v>44082</v>
      </c>
      <c r="CF196" s="179">
        <v>44261</v>
      </c>
    </row>
    <row r="197" spans="1:85" ht="28.5">
      <c r="A197" s="209" t="s">
        <v>1595</v>
      </c>
      <c r="C197" s="169"/>
      <c r="D197" s="223">
        <v>35827</v>
      </c>
      <c r="E197" s="209"/>
      <c r="Q197" s="169" t="s">
        <v>1328</v>
      </c>
      <c r="R197" s="169"/>
      <c r="S197" s="169"/>
      <c r="T197" s="169"/>
      <c r="U197" s="169"/>
      <c r="AN197" s="169" t="s">
        <v>1368</v>
      </c>
      <c r="BH197" s="5"/>
      <c r="CE197" s="179">
        <v>44082</v>
      </c>
      <c r="CF197" s="179">
        <v>44261</v>
      </c>
    </row>
    <row r="198" spans="1:85">
      <c r="A198" s="209" t="s">
        <v>1596</v>
      </c>
      <c r="C198" s="169"/>
      <c r="D198" s="223">
        <v>35612</v>
      </c>
      <c r="E198" s="209"/>
      <c r="Q198" s="169" t="s">
        <v>1413</v>
      </c>
      <c r="R198" s="169"/>
      <c r="S198" s="169"/>
      <c r="T198" s="169"/>
      <c r="U198" s="169"/>
      <c r="AN198" s="169" t="s">
        <v>1597</v>
      </c>
      <c r="BH198" s="5"/>
      <c r="CE198" s="179">
        <v>44082</v>
      </c>
      <c r="CF198" s="179">
        <v>44261</v>
      </c>
    </row>
    <row r="199" spans="1:85">
      <c r="A199" s="170" t="s">
        <v>1598</v>
      </c>
      <c r="D199" s="223"/>
      <c r="BH199" s="5"/>
      <c r="CE199" s="174">
        <v>44082</v>
      </c>
      <c r="CF199" s="174">
        <v>44261</v>
      </c>
    </row>
    <row r="200" spans="1:85">
      <c r="A200" s="209" t="s">
        <v>1599</v>
      </c>
      <c r="C200" s="169"/>
      <c r="D200" s="223">
        <v>34851</v>
      </c>
      <c r="E200" s="209"/>
      <c r="Q200" s="169" t="s">
        <v>1410</v>
      </c>
      <c r="R200" s="169"/>
      <c r="S200" s="169"/>
      <c r="T200" s="169"/>
      <c r="U200" s="169"/>
      <c r="AN200" s="169" t="s">
        <v>1450</v>
      </c>
      <c r="BH200" s="5"/>
      <c r="CE200" s="174">
        <v>44082</v>
      </c>
      <c r="CF200" s="174">
        <v>44261</v>
      </c>
    </row>
    <row r="201" spans="1:85">
      <c r="A201" s="209" t="s">
        <v>1600</v>
      </c>
      <c r="C201" s="169"/>
      <c r="D201" s="223">
        <v>37987</v>
      </c>
      <c r="E201" s="209"/>
      <c r="Q201" s="169" t="s">
        <v>1328</v>
      </c>
      <c r="R201" s="169"/>
      <c r="S201" s="169"/>
      <c r="T201" s="169"/>
      <c r="U201" s="169"/>
      <c r="AN201" s="169" t="s">
        <v>1262</v>
      </c>
      <c r="BH201" s="5"/>
      <c r="CE201" s="179">
        <v>44082</v>
      </c>
      <c r="CF201" s="179">
        <v>44261</v>
      </c>
    </row>
    <row r="202" spans="1:85" ht="28.5">
      <c r="A202" s="209" t="s">
        <v>1601</v>
      </c>
      <c r="C202" s="169"/>
      <c r="D202" s="223">
        <v>36647</v>
      </c>
      <c r="E202" s="209"/>
      <c r="Q202" s="169" t="s">
        <v>1553</v>
      </c>
      <c r="R202" s="169"/>
      <c r="S202" s="169"/>
      <c r="T202" s="169"/>
      <c r="U202" s="169"/>
      <c r="AN202" s="169" t="s">
        <v>1383</v>
      </c>
      <c r="AU202" s="165" t="s">
        <v>1388</v>
      </c>
      <c r="AV202" s="170" t="s">
        <v>1602</v>
      </c>
      <c r="BH202" s="5"/>
      <c r="CE202" s="174">
        <v>44082</v>
      </c>
      <c r="CF202" s="174">
        <v>44261</v>
      </c>
    </row>
    <row r="203" spans="1:85">
      <c r="A203" s="220" t="s">
        <v>1601</v>
      </c>
      <c r="C203" s="211"/>
      <c r="D203" s="221"/>
      <c r="E203" s="211"/>
      <c r="F203" s="186"/>
      <c r="G203" s="185"/>
      <c r="H203" s="211"/>
      <c r="I203" s="211"/>
      <c r="J203" s="211"/>
      <c r="K203" s="211"/>
      <c r="L203" s="211"/>
      <c r="M203" s="211"/>
      <c r="N203" s="211"/>
      <c r="O203" s="211"/>
      <c r="P203" s="186"/>
      <c r="Q203" s="184" t="s">
        <v>1548</v>
      </c>
      <c r="R203" s="184"/>
      <c r="S203" s="184"/>
      <c r="T203" s="184"/>
      <c r="U203" s="184"/>
      <c r="V203" s="185"/>
      <c r="W203" s="185"/>
      <c r="AE203" s="186"/>
      <c r="AF203" s="186"/>
      <c r="AH203" s="185"/>
      <c r="AI203" s="186"/>
      <c r="AJ203" s="185"/>
      <c r="AL203" s="185"/>
      <c r="AM203" s="185"/>
      <c r="AN203" s="186"/>
      <c r="AO203" s="211"/>
      <c r="AU203" s="185"/>
      <c r="AV203" s="31"/>
      <c r="AW203" s="31"/>
      <c r="AX203" s="185"/>
      <c r="AY203" s="185"/>
      <c r="AZ203" s="185"/>
      <c r="BA203" s="185"/>
      <c r="BB203" s="185"/>
      <c r="BC203" s="185"/>
      <c r="BD203" s="185"/>
      <c r="BH203" s="5"/>
      <c r="BQ203" s="207"/>
      <c r="BR203" s="207"/>
      <c r="BS203" s="207"/>
      <c r="CE203" s="214">
        <v>44082</v>
      </c>
      <c r="CF203" s="214"/>
      <c r="CG203" s="215"/>
    </row>
    <row r="204" spans="1:85">
      <c r="A204" s="209" t="s">
        <v>1603</v>
      </c>
      <c r="C204" s="169"/>
      <c r="D204" s="223">
        <v>35886</v>
      </c>
      <c r="E204" s="209"/>
      <c r="Q204" s="169" t="s">
        <v>1553</v>
      </c>
      <c r="R204" s="169"/>
      <c r="S204" s="169"/>
      <c r="T204" s="169"/>
      <c r="U204" s="169"/>
      <c r="AN204" s="169" t="s">
        <v>1383</v>
      </c>
      <c r="BH204" s="5"/>
      <c r="CE204" s="174">
        <v>44082</v>
      </c>
      <c r="CF204" s="174">
        <v>44261</v>
      </c>
    </row>
    <row r="205" spans="1:85">
      <c r="A205" s="209" t="s">
        <v>1604</v>
      </c>
      <c r="C205" s="169"/>
      <c r="D205" s="223">
        <v>28672</v>
      </c>
      <c r="E205" s="209"/>
      <c r="Q205" s="169" t="s">
        <v>1593</v>
      </c>
      <c r="R205" s="169"/>
      <c r="S205" s="169"/>
      <c r="T205" s="169"/>
      <c r="U205" s="169"/>
      <c r="AN205" s="169" t="s">
        <v>1357</v>
      </c>
      <c r="BH205" s="5"/>
      <c r="CE205" s="179">
        <v>44082</v>
      </c>
      <c r="CF205" s="179">
        <v>44261</v>
      </c>
    </row>
    <row r="206" spans="1:85">
      <c r="A206" s="209" t="s">
        <v>1605</v>
      </c>
      <c r="C206" s="169"/>
      <c r="D206" s="223">
        <v>35278</v>
      </c>
      <c r="E206" s="209"/>
      <c r="Q206" s="169" t="s">
        <v>1578</v>
      </c>
      <c r="R206" s="169"/>
      <c r="S206" s="169"/>
      <c r="T206" s="169"/>
      <c r="U206" s="169"/>
      <c r="AN206" s="169" t="s">
        <v>1397</v>
      </c>
      <c r="BH206" s="5"/>
      <c r="CE206" s="174">
        <v>44082</v>
      </c>
      <c r="CF206" s="174">
        <v>44261</v>
      </c>
    </row>
    <row r="207" spans="1:85">
      <c r="A207" s="211" t="s">
        <v>1606</v>
      </c>
      <c r="C207" s="211"/>
      <c r="D207" s="221"/>
      <c r="E207" s="211"/>
      <c r="F207" s="186"/>
      <c r="G207" s="185"/>
      <c r="H207" s="211"/>
      <c r="I207" s="211"/>
      <c r="J207" s="211"/>
      <c r="K207" s="211"/>
      <c r="L207" s="211"/>
      <c r="M207" s="211"/>
      <c r="N207" s="211"/>
      <c r="O207" s="211"/>
      <c r="P207" s="186"/>
      <c r="Q207" s="184" t="s">
        <v>1607</v>
      </c>
      <c r="R207" s="184"/>
      <c r="S207" s="184"/>
      <c r="T207" s="184"/>
      <c r="U207" s="184"/>
      <c r="V207" s="185"/>
      <c r="W207" s="185"/>
      <c r="AE207" s="186"/>
      <c r="AF207" s="186"/>
      <c r="AH207" s="185"/>
      <c r="AI207" s="186"/>
      <c r="AJ207" s="185"/>
      <c r="AL207" s="185"/>
      <c r="AM207" s="185"/>
      <c r="AN207" s="186"/>
      <c r="AO207" s="211"/>
      <c r="AU207" s="185" t="s">
        <v>1257</v>
      </c>
      <c r="AV207" s="31" t="s">
        <v>1608</v>
      </c>
      <c r="AW207" s="31"/>
      <c r="AX207" s="185"/>
      <c r="AY207" s="185"/>
      <c r="AZ207" s="185"/>
      <c r="BA207" s="185"/>
      <c r="BB207" s="185"/>
      <c r="BC207" s="185"/>
      <c r="BD207" s="185"/>
      <c r="BE207" s="5"/>
      <c r="BF207" s="5"/>
      <c r="BG207" s="5"/>
      <c r="BH207" s="5"/>
      <c r="BI207" s="5"/>
      <c r="BJ207" s="5"/>
      <c r="BK207" s="5"/>
      <c r="BL207" s="215"/>
      <c r="BM207" s="215"/>
      <c r="BN207" s="215"/>
      <c r="BO207" s="5"/>
      <c r="BP207" s="215"/>
      <c r="BQ207" s="207"/>
      <c r="BR207" s="207"/>
      <c r="BS207" s="207"/>
      <c r="CA207" s="215"/>
      <c r="CB207" s="215"/>
      <c r="CC207" s="215"/>
      <c r="CD207" s="215"/>
      <c r="CE207" s="174">
        <v>44082</v>
      </c>
      <c r="CF207" s="174">
        <v>44261</v>
      </c>
    </row>
    <row r="208" spans="1:85">
      <c r="A208" s="209" t="s">
        <v>1609</v>
      </c>
      <c r="C208" s="169"/>
      <c r="D208" s="223">
        <v>37926</v>
      </c>
      <c r="E208" s="209"/>
      <c r="Q208" s="169" t="s">
        <v>1610</v>
      </c>
      <c r="R208" s="169"/>
      <c r="S208" s="169"/>
      <c r="T208" s="169"/>
      <c r="U208" s="169"/>
      <c r="AN208" s="169" t="s">
        <v>1450</v>
      </c>
      <c r="BE208" s="5"/>
      <c r="BF208" s="5"/>
      <c r="BG208" s="5"/>
      <c r="BH208" s="5"/>
      <c r="BI208" s="5"/>
      <c r="BJ208" s="5"/>
      <c r="BK208" s="5"/>
      <c r="BL208" s="215"/>
      <c r="BM208" s="215"/>
      <c r="BN208" s="215"/>
      <c r="BO208" s="5"/>
      <c r="BP208" s="215"/>
      <c r="CA208" s="215"/>
      <c r="CB208" s="215"/>
      <c r="CC208" s="215"/>
      <c r="CD208" s="215"/>
      <c r="CE208" s="174">
        <v>44082</v>
      </c>
      <c r="CF208" s="174">
        <v>44261</v>
      </c>
    </row>
    <row r="209" spans="1:85">
      <c r="A209" s="170" t="s">
        <v>1612</v>
      </c>
      <c r="B209" s="169"/>
      <c r="AF209" s="204"/>
      <c r="AV209" s="209"/>
      <c r="AW209" s="209"/>
      <c r="BH209" s="5"/>
      <c r="CE209" s="174">
        <v>44082</v>
      </c>
      <c r="CF209" s="174">
        <v>44261</v>
      </c>
    </row>
    <row r="210" spans="1:85">
      <c r="A210" s="170" t="s">
        <v>1613</v>
      </c>
      <c r="B210" s="169"/>
      <c r="AF210" s="204">
        <v>50</v>
      </c>
      <c r="AJ210" s="165">
        <v>34</v>
      </c>
      <c r="AV210" s="209" t="s">
        <v>1614</v>
      </c>
      <c r="AW210" s="209"/>
      <c r="BE210" s="5"/>
      <c r="BF210" s="5"/>
      <c r="BG210" s="5"/>
      <c r="BH210" s="5"/>
      <c r="BI210" s="5"/>
      <c r="BJ210" s="5"/>
      <c r="BK210" s="5"/>
      <c r="BL210" s="215"/>
      <c r="BM210" s="215"/>
      <c r="BN210" s="215"/>
      <c r="BO210" s="5"/>
      <c r="BP210" s="215"/>
      <c r="CA210" s="215"/>
      <c r="CB210" s="215"/>
      <c r="CC210" s="215"/>
      <c r="CD210" s="215"/>
      <c r="CE210" s="174">
        <v>44082</v>
      </c>
      <c r="CF210" s="174">
        <v>44261</v>
      </c>
    </row>
    <row r="211" spans="1:85">
      <c r="A211" s="209" t="s">
        <v>1615</v>
      </c>
      <c r="C211" s="169"/>
      <c r="D211" s="223">
        <v>37347</v>
      </c>
      <c r="E211" s="209"/>
      <c r="Q211" s="169" t="s">
        <v>1616</v>
      </c>
      <c r="R211" s="169"/>
      <c r="S211" s="169"/>
      <c r="T211" s="169"/>
      <c r="U211" s="169"/>
      <c r="AN211" s="169" t="s">
        <v>1348</v>
      </c>
      <c r="BH211" s="5"/>
      <c r="CE211" s="174">
        <v>44082</v>
      </c>
      <c r="CF211" s="174">
        <v>44261</v>
      </c>
    </row>
    <row r="212" spans="1:85">
      <c r="A212" s="209" t="s">
        <v>1617</v>
      </c>
      <c r="C212" s="169"/>
      <c r="D212" s="223">
        <v>36342</v>
      </c>
      <c r="E212" s="209"/>
      <c r="Q212" s="169" t="s">
        <v>1618</v>
      </c>
      <c r="R212" s="169"/>
      <c r="S212" s="169"/>
      <c r="T212" s="169"/>
      <c r="U212" s="169"/>
      <c r="AN212" s="169" t="s">
        <v>1262</v>
      </c>
      <c r="BH212" s="5"/>
      <c r="CE212" s="214">
        <v>44082</v>
      </c>
      <c r="CF212" s="214"/>
      <c r="CG212" s="215"/>
    </row>
    <row r="213" spans="1:85" ht="28.5">
      <c r="A213" s="209" t="s">
        <v>1619</v>
      </c>
      <c r="C213" s="169"/>
      <c r="D213" s="223">
        <v>32660</v>
      </c>
      <c r="E213" s="209"/>
      <c r="Q213" s="169" t="s">
        <v>1328</v>
      </c>
      <c r="R213" s="169"/>
      <c r="S213" s="169"/>
      <c r="T213" s="169"/>
      <c r="U213" s="169"/>
      <c r="AN213" s="169" t="s">
        <v>1254</v>
      </c>
      <c r="AU213" s="165" t="s">
        <v>1388</v>
      </c>
      <c r="AV213" s="170" t="s">
        <v>1620</v>
      </c>
      <c r="BE213" s="5"/>
      <c r="BF213" s="5"/>
      <c r="BG213" s="5"/>
      <c r="BH213" s="5"/>
      <c r="BI213" s="5"/>
      <c r="BJ213" s="5"/>
      <c r="BK213" s="5"/>
      <c r="BL213" s="215"/>
      <c r="BM213" s="215"/>
      <c r="BN213" s="215"/>
      <c r="BO213" s="5"/>
      <c r="BP213" s="215"/>
      <c r="CA213" s="215"/>
      <c r="CB213" s="215"/>
      <c r="CC213" s="215"/>
      <c r="CD213" s="215"/>
      <c r="CE213" s="174">
        <v>44082</v>
      </c>
      <c r="CF213" s="174">
        <v>44261</v>
      </c>
    </row>
    <row r="214" spans="1:85">
      <c r="A214" s="220" t="s">
        <v>1619</v>
      </c>
      <c r="C214" s="211"/>
      <c r="D214" s="221"/>
      <c r="E214" s="211"/>
      <c r="F214" s="186"/>
      <c r="G214" s="185"/>
      <c r="H214" s="211"/>
      <c r="I214" s="211"/>
      <c r="J214" s="211"/>
      <c r="K214" s="211"/>
      <c r="L214" s="211"/>
      <c r="M214" s="211"/>
      <c r="N214" s="211"/>
      <c r="O214" s="211"/>
      <c r="P214" s="186"/>
      <c r="Q214" s="184" t="s">
        <v>1402</v>
      </c>
      <c r="R214" s="184"/>
      <c r="S214" s="184"/>
      <c r="T214" s="184"/>
      <c r="U214" s="184"/>
      <c r="V214" s="185"/>
      <c r="W214" s="185"/>
      <c r="AE214" s="186"/>
      <c r="AF214" s="186"/>
      <c r="AH214" s="185"/>
      <c r="AI214" s="186"/>
      <c r="AJ214" s="185"/>
      <c r="AL214" s="185"/>
      <c r="AM214" s="185"/>
      <c r="AN214" s="186"/>
      <c r="AO214" s="211"/>
      <c r="AU214" s="185"/>
      <c r="AV214" s="31"/>
      <c r="AW214" s="31"/>
      <c r="AX214" s="185"/>
      <c r="AY214" s="185"/>
      <c r="AZ214" s="185"/>
      <c r="BA214" s="185"/>
      <c r="BB214" s="185"/>
      <c r="BC214" s="185"/>
      <c r="BD214" s="185"/>
      <c r="BH214" s="5"/>
      <c r="BQ214" s="207"/>
      <c r="BR214" s="207"/>
      <c r="BS214" s="207"/>
      <c r="CE214" s="174">
        <v>44082</v>
      </c>
      <c r="CF214" s="174">
        <v>44261</v>
      </c>
    </row>
    <row r="215" spans="1:85">
      <c r="A215" s="209" t="s">
        <v>1621</v>
      </c>
      <c r="C215" s="169"/>
      <c r="D215" s="223">
        <v>35339</v>
      </c>
      <c r="E215" s="209"/>
      <c r="Q215" s="169" t="s">
        <v>1328</v>
      </c>
      <c r="R215" s="169"/>
      <c r="S215" s="169"/>
      <c r="T215" s="169"/>
      <c r="U215" s="169"/>
      <c r="AN215" s="169" t="s">
        <v>1348</v>
      </c>
      <c r="AU215" s="165" t="s">
        <v>1388</v>
      </c>
      <c r="AV215" s="170" t="s">
        <v>1622</v>
      </c>
      <c r="BH215" s="5"/>
      <c r="CE215" s="179">
        <v>44082</v>
      </c>
      <c r="CF215" s="179">
        <v>44261</v>
      </c>
    </row>
    <row r="216" spans="1:85">
      <c r="A216" s="220" t="s">
        <v>1621</v>
      </c>
      <c r="C216" s="211"/>
      <c r="D216" s="221"/>
      <c r="E216" s="211"/>
      <c r="F216" s="186"/>
      <c r="G216" s="185"/>
      <c r="H216" s="211"/>
      <c r="I216" s="211"/>
      <c r="J216" s="211"/>
      <c r="K216" s="211"/>
      <c r="L216" s="211"/>
      <c r="M216" s="211"/>
      <c r="N216" s="211"/>
      <c r="O216" s="211"/>
      <c r="P216" s="186"/>
      <c r="Q216" s="184" t="s">
        <v>1402</v>
      </c>
      <c r="R216" s="184"/>
      <c r="S216" s="184"/>
      <c r="T216" s="184"/>
      <c r="U216" s="184"/>
      <c r="V216" s="185"/>
      <c r="W216" s="185"/>
      <c r="AE216" s="186"/>
      <c r="AF216" s="186"/>
      <c r="AH216" s="185"/>
      <c r="AI216" s="186"/>
      <c r="AJ216" s="185"/>
      <c r="AL216" s="185"/>
      <c r="AM216" s="185"/>
      <c r="AN216" s="186"/>
      <c r="AO216" s="211"/>
      <c r="AU216" s="185"/>
      <c r="AV216" s="31"/>
      <c r="AW216" s="31"/>
      <c r="AX216" s="185"/>
      <c r="AY216" s="185"/>
      <c r="AZ216" s="185"/>
      <c r="BA216" s="185"/>
      <c r="BB216" s="185"/>
      <c r="BC216" s="185"/>
      <c r="BD216" s="185"/>
      <c r="BH216" s="5"/>
      <c r="BQ216" s="207"/>
      <c r="BR216" s="207"/>
      <c r="BS216" s="207"/>
      <c r="CE216" s="179">
        <v>44082</v>
      </c>
      <c r="CF216" s="179">
        <v>44261</v>
      </c>
    </row>
    <row r="217" spans="1:85">
      <c r="A217" s="211" t="s">
        <v>1623</v>
      </c>
      <c r="C217" s="211"/>
      <c r="D217" s="221"/>
      <c r="E217" s="211"/>
      <c r="F217" s="186"/>
      <c r="G217" s="185"/>
      <c r="H217" s="211"/>
      <c r="I217" s="211"/>
      <c r="J217" s="211"/>
      <c r="K217" s="211"/>
      <c r="L217" s="211"/>
      <c r="M217" s="211"/>
      <c r="N217" s="211"/>
      <c r="O217" s="211"/>
      <c r="P217" s="186"/>
      <c r="Q217" s="184" t="s">
        <v>1402</v>
      </c>
      <c r="R217" s="184"/>
      <c r="S217" s="184"/>
      <c r="T217" s="184"/>
      <c r="U217" s="184"/>
      <c r="V217" s="185"/>
      <c r="W217" s="185"/>
      <c r="AE217" s="186"/>
      <c r="AF217" s="186"/>
      <c r="AH217" s="185"/>
      <c r="AI217" s="186"/>
      <c r="AJ217" s="185"/>
      <c r="AL217" s="185"/>
      <c r="AM217" s="185"/>
      <c r="AN217" s="186"/>
      <c r="AO217" s="211"/>
      <c r="AU217" s="185" t="s">
        <v>1257</v>
      </c>
      <c r="AV217" s="31" t="s">
        <v>1624</v>
      </c>
      <c r="AW217" s="31"/>
      <c r="AX217" s="185"/>
      <c r="AY217" s="185"/>
      <c r="AZ217" s="185"/>
      <c r="BA217" s="185"/>
      <c r="BB217" s="185"/>
      <c r="BC217" s="185"/>
      <c r="BD217" s="185"/>
      <c r="BH217" s="5"/>
      <c r="BQ217" s="207"/>
      <c r="BR217" s="207"/>
      <c r="BS217" s="207"/>
      <c r="CE217" s="174">
        <v>44082</v>
      </c>
      <c r="CF217" s="174">
        <v>44261</v>
      </c>
    </row>
    <row r="218" spans="1:85">
      <c r="A218" s="209" t="s">
        <v>1625</v>
      </c>
      <c r="C218" s="169"/>
      <c r="D218" s="223">
        <v>35156</v>
      </c>
      <c r="E218" s="209"/>
      <c r="Q218" s="169" t="s">
        <v>1328</v>
      </c>
      <c r="R218" s="169"/>
      <c r="S218" s="169"/>
      <c r="T218" s="169"/>
      <c r="U218" s="169"/>
      <c r="AN218" s="169" t="s">
        <v>1626</v>
      </c>
      <c r="BH218" s="5"/>
      <c r="CE218" s="174">
        <v>44082</v>
      </c>
      <c r="CF218" s="174">
        <v>44261</v>
      </c>
    </row>
    <row r="219" spans="1:85">
      <c r="A219" s="209" t="s">
        <v>1627</v>
      </c>
      <c r="C219" s="169"/>
      <c r="D219" s="223">
        <v>35796</v>
      </c>
      <c r="E219" s="209"/>
      <c r="Q219" s="169" t="s">
        <v>1628</v>
      </c>
      <c r="R219" s="169"/>
      <c r="S219" s="169"/>
      <c r="T219" s="169"/>
      <c r="U219" s="169"/>
      <c r="AN219" s="169" t="s">
        <v>1383</v>
      </c>
      <c r="BH219" s="5"/>
      <c r="CE219" s="179"/>
      <c r="CF219" s="179"/>
    </row>
    <row r="220" spans="1:85">
      <c r="A220" s="209" t="s">
        <v>1629</v>
      </c>
      <c r="C220" s="169"/>
      <c r="D220" s="223">
        <v>37408</v>
      </c>
      <c r="E220" s="209"/>
      <c r="Q220" s="169" t="s">
        <v>1328</v>
      </c>
      <c r="R220" s="169"/>
      <c r="S220" s="169"/>
      <c r="T220" s="169"/>
      <c r="U220" s="169"/>
      <c r="AN220" s="169" t="s">
        <v>1368</v>
      </c>
      <c r="BH220" s="5"/>
      <c r="CE220" s="174">
        <v>44082</v>
      </c>
      <c r="CF220" s="174">
        <v>44261</v>
      </c>
    </row>
    <row r="221" spans="1:85">
      <c r="A221" s="209" t="s">
        <v>1630</v>
      </c>
      <c r="C221" s="169"/>
      <c r="D221" s="223">
        <v>38777</v>
      </c>
      <c r="E221" s="209"/>
      <c r="Q221" s="169" t="s">
        <v>1328</v>
      </c>
      <c r="R221" s="169"/>
      <c r="S221" s="169"/>
      <c r="T221" s="169"/>
      <c r="U221" s="169"/>
      <c r="AN221" s="169" t="s">
        <v>1368</v>
      </c>
      <c r="BH221" s="5"/>
      <c r="CE221" s="179">
        <v>44082</v>
      </c>
      <c r="CF221" s="179">
        <v>44261</v>
      </c>
    </row>
    <row r="222" spans="1:85">
      <c r="A222" s="209" t="s">
        <v>1631</v>
      </c>
      <c r="C222" s="169"/>
      <c r="D222" s="223">
        <v>37165</v>
      </c>
      <c r="E222" s="209"/>
      <c r="Q222" s="169" t="s">
        <v>1328</v>
      </c>
      <c r="R222" s="169"/>
      <c r="S222" s="169"/>
      <c r="T222" s="169"/>
      <c r="U222" s="169"/>
      <c r="AN222" s="169" t="s">
        <v>1348</v>
      </c>
      <c r="BH222" s="5"/>
      <c r="CE222" s="174">
        <v>44082</v>
      </c>
      <c r="CF222" s="174">
        <v>44261</v>
      </c>
    </row>
    <row r="223" spans="1:85">
      <c r="A223" s="211" t="s">
        <v>1632</v>
      </c>
      <c r="C223" s="211"/>
      <c r="D223" s="223">
        <v>38777</v>
      </c>
      <c r="E223" s="211"/>
      <c r="F223" s="186"/>
      <c r="G223" s="185"/>
      <c r="H223" s="211"/>
      <c r="I223" s="211"/>
      <c r="J223" s="211"/>
      <c r="K223" s="211"/>
      <c r="L223" s="211"/>
      <c r="M223" s="211"/>
      <c r="N223" s="211"/>
      <c r="O223" s="211"/>
      <c r="P223" s="186"/>
      <c r="Q223" s="184" t="s">
        <v>1633</v>
      </c>
      <c r="R223" s="184"/>
      <c r="S223" s="184"/>
      <c r="T223" s="184"/>
      <c r="U223" s="184"/>
      <c r="V223" s="185"/>
      <c r="W223" s="185"/>
      <c r="AE223" s="186"/>
      <c r="AF223" s="186"/>
      <c r="AH223" s="185"/>
      <c r="AI223" s="186"/>
      <c r="AJ223" s="185"/>
      <c r="AL223" s="185"/>
      <c r="AM223" s="185"/>
      <c r="AN223" s="169" t="s">
        <v>1262</v>
      </c>
      <c r="AO223" s="211"/>
      <c r="AU223" s="185" t="s">
        <v>1257</v>
      </c>
      <c r="AV223" s="31" t="s">
        <v>1634</v>
      </c>
      <c r="AW223" s="31"/>
      <c r="AX223" s="185"/>
      <c r="AY223" s="185"/>
      <c r="AZ223" s="185"/>
      <c r="BA223" s="185"/>
      <c r="BB223" s="185"/>
      <c r="BC223" s="185"/>
      <c r="BD223" s="185"/>
      <c r="BH223" s="5"/>
      <c r="BQ223" s="207"/>
      <c r="BR223" s="207"/>
      <c r="BS223" s="207"/>
      <c r="CE223" s="174">
        <v>44082</v>
      </c>
      <c r="CF223" s="174">
        <v>44261</v>
      </c>
    </row>
    <row r="224" spans="1:85">
      <c r="A224" s="209" t="s">
        <v>1635</v>
      </c>
      <c r="C224" s="169"/>
      <c r="D224" s="223">
        <v>35309</v>
      </c>
      <c r="E224" s="209"/>
      <c r="Q224" s="169" t="s">
        <v>1636</v>
      </c>
      <c r="R224" s="169"/>
      <c r="S224" s="169"/>
      <c r="T224" s="169"/>
      <c r="U224" s="169"/>
      <c r="AN224" s="169" t="s">
        <v>1357</v>
      </c>
      <c r="BH224" s="5"/>
      <c r="CE224" s="179">
        <v>44082</v>
      </c>
      <c r="CF224" s="179">
        <v>44261</v>
      </c>
    </row>
    <row r="225" spans="1:84">
      <c r="A225" s="209" t="s">
        <v>1637</v>
      </c>
      <c r="C225" s="169"/>
      <c r="D225" s="223">
        <v>37834</v>
      </c>
      <c r="E225" s="209"/>
      <c r="Q225" s="169" t="s">
        <v>1457</v>
      </c>
      <c r="R225" s="169"/>
      <c r="S225" s="169"/>
      <c r="T225" s="169"/>
      <c r="U225" s="169"/>
      <c r="AN225" s="169" t="s">
        <v>1368</v>
      </c>
      <c r="BH225" s="5"/>
      <c r="CE225" s="174">
        <v>44082</v>
      </c>
      <c r="CF225" s="174">
        <v>44261</v>
      </c>
    </row>
    <row r="226" spans="1:84">
      <c r="A226" s="211" t="s">
        <v>1638</v>
      </c>
      <c r="C226" s="211"/>
      <c r="D226" s="221"/>
      <c r="E226" s="211"/>
      <c r="F226" s="186"/>
      <c r="G226" s="185"/>
      <c r="H226" s="211"/>
      <c r="I226" s="211"/>
      <c r="J226" s="211"/>
      <c r="K226" s="211"/>
      <c r="L226" s="211"/>
      <c r="M226" s="211"/>
      <c r="N226" s="211"/>
      <c r="O226" s="211"/>
      <c r="P226" s="186"/>
      <c r="Q226" s="184" t="s">
        <v>1639</v>
      </c>
      <c r="R226" s="184"/>
      <c r="S226" s="184"/>
      <c r="T226" s="184"/>
      <c r="U226" s="184"/>
      <c r="V226" s="185"/>
      <c r="W226" s="185"/>
      <c r="AE226" s="186"/>
      <c r="AF226" s="186"/>
      <c r="AH226" s="185"/>
      <c r="AI226" s="186"/>
      <c r="AJ226" s="185"/>
      <c r="AL226" s="185"/>
      <c r="AM226" s="185"/>
      <c r="AN226" s="186"/>
      <c r="AO226" s="211"/>
      <c r="AU226" s="185" t="s">
        <v>1257</v>
      </c>
      <c r="AV226" s="31" t="s">
        <v>1640</v>
      </c>
      <c r="AW226" s="31"/>
      <c r="AX226" s="185"/>
      <c r="AY226" s="185"/>
      <c r="AZ226" s="185"/>
      <c r="BA226" s="185"/>
      <c r="BB226" s="185"/>
      <c r="BC226" s="185"/>
      <c r="BD226" s="185"/>
      <c r="BH226" s="5"/>
      <c r="BQ226" s="207"/>
      <c r="BR226" s="207"/>
      <c r="BS226" s="207"/>
      <c r="CE226" s="174">
        <v>44082</v>
      </c>
      <c r="CF226" s="174">
        <v>44261</v>
      </c>
    </row>
    <row r="227" spans="1:84">
      <c r="A227" s="209" t="s">
        <v>1641</v>
      </c>
      <c r="C227" s="169"/>
      <c r="D227" s="223">
        <v>39539</v>
      </c>
      <c r="E227" s="209"/>
      <c r="Q227" s="169" t="s">
        <v>1506</v>
      </c>
      <c r="R227" s="169"/>
      <c r="S227" s="169"/>
      <c r="T227" s="169"/>
      <c r="U227" s="169"/>
      <c r="AN227" s="169" t="s">
        <v>1357</v>
      </c>
      <c r="BH227" s="5"/>
      <c r="CE227" s="179">
        <v>44082</v>
      </c>
      <c r="CF227" s="179">
        <v>44261</v>
      </c>
    </row>
    <row r="228" spans="1:84" ht="28.5">
      <c r="A228" s="209" t="s">
        <v>1642</v>
      </c>
      <c r="C228" s="169"/>
      <c r="D228" s="223">
        <v>38200</v>
      </c>
      <c r="E228" s="209"/>
      <c r="Q228" s="169" t="s">
        <v>1457</v>
      </c>
      <c r="R228" s="169"/>
      <c r="S228" s="169"/>
      <c r="T228" s="169"/>
      <c r="U228" s="169"/>
      <c r="AN228" s="169" t="s">
        <v>1383</v>
      </c>
      <c r="AU228" s="165" t="s">
        <v>1388</v>
      </c>
      <c r="AV228" s="170" t="s">
        <v>1643</v>
      </c>
      <c r="BH228" s="5"/>
      <c r="CE228" s="174">
        <v>44082</v>
      </c>
      <c r="CF228" s="174">
        <v>44261</v>
      </c>
    </row>
    <row r="229" spans="1:84">
      <c r="A229" s="220" t="s">
        <v>1642</v>
      </c>
      <c r="C229" s="211"/>
      <c r="D229" s="221"/>
      <c r="E229" s="211"/>
      <c r="F229" s="186"/>
      <c r="G229" s="185"/>
      <c r="H229" s="211"/>
      <c r="I229" s="211"/>
      <c r="J229" s="211"/>
      <c r="K229" s="211"/>
      <c r="L229" s="211"/>
      <c r="M229" s="211"/>
      <c r="N229" s="211"/>
      <c r="O229" s="211"/>
      <c r="P229" s="186"/>
      <c r="Q229" s="184" t="s">
        <v>1460</v>
      </c>
      <c r="R229" s="184"/>
      <c r="S229" s="184"/>
      <c r="T229" s="184"/>
      <c r="U229" s="184"/>
      <c r="V229" s="185"/>
      <c r="W229" s="185"/>
      <c r="AE229" s="186"/>
      <c r="AF229" s="186"/>
      <c r="AH229" s="185"/>
      <c r="AI229" s="186"/>
      <c r="AJ229" s="185"/>
      <c r="AL229" s="185"/>
      <c r="AM229" s="185"/>
      <c r="AN229" s="186"/>
      <c r="AO229" s="211"/>
      <c r="AU229" s="185"/>
      <c r="AV229" s="31"/>
      <c r="AW229" s="31"/>
      <c r="AX229" s="185"/>
      <c r="AY229" s="185"/>
      <c r="AZ229" s="185"/>
      <c r="BA229" s="185"/>
      <c r="BB229" s="185"/>
      <c r="BC229" s="185"/>
      <c r="BD229" s="185"/>
      <c r="BH229" s="5"/>
      <c r="BQ229" s="207"/>
      <c r="BR229" s="207"/>
      <c r="BS229" s="207"/>
      <c r="CE229" s="174">
        <v>44082</v>
      </c>
      <c r="CF229" s="174">
        <v>44261</v>
      </c>
    </row>
    <row r="230" spans="1:84">
      <c r="A230" s="211" t="s">
        <v>1644</v>
      </c>
      <c r="C230" s="211"/>
      <c r="E230" s="211"/>
      <c r="F230" s="204"/>
      <c r="P230" s="204"/>
      <c r="Y230" s="165">
        <v>5</v>
      </c>
      <c r="AE230" s="204"/>
      <c r="AF230" s="204"/>
      <c r="AI230" s="204"/>
      <c r="AN230" s="204"/>
      <c r="AO230" s="165" t="s">
        <v>1645</v>
      </c>
      <c r="AV230" s="31" t="s">
        <v>1646</v>
      </c>
      <c r="AW230" s="31"/>
      <c r="BH230" s="5"/>
      <c r="CE230" s="174">
        <v>44082</v>
      </c>
      <c r="CF230" s="174">
        <v>44301.534826388888</v>
      </c>
    </row>
    <row r="231" spans="1:84">
      <c r="A231" s="170" t="s">
        <v>1647</v>
      </c>
      <c r="B231" s="169"/>
      <c r="AF231" s="204">
        <v>40</v>
      </c>
      <c r="AJ231" s="165">
        <v>33</v>
      </c>
      <c r="AV231" s="209" t="s">
        <v>1648</v>
      </c>
      <c r="AW231" s="209"/>
      <c r="BH231" s="5"/>
      <c r="CE231" s="174">
        <v>44082</v>
      </c>
      <c r="CF231" s="174">
        <v>44261</v>
      </c>
    </row>
    <row r="232" spans="1:84" ht="28.5">
      <c r="A232" s="209" t="s">
        <v>1649</v>
      </c>
      <c r="C232" s="169"/>
      <c r="D232" s="223">
        <v>35886</v>
      </c>
      <c r="E232" s="209"/>
      <c r="Q232" s="169" t="s">
        <v>1399</v>
      </c>
      <c r="R232" s="169"/>
      <c r="S232" s="169"/>
      <c r="T232" s="169"/>
      <c r="U232" s="169"/>
      <c r="AN232" s="169" t="s">
        <v>1348</v>
      </c>
      <c r="AU232" s="165" t="s">
        <v>1388</v>
      </c>
      <c r="AV232" s="170" t="s">
        <v>1650</v>
      </c>
      <c r="BH232" s="5"/>
      <c r="CE232" s="179">
        <v>44082</v>
      </c>
      <c r="CF232" s="179">
        <v>44261</v>
      </c>
    </row>
    <row r="233" spans="1:84">
      <c r="A233" s="220" t="s">
        <v>1649</v>
      </c>
      <c r="C233" s="211"/>
      <c r="D233" s="221"/>
      <c r="E233" s="211"/>
      <c r="F233" s="186"/>
      <c r="G233" s="185"/>
      <c r="H233" s="211"/>
      <c r="I233" s="211"/>
      <c r="J233" s="211"/>
      <c r="K233" s="211"/>
      <c r="L233" s="211"/>
      <c r="M233" s="211"/>
      <c r="N233" s="211"/>
      <c r="O233" s="211"/>
      <c r="P233" s="186"/>
      <c r="Q233" s="184" t="s">
        <v>1443</v>
      </c>
      <c r="R233" s="184"/>
      <c r="S233" s="184"/>
      <c r="T233" s="184"/>
      <c r="U233" s="184"/>
      <c r="V233" s="185"/>
      <c r="W233" s="185"/>
      <c r="AE233" s="186"/>
      <c r="AF233" s="186"/>
      <c r="AH233" s="185"/>
      <c r="AI233" s="186"/>
      <c r="AJ233" s="185"/>
      <c r="AL233" s="185"/>
      <c r="AM233" s="185"/>
      <c r="AN233" s="186"/>
      <c r="AO233" s="211"/>
      <c r="AU233" s="185"/>
      <c r="AV233" s="31"/>
      <c r="AW233" s="31"/>
      <c r="AX233" s="185"/>
      <c r="AY233" s="185"/>
      <c r="AZ233" s="185"/>
      <c r="BA233" s="185"/>
      <c r="BB233" s="185"/>
      <c r="BC233" s="185"/>
      <c r="BD233" s="185"/>
      <c r="BH233" s="5"/>
      <c r="BQ233" s="207"/>
      <c r="BR233" s="207"/>
      <c r="BS233" s="207"/>
    </row>
    <row r="234" spans="1:84">
      <c r="A234" s="170" t="s">
        <v>1651</v>
      </c>
      <c r="B234" s="169"/>
      <c r="AF234" s="204">
        <v>24</v>
      </c>
      <c r="AJ234" s="165">
        <v>29</v>
      </c>
      <c r="AV234" s="209" t="s">
        <v>1652</v>
      </c>
      <c r="AW234" s="209"/>
      <c r="BH234" s="5"/>
      <c r="CE234" s="179">
        <v>44082</v>
      </c>
      <c r="CF234" s="179">
        <v>44261</v>
      </c>
    </row>
    <row r="235" spans="1:84">
      <c r="A235" s="211" t="s">
        <v>1653</v>
      </c>
      <c r="C235" s="211"/>
      <c r="D235" s="221"/>
      <c r="E235" s="211"/>
      <c r="F235" s="186"/>
      <c r="G235" s="185"/>
      <c r="H235" s="211"/>
      <c r="I235" s="211"/>
      <c r="J235" s="211"/>
      <c r="K235" s="211"/>
      <c r="L235" s="211"/>
      <c r="M235" s="211"/>
      <c r="N235" s="211"/>
      <c r="O235" s="211"/>
      <c r="P235" s="186"/>
      <c r="Q235" s="184" t="s">
        <v>1654</v>
      </c>
      <c r="R235" s="184"/>
      <c r="S235" s="184"/>
      <c r="T235" s="184"/>
      <c r="U235" s="184"/>
      <c r="V235" s="185"/>
      <c r="W235" s="185"/>
      <c r="AE235" s="186"/>
      <c r="AF235" s="186"/>
      <c r="AH235" s="185"/>
      <c r="AI235" s="186"/>
      <c r="AJ235" s="185"/>
      <c r="AL235" s="185"/>
      <c r="AM235" s="185"/>
      <c r="AN235" s="186"/>
      <c r="AO235" s="211"/>
      <c r="AU235" s="185" t="s">
        <v>1257</v>
      </c>
      <c r="AV235" s="31" t="s">
        <v>1655</v>
      </c>
      <c r="AW235" s="31"/>
      <c r="AX235" s="185"/>
      <c r="AY235" s="185"/>
      <c r="AZ235" s="185"/>
      <c r="BA235" s="185"/>
      <c r="BB235" s="185"/>
      <c r="BC235" s="185"/>
      <c r="BD235" s="185"/>
      <c r="BH235" s="5"/>
      <c r="BQ235" s="207"/>
      <c r="BR235" s="207"/>
      <c r="BS235" s="207"/>
      <c r="CE235" s="179">
        <v>44082</v>
      </c>
      <c r="CF235" s="179">
        <v>44261</v>
      </c>
    </row>
    <row r="236" spans="1:84" ht="99.75">
      <c r="A236" s="215" t="s">
        <v>1656</v>
      </c>
      <c r="B236" s="215"/>
      <c r="C236" s="215"/>
      <c r="D236" s="222">
        <v>42948</v>
      </c>
      <c r="E236" s="5" t="s">
        <v>1562</v>
      </c>
      <c r="F236" s="30" t="s">
        <v>1657</v>
      </c>
      <c r="G236" s="215"/>
      <c r="H236" s="215"/>
      <c r="I236" s="215"/>
      <c r="J236" s="215"/>
      <c r="K236" s="215"/>
      <c r="L236" s="215"/>
      <c r="M236" s="215"/>
      <c r="N236" s="215"/>
      <c r="O236" s="215"/>
      <c r="P236" s="215"/>
      <c r="Q236" s="215"/>
      <c r="R236" s="215"/>
      <c r="S236" s="215"/>
      <c r="T236" s="215"/>
      <c r="U236" s="215"/>
      <c r="V236" s="215"/>
      <c r="W236" s="215"/>
      <c r="X236" s="215"/>
      <c r="Y236" s="215"/>
      <c r="Z236" s="215"/>
      <c r="AA236" s="215"/>
      <c r="AB236" s="215"/>
      <c r="AC236" s="215"/>
      <c r="AD236" s="215"/>
      <c r="AE236" s="215">
        <v>15</v>
      </c>
      <c r="AF236" s="215">
        <v>15</v>
      </c>
      <c r="AG236" s="215"/>
      <c r="AH236" s="215"/>
      <c r="AI236" s="215"/>
      <c r="AJ236" s="215"/>
      <c r="AK236" s="215"/>
      <c r="AL236" s="215"/>
      <c r="AM236" s="215"/>
      <c r="AN236" s="215"/>
      <c r="AO236" s="215"/>
      <c r="AP236" s="215"/>
      <c r="AQ236" s="215"/>
      <c r="AR236" s="30"/>
      <c r="AS236" s="30"/>
      <c r="AT236" s="215"/>
      <c r="AU236" s="215"/>
      <c r="AV236" s="30" t="s">
        <v>1658</v>
      </c>
      <c r="AW236" s="30"/>
      <c r="AX236" s="215"/>
      <c r="AY236" s="215"/>
      <c r="AZ236" s="215"/>
      <c r="BA236" s="215"/>
      <c r="BB236" s="215"/>
      <c r="BC236" s="215"/>
      <c r="BD236" s="215"/>
      <c r="BE236" s="5"/>
      <c r="BF236" s="5"/>
      <c r="BG236" s="5"/>
      <c r="BH236" s="5"/>
      <c r="BI236" s="5"/>
      <c r="BJ236" s="5"/>
      <c r="BK236" s="5"/>
      <c r="BL236" s="215"/>
      <c r="BM236" s="215"/>
      <c r="BN236" s="215"/>
      <c r="BO236" s="5"/>
      <c r="BP236" s="215"/>
      <c r="BQ236" s="215"/>
      <c r="BR236" s="215"/>
      <c r="BS236" s="215"/>
      <c r="CA236" s="215"/>
      <c r="CB236" s="215"/>
      <c r="CC236" s="215"/>
      <c r="CD236" s="215"/>
      <c r="CE236" s="174">
        <v>44082</v>
      </c>
      <c r="CF236" s="174">
        <v>44261</v>
      </c>
    </row>
    <row r="237" spans="1:84">
      <c r="A237" s="215" t="s">
        <v>1659</v>
      </c>
      <c r="B237" s="215"/>
      <c r="C237" s="215"/>
      <c r="D237" s="222">
        <v>42430</v>
      </c>
      <c r="E237" s="5" t="s">
        <v>1562</v>
      </c>
      <c r="F237" s="30" t="s">
        <v>1660</v>
      </c>
      <c r="G237" s="215"/>
      <c r="H237" s="215"/>
      <c r="I237" s="215"/>
      <c r="J237" s="215"/>
      <c r="K237" s="215"/>
      <c r="L237" s="215"/>
      <c r="M237" s="215"/>
      <c r="N237" s="215"/>
      <c r="O237" s="215"/>
      <c r="P237" s="215"/>
      <c r="Q237" s="215"/>
      <c r="R237" s="215"/>
      <c r="S237" s="215"/>
      <c r="T237" s="215"/>
      <c r="U237" s="215"/>
      <c r="V237" s="215"/>
      <c r="W237" s="215"/>
      <c r="X237" s="215"/>
      <c r="Y237" s="215"/>
      <c r="Z237" s="215"/>
      <c r="AA237" s="215"/>
      <c r="AB237" s="215"/>
      <c r="AC237" s="215"/>
      <c r="AD237" s="215"/>
      <c r="AE237" s="215">
        <v>71</v>
      </c>
      <c r="AF237" s="215">
        <v>71</v>
      </c>
      <c r="AG237" s="215"/>
      <c r="AH237" s="215"/>
      <c r="AI237" s="215"/>
      <c r="AJ237" s="215"/>
      <c r="AK237" s="215"/>
      <c r="AL237" s="215"/>
      <c r="AM237" s="215"/>
      <c r="AN237" s="215"/>
      <c r="AO237" s="215"/>
      <c r="AP237" s="215"/>
      <c r="AQ237" s="215"/>
      <c r="AR237" s="30"/>
      <c r="AS237" s="30"/>
      <c r="AT237" s="215"/>
      <c r="AU237" s="215"/>
      <c r="AV237" s="30" t="s">
        <v>1661</v>
      </c>
      <c r="AW237" s="30"/>
      <c r="AX237" s="215"/>
      <c r="AY237" s="215"/>
      <c r="AZ237" s="215"/>
      <c r="BA237" s="215"/>
      <c r="BB237" s="215"/>
      <c r="BC237" s="215"/>
      <c r="BD237" s="215"/>
      <c r="BH237" s="5"/>
      <c r="BQ237" s="215"/>
      <c r="BR237" s="215"/>
      <c r="BS237" s="215"/>
      <c r="CE237" s="174">
        <v>44082</v>
      </c>
      <c r="CF237" s="174">
        <v>44261</v>
      </c>
    </row>
    <row r="238" spans="1:84">
      <c r="A238" s="209" t="s">
        <v>1662</v>
      </c>
      <c r="C238" s="169"/>
      <c r="D238" s="223">
        <v>39173</v>
      </c>
      <c r="E238" s="209"/>
      <c r="Q238" s="169" t="s">
        <v>1578</v>
      </c>
      <c r="R238" s="169"/>
      <c r="S238" s="169"/>
      <c r="T238" s="169"/>
      <c r="U238" s="169"/>
      <c r="AN238" s="169" t="s">
        <v>1397</v>
      </c>
      <c r="BH238" s="5"/>
      <c r="CE238" s="174">
        <v>44082</v>
      </c>
      <c r="CF238" s="174">
        <v>44261</v>
      </c>
    </row>
    <row r="239" spans="1:84">
      <c r="A239" s="211" t="s">
        <v>1663</v>
      </c>
      <c r="C239" s="211"/>
      <c r="D239" s="221"/>
      <c r="E239" s="211"/>
      <c r="F239" s="186"/>
      <c r="G239" s="185"/>
      <c r="H239" s="211"/>
      <c r="I239" s="211"/>
      <c r="J239" s="211"/>
      <c r="K239" s="211"/>
      <c r="L239" s="211"/>
      <c r="M239" s="211"/>
      <c r="N239" s="211"/>
      <c r="O239" s="211"/>
      <c r="P239" s="186"/>
      <c r="Q239" s="184" t="s">
        <v>1460</v>
      </c>
      <c r="R239" s="184"/>
      <c r="S239" s="184"/>
      <c r="T239" s="184"/>
      <c r="U239" s="184"/>
      <c r="V239" s="185"/>
      <c r="W239" s="185"/>
      <c r="AE239" s="186"/>
      <c r="AF239" s="186"/>
      <c r="AH239" s="185"/>
      <c r="AI239" s="186"/>
      <c r="AJ239" s="185"/>
      <c r="AL239" s="185"/>
      <c r="AM239" s="185"/>
      <c r="AN239" s="186"/>
      <c r="AO239" s="211"/>
      <c r="AU239" s="185" t="s">
        <v>1257</v>
      </c>
      <c r="AV239" s="31" t="s">
        <v>1664</v>
      </c>
      <c r="AW239" s="31"/>
      <c r="AX239" s="185"/>
      <c r="AY239" s="185"/>
      <c r="AZ239" s="185"/>
      <c r="BA239" s="185"/>
      <c r="BB239" s="185"/>
      <c r="BC239" s="185"/>
      <c r="BD239" s="185"/>
      <c r="BH239" s="5"/>
      <c r="BQ239" s="207"/>
      <c r="BR239" s="207"/>
      <c r="BS239" s="207"/>
      <c r="CE239" s="179">
        <v>44082</v>
      </c>
      <c r="CF239" s="179">
        <v>44261</v>
      </c>
    </row>
    <row r="240" spans="1:84" ht="28.5">
      <c r="A240" s="170" t="s">
        <v>1665</v>
      </c>
      <c r="B240" s="169"/>
      <c r="AF240" s="204"/>
      <c r="AV240" s="209" t="s">
        <v>1666</v>
      </c>
      <c r="AW240" s="209"/>
      <c r="BH240" s="5"/>
      <c r="CE240" s="179">
        <v>44082</v>
      </c>
      <c r="CF240" s="179">
        <v>44269</v>
      </c>
    </row>
    <row r="241" spans="1:85" ht="128.25">
      <c r="A241" s="215" t="s">
        <v>1667</v>
      </c>
      <c r="B241" s="215"/>
      <c r="C241" s="215"/>
      <c r="D241" s="222">
        <v>43313</v>
      </c>
      <c r="E241" s="5" t="s">
        <v>1562</v>
      </c>
      <c r="F241" s="30" t="s">
        <v>1668</v>
      </c>
      <c r="G241" s="215"/>
      <c r="H241" s="215"/>
      <c r="I241" s="215"/>
      <c r="J241" s="215"/>
      <c r="K241" s="215"/>
      <c r="L241" s="215"/>
      <c r="M241" s="215"/>
      <c r="N241" s="215"/>
      <c r="O241" s="215"/>
      <c r="P241" s="215"/>
      <c r="Q241" s="215"/>
      <c r="R241" s="215"/>
      <c r="S241" s="215"/>
      <c r="T241" s="215"/>
      <c r="U241" s="215"/>
      <c r="V241" s="215"/>
      <c r="W241" s="215"/>
      <c r="X241" s="215"/>
      <c r="Y241" s="215"/>
      <c r="Z241" s="215"/>
      <c r="AA241" s="215"/>
      <c r="AB241" s="215"/>
      <c r="AC241" s="215"/>
      <c r="AD241" s="215"/>
      <c r="AE241" s="215">
        <v>38</v>
      </c>
      <c r="AF241" s="215">
        <v>38</v>
      </c>
      <c r="AG241" s="215"/>
      <c r="AH241" s="215"/>
      <c r="AI241" s="215"/>
      <c r="AJ241" s="215"/>
      <c r="AK241" s="215"/>
      <c r="AL241" s="215"/>
      <c r="AM241" s="215"/>
      <c r="AN241" s="215"/>
      <c r="AO241" s="215"/>
      <c r="AP241" s="215"/>
      <c r="AQ241" s="215"/>
      <c r="AR241" s="30"/>
      <c r="AS241" s="30"/>
      <c r="AT241" s="215"/>
      <c r="AU241" s="215"/>
      <c r="AV241" s="30" t="s">
        <v>1669</v>
      </c>
      <c r="AW241" s="30"/>
      <c r="AX241" s="215"/>
      <c r="AY241" s="215"/>
      <c r="AZ241" s="215"/>
      <c r="BA241" s="215"/>
      <c r="BB241" s="215"/>
      <c r="BC241" s="215"/>
      <c r="BD241" s="215"/>
      <c r="BH241" s="5"/>
      <c r="BQ241" s="215"/>
      <c r="BR241" s="215"/>
      <c r="BS241" s="215"/>
      <c r="CE241" s="214">
        <v>44082</v>
      </c>
      <c r="CF241" s="214">
        <v>44261</v>
      </c>
      <c r="CG241" s="215"/>
    </row>
    <row r="242" spans="1:85">
      <c r="A242" s="209" t="s">
        <v>1670</v>
      </c>
      <c r="C242" s="169"/>
      <c r="D242" s="223">
        <v>32690</v>
      </c>
      <c r="E242" s="209"/>
      <c r="P242" s="165">
        <v>2315</v>
      </c>
      <c r="Q242" s="169" t="s">
        <v>1671</v>
      </c>
      <c r="R242" s="169"/>
      <c r="S242" s="169"/>
      <c r="T242" s="169"/>
      <c r="U242" s="169"/>
      <c r="Y242" s="165">
        <v>6390</v>
      </c>
      <c r="AE242" s="165">
        <v>411</v>
      </c>
      <c r="AF242" s="165">
        <v>411</v>
      </c>
      <c r="AN242" s="169" t="s">
        <v>1360</v>
      </c>
      <c r="AO242" s="165" t="s">
        <v>1672</v>
      </c>
      <c r="AU242" s="165" t="s">
        <v>1388</v>
      </c>
      <c r="AV242" s="170" t="s">
        <v>1673</v>
      </c>
      <c r="BE242" s="5"/>
      <c r="BF242" s="5"/>
      <c r="BG242" s="5"/>
      <c r="BH242" s="5"/>
      <c r="BI242" s="5"/>
      <c r="BJ242" s="5"/>
      <c r="BK242" s="5"/>
      <c r="BL242" s="215"/>
      <c r="BM242" s="215"/>
      <c r="BN242" s="215"/>
      <c r="BO242" s="5"/>
      <c r="BP242" s="215"/>
      <c r="CA242" s="215"/>
      <c r="CB242" s="215"/>
      <c r="CC242" s="215"/>
      <c r="CD242" s="215"/>
      <c r="CE242" s="174">
        <v>44082</v>
      </c>
      <c r="CF242" s="174">
        <v>44301.534837962965</v>
      </c>
    </row>
    <row r="243" spans="1:85">
      <c r="A243" s="220" t="s">
        <v>1674</v>
      </c>
      <c r="C243" s="211"/>
      <c r="D243" s="221">
        <v>32703</v>
      </c>
      <c r="E243" s="211"/>
      <c r="F243" s="186"/>
      <c r="G243" s="185"/>
      <c r="H243" s="211"/>
      <c r="I243" s="211"/>
      <c r="J243" s="211"/>
      <c r="K243" s="211"/>
      <c r="L243" s="211"/>
      <c r="M243" s="211"/>
      <c r="N243" s="211"/>
      <c r="O243" s="211"/>
      <c r="P243" s="186"/>
      <c r="Q243" s="184" t="s">
        <v>1675</v>
      </c>
      <c r="R243" s="184"/>
      <c r="S243" s="184"/>
      <c r="T243" s="184"/>
      <c r="U243" s="184"/>
      <c r="V243" s="185"/>
      <c r="W243" s="185"/>
      <c r="AE243" s="186"/>
      <c r="AF243" s="186"/>
      <c r="AH243" s="185"/>
      <c r="AI243" s="186"/>
      <c r="AJ243" s="185"/>
      <c r="AL243" s="185"/>
      <c r="AM243" s="185"/>
      <c r="AN243" s="186"/>
      <c r="AO243" s="211"/>
      <c r="AU243" s="185"/>
      <c r="AV243" s="31"/>
      <c r="AW243" s="31"/>
      <c r="AX243" s="185"/>
      <c r="AY243" s="185"/>
      <c r="AZ243" s="185"/>
      <c r="BA243" s="185"/>
      <c r="BB243" s="185"/>
      <c r="BC243" s="185"/>
      <c r="BD243" s="185"/>
      <c r="BH243" s="5"/>
      <c r="BQ243" s="207"/>
      <c r="BR243" s="207"/>
      <c r="BS243" s="207"/>
      <c r="CE243" s="179">
        <v>44082</v>
      </c>
      <c r="CF243" s="179">
        <v>44261</v>
      </c>
    </row>
    <row r="244" spans="1:85" ht="28.5">
      <c r="A244" s="30" t="s">
        <v>1676</v>
      </c>
      <c r="B244" s="215"/>
      <c r="C244" s="215"/>
      <c r="D244" s="222">
        <v>41275</v>
      </c>
      <c r="E244" s="5" t="s">
        <v>1562</v>
      </c>
      <c r="F244" s="30" t="s">
        <v>1677</v>
      </c>
      <c r="G244" s="215"/>
      <c r="H244" s="215"/>
      <c r="I244" s="215"/>
      <c r="J244" s="215"/>
      <c r="K244" s="215"/>
      <c r="L244" s="215"/>
      <c r="M244" s="215"/>
      <c r="N244" s="215"/>
      <c r="O244" s="215"/>
      <c r="P244" s="215"/>
      <c r="Q244" s="215"/>
      <c r="R244" s="215"/>
      <c r="S244" s="215"/>
      <c r="T244" s="215"/>
      <c r="U244" s="215"/>
      <c r="V244" s="215"/>
      <c r="W244" s="215"/>
      <c r="X244" s="215"/>
      <c r="Y244" s="215"/>
      <c r="Z244" s="215"/>
      <c r="AA244" s="215"/>
      <c r="AB244" s="215"/>
      <c r="AC244" s="215"/>
      <c r="AD244" s="215"/>
      <c r="AE244" s="215">
        <v>260</v>
      </c>
      <c r="AF244" s="215">
        <v>260</v>
      </c>
      <c r="AG244" s="215"/>
      <c r="AH244" s="215"/>
      <c r="AI244" s="215"/>
      <c r="AJ244" s="215"/>
      <c r="AK244" s="215"/>
      <c r="AL244" s="215"/>
      <c r="AM244" s="215"/>
      <c r="AN244" s="215"/>
      <c r="AO244" s="215"/>
      <c r="AP244" s="215"/>
      <c r="AQ244" s="215"/>
      <c r="AR244" s="30"/>
      <c r="AS244" s="30"/>
      <c r="AT244" s="215"/>
      <c r="AU244" s="215"/>
      <c r="AV244" s="30" t="s">
        <v>1678</v>
      </c>
      <c r="AW244" s="30"/>
      <c r="AX244" s="215"/>
      <c r="AY244" s="215"/>
      <c r="AZ244" s="215"/>
      <c r="BA244" s="215"/>
      <c r="BB244" s="215"/>
      <c r="BC244" s="215"/>
      <c r="BD244" s="215"/>
      <c r="BH244" s="5"/>
      <c r="BQ244" s="215"/>
      <c r="BR244" s="215"/>
      <c r="BS244" s="215"/>
      <c r="CE244" s="179">
        <v>44082</v>
      </c>
      <c r="CF244" s="179">
        <v>44261</v>
      </c>
    </row>
    <row r="245" spans="1:85">
      <c r="A245" s="170" t="s">
        <v>1679</v>
      </c>
      <c r="B245" s="169"/>
      <c r="AV245" s="209"/>
      <c r="AW245" s="209"/>
      <c r="BH245" s="5"/>
      <c r="CE245" s="174">
        <v>44082</v>
      </c>
      <c r="CF245" s="174">
        <v>44261</v>
      </c>
    </row>
    <row r="246" spans="1:85">
      <c r="A246" s="211" t="s">
        <v>1680</v>
      </c>
      <c r="C246" s="211"/>
      <c r="D246" s="221"/>
      <c r="E246" s="211"/>
      <c r="F246" s="186"/>
      <c r="G246" s="185"/>
      <c r="H246" s="211"/>
      <c r="I246" s="211"/>
      <c r="J246" s="211"/>
      <c r="K246" s="211"/>
      <c r="L246" s="211"/>
      <c r="M246" s="211"/>
      <c r="N246" s="211"/>
      <c r="O246" s="211"/>
      <c r="P246" s="186"/>
      <c r="Q246" s="184" t="s">
        <v>1516</v>
      </c>
      <c r="R246" s="184"/>
      <c r="S246" s="184"/>
      <c r="T246" s="184"/>
      <c r="U246" s="184"/>
      <c r="V246" s="185"/>
      <c r="W246" s="185"/>
      <c r="AE246" s="186"/>
      <c r="AF246" s="186"/>
      <c r="AH246" s="185"/>
      <c r="AI246" s="186"/>
      <c r="AJ246" s="185"/>
      <c r="AL246" s="185"/>
      <c r="AM246" s="185"/>
      <c r="AN246" s="186"/>
      <c r="AO246" s="211"/>
      <c r="AU246" s="185" t="s">
        <v>1257</v>
      </c>
      <c r="AV246" s="31" t="s">
        <v>1681</v>
      </c>
      <c r="AW246" s="31"/>
      <c r="AX246" s="185"/>
      <c r="AY246" s="185"/>
      <c r="AZ246" s="185"/>
      <c r="BA246" s="185"/>
      <c r="BB246" s="185"/>
      <c r="BC246" s="185"/>
      <c r="BD246" s="185"/>
      <c r="BH246" s="5"/>
      <c r="BQ246" s="207"/>
      <c r="BR246" s="207"/>
      <c r="BS246" s="207"/>
    </row>
    <row r="247" spans="1:85" ht="28.5">
      <c r="A247" s="209" t="s">
        <v>1682</v>
      </c>
      <c r="C247" s="169"/>
      <c r="D247" s="223">
        <v>38808</v>
      </c>
      <c r="E247" s="209"/>
      <c r="Q247" s="169" t="s">
        <v>1410</v>
      </c>
      <c r="R247" s="169"/>
      <c r="S247" s="169"/>
      <c r="T247" s="169"/>
      <c r="U247" s="169"/>
      <c r="AN247" s="169" t="s">
        <v>1262</v>
      </c>
      <c r="AU247" s="165" t="s">
        <v>1388</v>
      </c>
      <c r="AV247" s="170" t="s">
        <v>1683</v>
      </c>
      <c r="BH247" s="5"/>
      <c r="CE247" s="179"/>
      <c r="CF247" s="179"/>
    </row>
    <row r="248" spans="1:85">
      <c r="A248" s="220" t="s">
        <v>1682</v>
      </c>
      <c r="C248" s="211"/>
      <c r="D248" s="221"/>
      <c r="E248" s="211"/>
      <c r="F248" s="186"/>
      <c r="G248" s="185"/>
      <c r="H248" s="211"/>
      <c r="I248" s="211"/>
      <c r="J248" s="211"/>
      <c r="K248" s="211"/>
      <c r="L248" s="211"/>
      <c r="M248" s="211"/>
      <c r="N248" s="211"/>
      <c r="O248" s="211"/>
      <c r="P248" s="186"/>
      <c r="Q248" s="184" t="s">
        <v>1684</v>
      </c>
      <c r="R248" s="184"/>
      <c r="S248" s="184"/>
      <c r="T248" s="184"/>
      <c r="U248" s="184"/>
      <c r="V248" s="185"/>
      <c r="W248" s="185"/>
      <c r="AE248" s="186"/>
      <c r="AF248" s="186"/>
      <c r="AH248" s="185"/>
      <c r="AI248" s="186"/>
      <c r="AJ248" s="185"/>
      <c r="AL248" s="185"/>
      <c r="AM248" s="185"/>
      <c r="AN248" s="186"/>
      <c r="AO248" s="211"/>
      <c r="AU248" s="185"/>
      <c r="AV248" s="31"/>
      <c r="AW248" s="31"/>
      <c r="AX248" s="185"/>
      <c r="AY248" s="185"/>
      <c r="AZ248" s="185"/>
      <c r="BA248" s="185"/>
      <c r="BB248" s="185"/>
      <c r="BC248" s="185"/>
      <c r="BD248" s="185"/>
      <c r="BH248" s="5"/>
      <c r="BQ248" s="207"/>
      <c r="BR248" s="207"/>
      <c r="BS248" s="207"/>
      <c r="CE248" s="179">
        <v>44082</v>
      </c>
      <c r="CF248" s="179">
        <v>44261</v>
      </c>
    </row>
    <row r="249" spans="1:85">
      <c r="A249" s="209" t="s">
        <v>1685</v>
      </c>
      <c r="C249" s="169"/>
      <c r="D249" s="223">
        <v>39142</v>
      </c>
      <c r="E249" s="209"/>
      <c r="Q249" s="169" t="s">
        <v>1410</v>
      </c>
      <c r="R249" s="169"/>
      <c r="S249" s="169"/>
      <c r="T249" s="169"/>
      <c r="U249" s="169"/>
      <c r="AN249" s="169" t="s">
        <v>1397</v>
      </c>
      <c r="BH249" s="5"/>
      <c r="CE249" s="174">
        <v>44082</v>
      </c>
      <c r="CF249" s="174">
        <v>44261</v>
      </c>
    </row>
    <row r="250" spans="1:85">
      <c r="A250" s="211" t="s">
        <v>1686</v>
      </c>
      <c r="C250" s="211"/>
      <c r="D250" s="221"/>
      <c r="E250" s="211"/>
      <c r="F250" s="186"/>
      <c r="G250" s="185"/>
      <c r="H250" s="211"/>
      <c r="I250" s="211"/>
      <c r="J250" s="211"/>
      <c r="K250" s="211"/>
      <c r="L250" s="211"/>
      <c r="M250" s="211"/>
      <c r="N250" s="211"/>
      <c r="O250" s="211"/>
      <c r="P250" s="186"/>
      <c r="Q250" s="211"/>
      <c r="R250" s="211"/>
      <c r="S250" s="211"/>
      <c r="T250" s="211"/>
      <c r="U250" s="211"/>
      <c r="V250" s="185"/>
      <c r="W250" s="185"/>
      <c r="AE250" s="186"/>
      <c r="AF250" s="186"/>
      <c r="AH250" s="185"/>
      <c r="AI250" s="186"/>
      <c r="AJ250" s="185"/>
      <c r="AL250" s="185"/>
      <c r="AM250" s="185"/>
      <c r="AN250" s="186"/>
      <c r="AO250" s="211"/>
      <c r="AU250" s="185" t="s">
        <v>1257</v>
      </c>
      <c r="AV250" s="31" t="s">
        <v>1687</v>
      </c>
      <c r="AW250" s="31"/>
      <c r="AX250" s="185"/>
      <c r="AY250" s="185"/>
      <c r="AZ250" s="185"/>
      <c r="BA250" s="185"/>
      <c r="BB250" s="185"/>
      <c r="BC250" s="185"/>
      <c r="BD250" s="185"/>
      <c r="BE250" s="5"/>
      <c r="BF250" s="5"/>
      <c r="BG250" s="5"/>
      <c r="BH250" s="5"/>
      <c r="BI250" s="5"/>
      <c r="BJ250" s="5"/>
      <c r="BK250" s="5"/>
      <c r="BL250" s="215"/>
      <c r="BM250" s="215"/>
      <c r="BN250" s="215"/>
      <c r="BO250" s="5"/>
      <c r="BP250" s="215"/>
      <c r="BQ250" s="207"/>
      <c r="BR250" s="207"/>
      <c r="BS250" s="207"/>
      <c r="CA250" s="215"/>
      <c r="CB250" s="215"/>
      <c r="CC250" s="215"/>
      <c r="CD250" s="215"/>
      <c r="CE250" s="179">
        <v>44082</v>
      </c>
      <c r="CF250" s="179">
        <v>44261</v>
      </c>
    </row>
    <row r="251" spans="1:85">
      <c r="A251" s="211" t="s">
        <v>1688</v>
      </c>
      <c r="C251" s="211"/>
      <c r="D251" s="221"/>
      <c r="E251" s="211"/>
      <c r="F251" s="186"/>
      <c r="G251" s="185"/>
      <c r="H251" s="211"/>
      <c r="I251" s="211"/>
      <c r="J251" s="211"/>
      <c r="K251" s="211"/>
      <c r="L251" s="211"/>
      <c r="M251" s="211"/>
      <c r="N251" s="211"/>
      <c r="O251" s="211"/>
      <c r="P251" s="186"/>
      <c r="Q251" s="184" t="s">
        <v>1443</v>
      </c>
      <c r="R251" s="184"/>
      <c r="S251" s="184"/>
      <c r="T251" s="184"/>
      <c r="U251" s="184"/>
      <c r="V251" s="185"/>
      <c r="W251" s="185"/>
      <c r="AE251" s="186"/>
      <c r="AF251" s="186"/>
      <c r="AH251" s="185"/>
      <c r="AI251" s="186"/>
      <c r="AJ251" s="185"/>
      <c r="AL251" s="185"/>
      <c r="AM251" s="185"/>
      <c r="AN251" s="186"/>
      <c r="AO251" s="211"/>
      <c r="AU251" s="185" t="s">
        <v>1257</v>
      </c>
      <c r="AV251" s="31" t="s">
        <v>1689</v>
      </c>
      <c r="AW251" s="31"/>
      <c r="AX251" s="185"/>
      <c r="AY251" s="185"/>
      <c r="AZ251" s="185"/>
      <c r="BA251" s="185"/>
      <c r="BB251" s="185"/>
      <c r="BC251" s="185"/>
      <c r="BD251" s="185"/>
      <c r="BH251" s="5"/>
      <c r="BQ251" s="207"/>
      <c r="BR251" s="207"/>
      <c r="BS251" s="207"/>
      <c r="CE251" s="174">
        <v>44082</v>
      </c>
      <c r="CF251" s="174">
        <v>44261</v>
      </c>
    </row>
    <row r="252" spans="1:85">
      <c r="A252" s="170" t="s">
        <v>1690</v>
      </c>
      <c r="B252" s="169"/>
      <c r="AF252" s="204"/>
      <c r="AV252" s="209" t="s">
        <v>1691</v>
      </c>
      <c r="AW252" s="209"/>
      <c r="BH252" s="5"/>
      <c r="CE252" s="179">
        <v>44082</v>
      </c>
      <c r="CF252" s="179">
        <v>44261</v>
      </c>
    </row>
    <row r="253" spans="1:85">
      <c r="A253" s="211" t="s">
        <v>1692</v>
      </c>
      <c r="C253" s="211"/>
      <c r="D253" s="221"/>
      <c r="E253" s="211"/>
      <c r="F253" s="186"/>
      <c r="G253" s="185"/>
      <c r="H253" s="211"/>
      <c r="I253" s="211"/>
      <c r="J253" s="211"/>
      <c r="K253" s="211"/>
      <c r="L253" s="211"/>
      <c r="M253" s="211"/>
      <c r="N253" s="211"/>
      <c r="O253" s="211"/>
      <c r="P253" s="186"/>
      <c r="Q253" s="211"/>
      <c r="R253" s="211"/>
      <c r="S253" s="211"/>
      <c r="T253" s="211"/>
      <c r="U253" s="211"/>
      <c r="V253" s="185"/>
      <c r="W253" s="185"/>
      <c r="AE253" s="186"/>
      <c r="AF253" s="186"/>
      <c r="AH253" s="185"/>
      <c r="AI253" s="186"/>
      <c r="AJ253" s="185"/>
      <c r="AL253" s="185"/>
      <c r="AM253" s="185"/>
      <c r="AN253" s="186"/>
      <c r="AO253" s="211"/>
      <c r="AU253" s="185" t="s">
        <v>1257</v>
      </c>
      <c r="AV253" s="31" t="s">
        <v>1693</v>
      </c>
      <c r="AW253" s="31"/>
      <c r="AX253" s="185"/>
      <c r="AY253" s="185"/>
      <c r="AZ253" s="185"/>
      <c r="BA253" s="185"/>
      <c r="BB253" s="185"/>
      <c r="BC253" s="185"/>
      <c r="BD253" s="185"/>
      <c r="BH253" s="5"/>
      <c r="BQ253" s="207"/>
      <c r="BR253" s="207"/>
      <c r="BS253" s="207"/>
      <c r="CE253" s="174">
        <v>44082</v>
      </c>
      <c r="CF253" s="174">
        <v>44261</v>
      </c>
    </row>
    <row r="254" spans="1:85" ht="28.5">
      <c r="A254" s="211" t="s">
        <v>1694</v>
      </c>
      <c r="C254" s="211"/>
      <c r="D254" s="221"/>
      <c r="E254" s="211"/>
      <c r="F254" s="186"/>
      <c r="G254" s="185"/>
      <c r="H254" s="211"/>
      <c r="I254" s="211"/>
      <c r="J254" s="211"/>
      <c r="K254" s="211"/>
      <c r="L254" s="211" t="s">
        <v>1194</v>
      </c>
      <c r="M254" s="211"/>
      <c r="N254" s="211"/>
      <c r="O254" s="211"/>
      <c r="P254" s="186"/>
      <c r="Q254" s="184" t="s">
        <v>1396</v>
      </c>
      <c r="R254" s="184"/>
      <c r="S254" s="184"/>
      <c r="T254" s="184"/>
      <c r="U254" s="184"/>
      <c r="V254" s="185"/>
      <c r="W254" s="185"/>
      <c r="AE254" s="186"/>
      <c r="AF254" s="186"/>
      <c r="AH254" s="185"/>
      <c r="AI254" s="186"/>
      <c r="AJ254" s="185"/>
      <c r="AL254" s="185"/>
      <c r="AM254" s="185"/>
      <c r="AN254" s="186"/>
      <c r="AO254" s="211"/>
      <c r="AU254" s="185" t="s">
        <v>1257</v>
      </c>
      <c r="AV254" s="31" t="s">
        <v>1695</v>
      </c>
      <c r="AW254" s="31"/>
      <c r="AX254" s="185"/>
      <c r="AY254" s="185"/>
      <c r="AZ254" s="185"/>
      <c r="BA254" s="185"/>
      <c r="BB254" s="185"/>
      <c r="BC254" s="185"/>
      <c r="BD254" s="185"/>
      <c r="BH254" s="5"/>
      <c r="BQ254" s="207"/>
      <c r="BR254" s="207"/>
      <c r="BS254" s="207"/>
      <c r="CE254" s="174">
        <v>44082</v>
      </c>
      <c r="CF254" s="174">
        <v>44261</v>
      </c>
    </row>
    <row r="255" spans="1:85">
      <c r="A255" s="209" t="s">
        <v>1696</v>
      </c>
      <c r="C255" s="169"/>
      <c r="D255" s="223">
        <v>38504</v>
      </c>
      <c r="E255" s="209"/>
      <c r="Q255" s="169" t="s">
        <v>1367</v>
      </c>
      <c r="R255" s="169"/>
      <c r="S255" s="169"/>
      <c r="T255" s="169"/>
      <c r="U255" s="169"/>
      <c r="AN255" s="169" t="s">
        <v>1262</v>
      </c>
      <c r="BH255" s="5"/>
      <c r="CE255" s="179">
        <v>44082</v>
      </c>
      <c r="CF255" s="179">
        <v>44261</v>
      </c>
    </row>
    <row r="256" spans="1:85">
      <c r="A256" s="209" t="s">
        <v>1697</v>
      </c>
      <c r="C256" s="169"/>
      <c r="D256" s="223"/>
      <c r="E256" s="209"/>
      <c r="Q256" s="169"/>
      <c r="R256" s="169"/>
      <c r="S256" s="169"/>
      <c r="T256" s="169"/>
      <c r="U256" s="169"/>
      <c r="AN256" s="169" t="s">
        <v>1368</v>
      </c>
      <c r="BH256" s="5"/>
      <c r="CE256" s="174">
        <v>44082</v>
      </c>
      <c r="CF256" s="174">
        <v>44261</v>
      </c>
    </row>
    <row r="257" spans="1:84">
      <c r="A257" s="209" t="s">
        <v>1698</v>
      </c>
      <c r="C257" s="169"/>
      <c r="D257" s="223">
        <v>32356</v>
      </c>
      <c r="E257" s="209"/>
      <c r="Q257" s="169"/>
      <c r="R257" s="169"/>
      <c r="S257" s="169"/>
      <c r="T257" s="169"/>
      <c r="U257" s="169"/>
      <c r="AN257" s="169" t="s">
        <v>1699</v>
      </c>
      <c r="BH257" s="5"/>
      <c r="CE257" s="179">
        <v>44082</v>
      </c>
      <c r="CF257" s="179">
        <v>44261</v>
      </c>
    </row>
    <row r="258" spans="1:84">
      <c r="A258" s="211" t="s">
        <v>1700</v>
      </c>
      <c r="C258" s="211"/>
      <c r="D258" s="221"/>
      <c r="E258" s="211"/>
      <c r="F258" s="186"/>
      <c r="G258" s="185"/>
      <c r="H258" s="211"/>
      <c r="I258" s="211"/>
      <c r="J258" s="211"/>
      <c r="K258" s="211"/>
      <c r="L258" s="211"/>
      <c r="M258" s="211"/>
      <c r="N258" s="211"/>
      <c r="O258" s="211"/>
      <c r="P258" s="186"/>
      <c r="Q258" s="211"/>
      <c r="R258" s="211"/>
      <c r="S258" s="211"/>
      <c r="T258" s="211"/>
      <c r="U258" s="211"/>
      <c r="V258" s="185"/>
      <c r="W258" s="185"/>
      <c r="AE258" s="186"/>
      <c r="AF258" s="186"/>
      <c r="AH258" s="185"/>
      <c r="AI258" s="186"/>
      <c r="AJ258" s="185"/>
      <c r="AL258" s="185"/>
      <c r="AM258" s="185"/>
      <c r="AN258" s="186"/>
      <c r="AO258" s="211"/>
      <c r="AU258" s="185" t="s">
        <v>1257</v>
      </c>
      <c r="AV258" s="31" t="s">
        <v>1701</v>
      </c>
      <c r="AW258" s="31"/>
      <c r="AX258" s="185"/>
      <c r="AY258" s="185"/>
      <c r="AZ258" s="185"/>
      <c r="BA258" s="185"/>
      <c r="BB258" s="185"/>
      <c r="BC258" s="185"/>
      <c r="BD258" s="185"/>
      <c r="BH258" s="5"/>
      <c r="BQ258" s="207"/>
      <c r="BR258" s="207"/>
      <c r="BS258" s="207"/>
    </row>
    <row r="259" spans="1:84">
      <c r="A259" s="170" t="s">
        <v>1702</v>
      </c>
      <c r="B259" s="169"/>
      <c r="AF259" s="204"/>
      <c r="AV259" s="209" t="s">
        <v>1703</v>
      </c>
      <c r="AW259" s="209"/>
      <c r="BH259" s="5"/>
      <c r="CE259" s="174">
        <v>44082</v>
      </c>
      <c r="CF259" s="174">
        <v>44261</v>
      </c>
    </row>
    <row r="260" spans="1:84">
      <c r="A260" s="170" t="s">
        <v>1704</v>
      </c>
      <c r="BH260" s="5"/>
      <c r="CE260" s="174">
        <v>44082</v>
      </c>
      <c r="CF260" s="174">
        <v>44261</v>
      </c>
    </row>
    <row r="261" spans="1:84">
      <c r="A261" s="209" t="s">
        <v>1705</v>
      </c>
      <c r="C261" s="169"/>
      <c r="D261" s="223">
        <v>37834</v>
      </c>
      <c r="E261" s="209"/>
      <c r="Q261" s="169" t="s">
        <v>1706</v>
      </c>
      <c r="R261" s="169"/>
      <c r="S261" s="169"/>
      <c r="T261" s="169"/>
      <c r="U261" s="169"/>
      <c r="AN261" s="169" t="s">
        <v>1368</v>
      </c>
      <c r="BH261" s="5"/>
    </row>
    <row r="262" spans="1:84">
      <c r="A262" s="170" t="s">
        <v>1707</v>
      </c>
      <c r="D262" s="223">
        <v>41122</v>
      </c>
      <c r="F262" s="204"/>
      <c r="P262" s="204"/>
      <c r="Y262" s="165">
        <v>7</v>
      </c>
      <c r="AE262" s="204"/>
      <c r="AF262" s="204"/>
      <c r="AI262" s="204"/>
      <c r="AN262" s="204"/>
      <c r="AO262" s="165" t="s">
        <v>1708</v>
      </c>
      <c r="AV262" s="31" t="s">
        <v>1709</v>
      </c>
      <c r="AW262" s="31"/>
      <c r="BH262" s="5"/>
      <c r="CE262" s="174">
        <v>44082</v>
      </c>
      <c r="CF262" s="174">
        <v>44301.534872685188</v>
      </c>
    </row>
    <row r="263" spans="1:84">
      <c r="A263" s="211" t="s">
        <v>1710</v>
      </c>
      <c r="C263" s="211"/>
      <c r="D263" s="221"/>
      <c r="E263" s="211"/>
      <c r="F263" s="186"/>
      <c r="G263" s="185"/>
      <c r="H263" s="211"/>
      <c r="I263" s="211"/>
      <c r="J263" s="211"/>
      <c r="K263" s="211"/>
      <c r="L263" s="211"/>
      <c r="M263" s="211"/>
      <c r="N263" s="211"/>
      <c r="O263" s="211"/>
      <c r="P263" s="186"/>
      <c r="Q263" s="184" t="s">
        <v>1402</v>
      </c>
      <c r="R263" s="184"/>
      <c r="S263" s="184"/>
      <c r="T263" s="184"/>
      <c r="U263" s="184"/>
      <c r="V263" s="185"/>
      <c r="W263" s="185"/>
      <c r="AE263" s="186"/>
      <c r="AF263" s="186"/>
      <c r="AH263" s="185"/>
      <c r="AI263" s="186"/>
      <c r="AJ263" s="185"/>
      <c r="AL263" s="185"/>
      <c r="AM263" s="185"/>
      <c r="AN263" s="186"/>
      <c r="AO263" s="211"/>
      <c r="AU263" s="185" t="s">
        <v>1257</v>
      </c>
      <c r="AV263" s="31" t="s">
        <v>1711</v>
      </c>
      <c r="AW263" s="31"/>
      <c r="AX263" s="185"/>
      <c r="AY263" s="185"/>
      <c r="AZ263" s="185"/>
      <c r="BA263" s="185"/>
      <c r="BB263" s="185"/>
      <c r="BC263" s="185"/>
      <c r="BD263" s="185"/>
      <c r="BH263" s="5"/>
      <c r="BQ263" s="207"/>
      <c r="BR263" s="207"/>
      <c r="BS263" s="207"/>
      <c r="CE263" s="179">
        <v>44082</v>
      </c>
      <c r="CF263" s="179">
        <v>44261</v>
      </c>
    </row>
    <row r="264" spans="1:84" ht="42.75">
      <c r="A264" s="209" t="s">
        <v>1712</v>
      </c>
      <c r="C264" s="169"/>
      <c r="D264" s="223">
        <v>37834</v>
      </c>
      <c r="E264" s="209"/>
      <c r="Q264" s="169" t="s">
        <v>1328</v>
      </c>
      <c r="R264" s="169"/>
      <c r="S264" s="169"/>
      <c r="T264" s="169"/>
      <c r="U264" s="169"/>
      <c r="AN264" s="169" t="s">
        <v>1463</v>
      </c>
      <c r="AU264" s="165" t="s">
        <v>1388</v>
      </c>
      <c r="AV264" s="170" t="s">
        <v>1713</v>
      </c>
      <c r="BH264" s="5"/>
      <c r="CE264" s="174">
        <v>44082</v>
      </c>
      <c r="CF264" s="174">
        <v>44261</v>
      </c>
    </row>
    <row r="265" spans="1:84">
      <c r="A265" s="209" t="s">
        <v>1714</v>
      </c>
      <c r="C265" s="169"/>
      <c r="D265" s="223">
        <v>36557</v>
      </c>
      <c r="E265" s="209"/>
      <c r="Q265" s="169" t="s">
        <v>1715</v>
      </c>
      <c r="R265" s="169"/>
      <c r="S265" s="169"/>
      <c r="T265" s="169"/>
      <c r="U265" s="169"/>
      <c r="AN265" s="169" t="s">
        <v>1383</v>
      </c>
      <c r="AU265" s="165" t="s">
        <v>1388</v>
      </c>
      <c r="AV265" s="170" t="s">
        <v>1716</v>
      </c>
      <c r="BH265" s="5"/>
      <c r="CE265" s="179">
        <v>44082</v>
      </c>
      <c r="CF265" s="179">
        <v>44261</v>
      </c>
    </row>
    <row r="266" spans="1:84" ht="28.5">
      <c r="A266" s="211" t="s">
        <v>1717</v>
      </c>
      <c r="C266" s="211"/>
      <c r="D266" s="221"/>
      <c r="E266" s="211"/>
      <c r="F266" s="186"/>
      <c r="G266" s="185"/>
      <c r="H266" s="211"/>
      <c r="I266" s="211"/>
      <c r="J266" s="211"/>
      <c r="K266" s="211"/>
      <c r="L266" s="211"/>
      <c r="M266" s="211"/>
      <c r="N266" s="211"/>
      <c r="O266" s="211"/>
      <c r="P266" s="186"/>
      <c r="Q266" s="184" t="s">
        <v>1718</v>
      </c>
      <c r="R266" s="184"/>
      <c r="S266" s="184"/>
      <c r="T266" s="184"/>
      <c r="U266" s="184"/>
      <c r="V266" s="185"/>
      <c r="W266" s="185"/>
      <c r="AE266" s="186"/>
      <c r="AF266" s="186"/>
      <c r="AH266" s="185"/>
      <c r="AI266" s="186"/>
      <c r="AJ266" s="185"/>
      <c r="AL266" s="185"/>
      <c r="AM266" s="185"/>
      <c r="AN266" s="186"/>
      <c r="AO266" s="211"/>
      <c r="AU266" s="185" t="s">
        <v>1257</v>
      </c>
      <c r="AV266" s="31" t="s">
        <v>1719</v>
      </c>
      <c r="AW266" s="31"/>
      <c r="AX266" s="185"/>
      <c r="AY266" s="185"/>
      <c r="AZ266" s="185"/>
      <c r="BA266" s="185"/>
      <c r="BB266" s="185"/>
      <c r="BC266" s="185"/>
      <c r="BD266" s="185"/>
      <c r="BH266" s="5"/>
      <c r="BQ266" s="207"/>
      <c r="BR266" s="207"/>
      <c r="BS266" s="207"/>
      <c r="CE266" s="179"/>
      <c r="CF266" s="179"/>
    </row>
    <row r="267" spans="1:84">
      <c r="A267" s="209" t="s">
        <v>1720</v>
      </c>
      <c r="C267" s="169"/>
      <c r="D267" s="223">
        <v>38047</v>
      </c>
      <c r="E267" s="209"/>
      <c r="Q267" s="169" t="s">
        <v>1328</v>
      </c>
      <c r="R267" s="169"/>
      <c r="S267" s="169"/>
      <c r="T267" s="169"/>
      <c r="U267" s="169"/>
      <c r="AN267" s="169" t="s">
        <v>1262</v>
      </c>
      <c r="BH267" s="5"/>
      <c r="CE267" s="174">
        <v>44082</v>
      </c>
      <c r="CF267" s="174">
        <v>44261</v>
      </c>
    </row>
    <row r="268" spans="1:84" ht="28.5">
      <c r="A268" s="211" t="s">
        <v>1721</v>
      </c>
      <c r="C268" s="211"/>
      <c r="D268" s="221"/>
      <c r="E268" s="211"/>
      <c r="F268" s="186"/>
      <c r="G268" s="185"/>
      <c r="H268" s="211"/>
      <c r="I268" s="211"/>
      <c r="J268" s="211"/>
      <c r="K268" s="211"/>
      <c r="L268" s="211"/>
      <c r="M268" s="211"/>
      <c r="N268" s="211"/>
      <c r="O268" s="211"/>
      <c r="P268" s="186"/>
      <c r="Q268" s="184" t="s">
        <v>1402</v>
      </c>
      <c r="R268" s="184"/>
      <c r="S268" s="184"/>
      <c r="T268" s="184"/>
      <c r="U268" s="184"/>
      <c r="V268" s="185"/>
      <c r="W268" s="185"/>
      <c r="AE268" s="186"/>
      <c r="AF268" s="186"/>
      <c r="AH268" s="185"/>
      <c r="AI268" s="186"/>
      <c r="AJ268" s="185"/>
      <c r="AL268" s="185"/>
      <c r="AM268" s="185"/>
      <c r="AN268" s="186"/>
      <c r="AO268" s="211"/>
      <c r="AU268" s="185" t="s">
        <v>1257</v>
      </c>
      <c r="AV268" s="31" t="s">
        <v>1722</v>
      </c>
      <c r="AW268" s="31"/>
      <c r="AX268" s="185"/>
      <c r="AY268" s="185"/>
      <c r="AZ268" s="185"/>
      <c r="BA268" s="185"/>
      <c r="BB268" s="185"/>
      <c r="BC268" s="185"/>
      <c r="BD268" s="185"/>
      <c r="BH268" s="5"/>
      <c r="BQ268" s="207"/>
      <c r="BR268" s="207"/>
      <c r="BS268" s="207"/>
      <c r="CE268" s="179">
        <v>44082</v>
      </c>
      <c r="CF268" s="179">
        <v>44261</v>
      </c>
    </row>
    <row r="269" spans="1:84">
      <c r="A269" s="209" t="s">
        <v>1723</v>
      </c>
      <c r="C269" s="169"/>
      <c r="D269" s="223">
        <v>37530</v>
      </c>
      <c r="E269" s="209"/>
      <c r="Q269" s="169" t="s">
        <v>1610</v>
      </c>
      <c r="R269" s="169"/>
      <c r="S269" s="169"/>
      <c r="T269" s="169"/>
      <c r="U269" s="169"/>
      <c r="AN269" s="169" t="s">
        <v>1348</v>
      </c>
      <c r="AU269" s="165" t="s">
        <v>1388</v>
      </c>
      <c r="AV269" s="170" t="s">
        <v>1724</v>
      </c>
      <c r="BH269" s="5"/>
      <c r="CE269" s="174">
        <v>44082</v>
      </c>
      <c r="CF269" s="174">
        <v>44261</v>
      </c>
    </row>
    <row r="270" spans="1:84" ht="28.5">
      <c r="A270" s="209" t="s">
        <v>1725</v>
      </c>
      <c r="C270" s="169"/>
      <c r="D270" s="223">
        <v>37165</v>
      </c>
      <c r="E270" s="209"/>
      <c r="Q270" s="169" t="s">
        <v>1328</v>
      </c>
      <c r="R270" s="169"/>
      <c r="S270" s="169"/>
      <c r="T270" s="169"/>
      <c r="U270" s="169"/>
      <c r="AN270" s="169" t="s">
        <v>1262</v>
      </c>
      <c r="BH270" s="5"/>
      <c r="CE270" s="179">
        <v>44082</v>
      </c>
      <c r="CF270" s="179">
        <v>44261</v>
      </c>
    </row>
    <row r="271" spans="1:84">
      <c r="A271" s="211" t="s">
        <v>1726</v>
      </c>
      <c r="C271" s="211"/>
      <c r="D271" s="221"/>
      <c r="E271" s="211"/>
      <c r="F271" s="186"/>
      <c r="G271" s="185"/>
      <c r="H271" s="211"/>
      <c r="I271" s="211"/>
      <c r="J271" s="211"/>
      <c r="K271" s="211"/>
      <c r="L271" s="211"/>
      <c r="M271" s="211"/>
      <c r="N271" s="211"/>
      <c r="O271" s="211"/>
      <c r="P271" s="186"/>
      <c r="Q271" s="184" t="s">
        <v>1402</v>
      </c>
      <c r="R271" s="184"/>
      <c r="S271" s="184"/>
      <c r="T271" s="184"/>
      <c r="U271" s="184"/>
      <c r="V271" s="185"/>
      <c r="W271" s="185"/>
      <c r="AE271" s="186"/>
      <c r="AF271" s="186"/>
      <c r="AH271" s="185"/>
      <c r="AI271" s="186"/>
      <c r="AJ271" s="185"/>
      <c r="AL271" s="185"/>
      <c r="AM271" s="185"/>
      <c r="AN271" s="186"/>
      <c r="AO271" s="211"/>
      <c r="AU271" s="185" t="s">
        <v>1257</v>
      </c>
      <c r="AV271" s="31" t="s">
        <v>1727</v>
      </c>
      <c r="AW271" s="31"/>
      <c r="AX271" s="185"/>
      <c r="AY271" s="185"/>
      <c r="AZ271" s="185"/>
      <c r="BA271" s="185"/>
      <c r="BB271" s="185"/>
      <c r="BC271" s="185"/>
      <c r="BD271" s="185"/>
      <c r="BH271" s="5"/>
      <c r="BQ271" s="207"/>
      <c r="BR271" s="207"/>
      <c r="BS271" s="207"/>
      <c r="CE271" s="174">
        <v>44082</v>
      </c>
      <c r="CF271" s="174">
        <v>44261</v>
      </c>
    </row>
    <row r="272" spans="1:84">
      <c r="A272" s="165" t="s">
        <v>1728</v>
      </c>
      <c r="B272" s="169"/>
      <c r="AF272" s="204"/>
      <c r="AV272" s="170" t="s">
        <v>1729</v>
      </c>
      <c r="BE272" s="5"/>
      <c r="BF272" s="5"/>
      <c r="BG272" s="5"/>
      <c r="BH272" s="5"/>
      <c r="BI272" s="5"/>
      <c r="BJ272" s="5"/>
      <c r="BK272" s="5"/>
      <c r="BL272" s="215"/>
      <c r="BM272" s="215"/>
      <c r="BN272" s="215"/>
      <c r="BO272" s="5"/>
      <c r="BP272" s="215"/>
      <c r="CA272" s="215"/>
      <c r="CB272" s="215"/>
      <c r="CC272" s="215"/>
      <c r="CD272" s="215"/>
      <c r="CE272" s="179">
        <v>44082</v>
      </c>
      <c r="CF272" s="179">
        <v>44261</v>
      </c>
    </row>
    <row r="273" spans="1:84">
      <c r="A273" s="209" t="s">
        <v>1730</v>
      </c>
      <c r="C273" s="169"/>
      <c r="D273" s="223">
        <v>36251</v>
      </c>
      <c r="E273" s="209"/>
      <c r="Q273" s="169" t="s">
        <v>1382</v>
      </c>
      <c r="R273" s="169"/>
      <c r="S273" s="169"/>
      <c r="T273" s="169"/>
      <c r="U273" s="169"/>
      <c r="AN273" s="169" t="s">
        <v>1383</v>
      </c>
      <c r="AU273" s="165" t="s">
        <v>1388</v>
      </c>
      <c r="AV273" s="170" t="s">
        <v>1731</v>
      </c>
      <c r="BH273" s="5"/>
      <c r="CE273" s="174">
        <v>44082</v>
      </c>
      <c r="CF273" s="174">
        <v>44261</v>
      </c>
    </row>
    <row r="274" spans="1:84" ht="114">
      <c r="A274" s="215" t="s">
        <v>1732</v>
      </c>
      <c r="B274" s="215"/>
      <c r="C274" s="215"/>
      <c r="D274" s="222"/>
      <c r="E274" s="5" t="s">
        <v>1562</v>
      </c>
      <c r="F274" s="30" t="s">
        <v>1733</v>
      </c>
      <c r="G274" s="215"/>
      <c r="H274" s="215"/>
      <c r="I274" s="215"/>
      <c r="J274" s="215"/>
      <c r="K274" s="215"/>
      <c r="L274" s="215"/>
      <c r="M274" s="215"/>
      <c r="N274" s="215"/>
      <c r="O274" s="215"/>
      <c r="P274" s="215"/>
      <c r="Q274" s="215"/>
      <c r="R274" s="215"/>
      <c r="S274" s="215"/>
      <c r="T274" s="215"/>
      <c r="U274" s="215"/>
      <c r="V274" s="215"/>
      <c r="W274" s="215"/>
      <c r="X274" s="215"/>
      <c r="Y274" s="215"/>
      <c r="Z274" s="215"/>
      <c r="AA274" s="215"/>
      <c r="AB274" s="215"/>
      <c r="AC274" s="215"/>
      <c r="AD274" s="215"/>
      <c r="AE274" s="215">
        <v>94</v>
      </c>
      <c r="AF274" s="215">
        <v>94</v>
      </c>
      <c r="AG274" s="215"/>
      <c r="AH274" s="215"/>
      <c r="AI274" s="215"/>
      <c r="AJ274" s="215"/>
      <c r="AK274" s="215"/>
      <c r="AL274" s="215"/>
      <c r="AM274" s="215"/>
      <c r="AN274" s="215"/>
      <c r="AO274" s="215"/>
      <c r="AP274" s="215"/>
      <c r="AQ274" s="215"/>
      <c r="AR274" s="30"/>
      <c r="AS274" s="30"/>
      <c r="AT274" s="215"/>
      <c r="AU274" s="215"/>
      <c r="AV274" s="30" t="s">
        <v>1734</v>
      </c>
      <c r="AW274" s="30"/>
      <c r="AX274" s="215"/>
      <c r="AY274" s="215"/>
      <c r="AZ274" s="215"/>
      <c r="BA274" s="215"/>
      <c r="BB274" s="215"/>
      <c r="BC274" s="215"/>
      <c r="BD274" s="215"/>
      <c r="BH274" s="5"/>
      <c r="BQ274" s="215"/>
      <c r="BR274" s="215"/>
      <c r="BS274" s="215"/>
      <c r="CE274" s="179">
        <v>44082</v>
      </c>
      <c r="CF274" s="179">
        <v>44261</v>
      </c>
    </row>
    <row r="275" spans="1:84" ht="28.5">
      <c r="A275" s="209" t="s">
        <v>1735</v>
      </c>
      <c r="C275" s="169"/>
      <c r="D275" s="223">
        <v>37377</v>
      </c>
      <c r="E275" s="209"/>
      <c r="L275" s="165" t="s">
        <v>1511</v>
      </c>
      <c r="Q275" s="169" t="s">
        <v>1736</v>
      </c>
      <c r="R275" s="169"/>
      <c r="S275" s="169"/>
      <c r="T275" s="169"/>
      <c r="U275" s="169"/>
      <c r="AN275" s="169" t="s">
        <v>1397</v>
      </c>
      <c r="AU275" s="165" t="s">
        <v>1388</v>
      </c>
      <c r="AV275" s="170" t="s">
        <v>1737</v>
      </c>
      <c r="BH275" s="5"/>
      <c r="CE275" s="179">
        <v>44082</v>
      </c>
      <c r="CF275" s="179">
        <v>44261</v>
      </c>
    </row>
    <row r="276" spans="1:84">
      <c r="A276" s="211" t="s">
        <v>1738</v>
      </c>
      <c r="C276" s="211"/>
      <c r="D276" s="221"/>
      <c r="E276" s="211"/>
      <c r="F276" s="186"/>
      <c r="G276" s="185"/>
      <c r="H276" s="211"/>
      <c r="I276" s="211"/>
      <c r="J276" s="211"/>
      <c r="K276" s="211"/>
      <c r="L276" s="211"/>
      <c r="M276" s="211"/>
      <c r="N276" s="211"/>
      <c r="O276" s="211"/>
      <c r="P276" s="186"/>
      <c r="Q276" s="184" t="s">
        <v>1402</v>
      </c>
      <c r="R276" s="184"/>
      <c r="S276" s="184"/>
      <c r="T276" s="184"/>
      <c r="U276" s="184"/>
      <c r="V276" s="185"/>
      <c r="W276" s="185"/>
      <c r="AE276" s="186"/>
      <c r="AF276" s="186"/>
      <c r="AH276" s="185"/>
      <c r="AI276" s="186"/>
      <c r="AJ276" s="185"/>
      <c r="AL276" s="185"/>
      <c r="AM276" s="185"/>
      <c r="AN276" s="186"/>
      <c r="AO276" s="211"/>
      <c r="AU276" s="185" t="s">
        <v>1257</v>
      </c>
      <c r="AV276" s="31" t="s">
        <v>1739</v>
      </c>
      <c r="AW276" s="31"/>
      <c r="AX276" s="185"/>
      <c r="AY276" s="185"/>
      <c r="AZ276" s="185"/>
      <c r="BA276" s="185"/>
      <c r="BB276" s="185"/>
      <c r="BC276" s="185"/>
      <c r="BD276" s="185"/>
      <c r="BH276" s="5"/>
      <c r="BQ276" s="207"/>
      <c r="BR276" s="207"/>
      <c r="BS276" s="207"/>
      <c r="CE276" s="179">
        <v>44082</v>
      </c>
      <c r="CF276" s="179">
        <v>44261</v>
      </c>
    </row>
    <row r="277" spans="1:84">
      <c r="A277" s="211" t="s">
        <v>1740</v>
      </c>
      <c r="C277" s="211"/>
      <c r="D277" s="221"/>
      <c r="E277" s="211"/>
      <c r="F277" s="186"/>
      <c r="G277" s="185"/>
      <c r="H277" s="211"/>
      <c r="I277" s="211"/>
      <c r="J277" s="211"/>
      <c r="K277" s="211"/>
      <c r="L277" s="211"/>
      <c r="M277" s="211"/>
      <c r="N277" s="211"/>
      <c r="O277" s="211"/>
      <c r="P277" s="186"/>
      <c r="Q277" s="184" t="s">
        <v>1548</v>
      </c>
      <c r="R277" s="184"/>
      <c r="S277" s="184"/>
      <c r="T277" s="184"/>
      <c r="U277" s="184"/>
      <c r="V277" s="185"/>
      <c r="W277" s="185"/>
      <c r="AE277" s="186"/>
      <c r="AF277" s="186"/>
      <c r="AH277" s="185"/>
      <c r="AI277" s="186"/>
      <c r="AJ277" s="185"/>
      <c r="AL277" s="185"/>
      <c r="AM277" s="185"/>
      <c r="AN277" s="186"/>
      <c r="AO277" s="211"/>
      <c r="AU277" s="185" t="s">
        <v>1257</v>
      </c>
      <c r="AV277" s="31" t="s">
        <v>1741</v>
      </c>
      <c r="AW277" s="31"/>
      <c r="AX277" s="185"/>
      <c r="AY277" s="185"/>
      <c r="AZ277" s="185"/>
      <c r="BA277" s="185"/>
      <c r="BB277" s="185"/>
      <c r="BC277" s="185"/>
      <c r="BD277" s="185"/>
      <c r="BH277" s="5"/>
      <c r="BQ277" s="207"/>
      <c r="BR277" s="207"/>
      <c r="BS277" s="207"/>
      <c r="CE277" s="179"/>
      <c r="CF277" s="179"/>
    </row>
    <row r="278" spans="1:84">
      <c r="A278" s="170" t="s">
        <v>1742</v>
      </c>
      <c r="B278" s="169"/>
      <c r="AF278" s="204"/>
      <c r="AV278" s="209"/>
      <c r="AW278" s="209"/>
      <c r="BH278" s="5"/>
      <c r="CE278" s="174">
        <v>44082</v>
      </c>
      <c r="CF278" s="174">
        <v>44261</v>
      </c>
    </row>
    <row r="279" spans="1:84">
      <c r="A279" s="211" t="s">
        <v>1743</v>
      </c>
      <c r="C279" s="211"/>
      <c r="D279" s="221"/>
      <c r="E279" s="211"/>
      <c r="F279" s="186"/>
      <c r="G279" s="185"/>
      <c r="H279" s="211"/>
      <c r="I279" s="211"/>
      <c r="J279" s="211"/>
      <c r="K279" s="211"/>
      <c r="L279" s="211"/>
      <c r="M279" s="211"/>
      <c r="N279" s="211"/>
      <c r="O279" s="211"/>
      <c r="P279" s="186"/>
      <c r="Q279" s="184" t="s">
        <v>1548</v>
      </c>
      <c r="R279" s="184"/>
      <c r="S279" s="184"/>
      <c r="T279" s="184"/>
      <c r="U279" s="184"/>
      <c r="V279" s="185"/>
      <c r="W279" s="185"/>
      <c r="AE279" s="186"/>
      <c r="AF279" s="186"/>
      <c r="AH279" s="185"/>
      <c r="AI279" s="186"/>
      <c r="AJ279" s="185"/>
      <c r="AL279" s="185"/>
      <c r="AM279" s="185"/>
      <c r="AN279" s="186"/>
      <c r="AO279" s="211"/>
      <c r="AU279" s="185" t="s">
        <v>1257</v>
      </c>
      <c r="AV279" s="31" t="s">
        <v>1744</v>
      </c>
      <c r="AW279" s="31"/>
      <c r="AX279" s="185"/>
      <c r="AY279" s="185"/>
      <c r="AZ279" s="185"/>
      <c r="BA279" s="185"/>
      <c r="BB279" s="185"/>
      <c r="BC279" s="185"/>
      <c r="BD279" s="185"/>
      <c r="BH279" s="5"/>
      <c r="BQ279" s="207"/>
      <c r="BR279" s="207"/>
      <c r="BS279" s="207"/>
      <c r="CE279" s="179">
        <v>44082</v>
      </c>
      <c r="CF279" s="179">
        <v>44261</v>
      </c>
    </row>
    <row r="280" spans="1:84">
      <c r="A280" s="209" t="s">
        <v>1745</v>
      </c>
      <c r="C280" s="169"/>
      <c r="D280" s="223">
        <v>30590</v>
      </c>
      <c r="E280" s="209"/>
      <c r="Q280" s="169" t="s">
        <v>1746</v>
      </c>
      <c r="R280" s="169"/>
      <c r="S280" s="169"/>
      <c r="T280" s="169"/>
      <c r="U280" s="169"/>
      <c r="AN280" s="169" t="s">
        <v>1463</v>
      </c>
      <c r="BH280" s="5"/>
      <c r="CE280" s="174">
        <v>44082</v>
      </c>
      <c r="CF280" s="174">
        <v>44261</v>
      </c>
    </row>
    <row r="281" spans="1:84" ht="28.5">
      <c r="A281" s="209" t="s">
        <v>1747</v>
      </c>
      <c r="C281" s="169"/>
      <c r="D281" s="223">
        <v>36923</v>
      </c>
      <c r="E281" s="209"/>
      <c r="Q281" s="169" t="s">
        <v>1339</v>
      </c>
      <c r="R281" s="169"/>
      <c r="S281" s="169"/>
      <c r="T281" s="169"/>
      <c r="U281" s="169"/>
      <c r="AN281" s="169" t="s">
        <v>1492</v>
      </c>
      <c r="AU281" s="165" t="s">
        <v>1388</v>
      </c>
      <c r="AV281" s="170" t="s">
        <v>1748</v>
      </c>
      <c r="BH281" s="5"/>
      <c r="CE281" s="179">
        <v>44082</v>
      </c>
      <c r="CF281" s="179">
        <v>44261</v>
      </c>
    </row>
    <row r="282" spans="1:84">
      <c r="A282" s="211" t="s">
        <v>1749</v>
      </c>
      <c r="C282" s="211"/>
      <c r="D282" s="221"/>
      <c r="E282" s="211"/>
      <c r="F282" s="186"/>
      <c r="G282" s="185"/>
      <c r="H282" s="211"/>
      <c r="I282" s="211"/>
      <c r="J282" s="211"/>
      <c r="K282" s="211"/>
      <c r="L282" s="211"/>
      <c r="M282" s="211"/>
      <c r="N282" s="211"/>
      <c r="O282" s="211"/>
      <c r="P282" s="186"/>
      <c r="Q282" s="184" t="s">
        <v>1684</v>
      </c>
      <c r="R282" s="184"/>
      <c r="S282" s="184"/>
      <c r="T282" s="184"/>
      <c r="U282" s="184"/>
      <c r="V282" s="185"/>
      <c r="W282" s="185"/>
      <c r="AE282" s="186"/>
      <c r="AF282" s="186"/>
      <c r="AH282" s="185"/>
      <c r="AI282" s="186"/>
      <c r="AJ282" s="185"/>
      <c r="AL282" s="185"/>
      <c r="AM282" s="185"/>
      <c r="AN282" s="186"/>
      <c r="AO282" s="211"/>
      <c r="AU282" s="185" t="s">
        <v>1257</v>
      </c>
      <c r="AV282" s="31" t="s">
        <v>1750</v>
      </c>
      <c r="AW282" s="31"/>
      <c r="AX282" s="185"/>
      <c r="AY282" s="185"/>
      <c r="AZ282" s="185"/>
      <c r="BA282" s="185"/>
      <c r="BB282" s="185"/>
      <c r="BC282" s="185"/>
      <c r="BD282" s="185"/>
      <c r="BH282" s="5"/>
      <c r="BQ282" s="207"/>
      <c r="BR282" s="207"/>
      <c r="BS282" s="207"/>
      <c r="CE282" s="174">
        <v>44082</v>
      </c>
      <c r="CF282" s="174">
        <v>44261</v>
      </c>
    </row>
    <row r="283" spans="1:84">
      <c r="A283" s="209" t="s">
        <v>1751</v>
      </c>
      <c r="C283" s="169"/>
      <c r="D283" s="223">
        <v>38534</v>
      </c>
      <c r="E283" s="209"/>
      <c r="Q283" s="169" t="s">
        <v>1328</v>
      </c>
      <c r="R283" s="169"/>
      <c r="S283" s="169"/>
      <c r="T283" s="169"/>
      <c r="U283" s="169"/>
      <c r="AN283" s="169" t="s">
        <v>1336</v>
      </c>
      <c r="AU283" s="165" t="s">
        <v>1388</v>
      </c>
      <c r="AV283" s="170" t="s">
        <v>1752</v>
      </c>
      <c r="BH283" s="5"/>
      <c r="CE283" s="174">
        <v>44082</v>
      </c>
      <c r="CF283" s="174">
        <v>44261</v>
      </c>
    </row>
    <row r="284" spans="1:84">
      <c r="A284" s="30" t="s">
        <v>1753</v>
      </c>
      <c r="B284" s="215"/>
      <c r="C284" s="215"/>
      <c r="D284" s="222"/>
      <c r="E284" s="5" t="s">
        <v>1562</v>
      </c>
      <c r="F284" s="30"/>
      <c r="G284" s="215"/>
      <c r="H284" s="215"/>
      <c r="I284" s="215"/>
      <c r="J284" s="215"/>
      <c r="K284" s="215"/>
      <c r="L284" s="215"/>
      <c r="M284" s="215"/>
      <c r="N284" s="215"/>
      <c r="O284" s="215"/>
      <c r="P284" s="215"/>
      <c r="Q284" s="215"/>
      <c r="R284" s="215"/>
      <c r="S284" s="215"/>
      <c r="T284" s="215"/>
      <c r="U284" s="215"/>
      <c r="V284" s="215"/>
      <c r="W284" s="215"/>
      <c r="X284" s="215"/>
      <c r="Y284" s="215"/>
      <c r="Z284" s="215"/>
      <c r="AA284" s="215"/>
      <c r="AB284" s="215"/>
      <c r="AC284" s="215"/>
      <c r="AD284" s="215"/>
      <c r="AE284" s="215">
        <v>151</v>
      </c>
      <c r="AF284" s="215">
        <v>151</v>
      </c>
      <c r="AG284" s="215"/>
      <c r="AH284" s="215"/>
      <c r="AI284" s="215"/>
      <c r="AJ284" s="215"/>
      <c r="AK284" s="215"/>
      <c r="AL284" s="215"/>
      <c r="AM284" s="215"/>
      <c r="AN284" s="215"/>
      <c r="AO284" s="215"/>
      <c r="AP284" s="215"/>
      <c r="AQ284" s="215"/>
      <c r="AR284" s="30"/>
      <c r="AS284" s="30"/>
      <c r="AT284" s="215"/>
      <c r="AU284" s="215"/>
      <c r="AV284" s="30" t="s">
        <v>1754</v>
      </c>
      <c r="AW284" s="30"/>
      <c r="AX284" s="215"/>
      <c r="AY284" s="215"/>
      <c r="AZ284" s="215"/>
      <c r="BA284" s="215"/>
      <c r="BB284" s="215"/>
      <c r="BC284" s="215"/>
      <c r="BD284" s="215"/>
      <c r="BH284" s="5"/>
      <c r="BQ284" s="215"/>
      <c r="BR284" s="215"/>
      <c r="BS284" s="215"/>
      <c r="CE284" s="179">
        <v>44082</v>
      </c>
      <c r="CF284" s="179">
        <v>44261</v>
      </c>
    </row>
    <row r="285" spans="1:84">
      <c r="A285" s="209" t="s">
        <v>1755</v>
      </c>
      <c r="C285" s="169"/>
      <c r="D285" s="223">
        <v>34029</v>
      </c>
      <c r="E285" s="209"/>
      <c r="Q285" s="169" t="s">
        <v>1756</v>
      </c>
      <c r="R285" s="169"/>
      <c r="S285" s="169"/>
      <c r="T285" s="169"/>
      <c r="U285" s="169"/>
      <c r="AN285" s="169" t="s">
        <v>1383</v>
      </c>
      <c r="AU285" s="165" t="s">
        <v>1388</v>
      </c>
      <c r="AV285" s="170" t="s">
        <v>1757</v>
      </c>
      <c r="BH285" s="5"/>
      <c r="CE285" s="174">
        <v>44082</v>
      </c>
      <c r="CF285" s="174">
        <v>44269</v>
      </c>
    </row>
    <row r="286" spans="1:84" ht="28.5">
      <c r="A286" s="211" t="s">
        <v>1758</v>
      </c>
      <c r="C286" s="211"/>
      <c r="D286" s="221"/>
      <c r="E286" s="211"/>
      <c r="F286" s="186"/>
      <c r="G286" s="185"/>
      <c r="H286" s="211"/>
      <c r="I286" s="211"/>
      <c r="J286" s="211"/>
      <c r="K286" s="211"/>
      <c r="L286" s="211"/>
      <c r="M286" s="211"/>
      <c r="N286" s="211"/>
      <c r="O286" s="211"/>
      <c r="P286" s="186"/>
      <c r="Q286" s="184" t="s">
        <v>1684</v>
      </c>
      <c r="R286" s="184"/>
      <c r="S286" s="184"/>
      <c r="T286" s="184"/>
      <c r="U286" s="184"/>
      <c r="V286" s="185"/>
      <c r="W286" s="185"/>
      <c r="AE286" s="186"/>
      <c r="AF286" s="186"/>
      <c r="AH286" s="185"/>
      <c r="AI286" s="186"/>
      <c r="AJ286" s="185"/>
      <c r="AL286" s="185"/>
      <c r="AM286" s="185"/>
      <c r="AN286" s="186"/>
      <c r="AO286" s="211"/>
      <c r="AU286" s="185" t="s">
        <v>1257</v>
      </c>
      <c r="AV286" s="31" t="s">
        <v>1759</v>
      </c>
      <c r="AW286" s="31"/>
      <c r="AX286" s="185"/>
      <c r="AY286" s="185"/>
      <c r="AZ286" s="185"/>
      <c r="BA286" s="185"/>
      <c r="BB286" s="185"/>
      <c r="BC286" s="185"/>
      <c r="BD286" s="185"/>
      <c r="BH286" s="5"/>
      <c r="BQ286" s="207"/>
      <c r="BR286" s="207"/>
      <c r="BS286" s="207"/>
      <c r="CE286" s="174">
        <v>44082</v>
      </c>
      <c r="CF286" s="174">
        <v>44269</v>
      </c>
    </row>
    <row r="287" spans="1:84">
      <c r="A287" s="209" t="s">
        <v>1760</v>
      </c>
      <c r="C287" s="169"/>
      <c r="D287" s="223"/>
      <c r="E287" s="209"/>
      <c r="Q287" s="169"/>
      <c r="R287" s="169"/>
      <c r="S287" s="169"/>
      <c r="T287" s="169"/>
      <c r="U287" s="169"/>
      <c r="AN287" s="169" t="s">
        <v>1340</v>
      </c>
      <c r="AU287" s="165" t="s">
        <v>1388</v>
      </c>
      <c r="AV287" s="170" t="s">
        <v>1761</v>
      </c>
      <c r="BH287" s="5"/>
      <c r="CE287" s="179">
        <v>44082</v>
      </c>
      <c r="CF287" s="179">
        <v>44261</v>
      </c>
    </row>
    <row r="288" spans="1:84">
      <c r="A288" s="170" t="s">
        <v>1762</v>
      </c>
      <c r="B288" s="169"/>
      <c r="AF288" s="204"/>
      <c r="BH288" s="5"/>
      <c r="CE288" s="174">
        <v>44082</v>
      </c>
      <c r="CF288" s="174">
        <v>44261</v>
      </c>
    </row>
    <row r="289" spans="1:84">
      <c r="A289" s="209" t="s">
        <v>1763</v>
      </c>
      <c r="C289" s="169"/>
      <c r="D289" s="223">
        <v>32933</v>
      </c>
      <c r="E289" s="209"/>
      <c r="Q289" s="169" t="s">
        <v>1328</v>
      </c>
      <c r="R289" s="169"/>
      <c r="S289" s="169"/>
      <c r="T289" s="169"/>
      <c r="U289" s="169"/>
      <c r="AN289" s="169" t="s">
        <v>1764</v>
      </c>
      <c r="AU289" s="165" t="s">
        <v>1388</v>
      </c>
      <c r="AV289" s="170" t="s">
        <v>1765</v>
      </c>
      <c r="BH289" s="5"/>
      <c r="CE289" s="174">
        <v>44082</v>
      </c>
      <c r="CF289" s="174">
        <v>44261</v>
      </c>
    </row>
    <row r="290" spans="1:84" ht="28.5">
      <c r="A290" s="209" t="s">
        <v>1766</v>
      </c>
      <c r="C290" s="169"/>
      <c r="D290" s="223">
        <v>37165</v>
      </c>
      <c r="E290" s="209"/>
      <c r="Q290" s="169" t="s">
        <v>1548</v>
      </c>
      <c r="R290" s="169"/>
      <c r="S290" s="169"/>
      <c r="T290" s="169"/>
      <c r="U290" s="169"/>
      <c r="AN290" s="169" t="s">
        <v>1357</v>
      </c>
      <c r="AU290" s="165" t="s">
        <v>1388</v>
      </c>
      <c r="AV290" s="31" t="s">
        <v>1767</v>
      </c>
      <c r="AW290" s="31"/>
      <c r="BH290" s="5"/>
      <c r="CE290" s="179">
        <v>44082</v>
      </c>
      <c r="CF290" s="179">
        <v>44261</v>
      </c>
    </row>
    <row r="291" spans="1:84">
      <c r="A291" s="209" t="s">
        <v>1768</v>
      </c>
      <c r="C291" s="169"/>
      <c r="D291" s="223">
        <v>38412</v>
      </c>
      <c r="E291" s="209"/>
      <c r="Q291" s="169" t="s">
        <v>1769</v>
      </c>
      <c r="R291" s="169"/>
      <c r="S291" s="169"/>
      <c r="T291" s="169"/>
      <c r="U291" s="169"/>
      <c r="AN291" s="169" t="s">
        <v>1397</v>
      </c>
      <c r="BH291" s="5"/>
    </row>
    <row r="292" spans="1:84">
      <c r="A292" s="209" t="s">
        <v>1770</v>
      </c>
      <c r="C292" s="169"/>
      <c r="D292" s="223">
        <v>38292</v>
      </c>
      <c r="E292" s="209"/>
      <c r="Q292" s="169" t="s">
        <v>1328</v>
      </c>
      <c r="R292" s="169"/>
      <c r="S292" s="169"/>
      <c r="T292" s="169"/>
      <c r="U292" s="169"/>
      <c r="AN292" s="169" t="s">
        <v>1397</v>
      </c>
      <c r="AU292" s="165" t="s">
        <v>1388</v>
      </c>
      <c r="AV292" s="170" t="s">
        <v>1771</v>
      </c>
      <c r="BH292" s="5"/>
      <c r="CE292" s="174">
        <v>44082</v>
      </c>
      <c r="CF292" s="174">
        <v>44261</v>
      </c>
    </row>
    <row r="293" spans="1:84">
      <c r="A293" s="209" t="s">
        <v>1772</v>
      </c>
      <c r="C293" s="169"/>
      <c r="D293" s="223">
        <v>36923</v>
      </c>
      <c r="E293" s="209"/>
      <c r="Q293" s="169" t="s">
        <v>1328</v>
      </c>
      <c r="R293" s="169"/>
      <c r="S293" s="169"/>
      <c r="T293" s="169"/>
      <c r="U293" s="169"/>
      <c r="AN293" s="169" t="s">
        <v>1450</v>
      </c>
      <c r="AU293" s="165" t="s">
        <v>1388</v>
      </c>
      <c r="AV293" s="170" t="s">
        <v>1773</v>
      </c>
      <c r="BH293" s="5"/>
      <c r="CE293" s="179">
        <v>44082</v>
      </c>
      <c r="CF293" s="179">
        <v>44261</v>
      </c>
    </row>
    <row r="294" spans="1:84">
      <c r="A294" s="170" t="s">
        <v>1774</v>
      </c>
      <c r="B294" s="169"/>
      <c r="AC294" s="165">
        <v>121700</v>
      </c>
      <c r="AF294" s="204">
        <v>125</v>
      </c>
      <c r="AJ294" s="165">
        <v>36</v>
      </c>
      <c r="AL294" s="165">
        <f>AC294/AF294</f>
        <v>973.6</v>
      </c>
      <c r="AV294" s="225" t="s">
        <v>1775</v>
      </c>
      <c r="AW294" s="225"/>
      <c r="BH294" s="5"/>
      <c r="CE294" s="174">
        <v>44082</v>
      </c>
      <c r="CF294" s="174">
        <v>44261</v>
      </c>
    </row>
    <row r="295" spans="1:84" ht="114">
      <c r="A295" s="215" t="s">
        <v>1776</v>
      </c>
      <c r="B295" s="215"/>
      <c r="C295" s="215"/>
      <c r="D295" s="222">
        <v>40817</v>
      </c>
      <c r="E295" s="5" t="s">
        <v>1562</v>
      </c>
      <c r="F295" s="30" t="s">
        <v>1777</v>
      </c>
      <c r="G295" s="215"/>
      <c r="H295" s="215"/>
      <c r="I295" s="215"/>
      <c r="J295" s="215"/>
      <c r="K295" s="215"/>
      <c r="L295" s="215"/>
      <c r="M295" s="215"/>
      <c r="N295" s="215"/>
      <c r="O295" s="215"/>
      <c r="P295" s="215"/>
      <c r="Q295" s="215"/>
      <c r="R295" s="215"/>
      <c r="S295" s="215"/>
      <c r="T295" s="215"/>
      <c r="U295" s="215"/>
      <c r="V295" s="215"/>
      <c r="W295" s="215"/>
      <c r="X295" s="215"/>
      <c r="Y295" s="215"/>
      <c r="Z295" s="215"/>
      <c r="AA295" s="215"/>
      <c r="AB295" s="215"/>
      <c r="AC295" s="215"/>
      <c r="AD295" s="215"/>
      <c r="AE295" s="215">
        <v>90</v>
      </c>
      <c r="AF295" s="215">
        <v>90</v>
      </c>
      <c r="AG295" s="215"/>
      <c r="AH295" s="215"/>
      <c r="AI295" s="215"/>
      <c r="AJ295" s="215"/>
      <c r="AK295" s="215"/>
      <c r="AL295" s="215"/>
      <c r="AM295" s="215"/>
      <c r="AN295" s="215"/>
      <c r="AO295" s="215"/>
      <c r="AP295" s="215"/>
      <c r="AQ295" s="215"/>
      <c r="AR295" s="30"/>
      <c r="AS295" s="30"/>
      <c r="AT295" s="215"/>
      <c r="AU295" s="215"/>
      <c r="AV295" s="30" t="s">
        <v>1778</v>
      </c>
      <c r="AW295" s="30"/>
      <c r="AX295" s="215"/>
      <c r="AY295" s="215"/>
      <c r="AZ295" s="215"/>
      <c r="BA295" s="215"/>
      <c r="BB295" s="215"/>
      <c r="BC295" s="215"/>
      <c r="BD295" s="215"/>
      <c r="BH295" s="5"/>
      <c r="BQ295" s="215"/>
      <c r="BR295" s="215"/>
      <c r="BS295" s="215"/>
      <c r="CE295" s="179">
        <v>44082</v>
      </c>
      <c r="CF295" s="179">
        <v>44261</v>
      </c>
    </row>
    <row r="296" spans="1:84">
      <c r="A296" s="209" t="s">
        <v>1779</v>
      </c>
      <c r="C296" s="169"/>
      <c r="D296" s="223">
        <v>38443</v>
      </c>
      <c r="E296" s="209"/>
      <c r="Q296" s="169" t="s">
        <v>1328</v>
      </c>
      <c r="R296" s="169"/>
      <c r="S296" s="169"/>
      <c r="T296" s="169"/>
      <c r="U296" s="169"/>
      <c r="AN296" s="169" t="s">
        <v>1262</v>
      </c>
      <c r="AU296" s="165" t="s">
        <v>1388</v>
      </c>
      <c r="AV296" s="170" t="s">
        <v>1780</v>
      </c>
      <c r="BH296" s="5"/>
      <c r="CE296" s="179">
        <v>44082</v>
      </c>
      <c r="CF296" s="179">
        <v>44261</v>
      </c>
    </row>
    <row r="297" spans="1:84">
      <c r="A297" s="209" t="s">
        <v>1781</v>
      </c>
      <c r="C297" s="169"/>
      <c r="D297" s="223">
        <v>37226</v>
      </c>
      <c r="E297" s="209"/>
      <c r="Q297" s="169" t="s">
        <v>1328</v>
      </c>
      <c r="R297" s="169"/>
      <c r="S297" s="169"/>
      <c r="T297" s="169"/>
      <c r="U297" s="169"/>
      <c r="AN297" s="169" t="s">
        <v>1383</v>
      </c>
      <c r="BH297" s="5"/>
      <c r="CE297" s="174">
        <v>44082</v>
      </c>
      <c r="CF297" s="174">
        <v>44261</v>
      </c>
    </row>
    <row r="298" spans="1:84" ht="28.5">
      <c r="A298" s="211" t="s">
        <v>1782</v>
      </c>
      <c r="C298" s="211"/>
      <c r="D298" s="221"/>
      <c r="E298" s="211"/>
      <c r="F298" s="186"/>
      <c r="G298" s="185"/>
      <c r="H298" s="211"/>
      <c r="I298" s="211"/>
      <c r="J298" s="211"/>
      <c r="K298" s="211"/>
      <c r="L298" s="211"/>
      <c r="M298" s="211"/>
      <c r="N298" s="211"/>
      <c r="O298" s="211"/>
      <c r="P298" s="186"/>
      <c r="Q298" s="184" t="s">
        <v>1460</v>
      </c>
      <c r="R298" s="184"/>
      <c r="S298" s="184"/>
      <c r="T298" s="184"/>
      <c r="U298" s="184"/>
      <c r="V298" s="185"/>
      <c r="W298" s="185"/>
      <c r="AE298" s="186"/>
      <c r="AF298" s="186"/>
      <c r="AH298" s="185"/>
      <c r="AI298" s="186"/>
      <c r="AJ298" s="185"/>
      <c r="AL298" s="185"/>
      <c r="AM298" s="185"/>
      <c r="AN298" s="186"/>
      <c r="AO298" s="211"/>
      <c r="AU298" s="185" t="s">
        <v>1257</v>
      </c>
      <c r="AV298" s="31" t="s">
        <v>1783</v>
      </c>
      <c r="AW298" s="31"/>
      <c r="AX298" s="185"/>
      <c r="AY298" s="185"/>
      <c r="AZ298" s="185"/>
      <c r="BA298" s="185"/>
      <c r="BB298" s="185"/>
      <c r="BC298" s="185"/>
      <c r="BD298" s="185"/>
      <c r="BH298" s="5"/>
      <c r="BQ298" s="207"/>
      <c r="BR298" s="207"/>
      <c r="BS298" s="207"/>
      <c r="CE298" s="174">
        <v>44082</v>
      </c>
      <c r="CF298" s="174">
        <v>44261</v>
      </c>
    </row>
    <row r="299" spans="1:84" ht="28.5">
      <c r="A299" s="211" t="s">
        <v>1784</v>
      </c>
      <c r="C299" s="211"/>
      <c r="D299" s="221"/>
      <c r="E299" s="211"/>
      <c r="F299" s="186"/>
      <c r="G299" s="185"/>
      <c r="H299" s="211"/>
      <c r="I299" s="211"/>
      <c r="J299" s="211"/>
      <c r="K299" s="211"/>
      <c r="L299" s="211"/>
      <c r="M299" s="211"/>
      <c r="N299" s="211"/>
      <c r="O299" s="211"/>
      <c r="P299" s="186"/>
      <c r="Q299" s="184" t="s">
        <v>1402</v>
      </c>
      <c r="R299" s="184"/>
      <c r="S299" s="184"/>
      <c r="T299" s="184"/>
      <c r="U299" s="184"/>
      <c r="V299" s="185"/>
      <c r="W299" s="185"/>
      <c r="AE299" s="186"/>
      <c r="AF299" s="186"/>
      <c r="AH299" s="185"/>
      <c r="AI299" s="186"/>
      <c r="AJ299" s="185"/>
      <c r="AL299" s="185"/>
      <c r="AM299" s="185"/>
      <c r="AN299" s="186"/>
      <c r="AO299" s="211"/>
      <c r="AU299" s="185" t="s">
        <v>1257</v>
      </c>
      <c r="AV299" s="31" t="s">
        <v>1785</v>
      </c>
      <c r="AW299" s="31"/>
      <c r="AX299" s="185"/>
      <c r="AY299" s="185"/>
      <c r="AZ299" s="185"/>
      <c r="BA299" s="185"/>
      <c r="BB299" s="185"/>
      <c r="BC299" s="185"/>
      <c r="BD299" s="185"/>
      <c r="BH299" s="5"/>
      <c r="BQ299" s="207"/>
      <c r="BR299" s="207"/>
      <c r="BS299" s="207"/>
      <c r="CE299" s="174">
        <v>44082</v>
      </c>
      <c r="CF299" s="174">
        <v>44261</v>
      </c>
    </row>
    <row r="300" spans="1:84">
      <c r="A300" s="209" t="s">
        <v>1786</v>
      </c>
      <c r="C300" s="169"/>
      <c r="D300" s="223">
        <v>36923</v>
      </c>
      <c r="E300" s="209"/>
      <c r="Q300" s="169" t="s">
        <v>1787</v>
      </c>
      <c r="R300" s="169"/>
      <c r="S300" s="169"/>
      <c r="T300" s="169"/>
      <c r="U300" s="169"/>
      <c r="AN300" s="169" t="s">
        <v>1254</v>
      </c>
      <c r="BH300" s="5"/>
      <c r="CE300" s="174">
        <v>44082</v>
      </c>
      <c r="CF300" s="174">
        <v>44261</v>
      </c>
    </row>
    <row r="301" spans="1:84" ht="28.5">
      <c r="A301" s="209" t="s">
        <v>1788</v>
      </c>
      <c r="C301" s="169"/>
      <c r="D301" s="223">
        <v>39022</v>
      </c>
      <c r="E301" s="209"/>
      <c r="Q301" s="169" t="s">
        <v>1402</v>
      </c>
      <c r="R301" s="169"/>
      <c r="S301" s="169"/>
      <c r="T301" s="169"/>
      <c r="U301" s="169"/>
      <c r="AN301" s="169" t="s">
        <v>1262</v>
      </c>
      <c r="AU301" s="165" t="s">
        <v>1388</v>
      </c>
      <c r="AV301" s="170" t="s">
        <v>1789</v>
      </c>
      <c r="BH301" s="5"/>
      <c r="CE301" s="174">
        <v>44082</v>
      </c>
      <c r="CF301" s="174">
        <v>44261</v>
      </c>
    </row>
    <row r="302" spans="1:84">
      <c r="A302" s="211" t="s">
        <v>1790</v>
      </c>
      <c r="C302" s="211"/>
      <c r="D302" s="221"/>
      <c r="E302" s="211"/>
      <c r="F302" s="186"/>
      <c r="G302" s="185"/>
      <c r="H302" s="211"/>
      <c r="I302" s="211"/>
      <c r="J302" s="211"/>
      <c r="K302" s="211"/>
      <c r="L302" s="211"/>
      <c r="M302" s="211"/>
      <c r="N302" s="211"/>
      <c r="O302" s="211"/>
      <c r="P302" s="186"/>
      <c r="Q302" s="211"/>
      <c r="R302" s="211"/>
      <c r="S302" s="211"/>
      <c r="T302" s="211"/>
      <c r="U302" s="211"/>
      <c r="V302" s="185"/>
      <c r="W302" s="185"/>
      <c r="AE302" s="186"/>
      <c r="AF302" s="186"/>
      <c r="AH302" s="185"/>
      <c r="AI302" s="186"/>
      <c r="AJ302" s="185"/>
      <c r="AL302" s="185"/>
      <c r="AM302" s="185"/>
      <c r="AN302" s="186"/>
      <c r="AO302" s="211"/>
      <c r="AU302" s="185" t="s">
        <v>1257</v>
      </c>
      <c r="AV302" s="31" t="s">
        <v>1791</v>
      </c>
      <c r="AW302" s="31"/>
      <c r="AX302" s="185"/>
      <c r="AY302" s="185"/>
      <c r="AZ302" s="185"/>
      <c r="BA302" s="185"/>
      <c r="BB302" s="185"/>
      <c r="BC302" s="185"/>
      <c r="BD302" s="185"/>
      <c r="BH302" s="5"/>
      <c r="BQ302" s="207"/>
      <c r="BR302" s="207"/>
      <c r="BS302" s="207"/>
      <c r="CE302" s="174">
        <v>44082</v>
      </c>
      <c r="CF302" s="174">
        <v>44261</v>
      </c>
    </row>
    <row r="303" spans="1:84">
      <c r="A303" s="209" t="s">
        <v>1792</v>
      </c>
      <c r="C303" s="169"/>
      <c r="D303" s="223">
        <v>39173</v>
      </c>
      <c r="E303" s="209"/>
      <c r="Q303" s="169" t="s">
        <v>1578</v>
      </c>
      <c r="R303" s="169"/>
      <c r="S303" s="169"/>
      <c r="T303" s="169"/>
      <c r="U303" s="169"/>
      <c r="Y303" s="165">
        <v>880</v>
      </c>
      <c r="AE303" s="165">
        <v>193</v>
      </c>
      <c r="AF303" s="165">
        <v>193</v>
      </c>
      <c r="AN303" s="169" t="s">
        <v>1397</v>
      </c>
      <c r="AO303" s="165" t="s">
        <v>1793</v>
      </c>
      <c r="AU303" s="165" t="s">
        <v>1388</v>
      </c>
      <c r="AV303" s="170" t="s">
        <v>1794</v>
      </c>
      <c r="BH303" s="5"/>
      <c r="CE303" s="174">
        <v>44082</v>
      </c>
      <c r="CF303" s="174">
        <v>44301.534907407404</v>
      </c>
    </row>
    <row r="304" spans="1:84">
      <c r="A304" s="220" t="s">
        <v>1792</v>
      </c>
      <c r="C304" s="211"/>
      <c r="D304" s="221">
        <v>34151</v>
      </c>
      <c r="E304" s="211"/>
      <c r="F304" s="186"/>
      <c r="G304" s="185"/>
      <c r="H304" s="211"/>
      <c r="I304" s="211"/>
      <c r="J304" s="211"/>
      <c r="K304" s="211"/>
      <c r="L304" s="211"/>
      <c r="M304" s="226"/>
      <c r="N304" s="211"/>
      <c r="O304" s="211"/>
      <c r="P304" s="186"/>
      <c r="Q304" s="184" t="s">
        <v>1795</v>
      </c>
      <c r="R304" s="184"/>
      <c r="S304" s="184"/>
      <c r="T304" s="184"/>
      <c r="U304" s="184"/>
      <c r="V304" s="185"/>
      <c r="W304" s="185"/>
      <c r="AE304" s="186"/>
      <c r="AF304" s="186"/>
      <c r="AH304" s="185"/>
      <c r="AI304" s="186"/>
      <c r="AJ304" s="185"/>
      <c r="AL304" s="185"/>
      <c r="AM304" s="185"/>
      <c r="AN304" s="186"/>
      <c r="AO304" s="226"/>
      <c r="AU304" s="185"/>
      <c r="AV304" s="31"/>
      <c r="AW304" s="31"/>
      <c r="AX304" s="185"/>
      <c r="AY304" s="185"/>
      <c r="AZ304" s="185"/>
      <c r="BA304" s="185"/>
      <c r="BB304" s="185"/>
      <c r="BC304" s="185"/>
      <c r="BD304" s="185"/>
      <c r="BH304" s="5"/>
      <c r="BQ304" s="207"/>
      <c r="BR304" s="207"/>
      <c r="BS304" s="207"/>
    </row>
    <row r="305" spans="1:84">
      <c r="A305" s="209" t="s">
        <v>1796</v>
      </c>
      <c r="C305" s="169"/>
      <c r="D305" s="223">
        <v>39356</v>
      </c>
      <c r="E305" s="209"/>
      <c r="Q305" s="169" t="s">
        <v>1578</v>
      </c>
      <c r="R305" s="169"/>
      <c r="S305" s="169"/>
      <c r="T305" s="169"/>
      <c r="U305" s="169"/>
      <c r="AN305" s="169" t="s">
        <v>1262</v>
      </c>
      <c r="BH305" s="5"/>
      <c r="CE305" s="179">
        <v>44082</v>
      </c>
      <c r="CF305" s="179">
        <v>44261</v>
      </c>
    </row>
    <row r="306" spans="1:84">
      <c r="A306" s="209" t="s">
        <v>1797</v>
      </c>
      <c r="C306" s="169"/>
      <c r="D306" s="223">
        <v>36892</v>
      </c>
      <c r="E306" s="209"/>
      <c r="Q306" s="169" t="s">
        <v>1798</v>
      </c>
      <c r="R306" s="169"/>
      <c r="S306" s="169"/>
      <c r="T306" s="169"/>
      <c r="U306" s="169"/>
      <c r="AN306" s="169" t="s">
        <v>1357</v>
      </c>
      <c r="BH306" s="5"/>
      <c r="CE306" s="179">
        <v>44082</v>
      </c>
      <c r="CF306" s="179">
        <v>44261</v>
      </c>
    </row>
    <row r="307" spans="1:84">
      <c r="A307" s="211" t="s">
        <v>1799</v>
      </c>
      <c r="C307" s="211"/>
      <c r="D307" s="221"/>
      <c r="E307" s="211"/>
      <c r="F307" s="186"/>
      <c r="G307" s="185"/>
      <c r="H307" s="211"/>
      <c r="I307" s="211"/>
      <c r="J307" s="211"/>
      <c r="K307" s="211"/>
      <c r="L307" s="211"/>
      <c r="M307" s="211"/>
      <c r="N307" s="211"/>
      <c r="O307" s="211"/>
      <c r="P307" s="186"/>
      <c r="Q307" s="184" t="s">
        <v>1402</v>
      </c>
      <c r="R307" s="184"/>
      <c r="S307" s="184"/>
      <c r="T307" s="184"/>
      <c r="U307" s="184"/>
      <c r="V307" s="185"/>
      <c r="W307" s="185"/>
      <c r="AE307" s="186"/>
      <c r="AF307" s="186"/>
      <c r="AH307" s="185"/>
      <c r="AI307" s="186"/>
      <c r="AJ307" s="185"/>
      <c r="AL307" s="185"/>
      <c r="AM307" s="185"/>
      <c r="AN307" s="186"/>
      <c r="AO307" s="211"/>
      <c r="AU307" s="185" t="s">
        <v>1257</v>
      </c>
      <c r="AV307" s="31" t="s">
        <v>1800</v>
      </c>
      <c r="AW307" s="31"/>
      <c r="AX307" s="185"/>
      <c r="AY307" s="185"/>
      <c r="AZ307" s="185"/>
      <c r="BA307" s="185"/>
      <c r="BB307" s="185"/>
      <c r="BC307" s="185"/>
      <c r="BD307" s="185"/>
      <c r="BH307" s="5"/>
      <c r="BQ307" s="207"/>
      <c r="BR307" s="207"/>
      <c r="BS307" s="207"/>
      <c r="CE307" s="174">
        <v>44082</v>
      </c>
      <c r="CF307" s="174">
        <v>44261</v>
      </c>
    </row>
    <row r="308" spans="1:84">
      <c r="A308" t="s">
        <v>1293</v>
      </c>
      <c r="B308" s="169"/>
      <c r="AF308" s="204"/>
      <c r="AV308" s="209" t="s">
        <v>1801</v>
      </c>
      <c r="AW308" s="209"/>
      <c r="BH308" s="5"/>
      <c r="CE308" s="179">
        <v>44082</v>
      </c>
      <c r="CF308" s="179">
        <v>44261</v>
      </c>
    </row>
    <row r="309" spans="1:84" ht="28.5">
      <c r="A309" s="209" t="s">
        <v>1802</v>
      </c>
      <c r="C309" s="169"/>
      <c r="D309" s="223">
        <v>38869</v>
      </c>
      <c r="E309" s="209"/>
      <c r="Q309" s="169" t="s">
        <v>1367</v>
      </c>
      <c r="R309" s="169"/>
      <c r="S309" s="169"/>
      <c r="T309" s="169"/>
      <c r="U309" s="169"/>
      <c r="AN309" s="169" t="s">
        <v>1368</v>
      </c>
      <c r="AU309" s="165" t="s">
        <v>1388</v>
      </c>
      <c r="AV309" s="170" t="s">
        <v>1803</v>
      </c>
      <c r="BH309" s="5"/>
      <c r="CE309" s="174">
        <v>44082</v>
      </c>
      <c r="CF309" s="174">
        <v>44261</v>
      </c>
    </row>
    <row r="310" spans="1:84" ht="28.5">
      <c r="A310" s="209" t="s">
        <v>1804</v>
      </c>
      <c r="C310" s="169"/>
      <c r="D310" s="223">
        <v>37500</v>
      </c>
      <c r="E310" s="209"/>
      <c r="Q310" s="169" t="s">
        <v>1339</v>
      </c>
      <c r="R310" s="169"/>
      <c r="S310" s="169"/>
      <c r="T310" s="169"/>
      <c r="U310" s="169"/>
      <c r="AN310" s="169" t="s">
        <v>1507</v>
      </c>
      <c r="AU310" s="165" t="s">
        <v>1388</v>
      </c>
      <c r="AV310" s="170" t="s">
        <v>1805</v>
      </c>
      <c r="BH310" s="5"/>
      <c r="CE310" s="174">
        <v>44082</v>
      </c>
      <c r="CF310" s="174">
        <v>44261</v>
      </c>
    </row>
    <row r="311" spans="1:84">
      <c r="A311" s="211" t="s">
        <v>1806</v>
      </c>
      <c r="C311" s="211"/>
      <c r="D311" s="221"/>
      <c r="E311" s="211"/>
      <c r="F311" s="186"/>
      <c r="G311" s="185"/>
      <c r="H311" s="211"/>
      <c r="I311" s="211"/>
      <c r="J311" s="211"/>
      <c r="K311" s="211"/>
      <c r="L311" s="211"/>
      <c r="M311" s="211"/>
      <c r="N311" s="211"/>
      <c r="O311" s="211"/>
      <c r="P311" s="186"/>
      <c r="Q311" s="184" t="s">
        <v>1684</v>
      </c>
      <c r="R311" s="184"/>
      <c r="S311" s="184"/>
      <c r="T311" s="184"/>
      <c r="U311" s="184"/>
      <c r="V311" s="185"/>
      <c r="W311" s="185"/>
      <c r="AE311" s="186"/>
      <c r="AF311" s="186"/>
      <c r="AH311" s="185"/>
      <c r="AI311" s="186"/>
      <c r="AJ311" s="185"/>
      <c r="AL311" s="185"/>
      <c r="AM311" s="185"/>
      <c r="AN311" s="186"/>
      <c r="AO311" s="211"/>
      <c r="AU311" s="185" t="s">
        <v>1257</v>
      </c>
      <c r="AV311" s="31" t="s">
        <v>1807</v>
      </c>
      <c r="AW311" s="31"/>
      <c r="AX311" s="185"/>
      <c r="AY311" s="185"/>
      <c r="AZ311" s="185"/>
      <c r="BA311" s="185"/>
      <c r="BB311" s="185"/>
      <c r="BC311" s="185"/>
      <c r="BD311" s="185"/>
      <c r="BH311" s="5"/>
      <c r="BQ311" s="207"/>
      <c r="BR311" s="207"/>
      <c r="BS311" s="207"/>
      <c r="CE311" s="174">
        <v>44082</v>
      </c>
      <c r="CF311" s="174">
        <v>44261</v>
      </c>
    </row>
    <row r="312" spans="1:84" ht="28.5">
      <c r="A312" s="209" t="s">
        <v>1808</v>
      </c>
      <c r="C312" s="169"/>
      <c r="D312" s="223">
        <v>38869</v>
      </c>
      <c r="E312" s="209"/>
      <c r="L312" s="165" t="s">
        <v>1511</v>
      </c>
      <c r="Q312" s="169" t="s">
        <v>1410</v>
      </c>
      <c r="R312" s="169"/>
      <c r="S312" s="169"/>
      <c r="T312" s="169"/>
      <c r="U312" s="169"/>
      <c r="AN312" s="169" t="s">
        <v>1368</v>
      </c>
      <c r="AU312" s="165" t="s">
        <v>1388</v>
      </c>
      <c r="AV312" s="170" t="s">
        <v>1809</v>
      </c>
      <c r="BH312" s="5"/>
      <c r="CE312" s="174">
        <v>44082</v>
      </c>
      <c r="CF312" s="174">
        <v>44261</v>
      </c>
    </row>
    <row r="313" spans="1:84">
      <c r="A313" s="209" t="s">
        <v>1810</v>
      </c>
      <c r="C313" s="169"/>
      <c r="D313" s="223">
        <v>37135</v>
      </c>
      <c r="E313" s="209"/>
      <c r="Q313" s="169" t="s">
        <v>1811</v>
      </c>
      <c r="R313" s="169"/>
      <c r="S313" s="169"/>
      <c r="T313" s="169"/>
      <c r="U313" s="169"/>
      <c r="AN313" s="169" t="s">
        <v>1383</v>
      </c>
      <c r="AU313" s="165" t="s">
        <v>1388</v>
      </c>
      <c r="AV313" s="170" t="s">
        <v>1812</v>
      </c>
      <c r="BH313" s="5"/>
      <c r="CE313" s="174">
        <v>44082</v>
      </c>
      <c r="CF313" s="174">
        <v>44261</v>
      </c>
    </row>
    <row r="314" spans="1:84">
      <c r="A314" s="209" t="s">
        <v>1813</v>
      </c>
      <c r="C314" s="169"/>
      <c r="D314" s="223">
        <v>38200</v>
      </c>
      <c r="E314" s="209"/>
      <c r="Q314" s="169" t="s">
        <v>1814</v>
      </c>
      <c r="R314" s="169"/>
      <c r="S314" s="169"/>
      <c r="T314" s="169"/>
      <c r="U314" s="169"/>
      <c r="AN314" s="169" t="s">
        <v>1336</v>
      </c>
      <c r="AU314" s="165" t="s">
        <v>1388</v>
      </c>
      <c r="AV314" s="170" t="s">
        <v>1815</v>
      </c>
      <c r="BH314" s="5"/>
      <c r="CE314" s="174">
        <v>44082</v>
      </c>
      <c r="CF314" s="174">
        <v>44261</v>
      </c>
    </row>
    <row r="315" spans="1:84" ht="28.5">
      <c r="A315" s="209" t="s">
        <v>1816</v>
      </c>
      <c r="C315" s="169"/>
      <c r="D315" s="223">
        <v>38078</v>
      </c>
      <c r="E315" s="209"/>
      <c r="Q315" s="169" t="s">
        <v>1328</v>
      </c>
      <c r="R315" s="169"/>
      <c r="S315" s="169"/>
      <c r="T315" s="169"/>
      <c r="U315" s="169"/>
      <c r="AN315" s="169" t="s">
        <v>1357</v>
      </c>
      <c r="AU315" s="165" t="s">
        <v>1388</v>
      </c>
      <c r="AV315" s="170" t="s">
        <v>1817</v>
      </c>
      <c r="BH315" s="5"/>
      <c r="CE315" s="174">
        <v>44082</v>
      </c>
      <c r="CF315" s="174">
        <v>44261</v>
      </c>
    </row>
    <row r="316" spans="1:84" ht="28.5">
      <c r="A316" s="211" t="s">
        <v>1818</v>
      </c>
      <c r="C316" s="211"/>
      <c r="D316" s="221"/>
      <c r="E316" s="211"/>
      <c r="F316" s="186"/>
      <c r="G316" s="185"/>
      <c r="H316" s="211"/>
      <c r="I316" s="211"/>
      <c r="J316" s="211"/>
      <c r="K316" s="211"/>
      <c r="L316" s="211"/>
      <c r="M316" s="211"/>
      <c r="N316" s="211"/>
      <c r="O316" s="211"/>
      <c r="P316" s="186"/>
      <c r="Q316" s="184" t="s">
        <v>1819</v>
      </c>
      <c r="R316" s="184"/>
      <c r="S316" s="184"/>
      <c r="T316" s="184"/>
      <c r="U316" s="184"/>
      <c r="V316" s="185"/>
      <c r="W316" s="185"/>
      <c r="AE316" s="186"/>
      <c r="AF316" s="186"/>
      <c r="AH316" s="185"/>
      <c r="AI316" s="186"/>
      <c r="AJ316" s="185"/>
      <c r="AL316" s="185"/>
      <c r="AM316" s="185"/>
      <c r="AN316" s="186"/>
      <c r="AO316" s="211"/>
      <c r="AU316" s="185" t="s">
        <v>1257</v>
      </c>
      <c r="AV316" s="31" t="s">
        <v>1820</v>
      </c>
      <c r="AW316" s="31"/>
      <c r="AX316" s="185"/>
      <c r="AY316" s="185"/>
      <c r="AZ316" s="185"/>
      <c r="BA316" s="185"/>
      <c r="BB316" s="185"/>
      <c r="BC316" s="185"/>
      <c r="BD316" s="185"/>
      <c r="BH316" s="5"/>
      <c r="BQ316" s="207"/>
      <c r="BR316" s="207"/>
      <c r="BS316" s="207"/>
      <c r="CE316" s="174">
        <v>44082</v>
      </c>
      <c r="CF316" s="174">
        <v>44261</v>
      </c>
    </row>
    <row r="317" spans="1:84">
      <c r="A317" s="170" t="s">
        <v>1821</v>
      </c>
      <c r="N317" s="165" t="s">
        <v>1822</v>
      </c>
      <c r="AV317" s="31" t="s">
        <v>1823</v>
      </c>
      <c r="AW317" s="31"/>
      <c r="BH317" s="5"/>
      <c r="CE317" s="174">
        <v>44082</v>
      </c>
      <c r="CF317" s="174">
        <v>44261</v>
      </c>
    </row>
    <row r="318" spans="1:84" ht="28.5">
      <c r="A318" s="211" t="s">
        <v>1824</v>
      </c>
      <c r="C318" s="211"/>
      <c r="D318" s="221"/>
      <c r="E318" s="211"/>
      <c r="F318" s="186"/>
      <c r="G318" s="185"/>
      <c r="H318" s="211"/>
      <c r="I318" s="211"/>
      <c r="J318" s="211"/>
      <c r="K318" s="211"/>
      <c r="L318" s="211"/>
      <c r="M318" s="211"/>
      <c r="N318" s="211"/>
      <c r="O318" s="211"/>
      <c r="P318" s="186"/>
      <c r="Q318" s="184" t="s">
        <v>1402</v>
      </c>
      <c r="R318" s="184"/>
      <c r="S318" s="184"/>
      <c r="T318" s="184"/>
      <c r="U318" s="184"/>
      <c r="V318" s="185"/>
      <c r="W318" s="185"/>
      <c r="AE318" s="186"/>
      <c r="AF318" s="186"/>
      <c r="AH318" s="185"/>
      <c r="AI318" s="186"/>
      <c r="AJ318" s="185"/>
      <c r="AL318" s="185"/>
      <c r="AM318" s="185"/>
      <c r="AN318" s="186"/>
      <c r="AO318" s="211"/>
      <c r="AU318" s="185" t="s">
        <v>1257</v>
      </c>
      <c r="AV318" s="31" t="s">
        <v>1825</v>
      </c>
      <c r="AW318" s="31"/>
      <c r="AX318" s="185"/>
      <c r="AY318" s="185"/>
      <c r="AZ318" s="185"/>
      <c r="BA318" s="185"/>
      <c r="BB318" s="185"/>
      <c r="BC318" s="185"/>
      <c r="BD318" s="185"/>
      <c r="BH318" s="5"/>
      <c r="BQ318" s="207"/>
      <c r="BR318" s="207"/>
      <c r="BS318" s="207"/>
      <c r="CE318" s="179">
        <v>44082</v>
      </c>
      <c r="CF318" s="179">
        <v>44261</v>
      </c>
    </row>
    <row r="319" spans="1:84">
      <c r="A319" s="211" t="s">
        <v>1826</v>
      </c>
      <c r="C319" s="211"/>
      <c r="D319" s="221"/>
      <c r="E319" s="211"/>
      <c r="F319" s="186"/>
      <c r="G319" s="185"/>
      <c r="H319" s="211"/>
      <c r="I319" s="211"/>
      <c r="J319" s="211"/>
      <c r="K319" s="211"/>
      <c r="L319" s="211"/>
      <c r="M319" s="211"/>
      <c r="N319" s="211"/>
      <c r="O319" s="211"/>
      <c r="P319" s="186"/>
      <c r="Q319" s="184" t="s">
        <v>1827</v>
      </c>
      <c r="R319" s="184"/>
      <c r="S319" s="184"/>
      <c r="T319" s="184"/>
      <c r="U319" s="184"/>
      <c r="V319" s="185"/>
      <c r="W319" s="185"/>
      <c r="AE319" s="186"/>
      <c r="AF319" s="186"/>
      <c r="AH319" s="185"/>
      <c r="AI319" s="186"/>
      <c r="AJ319" s="185"/>
      <c r="AL319" s="185"/>
      <c r="AM319" s="185"/>
      <c r="AN319" s="186"/>
      <c r="AO319" s="211"/>
      <c r="AU319" s="185" t="s">
        <v>1257</v>
      </c>
      <c r="AV319" s="31" t="s">
        <v>1828</v>
      </c>
      <c r="AW319" s="31"/>
      <c r="AX319" s="185"/>
      <c r="AY319" s="185"/>
      <c r="AZ319" s="185"/>
      <c r="BA319" s="185"/>
      <c r="BB319" s="185"/>
      <c r="BC319" s="185"/>
      <c r="BD319" s="185"/>
      <c r="BH319" s="5"/>
      <c r="BQ319" s="207"/>
      <c r="BR319" s="207"/>
      <c r="BS319" s="207"/>
      <c r="CE319" s="174">
        <v>44082</v>
      </c>
      <c r="CF319" s="174">
        <v>44261</v>
      </c>
    </row>
    <row r="320" spans="1:84">
      <c r="A320" s="209" t="s">
        <v>1829</v>
      </c>
      <c r="C320" s="169"/>
      <c r="D320" s="223">
        <v>39142</v>
      </c>
      <c r="E320" s="209"/>
      <c r="Q320" s="169" t="s">
        <v>1396</v>
      </c>
      <c r="R320" s="169"/>
      <c r="S320" s="169"/>
      <c r="T320" s="169"/>
      <c r="U320" s="169"/>
      <c r="AN320" s="169" t="s">
        <v>1368</v>
      </c>
      <c r="BH320" s="5"/>
      <c r="CE320" s="174">
        <v>44082</v>
      </c>
      <c r="CF320" s="174">
        <v>44261</v>
      </c>
    </row>
    <row r="321" spans="1:85">
      <c r="A321" s="170" t="s">
        <v>1830</v>
      </c>
      <c r="B321" s="169"/>
      <c r="AF321" s="204"/>
      <c r="AV321" s="209"/>
      <c r="AW321" s="209"/>
      <c r="BH321" s="5"/>
    </row>
    <row r="322" spans="1:85">
      <c r="A322" s="209" t="s">
        <v>1831</v>
      </c>
      <c r="C322" s="169"/>
      <c r="D322" s="223">
        <v>38473</v>
      </c>
      <c r="E322" s="209"/>
      <c r="Q322" s="169" t="s">
        <v>1639</v>
      </c>
      <c r="R322" s="169"/>
      <c r="S322" s="169"/>
      <c r="T322" s="169"/>
      <c r="U322" s="169"/>
      <c r="AN322" s="169" t="s">
        <v>1368</v>
      </c>
      <c r="AU322" s="165" t="s">
        <v>1388</v>
      </c>
      <c r="AV322" s="170" t="s">
        <v>1832</v>
      </c>
      <c r="BH322" s="5"/>
      <c r="CE322" s="179"/>
      <c r="CF322" s="179"/>
    </row>
    <row r="323" spans="1:85" ht="28.5">
      <c r="A323" s="170" t="s">
        <v>1833</v>
      </c>
      <c r="B323" s="169"/>
      <c r="AF323" s="204"/>
      <c r="AP323" s="165" t="s">
        <v>1834</v>
      </c>
      <c r="AR323" s="170" t="s">
        <v>1835</v>
      </c>
      <c r="AV323" s="209" t="s">
        <v>1836</v>
      </c>
      <c r="AW323" s="209"/>
      <c r="BH323" s="5"/>
      <c r="CE323" s="174">
        <v>44082</v>
      </c>
      <c r="CF323" s="174">
        <v>44261</v>
      </c>
    </row>
    <row r="324" spans="1:85">
      <c r="A324" s="209" t="s">
        <v>1837</v>
      </c>
      <c r="C324" s="169"/>
      <c r="D324" s="223">
        <v>32933</v>
      </c>
      <c r="E324" s="209"/>
      <c r="Q324" s="169" t="s">
        <v>1838</v>
      </c>
      <c r="R324" s="169"/>
      <c r="S324" s="169"/>
      <c r="T324" s="169"/>
      <c r="U324" s="169"/>
      <c r="AN324" s="169" t="s">
        <v>1492</v>
      </c>
      <c r="AU324" s="165" t="s">
        <v>1388</v>
      </c>
      <c r="AV324" s="170" t="s">
        <v>1839</v>
      </c>
      <c r="BH324" s="5"/>
      <c r="CE324" s="174">
        <v>44082</v>
      </c>
      <c r="CF324" s="174">
        <v>44261</v>
      </c>
    </row>
    <row r="325" spans="1:85" ht="28.5">
      <c r="A325" s="211" t="s">
        <v>1840</v>
      </c>
      <c r="C325" s="211"/>
      <c r="D325" s="221"/>
      <c r="E325" s="211"/>
      <c r="F325" s="186"/>
      <c r="G325" s="185"/>
      <c r="H325" s="211"/>
      <c r="I325" s="211"/>
      <c r="J325" s="211"/>
      <c r="K325" s="211"/>
      <c r="L325" s="211"/>
      <c r="M325" s="211"/>
      <c r="N325" s="211"/>
      <c r="O325" s="211"/>
      <c r="P325" s="186"/>
      <c r="Q325" s="184" t="s">
        <v>1684</v>
      </c>
      <c r="R325" s="184"/>
      <c r="S325" s="184"/>
      <c r="T325" s="184"/>
      <c r="U325" s="184"/>
      <c r="V325" s="185"/>
      <c r="W325" s="185"/>
      <c r="AE325" s="186"/>
      <c r="AF325" s="186"/>
      <c r="AH325" s="185"/>
      <c r="AI325" s="186"/>
      <c r="AJ325" s="185"/>
      <c r="AL325" s="185"/>
      <c r="AM325" s="185"/>
      <c r="AN325" s="186"/>
      <c r="AO325" s="211"/>
      <c r="AU325" s="185" t="s">
        <v>1257</v>
      </c>
      <c r="AV325" s="31" t="s">
        <v>1841</v>
      </c>
      <c r="AW325" s="31"/>
      <c r="AX325" s="185"/>
      <c r="AY325" s="185"/>
      <c r="AZ325" s="185"/>
      <c r="BA325" s="185"/>
      <c r="BB325" s="185"/>
      <c r="BC325" s="185"/>
      <c r="BD325" s="185"/>
      <c r="BH325" s="5"/>
      <c r="BQ325" s="207"/>
      <c r="BR325" s="207"/>
      <c r="BS325" s="207"/>
      <c r="CE325" s="174">
        <v>44082</v>
      </c>
      <c r="CF325" s="174">
        <v>44261</v>
      </c>
    </row>
    <row r="326" spans="1:85" s="215" customFormat="1" ht="31.5" customHeight="1">
      <c r="A326" s="211" t="s">
        <v>1842</v>
      </c>
      <c r="B326" s="165"/>
      <c r="C326" s="211"/>
      <c r="D326" s="224">
        <v>38001</v>
      </c>
      <c r="E326" s="211"/>
      <c r="F326" s="186"/>
      <c r="G326" s="185"/>
      <c r="H326" s="211"/>
      <c r="I326" s="211"/>
      <c r="J326" s="211"/>
      <c r="K326" s="211"/>
      <c r="L326" s="211"/>
      <c r="M326" s="211"/>
      <c r="N326" s="211"/>
      <c r="O326" s="211"/>
      <c r="P326" s="186"/>
      <c r="Q326" s="184" t="s">
        <v>1402</v>
      </c>
      <c r="R326" s="184"/>
      <c r="S326" s="184"/>
      <c r="T326" s="184"/>
      <c r="U326" s="184"/>
      <c r="V326" s="185"/>
      <c r="W326" s="185"/>
      <c r="X326" s="165"/>
      <c r="Y326" s="165">
        <v>30</v>
      </c>
      <c r="Z326" s="165"/>
      <c r="AA326" s="165"/>
      <c r="AB326" s="165"/>
      <c r="AC326" s="165"/>
      <c r="AD326" s="165"/>
      <c r="AE326" s="186"/>
      <c r="AF326" s="186"/>
      <c r="AG326" s="165"/>
      <c r="AH326" s="185"/>
      <c r="AI326" s="186"/>
      <c r="AJ326" s="185"/>
      <c r="AK326" s="165"/>
      <c r="AL326" s="185"/>
      <c r="AM326" s="185"/>
      <c r="AN326" s="186"/>
      <c r="AO326" s="211" t="s">
        <v>1843</v>
      </c>
      <c r="AP326" s="165"/>
      <c r="AQ326" s="165"/>
      <c r="AR326" s="165" t="s">
        <v>1844</v>
      </c>
      <c r="AS326" s="165"/>
      <c r="AT326" s="165"/>
      <c r="AU326" s="185" t="s">
        <v>1257</v>
      </c>
      <c r="AV326" s="31" t="s">
        <v>1845</v>
      </c>
      <c r="AW326" s="31"/>
      <c r="AX326" s="185"/>
      <c r="AY326" s="185"/>
      <c r="AZ326" s="185"/>
      <c r="BA326" s="185"/>
      <c r="BB326" s="185"/>
      <c r="BC326" s="185"/>
      <c r="BD326" s="185"/>
      <c r="BE326" s="171"/>
      <c r="BF326" s="171"/>
      <c r="BG326" s="171"/>
      <c r="BH326" s="5"/>
      <c r="BI326" s="171"/>
      <c r="BJ326" s="171"/>
      <c r="BK326" s="171"/>
      <c r="BL326" s="165"/>
      <c r="BM326" s="165"/>
      <c r="BN326" s="165"/>
      <c r="BO326" s="171"/>
      <c r="BP326" s="165"/>
      <c r="BQ326" s="207"/>
      <c r="BR326" s="207"/>
      <c r="BS326" s="207"/>
      <c r="CA326" s="165"/>
      <c r="CB326" s="165"/>
      <c r="CC326" s="165"/>
      <c r="CD326" s="165"/>
      <c r="CE326" s="174">
        <v>44082</v>
      </c>
      <c r="CF326" s="174">
        <v>44301.534942129627</v>
      </c>
      <c r="CG326" s="165"/>
    </row>
    <row r="327" spans="1:85" s="215" customFormat="1" ht="57">
      <c r="A327" s="215" t="s">
        <v>1846</v>
      </c>
      <c r="D327" s="222"/>
      <c r="E327" s="5" t="s">
        <v>1562</v>
      </c>
      <c r="F327" s="30" t="s">
        <v>1847</v>
      </c>
      <c r="AE327" s="215">
        <v>48</v>
      </c>
      <c r="AF327" s="215">
        <v>48</v>
      </c>
      <c r="AR327" s="30"/>
      <c r="AS327" s="30"/>
      <c r="AV327" s="30" t="s">
        <v>1848</v>
      </c>
      <c r="AW327" s="30"/>
      <c r="BE327" s="171"/>
      <c r="BF327" s="171"/>
      <c r="BG327" s="171"/>
      <c r="BH327" s="5"/>
      <c r="BI327" s="171"/>
      <c r="BJ327" s="171"/>
      <c r="BK327" s="171"/>
      <c r="BL327" s="165"/>
      <c r="BM327" s="165"/>
      <c r="BN327" s="165"/>
      <c r="BO327" s="171"/>
      <c r="BP327" s="165"/>
      <c r="CA327" s="165"/>
      <c r="CB327" s="165"/>
      <c r="CC327" s="165"/>
      <c r="CD327" s="165"/>
      <c r="CE327" s="179">
        <v>44082</v>
      </c>
      <c r="CF327" s="179">
        <v>44261</v>
      </c>
      <c r="CG327" s="165"/>
    </row>
    <row r="328" spans="1:85" s="215" customFormat="1" ht="56.25" customHeight="1">
      <c r="A328" s="209" t="s">
        <v>1849</v>
      </c>
      <c r="B328" s="165"/>
      <c r="C328" s="169"/>
      <c r="D328" s="223">
        <v>38930</v>
      </c>
      <c r="E328" s="209"/>
      <c r="F328" s="165"/>
      <c r="G328" s="165"/>
      <c r="H328" s="165"/>
      <c r="I328" s="165"/>
      <c r="J328" s="165"/>
      <c r="K328" s="165"/>
      <c r="L328" s="165"/>
      <c r="M328" s="165"/>
      <c r="N328" s="165"/>
      <c r="O328" s="165"/>
      <c r="P328" s="165"/>
      <c r="Q328" s="169" t="s">
        <v>1328</v>
      </c>
      <c r="R328" s="169"/>
      <c r="S328" s="169"/>
      <c r="T328" s="169"/>
      <c r="U328" s="169"/>
      <c r="V328" s="165"/>
      <c r="W328" s="165"/>
      <c r="X328" s="165"/>
      <c r="Y328" s="165"/>
      <c r="Z328" s="165"/>
      <c r="AA328" s="165"/>
      <c r="AB328" s="165"/>
      <c r="AC328" s="165"/>
      <c r="AD328" s="165"/>
      <c r="AE328" s="165"/>
      <c r="AF328" s="165"/>
      <c r="AG328" s="165"/>
      <c r="AH328" s="165"/>
      <c r="AI328" s="165"/>
      <c r="AJ328" s="165"/>
      <c r="AK328" s="165"/>
      <c r="AL328" s="165"/>
      <c r="AM328" s="165"/>
      <c r="AN328" s="169" t="s">
        <v>1262</v>
      </c>
      <c r="AO328" s="165"/>
      <c r="AP328" s="165"/>
      <c r="AQ328" s="165"/>
      <c r="AR328" s="170"/>
      <c r="AS328" s="170"/>
      <c r="AT328" s="165"/>
      <c r="AU328" s="165" t="s">
        <v>1388</v>
      </c>
      <c r="AV328" s="170" t="s">
        <v>1850</v>
      </c>
      <c r="AW328" s="170"/>
      <c r="AX328" s="165"/>
      <c r="AY328" s="165"/>
      <c r="AZ328" s="165"/>
      <c r="BA328" s="165"/>
      <c r="BB328" s="165"/>
      <c r="BC328" s="165"/>
      <c r="BD328" s="165"/>
      <c r="BE328" s="171"/>
      <c r="BF328" s="171"/>
      <c r="BG328" s="171"/>
      <c r="BH328" s="5"/>
      <c r="BI328" s="171"/>
      <c r="BJ328" s="171"/>
      <c r="BK328" s="171"/>
      <c r="BL328" s="165"/>
      <c r="BM328" s="165"/>
      <c r="BN328" s="165"/>
      <c r="BO328" s="171"/>
      <c r="BP328" s="165"/>
      <c r="BQ328" s="165"/>
      <c r="BR328" s="165"/>
      <c r="BS328" s="165"/>
      <c r="CA328" s="165"/>
      <c r="CB328" s="165"/>
      <c r="CC328" s="165"/>
      <c r="CD328" s="165"/>
      <c r="CE328" s="174">
        <v>44082</v>
      </c>
      <c r="CF328" s="174">
        <v>44261</v>
      </c>
      <c r="CG328" s="165"/>
    </row>
    <row r="329" spans="1:85" s="215" customFormat="1" ht="114.75" customHeight="1">
      <c r="A329" s="211" t="s">
        <v>1851</v>
      </c>
      <c r="B329" s="165"/>
      <c r="C329" s="211"/>
      <c r="D329" s="221"/>
      <c r="E329" s="211"/>
      <c r="F329" s="186"/>
      <c r="G329" s="185"/>
      <c r="H329" s="211"/>
      <c r="I329" s="211"/>
      <c r="J329" s="211"/>
      <c r="K329" s="211"/>
      <c r="L329" s="211"/>
      <c r="M329" s="211"/>
      <c r="N329" s="211"/>
      <c r="O329" s="211"/>
      <c r="P329" s="186"/>
      <c r="Q329" s="184" t="s">
        <v>1402</v>
      </c>
      <c r="R329" s="184"/>
      <c r="S329" s="184"/>
      <c r="T329" s="184"/>
      <c r="U329" s="184"/>
      <c r="V329" s="185"/>
      <c r="W329" s="185"/>
      <c r="X329" s="165"/>
      <c r="Y329" s="165"/>
      <c r="Z329" s="165"/>
      <c r="AA329" s="165"/>
      <c r="AB329" s="165"/>
      <c r="AC329" s="165"/>
      <c r="AD329" s="165"/>
      <c r="AE329" s="186"/>
      <c r="AF329" s="186"/>
      <c r="AG329" s="165"/>
      <c r="AH329" s="185"/>
      <c r="AI329" s="186"/>
      <c r="AJ329" s="185"/>
      <c r="AK329" s="165"/>
      <c r="AL329" s="185"/>
      <c r="AM329" s="185"/>
      <c r="AN329" s="186"/>
      <c r="AO329" s="211"/>
      <c r="AP329" s="165"/>
      <c r="AQ329" s="165"/>
      <c r="AR329" s="170"/>
      <c r="AS329" s="170"/>
      <c r="AT329" s="165"/>
      <c r="AU329" s="185" t="s">
        <v>1257</v>
      </c>
      <c r="AV329" s="31" t="s">
        <v>1852</v>
      </c>
      <c r="AW329" s="31"/>
      <c r="AX329" s="185"/>
      <c r="AY329" s="185"/>
      <c r="AZ329" s="185"/>
      <c r="BA329" s="185"/>
      <c r="BB329" s="185"/>
      <c r="BC329" s="185"/>
      <c r="BD329" s="185"/>
      <c r="BE329" s="171"/>
      <c r="BF329" s="171"/>
      <c r="BG329" s="171"/>
      <c r="BH329" s="5"/>
      <c r="BI329" s="171"/>
      <c r="BJ329" s="171"/>
      <c r="BK329" s="171"/>
      <c r="BL329" s="165"/>
      <c r="BM329" s="165"/>
      <c r="BN329" s="165"/>
      <c r="BO329" s="171"/>
      <c r="BP329" s="165"/>
      <c r="BQ329" s="207"/>
      <c r="BR329" s="207"/>
      <c r="BS329" s="207"/>
      <c r="CA329" s="165"/>
      <c r="CB329" s="165"/>
      <c r="CC329" s="165"/>
      <c r="CD329" s="165"/>
      <c r="CE329" s="174">
        <v>44082</v>
      </c>
      <c r="CF329" s="174">
        <v>44261</v>
      </c>
      <c r="CG329" s="165"/>
    </row>
    <row r="330" spans="1:85" s="215" customFormat="1" ht="42.75" customHeight="1">
      <c r="A330" s="211" t="s">
        <v>1853</v>
      </c>
      <c r="B330" s="165"/>
      <c r="C330" s="211"/>
      <c r="D330" s="221"/>
      <c r="E330" s="211"/>
      <c r="F330" s="186"/>
      <c r="G330" s="185"/>
      <c r="H330" s="211"/>
      <c r="I330" s="211"/>
      <c r="J330" s="211"/>
      <c r="K330" s="211"/>
      <c r="L330" s="211"/>
      <c r="M330" s="211"/>
      <c r="N330" s="211"/>
      <c r="O330" s="211"/>
      <c r="P330" s="186"/>
      <c r="Q330" s="184" t="s">
        <v>1548</v>
      </c>
      <c r="R330" s="184"/>
      <c r="S330" s="184"/>
      <c r="T330" s="184"/>
      <c r="U330" s="184"/>
      <c r="V330" s="185"/>
      <c r="W330" s="185"/>
      <c r="X330" s="165"/>
      <c r="Y330" s="165"/>
      <c r="Z330" s="165"/>
      <c r="AA330" s="165"/>
      <c r="AB330" s="165"/>
      <c r="AC330" s="165"/>
      <c r="AD330" s="165"/>
      <c r="AE330" s="186"/>
      <c r="AF330" s="186"/>
      <c r="AG330" s="165"/>
      <c r="AH330" s="185"/>
      <c r="AI330" s="186"/>
      <c r="AJ330" s="185"/>
      <c r="AK330" s="165"/>
      <c r="AL330" s="185"/>
      <c r="AM330" s="185"/>
      <c r="AN330" s="186"/>
      <c r="AO330" s="211"/>
      <c r="AP330" s="165"/>
      <c r="AQ330" s="165"/>
      <c r="AR330" s="170"/>
      <c r="AS330" s="170"/>
      <c r="AT330" s="165"/>
      <c r="AU330" s="185" t="s">
        <v>1257</v>
      </c>
      <c r="AV330" s="31" t="s">
        <v>1854</v>
      </c>
      <c r="AW330" s="31"/>
      <c r="AX330" s="185"/>
      <c r="AY330" s="185"/>
      <c r="AZ330" s="185"/>
      <c r="BA330" s="185"/>
      <c r="BB330" s="185"/>
      <c r="BC330" s="185"/>
      <c r="BD330" s="185"/>
      <c r="BE330" s="171"/>
      <c r="BF330" s="171"/>
      <c r="BG330" s="171"/>
      <c r="BH330" s="5"/>
      <c r="BI330" s="171"/>
      <c r="BJ330" s="171"/>
      <c r="BK330" s="171"/>
      <c r="BL330" s="165"/>
      <c r="BM330" s="165"/>
      <c r="BN330" s="165"/>
      <c r="BO330" s="171"/>
      <c r="BP330" s="165"/>
      <c r="BQ330" s="207"/>
      <c r="BR330" s="207"/>
      <c r="BS330" s="207"/>
      <c r="CA330" s="165"/>
      <c r="CB330" s="165"/>
      <c r="CC330" s="165"/>
      <c r="CD330" s="165"/>
      <c r="CE330" s="179">
        <v>44082</v>
      </c>
      <c r="CF330" s="179">
        <v>44261</v>
      </c>
      <c r="CG330" s="165"/>
    </row>
    <row r="331" spans="1:85" s="215" customFormat="1" ht="101.25" customHeight="1">
      <c r="A331" s="209" t="s">
        <v>1855</v>
      </c>
      <c r="B331" s="165"/>
      <c r="C331" s="169"/>
      <c r="D331" s="223">
        <v>36100</v>
      </c>
      <c r="E331" s="209"/>
      <c r="F331" s="165"/>
      <c r="G331" s="165"/>
      <c r="H331" s="165"/>
      <c r="I331" s="165"/>
      <c r="J331" s="165"/>
      <c r="K331" s="165"/>
      <c r="L331" s="165"/>
      <c r="M331" s="165"/>
      <c r="N331" s="165"/>
      <c r="O331" s="165"/>
      <c r="P331" s="165"/>
      <c r="Q331" s="169" t="s">
        <v>1553</v>
      </c>
      <c r="R331" s="169"/>
      <c r="S331" s="169"/>
      <c r="T331" s="169"/>
      <c r="U331" s="169"/>
      <c r="V331" s="165"/>
      <c r="W331" s="165"/>
      <c r="X331" s="165"/>
      <c r="Y331" s="165"/>
      <c r="Z331" s="165"/>
      <c r="AA331" s="165"/>
      <c r="AB331" s="165"/>
      <c r="AC331" s="165"/>
      <c r="AD331" s="165"/>
      <c r="AE331" s="165"/>
      <c r="AF331" s="165"/>
      <c r="AG331" s="165"/>
      <c r="AH331" s="165"/>
      <c r="AI331" s="165"/>
      <c r="AJ331" s="165"/>
      <c r="AK331" s="165"/>
      <c r="AL331" s="165"/>
      <c r="AM331" s="165"/>
      <c r="AN331" s="169" t="s">
        <v>1262</v>
      </c>
      <c r="AO331" s="165"/>
      <c r="AP331" s="165"/>
      <c r="AQ331" s="165"/>
      <c r="AR331" s="170"/>
      <c r="AS331" s="170"/>
      <c r="AT331" s="165"/>
      <c r="AU331" s="165"/>
      <c r="AV331" s="170"/>
      <c r="AW331" s="170"/>
      <c r="AX331" s="165"/>
      <c r="AY331" s="165"/>
      <c r="AZ331" s="165"/>
      <c r="BA331" s="165"/>
      <c r="BB331" s="165"/>
      <c r="BC331" s="165"/>
      <c r="BD331" s="165"/>
      <c r="BE331" s="171"/>
      <c r="BF331" s="171"/>
      <c r="BG331" s="171"/>
      <c r="BH331" s="5"/>
      <c r="BI331" s="171"/>
      <c r="BJ331" s="171"/>
      <c r="BK331" s="171"/>
      <c r="BL331" s="165"/>
      <c r="BM331" s="165"/>
      <c r="BN331" s="165"/>
      <c r="BO331" s="171"/>
      <c r="BP331" s="165"/>
      <c r="BQ331" s="165"/>
      <c r="BR331" s="165"/>
      <c r="BS331" s="165"/>
      <c r="CA331" s="165"/>
      <c r="CB331" s="165"/>
      <c r="CC331" s="165"/>
      <c r="CD331" s="165"/>
      <c r="CE331" s="179">
        <v>44082</v>
      </c>
      <c r="CF331" s="179">
        <v>44261</v>
      </c>
      <c r="CG331" s="165"/>
    </row>
    <row r="332" spans="1:85">
      <c r="A332" s="170" t="s">
        <v>1856</v>
      </c>
      <c r="F332" s="204"/>
      <c r="P332" s="204"/>
      <c r="AE332" s="204"/>
      <c r="AF332" s="204"/>
      <c r="AI332" s="204"/>
      <c r="AN332" s="204"/>
      <c r="BH332" s="5"/>
      <c r="CE332" s="179">
        <v>44082</v>
      </c>
      <c r="CF332" s="179">
        <v>44261</v>
      </c>
    </row>
    <row r="333" spans="1:85">
      <c r="A333" s="211" t="s">
        <v>1857</v>
      </c>
      <c r="C333" s="211"/>
      <c r="D333" s="221"/>
      <c r="E333" s="211"/>
      <c r="F333" s="186"/>
      <c r="G333" s="185"/>
      <c r="H333" s="211"/>
      <c r="I333" s="211"/>
      <c r="J333" s="211"/>
      <c r="K333" s="211"/>
      <c r="L333" s="211" t="s">
        <v>1440</v>
      </c>
      <c r="M333" s="211"/>
      <c r="N333" s="211"/>
      <c r="O333" s="211"/>
      <c r="P333" s="186"/>
      <c r="Q333" s="211"/>
      <c r="R333" s="211"/>
      <c r="S333" s="211"/>
      <c r="T333" s="211"/>
      <c r="U333" s="211"/>
      <c r="V333" s="185"/>
      <c r="W333" s="185"/>
      <c r="AE333" s="186"/>
      <c r="AF333" s="186"/>
      <c r="AH333" s="185"/>
      <c r="AI333" s="186"/>
      <c r="AJ333" s="185"/>
      <c r="AL333" s="185"/>
      <c r="AM333" s="185"/>
      <c r="AN333" s="186"/>
      <c r="AO333" s="211"/>
      <c r="AU333" s="185" t="s">
        <v>1257</v>
      </c>
      <c r="AV333" s="31" t="s">
        <v>1858</v>
      </c>
      <c r="AW333" s="31"/>
      <c r="AX333" s="185"/>
      <c r="AY333" s="185"/>
      <c r="AZ333" s="185"/>
      <c r="BA333" s="185"/>
      <c r="BB333" s="185"/>
      <c r="BC333" s="185"/>
      <c r="BD333" s="185"/>
      <c r="BH333" s="5"/>
      <c r="BQ333" s="207"/>
      <c r="BR333" s="207"/>
      <c r="BS333" s="207"/>
      <c r="CE333" s="179">
        <v>44082</v>
      </c>
      <c r="CF333" s="179">
        <v>44261</v>
      </c>
    </row>
    <row r="334" spans="1:85">
      <c r="A334" s="211" t="s">
        <v>1859</v>
      </c>
      <c r="C334" s="211"/>
      <c r="D334" s="221"/>
      <c r="E334" s="211"/>
      <c r="F334" s="186"/>
      <c r="G334" s="185"/>
      <c r="H334" s="211"/>
      <c r="I334" s="211"/>
      <c r="J334" s="211"/>
      <c r="K334" s="211"/>
      <c r="L334" s="211"/>
      <c r="M334" s="211"/>
      <c r="N334" s="211"/>
      <c r="O334" s="211"/>
      <c r="P334" s="186"/>
      <c r="Q334" s="184" t="s">
        <v>1529</v>
      </c>
      <c r="R334" s="184"/>
      <c r="S334" s="184"/>
      <c r="T334" s="184"/>
      <c r="U334" s="184"/>
      <c r="V334" s="185"/>
      <c r="W334" s="185"/>
      <c r="AE334" s="186"/>
      <c r="AF334" s="186"/>
      <c r="AH334" s="185"/>
      <c r="AI334" s="186"/>
      <c r="AJ334" s="185"/>
      <c r="AL334" s="185"/>
      <c r="AM334" s="185"/>
      <c r="AN334" s="186"/>
      <c r="AO334" s="211"/>
      <c r="AU334" s="185" t="s">
        <v>1257</v>
      </c>
      <c r="AV334" s="31" t="s">
        <v>1860</v>
      </c>
      <c r="AW334" s="31"/>
      <c r="AX334" s="185"/>
      <c r="AY334" s="185"/>
      <c r="AZ334" s="185"/>
      <c r="BA334" s="185"/>
      <c r="BB334" s="185"/>
      <c r="BC334" s="185"/>
      <c r="BD334" s="185"/>
      <c r="BH334" s="5"/>
      <c r="BQ334" s="207"/>
      <c r="BR334" s="207"/>
      <c r="BS334" s="207"/>
      <c r="CE334" s="179">
        <v>44082</v>
      </c>
      <c r="CF334" s="179">
        <v>44261</v>
      </c>
    </row>
    <row r="335" spans="1:85" ht="28.5">
      <c r="A335" s="209" t="s">
        <v>1861</v>
      </c>
      <c r="C335" s="169"/>
      <c r="D335" s="223">
        <v>35977</v>
      </c>
      <c r="E335" s="209"/>
      <c r="Q335" s="169" t="s">
        <v>1862</v>
      </c>
      <c r="R335" s="169"/>
      <c r="S335" s="169"/>
      <c r="T335" s="169"/>
      <c r="U335" s="169"/>
      <c r="AN335" s="169" t="s">
        <v>1360</v>
      </c>
      <c r="BH335" s="5"/>
      <c r="CE335" s="174">
        <v>44082</v>
      </c>
      <c r="CF335" s="174">
        <v>44261</v>
      </c>
    </row>
    <row r="336" spans="1:85" ht="28.5">
      <c r="A336" s="211" t="s">
        <v>1863</v>
      </c>
      <c r="C336" s="211"/>
      <c r="D336" s="221"/>
      <c r="E336" s="211"/>
      <c r="F336" s="186"/>
      <c r="G336" s="185"/>
      <c r="H336" s="211"/>
      <c r="I336" s="211"/>
      <c r="J336" s="211"/>
      <c r="K336" s="211"/>
      <c r="L336" s="211"/>
      <c r="M336" s="211"/>
      <c r="N336" s="211"/>
      <c r="O336" s="211"/>
      <c r="P336" s="186"/>
      <c r="Q336" s="184" t="s">
        <v>1443</v>
      </c>
      <c r="R336" s="184"/>
      <c r="S336" s="184"/>
      <c r="T336" s="184"/>
      <c r="U336" s="184"/>
      <c r="V336" s="185"/>
      <c r="W336" s="185"/>
      <c r="AE336" s="186"/>
      <c r="AF336" s="186"/>
      <c r="AH336" s="185"/>
      <c r="AI336" s="186"/>
      <c r="AJ336" s="185"/>
      <c r="AL336" s="185"/>
      <c r="AM336" s="185"/>
      <c r="AN336" s="186"/>
      <c r="AO336" s="211"/>
      <c r="AU336" s="185" t="s">
        <v>1257</v>
      </c>
      <c r="AV336" s="31" t="s">
        <v>1864</v>
      </c>
      <c r="AW336" s="31"/>
      <c r="AX336" s="185"/>
      <c r="AY336" s="185"/>
      <c r="AZ336" s="185"/>
      <c r="BA336" s="185"/>
      <c r="BB336" s="185"/>
      <c r="BC336" s="185"/>
      <c r="BD336" s="185"/>
      <c r="BH336" s="5"/>
      <c r="BQ336" s="207"/>
      <c r="BR336" s="207"/>
      <c r="BS336" s="207"/>
      <c r="CE336" s="174">
        <v>44082</v>
      </c>
      <c r="CF336" s="174">
        <v>44269</v>
      </c>
    </row>
    <row r="337" spans="1:84" ht="28.5">
      <c r="A337" s="209" t="s">
        <v>1865</v>
      </c>
      <c r="C337" s="169"/>
      <c r="D337" s="223">
        <v>39142</v>
      </c>
      <c r="E337" s="209"/>
      <c r="Q337" s="169" t="s">
        <v>1506</v>
      </c>
      <c r="R337" s="169"/>
      <c r="S337" s="169"/>
      <c r="T337" s="169"/>
      <c r="U337" s="169"/>
      <c r="AN337" s="169" t="s">
        <v>1866</v>
      </c>
      <c r="BH337" s="5"/>
      <c r="CE337" s="174">
        <v>44082</v>
      </c>
      <c r="CF337" s="174">
        <v>44269</v>
      </c>
    </row>
    <row r="338" spans="1:84" ht="28.5">
      <c r="A338" s="211" t="s">
        <v>1867</v>
      </c>
      <c r="C338" s="211"/>
      <c r="D338" s="221"/>
      <c r="E338" s="211"/>
      <c r="F338" s="186"/>
      <c r="G338" s="185"/>
      <c r="H338" s="211"/>
      <c r="I338" s="211"/>
      <c r="J338" s="211"/>
      <c r="K338" s="211"/>
      <c r="L338" s="211"/>
      <c r="M338" s="211"/>
      <c r="N338" s="211"/>
      <c r="O338" s="211"/>
      <c r="P338" s="186"/>
      <c r="Q338" s="184" t="s">
        <v>1639</v>
      </c>
      <c r="R338" s="184"/>
      <c r="S338" s="184"/>
      <c r="T338" s="184"/>
      <c r="U338" s="184"/>
      <c r="V338" s="185"/>
      <c r="W338" s="185"/>
      <c r="AE338" s="186"/>
      <c r="AF338" s="186"/>
      <c r="AH338" s="185"/>
      <c r="AI338" s="186"/>
      <c r="AJ338" s="185"/>
      <c r="AL338" s="185"/>
      <c r="AM338" s="185"/>
      <c r="AN338" s="186"/>
      <c r="AO338" s="211"/>
      <c r="AU338" s="185" t="s">
        <v>1257</v>
      </c>
      <c r="AV338" s="31" t="s">
        <v>1868</v>
      </c>
      <c r="AW338" s="31"/>
      <c r="AX338" s="185"/>
      <c r="AY338" s="185"/>
      <c r="AZ338" s="185"/>
      <c r="BA338" s="185"/>
      <c r="BB338" s="185"/>
      <c r="BC338" s="185"/>
      <c r="BD338" s="185"/>
      <c r="BH338" s="5"/>
      <c r="BQ338" s="207"/>
      <c r="BR338" s="207"/>
      <c r="BS338" s="207"/>
    </row>
    <row r="339" spans="1:84">
      <c r="A339" s="209" t="s">
        <v>1869</v>
      </c>
      <c r="C339" s="169"/>
      <c r="D339" s="223">
        <v>36130</v>
      </c>
      <c r="E339" s="209"/>
      <c r="Q339" s="169" t="s">
        <v>1578</v>
      </c>
      <c r="R339" s="169"/>
      <c r="S339" s="169"/>
      <c r="T339" s="169"/>
      <c r="U339" s="169"/>
      <c r="AN339" s="169" t="s">
        <v>1262</v>
      </c>
      <c r="AU339" s="165" t="s">
        <v>1388</v>
      </c>
      <c r="AV339" s="170" t="s">
        <v>1870</v>
      </c>
      <c r="BH339" s="5"/>
      <c r="CE339" s="174">
        <v>44269</v>
      </c>
    </row>
    <row r="340" spans="1:84">
      <c r="A340" s="209" t="s">
        <v>1871</v>
      </c>
      <c r="C340" s="169"/>
      <c r="D340" s="223"/>
      <c r="E340" s="209"/>
      <c r="Q340" s="169" t="s">
        <v>1399</v>
      </c>
      <c r="R340" s="169"/>
      <c r="S340" s="169"/>
      <c r="T340" s="169"/>
      <c r="U340" s="169"/>
      <c r="AN340" s="169" t="s">
        <v>1368</v>
      </c>
      <c r="AU340" s="165" t="s">
        <v>1388</v>
      </c>
      <c r="AV340" s="170" t="s">
        <v>1872</v>
      </c>
      <c r="BH340" s="5"/>
    </row>
    <row r="341" spans="1:84" ht="28.5">
      <c r="A341" s="211" t="s">
        <v>1873</v>
      </c>
      <c r="C341" s="211"/>
      <c r="D341" s="221"/>
      <c r="E341" s="211"/>
      <c r="F341" s="186"/>
      <c r="G341" s="185"/>
      <c r="H341" s="211"/>
      <c r="I341" s="211"/>
      <c r="J341" s="211"/>
      <c r="K341" s="211"/>
      <c r="L341" s="211"/>
      <c r="M341" s="211"/>
      <c r="N341" s="211"/>
      <c r="O341" s="211"/>
      <c r="P341" s="186"/>
      <c r="Q341" s="184" t="s">
        <v>1516</v>
      </c>
      <c r="R341" s="184"/>
      <c r="S341" s="184"/>
      <c r="T341" s="184"/>
      <c r="U341" s="184"/>
      <c r="V341" s="185"/>
      <c r="W341" s="185"/>
      <c r="AE341" s="186"/>
      <c r="AF341" s="186"/>
      <c r="AH341" s="185"/>
      <c r="AI341" s="186"/>
      <c r="AJ341" s="185"/>
      <c r="AL341" s="185"/>
      <c r="AM341" s="185"/>
      <c r="AN341" s="186"/>
      <c r="AO341" s="211"/>
      <c r="AU341" s="185" t="s">
        <v>1257</v>
      </c>
      <c r="AV341" s="31" t="s">
        <v>1874</v>
      </c>
      <c r="AW341" s="31"/>
      <c r="AX341" s="185"/>
      <c r="AY341" s="185"/>
      <c r="AZ341" s="185"/>
      <c r="BA341" s="185"/>
      <c r="BB341" s="185"/>
      <c r="BC341" s="185"/>
      <c r="BD341" s="185"/>
      <c r="BH341" s="5"/>
      <c r="BQ341" s="207"/>
      <c r="BR341" s="207"/>
      <c r="BS341" s="207"/>
      <c r="CE341" s="174">
        <v>44269</v>
      </c>
      <c r="CF341" s="174">
        <v>44271</v>
      </c>
    </row>
    <row r="342" spans="1:84" ht="16.5">
      <c r="A342" s="209" t="s">
        <v>1875</v>
      </c>
      <c r="C342" s="169"/>
      <c r="D342" s="223">
        <v>38777</v>
      </c>
      <c r="E342" s="209"/>
      <c r="Q342" s="169" t="s">
        <v>1328</v>
      </c>
      <c r="R342" s="169"/>
      <c r="S342" s="169"/>
      <c r="T342" s="169"/>
      <c r="U342" s="169"/>
      <c r="AN342" s="169" t="s">
        <v>1368</v>
      </c>
      <c r="BE342" s="194"/>
      <c r="BF342" s="194"/>
      <c r="BG342" s="194"/>
      <c r="BH342" s="5"/>
      <c r="BI342" s="194"/>
      <c r="BJ342" s="194"/>
      <c r="BK342" s="194"/>
      <c r="BL342" s="195"/>
      <c r="BM342" s="195"/>
      <c r="BN342" s="195"/>
      <c r="BO342" s="194">
        <v>1</v>
      </c>
      <c r="BP342" s="195"/>
      <c r="CA342" s="195"/>
      <c r="CB342" s="195"/>
      <c r="CC342" s="195"/>
      <c r="CD342" s="195"/>
    </row>
    <row r="343" spans="1:84" ht="28.5">
      <c r="A343" s="211" t="s">
        <v>1876</v>
      </c>
      <c r="C343" s="211"/>
      <c r="D343" s="221"/>
      <c r="E343" s="211"/>
      <c r="F343" s="186"/>
      <c r="G343" s="185"/>
      <c r="H343" s="211"/>
      <c r="I343" s="211"/>
      <c r="J343" s="211"/>
      <c r="K343" s="211"/>
      <c r="L343" s="211"/>
      <c r="M343" s="211"/>
      <c r="N343" s="211"/>
      <c r="O343" s="211"/>
      <c r="P343" s="186"/>
      <c r="Q343" s="184" t="s">
        <v>1877</v>
      </c>
      <c r="R343" s="184"/>
      <c r="S343" s="184"/>
      <c r="T343" s="184"/>
      <c r="U343" s="184"/>
      <c r="V343" s="185"/>
      <c r="W343" s="185"/>
      <c r="AE343" s="186"/>
      <c r="AF343" s="186"/>
      <c r="AH343" s="185"/>
      <c r="AI343" s="186"/>
      <c r="AJ343" s="185"/>
      <c r="AL343" s="185"/>
      <c r="AM343" s="185"/>
      <c r="AN343" s="186"/>
      <c r="AO343" s="211"/>
      <c r="AU343" s="185" t="s">
        <v>1257</v>
      </c>
      <c r="AV343" s="31" t="s">
        <v>1878</v>
      </c>
      <c r="AW343" s="31"/>
      <c r="AX343" s="185"/>
      <c r="AY343" s="185"/>
      <c r="AZ343" s="185"/>
      <c r="BA343" s="185"/>
      <c r="BB343" s="185"/>
      <c r="BC343" s="185"/>
      <c r="BD343" s="185"/>
      <c r="BH343" s="5"/>
      <c r="BQ343" s="207"/>
      <c r="BR343" s="207"/>
      <c r="BS343" s="207"/>
    </row>
    <row r="344" spans="1:84" ht="16.5">
      <c r="A344" s="188" t="s">
        <v>1879</v>
      </c>
      <c r="B344" s="188"/>
      <c r="C344" s="188"/>
      <c r="D344" s="227"/>
      <c r="E344" s="188"/>
      <c r="F344" s="188"/>
      <c r="G344" s="188"/>
      <c r="H344" s="188"/>
      <c r="I344" s="188"/>
      <c r="J344" s="188"/>
      <c r="K344" s="188"/>
      <c r="L344" s="188"/>
      <c r="M344" s="188"/>
      <c r="N344" s="188"/>
      <c r="O344" s="188"/>
      <c r="P344" s="188"/>
      <c r="Q344" s="188"/>
      <c r="R344" s="188"/>
      <c r="S344" s="188"/>
      <c r="T344" s="188"/>
      <c r="U344" s="188"/>
      <c r="V344" s="193"/>
      <c r="W344" s="193"/>
      <c r="X344" s="188"/>
      <c r="Y344" s="188"/>
      <c r="Z344" s="188"/>
      <c r="AA344" s="188"/>
      <c r="AB344" s="188"/>
      <c r="AC344" s="188"/>
      <c r="AD344" s="188"/>
      <c r="AE344" s="188"/>
      <c r="AF344" s="188"/>
      <c r="AG344" s="188"/>
      <c r="AH344" s="188"/>
      <c r="AI344" s="188"/>
      <c r="AJ344" s="188"/>
      <c r="AK344" s="188"/>
      <c r="AL344" s="188"/>
      <c r="AM344" s="188"/>
      <c r="AN344" s="188"/>
      <c r="AO344" s="188"/>
      <c r="AP344" s="188"/>
      <c r="AQ344" s="188"/>
      <c r="AR344" s="188"/>
      <c r="AS344" s="188"/>
      <c r="AT344" s="188"/>
      <c r="AU344" s="188"/>
      <c r="AV344" s="172"/>
      <c r="AW344" s="172"/>
      <c r="AX344" s="188"/>
      <c r="AY344" s="188"/>
      <c r="AZ344" s="188"/>
      <c r="BA344" s="188"/>
      <c r="BB344" s="188"/>
      <c r="BC344" s="188"/>
      <c r="BD344" s="188"/>
      <c r="BH344" s="5"/>
      <c r="BQ344" s="228"/>
      <c r="BR344" s="228"/>
      <c r="BS344" s="228"/>
      <c r="CE344" s="174">
        <v>44269</v>
      </c>
      <c r="CF344" s="174">
        <v>44301.553379629629</v>
      </c>
    </row>
    <row r="345" spans="1:84">
      <c r="A345" s="170" t="s">
        <v>1880</v>
      </c>
      <c r="BH345" s="5"/>
      <c r="CE345" s="174">
        <v>44269</v>
      </c>
      <c r="CF345" s="174">
        <v>44301.553356481483</v>
      </c>
    </row>
    <row r="346" spans="1:84">
      <c r="A346" s="170" t="s">
        <v>1881</v>
      </c>
      <c r="B346" s="169"/>
      <c r="AF346" s="204"/>
      <c r="AV346" s="209" t="s">
        <v>1882</v>
      </c>
      <c r="AW346" s="209"/>
      <c r="BH346" s="5"/>
      <c r="CE346" s="174">
        <v>44269</v>
      </c>
    </row>
    <row r="347" spans="1:84">
      <c r="A347" s="209" t="s">
        <v>1883</v>
      </c>
      <c r="C347" s="169"/>
      <c r="D347" s="223">
        <v>37196</v>
      </c>
      <c r="E347" s="209"/>
      <c r="Q347" s="169" t="s">
        <v>1328</v>
      </c>
      <c r="R347" s="169"/>
      <c r="S347" s="169"/>
      <c r="T347" s="169"/>
      <c r="U347" s="169"/>
      <c r="AN347" s="169" t="s">
        <v>1368</v>
      </c>
      <c r="AU347" s="165" t="s">
        <v>1388</v>
      </c>
      <c r="AV347" s="170" t="s">
        <v>1884</v>
      </c>
      <c r="BH347" s="5"/>
    </row>
    <row r="348" spans="1:84">
      <c r="A348" s="209" t="s">
        <v>1885</v>
      </c>
      <c r="C348" s="169"/>
      <c r="D348" s="223">
        <v>38838</v>
      </c>
      <c r="E348" s="209"/>
      <c r="L348" s="165" t="s">
        <v>1440</v>
      </c>
      <c r="Q348" s="169" t="s">
        <v>1886</v>
      </c>
      <c r="R348" s="169"/>
      <c r="S348" s="169"/>
      <c r="T348" s="169"/>
      <c r="U348" s="169"/>
      <c r="AN348" s="169" t="s">
        <v>1383</v>
      </c>
      <c r="AU348" s="165" t="s">
        <v>1388</v>
      </c>
      <c r="AV348" s="170" t="s">
        <v>1887</v>
      </c>
      <c r="BH348" s="5"/>
      <c r="CE348" s="174">
        <v>44271</v>
      </c>
      <c r="CF348" s="174">
        <v>44271</v>
      </c>
    </row>
    <row r="349" spans="1:84" ht="28.5">
      <c r="A349" s="170" t="s">
        <v>1888</v>
      </c>
      <c r="AR349" s="170" t="s">
        <v>1889</v>
      </c>
      <c r="BF349" s="171">
        <v>1</v>
      </c>
      <c r="BH349" s="5"/>
    </row>
    <row r="350" spans="1:84" ht="16.5">
      <c r="A350" s="209" t="s">
        <v>1890</v>
      </c>
      <c r="C350" s="169"/>
      <c r="D350" s="223">
        <v>36465</v>
      </c>
      <c r="E350" s="209"/>
      <c r="Q350" s="169" t="s">
        <v>1328</v>
      </c>
      <c r="R350" s="169"/>
      <c r="S350" s="169"/>
      <c r="T350" s="169"/>
      <c r="U350" s="169"/>
      <c r="AN350" s="169" t="s">
        <v>1368</v>
      </c>
      <c r="AU350" s="165" t="s">
        <v>1388</v>
      </c>
      <c r="AV350" s="170" t="s">
        <v>1891</v>
      </c>
      <c r="BG350" s="194" t="s">
        <v>1892</v>
      </c>
      <c r="BH350" s="5"/>
      <c r="BI350" s="171" t="s">
        <v>1893</v>
      </c>
    </row>
    <row r="351" spans="1:84">
      <c r="A351" s="211" t="s">
        <v>1894</v>
      </c>
      <c r="C351" s="211"/>
      <c r="D351" s="221"/>
      <c r="E351" s="211"/>
      <c r="F351" s="186"/>
      <c r="G351" s="185"/>
      <c r="H351" s="211"/>
      <c r="I351" s="211"/>
      <c r="J351" s="211"/>
      <c r="K351" s="211"/>
      <c r="L351" s="211"/>
      <c r="M351" s="211"/>
      <c r="N351" s="211"/>
      <c r="O351" s="211"/>
      <c r="P351" s="186"/>
      <c r="Q351" s="184" t="s">
        <v>1402</v>
      </c>
      <c r="R351" s="184"/>
      <c r="S351" s="184"/>
      <c r="T351" s="184"/>
      <c r="U351" s="184"/>
      <c r="V351" s="185"/>
      <c r="W351" s="185"/>
      <c r="AE351" s="186"/>
      <c r="AF351" s="186"/>
      <c r="AH351" s="185"/>
      <c r="AI351" s="186"/>
      <c r="AJ351" s="185"/>
      <c r="AL351" s="185"/>
      <c r="AM351" s="185"/>
      <c r="AN351" s="186"/>
      <c r="AO351" s="211"/>
      <c r="AU351" s="185" t="s">
        <v>1257</v>
      </c>
      <c r="AV351" s="31" t="s">
        <v>1895</v>
      </c>
      <c r="AW351" s="31"/>
      <c r="AX351" s="185"/>
      <c r="AY351" s="185"/>
      <c r="AZ351" s="185"/>
      <c r="BA351" s="185"/>
      <c r="BB351" s="185"/>
      <c r="BC351" s="185"/>
      <c r="BD351" s="185"/>
      <c r="BH351" s="5"/>
      <c r="BQ351" s="207"/>
      <c r="BR351" s="207"/>
      <c r="BS351" s="207"/>
      <c r="CE351" s="174">
        <v>44271</v>
      </c>
      <c r="CF351" s="174">
        <v>44271</v>
      </c>
    </row>
    <row r="352" spans="1:84">
      <c r="A352" s="209" t="s">
        <v>1896</v>
      </c>
      <c r="C352" s="169"/>
      <c r="D352" s="223">
        <v>39173</v>
      </c>
      <c r="E352" s="209"/>
      <c r="Q352" s="169" t="s">
        <v>1328</v>
      </c>
      <c r="R352" s="169"/>
      <c r="S352" s="169"/>
      <c r="T352" s="169"/>
      <c r="U352" s="169"/>
      <c r="AN352" s="169" t="s">
        <v>1591</v>
      </c>
      <c r="AU352" s="165" t="s">
        <v>1388</v>
      </c>
      <c r="AV352" s="170" t="s">
        <v>1897</v>
      </c>
      <c r="BH352" s="5"/>
      <c r="BI352" s="171" t="s">
        <v>1898</v>
      </c>
      <c r="CE352" s="174">
        <v>44271</v>
      </c>
      <c r="CF352" s="174">
        <v>44271</v>
      </c>
    </row>
    <row r="353" spans="1:84" ht="28.5">
      <c r="A353" s="211" t="s">
        <v>1899</v>
      </c>
      <c r="C353" s="211"/>
      <c r="D353" s="221"/>
      <c r="E353" s="211"/>
      <c r="F353" s="186"/>
      <c r="G353" s="185"/>
      <c r="H353" s="211"/>
      <c r="I353" s="211"/>
      <c r="J353" s="211"/>
      <c r="K353" s="211"/>
      <c r="L353" s="211"/>
      <c r="M353" s="211"/>
      <c r="N353" s="211"/>
      <c r="O353" s="211"/>
      <c r="P353" s="186"/>
      <c r="Q353" s="184" t="s">
        <v>1900</v>
      </c>
      <c r="R353" s="184"/>
      <c r="S353" s="184"/>
      <c r="T353" s="184"/>
      <c r="U353" s="184"/>
      <c r="V353" s="185"/>
      <c r="W353" s="185"/>
      <c r="AE353" s="186"/>
      <c r="AF353" s="186"/>
      <c r="AH353" s="185"/>
      <c r="AI353" s="186"/>
      <c r="AJ353" s="185"/>
      <c r="AL353" s="185"/>
      <c r="AM353" s="185"/>
      <c r="AN353" s="186"/>
      <c r="AO353" s="211"/>
      <c r="AU353" s="185" t="s">
        <v>1257</v>
      </c>
      <c r="AV353" s="31" t="s">
        <v>1901</v>
      </c>
      <c r="AW353" s="31"/>
      <c r="AX353" s="185"/>
      <c r="AY353" s="185"/>
      <c r="AZ353" s="185"/>
      <c r="BA353" s="185"/>
      <c r="BB353" s="185"/>
      <c r="BC353" s="185"/>
      <c r="BD353" s="185"/>
      <c r="BH353" s="5"/>
      <c r="BI353" s="229" t="s">
        <v>1902</v>
      </c>
      <c r="BQ353" s="207"/>
      <c r="BR353" s="207"/>
      <c r="BS353" s="207"/>
    </row>
    <row r="354" spans="1:84">
      <c r="A354" s="211" t="s">
        <v>1903</v>
      </c>
      <c r="C354" s="211"/>
      <c r="D354" s="221"/>
      <c r="E354" s="211"/>
      <c r="F354" s="186"/>
      <c r="G354" s="185"/>
      <c r="H354" s="211"/>
      <c r="I354" s="211"/>
      <c r="J354" s="211"/>
      <c r="K354" s="211"/>
      <c r="L354" s="211"/>
      <c r="M354" s="211"/>
      <c r="N354" s="211"/>
      <c r="O354" s="211"/>
      <c r="P354" s="186"/>
      <c r="Q354" s="211"/>
      <c r="R354" s="211"/>
      <c r="S354" s="211"/>
      <c r="T354" s="211"/>
      <c r="U354" s="211"/>
      <c r="V354" s="185"/>
      <c r="W354" s="185"/>
      <c r="AE354" s="186"/>
      <c r="AF354" s="186"/>
      <c r="AH354" s="185"/>
      <c r="AI354" s="186"/>
      <c r="AJ354" s="185"/>
      <c r="AL354" s="185"/>
      <c r="AM354" s="185"/>
      <c r="AN354" s="186"/>
      <c r="AO354" s="211"/>
      <c r="AU354" s="185" t="s">
        <v>1257</v>
      </c>
      <c r="AV354" s="31" t="s">
        <v>1904</v>
      </c>
      <c r="AW354" s="31"/>
      <c r="AX354" s="185"/>
      <c r="AY354" s="185"/>
      <c r="AZ354" s="185"/>
      <c r="BA354" s="185"/>
      <c r="BB354" s="185"/>
      <c r="BC354" s="185"/>
      <c r="BD354" s="185"/>
      <c r="BH354" s="5"/>
      <c r="BQ354" s="207"/>
      <c r="BR354" s="207"/>
      <c r="BS354" s="207"/>
      <c r="CE354" s="174">
        <v>44271</v>
      </c>
      <c r="CF354" s="174">
        <v>44271</v>
      </c>
    </row>
    <row r="355" spans="1:84">
      <c r="A355" s="209" t="s">
        <v>1905</v>
      </c>
      <c r="C355" s="169"/>
      <c r="D355" s="223">
        <v>38261</v>
      </c>
      <c r="E355" s="209"/>
      <c r="Q355" s="169" t="s">
        <v>1553</v>
      </c>
      <c r="R355" s="169"/>
      <c r="S355" s="169"/>
      <c r="T355" s="169"/>
      <c r="U355" s="169"/>
      <c r="AN355" s="169" t="s">
        <v>1450</v>
      </c>
      <c r="BH355" s="5"/>
      <c r="CE355" s="174">
        <v>44271</v>
      </c>
      <c r="CF355" s="174">
        <v>44271</v>
      </c>
    </row>
    <row r="356" spans="1:84">
      <c r="A356" s="211" t="s">
        <v>1906</v>
      </c>
      <c r="C356" s="211"/>
      <c r="D356" s="221"/>
      <c r="E356" s="211"/>
      <c r="F356" s="186"/>
      <c r="G356" s="185"/>
      <c r="H356" s="211"/>
      <c r="I356" s="211"/>
      <c r="J356" s="211"/>
      <c r="K356" s="211"/>
      <c r="L356" s="211"/>
      <c r="M356" s="211"/>
      <c r="N356" s="211"/>
      <c r="O356" s="211"/>
      <c r="P356" s="186"/>
      <c r="Q356" s="184" t="s">
        <v>1522</v>
      </c>
      <c r="R356" s="184"/>
      <c r="S356" s="184"/>
      <c r="T356" s="184"/>
      <c r="U356" s="184"/>
      <c r="V356" s="185"/>
      <c r="W356" s="185"/>
      <c r="AE356" s="186"/>
      <c r="AF356" s="186"/>
      <c r="AH356" s="185"/>
      <c r="AI356" s="186"/>
      <c r="AJ356" s="185"/>
      <c r="AL356" s="185"/>
      <c r="AM356" s="185"/>
      <c r="AN356" s="186"/>
      <c r="AO356" s="211"/>
      <c r="AU356" s="185" t="s">
        <v>1257</v>
      </c>
      <c r="AV356" s="31" t="s">
        <v>1907</v>
      </c>
      <c r="AW356" s="31"/>
      <c r="AX356" s="185"/>
      <c r="AY356" s="185"/>
      <c r="AZ356" s="185"/>
      <c r="BA356" s="185"/>
      <c r="BB356" s="185"/>
      <c r="BC356" s="185"/>
      <c r="BD356" s="185"/>
      <c r="BH356" s="5"/>
      <c r="BQ356" s="207"/>
      <c r="BR356" s="207"/>
      <c r="BS356" s="207"/>
      <c r="CE356" s="174">
        <v>44278</v>
      </c>
      <c r="CF356" s="174">
        <v>44278</v>
      </c>
    </row>
    <row r="357" spans="1:84" ht="28.5">
      <c r="A357" s="209" t="s">
        <v>1908</v>
      </c>
      <c r="C357" s="169"/>
      <c r="D357" s="223">
        <v>38657</v>
      </c>
      <c r="E357" s="209"/>
      <c r="Q357" s="169" t="s">
        <v>1909</v>
      </c>
      <c r="R357" s="169"/>
      <c r="S357" s="169"/>
      <c r="T357" s="169"/>
      <c r="U357" s="169"/>
      <c r="AN357" s="169" t="s">
        <v>1910</v>
      </c>
      <c r="AU357" s="165" t="s">
        <v>1388</v>
      </c>
      <c r="AV357" s="170" t="s">
        <v>1911</v>
      </c>
      <c r="BE357" s="171">
        <v>1</v>
      </c>
      <c r="BH357" s="5"/>
      <c r="CE357" s="174">
        <v>44278.700729166667</v>
      </c>
      <c r="CF357" s="174">
        <v>44278.709456018521</v>
      </c>
    </row>
    <row r="358" spans="1:84">
      <c r="A358" s="211" t="s">
        <v>1912</v>
      </c>
      <c r="C358" s="211"/>
      <c r="D358" s="221"/>
      <c r="E358" s="211"/>
      <c r="F358" s="186"/>
      <c r="G358" s="185"/>
      <c r="H358" s="211"/>
      <c r="I358" s="211"/>
      <c r="J358" s="211"/>
      <c r="K358" s="211"/>
      <c r="L358" s="211"/>
      <c r="M358" s="211"/>
      <c r="N358" s="211"/>
      <c r="O358" s="211"/>
      <c r="P358" s="186"/>
      <c r="Q358" s="184" t="s">
        <v>1402</v>
      </c>
      <c r="R358" s="184"/>
      <c r="S358" s="184"/>
      <c r="T358" s="184"/>
      <c r="U358" s="184"/>
      <c r="V358" s="185"/>
      <c r="W358" s="185"/>
      <c r="AE358" s="186"/>
      <c r="AF358" s="186"/>
      <c r="AH358" s="185"/>
      <c r="AI358" s="186"/>
      <c r="AJ358" s="185"/>
      <c r="AL358" s="185"/>
      <c r="AM358" s="185"/>
      <c r="AN358" s="186"/>
      <c r="AO358" s="211"/>
      <c r="AU358" s="185" t="s">
        <v>1257</v>
      </c>
      <c r="AV358" s="31" t="s">
        <v>1913</v>
      </c>
      <c r="AW358" s="31"/>
      <c r="AX358" s="185"/>
      <c r="AY358" s="185"/>
      <c r="AZ358" s="185"/>
      <c r="BA358" s="185"/>
      <c r="BB358" s="185"/>
      <c r="BC358" s="185"/>
      <c r="BD358" s="185"/>
      <c r="BH358" s="5"/>
      <c r="BQ358" s="207"/>
      <c r="BR358" s="207"/>
      <c r="BS358" s="207"/>
      <c r="CE358" s="174">
        <v>44278.712916666664</v>
      </c>
      <c r="CF358" s="174">
        <v>44278.71298611111</v>
      </c>
    </row>
    <row r="359" spans="1:84" ht="28.5">
      <c r="A359" s="209" t="s">
        <v>1914</v>
      </c>
      <c r="C359" s="169"/>
      <c r="D359" s="223">
        <v>36404</v>
      </c>
      <c r="E359" s="209"/>
      <c r="Q359" s="169" t="s">
        <v>1915</v>
      </c>
      <c r="R359" s="169"/>
      <c r="S359" s="169"/>
      <c r="T359" s="169"/>
      <c r="U359" s="169"/>
      <c r="AN359" s="169" t="s">
        <v>1383</v>
      </c>
      <c r="AU359" s="165" t="s">
        <v>1388</v>
      </c>
      <c r="AV359" s="170" t="s">
        <v>1916</v>
      </c>
      <c r="BH359" s="5"/>
    </row>
    <row r="360" spans="1:84" s="188" customFormat="1">
      <c r="A360" s="211" t="s">
        <v>1917</v>
      </c>
      <c r="B360" s="165"/>
      <c r="C360" s="211"/>
      <c r="D360" s="221"/>
      <c r="E360" s="211"/>
      <c r="F360" s="186"/>
      <c r="G360" s="185"/>
      <c r="H360" s="211"/>
      <c r="I360" s="211"/>
      <c r="J360" s="211"/>
      <c r="K360" s="211"/>
      <c r="L360" s="211"/>
      <c r="M360" s="211"/>
      <c r="N360" s="211"/>
      <c r="O360" s="211"/>
      <c r="P360" s="186"/>
      <c r="Q360" s="184" t="s">
        <v>1827</v>
      </c>
      <c r="R360" s="184"/>
      <c r="S360" s="184"/>
      <c r="T360" s="184"/>
      <c r="U360" s="184"/>
      <c r="V360" s="185"/>
      <c r="W360" s="185"/>
      <c r="X360" s="165"/>
      <c r="Y360" s="165"/>
      <c r="Z360" s="165"/>
      <c r="AA360" s="165"/>
      <c r="AB360" s="165"/>
      <c r="AC360" s="165"/>
      <c r="AD360" s="165"/>
      <c r="AE360" s="186"/>
      <c r="AF360" s="186"/>
      <c r="AG360" s="165"/>
      <c r="AH360" s="185"/>
      <c r="AI360" s="186"/>
      <c r="AJ360" s="185"/>
      <c r="AK360" s="165"/>
      <c r="AL360" s="185"/>
      <c r="AM360" s="185"/>
      <c r="AN360" s="186"/>
      <c r="AO360" s="211"/>
      <c r="AP360" s="165"/>
      <c r="AQ360" s="165"/>
      <c r="AR360" s="170"/>
      <c r="AS360" s="170"/>
      <c r="AT360" s="165"/>
      <c r="AU360" s="185" t="s">
        <v>1257</v>
      </c>
      <c r="AV360" s="31" t="s">
        <v>1918</v>
      </c>
      <c r="AW360" s="31"/>
      <c r="AX360" s="185"/>
      <c r="AY360" s="185"/>
      <c r="AZ360" s="185"/>
      <c r="BA360" s="185"/>
      <c r="BB360" s="185"/>
      <c r="BC360" s="185"/>
      <c r="BD360" s="185"/>
      <c r="BE360" s="171">
        <v>1</v>
      </c>
      <c r="BF360" s="171"/>
      <c r="BG360" s="171"/>
      <c r="BH360" s="5"/>
      <c r="BI360" s="171"/>
      <c r="BJ360" s="171"/>
      <c r="BK360" s="171"/>
      <c r="BL360" s="165"/>
      <c r="BM360" s="165"/>
      <c r="BN360" s="165"/>
      <c r="BO360" s="171">
        <v>1</v>
      </c>
      <c r="BP360" s="165"/>
      <c r="BQ360" s="207"/>
      <c r="BR360" s="207"/>
      <c r="BS360" s="207"/>
      <c r="CA360" s="165"/>
      <c r="CB360" s="165"/>
      <c r="CC360" s="165"/>
      <c r="CD360" s="165"/>
    </row>
    <row r="361" spans="1:84" s="188" customFormat="1">
      <c r="A361" s="209" t="s">
        <v>1919</v>
      </c>
      <c r="B361" s="165"/>
      <c r="C361" s="169"/>
      <c r="D361" s="223">
        <v>39114</v>
      </c>
      <c r="E361" s="209"/>
      <c r="F361" s="165"/>
      <c r="G361" s="165"/>
      <c r="H361" s="165"/>
      <c r="I361" s="165"/>
      <c r="J361" s="165"/>
      <c r="K361" s="165"/>
      <c r="L361" s="165"/>
      <c r="M361" s="165"/>
      <c r="N361" s="165"/>
      <c r="O361" s="165"/>
      <c r="P361" s="165"/>
      <c r="Q361" s="169" t="s">
        <v>1522</v>
      </c>
      <c r="R361" s="169"/>
      <c r="S361" s="169"/>
      <c r="T361" s="169"/>
      <c r="U361" s="169"/>
      <c r="V361" s="165"/>
      <c r="W361" s="165"/>
      <c r="X361" s="165"/>
      <c r="Y361" s="165"/>
      <c r="Z361" s="165"/>
      <c r="AA361" s="165"/>
      <c r="AB361" s="165"/>
      <c r="AC361" s="165"/>
      <c r="AD361" s="165"/>
      <c r="AE361" s="165"/>
      <c r="AF361" s="165"/>
      <c r="AG361" s="165"/>
      <c r="AH361" s="165"/>
      <c r="AI361" s="165"/>
      <c r="AJ361" s="165"/>
      <c r="AK361" s="165"/>
      <c r="AL361" s="165"/>
      <c r="AM361" s="165"/>
      <c r="AN361" s="169" t="s">
        <v>1340</v>
      </c>
      <c r="AO361" s="165"/>
      <c r="AP361" s="165"/>
      <c r="AQ361" s="165"/>
      <c r="AR361" s="170"/>
      <c r="AS361" s="170"/>
      <c r="AT361" s="165"/>
      <c r="AU361" s="165"/>
      <c r="AV361" s="170"/>
      <c r="AW361" s="170"/>
      <c r="AX361" s="165"/>
      <c r="AY361" s="165"/>
      <c r="AZ361" s="165"/>
      <c r="BA361" s="165"/>
      <c r="BB361" s="165"/>
      <c r="BC361" s="165"/>
      <c r="BD361" s="165"/>
      <c r="BE361" s="171">
        <v>1</v>
      </c>
      <c r="BF361" s="171"/>
      <c r="BG361" s="171"/>
      <c r="BH361" s="5"/>
      <c r="BI361" s="171"/>
      <c r="BJ361" s="171"/>
      <c r="BK361" s="171"/>
      <c r="BL361" s="165"/>
      <c r="BM361" s="165"/>
      <c r="BN361" s="165"/>
      <c r="BO361" s="171"/>
      <c r="BP361" s="165"/>
      <c r="BQ361" s="165"/>
      <c r="BR361" s="165"/>
      <c r="BS361" s="165"/>
      <c r="CA361" s="165"/>
      <c r="CB361" s="165"/>
      <c r="CC361" s="165"/>
      <c r="CD361" s="165"/>
    </row>
    <row r="362" spans="1:84" s="188" customFormat="1" ht="28.5">
      <c r="A362" s="211" t="s">
        <v>1920</v>
      </c>
      <c r="B362" s="165"/>
      <c r="C362" s="211"/>
      <c r="D362" s="221"/>
      <c r="E362" s="211"/>
      <c r="F362" s="186"/>
      <c r="G362" s="185"/>
      <c r="H362" s="211"/>
      <c r="I362" s="211"/>
      <c r="J362" s="211"/>
      <c r="K362" s="211"/>
      <c r="L362" s="211"/>
      <c r="M362" s="211"/>
      <c r="N362" s="211"/>
      <c r="O362" s="211"/>
      <c r="P362" s="186"/>
      <c r="Q362" s="184" t="s">
        <v>1402</v>
      </c>
      <c r="R362" s="184"/>
      <c r="S362" s="184"/>
      <c r="T362" s="184"/>
      <c r="U362" s="184"/>
      <c r="V362" s="185"/>
      <c r="W362" s="185"/>
      <c r="X362" s="165"/>
      <c r="Y362" s="165"/>
      <c r="Z362" s="165"/>
      <c r="AA362" s="165"/>
      <c r="AB362" s="165"/>
      <c r="AC362" s="165"/>
      <c r="AD362" s="165"/>
      <c r="AE362" s="186"/>
      <c r="AF362" s="186"/>
      <c r="AG362" s="165"/>
      <c r="AH362" s="185"/>
      <c r="AI362" s="186"/>
      <c r="AJ362" s="185"/>
      <c r="AK362" s="165"/>
      <c r="AL362" s="185"/>
      <c r="AM362" s="185"/>
      <c r="AN362" s="186"/>
      <c r="AO362" s="211"/>
      <c r="AP362" s="165"/>
      <c r="AQ362" s="165"/>
      <c r="AR362" s="170"/>
      <c r="AS362" s="170"/>
      <c r="AT362" s="165"/>
      <c r="AU362" s="185" t="s">
        <v>1257</v>
      </c>
      <c r="AV362" s="31" t="s">
        <v>1921</v>
      </c>
      <c r="AW362" s="31"/>
      <c r="AX362" s="185"/>
      <c r="AY362" s="185"/>
      <c r="AZ362" s="185"/>
      <c r="BA362" s="185"/>
      <c r="BB362" s="185"/>
      <c r="BC362" s="185"/>
      <c r="BD362" s="185"/>
      <c r="BE362" s="171"/>
      <c r="BF362" s="171"/>
      <c r="BG362" s="171"/>
      <c r="BH362" s="5"/>
      <c r="BI362" s="171"/>
      <c r="BJ362" s="171"/>
      <c r="BK362" s="171"/>
      <c r="BL362" s="165"/>
      <c r="BM362" s="165"/>
      <c r="BN362" s="165"/>
      <c r="BO362" s="171"/>
      <c r="BP362" s="165"/>
      <c r="BQ362" s="207"/>
      <c r="BR362" s="207"/>
      <c r="BS362" s="207"/>
      <c r="CA362" s="165"/>
      <c r="CB362" s="165"/>
      <c r="CC362" s="165"/>
      <c r="CD362" s="165"/>
    </row>
    <row r="363" spans="1:84" s="188" customFormat="1">
      <c r="A363" s="211" t="s">
        <v>1922</v>
      </c>
      <c r="B363" s="165"/>
      <c r="C363" s="211"/>
      <c r="D363" s="221"/>
      <c r="E363" s="211"/>
      <c r="F363" s="186"/>
      <c r="G363" s="185"/>
      <c r="H363" s="211"/>
      <c r="I363" s="211"/>
      <c r="J363" s="211"/>
      <c r="K363" s="211"/>
      <c r="L363" s="211"/>
      <c r="M363" s="211"/>
      <c r="N363" s="211"/>
      <c r="O363" s="211"/>
      <c r="P363" s="186"/>
      <c r="Q363" s="184" t="s">
        <v>1516</v>
      </c>
      <c r="R363" s="184"/>
      <c r="S363" s="184"/>
      <c r="T363" s="184"/>
      <c r="U363" s="184"/>
      <c r="V363" s="185"/>
      <c r="W363" s="185"/>
      <c r="X363" s="165"/>
      <c r="Y363" s="165"/>
      <c r="Z363" s="165"/>
      <c r="AA363" s="165"/>
      <c r="AB363" s="165"/>
      <c r="AC363" s="165"/>
      <c r="AD363" s="165"/>
      <c r="AE363" s="186"/>
      <c r="AF363" s="186"/>
      <c r="AG363" s="165"/>
      <c r="AH363" s="185"/>
      <c r="AI363" s="186"/>
      <c r="AJ363" s="185"/>
      <c r="AK363" s="165"/>
      <c r="AL363" s="185"/>
      <c r="AM363" s="185"/>
      <c r="AN363" s="186"/>
      <c r="AO363" s="211"/>
      <c r="AP363" s="165"/>
      <c r="AQ363" s="165"/>
      <c r="AR363" s="170"/>
      <c r="AS363" s="170"/>
      <c r="AT363" s="165"/>
      <c r="AU363" s="185" t="s">
        <v>1257</v>
      </c>
      <c r="AV363" s="31" t="s">
        <v>1923</v>
      </c>
      <c r="AW363" s="31"/>
      <c r="AX363" s="185"/>
      <c r="AY363" s="185"/>
      <c r="AZ363" s="185"/>
      <c r="BA363" s="185"/>
      <c r="BB363" s="185"/>
      <c r="BC363" s="185"/>
      <c r="BD363" s="185"/>
      <c r="BQ363" s="207"/>
      <c r="BR363" s="207"/>
      <c r="BS363" s="207"/>
    </row>
    <row r="364" spans="1:84" s="188" customFormat="1" ht="28.5">
      <c r="A364" s="211" t="s">
        <v>1924</v>
      </c>
      <c r="B364" s="165"/>
      <c r="C364" s="211"/>
      <c r="D364" s="221"/>
      <c r="E364" s="211"/>
      <c r="F364" s="186"/>
      <c r="G364" s="185"/>
      <c r="H364" s="211"/>
      <c r="I364" s="211"/>
      <c r="J364" s="211"/>
      <c r="K364" s="211"/>
      <c r="L364" s="211"/>
      <c r="M364" s="211"/>
      <c r="N364" s="211"/>
      <c r="O364" s="211"/>
      <c r="P364" s="186"/>
      <c r="Q364" s="184" t="s">
        <v>1396</v>
      </c>
      <c r="R364" s="184"/>
      <c r="S364" s="184"/>
      <c r="T364" s="184"/>
      <c r="U364" s="184"/>
      <c r="V364" s="185"/>
      <c r="W364" s="185"/>
      <c r="X364" s="165"/>
      <c r="Y364" s="165"/>
      <c r="Z364" s="165"/>
      <c r="AA364" s="165"/>
      <c r="AB364" s="165"/>
      <c r="AC364" s="165"/>
      <c r="AD364" s="165"/>
      <c r="AE364" s="186"/>
      <c r="AF364" s="186"/>
      <c r="AG364" s="165"/>
      <c r="AH364" s="185"/>
      <c r="AI364" s="186"/>
      <c r="AJ364" s="185"/>
      <c r="AK364" s="165"/>
      <c r="AL364" s="185"/>
      <c r="AM364" s="185"/>
      <c r="AN364" s="186"/>
      <c r="AO364" s="211"/>
      <c r="AP364" s="165"/>
      <c r="AQ364" s="165"/>
      <c r="AR364" s="170"/>
      <c r="AS364" s="170"/>
      <c r="AT364" s="165"/>
      <c r="AU364" s="185" t="s">
        <v>1257</v>
      </c>
      <c r="AV364" s="31" t="s">
        <v>1925</v>
      </c>
      <c r="AW364" s="31"/>
      <c r="AX364" s="185"/>
      <c r="AY364" s="185"/>
      <c r="AZ364" s="185"/>
      <c r="BA364" s="185"/>
      <c r="BB364" s="185"/>
      <c r="BC364" s="185"/>
      <c r="BD364" s="185"/>
      <c r="BQ364" s="207"/>
      <c r="BR364" s="207"/>
      <c r="BS364" s="207"/>
    </row>
    <row r="365" spans="1:84" s="188" customFormat="1">
      <c r="A365" s="211" t="s">
        <v>1926</v>
      </c>
      <c r="B365" s="165"/>
      <c r="C365" s="211"/>
      <c r="D365" s="221"/>
      <c r="E365" s="211"/>
      <c r="F365" s="186"/>
      <c r="G365" s="185"/>
      <c r="H365" s="211"/>
      <c r="I365" s="211"/>
      <c r="J365" s="211"/>
      <c r="K365" s="211"/>
      <c r="L365" s="211"/>
      <c r="M365" s="211"/>
      <c r="N365" s="211"/>
      <c r="O365" s="211"/>
      <c r="P365" s="186"/>
      <c r="Q365" s="211"/>
      <c r="R365" s="211"/>
      <c r="S365" s="211"/>
      <c r="T365" s="211"/>
      <c r="U365" s="211"/>
      <c r="V365" s="185"/>
      <c r="W365" s="185"/>
      <c r="X365" s="165"/>
      <c r="Y365" s="165"/>
      <c r="Z365" s="165"/>
      <c r="AA365" s="165"/>
      <c r="AB365" s="165"/>
      <c r="AC365" s="165"/>
      <c r="AD365" s="165"/>
      <c r="AE365" s="186"/>
      <c r="AF365" s="186"/>
      <c r="AG365" s="165"/>
      <c r="AH365" s="185"/>
      <c r="AI365" s="186"/>
      <c r="AJ365" s="185"/>
      <c r="AK365" s="165"/>
      <c r="AL365" s="185"/>
      <c r="AM365" s="185"/>
      <c r="AN365" s="186"/>
      <c r="AO365" s="211"/>
      <c r="AP365" s="165"/>
      <c r="AQ365" s="165"/>
      <c r="AR365" s="170"/>
      <c r="AS365" s="170"/>
      <c r="AT365" s="165"/>
      <c r="AU365" s="185" t="s">
        <v>1257</v>
      </c>
      <c r="AV365" s="31" t="s">
        <v>1927</v>
      </c>
      <c r="AW365" s="31"/>
      <c r="AX365" s="185"/>
      <c r="AY365" s="185"/>
      <c r="AZ365" s="185"/>
      <c r="BA365" s="185"/>
      <c r="BB365" s="185"/>
      <c r="BC365" s="185"/>
      <c r="BD365" s="185"/>
      <c r="BQ365" s="207"/>
      <c r="BR365" s="207"/>
      <c r="BS365" s="207"/>
    </row>
    <row r="366" spans="1:84" s="188" customFormat="1">
      <c r="A366" s="209" t="s">
        <v>1928</v>
      </c>
      <c r="B366" s="165"/>
      <c r="C366" s="169"/>
      <c r="D366" s="223">
        <v>36039</v>
      </c>
      <c r="E366" s="209"/>
      <c r="F366" s="165"/>
      <c r="G366" s="165"/>
      <c r="H366" s="165"/>
      <c r="I366" s="165"/>
      <c r="J366" s="165"/>
      <c r="K366" s="165"/>
      <c r="L366" s="165"/>
      <c r="M366" s="165"/>
      <c r="N366" s="165"/>
      <c r="O366" s="165"/>
      <c r="P366" s="165"/>
      <c r="Q366" s="169" t="s">
        <v>1736</v>
      </c>
      <c r="R366" s="169"/>
      <c r="S366" s="169"/>
      <c r="T366" s="169"/>
      <c r="U366" s="169"/>
      <c r="V366" s="165"/>
      <c r="W366" s="165"/>
      <c r="X366" s="165"/>
      <c r="Y366" s="165"/>
      <c r="Z366" s="165"/>
      <c r="AA366" s="165"/>
      <c r="AB366" s="165"/>
      <c r="AC366" s="165"/>
      <c r="AD366" s="165"/>
      <c r="AE366" s="165"/>
      <c r="AF366" s="165"/>
      <c r="AG366" s="165"/>
      <c r="AH366" s="165"/>
      <c r="AI366" s="165"/>
      <c r="AJ366" s="165"/>
      <c r="AK366" s="165"/>
      <c r="AL366" s="165"/>
      <c r="AM366" s="165"/>
      <c r="AN366" s="169" t="s">
        <v>1397</v>
      </c>
      <c r="AO366" s="165"/>
      <c r="AP366" s="165"/>
      <c r="AQ366" s="165"/>
      <c r="AR366" s="170"/>
      <c r="AS366" s="170"/>
      <c r="AT366" s="165"/>
      <c r="AU366" s="165" t="s">
        <v>1388</v>
      </c>
      <c r="AV366" s="170" t="s">
        <v>1929</v>
      </c>
      <c r="AW366" s="170"/>
      <c r="AX366" s="165"/>
      <c r="AY366" s="165"/>
      <c r="AZ366" s="165"/>
      <c r="BA366" s="165"/>
      <c r="BB366" s="165"/>
      <c r="BC366" s="165"/>
      <c r="BD366" s="165"/>
      <c r="BQ366" s="165"/>
      <c r="BR366" s="165"/>
      <c r="BS366" s="165"/>
    </row>
    <row r="367" spans="1:84" s="188" customFormat="1">
      <c r="A367" s="211" t="s">
        <v>1930</v>
      </c>
      <c r="B367" s="165"/>
      <c r="C367" s="211"/>
      <c r="D367" s="221"/>
      <c r="E367" s="211"/>
      <c r="F367" s="186"/>
      <c r="G367" s="185"/>
      <c r="H367" s="211"/>
      <c r="I367" s="211"/>
      <c r="J367" s="211"/>
      <c r="K367" s="211"/>
      <c r="L367" s="211"/>
      <c r="M367" s="211"/>
      <c r="N367" s="211"/>
      <c r="O367" s="211"/>
      <c r="P367" s="186"/>
      <c r="Q367" s="184" t="s">
        <v>1931</v>
      </c>
      <c r="R367" s="184"/>
      <c r="S367" s="184"/>
      <c r="T367" s="184"/>
      <c r="U367" s="184"/>
      <c r="V367" s="185"/>
      <c r="W367" s="185"/>
      <c r="X367" s="165"/>
      <c r="Y367" s="165"/>
      <c r="Z367" s="165"/>
      <c r="AA367" s="165"/>
      <c r="AB367" s="165"/>
      <c r="AC367" s="165"/>
      <c r="AD367" s="165"/>
      <c r="AE367" s="186"/>
      <c r="AF367" s="186"/>
      <c r="AG367" s="165"/>
      <c r="AH367" s="185"/>
      <c r="AI367" s="186"/>
      <c r="AJ367" s="185"/>
      <c r="AK367" s="165"/>
      <c r="AL367" s="185"/>
      <c r="AM367" s="185"/>
      <c r="AN367" s="186"/>
      <c r="AO367" s="211"/>
      <c r="AP367" s="165"/>
      <c r="AQ367" s="165"/>
      <c r="AR367" s="170"/>
      <c r="AS367" s="170"/>
      <c r="AT367" s="165"/>
      <c r="AU367" s="185" t="s">
        <v>1257</v>
      </c>
      <c r="AV367" s="31" t="s">
        <v>1932</v>
      </c>
      <c r="AW367" s="31"/>
      <c r="AX367" s="185"/>
      <c r="AY367" s="185"/>
      <c r="AZ367" s="185"/>
      <c r="BA367" s="185"/>
      <c r="BB367" s="185"/>
      <c r="BC367" s="185"/>
      <c r="BD367" s="185"/>
      <c r="BQ367" s="207"/>
      <c r="BR367" s="207"/>
      <c r="BS367" s="207"/>
    </row>
    <row r="368" spans="1:84" s="188" customFormat="1">
      <c r="A368" s="209" t="s">
        <v>1933</v>
      </c>
      <c r="B368" s="165"/>
      <c r="C368" s="169"/>
      <c r="D368" s="223">
        <v>38687</v>
      </c>
      <c r="E368" s="209"/>
      <c r="F368" s="165"/>
      <c r="G368" s="165"/>
      <c r="H368" s="165"/>
      <c r="I368" s="165"/>
      <c r="J368" s="165"/>
      <c r="K368" s="165"/>
      <c r="L368" s="165"/>
      <c r="M368" s="165"/>
      <c r="N368" s="165"/>
      <c r="O368" s="165"/>
      <c r="P368" s="165"/>
      <c r="Q368" s="169" t="s">
        <v>1934</v>
      </c>
      <c r="R368" s="169"/>
      <c r="S368" s="169"/>
      <c r="T368" s="169"/>
      <c r="U368" s="169"/>
      <c r="V368" s="165"/>
      <c r="W368" s="165"/>
      <c r="X368" s="165"/>
      <c r="Y368" s="165"/>
      <c r="Z368" s="165"/>
      <c r="AA368" s="165"/>
      <c r="AB368" s="165"/>
      <c r="AC368" s="165"/>
      <c r="AD368" s="165"/>
      <c r="AE368" s="165"/>
      <c r="AF368" s="165"/>
      <c r="AG368" s="165"/>
      <c r="AH368" s="165"/>
      <c r="AI368" s="165"/>
      <c r="AJ368" s="165"/>
      <c r="AK368" s="165"/>
      <c r="AL368" s="165"/>
      <c r="AM368" s="165"/>
      <c r="AN368" s="169" t="s">
        <v>1348</v>
      </c>
      <c r="AO368" s="165"/>
      <c r="AP368" s="165"/>
      <c r="AQ368" s="165"/>
      <c r="AR368" s="170"/>
      <c r="AS368" s="170"/>
      <c r="AT368" s="165"/>
      <c r="AU368" s="165"/>
      <c r="AV368" s="170"/>
      <c r="AW368" s="170"/>
      <c r="AX368" s="165"/>
      <c r="AY368" s="165"/>
      <c r="AZ368" s="165"/>
      <c r="BA368" s="165"/>
      <c r="BB368" s="165"/>
      <c r="BC368" s="165"/>
      <c r="BD368" s="165"/>
      <c r="BQ368" s="165"/>
      <c r="BR368" s="165"/>
      <c r="BS368" s="165"/>
    </row>
    <row r="369" spans="1:83" s="188" customFormat="1" ht="28.5">
      <c r="A369" s="211" t="s">
        <v>1935</v>
      </c>
      <c r="B369" s="165"/>
      <c r="C369" s="211"/>
      <c r="D369" s="221"/>
      <c r="E369" s="211"/>
      <c r="F369" s="186"/>
      <c r="G369" s="185"/>
      <c r="H369" s="211"/>
      <c r="I369" s="211"/>
      <c r="J369" s="211"/>
      <c r="K369" s="211"/>
      <c r="L369" s="211"/>
      <c r="M369" s="211"/>
      <c r="N369" s="211"/>
      <c r="O369" s="211"/>
      <c r="P369" s="186"/>
      <c r="Q369" s="184" t="s">
        <v>1936</v>
      </c>
      <c r="R369" s="184"/>
      <c r="S369" s="184"/>
      <c r="T369" s="184"/>
      <c r="U369" s="184"/>
      <c r="V369" s="185"/>
      <c r="W369" s="185"/>
      <c r="X369" s="165"/>
      <c r="Y369" s="165"/>
      <c r="Z369" s="165"/>
      <c r="AA369" s="165"/>
      <c r="AB369" s="165"/>
      <c r="AC369" s="165"/>
      <c r="AD369" s="165"/>
      <c r="AE369" s="186"/>
      <c r="AF369" s="186"/>
      <c r="AG369" s="165"/>
      <c r="AH369" s="185"/>
      <c r="AI369" s="186"/>
      <c r="AJ369" s="185"/>
      <c r="AK369" s="165"/>
      <c r="AL369" s="185"/>
      <c r="AM369" s="185"/>
      <c r="AN369" s="186"/>
      <c r="AO369" s="211"/>
      <c r="AP369" s="165"/>
      <c r="AQ369" s="165"/>
      <c r="AR369" s="170"/>
      <c r="AS369" s="170"/>
      <c r="AT369" s="165"/>
      <c r="AU369" s="185" t="s">
        <v>1257</v>
      </c>
      <c r="AV369" s="31" t="s">
        <v>1937</v>
      </c>
      <c r="AW369" s="31"/>
      <c r="AX369" s="185"/>
      <c r="AY369" s="185"/>
      <c r="AZ369" s="185"/>
      <c r="BA369" s="185"/>
      <c r="BB369" s="185"/>
      <c r="BC369" s="185"/>
      <c r="BD369" s="185"/>
      <c r="BQ369" s="207"/>
      <c r="BR369" s="207"/>
      <c r="BS369" s="207"/>
    </row>
    <row r="370" spans="1:83" s="188" customFormat="1">
      <c r="A370" s="209" t="s">
        <v>1938</v>
      </c>
      <c r="B370" s="165"/>
      <c r="C370" s="169"/>
      <c r="D370" s="223">
        <v>38473</v>
      </c>
      <c r="E370" s="209"/>
      <c r="F370" s="165"/>
      <c r="G370" s="165"/>
      <c r="H370" s="165"/>
      <c r="I370" s="165"/>
      <c r="J370" s="165"/>
      <c r="K370" s="165"/>
      <c r="L370" s="165"/>
      <c r="M370" s="165"/>
      <c r="N370" s="165"/>
      <c r="O370" s="165"/>
      <c r="P370" s="165"/>
      <c r="Q370" s="169" t="s">
        <v>1328</v>
      </c>
      <c r="R370" s="169"/>
      <c r="S370" s="169"/>
      <c r="T370" s="169"/>
      <c r="U370" s="169"/>
      <c r="V370" s="165"/>
      <c r="W370" s="165"/>
      <c r="X370" s="165"/>
      <c r="Y370" s="165"/>
      <c r="Z370" s="165"/>
      <c r="AA370" s="165"/>
      <c r="AB370" s="165"/>
      <c r="AC370" s="165"/>
      <c r="AD370" s="165"/>
      <c r="AE370" s="165"/>
      <c r="AF370" s="165"/>
      <c r="AG370" s="165"/>
      <c r="AH370" s="165"/>
      <c r="AI370" s="165"/>
      <c r="AJ370" s="165"/>
      <c r="AK370" s="165"/>
      <c r="AL370" s="165"/>
      <c r="AM370" s="165"/>
      <c r="AN370" s="169" t="s">
        <v>1357</v>
      </c>
      <c r="AO370" s="165"/>
      <c r="AP370" s="165"/>
      <c r="AQ370" s="165"/>
      <c r="AR370" s="170"/>
      <c r="AS370" s="170"/>
      <c r="AT370" s="165"/>
      <c r="AU370" s="165" t="s">
        <v>1388</v>
      </c>
      <c r="AV370" s="170" t="s">
        <v>1939</v>
      </c>
      <c r="AW370" s="170"/>
      <c r="AX370" s="165"/>
      <c r="AY370" s="165"/>
      <c r="AZ370" s="165"/>
      <c r="BA370" s="165"/>
      <c r="BB370" s="165"/>
      <c r="BC370" s="165"/>
      <c r="BD370" s="165"/>
      <c r="BQ370" s="165"/>
      <c r="BR370" s="165"/>
      <c r="BS370" s="165"/>
    </row>
    <row r="371" spans="1:83" s="188" customFormat="1">
      <c r="A371" s="209" t="s">
        <v>1940</v>
      </c>
      <c r="B371" s="165"/>
      <c r="C371" s="169"/>
      <c r="D371" s="223">
        <v>38930</v>
      </c>
      <c r="E371" s="209"/>
      <c r="F371" s="165"/>
      <c r="G371" s="165"/>
      <c r="H371" s="165"/>
      <c r="I371" s="165"/>
      <c r="J371" s="165"/>
      <c r="K371" s="165"/>
      <c r="L371" s="165"/>
      <c r="M371" s="165"/>
      <c r="N371" s="165"/>
      <c r="O371" s="165"/>
      <c r="P371" s="165"/>
      <c r="Q371" s="169" t="s">
        <v>1328</v>
      </c>
      <c r="R371" s="169"/>
      <c r="S371" s="169"/>
      <c r="T371" s="169"/>
      <c r="U371" s="169"/>
      <c r="V371" s="165"/>
      <c r="W371" s="165"/>
      <c r="X371" s="165"/>
      <c r="Y371" s="165"/>
      <c r="Z371" s="165"/>
      <c r="AA371" s="165"/>
      <c r="AB371" s="165"/>
      <c r="AC371" s="165"/>
      <c r="AD371" s="165"/>
      <c r="AE371" s="165"/>
      <c r="AF371" s="165"/>
      <c r="AG371" s="165"/>
      <c r="AH371" s="165"/>
      <c r="AI371" s="165"/>
      <c r="AJ371" s="165"/>
      <c r="AK371" s="165"/>
      <c r="AL371" s="165"/>
      <c r="AM371" s="165"/>
      <c r="AN371" s="169" t="s">
        <v>1368</v>
      </c>
      <c r="AO371" s="165"/>
      <c r="AP371" s="165"/>
      <c r="AQ371" s="165"/>
      <c r="AR371" s="170"/>
      <c r="AS371" s="170"/>
      <c r="AT371" s="165"/>
      <c r="AU371" s="165"/>
      <c r="AV371" s="170"/>
      <c r="AW371" s="170"/>
      <c r="AX371" s="165"/>
      <c r="AY371" s="165"/>
      <c r="AZ371" s="165"/>
      <c r="BA371" s="165"/>
      <c r="BB371" s="165"/>
      <c r="BC371" s="165"/>
      <c r="BD371" s="165"/>
      <c r="BQ371" s="165"/>
      <c r="BR371" s="165"/>
      <c r="BS371" s="165"/>
    </row>
    <row r="372" spans="1:83" s="188" customFormat="1" ht="28.5">
      <c r="A372" s="211" t="s">
        <v>1941</v>
      </c>
      <c r="B372" s="165"/>
      <c r="C372" s="211"/>
      <c r="D372" s="221"/>
      <c r="E372" s="211"/>
      <c r="F372" s="186"/>
      <c r="G372" s="185"/>
      <c r="H372" s="211"/>
      <c r="I372" s="211"/>
      <c r="J372" s="211"/>
      <c r="K372" s="211"/>
      <c r="L372" s="211"/>
      <c r="M372" s="211"/>
      <c r="N372" s="211"/>
      <c r="O372" s="211"/>
      <c r="P372" s="186"/>
      <c r="Q372" s="184" t="s">
        <v>1942</v>
      </c>
      <c r="R372" s="184"/>
      <c r="S372" s="184"/>
      <c r="T372" s="184"/>
      <c r="U372" s="184"/>
      <c r="V372" s="185"/>
      <c r="W372" s="185"/>
      <c r="X372" s="165"/>
      <c r="Y372" s="165"/>
      <c r="Z372" s="165"/>
      <c r="AA372" s="165"/>
      <c r="AB372" s="165"/>
      <c r="AC372" s="165"/>
      <c r="AD372" s="165"/>
      <c r="AE372" s="186"/>
      <c r="AF372" s="186"/>
      <c r="AG372" s="165"/>
      <c r="AH372" s="185"/>
      <c r="AI372" s="186"/>
      <c r="AJ372" s="185"/>
      <c r="AK372" s="165"/>
      <c r="AL372" s="185"/>
      <c r="AM372" s="185"/>
      <c r="AN372" s="186"/>
      <c r="AO372" s="211"/>
      <c r="AP372" s="165"/>
      <c r="AQ372" s="165"/>
      <c r="AR372" s="170"/>
      <c r="AS372" s="170"/>
      <c r="AT372" s="165"/>
      <c r="AU372" s="185" t="s">
        <v>1257</v>
      </c>
      <c r="AV372" s="31" t="s">
        <v>1943</v>
      </c>
      <c r="AW372" s="31"/>
      <c r="AX372" s="185"/>
      <c r="AY372" s="185"/>
      <c r="AZ372" s="185"/>
      <c r="BA372" s="185"/>
      <c r="BB372" s="185"/>
      <c r="BC372" s="185"/>
      <c r="BD372" s="185"/>
      <c r="BQ372" s="207"/>
      <c r="BR372" s="207"/>
      <c r="BS372" s="207"/>
    </row>
    <row r="373" spans="1:83" s="188" customFormat="1" ht="28.5">
      <c r="A373" s="209" t="s">
        <v>1944</v>
      </c>
      <c r="B373" s="165"/>
      <c r="C373" s="169"/>
      <c r="D373" s="223">
        <v>39114</v>
      </c>
      <c r="E373" s="209"/>
      <c r="F373" s="165"/>
      <c r="G373" s="165"/>
      <c r="H373" s="165"/>
      <c r="I373" s="165"/>
      <c r="J373" s="165"/>
      <c r="K373" s="165"/>
      <c r="L373" s="165"/>
      <c r="M373" s="165"/>
      <c r="N373" s="165"/>
      <c r="O373" s="165"/>
      <c r="P373" s="165"/>
      <c r="Q373" s="169" t="s">
        <v>1945</v>
      </c>
      <c r="R373" s="169"/>
      <c r="S373" s="169"/>
      <c r="T373" s="169"/>
      <c r="U373" s="169"/>
      <c r="V373" s="165"/>
      <c r="W373" s="165"/>
      <c r="X373" s="165"/>
      <c r="Y373" s="165"/>
      <c r="Z373" s="165"/>
      <c r="AA373" s="165"/>
      <c r="AB373" s="165"/>
      <c r="AC373" s="165"/>
      <c r="AD373" s="165"/>
      <c r="AE373" s="165"/>
      <c r="AF373" s="165"/>
      <c r="AG373" s="165"/>
      <c r="AH373" s="165"/>
      <c r="AI373" s="165"/>
      <c r="AJ373" s="165"/>
      <c r="AK373" s="165"/>
      <c r="AL373" s="165"/>
      <c r="AM373" s="165"/>
      <c r="AN373" s="169" t="s">
        <v>1368</v>
      </c>
      <c r="AO373" s="165"/>
      <c r="AP373" s="165"/>
      <c r="AQ373" s="165"/>
      <c r="AR373" s="170"/>
      <c r="AS373" s="170"/>
      <c r="AT373" s="165"/>
      <c r="AU373" s="165"/>
      <c r="AV373" s="170"/>
      <c r="AW373" s="170"/>
      <c r="AX373" s="165"/>
      <c r="AY373" s="165"/>
      <c r="AZ373" s="165"/>
      <c r="BA373" s="165"/>
      <c r="BB373" s="165"/>
      <c r="BC373" s="165"/>
      <c r="BD373" s="165"/>
      <c r="BQ373" s="165"/>
      <c r="BR373" s="165"/>
      <c r="BS373" s="165"/>
    </row>
    <row r="374" spans="1:83" s="188" customFormat="1">
      <c r="A374" s="209" t="s">
        <v>1946</v>
      </c>
      <c r="B374" s="165"/>
      <c r="C374" s="169"/>
      <c r="D374" s="223">
        <v>38657</v>
      </c>
      <c r="E374" s="209"/>
      <c r="F374" s="165"/>
      <c r="G374" s="165"/>
      <c r="H374" s="165"/>
      <c r="I374" s="165"/>
      <c r="J374" s="165"/>
      <c r="K374" s="165"/>
      <c r="L374" s="165"/>
      <c r="M374" s="165"/>
      <c r="N374" s="165"/>
      <c r="O374" s="165"/>
      <c r="P374" s="165"/>
      <c r="Q374" s="169" t="s">
        <v>1328</v>
      </c>
      <c r="R374" s="169"/>
      <c r="S374" s="169"/>
      <c r="T374" s="169"/>
      <c r="U374" s="169"/>
      <c r="V374" s="165"/>
      <c r="W374" s="165"/>
      <c r="X374" s="165"/>
      <c r="Y374" s="165">
        <v>15</v>
      </c>
      <c r="Z374" s="165"/>
      <c r="AA374" s="165"/>
      <c r="AB374" s="165"/>
      <c r="AC374" s="165"/>
      <c r="AD374" s="165"/>
      <c r="AE374" s="165"/>
      <c r="AF374" s="165"/>
      <c r="AG374" s="165"/>
      <c r="AH374" s="165"/>
      <c r="AI374" s="165"/>
      <c r="AJ374" s="165"/>
      <c r="AK374" s="165"/>
      <c r="AL374" s="165"/>
      <c r="AM374" s="165"/>
      <c r="AN374" s="169" t="s">
        <v>1450</v>
      </c>
      <c r="AO374" s="165" t="s">
        <v>1947</v>
      </c>
      <c r="AP374" s="165"/>
      <c r="AQ374" s="165"/>
      <c r="AR374" s="165" t="s">
        <v>1948</v>
      </c>
      <c r="AS374" s="165"/>
      <c r="AT374" s="165"/>
      <c r="AU374" s="165"/>
      <c r="AV374" s="170" t="s">
        <v>1949</v>
      </c>
      <c r="AW374" s="170"/>
      <c r="AX374" s="165"/>
      <c r="AY374" s="165"/>
      <c r="AZ374" s="165"/>
      <c r="BA374" s="165"/>
      <c r="BB374" s="165"/>
      <c r="BC374" s="165"/>
      <c r="BD374" s="165"/>
      <c r="BQ374" s="165"/>
      <c r="BR374" s="165"/>
      <c r="BS374" s="165"/>
      <c r="CE374" s="230">
        <v>44301.53496527778</v>
      </c>
    </row>
    <row r="375" spans="1:83" s="188" customFormat="1" ht="28.5">
      <c r="A375" s="211" t="s">
        <v>1950</v>
      </c>
      <c r="B375" s="165"/>
      <c r="C375" s="211"/>
      <c r="D375" s="221"/>
      <c r="E375" s="211"/>
      <c r="F375" s="186"/>
      <c r="G375" s="185"/>
      <c r="H375" s="211"/>
      <c r="I375" s="211"/>
      <c r="J375" s="211"/>
      <c r="K375" s="211"/>
      <c r="L375" s="211"/>
      <c r="M375" s="211"/>
      <c r="N375" s="211"/>
      <c r="O375" s="211"/>
      <c r="P375" s="186"/>
      <c r="Q375" s="184" t="s">
        <v>1951</v>
      </c>
      <c r="R375" s="184"/>
      <c r="S375" s="184"/>
      <c r="T375" s="184"/>
      <c r="U375" s="184"/>
      <c r="V375" s="185"/>
      <c r="W375" s="185"/>
      <c r="X375" s="165"/>
      <c r="Y375" s="165"/>
      <c r="Z375" s="165"/>
      <c r="AA375" s="165"/>
      <c r="AB375" s="165"/>
      <c r="AC375" s="165"/>
      <c r="AD375" s="165"/>
      <c r="AE375" s="186"/>
      <c r="AF375" s="186"/>
      <c r="AG375" s="165"/>
      <c r="AH375" s="185"/>
      <c r="AI375" s="186"/>
      <c r="AJ375" s="185"/>
      <c r="AK375" s="165"/>
      <c r="AL375" s="185"/>
      <c r="AM375" s="185"/>
      <c r="AN375" s="186"/>
      <c r="AO375" s="211"/>
      <c r="AP375" s="165"/>
      <c r="AQ375" s="165"/>
      <c r="AR375" s="170"/>
      <c r="AS375" s="170"/>
      <c r="AT375" s="165"/>
      <c r="AU375" s="185" t="s">
        <v>1257</v>
      </c>
      <c r="AV375" s="31" t="s">
        <v>1952</v>
      </c>
      <c r="AW375" s="31"/>
      <c r="AX375" s="185"/>
      <c r="AY375" s="185"/>
      <c r="AZ375" s="185"/>
      <c r="BA375" s="185"/>
      <c r="BB375" s="185"/>
      <c r="BC375" s="185"/>
      <c r="BD375" s="185"/>
      <c r="BQ375" s="207"/>
      <c r="BR375" s="207"/>
      <c r="BS375" s="207"/>
    </row>
    <row r="376" spans="1:83" s="188" customFormat="1">
      <c r="A376" s="209" t="s">
        <v>1953</v>
      </c>
      <c r="B376" s="165"/>
      <c r="C376" s="169"/>
      <c r="D376" s="223">
        <v>38808</v>
      </c>
      <c r="E376" s="209"/>
      <c r="F376" s="165"/>
      <c r="G376" s="165"/>
      <c r="H376" s="165"/>
      <c r="I376" s="165"/>
      <c r="J376" s="165"/>
      <c r="K376" s="165"/>
      <c r="L376" s="165"/>
      <c r="M376" s="165"/>
      <c r="N376" s="165"/>
      <c r="O376" s="165"/>
      <c r="P376" s="165"/>
      <c r="Q376" s="169" t="s">
        <v>1328</v>
      </c>
      <c r="R376" s="169"/>
      <c r="S376" s="169"/>
      <c r="T376" s="169"/>
      <c r="U376" s="169"/>
      <c r="V376" s="165"/>
      <c r="W376" s="165"/>
      <c r="X376" s="165"/>
      <c r="Y376" s="165"/>
      <c r="Z376" s="165"/>
      <c r="AA376" s="165"/>
      <c r="AB376" s="165"/>
      <c r="AC376" s="165"/>
      <c r="AD376" s="165"/>
      <c r="AE376" s="165"/>
      <c r="AF376" s="165"/>
      <c r="AG376" s="165"/>
      <c r="AH376" s="165"/>
      <c r="AI376" s="165"/>
      <c r="AJ376" s="165"/>
      <c r="AK376" s="165"/>
      <c r="AL376" s="165"/>
      <c r="AM376" s="165"/>
      <c r="AN376" s="169" t="s">
        <v>1348</v>
      </c>
      <c r="AO376" s="165"/>
      <c r="AP376" s="165"/>
      <c r="AQ376" s="165"/>
      <c r="AR376" s="170"/>
      <c r="AS376" s="170"/>
      <c r="AT376" s="165"/>
      <c r="AU376" s="165"/>
      <c r="AV376" s="170"/>
      <c r="AW376" s="170"/>
      <c r="AX376" s="165"/>
      <c r="AY376" s="165"/>
      <c r="AZ376" s="165"/>
      <c r="BA376" s="165"/>
      <c r="BB376" s="165"/>
      <c r="BC376" s="165"/>
      <c r="BD376" s="165"/>
      <c r="BQ376" s="165"/>
      <c r="BR376" s="165"/>
      <c r="BS376" s="165"/>
    </row>
    <row r="377" spans="1:83" s="188" customFormat="1">
      <c r="A377" s="209" t="s">
        <v>1954</v>
      </c>
      <c r="B377" s="165"/>
      <c r="C377" s="169"/>
      <c r="D377" s="223">
        <v>38596</v>
      </c>
      <c r="E377" s="209"/>
      <c r="F377" s="165"/>
      <c r="G377" s="165"/>
      <c r="H377" s="165"/>
      <c r="I377" s="165"/>
      <c r="J377" s="165"/>
      <c r="K377" s="165"/>
      <c r="L377" s="165"/>
      <c r="M377" s="165"/>
      <c r="N377" s="165"/>
      <c r="O377" s="165"/>
      <c r="P377" s="165"/>
      <c r="Q377" s="169" t="s">
        <v>1328</v>
      </c>
      <c r="R377" s="169"/>
      <c r="S377" s="169"/>
      <c r="T377" s="169"/>
      <c r="U377" s="169"/>
      <c r="V377" s="165"/>
      <c r="W377" s="165"/>
      <c r="X377" s="165"/>
      <c r="Y377" s="165"/>
      <c r="Z377" s="165"/>
      <c r="AA377" s="165"/>
      <c r="AB377" s="165"/>
      <c r="AC377" s="165"/>
      <c r="AD377" s="165"/>
      <c r="AE377" s="165"/>
      <c r="AF377" s="165"/>
      <c r="AG377" s="165"/>
      <c r="AH377" s="165"/>
      <c r="AI377" s="165"/>
      <c r="AJ377" s="165"/>
      <c r="AK377" s="165"/>
      <c r="AL377" s="165"/>
      <c r="AM377" s="165"/>
      <c r="AN377" s="169" t="s">
        <v>1397</v>
      </c>
      <c r="AO377" s="165"/>
      <c r="AP377" s="165"/>
      <c r="AQ377" s="165"/>
      <c r="AR377" s="170"/>
      <c r="AS377" s="170"/>
      <c r="AT377" s="165"/>
      <c r="AU377" s="165" t="s">
        <v>1388</v>
      </c>
      <c r="AV377" s="170" t="s">
        <v>1955</v>
      </c>
      <c r="AW377" s="170"/>
      <c r="AX377" s="165"/>
      <c r="AY377" s="165"/>
      <c r="AZ377" s="165"/>
      <c r="BA377" s="165"/>
      <c r="BB377" s="165"/>
      <c r="BC377" s="165"/>
      <c r="BD377" s="165"/>
      <c r="BQ377" s="165"/>
      <c r="BR377" s="165"/>
      <c r="BS377" s="165"/>
    </row>
    <row r="378" spans="1:83" s="188" customFormat="1">
      <c r="A378" s="211" t="s">
        <v>1956</v>
      </c>
      <c r="B378" s="165"/>
      <c r="C378" s="211"/>
      <c r="D378" s="221"/>
      <c r="E378" s="211"/>
      <c r="F378" s="186"/>
      <c r="G378" s="185"/>
      <c r="H378" s="211"/>
      <c r="I378" s="211"/>
      <c r="J378" s="211"/>
      <c r="K378" s="211"/>
      <c r="L378" s="211"/>
      <c r="M378" s="211"/>
      <c r="N378" s="211"/>
      <c r="O378" s="211"/>
      <c r="P378" s="186"/>
      <c r="Q378" s="184" t="s">
        <v>1402</v>
      </c>
      <c r="R378" s="184"/>
      <c r="S378" s="184"/>
      <c r="T378" s="184"/>
      <c r="U378" s="184"/>
      <c r="V378" s="185"/>
      <c r="W378" s="185"/>
      <c r="X378" s="165"/>
      <c r="Y378" s="165"/>
      <c r="Z378" s="165"/>
      <c r="AA378" s="165"/>
      <c r="AB378" s="165"/>
      <c r="AC378" s="165"/>
      <c r="AD378" s="165"/>
      <c r="AE378" s="186"/>
      <c r="AF378" s="186"/>
      <c r="AG378" s="165"/>
      <c r="AH378" s="185"/>
      <c r="AI378" s="186"/>
      <c r="AJ378" s="185"/>
      <c r="AK378" s="165"/>
      <c r="AL378" s="185"/>
      <c r="AM378" s="185"/>
      <c r="AN378" s="186"/>
      <c r="AO378" s="211"/>
      <c r="AP378" s="165"/>
      <c r="AQ378" s="165"/>
      <c r="AR378" s="170"/>
      <c r="AS378" s="170"/>
      <c r="AT378" s="165"/>
      <c r="AU378" s="185" t="s">
        <v>1257</v>
      </c>
      <c r="AV378" s="31" t="s">
        <v>1957</v>
      </c>
      <c r="AW378" s="31"/>
      <c r="AX378" s="185"/>
      <c r="AY378" s="185"/>
      <c r="AZ378" s="185"/>
      <c r="BA378" s="185"/>
      <c r="BB378" s="185"/>
      <c r="BC378" s="185"/>
      <c r="BD378" s="185"/>
      <c r="BQ378" s="207"/>
      <c r="BR378" s="207"/>
      <c r="BS378" s="207"/>
    </row>
    <row r="379" spans="1:83" s="188" customFormat="1">
      <c r="A379" s="170" t="s">
        <v>1958</v>
      </c>
      <c r="B379" s="165"/>
      <c r="C379" s="165"/>
      <c r="D379" s="224"/>
      <c r="E379" s="170"/>
      <c r="F379" s="165"/>
      <c r="G379" s="165"/>
      <c r="H379" s="165"/>
      <c r="I379" s="165"/>
      <c r="J379" s="165"/>
      <c r="K379" s="165"/>
      <c r="L379" s="165"/>
      <c r="M379" s="165"/>
      <c r="N379" s="165"/>
      <c r="O379" s="165"/>
      <c r="P379" s="165"/>
      <c r="Q379" s="165"/>
      <c r="R379" s="165"/>
      <c r="S379" s="165"/>
      <c r="T379" s="165"/>
      <c r="U379" s="165"/>
      <c r="V379" s="165"/>
      <c r="W379" s="165"/>
      <c r="X379" s="165"/>
      <c r="Y379" s="165"/>
      <c r="Z379" s="165"/>
      <c r="AA379" s="165"/>
      <c r="AB379" s="165"/>
      <c r="AC379" s="165"/>
      <c r="AD379" s="165"/>
      <c r="AE379" s="165"/>
      <c r="AF379" s="165"/>
      <c r="AG379" s="165"/>
      <c r="AH379" s="165"/>
      <c r="AI379" s="165"/>
      <c r="AJ379" s="165"/>
      <c r="AK379" s="165"/>
      <c r="AL379" s="165"/>
      <c r="AM379" s="165"/>
      <c r="AN379" s="165"/>
      <c r="AO379" s="165"/>
      <c r="AP379" s="165"/>
      <c r="AQ379" s="165"/>
      <c r="AR379" s="170"/>
      <c r="AS379" s="170"/>
      <c r="AT379" s="165"/>
      <c r="AU379" s="165"/>
      <c r="AV379" s="170" t="s">
        <v>1959</v>
      </c>
      <c r="AW379" s="170"/>
      <c r="AX379" s="165"/>
      <c r="AY379" s="165"/>
      <c r="AZ379" s="165"/>
      <c r="BA379" s="165"/>
      <c r="BB379" s="165"/>
      <c r="BC379" s="165"/>
      <c r="BD379" s="165"/>
      <c r="BQ379" s="165"/>
      <c r="BR379" s="165"/>
      <c r="BS379" s="165"/>
    </row>
    <row r="380" spans="1:83" s="188" customFormat="1">
      <c r="A380" s="209" t="s">
        <v>1960</v>
      </c>
      <c r="B380" s="165"/>
      <c r="C380" s="169"/>
      <c r="D380" s="223">
        <v>38534</v>
      </c>
      <c r="E380" s="209"/>
      <c r="F380" s="165"/>
      <c r="G380" s="165"/>
      <c r="H380" s="165"/>
      <c r="I380" s="165"/>
      <c r="J380" s="165"/>
      <c r="K380" s="165"/>
      <c r="L380" s="165"/>
      <c r="M380" s="165"/>
      <c r="N380" s="165"/>
      <c r="O380" s="165"/>
      <c r="P380" s="165"/>
      <c r="Q380" s="169" t="s">
        <v>1961</v>
      </c>
      <c r="R380" s="169"/>
      <c r="S380" s="169"/>
      <c r="T380" s="169"/>
      <c r="U380" s="169"/>
      <c r="V380" s="165"/>
      <c r="W380" s="165"/>
      <c r="X380" s="165"/>
      <c r="Y380" s="165"/>
      <c r="Z380" s="165"/>
      <c r="AA380" s="165"/>
      <c r="AB380" s="165"/>
      <c r="AC380" s="165"/>
      <c r="AD380" s="165"/>
      <c r="AE380" s="165"/>
      <c r="AF380" s="165"/>
      <c r="AG380" s="165"/>
      <c r="AH380" s="165"/>
      <c r="AI380" s="165"/>
      <c r="AJ380" s="165"/>
      <c r="AK380" s="165"/>
      <c r="AL380" s="165"/>
      <c r="AM380" s="165"/>
      <c r="AN380" s="169" t="s">
        <v>1450</v>
      </c>
      <c r="AO380" s="165"/>
      <c r="AP380" s="165"/>
      <c r="AQ380" s="165"/>
      <c r="AR380" s="170"/>
      <c r="AS380" s="170"/>
      <c r="AT380" s="165"/>
      <c r="AU380" s="165"/>
      <c r="AV380" s="170"/>
      <c r="AW380" s="170"/>
      <c r="AX380" s="165"/>
      <c r="AY380" s="165"/>
      <c r="AZ380" s="165"/>
      <c r="BA380" s="165"/>
      <c r="BB380" s="165"/>
      <c r="BC380" s="165"/>
      <c r="BD380" s="165"/>
      <c r="BQ380" s="165"/>
      <c r="BR380" s="165"/>
      <c r="BS380" s="165"/>
    </row>
    <row r="381" spans="1:83" s="188" customFormat="1" ht="28.5">
      <c r="A381" s="211" t="s">
        <v>1962</v>
      </c>
      <c r="B381" s="165"/>
      <c r="C381" s="211"/>
      <c r="D381" s="221"/>
      <c r="E381" s="211"/>
      <c r="F381" s="186"/>
      <c r="G381" s="185"/>
      <c r="H381" s="211"/>
      <c r="I381" s="211"/>
      <c r="J381" s="211"/>
      <c r="K381" s="211"/>
      <c r="L381" s="211"/>
      <c r="M381" s="211"/>
      <c r="N381" s="211"/>
      <c r="O381" s="211"/>
      <c r="P381" s="186"/>
      <c r="Q381" s="184" t="s">
        <v>1961</v>
      </c>
      <c r="R381" s="184"/>
      <c r="S381" s="184"/>
      <c r="T381" s="184"/>
      <c r="U381" s="184"/>
      <c r="V381" s="185"/>
      <c r="W381" s="185"/>
      <c r="X381" s="165"/>
      <c r="Y381" s="165"/>
      <c r="Z381" s="165"/>
      <c r="AA381" s="165"/>
      <c r="AB381" s="165"/>
      <c r="AC381" s="165"/>
      <c r="AD381" s="165"/>
      <c r="AE381" s="186"/>
      <c r="AF381" s="186"/>
      <c r="AG381" s="165"/>
      <c r="AH381" s="185"/>
      <c r="AI381" s="186"/>
      <c r="AJ381" s="185"/>
      <c r="AK381" s="165"/>
      <c r="AL381" s="185"/>
      <c r="AM381" s="185"/>
      <c r="AN381" s="186"/>
      <c r="AO381" s="211"/>
      <c r="AP381" s="165"/>
      <c r="AQ381" s="165"/>
      <c r="AR381" s="170"/>
      <c r="AS381" s="170"/>
      <c r="AT381" s="165"/>
      <c r="AU381" s="185" t="s">
        <v>1257</v>
      </c>
      <c r="AV381" s="31" t="s">
        <v>1963</v>
      </c>
      <c r="AW381" s="31"/>
      <c r="AX381" s="185"/>
      <c r="AY381" s="185"/>
      <c r="AZ381" s="185"/>
      <c r="BA381" s="185"/>
      <c r="BB381" s="185"/>
      <c r="BC381" s="185"/>
      <c r="BD381" s="185"/>
      <c r="BQ381" s="207"/>
      <c r="BR381" s="207"/>
      <c r="BS381" s="207"/>
    </row>
    <row r="382" spans="1:83" s="188" customFormat="1">
      <c r="A382" s="209" t="s">
        <v>1964</v>
      </c>
      <c r="B382" s="165"/>
      <c r="C382" s="169"/>
      <c r="D382" s="223">
        <v>38322</v>
      </c>
      <c r="E382" s="209"/>
      <c r="F382" s="165"/>
      <c r="G382" s="165"/>
      <c r="H382" s="165"/>
      <c r="I382" s="165"/>
      <c r="J382" s="165"/>
      <c r="K382" s="165"/>
      <c r="L382" s="165"/>
      <c r="M382" s="165"/>
      <c r="N382" s="165"/>
      <c r="O382" s="165"/>
      <c r="P382" s="165"/>
      <c r="Q382" s="169" t="s">
        <v>1328</v>
      </c>
      <c r="R382" s="169"/>
      <c r="S382" s="169"/>
      <c r="T382" s="169"/>
      <c r="U382" s="169"/>
      <c r="V382" s="165"/>
      <c r="W382" s="165"/>
      <c r="X382" s="165"/>
      <c r="Y382" s="165"/>
      <c r="Z382" s="165"/>
      <c r="AA382" s="165"/>
      <c r="AB382" s="165"/>
      <c r="AC382" s="165"/>
      <c r="AD382" s="165"/>
      <c r="AE382" s="165"/>
      <c r="AF382" s="165"/>
      <c r="AG382" s="165"/>
      <c r="AH382" s="165"/>
      <c r="AI382" s="165"/>
      <c r="AJ382" s="165"/>
      <c r="AK382" s="165"/>
      <c r="AL382" s="165"/>
      <c r="AM382" s="165"/>
      <c r="AN382" s="169" t="s">
        <v>1368</v>
      </c>
      <c r="AO382" s="165"/>
      <c r="AP382" s="165"/>
      <c r="AQ382" s="165"/>
      <c r="AR382" s="170"/>
      <c r="AS382" s="170"/>
      <c r="AT382" s="165"/>
      <c r="AU382" s="165" t="s">
        <v>1388</v>
      </c>
      <c r="AV382" s="170" t="s">
        <v>1965</v>
      </c>
      <c r="AW382" s="170"/>
      <c r="AX382" s="165"/>
      <c r="AY382" s="165"/>
      <c r="AZ382" s="165"/>
      <c r="BA382" s="165"/>
      <c r="BB382" s="165"/>
      <c r="BC382" s="165"/>
      <c r="BD382" s="165"/>
      <c r="BQ382" s="165"/>
      <c r="BR382" s="165"/>
      <c r="BS382" s="165"/>
    </row>
    <row r="383" spans="1:83" s="188" customFormat="1" ht="27">
      <c r="A383" s="211" t="s">
        <v>1966</v>
      </c>
      <c r="B383" s="165"/>
      <c r="C383" s="211"/>
      <c r="D383" s="221"/>
      <c r="E383" s="211"/>
      <c r="F383" s="186"/>
      <c r="G383" s="185"/>
      <c r="H383" s="211"/>
      <c r="I383" s="211"/>
      <c r="J383" s="211"/>
      <c r="K383" s="211"/>
      <c r="L383" s="211"/>
      <c r="M383" s="211"/>
      <c r="N383" s="211"/>
      <c r="O383" s="211"/>
      <c r="P383" s="186"/>
      <c r="Q383" s="184" t="s">
        <v>1548</v>
      </c>
      <c r="R383" s="184"/>
      <c r="S383" s="184"/>
      <c r="T383" s="184"/>
      <c r="U383" s="184"/>
      <c r="V383" s="185"/>
      <c r="W383" s="185"/>
      <c r="X383" s="165"/>
      <c r="Y383" s="165"/>
      <c r="Z383" s="165"/>
      <c r="AA383" s="165"/>
      <c r="AB383" s="165"/>
      <c r="AC383" s="165"/>
      <c r="AD383" s="165"/>
      <c r="AE383" s="186"/>
      <c r="AF383" s="186"/>
      <c r="AG383" s="165"/>
      <c r="AH383" s="185"/>
      <c r="AI383" s="186"/>
      <c r="AJ383" s="185"/>
      <c r="AK383" s="165"/>
      <c r="AL383" s="185"/>
      <c r="AM383" s="185"/>
      <c r="AN383" s="186"/>
      <c r="AO383" s="211"/>
      <c r="AP383" s="165"/>
      <c r="AQ383" s="165"/>
      <c r="AR383" s="170"/>
      <c r="AS383" s="170"/>
      <c r="AT383" s="165"/>
      <c r="AU383" s="185" t="s">
        <v>1257</v>
      </c>
      <c r="AV383" s="231" t="s">
        <v>1967</v>
      </c>
      <c r="AW383" s="231"/>
      <c r="AX383" s="185"/>
      <c r="AY383" s="185"/>
      <c r="AZ383" s="185"/>
      <c r="BA383" s="185"/>
      <c r="BB383" s="185"/>
      <c r="BC383" s="185"/>
      <c r="BD383" s="185"/>
      <c r="BQ383" s="207"/>
      <c r="BR383" s="207"/>
      <c r="BS383" s="207"/>
    </row>
    <row r="384" spans="1:83" s="188" customFormat="1">
      <c r="A384" s="211" t="s">
        <v>1968</v>
      </c>
      <c r="B384" s="165"/>
      <c r="C384" s="211"/>
      <c r="D384" s="221"/>
      <c r="E384" s="211"/>
      <c r="F384" s="186"/>
      <c r="G384" s="185"/>
      <c r="H384" s="211"/>
      <c r="I384" s="211"/>
      <c r="J384" s="211"/>
      <c r="K384" s="211"/>
      <c r="L384" s="211"/>
      <c r="M384" s="211"/>
      <c r="N384" s="211"/>
      <c r="O384" s="211"/>
      <c r="P384" s="186"/>
      <c r="Q384" s="184" t="s">
        <v>1548</v>
      </c>
      <c r="R384" s="184"/>
      <c r="S384" s="184"/>
      <c r="T384" s="184"/>
      <c r="U384" s="184"/>
      <c r="V384" s="185"/>
      <c r="W384" s="185"/>
      <c r="X384" s="165"/>
      <c r="Y384" s="165"/>
      <c r="Z384" s="165"/>
      <c r="AA384" s="165"/>
      <c r="AB384" s="165"/>
      <c r="AC384" s="165"/>
      <c r="AD384" s="165"/>
      <c r="AE384" s="186"/>
      <c r="AF384" s="186"/>
      <c r="AG384" s="165"/>
      <c r="AH384" s="185"/>
      <c r="AI384" s="186"/>
      <c r="AJ384" s="185"/>
      <c r="AK384" s="165"/>
      <c r="AL384" s="185"/>
      <c r="AM384" s="185"/>
      <c r="AN384" s="186"/>
      <c r="AO384" s="211"/>
      <c r="AP384" s="165"/>
      <c r="AQ384" s="165"/>
      <c r="AR384" s="170"/>
      <c r="AS384" s="170"/>
      <c r="AT384" s="165"/>
      <c r="AU384" s="185" t="s">
        <v>1257</v>
      </c>
      <c r="AV384" s="31" t="s">
        <v>1969</v>
      </c>
      <c r="AW384" s="31"/>
      <c r="AX384" s="185"/>
      <c r="AY384" s="185"/>
      <c r="AZ384" s="185"/>
      <c r="BA384" s="185"/>
      <c r="BB384" s="185"/>
      <c r="BC384" s="185"/>
      <c r="BD384" s="185"/>
      <c r="BQ384" s="207"/>
      <c r="BR384" s="207"/>
      <c r="BS384" s="207"/>
    </row>
    <row r="385" spans="1:71" s="188" customFormat="1">
      <c r="A385" s="209" t="s">
        <v>1970</v>
      </c>
      <c r="B385" s="165"/>
      <c r="C385" s="169"/>
      <c r="D385" s="223">
        <v>37895</v>
      </c>
      <c r="E385" s="209"/>
      <c r="F385" s="165"/>
      <c r="G385" s="165"/>
      <c r="H385" s="165"/>
      <c r="I385" s="165"/>
      <c r="J385" s="165"/>
      <c r="K385" s="165"/>
      <c r="L385" s="165" t="s">
        <v>1440</v>
      </c>
      <c r="M385" s="165"/>
      <c r="N385" s="165"/>
      <c r="O385" s="165"/>
      <c r="P385" s="165"/>
      <c r="Q385" s="169" t="s">
        <v>1553</v>
      </c>
      <c r="R385" s="169"/>
      <c r="S385" s="169"/>
      <c r="T385" s="169"/>
      <c r="U385" s="169"/>
      <c r="V385" s="165"/>
      <c r="W385" s="165"/>
      <c r="X385" s="165"/>
      <c r="Y385" s="165"/>
      <c r="Z385" s="165"/>
      <c r="AA385" s="165"/>
      <c r="AB385" s="165"/>
      <c r="AC385" s="165"/>
      <c r="AD385" s="165"/>
      <c r="AE385" s="165"/>
      <c r="AF385" s="165"/>
      <c r="AG385" s="165"/>
      <c r="AH385" s="165"/>
      <c r="AI385" s="165"/>
      <c r="AJ385" s="165"/>
      <c r="AK385" s="165"/>
      <c r="AL385" s="165"/>
      <c r="AM385" s="165"/>
      <c r="AN385" s="169" t="s">
        <v>1368</v>
      </c>
      <c r="AO385" s="165"/>
      <c r="AP385" s="165"/>
      <c r="AQ385" s="165"/>
      <c r="AR385" s="170"/>
      <c r="AS385" s="170"/>
      <c r="AT385" s="165"/>
      <c r="AU385" s="165" t="s">
        <v>1388</v>
      </c>
      <c r="AV385" s="170" t="s">
        <v>1971</v>
      </c>
      <c r="AW385" s="170"/>
      <c r="AX385" s="165"/>
      <c r="AY385" s="165"/>
      <c r="AZ385" s="165"/>
      <c r="BA385" s="165"/>
      <c r="BB385" s="165"/>
      <c r="BC385" s="165"/>
      <c r="BD385" s="165"/>
      <c r="BQ385" s="165"/>
      <c r="BR385" s="165"/>
      <c r="BS385" s="165"/>
    </row>
    <row r="386" spans="1:71" s="188" customFormat="1">
      <c r="A386" s="209" t="s">
        <v>1972</v>
      </c>
      <c r="B386" s="165"/>
      <c r="C386" s="169"/>
      <c r="D386" s="223">
        <v>31686</v>
      </c>
      <c r="E386" s="209"/>
      <c r="F386" s="165"/>
      <c r="G386" s="165"/>
      <c r="H386" s="165"/>
      <c r="I386" s="165"/>
      <c r="J386" s="165"/>
      <c r="K386" s="165"/>
      <c r="L386" s="165"/>
      <c r="M386" s="165"/>
      <c r="N386" s="165"/>
      <c r="O386" s="165"/>
      <c r="P386" s="165"/>
      <c r="Q386" s="169" t="s">
        <v>1973</v>
      </c>
      <c r="R386" s="169"/>
      <c r="S386" s="169"/>
      <c r="T386" s="169"/>
      <c r="U386" s="169"/>
      <c r="V386" s="165"/>
      <c r="W386" s="165"/>
      <c r="X386" s="165"/>
      <c r="Y386" s="165"/>
      <c r="Z386" s="165"/>
      <c r="AA386" s="165"/>
      <c r="AB386" s="165"/>
      <c r="AC386" s="165"/>
      <c r="AD386" s="165"/>
      <c r="AE386" s="165"/>
      <c r="AF386" s="165"/>
      <c r="AG386" s="165"/>
      <c r="AH386" s="165"/>
      <c r="AI386" s="165"/>
      <c r="AJ386" s="165"/>
      <c r="AK386" s="165"/>
      <c r="AL386" s="165"/>
      <c r="AM386" s="165"/>
      <c r="AN386" s="169" t="s">
        <v>1368</v>
      </c>
      <c r="AO386" s="165"/>
      <c r="AP386" s="165"/>
      <c r="AQ386" s="165"/>
      <c r="AR386" s="170"/>
      <c r="AS386" s="170"/>
      <c r="AT386" s="165"/>
      <c r="AU386" s="165" t="s">
        <v>1388</v>
      </c>
      <c r="AV386" s="170" t="s">
        <v>1974</v>
      </c>
      <c r="AW386" s="170"/>
      <c r="AX386" s="165"/>
      <c r="AY386" s="165"/>
      <c r="AZ386" s="165"/>
      <c r="BA386" s="165"/>
      <c r="BB386" s="165"/>
      <c r="BC386" s="165"/>
      <c r="BD386" s="165"/>
      <c r="BQ386" s="165"/>
      <c r="BR386" s="165"/>
      <c r="BS386" s="165"/>
    </row>
    <row r="387" spans="1:71" s="188" customFormat="1" ht="28.5">
      <c r="A387" s="209" t="s">
        <v>1975</v>
      </c>
      <c r="B387" s="165"/>
      <c r="C387" s="169"/>
      <c r="D387" s="223">
        <v>39234</v>
      </c>
      <c r="E387" s="209"/>
      <c r="F387" s="165"/>
      <c r="G387" s="165"/>
      <c r="H387" s="165"/>
      <c r="I387" s="165"/>
      <c r="J387" s="165"/>
      <c r="K387" s="165"/>
      <c r="L387" s="165"/>
      <c r="M387" s="165"/>
      <c r="N387" s="165"/>
      <c r="O387" s="165"/>
      <c r="P387" s="165"/>
      <c r="Q387" s="169" t="s">
        <v>1506</v>
      </c>
      <c r="R387" s="169"/>
      <c r="S387" s="169"/>
      <c r="T387" s="169"/>
      <c r="U387" s="169"/>
      <c r="V387" s="165"/>
      <c r="W387" s="165"/>
      <c r="X387" s="165"/>
      <c r="Y387" s="165"/>
      <c r="Z387" s="165"/>
      <c r="AA387" s="165"/>
      <c r="AB387" s="165"/>
      <c r="AC387" s="165"/>
      <c r="AD387" s="165"/>
      <c r="AE387" s="165"/>
      <c r="AF387" s="165"/>
      <c r="AG387" s="165"/>
      <c r="AH387" s="165"/>
      <c r="AI387" s="165"/>
      <c r="AJ387" s="165"/>
      <c r="AK387" s="165"/>
      <c r="AL387" s="165"/>
      <c r="AM387" s="165"/>
      <c r="AN387" s="169" t="s">
        <v>1626</v>
      </c>
      <c r="AO387" s="165"/>
      <c r="AP387" s="165"/>
      <c r="AQ387" s="165"/>
      <c r="AR387" s="170"/>
      <c r="AS387" s="170"/>
      <c r="AT387" s="165"/>
      <c r="AU387" s="165" t="s">
        <v>1388</v>
      </c>
      <c r="AV387" s="170" t="s">
        <v>1976</v>
      </c>
      <c r="AW387" s="170"/>
      <c r="AX387" s="165"/>
      <c r="AY387" s="165"/>
      <c r="AZ387" s="165"/>
      <c r="BA387" s="165"/>
      <c r="BB387" s="165"/>
      <c r="BC387" s="165"/>
      <c r="BD387" s="165"/>
      <c r="BQ387" s="165"/>
      <c r="BR387" s="165"/>
      <c r="BS387" s="165"/>
    </row>
    <row r="388" spans="1:71" s="188" customFormat="1">
      <c r="A388" s="209" t="s">
        <v>1977</v>
      </c>
      <c r="B388" s="165"/>
      <c r="C388" s="169"/>
      <c r="D388" s="223">
        <v>36739</v>
      </c>
      <c r="E388" s="209"/>
      <c r="F388" s="165"/>
      <c r="G388" s="165"/>
      <c r="H388" s="165"/>
      <c r="I388" s="165"/>
      <c r="J388" s="165"/>
      <c r="K388" s="165"/>
      <c r="L388" s="165"/>
      <c r="M388" s="165"/>
      <c r="N388" s="165"/>
      <c r="O388" s="165"/>
      <c r="P388" s="165"/>
      <c r="Q388" s="169" t="s">
        <v>1328</v>
      </c>
      <c r="R388" s="169"/>
      <c r="S388" s="169"/>
      <c r="T388" s="169"/>
      <c r="U388" s="169"/>
      <c r="V388" s="165"/>
      <c r="W388" s="165"/>
      <c r="X388" s="165"/>
      <c r="Y388" s="165"/>
      <c r="Z388" s="165"/>
      <c r="AA388" s="165"/>
      <c r="AB388" s="165"/>
      <c r="AC388" s="165"/>
      <c r="AD388" s="165"/>
      <c r="AE388" s="165"/>
      <c r="AF388" s="165"/>
      <c r="AG388" s="165"/>
      <c r="AH388" s="165"/>
      <c r="AI388" s="165"/>
      <c r="AJ388" s="165"/>
      <c r="AK388" s="165"/>
      <c r="AL388" s="165"/>
      <c r="AM388" s="165"/>
      <c r="AN388" s="169" t="s">
        <v>1348</v>
      </c>
      <c r="AO388" s="165"/>
      <c r="AP388" s="165"/>
      <c r="AQ388" s="165"/>
      <c r="AR388" s="170"/>
      <c r="AS388" s="170"/>
      <c r="AT388" s="165"/>
      <c r="AU388" s="165"/>
      <c r="AV388" s="170"/>
      <c r="AW388" s="170"/>
      <c r="AX388" s="165"/>
      <c r="AY388" s="165"/>
      <c r="AZ388" s="165"/>
      <c r="BA388" s="165"/>
      <c r="BB388" s="165"/>
      <c r="BC388" s="165"/>
      <c r="BD388" s="165"/>
      <c r="BQ388" s="165"/>
      <c r="BR388" s="165"/>
      <c r="BS388" s="165"/>
    </row>
    <row r="389" spans="1:71" s="188" customFormat="1">
      <c r="A389" s="209" t="s">
        <v>1978</v>
      </c>
      <c r="B389" s="165"/>
      <c r="C389" s="169"/>
      <c r="D389" s="223">
        <v>36251</v>
      </c>
      <c r="E389" s="209"/>
      <c r="F389" s="165"/>
      <c r="G389" s="165"/>
      <c r="H389" s="165"/>
      <c r="I389" s="165"/>
      <c r="J389" s="165"/>
      <c r="K389" s="165"/>
      <c r="L389" s="165"/>
      <c r="M389" s="165"/>
      <c r="N389" s="165"/>
      <c r="O389" s="165"/>
      <c r="P389" s="165"/>
      <c r="Q389" s="169" t="s">
        <v>1328</v>
      </c>
      <c r="R389" s="169"/>
      <c r="S389" s="169"/>
      <c r="T389" s="169"/>
      <c r="U389" s="169"/>
      <c r="V389" s="165"/>
      <c r="W389" s="165"/>
      <c r="X389" s="165"/>
      <c r="Y389" s="165"/>
      <c r="Z389" s="165"/>
      <c r="AA389" s="165"/>
      <c r="AB389" s="165"/>
      <c r="AC389" s="165"/>
      <c r="AD389" s="165"/>
      <c r="AE389" s="165"/>
      <c r="AF389" s="165"/>
      <c r="AG389" s="165"/>
      <c r="AH389" s="165"/>
      <c r="AI389" s="165"/>
      <c r="AJ389" s="165"/>
      <c r="AK389" s="165"/>
      <c r="AL389" s="165"/>
      <c r="AM389" s="165"/>
      <c r="AN389" s="169" t="s">
        <v>1397</v>
      </c>
      <c r="AO389" s="165"/>
      <c r="AP389" s="165"/>
      <c r="AQ389" s="165"/>
      <c r="AR389" s="170"/>
      <c r="AS389" s="170"/>
      <c r="AT389" s="165"/>
      <c r="AU389" s="165"/>
      <c r="AV389" s="170"/>
      <c r="AW389" s="170"/>
      <c r="AX389" s="165"/>
      <c r="AY389" s="165"/>
      <c r="AZ389" s="165"/>
      <c r="BA389" s="165"/>
      <c r="BB389" s="165"/>
      <c r="BC389" s="165"/>
      <c r="BD389" s="165"/>
      <c r="BQ389" s="165"/>
      <c r="BR389" s="165"/>
      <c r="BS389" s="165"/>
    </row>
    <row r="390" spans="1:71" s="188" customFormat="1">
      <c r="A390" s="209" t="s">
        <v>1979</v>
      </c>
      <c r="B390" s="165"/>
      <c r="C390" s="169"/>
      <c r="D390" s="223">
        <v>37803</v>
      </c>
      <c r="E390" s="209"/>
      <c r="F390" s="165"/>
      <c r="G390" s="165"/>
      <c r="H390" s="165"/>
      <c r="I390" s="165"/>
      <c r="J390" s="165"/>
      <c r="K390" s="165"/>
      <c r="L390" s="165"/>
      <c r="M390" s="165"/>
      <c r="N390" s="165"/>
      <c r="O390" s="165"/>
      <c r="P390" s="165"/>
      <c r="Q390" s="169" t="s">
        <v>1553</v>
      </c>
      <c r="R390" s="169"/>
      <c r="S390" s="169"/>
      <c r="T390" s="169"/>
      <c r="U390" s="169"/>
      <c r="V390" s="165"/>
      <c r="W390" s="165"/>
      <c r="X390" s="165"/>
      <c r="Y390" s="165"/>
      <c r="Z390" s="165"/>
      <c r="AA390" s="165"/>
      <c r="AB390" s="165"/>
      <c r="AC390" s="165"/>
      <c r="AD390" s="165"/>
      <c r="AE390" s="165"/>
      <c r="AF390" s="165"/>
      <c r="AG390" s="165"/>
      <c r="AH390" s="165"/>
      <c r="AI390" s="165"/>
      <c r="AJ390" s="165"/>
      <c r="AK390" s="165"/>
      <c r="AL390" s="165"/>
      <c r="AM390" s="165"/>
      <c r="AN390" s="169" t="s">
        <v>1397</v>
      </c>
      <c r="AO390" s="165"/>
      <c r="AP390" s="165"/>
      <c r="AQ390" s="165"/>
      <c r="AR390" s="170"/>
      <c r="AS390" s="170"/>
      <c r="AT390" s="165"/>
      <c r="AU390" s="165" t="s">
        <v>1388</v>
      </c>
      <c r="AV390" s="170" t="s">
        <v>1980</v>
      </c>
      <c r="AW390" s="170"/>
      <c r="AX390" s="165"/>
      <c r="AY390" s="165"/>
      <c r="AZ390" s="165"/>
      <c r="BA390" s="165"/>
      <c r="BB390" s="165"/>
      <c r="BC390" s="165"/>
      <c r="BD390" s="165"/>
      <c r="BQ390" s="165"/>
      <c r="BR390" s="165"/>
      <c r="BS390" s="165"/>
    </row>
    <row r="391" spans="1:71" s="188" customFormat="1" ht="28.5">
      <c r="A391" s="209" t="s">
        <v>1981</v>
      </c>
      <c r="B391" s="165"/>
      <c r="C391" s="169"/>
      <c r="D391" s="223">
        <v>38231</v>
      </c>
      <c r="E391" s="209"/>
      <c r="F391" s="165"/>
      <c r="G391" s="165"/>
      <c r="H391" s="165"/>
      <c r="I391" s="165"/>
      <c r="J391" s="165"/>
      <c r="K391" s="165"/>
      <c r="L391" s="165"/>
      <c r="M391" s="165"/>
      <c r="N391" s="165"/>
      <c r="O391" s="165"/>
      <c r="P391" s="165"/>
      <c r="Q391" s="169" t="s">
        <v>1553</v>
      </c>
      <c r="R391" s="169"/>
      <c r="S391" s="169"/>
      <c r="T391" s="169"/>
      <c r="U391" s="169"/>
      <c r="V391" s="165"/>
      <c r="W391" s="165"/>
      <c r="X391" s="165"/>
      <c r="Y391" s="165"/>
      <c r="Z391" s="165"/>
      <c r="AA391" s="165"/>
      <c r="AB391" s="165"/>
      <c r="AC391" s="165"/>
      <c r="AD391" s="165"/>
      <c r="AE391" s="165"/>
      <c r="AF391" s="165"/>
      <c r="AG391" s="165"/>
      <c r="AH391" s="165"/>
      <c r="AI391" s="165"/>
      <c r="AJ391" s="165"/>
      <c r="AK391" s="165"/>
      <c r="AL391" s="165"/>
      <c r="AM391" s="165"/>
      <c r="AN391" s="169" t="s">
        <v>1982</v>
      </c>
      <c r="AO391" s="165"/>
      <c r="AP391" s="165"/>
      <c r="AQ391" s="165"/>
      <c r="AR391" s="170"/>
      <c r="AS391" s="170"/>
      <c r="AT391" s="165"/>
      <c r="AU391" s="165" t="s">
        <v>1388</v>
      </c>
      <c r="AV391" s="170" t="s">
        <v>1983</v>
      </c>
      <c r="AW391" s="170"/>
      <c r="AX391" s="165"/>
      <c r="AY391" s="165"/>
      <c r="AZ391" s="165"/>
      <c r="BA391" s="165"/>
      <c r="BB391" s="165"/>
      <c r="BC391" s="165"/>
      <c r="BD391" s="165"/>
      <c r="BQ391" s="165"/>
      <c r="BR391" s="165"/>
      <c r="BS391" s="165"/>
    </row>
    <row r="392" spans="1:71" s="188" customFormat="1">
      <c r="A392" s="209" t="s">
        <v>1984</v>
      </c>
      <c r="B392" s="165"/>
      <c r="C392" s="169"/>
      <c r="D392" s="223">
        <v>37012</v>
      </c>
      <c r="E392" s="209"/>
      <c r="F392" s="165"/>
      <c r="G392" s="165"/>
      <c r="H392" s="165"/>
      <c r="I392" s="165"/>
      <c r="J392" s="165"/>
      <c r="K392" s="165"/>
      <c r="L392" s="165"/>
      <c r="M392" s="165"/>
      <c r="N392" s="165"/>
      <c r="O392" s="165"/>
      <c r="P392" s="165"/>
      <c r="Q392" s="169"/>
      <c r="R392" s="169"/>
      <c r="S392" s="169"/>
      <c r="T392" s="169"/>
      <c r="U392" s="169"/>
      <c r="V392" s="165"/>
      <c r="W392" s="165"/>
      <c r="X392" s="165"/>
      <c r="Y392" s="165"/>
      <c r="Z392" s="165"/>
      <c r="AA392" s="165"/>
      <c r="AB392" s="165"/>
      <c r="AC392" s="165"/>
      <c r="AD392" s="165"/>
      <c r="AE392" s="165"/>
      <c r="AF392" s="165"/>
      <c r="AG392" s="165"/>
      <c r="AH392" s="165"/>
      <c r="AI392" s="165"/>
      <c r="AJ392" s="165"/>
      <c r="AK392" s="165"/>
      <c r="AL392" s="165"/>
      <c r="AM392" s="165"/>
      <c r="AN392" s="169" t="s">
        <v>1397</v>
      </c>
      <c r="AO392" s="165"/>
      <c r="AP392" s="165"/>
      <c r="AQ392" s="165"/>
      <c r="AR392" s="170"/>
      <c r="AS392" s="170"/>
      <c r="AT392" s="165"/>
      <c r="AU392" s="165"/>
      <c r="AV392" s="170"/>
      <c r="AW392" s="170"/>
      <c r="AX392" s="165"/>
      <c r="AY392" s="165"/>
      <c r="AZ392" s="165"/>
      <c r="BA392" s="165"/>
      <c r="BB392" s="165"/>
      <c r="BC392" s="165"/>
      <c r="BD392" s="165"/>
      <c r="BQ392" s="165"/>
      <c r="BR392" s="165"/>
      <c r="BS392" s="165"/>
    </row>
    <row r="393" spans="1:71" s="188" customFormat="1">
      <c r="A393" s="211" t="s">
        <v>1985</v>
      </c>
      <c r="B393" s="165"/>
      <c r="C393" s="211"/>
      <c r="D393" s="221"/>
      <c r="E393" s="211"/>
      <c r="F393" s="186"/>
      <c r="G393" s="185"/>
      <c r="H393" s="211"/>
      <c r="I393" s="211"/>
      <c r="J393" s="211"/>
      <c r="K393" s="211"/>
      <c r="L393" s="211" t="s">
        <v>1440</v>
      </c>
      <c r="M393" s="211"/>
      <c r="N393" s="211"/>
      <c r="O393" s="211"/>
      <c r="P393" s="186"/>
      <c r="Q393" s="184" t="s">
        <v>1402</v>
      </c>
      <c r="R393" s="184"/>
      <c r="S393" s="184"/>
      <c r="T393" s="184"/>
      <c r="U393" s="184"/>
      <c r="V393" s="185"/>
      <c r="W393" s="185"/>
      <c r="X393" s="165"/>
      <c r="Y393" s="165"/>
      <c r="Z393" s="165"/>
      <c r="AA393" s="165"/>
      <c r="AB393" s="165"/>
      <c r="AC393" s="165"/>
      <c r="AD393" s="165"/>
      <c r="AE393" s="186"/>
      <c r="AF393" s="186"/>
      <c r="AG393" s="165"/>
      <c r="AH393" s="185"/>
      <c r="AI393" s="186"/>
      <c r="AJ393" s="185"/>
      <c r="AK393" s="165"/>
      <c r="AL393" s="185"/>
      <c r="AM393" s="185"/>
      <c r="AN393" s="186"/>
      <c r="AO393" s="211"/>
      <c r="AP393" s="165"/>
      <c r="AQ393" s="165"/>
      <c r="AR393" s="170"/>
      <c r="AS393" s="170"/>
      <c r="AT393" s="165"/>
      <c r="AU393" s="185" t="s">
        <v>1257</v>
      </c>
      <c r="AV393" s="31" t="s">
        <v>1986</v>
      </c>
      <c r="AW393" s="31"/>
      <c r="AX393" s="185"/>
      <c r="AY393" s="185"/>
      <c r="AZ393" s="185"/>
      <c r="BA393" s="185"/>
      <c r="BB393" s="185"/>
      <c r="BC393" s="185"/>
      <c r="BD393" s="185"/>
      <c r="BQ393" s="207"/>
      <c r="BR393" s="207"/>
      <c r="BS393" s="207"/>
    </row>
    <row r="394" spans="1:71" s="188" customFormat="1">
      <c r="A394" s="211" t="s">
        <v>1987</v>
      </c>
      <c r="B394" s="165"/>
      <c r="C394" s="211"/>
      <c r="D394" s="221"/>
      <c r="E394" s="211"/>
      <c r="F394" s="186"/>
      <c r="G394" s="185"/>
      <c r="H394" s="211"/>
      <c r="I394" s="211"/>
      <c r="J394" s="211"/>
      <c r="K394" s="211"/>
      <c r="L394" s="211" t="s">
        <v>1511</v>
      </c>
      <c r="M394" s="211"/>
      <c r="N394" s="211"/>
      <c r="O394" s="211"/>
      <c r="P394" s="186"/>
      <c r="Q394" s="184" t="s">
        <v>1402</v>
      </c>
      <c r="R394" s="184"/>
      <c r="S394" s="184"/>
      <c r="T394" s="184"/>
      <c r="U394" s="184"/>
      <c r="V394" s="185"/>
      <c r="W394" s="185"/>
      <c r="X394" s="165"/>
      <c r="Y394" s="165"/>
      <c r="Z394" s="165"/>
      <c r="AA394" s="165"/>
      <c r="AB394" s="165"/>
      <c r="AC394" s="165"/>
      <c r="AD394" s="165"/>
      <c r="AE394" s="186"/>
      <c r="AF394" s="186"/>
      <c r="AG394" s="165"/>
      <c r="AH394" s="185"/>
      <c r="AI394" s="186"/>
      <c r="AJ394" s="185"/>
      <c r="AK394" s="165"/>
      <c r="AL394" s="185"/>
      <c r="AM394" s="185"/>
      <c r="AN394" s="186"/>
      <c r="AO394" s="211"/>
      <c r="AP394" s="165"/>
      <c r="AQ394" s="165"/>
      <c r="AR394" s="170"/>
      <c r="AS394" s="170"/>
      <c r="AT394" s="165"/>
      <c r="AU394" s="185" t="s">
        <v>1257</v>
      </c>
      <c r="AV394" s="31" t="s">
        <v>1988</v>
      </c>
      <c r="AW394" s="31"/>
      <c r="AX394" s="185"/>
      <c r="AY394" s="185"/>
      <c r="AZ394" s="185"/>
      <c r="BA394" s="185"/>
      <c r="BB394" s="185"/>
      <c r="BC394" s="185"/>
      <c r="BD394" s="185"/>
      <c r="BQ394" s="207"/>
      <c r="BR394" s="207"/>
      <c r="BS394" s="207"/>
    </row>
    <row r="395" spans="1:71" s="188" customFormat="1">
      <c r="A395" s="209" t="s">
        <v>1989</v>
      </c>
      <c r="B395" s="165"/>
      <c r="C395" s="169"/>
      <c r="D395" s="223">
        <v>38384</v>
      </c>
      <c r="E395" s="209"/>
      <c r="F395" s="165"/>
      <c r="G395" s="165"/>
      <c r="H395" s="165"/>
      <c r="I395" s="165"/>
      <c r="J395" s="165"/>
      <c r="K395" s="165"/>
      <c r="L395" s="165"/>
      <c r="M395" s="165"/>
      <c r="N395" s="165"/>
      <c r="O395" s="165"/>
      <c r="P395" s="165"/>
      <c r="Q395" s="169" t="s">
        <v>1328</v>
      </c>
      <c r="R395" s="169"/>
      <c r="S395" s="169"/>
      <c r="T395" s="169"/>
      <c r="U395" s="169"/>
      <c r="V395" s="165"/>
      <c r="W395" s="165"/>
      <c r="X395" s="165"/>
      <c r="Y395" s="165"/>
      <c r="Z395" s="165"/>
      <c r="AA395" s="165"/>
      <c r="AB395" s="165"/>
      <c r="AC395" s="165"/>
      <c r="AD395" s="165"/>
      <c r="AE395" s="165"/>
      <c r="AF395" s="165"/>
      <c r="AG395" s="165"/>
      <c r="AH395" s="165"/>
      <c r="AI395" s="165"/>
      <c r="AJ395" s="165"/>
      <c r="AK395" s="165"/>
      <c r="AL395" s="165"/>
      <c r="AM395" s="165"/>
      <c r="AN395" s="169" t="s">
        <v>1383</v>
      </c>
      <c r="AO395" s="165"/>
      <c r="AP395" s="165"/>
      <c r="AQ395" s="165"/>
      <c r="AR395" s="170"/>
      <c r="AS395" s="170"/>
      <c r="AT395" s="165"/>
      <c r="AU395" s="165" t="s">
        <v>1388</v>
      </c>
      <c r="AV395" s="170" t="s">
        <v>1990</v>
      </c>
      <c r="AW395" s="170"/>
      <c r="AX395" s="165"/>
      <c r="AY395" s="165"/>
      <c r="AZ395" s="165"/>
      <c r="BA395" s="165"/>
      <c r="BB395" s="165"/>
      <c r="BC395" s="165"/>
      <c r="BD395" s="165"/>
      <c r="BQ395" s="165"/>
      <c r="BR395" s="165"/>
      <c r="BS395" s="165"/>
    </row>
    <row r="396" spans="1:71" s="188" customFormat="1">
      <c r="A396" s="211" t="s">
        <v>1991</v>
      </c>
      <c r="B396" s="165"/>
      <c r="C396" s="211"/>
      <c r="D396" s="221"/>
      <c r="E396" s="211"/>
      <c r="F396" s="186"/>
      <c r="G396" s="185"/>
      <c r="H396" s="211"/>
      <c r="I396" s="211"/>
      <c r="J396" s="211"/>
      <c r="K396" s="211"/>
      <c r="L396" s="211"/>
      <c r="M396" s="211"/>
      <c r="N396" s="211"/>
      <c r="O396" s="211"/>
      <c r="P396" s="186"/>
      <c r="Q396" s="184" t="s">
        <v>1402</v>
      </c>
      <c r="R396" s="184"/>
      <c r="S396" s="184"/>
      <c r="T396" s="184"/>
      <c r="U396" s="184"/>
      <c r="V396" s="185"/>
      <c r="W396" s="185"/>
      <c r="X396" s="165"/>
      <c r="Y396" s="165"/>
      <c r="Z396" s="165"/>
      <c r="AA396" s="165"/>
      <c r="AB396" s="165"/>
      <c r="AC396" s="165"/>
      <c r="AD396" s="165"/>
      <c r="AE396" s="186"/>
      <c r="AF396" s="186"/>
      <c r="AG396" s="165"/>
      <c r="AH396" s="185"/>
      <c r="AI396" s="186"/>
      <c r="AJ396" s="185"/>
      <c r="AK396" s="165"/>
      <c r="AL396" s="185"/>
      <c r="AM396" s="185"/>
      <c r="AN396" s="186"/>
      <c r="AO396" s="211"/>
      <c r="AP396" s="165"/>
      <c r="AQ396" s="165"/>
      <c r="AR396" s="170"/>
      <c r="AS396" s="170"/>
      <c r="AT396" s="165"/>
      <c r="AU396" s="185" t="s">
        <v>1257</v>
      </c>
      <c r="AV396" s="31" t="s">
        <v>1992</v>
      </c>
      <c r="AW396" s="31"/>
      <c r="AX396" s="185"/>
      <c r="AY396" s="185"/>
      <c r="AZ396" s="185"/>
      <c r="BA396" s="185"/>
      <c r="BB396" s="185"/>
      <c r="BC396" s="185"/>
      <c r="BD396" s="185"/>
      <c r="BQ396" s="207"/>
      <c r="BR396" s="207"/>
      <c r="BS396" s="207"/>
    </row>
    <row r="397" spans="1:71" s="188" customFormat="1">
      <c r="A397" s="209" t="s">
        <v>1993</v>
      </c>
      <c r="B397" s="165"/>
      <c r="C397" s="169"/>
      <c r="D397" s="223">
        <v>38261</v>
      </c>
      <c r="E397" s="209"/>
      <c r="F397" s="165"/>
      <c r="G397" s="165"/>
      <c r="H397" s="165"/>
      <c r="I397" s="165"/>
      <c r="J397" s="165"/>
      <c r="K397" s="165"/>
      <c r="L397" s="165"/>
      <c r="M397" s="165"/>
      <c r="N397" s="165"/>
      <c r="O397" s="165"/>
      <c r="P397" s="165"/>
      <c r="Q397" s="169" t="s">
        <v>1396</v>
      </c>
      <c r="R397" s="169"/>
      <c r="S397" s="169"/>
      <c r="T397" s="169"/>
      <c r="U397" s="169"/>
      <c r="V397" s="165"/>
      <c r="W397" s="165"/>
      <c r="X397" s="165"/>
      <c r="Y397" s="165"/>
      <c r="Z397" s="165"/>
      <c r="AA397" s="165"/>
      <c r="AB397" s="165"/>
      <c r="AC397" s="165"/>
      <c r="AD397" s="165"/>
      <c r="AE397" s="165"/>
      <c r="AF397" s="165"/>
      <c r="AG397" s="165"/>
      <c r="AH397" s="165"/>
      <c r="AI397" s="165"/>
      <c r="AJ397" s="165"/>
      <c r="AK397" s="165"/>
      <c r="AL397" s="165"/>
      <c r="AM397" s="165"/>
      <c r="AN397" s="169" t="s">
        <v>1383</v>
      </c>
      <c r="AO397" s="165"/>
      <c r="AP397" s="165"/>
      <c r="AQ397" s="165"/>
      <c r="AR397" s="170"/>
      <c r="AS397" s="170"/>
      <c r="AT397" s="165"/>
      <c r="AU397" s="165" t="s">
        <v>1388</v>
      </c>
      <c r="AV397" s="170" t="s">
        <v>1994</v>
      </c>
      <c r="AW397" s="170"/>
      <c r="AX397" s="165"/>
      <c r="AY397" s="165"/>
      <c r="AZ397" s="165"/>
      <c r="BA397" s="165"/>
      <c r="BB397" s="165"/>
      <c r="BC397" s="165"/>
      <c r="BD397" s="165"/>
      <c r="BQ397" s="165"/>
      <c r="BR397" s="165"/>
      <c r="BS397" s="165"/>
    </row>
    <row r="398" spans="1:71" s="188" customFormat="1">
      <c r="A398" s="209" t="s">
        <v>1995</v>
      </c>
      <c r="B398" s="165"/>
      <c r="C398" s="169"/>
      <c r="D398" s="223">
        <v>36708</v>
      </c>
      <c r="E398" s="209"/>
      <c r="F398" s="165"/>
      <c r="G398" s="165"/>
      <c r="H398" s="165"/>
      <c r="I398" s="165"/>
      <c r="J398" s="165"/>
      <c r="K398" s="165"/>
      <c r="L398" s="165"/>
      <c r="M398" s="165"/>
      <c r="N398" s="165"/>
      <c r="O398" s="165"/>
      <c r="P398" s="165"/>
      <c r="Q398" s="169" t="s">
        <v>1996</v>
      </c>
      <c r="R398" s="169"/>
      <c r="S398" s="169"/>
      <c r="T398" s="169"/>
      <c r="U398" s="169"/>
      <c r="V398" s="165"/>
      <c r="W398" s="165"/>
      <c r="X398" s="165"/>
      <c r="Y398" s="165"/>
      <c r="Z398" s="165"/>
      <c r="AA398" s="165"/>
      <c r="AB398" s="165"/>
      <c r="AC398" s="165"/>
      <c r="AD398" s="165"/>
      <c r="AE398" s="165"/>
      <c r="AF398" s="165"/>
      <c r="AG398" s="165"/>
      <c r="AH398" s="165"/>
      <c r="AI398" s="165"/>
      <c r="AJ398" s="165"/>
      <c r="AK398" s="165"/>
      <c r="AL398" s="165"/>
      <c r="AM398" s="165"/>
      <c r="AN398" s="169" t="s">
        <v>1383</v>
      </c>
      <c r="AO398" s="165"/>
      <c r="AP398" s="165"/>
      <c r="AQ398" s="165"/>
      <c r="AR398" s="170"/>
      <c r="AS398" s="170"/>
      <c r="AT398" s="165"/>
      <c r="AU398" s="165" t="s">
        <v>1388</v>
      </c>
      <c r="AV398" s="170" t="s">
        <v>1997</v>
      </c>
      <c r="AW398" s="170"/>
      <c r="AX398" s="165"/>
      <c r="AY398" s="165"/>
      <c r="AZ398" s="165"/>
      <c r="BA398" s="165"/>
      <c r="BB398" s="165"/>
      <c r="BC398" s="165"/>
      <c r="BD398" s="165"/>
      <c r="BQ398" s="165"/>
      <c r="BR398" s="165"/>
      <c r="BS398" s="165"/>
    </row>
    <row r="399" spans="1:71" s="188" customFormat="1" ht="28.5">
      <c r="A399" s="209" t="s">
        <v>1998</v>
      </c>
      <c r="B399" s="165"/>
      <c r="C399" s="169"/>
      <c r="D399" s="223">
        <v>38473</v>
      </c>
      <c r="E399" s="209"/>
      <c r="F399" s="165"/>
      <c r="G399" s="165"/>
      <c r="H399" s="165"/>
      <c r="I399" s="165"/>
      <c r="J399" s="165"/>
      <c r="K399" s="165"/>
      <c r="L399" s="165" t="s">
        <v>1511</v>
      </c>
      <c r="M399" s="165"/>
      <c r="N399" s="165"/>
      <c r="O399" s="165"/>
      <c r="P399" s="165"/>
      <c r="Q399" s="169" t="s">
        <v>1999</v>
      </c>
      <c r="R399" s="169"/>
      <c r="S399" s="169"/>
      <c r="T399" s="169"/>
      <c r="U399" s="169"/>
      <c r="V399" s="165"/>
      <c r="W399" s="165"/>
      <c r="X399" s="165"/>
      <c r="Y399" s="165"/>
      <c r="Z399" s="165"/>
      <c r="AA399" s="165"/>
      <c r="AB399" s="165"/>
      <c r="AC399" s="165"/>
      <c r="AD399" s="165"/>
      <c r="AE399" s="165"/>
      <c r="AF399" s="165"/>
      <c r="AG399" s="165"/>
      <c r="AH399" s="165"/>
      <c r="AI399" s="165"/>
      <c r="AJ399" s="165"/>
      <c r="AK399" s="165"/>
      <c r="AL399" s="165"/>
      <c r="AM399" s="165"/>
      <c r="AN399" s="169" t="s">
        <v>1262</v>
      </c>
      <c r="AO399" s="165"/>
      <c r="AP399" s="165"/>
      <c r="AQ399" s="165"/>
      <c r="AR399" s="170"/>
      <c r="AS399" s="170"/>
      <c r="AT399" s="165"/>
      <c r="AU399" s="165" t="s">
        <v>1388</v>
      </c>
      <c r="AV399" s="170" t="s">
        <v>2000</v>
      </c>
      <c r="AW399" s="170"/>
      <c r="AX399" s="165"/>
      <c r="AY399" s="165"/>
      <c r="AZ399" s="165"/>
      <c r="BA399" s="165"/>
      <c r="BB399" s="165"/>
      <c r="BC399" s="165"/>
      <c r="BD399" s="165"/>
      <c r="BQ399" s="165"/>
      <c r="BR399" s="165"/>
      <c r="BS399" s="165"/>
    </row>
    <row r="400" spans="1:71" s="188" customFormat="1" ht="28.5">
      <c r="A400" s="209" t="s">
        <v>2001</v>
      </c>
      <c r="B400" s="165"/>
      <c r="C400" s="169"/>
      <c r="D400" s="223"/>
      <c r="E400" s="209"/>
      <c r="F400" s="165"/>
      <c r="G400" s="165"/>
      <c r="H400" s="165"/>
      <c r="I400" s="165"/>
      <c r="J400" s="165"/>
      <c r="K400" s="165"/>
      <c r="L400" s="165"/>
      <c r="M400" s="165"/>
      <c r="N400" s="165"/>
      <c r="O400" s="165"/>
      <c r="P400" s="165"/>
      <c r="Q400" s="169"/>
      <c r="R400" s="169"/>
      <c r="S400" s="169"/>
      <c r="T400" s="169"/>
      <c r="U400" s="169"/>
      <c r="V400" s="165"/>
      <c r="W400" s="165"/>
      <c r="X400" s="165"/>
      <c r="Y400" s="165"/>
      <c r="Z400" s="165"/>
      <c r="AA400" s="165"/>
      <c r="AB400" s="165"/>
      <c r="AC400" s="165"/>
      <c r="AD400" s="165"/>
      <c r="AE400" s="165"/>
      <c r="AF400" s="165"/>
      <c r="AG400" s="165"/>
      <c r="AH400" s="165"/>
      <c r="AI400" s="165"/>
      <c r="AJ400" s="165"/>
      <c r="AK400" s="165"/>
      <c r="AL400" s="165"/>
      <c r="AM400" s="165"/>
      <c r="AN400" s="169" t="s">
        <v>1368</v>
      </c>
      <c r="AO400" s="165"/>
      <c r="AP400" s="165"/>
      <c r="AQ400" s="165"/>
      <c r="AR400" s="170"/>
      <c r="AS400" s="170"/>
      <c r="AT400" s="165"/>
      <c r="AU400" s="165" t="s">
        <v>1388</v>
      </c>
      <c r="AV400" s="170" t="s">
        <v>2002</v>
      </c>
      <c r="AW400" s="170"/>
      <c r="AX400" s="165"/>
      <c r="AY400" s="165"/>
      <c r="AZ400" s="165"/>
      <c r="BA400" s="165"/>
      <c r="BB400" s="165"/>
      <c r="BC400" s="165"/>
      <c r="BD400" s="165"/>
      <c r="BQ400" s="165"/>
      <c r="BR400" s="165"/>
      <c r="BS400" s="165"/>
    </row>
    <row r="401" spans="1:83" s="188" customFormat="1">
      <c r="A401" s="209" t="s">
        <v>2003</v>
      </c>
      <c r="B401" s="165"/>
      <c r="C401" s="169"/>
      <c r="D401" s="223">
        <v>38443</v>
      </c>
      <c r="E401" s="209"/>
      <c r="F401" s="165"/>
      <c r="G401" s="165"/>
      <c r="H401" s="165"/>
      <c r="I401" s="165"/>
      <c r="J401" s="165"/>
      <c r="K401" s="165"/>
      <c r="L401" s="165"/>
      <c r="M401" s="165"/>
      <c r="N401" s="165"/>
      <c r="O401" s="165"/>
      <c r="P401" s="165"/>
      <c r="Q401" s="169" t="s">
        <v>2004</v>
      </c>
      <c r="R401" s="169"/>
      <c r="S401" s="169"/>
      <c r="T401" s="169"/>
      <c r="U401" s="169"/>
      <c r="V401" s="165"/>
      <c r="W401" s="165"/>
      <c r="X401" s="165"/>
      <c r="Y401" s="165"/>
      <c r="Z401" s="165"/>
      <c r="AA401" s="165"/>
      <c r="AB401" s="165"/>
      <c r="AC401" s="165"/>
      <c r="AD401" s="165"/>
      <c r="AE401" s="165"/>
      <c r="AF401" s="165"/>
      <c r="AG401" s="165"/>
      <c r="AH401" s="165"/>
      <c r="AI401" s="165"/>
      <c r="AJ401" s="165"/>
      <c r="AK401" s="165"/>
      <c r="AL401" s="165"/>
      <c r="AM401" s="165"/>
      <c r="AN401" s="169" t="s">
        <v>1383</v>
      </c>
      <c r="AO401" s="165"/>
      <c r="AP401" s="165"/>
      <c r="AQ401" s="165"/>
      <c r="AR401" s="170"/>
      <c r="AS401" s="170"/>
      <c r="AT401" s="165"/>
      <c r="AU401" s="165" t="s">
        <v>1388</v>
      </c>
      <c r="AV401" s="170" t="s">
        <v>2005</v>
      </c>
      <c r="AW401" s="170"/>
      <c r="AX401" s="165"/>
      <c r="AY401" s="165"/>
      <c r="AZ401" s="165"/>
      <c r="BA401" s="165"/>
      <c r="BB401" s="165"/>
      <c r="BC401" s="165"/>
      <c r="BD401" s="165"/>
      <c r="BQ401" s="165"/>
      <c r="BR401" s="165"/>
      <c r="BS401" s="165"/>
    </row>
    <row r="402" spans="1:83" s="188" customFormat="1" ht="28.5">
      <c r="A402" s="209" t="s">
        <v>2006</v>
      </c>
      <c r="B402" s="165"/>
      <c r="C402" s="169"/>
      <c r="D402" s="223">
        <v>37469</v>
      </c>
      <c r="E402" s="209"/>
      <c r="F402" s="165"/>
      <c r="G402" s="165"/>
      <c r="H402" s="165"/>
      <c r="I402" s="165"/>
      <c r="J402" s="165"/>
      <c r="K402" s="165"/>
      <c r="L402" s="165"/>
      <c r="M402" s="165"/>
      <c r="N402" s="165"/>
      <c r="O402" s="165"/>
      <c r="P402" s="165"/>
      <c r="Q402" s="169" t="s">
        <v>1410</v>
      </c>
      <c r="R402" s="169"/>
      <c r="S402" s="169"/>
      <c r="T402" s="169"/>
      <c r="U402" s="169"/>
      <c r="V402" s="165"/>
      <c r="W402" s="165"/>
      <c r="X402" s="165"/>
      <c r="Y402" s="165"/>
      <c r="Z402" s="165"/>
      <c r="AA402" s="165"/>
      <c r="AB402" s="165"/>
      <c r="AC402" s="165"/>
      <c r="AD402" s="165"/>
      <c r="AE402" s="165"/>
      <c r="AF402" s="165"/>
      <c r="AG402" s="165"/>
      <c r="AH402" s="165"/>
      <c r="AI402" s="165"/>
      <c r="AJ402" s="165"/>
      <c r="AK402" s="165"/>
      <c r="AL402" s="165"/>
      <c r="AM402" s="165"/>
      <c r="AN402" s="169" t="s">
        <v>1368</v>
      </c>
      <c r="AO402" s="165"/>
      <c r="AP402" s="165"/>
      <c r="AQ402" s="165"/>
      <c r="AR402" s="170"/>
      <c r="AS402" s="170"/>
      <c r="AT402" s="165"/>
      <c r="AU402" s="165" t="s">
        <v>1388</v>
      </c>
      <c r="AV402" s="170" t="s">
        <v>2007</v>
      </c>
      <c r="AW402" s="170"/>
      <c r="AX402" s="165"/>
      <c r="AY402" s="165"/>
      <c r="AZ402" s="165"/>
      <c r="BA402" s="165"/>
      <c r="BB402" s="165"/>
      <c r="BC402" s="165"/>
      <c r="BD402" s="165"/>
      <c r="BQ402" s="165"/>
      <c r="BR402" s="165"/>
      <c r="BS402" s="165"/>
    </row>
    <row r="403" spans="1:83" s="188" customFormat="1">
      <c r="A403" s="209" t="s">
        <v>2008</v>
      </c>
      <c r="B403" s="165"/>
      <c r="C403" s="169"/>
      <c r="D403" s="223">
        <v>39114</v>
      </c>
      <c r="E403" s="209"/>
      <c r="F403" s="165"/>
      <c r="G403" s="165"/>
      <c r="H403" s="165"/>
      <c r="I403" s="165"/>
      <c r="J403" s="165"/>
      <c r="K403" s="165"/>
      <c r="L403" s="165"/>
      <c r="M403" s="165"/>
      <c r="N403" s="165"/>
      <c r="O403" s="165"/>
      <c r="P403" s="165"/>
      <c r="Q403" s="169" t="s">
        <v>2009</v>
      </c>
      <c r="R403" s="169"/>
      <c r="S403" s="169"/>
      <c r="T403" s="169"/>
      <c r="U403" s="169"/>
      <c r="V403" s="165"/>
      <c r="W403" s="165"/>
      <c r="X403" s="165"/>
      <c r="Y403" s="165"/>
      <c r="Z403" s="165"/>
      <c r="AA403" s="165"/>
      <c r="AB403" s="165"/>
      <c r="AC403" s="165"/>
      <c r="AD403" s="165"/>
      <c r="AE403" s="165"/>
      <c r="AF403" s="165"/>
      <c r="AG403" s="165"/>
      <c r="AH403" s="165"/>
      <c r="AI403" s="165"/>
      <c r="AJ403" s="165"/>
      <c r="AK403" s="165"/>
      <c r="AL403" s="165"/>
      <c r="AM403" s="165"/>
      <c r="AN403" s="169" t="s">
        <v>1348</v>
      </c>
      <c r="AO403" s="165"/>
      <c r="AP403" s="165"/>
      <c r="AQ403" s="165"/>
      <c r="AR403" s="170"/>
      <c r="AS403" s="170"/>
      <c r="AT403" s="165"/>
      <c r="AU403" s="165" t="s">
        <v>1388</v>
      </c>
      <c r="AV403" s="170" t="s">
        <v>2010</v>
      </c>
      <c r="AW403" s="170"/>
      <c r="AX403" s="165"/>
      <c r="AY403" s="165"/>
      <c r="AZ403" s="165"/>
      <c r="BA403" s="165"/>
      <c r="BB403" s="165"/>
      <c r="BC403" s="165"/>
      <c r="BD403" s="165"/>
      <c r="BQ403" s="165"/>
      <c r="BR403" s="165"/>
      <c r="BS403" s="165"/>
    </row>
    <row r="404" spans="1:83" s="188" customFormat="1" ht="28.5">
      <c r="A404" s="209" t="s">
        <v>2011</v>
      </c>
      <c r="B404" s="165"/>
      <c r="C404" s="169"/>
      <c r="D404" s="223">
        <v>36039</v>
      </c>
      <c r="E404" s="209"/>
      <c r="F404" s="165"/>
      <c r="G404" s="165"/>
      <c r="H404" s="165"/>
      <c r="I404" s="165"/>
      <c r="J404" s="165"/>
      <c r="K404" s="165"/>
      <c r="L404" s="165"/>
      <c r="M404" s="165"/>
      <c r="N404" s="165"/>
      <c r="O404" s="165"/>
      <c r="P404" s="165"/>
      <c r="Q404" s="169" t="s">
        <v>1578</v>
      </c>
      <c r="R404" s="169"/>
      <c r="S404" s="169"/>
      <c r="T404" s="169"/>
      <c r="U404" s="169"/>
      <c r="V404" s="165"/>
      <c r="W404" s="165"/>
      <c r="X404" s="165"/>
      <c r="Y404" s="165"/>
      <c r="Z404" s="165"/>
      <c r="AA404" s="165"/>
      <c r="AB404" s="165"/>
      <c r="AC404" s="165"/>
      <c r="AD404" s="165"/>
      <c r="AE404" s="165"/>
      <c r="AF404" s="165"/>
      <c r="AG404" s="165"/>
      <c r="AH404" s="165"/>
      <c r="AI404" s="165"/>
      <c r="AJ404" s="165"/>
      <c r="AK404" s="165"/>
      <c r="AL404" s="165"/>
      <c r="AM404" s="165"/>
      <c r="AN404" s="169" t="s">
        <v>1262</v>
      </c>
      <c r="AO404" s="165"/>
      <c r="AP404" s="165"/>
      <c r="AQ404" s="165"/>
      <c r="AR404" s="170"/>
      <c r="AS404" s="170"/>
      <c r="AT404" s="165"/>
      <c r="AU404" s="165" t="s">
        <v>1388</v>
      </c>
      <c r="AV404" s="170" t="s">
        <v>2012</v>
      </c>
      <c r="AW404" s="170"/>
      <c r="AX404" s="165"/>
      <c r="AY404" s="165"/>
      <c r="AZ404" s="165"/>
      <c r="BA404" s="165"/>
      <c r="BB404" s="165"/>
      <c r="BC404" s="165"/>
      <c r="BD404" s="165"/>
      <c r="BQ404" s="165"/>
      <c r="BR404" s="165"/>
      <c r="BS404" s="165"/>
    </row>
    <row r="405" spans="1:83" s="188" customFormat="1">
      <c r="A405" s="209" t="s">
        <v>2013</v>
      </c>
      <c r="B405" s="165"/>
      <c r="C405" s="169"/>
      <c r="D405" s="223">
        <v>38412</v>
      </c>
      <c r="E405" s="209"/>
      <c r="F405" s="165"/>
      <c r="G405" s="165"/>
      <c r="H405" s="165"/>
      <c r="I405" s="165"/>
      <c r="J405" s="165"/>
      <c r="K405" s="165"/>
      <c r="L405" s="165"/>
      <c r="M405" s="165"/>
      <c r="N405" s="165"/>
      <c r="O405" s="165"/>
      <c r="P405" s="165"/>
      <c r="Q405" s="169" t="s">
        <v>1328</v>
      </c>
      <c r="R405" s="169"/>
      <c r="S405" s="169"/>
      <c r="T405" s="169"/>
      <c r="U405" s="169"/>
      <c r="V405" s="165"/>
      <c r="W405" s="165"/>
      <c r="X405" s="165"/>
      <c r="Y405" s="165"/>
      <c r="Z405" s="165"/>
      <c r="AA405" s="165"/>
      <c r="AB405" s="165"/>
      <c r="AC405" s="165"/>
      <c r="AD405" s="165"/>
      <c r="AE405" s="165"/>
      <c r="AF405" s="165"/>
      <c r="AG405" s="165"/>
      <c r="AH405" s="165"/>
      <c r="AI405" s="165"/>
      <c r="AJ405" s="165"/>
      <c r="AK405" s="165"/>
      <c r="AL405" s="165"/>
      <c r="AM405" s="165"/>
      <c r="AN405" s="169" t="s">
        <v>1507</v>
      </c>
      <c r="AO405" s="165"/>
      <c r="AP405" s="165"/>
      <c r="AQ405" s="165"/>
      <c r="AR405" s="170"/>
      <c r="AS405" s="170"/>
      <c r="AT405" s="165"/>
      <c r="AU405" s="165"/>
      <c r="AV405" s="170"/>
      <c r="AW405" s="170"/>
      <c r="AX405" s="165"/>
      <c r="AY405" s="165"/>
      <c r="AZ405" s="165"/>
      <c r="BA405" s="165"/>
      <c r="BB405" s="165"/>
      <c r="BC405" s="165"/>
      <c r="BD405" s="165"/>
      <c r="BQ405" s="165"/>
      <c r="BR405" s="165"/>
      <c r="BS405" s="165"/>
    </row>
    <row r="406" spans="1:83" s="188" customFormat="1">
      <c r="A406" s="211" t="s">
        <v>2014</v>
      </c>
      <c r="B406" s="165"/>
      <c r="C406" s="211"/>
      <c r="D406" s="221"/>
      <c r="E406" s="211"/>
      <c r="F406" s="186"/>
      <c r="G406" s="185"/>
      <c r="H406" s="211"/>
      <c r="I406" s="211"/>
      <c r="J406" s="211"/>
      <c r="K406" s="211"/>
      <c r="L406" s="211"/>
      <c r="M406" s="211"/>
      <c r="N406" s="211"/>
      <c r="O406" s="211"/>
      <c r="P406" s="186"/>
      <c r="Q406" s="184" t="s">
        <v>1443</v>
      </c>
      <c r="R406" s="184"/>
      <c r="S406" s="184"/>
      <c r="T406" s="184"/>
      <c r="U406" s="184"/>
      <c r="V406" s="185"/>
      <c r="W406" s="185"/>
      <c r="X406" s="165"/>
      <c r="Y406" s="165"/>
      <c r="Z406" s="165"/>
      <c r="AA406" s="165"/>
      <c r="AB406" s="165"/>
      <c r="AC406" s="165"/>
      <c r="AD406" s="165"/>
      <c r="AE406" s="186"/>
      <c r="AF406" s="186"/>
      <c r="AG406" s="165"/>
      <c r="AH406" s="185"/>
      <c r="AI406" s="186"/>
      <c r="AJ406" s="185"/>
      <c r="AK406" s="165"/>
      <c r="AL406" s="185"/>
      <c r="AM406" s="185"/>
      <c r="AN406" s="186"/>
      <c r="AO406" s="211"/>
      <c r="AP406" s="165"/>
      <c r="AQ406" s="165"/>
      <c r="AR406" s="170"/>
      <c r="AS406" s="170"/>
      <c r="AT406" s="165"/>
      <c r="AU406" s="185" t="s">
        <v>1257</v>
      </c>
      <c r="AV406" s="31" t="s">
        <v>2015</v>
      </c>
      <c r="AW406" s="31"/>
      <c r="AX406" s="185"/>
      <c r="AY406" s="185"/>
      <c r="AZ406" s="185"/>
      <c r="BA406" s="185"/>
      <c r="BB406" s="185"/>
      <c r="BC406" s="185"/>
      <c r="BD406" s="185"/>
      <c r="BQ406" s="207"/>
      <c r="BR406" s="207"/>
      <c r="BS406" s="207"/>
    </row>
    <row r="407" spans="1:83" s="188" customFormat="1">
      <c r="A407" s="209" t="s">
        <v>2016</v>
      </c>
      <c r="B407" s="165"/>
      <c r="C407" s="169"/>
      <c r="D407" s="223">
        <v>37622</v>
      </c>
      <c r="E407" s="209"/>
      <c r="F407" s="165"/>
      <c r="G407" s="165"/>
      <c r="H407" s="165"/>
      <c r="I407" s="165"/>
      <c r="J407" s="165"/>
      <c r="K407" s="165"/>
      <c r="L407" s="165"/>
      <c r="M407" s="165"/>
      <c r="N407" s="165"/>
      <c r="O407" s="165"/>
      <c r="P407" s="165"/>
      <c r="Q407" s="169" t="s">
        <v>1382</v>
      </c>
      <c r="R407" s="169"/>
      <c r="S407" s="169"/>
      <c r="T407" s="169"/>
      <c r="U407" s="169"/>
      <c r="V407" s="165"/>
      <c r="W407" s="165"/>
      <c r="X407" s="165"/>
      <c r="Y407" s="165"/>
      <c r="Z407" s="165"/>
      <c r="AA407" s="165"/>
      <c r="AB407" s="165"/>
      <c r="AC407" s="165"/>
      <c r="AD407" s="165"/>
      <c r="AE407" s="165"/>
      <c r="AF407" s="165"/>
      <c r="AG407" s="165"/>
      <c r="AH407" s="165"/>
      <c r="AI407" s="165"/>
      <c r="AJ407" s="165"/>
      <c r="AK407" s="165"/>
      <c r="AL407" s="165"/>
      <c r="AM407" s="165"/>
      <c r="AN407" s="169" t="s">
        <v>1336</v>
      </c>
      <c r="AO407" s="165"/>
      <c r="AP407" s="165"/>
      <c r="AQ407" s="165"/>
      <c r="AR407" s="170"/>
      <c r="AS407" s="170"/>
      <c r="AT407" s="165"/>
      <c r="AU407" s="165" t="s">
        <v>1388</v>
      </c>
      <c r="AV407" s="170" t="s">
        <v>2017</v>
      </c>
      <c r="AW407" s="170"/>
      <c r="AX407" s="165"/>
      <c r="AY407" s="165"/>
      <c r="AZ407" s="165"/>
      <c r="BA407" s="165"/>
      <c r="BB407" s="165"/>
      <c r="BC407" s="165"/>
      <c r="BD407" s="165"/>
      <c r="BQ407" s="165"/>
      <c r="BR407" s="165"/>
      <c r="BS407" s="165"/>
    </row>
    <row r="408" spans="1:83" s="188" customFormat="1" ht="28.5">
      <c r="A408" s="209" t="s">
        <v>2018</v>
      </c>
      <c r="B408" s="165"/>
      <c r="C408" s="169"/>
      <c r="D408" s="223">
        <v>37987</v>
      </c>
      <c r="E408" s="209"/>
      <c r="F408" s="165"/>
      <c r="G408" s="165"/>
      <c r="H408" s="165"/>
      <c r="I408" s="165"/>
      <c r="J408" s="165"/>
      <c r="K408" s="165"/>
      <c r="L408" s="165"/>
      <c r="M408" s="165"/>
      <c r="N408" s="165"/>
      <c r="O408" s="165"/>
      <c r="P408" s="165"/>
      <c r="Q408" s="169" t="s">
        <v>1578</v>
      </c>
      <c r="R408" s="169"/>
      <c r="S408" s="169"/>
      <c r="T408" s="169"/>
      <c r="U408" s="169"/>
      <c r="V408" s="165"/>
      <c r="W408" s="165"/>
      <c r="X408" s="165"/>
      <c r="Y408" s="165"/>
      <c r="Z408" s="165"/>
      <c r="AA408" s="165"/>
      <c r="AB408" s="165"/>
      <c r="AC408" s="165"/>
      <c r="AD408" s="165"/>
      <c r="AE408" s="165"/>
      <c r="AF408" s="165"/>
      <c r="AG408" s="165"/>
      <c r="AH408" s="165"/>
      <c r="AI408" s="165"/>
      <c r="AJ408" s="165"/>
      <c r="AK408" s="165"/>
      <c r="AL408" s="165"/>
      <c r="AM408" s="165"/>
      <c r="AN408" s="169" t="s">
        <v>1383</v>
      </c>
      <c r="AO408" s="165"/>
      <c r="AP408" s="165"/>
      <c r="AQ408" s="165"/>
      <c r="AR408" s="170"/>
      <c r="AS408" s="170"/>
      <c r="AT408" s="165"/>
      <c r="AU408" s="165" t="s">
        <v>1388</v>
      </c>
      <c r="AV408" s="170" t="s">
        <v>2019</v>
      </c>
      <c r="AW408" s="170"/>
      <c r="AX408" s="165"/>
      <c r="AY408" s="165"/>
      <c r="AZ408" s="165"/>
      <c r="BA408" s="165"/>
      <c r="BB408" s="165"/>
      <c r="BC408" s="165"/>
      <c r="BD408" s="165"/>
      <c r="BQ408" s="165"/>
      <c r="BR408" s="165"/>
      <c r="BS408" s="165"/>
    </row>
    <row r="409" spans="1:83" s="188" customFormat="1">
      <c r="A409" s="170" t="s">
        <v>2020</v>
      </c>
      <c r="B409" s="165"/>
      <c r="C409" s="165"/>
      <c r="D409" s="223">
        <v>42278</v>
      </c>
      <c r="E409" s="170"/>
      <c r="F409" s="204"/>
      <c r="G409" s="165"/>
      <c r="H409" s="165"/>
      <c r="I409" s="165"/>
      <c r="J409" s="165"/>
      <c r="K409" s="165"/>
      <c r="L409" s="165"/>
      <c r="M409" s="165"/>
      <c r="N409" s="165"/>
      <c r="O409" s="165"/>
      <c r="P409" s="204"/>
      <c r="Q409" s="165"/>
      <c r="R409" s="165"/>
      <c r="S409" s="165"/>
      <c r="T409" s="165"/>
      <c r="U409" s="165"/>
      <c r="V409" s="165"/>
      <c r="W409" s="165"/>
      <c r="X409" s="165"/>
      <c r="Y409" s="165">
        <v>68</v>
      </c>
      <c r="Z409" s="165"/>
      <c r="AA409" s="165"/>
      <c r="AB409" s="165"/>
      <c r="AC409" s="165"/>
      <c r="AD409" s="165"/>
      <c r="AE409" s="204"/>
      <c r="AF409" s="204"/>
      <c r="AG409" s="165"/>
      <c r="AH409" s="165"/>
      <c r="AI409" s="204"/>
      <c r="AJ409" s="165"/>
      <c r="AK409" s="165"/>
      <c r="AL409" s="165"/>
      <c r="AM409" s="165"/>
      <c r="AN409" s="204"/>
      <c r="AO409" s="165" t="s">
        <v>2021</v>
      </c>
      <c r="AP409" s="165"/>
      <c r="AQ409" s="165"/>
      <c r="AR409" s="170"/>
      <c r="AS409" s="170"/>
      <c r="AT409" s="165"/>
      <c r="AU409" s="165"/>
      <c r="AV409" s="170"/>
      <c r="AW409" s="170"/>
      <c r="AX409" s="165"/>
      <c r="AY409" s="165"/>
      <c r="AZ409" s="165"/>
      <c r="BA409" s="165"/>
      <c r="BB409" s="165"/>
      <c r="BC409" s="165"/>
      <c r="BD409" s="165"/>
      <c r="BQ409" s="165"/>
      <c r="BR409" s="165"/>
      <c r="BS409" s="165"/>
      <c r="CE409" s="230">
        <v>44301.535057870373</v>
      </c>
    </row>
    <row r="410" spans="1:83" s="188" customFormat="1" ht="28.5">
      <c r="A410" s="211" t="s">
        <v>2022</v>
      </c>
      <c r="B410" s="165"/>
      <c r="C410" s="211"/>
      <c r="D410" s="221"/>
      <c r="E410" s="211"/>
      <c r="F410" s="186"/>
      <c r="G410" s="185"/>
      <c r="H410" s="211"/>
      <c r="I410" s="211"/>
      <c r="J410" s="211"/>
      <c r="K410" s="211"/>
      <c r="L410" s="211"/>
      <c r="M410" s="211"/>
      <c r="N410" s="211"/>
      <c r="O410" s="211"/>
      <c r="P410" s="186"/>
      <c r="Q410" s="211"/>
      <c r="R410" s="211"/>
      <c r="S410" s="211"/>
      <c r="T410" s="211"/>
      <c r="U410" s="211"/>
      <c r="V410" s="185"/>
      <c r="W410" s="185"/>
      <c r="X410" s="165"/>
      <c r="Y410" s="165"/>
      <c r="Z410" s="165"/>
      <c r="AA410" s="165"/>
      <c r="AB410" s="165"/>
      <c r="AC410" s="165"/>
      <c r="AD410" s="165"/>
      <c r="AE410" s="186"/>
      <c r="AF410" s="186"/>
      <c r="AG410" s="165"/>
      <c r="AH410" s="185"/>
      <c r="AI410" s="186"/>
      <c r="AJ410" s="185"/>
      <c r="AK410" s="165"/>
      <c r="AL410" s="185"/>
      <c r="AM410" s="185"/>
      <c r="AN410" s="186"/>
      <c r="AO410" s="211"/>
      <c r="AP410" s="165"/>
      <c r="AQ410" s="165"/>
      <c r="AR410" s="170"/>
      <c r="AS410" s="170"/>
      <c r="AT410" s="165"/>
      <c r="AU410" s="185" t="s">
        <v>1257</v>
      </c>
      <c r="AV410" s="31" t="s">
        <v>2023</v>
      </c>
      <c r="AW410" s="31"/>
      <c r="AX410" s="185"/>
      <c r="AY410" s="185"/>
      <c r="AZ410" s="185"/>
      <c r="BA410" s="185"/>
      <c r="BB410" s="185"/>
      <c r="BC410" s="185"/>
      <c r="BD410" s="185"/>
      <c r="BQ410" s="207"/>
      <c r="BR410" s="207"/>
      <c r="BS410" s="207"/>
    </row>
    <row r="411" spans="1:83" s="188" customFormat="1" ht="28.5">
      <c r="A411" s="209" t="s">
        <v>2024</v>
      </c>
      <c r="B411" s="165"/>
      <c r="C411" s="169"/>
      <c r="D411" s="223">
        <v>37012</v>
      </c>
      <c r="E411" s="209"/>
      <c r="F411" s="165"/>
      <c r="G411" s="165"/>
      <c r="H411" s="165"/>
      <c r="I411" s="165"/>
      <c r="J411" s="165"/>
      <c r="K411" s="165"/>
      <c r="L411" s="165"/>
      <c r="M411" s="165"/>
      <c r="N411" s="165"/>
      <c r="O411" s="165"/>
      <c r="P411" s="165"/>
      <c r="Q411" s="169" t="s">
        <v>1399</v>
      </c>
      <c r="R411" s="169"/>
      <c r="S411" s="169"/>
      <c r="T411" s="169"/>
      <c r="U411" s="169"/>
      <c r="V411" s="165"/>
      <c r="W411" s="165"/>
      <c r="X411" s="165"/>
      <c r="Y411" s="165"/>
      <c r="Z411" s="165"/>
      <c r="AA411" s="165"/>
      <c r="AB411" s="165"/>
      <c r="AC411" s="165"/>
      <c r="AD411" s="165"/>
      <c r="AE411" s="165"/>
      <c r="AF411" s="165"/>
      <c r="AG411" s="165"/>
      <c r="AH411" s="165"/>
      <c r="AI411" s="165"/>
      <c r="AJ411" s="165"/>
      <c r="AK411" s="165"/>
      <c r="AL411" s="165"/>
      <c r="AM411" s="165"/>
      <c r="AN411" s="169" t="s">
        <v>1262</v>
      </c>
      <c r="AO411" s="165"/>
      <c r="AP411" s="165"/>
      <c r="AQ411" s="165"/>
      <c r="AR411" s="170"/>
      <c r="AS411" s="170"/>
      <c r="AT411" s="165"/>
      <c r="AU411" s="165" t="s">
        <v>1388</v>
      </c>
      <c r="AV411" s="170" t="s">
        <v>2025</v>
      </c>
      <c r="AW411" s="170"/>
      <c r="AX411" s="165"/>
      <c r="AY411" s="165"/>
      <c r="AZ411" s="165"/>
      <c r="BA411" s="165"/>
      <c r="BB411" s="165"/>
      <c r="BC411" s="165"/>
      <c r="BD411" s="165"/>
      <c r="BQ411" s="165"/>
      <c r="BR411" s="165"/>
      <c r="BS411" s="165"/>
    </row>
    <row r="412" spans="1:83" s="188" customFormat="1" ht="28.5">
      <c r="A412" s="209" t="s">
        <v>2026</v>
      </c>
      <c r="B412" s="165"/>
      <c r="C412" s="169"/>
      <c r="D412" s="223">
        <v>35643</v>
      </c>
      <c r="E412" s="209"/>
      <c r="F412" s="165"/>
      <c r="G412" s="165"/>
      <c r="H412" s="165"/>
      <c r="I412" s="165"/>
      <c r="J412" s="165"/>
      <c r="K412" s="165"/>
      <c r="L412" s="165"/>
      <c r="M412" s="165"/>
      <c r="N412" s="165"/>
      <c r="O412" s="165"/>
      <c r="P412" s="165"/>
      <c r="Q412" s="169" t="s">
        <v>1339</v>
      </c>
      <c r="R412" s="169"/>
      <c r="S412" s="169"/>
      <c r="T412" s="169"/>
      <c r="U412" s="169"/>
      <c r="V412" s="165"/>
      <c r="W412" s="165"/>
      <c r="X412" s="165"/>
      <c r="Y412" s="165"/>
      <c r="Z412" s="165"/>
      <c r="AA412" s="165"/>
      <c r="AB412" s="165"/>
      <c r="AC412" s="165"/>
      <c r="AD412" s="165"/>
      <c r="AE412" s="165"/>
      <c r="AF412" s="165"/>
      <c r="AG412" s="165"/>
      <c r="AH412" s="165"/>
      <c r="AI412" s="165"/>
      <c r="AJ412" s="165"/>
      <c r="AK412" s="165"/>
      <c r="AL412" s="165"/>
      <c r="AM412" s="165"/>
      <c r="AN412" s="169" t="s">
        <v>1368</v>
      </c>
      <c r="AO412" s="165"/>
      <c r="AP412" s="165"/>
      <c r="AQ412" s="165"/>
      <c r="AR412" s="170"/>
      <c r="AS412" s="170"/>
      <c r="AT412" s="165"/>
      <c r="AU412" s="165" t="s">
        <v>1388</v>
      </c>
      <c r="AV412" s="170" t="s">
        <v>2027</v>
      </c>
      <c r="AW412" s="170"/>
      <c r="AX412" s="165"/>
      <c r="AY412" s="165"/>
      <c r="AZ412" s="165"/>
      <c r="BA412" s="165"/>
      <c r="BB412" s="165"/>
      <c r="BC412" s="165"/>
      <c r="BD412" s="165"/>
      <c r="BQ412" s="165"/>
      <c r="BR412" s="165"/>
      <c r="BS412" s="165"/>
    </row>
    <row r="413" spans="1:83" s="188" customFormat="1">
      <c r="A413" s="209" t="s">
        <v>2028</v>
      </c>
      <c r="B413" s="165"/>
      <c r="C413" s="169"/>
      <c r="D413" s="223">
        <v>35125</v>
      </c>
      <c r="E413" s="209"/>
      <c r="F413" s="165"/>
      <c r="G413" s="165"/>
      <c r="H413" s="165"/>
      <c r="I413" s="165"/>
      <c r="J413" s="165"/>
      <c r="K413" s="165"/>
      <c r="L413" s="165"/>
      <c r="M413" s="165"/>
      <c r="N413" s="165"/>
      <c r="O413" s="165"/>
      <c r="P413" s="165"/>
      <c r="Q413" s="169" t="s">
        <v>2029</v>
      </c>
      <c r="R413" s="169"/>
      <c r="S413" s="169"/>
      <c r="T413" s="169"/>
      <c r="U413" s="169"/>
      <c r="V413" s="165"/>
      <c r="W413" s="165"/>
      <c r="X413" s="165"/>
      <c r="Y413" s="165"/>
      <c r="Z413" s="165"/>
      <c r="AA413" s="165"/>
      <c r="AB413" s="165"/>
      <c r="AC413" s="165"/>
      <c r="AD413" s="165"/>
      <c r="AE413" s="165"/>
      <c r="AF413" s="165"/>
      <c r="AG413" s="165"/>
      <c r="AH413" s="165"/>
      <c r="AI413" s="165"/>
      <c r="AJ413" s="165"/>
      <c r="AK413" s="165"/>
      <c r="AL413" s="165"/>
      <c r="AM413" s="165"/>
      <c r="AN413" s="169" t="s">
        <v>1360</v>
      </c>
      <c r="AO413" s="165"/>
      <c r="AP413" s="165"/>
      <c r="AQ413" s="165"/>
      <c r="AR413" s="170"/>
      <c r="AS413" s="170"/>
      <c r="AT413" s="165"/>
      <c r="AU413" s="165"/>
      <c r="AV413" s="170"/>
      <c r="AW413" s="170"/>
      <c r="AX413" s="165"/>
      <c r="AY413" s="165"/>
      <c r="AZ413" s="165"/>
      <c r="BA413" s="165"/>
      <c r="BB413" s="165"/>
      <c r="BC413" s="165"/>
      <c r="BD413" s="165"/>
      <c r="BQ413" s="165"/>
      <c r="BR413" s="165"/>
      <c r="BS413" s="165"/>
    </row>
    <row r="414" spans="1:83" s="188" customFormat="1">
      <c r="A414" s="209" t="s">
        <v>2030</v>
      </c>
      <c r="B414" s="165"/>
      <c r="C414" s="169"/>
      <c r="D414" s="223">
        <v>37408</v>
      </c>
      <c r="E414" s="209"/>
      <c r="F414" s="165"/>
      <c r="G414" s="165"/>
      <c r="H414" s="165"/>
      <c r="I414" s="165"/>
      <c r="J414" s="165"/>
      <c r="K414" s="165"/>
      <c r="L414" s="165"/>
      <c r="M414" s="165"/>
      <c r="N414" s="165"/>
      <c r="O414" s="165"/>
      <c r="P414" s="165"/>
      <c r="Q414" s="169" t="s">
        <v>1328</v>
      </c>
      <c r="R414" s="169"/>
      <c r="S414" s="169"/>
      <c r="T414" s="169"/>
      <c r="U414" s="169"/>
      <c r="V414" s="165"/>
      <c r="W414" s="165"/>
      <c r="X414" s="165"/>
      <c r="Y414" s="165"/>
      <c r="Z414" s="165"/>
      <c r="AA414" s="165"/>
      <c r="AB414" s="165"/>
      <c r="AC414" s="165"/>
      <c r="AD414" s="165"/>
      <c r="AE414" s="165"/>
      <c r="AF414" s="165"/>
      <c r="AG414" s="165"/>
      <c r="AH414" s="165"/>
      <c r="AI414" s="165"/>
      <c r="AJ414" s="165"/>
      <c r="AK414" s="165"/>
      <c r="AL414" s="165"/>
      <c r="AM414" s="165"/>
      <c r="AN414" s="169" t="s">
        <v>2031</v>
      </c>
      <c r="AO414" s="165"/>
      <c r="AP414" s="165"/>
      <c r="AQ414" s="165"/>
      <c r="AR414" s="170"/>
      <c r="AS414" s="170"/>
      <c r="AT414" s="165"/>
      <c r="AU414" s="165" t="s">
        <v>1388</v>
      </c>
      <c r="AV414" s="170" t="s">
        <v>2032</v>
      </c>
      <c r="AW414" s="170"/>
      <c r="AX414" s="165"/>
      <c r="AY414" s="165"/>
      <c r="AZ414" s="165"/>
      <c r="BA414" s="165"/>
      <c r="BB414" s="165"/>
      <c r="BC414" s="165"/>
      <c r="BD414" s="165"/>
      <c r="BQ414" s="165"/>
      <c r="BR414" s="165"/>
      <c r="BS414" s="165"/>
    </row>
    <row r="415" spans="1:83" s="188" customFormat="1" ht="28.5">
      <c r="A415" s="211" t="s">
        <v>2033</v>
      </c>
      <c r="B415" s="165"/>
      <c r="C415" s="211"/>
      <c r="D415" s="221"/>
      <c r="E415" s="211"/>
      <c r="F415" s="186"/>
      <c r="G415" s="185"/>
      <c r="H415" s="211"/>
      <c r="I415" s="211"/>
      <c r="J415" s="211"/>
      <c r="K415" s="211"/>
      <c r="L415" s="211"/>
      <c r="M415" s="211"/>
      <c r="N415" s="211"/>
      <c r="O415" s="211"/>
      <c r="P415" s="186"/>
      <c r="Q415" s="184" t="s">
        <v>2034</v>
      </c>
      <c r="R415" s="184"/>
      <c r="S415" s="184"/>
      <c r="T415" s="184"/>
      <c r="U415" s="184"/>
      <c r="V415" s="185"/>
      <c r="W415" s="185"/>
      <c r="X415" s="165"/>
      <c r="Y415" s="165"/>
      <c r="Z415" s="165"/>
      <c r="AA415" s="165"/>
      <c r="AB415" s="165"/>
      <c r="AC415" s="165"/>
      <c r="AD415" s="165"/>
      <c r="AE415" s="186"/>
      <c r="AF415" s="186"/>
      <c r="AG415" s="165"/>
      <c r="AH415" s="185"/>
      <c r="AI415" s="186"/>
      <c r="AJ415" s="185"/>
      <c r="AK415" s="165"/>
      <c r="AL415" s="185"/>
      <c r="AM415" s="185"/>
      <c r="AN415" s="186"/>
      <c r="AO415" s="211"/>
      <c r="AP415" s="165"/>
      <c r="AQ415" s="165"/>
      <c r="AR415" s="170"/>
      <c r="AS415" s="170"/>
      <c r="AT415" s="165"/>
      <c r="AU415" s="185" t="s">
        <v>1257</v>
      </c>
      <c r="AV415" s="31" t="s">
        <v>2035</v>
      </c>
      <c r="AW415" s="31"/>
      <c r="AX415" s="185"/>
      <c r="AY415" s="185"/>
      <c r="AZ415" s="185"/>
      <c r="BA415" s="185"/>
      <c r="BB415" s="185"/>
      <c r="BC415" s="185"/>
      <c r="BD415" s="185"/>
      <c r="BQ415" s="207"/>
      <c r="BR415" s="207"/>
      <c r="BS415" s="207"/>
    </row>
    <row r="416" spans="1:83" s="188" customFormat="1">
      <c r="A416" s="209" t="s">
        <v>2036</v>
      </c>
      <c r="B416" s="165"/>
      <c r="C416" s="169"/>
      <c r="D416" s="223">
        <v>37622</v>
      </c>
      <c r="E416" s="209"/>
      <c r="F416" s="165"/>
      <c r="G416" s="165"/>
      <c r="H416" s="165"/>
      <c r="I416" s="165"/>
      <c r="J416" s="165"/>
      <c r="K416" s="165"/>
      <c r="L416" s="165"/>
      <c r="M416" s="165"/>
      <c r="N416" s="165"/>
      <c r="O416" s="165"/>
      <c r="P416" s="165"/>
      <c r="Q416" s="169" t="s">
        <v>1410</v>
      </c>
      <c r="R416" s="169"/>
      <c r="S416" s="169"/>
      <c r="T416" s="169"/>
      <c r="U416" s="169"/>
      <c r="V416" s="165"/>
      <c r="W416" s="165"/>
      <c r="X416" s="165"/>
      <c r="Y416" s="165"/>
      <c r="Z416" s="165"/>
      <c r="AA416" s="165"/>
      <c r="AB416" s="165"/>
      <c r="AC416" s="165"/>
      <c r="AD416" s="165"/>
      <c r="AE416" s="165"/>
      <c r="AF416" s="165"/>
      <c r="AG416" s="165"/>
      <c r="AH416" s="165"/>
      <c r="AI416" s="165"/>
      <c r="AJ416" s="165"/>
      <c r="AK416" s="165"/>
      <c r="AL416" s="165"/>
      <c r="AM416" s="165"/>
      <c r="AN416" s="169" t="s">
        <v>1348</v>
      </c>
      <c r="AO416" s="165"/>
      <c r="AP416" s="165"/>
      <c r="AQ416" s="165"/>
      <c r="AR416" s="170"/>
      <c r="AS416" s="170"/>
      <c r="AT416" s="165"/>
      <c r="AU416" s="165" t="s">
        <v>1388</v>
      </c>
      <c r="AV416" s="170" t="s">
        <v>2037</v>
      </c>
      <c r="AW416" s="170"/>
      <c r="AX416" s="165"/>
      <c r="AY416" s="165"/>
      <c r="AZ416" s="165"/>
      <c r="BA416" s="165"/>
      <c r="BB416" s="165"/>
      <c r="BC416" s="165"/>
      <c r="BD416" s="165"/>
      <c r="BQ416" s="165"/>
      <c r="BR416" s="165"/>
      <c r="BS416" s="165"/>
    </row>
    <row r="417" spans="1:84" s="188" customFormat="1">
      <c r="A417" s="209" t="s">
        <v>2038</v>
      </c>
      <c r="B417" s="165"/>
      <c r="C417" s="169"/>
      <c r="D417" s="223">
        <v>33817</v>
      </c>
      <c r="E417" s="209"/>
      <c r="F417" s="165"/>
      <c r="G417" s="165"/>
      <c r="H417" s="165"/>
      <c r="I417" s="165"/>
      <c r="J417" s="165"/>
      <c r="K417" s="165"/>
      <c r="L417" s="165"/>
      <c r="M417" s="165"/>
      <c r="N417" s="165"/>
      <c r="O417" s="165"/>
      <c r="P417" s="165"/>
      <c r="Q417" s="169" t="s">
        <v>2039</v>
      </c>
      <c r="R417" s="169"/>
      <c r="S417" s="169"/>
      <c r="T417" s="169"/>
      <c r="U417" s="169"/>
      <c r="V417" s="165"/>
      <c r="W417" s="165"/>
      <c r="X417" s="165"/>
      <c r="Y417" s="165"/>
      <c r="Z417" s="165"/>
      <c r="AA417" s="165"/>
      <c r="AB417" s="165"/>
      <c r="AC417" s="165"/>
      <c r="AD417" s="165"/>
      <c r="AE417" s="165"/>
      <c r="AF417" s="165"/>
      <c r="AG417" s="165"/>
      <c r="AH417" s="165"/>
      <c r="AI417" s="165"/>
      <c r="AJ417" s="165"/>
      <c r="AK417" s="165"/>
      <c r="AL417" s="165"/>
      <c r="AM417" s="165"/>
      <c r="AN417" s="169" t="s">
        <v>1397</v>
      </c>
      <c r="AO417" s="165"/>
      <c r="AP417" s="165"/>
      <c r="AQ417" s="165"/>
      <c r="AR417" s="170"/>
      <c r="AS417" s="170"/>
      <c r="AT417" s="165"/>
      <c r="AU417" s="165" t="s">
        <v>1388</v>
      </c>
      <c r="AV417" s="170" t="s">
        <v>2040</v>
      </c>
      <c r="AW417" s="170"/>
      <c r="AX417" s="165"/>
      <c r="AY417" s="165"/>
      <c r="AZ417" s="165"/>
      <c r="BA417" s="165"/>
      <c r="BB417" s="165"/>
      <c r="BC417" s="165"/>
      <c r="BD417" s="165"/>
      <c r="BQ417" s="165"/>
      <c r="BR417" s="165"/>
      <c r="BS417" s="165"/>
    </row>
    <row r="418" spans="1:84" s="188" customFormat="1" ht="28.5">
      <c r="A418" s="211" t="s">
        <v>2041</v>
      </c>
      <c r="B418" s="165"/>
      <c r="C418" s="211"/>
      <c r="D418" s="221"/>
      <c r="E418" s="211"/>
      <c r="F418" s="186"/>
      <c r="G418" s="185"/>
      <c r="H418" s="211"/>
      <c r="I418" s="211"/>
      <c r="J418" s="211"/>
      <c r="K418" s="211"/>
      <c r="L418" s="211"/>
      <c r="M418" s="211"/>
      <c r="N418" s="211"/>
      <c r="O418" s="211"/>
      <c r="P418" s="186"/>
      <c r="Q418" s="184" t="s">
        <v>1506</v>
      </c>
      <c r="R418" s="184"/>
      <c r="S418" s="184"/>
      <c r="T418" s="184"/>
      <c r="U418" s="184"/>
      <c r="V418" s="185"/>
      <c r="W418" s="185"/>
      <c r="X418" s="165"/>
      <c r="Y418" s="165"/>
      <c r="Z418" s="165"/>
      <c r="AA418" s="165"/>
      <c r="AB418" s="165"/>
      <c r="AC418" s="165"/>
      <c r="AD418" s="165"/>
      <c r="AE418" s="186"/>
      <c r="AF418" s="186"/>
      <c r="AG418" s="165"/>
      <c r="AH418" s="185"/>
      <c r="AI418" s="186"/>
      <c r="AJ418" s="185"/>
      <c r="AK418" s="165"/>
      <c r="AL418" s="185"/>
      <c r="AM418" s="185"/>
      <c r="AN418" s="186"/>
      <c r="AO418" s="211"/>
      <c r="AP418" s="165"/>
      <c r="AQ418" s="165"/>
      <c r="AR418" s="170"/>
      <c r="AS418" s="170"/>
      <c r="AT418" s="165"/>
      <c r="AU418" s="185" t="s">
        <v>1257</v>
      </c>
      <c r="AV418" s="31" t="s">
        <v>2042</v>
      </c>
      <c r="AW418" s="31"/>
      <c r="AX418" s="185"/>
      <c r="AY418" s="185"/>
      <c r="AZ418" s="185"/>
      <c r="BA418" s="185"/>
      <c r="BB418" s="185"/>
      <c r="BC418" s="185"/>
      <c r="BD418" s="185"/>
      <c r="BQ418" s="207"/>
      <c r="BR418" s="207"/>
      <c r="BS418" s="207"/>
    </row>
    <row r="419" spans="1:84" s="188" customFormat="1">
      <c r="A419" s="211" t="s">
        <v>2043</v>
      </c>
      <c r="B419" s="165"/>
      <c r="C419" s="211"/>
      <c r="D419" s="221"/>
      <c r="E419" s="211"/>
      <c r="F419" s="186"/>
      <c r="G419" s="185"/>
      <c r="H419" s="211"/>
      <c r="I419" s="211"/>
      <c r="J419" s="211"/>
      <c r="K419" s="211"/>
      <c r="L419" s="211" t="s">
        <v>1511</v>
      </c>
      <c r="M419" s="211"/>
      <c r="N419" s="211"/>
      <c r="O419" s="211"/>
      <c r="P419" s="186"/>
      <c r="Q419" s="184" t="s">
        <v>1402</v>
      </c>
      <c r="R419" s="184"/>
      <c r="S419" s="184"/>
      <c r="T419" s="184"/>
      <c r="U419" s="184"/>
      <c r="V419" s="185"/>
      <c r="W419" s="185"/>
      <c r="X419" s="165"/>
      <c r="Y419" s="165"/>
      <c r="Z419" s="165"/>
      <c r="AA419" s="165"/>
      <c r="AB419" s="165"/>
      <c r="AC419" s="165"/>
      <c r="AD419" s="165"/>
      <c r="AE419" s="186"/>
      <c r="AF419" s="186"/>
      <c r="AG419" s="165"/>
      <c r="AH419" s="185"/>
      <c r="AI419" s="186"/>
      <c r="AJ419" s="185"/>
      <c r="AK419" s="165"/>
      <c r="AL419" s="185"/>
      <c r="AM419" s="185"/>
      <c r="AN419" s="186"/>
      <c r="AO419" s="211"/>
      <c r="AP419" s="165"/>
      <c r="AQ419" s="165"/>
      <c r="AR419" s="170"/>
      <c r="AS419" s="170"/>
      <c r="AT419" s="165"/>
      <c r="AU419" s="185" t="s">
        <v>1257</v>
      </c>
      <c r="AV419" s="31" t="s">
        <v>2044</v>
      </c>
      <c r="AW419" s="31"/>
      <c r="AX419" s="185"/>
      <c r="AY419" s="185"/>
      <c r="AZ419" s="185"/>
      <c r="BA419" s="185"/>
      <c r="BB419" s="185"/>
      <c r="BC419" s="185"/>
      <c r="BD419" s="185"/>
      <c r="BQ419" s="207"/>
      <c r="BR419" s="207"/>
      <c r="BS419" s="207"/>
    </row>
    <row r="420" spans="1:84" s="188" customFormat="1">
      <c r="A420" s="211" t="s">
        <v>2045</v>
      </c>
      <c r="B420" s="165"/>
      <c r="C420" s="211"/>
      <c r="D420" s="221"/>
      <c r="E420" s="211"/>
      <c r="F420" s="186"/>
      <c r="G420" s="185"/>
      <c r="H420" s="211"/>
      <c r="I420" s="211"/>
      <c r="J420" s="211"/>
      <c r="K420" s="211"/>
      <c r="L420" s="211"/>
      <c r="M420" s="211"/>
      <c r="N420" s="211"/>
      <c r="O420" s="211"/>
      <c r="P420" s="186"/>
      <c r="Q420" s="184" t="s">
        <v>1506</v>
      </c>
      <c r="R420" s="184"/>
      <c r="S420" s="184"/>
      <c r="T420" s="184"/>
      <c r="U420" s="184"/>
      <c r="V420" s="185"/>
      <c r="W420" s="185"/>
      <c r="X420" s="165"/>
      <c r="Y420" s="165"/>
      <c r="Z420" s="165"/>
      <c r="AA420" s="165"/>
      <c r="AB420" s="165"/>
      <c r="AC420" s="165"/>
      <c r="AD420" s="165"/>
      <c r="AE420" s="186"/>
      <c r="AF420" s="186"/>
      <c r="AG420" s="165"/>
      <c r="AH420" s="185"/>
      <c r="AI420" s="186"/>
      <c r="AJ420" s="185"/>
      <c r="AK420" s="165"/>
      <c r="AL420" s="185"/>
      <c r="AM420" s="185"/>
      <c r="AN420" s="186"/>
      <c r="AO420" s="211"/>
      <c r="AP420" s="165"/>
      <c r="AQ420" s="165"/>
      <c r="AR420" s="170"/>
      <c r="AS420" s="170"/>
      <c r="AT420" s="165"/>
      <c r="AU420" s="185" t="s">
        <v>1257</v>
      </c>
      <c r="AV420" s="31" t="s">
        <v>2046</v>
      </c>
      <c r="AW420" s="31"/>
      <c r="AX420" s="185"/>
      <c r="AY420" s="185"/>
      <c r="AZ420" s="185"/>
      <c r="BA420" s="185"/>
      <c r="BB420" s="185"/>
      <c r="BC420" s="185"/>
      <c r="BD420" s="185"/>
      <c r="BQ420" s="207"/>
      <c r="BR420" s="207"/>
      <c r="BS420" s="207"/>
    </row>
    <row r="421" spans="1:84" s="188" customFormat="1" ht="28.5">
      <c r="A421" s="211" t="s">
        <v>2047</v>
      </c>
      <c r="B421" s="165"/>
      <c r="C421" s="211"/>
      <c r="D421" s="221"/>
      <c r="E421" s="211"/>
      <c r="F421" s="186"/>
      <c r="G421" s="185"/>
      <c r="H421" s="211"/>
      <c r="I421" s="211"/>
      <c r="J421" s="211"/>
      <c r="K421" s="211"/>
      <c r="L421" s="211"/>
      <c r="M421" s="211"/>
      <c r="N421" s="211"/>
      <c r="O421" s="211"/>
      <c r="P421" s="186"/>
      <c r="Q421" s="184" t="s">
        <v>1402</v>
      </c>
      <c r="R421" s="184"/>
      <c r="S421" s="184"/>
      <c r="T421" s="184"/>
      <c r="U421" s="184"/>
      <c r="V421" s="185"/>
      <c r="W421" s="185"/>
      <c r="X421" s="165"/>
      <c r="Y421" s="165"/>
      <c r="Z421" s="165"/>
      <c r="AA421" s="165"/>
      <c r="AB421" s="165"/>
      <c r="AC421" s="165"/>
      <c r="AD421" s="165"/>
      <c r="AE421" s="186"/>
      <c r="AF421" s="186"/>
      <c r="AG421" s="165"/>
      <c r="AH421" s="185"/>
      <c r="AI421" s="186"/>
      <c r="AJ421" s="185"/>
      <c r="AK421" s="165"/>
      <c r="AL421" s="185"/>
      <c r="AM421" s="185"/>
      <c r="AN421" s="186"/>
      <c r="AO421" s="211"/>
      <c r="AP421" s="165"/>
      <c r="AQ421" s="165"/>
      <c r="AR421" s="170"/>
      <c r="AS421" s="170"/>
      <c r="AT421" s="165"/>
      <c r="AU421" s="185" t="s">
        <v>1257</v>
      </c>
      <c r="AV421" s="31" t="s">
        <v>2048</v>
      </c>
      <c r="AW421" s="31"/>
      <c r="AX421" s="185"/>
      <c r="AY421" s="185"/>
      <c r="AZ421" s="185"/>
      <c r="BA421" s="185"/>
      <c r="BB421" s="185"/>
      <c r="BC421" s="185"/>
      <c r="BD421" s="185"/>
      <c r="BQ421" s="207"/>
      <c r="BR421" s="207"/>
      <c r="BS421" s="207"/>
    </row>
    <row r="422" spans="1:84" s="188" customFormat="1" ht="28.5">
      <c r="A422" s="211" t="s">
        <v>2049</v>
      </c>
      <c r="B422" s="165"/>
      <c r="C422" s="211"/>
      <c r="D422" s="221"/>
      <c r="E422" s="211"/>
      <c r="F422" s="186"/>
      <c r="G422" s="185"/>
      <c r="H422" s="211"/>
      <c r="I422" s="211"/>
      <c r="J422" s="211"/>
      <c r="K422" s="211"/>
      <c r="L422" s="211"/>
      <c r="M422" s="211"/>
      <c r="N422" s="211"/>
      <c r="O422" s="211"/>
      <c r="P422" s="186"/>
      <c r="Q422" s="184" t="s">
        <v>1522</v>
      </c>
      <c r="R422" s="184"/>
      <c r="S422" s="184"/>
      <c r="T422" s="184"/>
      <c r="U422" s="184"/>
      <c r="V422" s="185"/>
      <c r="W422" s="185"/>
      <c r="X422" s="165"/>
      <c r="Y422" s="165"/>
      <c r="Z422" s="165"/>
      <c r="AA422" s="165"/>
      <c r="AB422" s="165"/>
      <c r="AC422" s="165"/>
      <c r="AD422" s="165"/>
      <c r="AE422" s="186"/>
      <c r="AF422" s="186"/>
      <c r="AG422" s="165"/>
      <c r="AH422" s="185"/>
      <c r="AI422" s="186"/>
      <c r="AJ422" s="185"/>
      <c r="AK422" s="165"/>
      <c r="AL422" s="185"/>
      <c r="AM422" s="185"/>
      <c r="AN422" s="186"/>
      <c r="AO422" s="211"/>
      <c r="AP422" s="165"/>
      <c r="AQ422" s="165"/>
      <c r="AR422" s="170"/>
      <c r="AS422" s="170"/>
      <c r="AT422" s="165"/>
      <c r="AU422" s="185" t="s">
        <v>1257</v>
      </c>
      <c r="AV422" s="31" t="s">
        <v>2050</v>
      </c>
      <c r="AW422" s="31"/>
      <c r="AX422" s="185"/>
      <c r="AY422" s="185"/>
      <c r="AZ422" s="185"/>
      <c r="BA422" s="185"/>
      <c r="BB422" s="185"/>
      <c r="BC422" s="185"/>
      <c r="BD422" s="185"/>
      <c r="BQ422" s="207"/>
      <c r="BR422" s="207"/>
      <c r="BS422" s="207"/>
    </row>
    <row r="423" spans="1:84" s="188" customFormat="1">
      <c r="A423" s="209" t="s">
        <v>2051</v>
      </c>
      <c r="B423" s="165"/>
      <c r="C423" s="169"/>
      <c r="D423" s="223"/>
      <c r="E423" s="209"/>
      <c r="F423" s="165"/>
      <c r="G423" s="165"/>
      <c r="H423" s="165"/>
      <c r="I423" s="165"/>
      <c r="J423" s="165"/>
      <c r="K423" s="165"/>
      <c r="L423" s="165"/>
      <c r="M423" s="165"/>
      <c r="N423" s="165"/>
      <c r="O423" s="165"/>
      <c r="P423" s="165"/>
      <c r="Q423" s="169"/>
      <c r="R423" s="169"/>
      <c r="S423" s="169"/>
      <c r="T423" s="169"/>
      <c r="U423" s="169"/>
      <c r="V423" s="165"/>
      <c r="W423" s="165"/>
      <c r="X423" s="165"/>
      <c r="Y423" s="165"/>
      <c r="Z423" s="165"/>
      <c r="AA423" s="165"/>
      <c r="AB423" s="165"/>
      <c r="AC423" s="165"/>
      <c r="AD423" s="165"/>
      <c r="AE423" s="165"/>
      <c r="AF423" s="165"/>
      <c r="AG423" s="165"/>
      <c r="AH423" s="165"/>
      <c r="AI423" s="165"/>
      <c r="AJ423" s="165"/>
      <c r="AK423" s="165"/>
      <c r="AL423" s="165"/>
      <c r="AM423" s="165"/>
      <c r="AN423" s="169" t="s">
        <v>1583</v>
      </c>
      <c r="AO423" s="165"/>
      <c r="AP423" s="165"/>
      <c r="AQ423" s="165"/>
      <c r="AR423" s="170"/>
      <c r="AS423" s="170"/>
      <c r="AT423" s="165"/>
      <c r="AU423" s="165" t="s">
        <v>1388</v>
      </c>
      <c r="AV423" s="170" t="s">
        <v>2052</v>
      </c>
      <c r="AW423" s="170"/>
      <c r="AX423" s="165"/>
      <c r="AY423" s="165"/>
      <c r="AZ423" s="165"/>
      <c r="BA423" s="165"/>
      <c r="BB423" s="165"/>
      <c r="BC423" s="165"/>
      <c r="BD423" s="165"/>
      <c r="BQ423" s="165"/>
      <c r="BR423" s="165"/>
      <c r="BS423" s="165"/>
    </row>
    <row r="424" spans="1:84" s="188" customFormat="1">
      <c r="A424" s="170" t="s">
        <v>2053</v>
      </c>
      <c r="B424" s="169"/>
      <c r="C424" s="165"/>
      <c r="D424" s="224"/>
      <c r="E424" s="170"/>
      <c r="F424" s="165"/>
      <c r="G424" s="165"/>
      <c r="H424" s="165"/>
      <c r="I424" s="165"/>
      <c r="J424" s="165"/>
      <c r="K424" s="165"/>
      <c r="L424" s="165"/>
      <c r="M424" s="165"/>
      <c r="N424" s="165"/>
      <c r="O424" s="165"/>
      <c r="P424" s="165"/>
      <c r="Q424" s="165"/>
      <c r="R424" s="165"/>
      <c r="S424" s="165"/>
      <c r="T424" s="165"/>
      <c r="U424" s="165"/>
      <c r="V424" s="165"/>
      <c r="W424" s="165"/>
      <c r="X424" s="165"/>
      <c r="Y424" s="165"/>
      <c r="Z424" s="165"/>
      <c r="AA424" s="165"/>
      <c r="AB424" s="165"/>
      <c r="AC424" s="165"/>
      <c r="AD424" s="165"/>
      <c r="AE424" s="165"/>
      <c r="AF424" s="204"/>
      <c r="AG424" s="165"/>
      <c r="AH424" s="165"/>
      <c r="AI424" s="165"/>
      <c r="AJ424" s="165"/>
      <c r="AK424" s="165"/>
      <c r="AL424" s="165"/>
      <c r="AM424" s="165"/>
      <c r="AN424" s="165"/>
      <c r="AO424" s="165"/>
      <c r="AP424" s="165"/>
      <c r="AQ424" s="165"/>
      <c r="AR424" s="170"/>
      <c r="AS424" s="170"/>
      <c r="AT424" s="165"/>
      <c r="AU424" s="165"/>
      <c r="AV424" s="209"/>
      <c r="AW424" s="209"/>
      <c r="AX424" s="165"/>
      <c r="AY424" s="165"/>
      <c r="AZ424" s="165"/>
      <c r="BA424" s="165"/>
      <c r="BB424" s="165"/>
      <c r="BC424" s="165"/>
      <c r="BD424" s="165"/>
      <c r="BQ424" s="232"/>
      <c r="BR424" s="232"/>
      <c r="BS424" s="232"/>
      <c r="CE424" s="230">
        <v>44301.553483796299</v>
      </c>
      <c r="CF424" s="230">
        <v>44301.553506944445</v>
      </c>
    </row>
    <row r="425" spans="1:84" s="188" customFormat="1" ht="16.5">
      <c r="A425" s="188" t="s">
        <v>2054</v>
      </c>
      <c r="D425" s="233"/>
      <c r="E425" s="192"/>
      <c r="F425" s="234"/>
      <c r="H425" s="235"/>
      <c r="AV425" s="236"/>
      <c r="AW425" s="236"/>
      <c r="BF425" s="188" t="s">
        <v>2055</v>
      </c>
      <c r="CE425" s="230">
        <v>44305.609479166669</v>
      </c>
    </row>
    <row r="426" spans="1:84" s="188" customFormat="1" ht="13.5">
      <c r="A426" s="188" t="s">
        <v>2056</v>
      </c>
      <c r="D426" s="227"/>
      <c r="H426" s="235"/>
      <c r="BF426" s="188" t="s">
        <v>2055</v>
      </c>
      <c r="BQ426" s="172"/>
      <c r="BR426" s="172"/>
      <c r="BS426" s="172"/>
      <c r="CE426" s="230">
        <v>44305.609814814816</v>
      </c>
    </row>
    <row r="427" spans="1:84" s="188" customFormat="1" ht="13.5">
      <c r="A427" s="188" t="s">
        <v>2057</v>
      </c>
      <c r="D427" s="227"/>
      <c r="H427" s="235"/>
      <c r="BF427" s="188" t="s">
        <v>2055</v>
      </c>
      <c r="BQ427" s="172"/>
      <c r="BR427" s="172"/>
      <c r="BS427" s="172"/>
      <c r="CE427" s="230">
        <v>44305.72047453704</v>
      </c>
    </row>
    <row r="428" spans="1:84" s="188" customFormat="1" ht="30" customHeight="1">
      <c r="A428" s="237" t="s">
        <v>2059</v>
      </c>
      <c r="D428" s="227"/>
      <c r="H428" s="235"/>
      <c r="AR428" s="165" t="s">
        <v>2060</v>
      </c>
      <c r="BQ428" s="172"/>
      <c r="BR428" s="172"/>
      <c r="BS428" s="172"/>
      <c r="CE428" s="230">
        <v>44316.467094907406</v>
      </c>
    </row>
    <row r="429" spans="1:84" s="188" customFormat="1" ht="13.5">
      <c r="D429" s="227"/>
      <c r="H429" s="235"/>
      <c r="BQ429" s="172"/>
      <c r="BR429" s="172"/>
      <c r="BS429" s="172"/>
    </row>
    <row r="430" spans="1:84" s="188" customFormat="1" ht="16.5">
      <c r="D430" s="227"/>
      <c r="V430" s="193"/>
      <c r="W430" s="193"/>
      <c r="AV430" s="172"/>
      <c r="AW430" s="172"/>
      <c r="CE430" s="230"/>
    </row>
    <row r="431" spans="1:84">
      <c r="B431" s="169"/>
      <c r="AF431" s="204"/>
      <c r="AV431" s="209"/>
      <c r="AW431" s="209"/>
      <c r="BH431" s="5"/>
    </row>
    <row r="432" spans="1:84">
      <c r="B432" s="169"/>
      <c r="AF432" s="204"/>
      <c r="AV432" s="209"/>
      <c r="AW432" s="209"/>
      <c r="BH432" s="5"/>
      <c r="CE432" s="174">
        <v>44316.466458333336</v>
      </c>
    </row>
    <row r="433" spans="1:85">
      <c r="B433" s="169"/>
      <c r="AF433" s="204"/>
      <c r="AV433" s="209"/>
      <c r="AW433" s="209"/>
      <c r="BH433" s="5"/>
    </row>
    <row r="434" spans="1:85">
      <c r="B434" s="169"/>
      <c r="AF434" s="204"/>
      <c r="AV434" s="209"/>
      <c r="AW434" s="209"/>
      <c r="BH434" s="5"/>
    </row>
    <row r="435" spans="1:85">
      <c r="B435" s="169"/>
      <c r="AF435" s="204"/>
      <c r="AV435" s="209"/>
      <c r="AW435" s="209"/>
      <c r="BH435" s="5"/>
    </row>
    <row r="436" spans="1:85" ht="15" thickBot="1">
      <c r="BH436" s="5"/>
      <c r="CE436" s="174">
        <v>44082</v>
      </c>
      <c r="CF436" s="174">
        <v>44261</v>
      </c>
    </row>
    <row r="437" spans="1:85" ht="15" thickBot="1">
      <c r="A437" s="238" t="s">
        <v>1146</v>
      </c>
      <c r="B437" s="239"/>
      <c r="C437" s="240"/>
      <c r="D437" s="241"/>
      <c r="E437" s="242"/>
      <c r="F437" s="240"/>
      <c r="G437" s="240"/>
      <c r="H437" s="240"/>
      <c r="I437" s="240"/>
      <c r="J437" s="240"/>
      <c r="K437" s="240"/>
      <c r="L437" s="240"/>
      <c r="M437" s="240"/>
      <c r="N437" s="240"/>
      <c r="O437" s="240"/>
      <c r="P437" s="240"/>
      <c r="Q437" s="240"/>
      <c r="R437" s="239"/>
      <c r="S437" s="239"/>
      <c r="T437" s="239"/>
      <c r="U437" s="239"/>
      <c r="V437" s="239"/>
      <c r="W437" s="239"/>
      <c r="X437" s="239"/>
      <c r="Y437" s="239"/>
      <c r="Z437" s="239"/>
      <c r="AA437" s="239"/>
      <c r="AB437" s="239"/>
      <c r="AC437" s="239"/>
      <c r="AD437" s="239"/>
      <c r="AE437" s="240"/>
      <c r="AF437" s="240"/>
      <c r="AG437" s="239"/>
      <c r="AH437" s="239"/>
      <c r="AI437" s="239"/>
      <c r="AJ437" s="239"/>
      <c r="AK437" s="239"/>
      <c r="AL437" s="239"/>
      <c r="AM437" s="239"/>
      <c r="AN437" s="240"/>
      <c r="AO437" s="240"/>
      <c r="AP437" s="239"/>
      <c r="AQ437" s="239"/>
      <c r="AR437" s="243"/>
      <c r="AS437" s="243"/>
      <c r="AT437" s="239"/>
      <c r="AU437" s="240"/>
      <c r="AV437" s="243"/>
      <c r="AW437" s="243"/>
      <c r="AX437" s="239"/>
      <c r="AY437" s="239"/>
      <c r="AZ437" s="239"/>
      <c r="BA437" s="239"/>
      <c r="BB437" s="239"/>
      <c r="BC437" s="239"/>
      <c r="BD437" s="239"/>
      <c r="BE437" s="244"/>
      <c r="BF437" s="244"/>
      <c r="BG437" s="244"/>
      <c r="BH437" s="244"/>
      <c r="BI437" s="244"/>
      <c r="BJ437" s="244"/>
      <c r="BK437" s="244"/>
      <c r="BL437" s="239"/>
      <c r="BM437" s="239"/>
      <c r="BN437" s="239"/>
      <c r="BO437" s="244"/>
      <c r="BP437" s="239"/>
      <c r="BQ437" s="239"/>
      <c r="BR437" s="239"/>
      <c r="BS437" s="239"/>
      <c r="CA437" s="239"/>
      <c r="CB437" s="239"/>
      <c r="CC437" s="239"/>
      <c r="CD437" s="239"/>
      <c r="CE437" s="245"/>
      <c r="CF437" s="246"/>
      <c r="CG437" s="239"/>
    </row>
    <row r="438" spans="1:85" ht="16.5">
      <c r="AO438" s="195"/>
      <c r="BH438" s="5"/>
    </row>
    <row r="439" spans="1:85">
      <c r="A439" s="247"/>
      <c r="BH439" s="5"/>
    </row>
    <row r="440" spans="1:85">
      <c r="BH440" s="5"/>
    </row>
    <row r="441" spans="1:85">
      <c r="BH441" s="5"/>
    </row>
    <row r="442" spans="1:85">
      <c r="BH442" s="5"/>
    </row>
    <row r="443" spans="1:85">
      <c r="BH443" s="5"/>
    </row>
    <row r="444" spans="1:85">
      <c r="BH444" s="5"/>
    </row>
    <row r="445" spans="1:85">
      <c r="BH445" s="5"/>
    </row>
    <row r="446" spans="1:85">
      <c r="BH446" s="5"/>
    </row>
    <row r="447" spans="1:85">
      <c r="BH447" s="5"/>
    </row>
    <row r="448" spans="1:85">
      <c r="BH448" s="5"/>
    </row>
    <row r="449" spans="1:60">
      <c r="BH449" s="5"/>
    </row>
    <row r="450" spans="1:60">
      <c r="BH450" s="5"/>
    </row>
    <row r="451" spans="1:60">
      <c r="BH451" s="5"/>
    </row>
    <row r="452" spans="1:60" ht="15" thickBot="1">
      <c r="BH452" s="5"/>
    </row>
    <row r="453" spans="1:60" ht="15" thickBot="1">
      <c r="A453" s="206"/>
      <c r="BH453" s="5"/>
    </row>
  </sheetData>
  <autoFilter ref="A1:CD436" xr:uid="{56BA7D80-2CDF-4C97-869D-1482677C26CC}">
    <sortState xmlns:xlrd2="http://schemas.microsoft.com/office/spreadsheetml/2017/richdata2" ref="A2:CD437">
      <sortCondition descending="1" ref="BT1:BT436"/>
    </sortState>
  </autoFilter>
  <phoneticPr fontId="3"/>
  <conditionalFormatting sqref="AL2:AL335 AL337:AL436">
    <cfRule type="colorScale" priority="1">
      <colorScale>
        <cfvo type="min"/>
        <cfvo type="percentile" val="50"/>
        <cfvo type="max"/>
        <color rgb="FFF8696B"/>
        <color rgb="FFFFEB84"/>
        <color rgb="FF63BE7B"/>
      </colorScale>
    </cfRule>
  </conditionalFormatting>
  <conditionalFormatting sqref="AF2:AF436">
    <cfRule type="colorScale" priority="2">
      <colorScale>
        <cfvo type="min"/>
        <cfvo type="percentile" val="50"/>
        <cfvo type="max"/>
        <color rgb="FFF8696B"/>
        <color rgb="FFFFEB84"/>
        <color rgb="FF63BE7B"/>
      </colorScale>
    </cfRule>
  </conditionalFormatting>
  <conditionalFormatting sqref="AM2:AM335 AH2:AH335 AJ2:AJ335 AM337:AM436 AH337:AH436 AJ337:AJ436">
    <cfRule type="colorScale" priority="3">
      <colorScale>
        <cfvo type="min"/>
        <cfvo type="percentile" val="50"/>
        <cfvo type="max"/>
        <color rgb="FFF8696B"/>
        <color rgb="FFFFEB84"/>
        <color rgb="FF63BE7B"/>
      </colorScale>
    </cfRule>
  </conditionalFormatting>
  <hyperlinks>
    <hyperlink ref="AR72" r:id="rId1" xr:uid="{156DBB49-8515-4420-AED9-ACAB5EDA11F8}"/>
  </hyperlinks>
  <pageMargins left="0.7" right="0.7" top="0.75" bottom="0.75" header="0.3" footer="0.3"/>
  <pageSetup paperSize="9" orientation="portrait" horizontalDpi="4294967293" verticalDpi="4294967293"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52CC4F-E881-4B20-B4B4-F99D8014BBC0}">
  <sheetPr codeName="Product"/>
  <dimension ref="A1:O16"/>
  <sheetViews>
    <sheetView workbookViewId="0">
      <pane xSplit="2" ySplit="1" topLeftCell="C2" activePane="bottomRight" state="frozen"/>
      <selection activeCell="A2" sqref="A2"/>
      <selection pane="topRight" activeCell="A2" sqref="A2"/>
      <selection pane="bottomLeft" activeCell="A2" sqref="A2"/>
      <selection pane="bottomRight" activeCell="A2" sqref="A2"/>
    </sheetView>
  </sheetViews>
  <sheetFormatPr defaultRowHeight="14.25"/>
  <cols>
    <col min="1" max="1" width="16.125" customWidth="1"/>
    <col min="2" max="2" width="11.75" customWidth="1"/>
    <col min="3" max="4" width="10.625" customWidth="1"/>
    <col min="5" max="5" width="14.625" customWidth="1"/>
  </cols>
  <sheetData>
    <row r="1" spans="1:15" s="5" customFormat="1" ht="16.5">
      <c r="A1" s="248" t="s">
        <v>2061</v>
      </c>
      <c r="B1" s="248" t="s">
        <v>2062</v>
      </c>
      <c r="C1" s="249" t="s">
        <v>2063</v>
      </c>
      <c r="D1" s="249" t="s">
        <v>2064</v>
      </c>
      <c r="E1" s="249" t="s">
        <v>120</v>
      </c>
      <c r="F1" s="249" t="s">
        <v>2065</v>
      </c>
      <c r="G1" s="248"/>
      <c r="H1" s="249" t="s">
        <v>2066</v>
      </c>
      <c r="I1" s="249" t="s">
        <v>2067</v>
      </c>
      <c r="J1" s="248"/>
      <c r="K1" s="249" t="s">
        <v>2068</v>
      </c>
      <c r="L1" s="248"/>
      <c r="M1" s="250" t="s">
        <v>1248</v>
      </c>
      <c r="N1" s="250" t="s">
        <v>1250</v>
      </c>
      <c r="O1" s="251" t="s">
        <v>10</v>
      </c>
    </row>
    <row r="16" spans="1:15" ht="15">
      <c r="A16" s="251" t="s">
        <v>10</v>
      </c>
      <c r="B16" s="252"/>
      <c r="C16" s="252"/>
      <c r="D16" s="252"/>
      <c r="E16" s="252"/>
      <c r="F16" s="252"/>
      <c r="G16" s="252"/>
      <c r="H16" s="252"/>
      <c r="I16" s="252"/>
      <c r="J16" s="252"/>
      <c r="K16" s="252"/>
      <c r="L16" s="252"/>
      <c r="M16" s="252"/>
      <c r="N16" s="252"/>
      <c r="O16" s="252"/>
    </row>
  </sheetData>
  <phoneticPr fontId="3"/>
  <pageMargins left="0.7" right="0.7" top="0.75" bottom="0.75" header="0.3" footer="0.3"/>
  <pageSetup paperSize="9" orientation="portrait" horizontalDpi="4294967293" verticalDpi="4294967293"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857919-E5B3-488F-BEC5-16A0E1B1CB9C}">
  <sheetPr codeName="Person"/>
  <dimension ref="A1:Q24"/>
  <sheetViews>
    <sheetView workbookViewId="0">
      <pane xSplit="3" ySplit="1" topLeftCell="D8" activePane="bottomRight" state="frozen"/>
      <selection activeCell="A2" sqref="A2"/>
      <selection pane="topRight" activeCell="A2" sqref="A2"/>
      <selection pane="bottomLeft" activeCell="A2" sqref="A2"/>
      <selection pane="bottomRight" activeCell="A2" sqref="A2"/>
    </sheetView>
  </sheetViews>
  <sheetFormatPr defaultRowHeight="14.25"/>
  <cols>
    <col min="1" max="1" width="13.375" customWidth="1"/>
    <col min="2" max="2" width="14.625" customWidth="1"/>
    <col min="5" max="5" width="17" customWidth="1"/>
    <col min="11" max="11" width="15.875" customWidth="1"/>
  </cols>
  <sheetData>
    <row r="1" spans="1:17" s="5" customFormat="1" ht="16.5">
      <c r="A1" s="248" t="s">
        <v>2069</v>
      </c>
      <c r="B1" s="248" t="s">
        <v>2070</v>
      </c>
      <c r="C1" s="253" t="s">
        <v>2071</v>
      </c>
      <c r="D1" s="249" t="s">
        <v>2072</v>
      </c>
      <c r="E1" s="248" t="s">
        <v>2073</v>
      </c>
      <c r="F1" s="249" t="s">
        <v>2074</v>
      </c>
      <c r="G1" s="249" t="s">
        <v>2075</v>
      </c>
      <c r="H1" s="249" t="s">
        <v>2076</v>
      </c>
      <c r="I1" s="249" t="s">
        <v>2077</v>
      </c>
      <c r="J1" s="249"/>
      <c r="K1" s="248" t="s">
        <v>2078</v>
      </c>
      <c r="L1" s="248"/>
      <c r="M1" s="249" t="s">
        <v>18</v>
      </c>
      <c r="N1" s="249"/>
      <c r="O1" s="249" t="s">
        <v>2079</v>
      </c>
      <c r="P1" s="248" t="s">
        <v>2080</v>
      </c>
      <c r="Q1" s="254" t="s">
        <v>10</v>
      </c>
    </row>
    <row r="12" spans="1:17" ht="16.5">
      <c r="A12" s="195" t="s">
        <v>2081</v>
      </c>
      <c r="E12" s="195"/>
      <c r="K12" s="195" t="s">
        <v>2082</v>
      </c>
    </row>
    <row r="15" spans="1:17" ht="15" thickBot="1"/>
    <row r="16" spans="1:17" ht="17.25" thickBot="1">
      <c r="A16" s="208" t="s">
        <v>1352</v>
      </c>
      <c r="E16" s="165"/>
      <c r="K16" s="165" t="s">
        <v>2083</v>
      </c>
    </row>
    <row r="17" spans="1:17" ht="15" thickBot="1"/>
    <row r="18" spans="1:17" ht="17.25" thickBot="1">
      <c r="A18" s="208" t="s">
        <v>1453</v>
      </c>
      <c r="E18" s="165" t="s">
        <v>2084</v>
      </c>
      <c r="K18" s="165" t="s">
        <v>2085</v>
      </c>
    </row>
    <row r="19" spans="1:17" ht="15" thickBot="1"/>
    <row r="20" spans="1:17" ht="15" thickBot="1">
      <c r="A20" s="168" t="s">
        <v>1496</v>
      </c>
      <c r="K20" s="165" t="s">
        <v>2086</v>
      </c>
    </row>
    <row r="24" spans="1:17" ht="16.5">
      <c r="A24" s="255" t="s">
        <v>10</v>
      </c>
      <c r="B24" s="252"/>
      <c r="C24" s="252"/>
      <c r="D24" s="252"/>
      <c r="E24" s="252"/>
      <c r="F24" s="252"/>
      <c r="G24" s="252"/>
      <c r="H24" s="252"/>
      <c r="I24" s="252"/>
      <c r="J24" s="252"/>
      <c r="K24" s="252"/>
      <c r="L24" s="252"/>
      <c r="M24" s="252"/>
      <c r="N24" s="252"/>
      <c r="O24" s="252"/>
      <c r="P24" s="252"/>
      <c r="Q24" s="252"/>
    </row>
  </sheetData>
  <phoneticPr fontId="3"/>
  <pageMargins left="0.7" right="0.7" top="0.75" bottom="0.75" header="0.3" footer="0.3"/>
  <pageSetup paperSize="9"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CB2446-650D-4FF7-A6AF-1C599EDFE959}">
  <sheetPr codeName="JOB"/>
  <dimension ref="A1:AL200"/>
  <sheetViews>
    <sheetView zoomScaleNormal="100" zoomScaleSheetLayoutView="100" workbookViewId="0">
      <pane xSplit="2" ySplit="1" topLeftCell="C2" activePane="bottomRight" state="frozen"/>
      <selection activeCell="A2" sqref="A2"/>
      <selection pane="topRight" activeCell="A2" sqref="A2"/>
      <selection pane="bottomLeft" activeCell="A2" sqref="A2"/>
      <selection pane="bottomRight" activeCell="A2" sqref="A2"/>
    </sheetView>
  </sheetViews>
  <sheetFormatPr defaultColWidth="8.75" defaultRowHeight="15.75"/>
  <cols>
    <col min="1" max="2" width="36.625" style="102" customWidth="1"/>
    <col min="3" max="3" width="14.5" style="102" customWidth="1"/>
    <col min="4" max="4" width="8.75" style="102"/>
    <col min="5" max="5" width="14.5" style="102" customWidth="1"/>
    <col min="6" max="6" width="11.125" style="102" customWidth="1"/>
    <col min="7" max="7" width="16.625" style="102" customWidth="1"/>
    <col min="8" max="10" width="9.875" style="102" customWidth="1"/>
    <col min="11" max="14" width="9.25" style="102" customWidth="1"/>
    <col min="15" max="15" width="10.75" style="102" customWidth="1"/>
    <col min="16" max="16" width="11.375" style="102" customWidth="1"/>
    <col min="17" max="17" width="10.25" style="102" customWidth="1"/>
    <col min="18" max="20" width="11.125" style="102" customWidth="1"/>
    <col min="21" max="21" width="11.75" style="102" customWidth="1"/>
    <col min="22" max="38" width="13.125" style="102" customWidth="1"/>
    <col min="39" max="16384" width="8.75" style="102"/>
  </cols>
  <sheetData>
    <row r="1" spans="1:38" ht="27" customHeight="1">
      <c r="A1" s="248" t="s">
        <v>2062</v>
      </c>
      <c r="B1" s="127" t="s">
        <v>2087</v>
      </c>
      <c r="C1" s="126" t="s">
        <v>2088</v>
      </c>
      <c r="D1" s="256" t="s">
        <v>2089</v>
      </c>
      <c r="E1" s="126" t="s">
        <v>2090</v>
      </c>
      <c r="F1" s="126" t="s">
        <v>2091</v>
      </c>
      <c r="G1" s="126" t="s">
        <v>2092</v>
      </c>
      <c r="H1" s="126" t="s">
        <v>2093</v>
      </c>
      <c r="I1" s="126" t="s">
        <v>2094</v>
      </c>
      <c r="J1" s="126" t="s">
        <v>2095</v>
      </c>
      <c r="K1" s="126" t="s">
        <v>783</v>
      </c>
      <c r="L1" s="126" t="s">
        <v>2096</v>
      </c>
      <c r="M1" s="126" t="s">
        <v>2097</v>
      </c>
      <c r="N1" s="126"/>
      <c r="O1" s="126"/>
      <c r="P1" s="127"/>
      <c r="Q1" s="126"/>
      <c r="R1" s="126"/>
      <c r="S1" s="126"/>
      <c r="T1" s="126"/>
      <c r="U1" s="257" t="s">
        <v>2098</v>
      </c>
      <c r="V1" s="112"/>
      <c r="W1" s="112"/>
      <c r="X1" s="112"/>
      <c r="Y1" s="112"/>
      <c r="Z1" s="112"/>
      <c r="AA1" s="112"/>
      <c r="AB1" s="112"/>
      <c r="AC1" s="112"/>
      <c r="AD1" s="112"/>
      <c r="AE1" s="112"/>
      <c r="AF1" s="112"/>
      <c r="AG1" s="112"/>
      <c r="AH1" s="112"/>
      <c r="AI1" s="112"/>
      <c r="AJ1" s="112"/>
      <c r="AK1" s="112"/>
      <c r="AL1" s="112"/>
    </row>
    <row r="2" spans="1:38" ht="16.5">
      <c r="A2" s="110"/>
      <c r="B2" s="258"/>
      <c r="C2" s="108"/>
      <c r="E2" s="108"/>
      <c r="F2" s="108"/>
      <c r="G2" s="108"/>
      <c r="H2" s="108"/>
      <c r="I2" s="108"/>
      <c r="J2" s="108"/>
      <c r="K2" s="108"/>
      <c r="L2" s="108"/>
      <c r="M2" s="108"/>
      <c r="N2" s="108"/>
      <c r="O2" s="113"/>
      <c r="P2" s="113"/>
      <c r="Q2" s="108"/>
      <c r="R2" s="108"/>
      <c r="S2" s="108"/>
      <c r="T2" s="108"/>
      <c r="U2" s="103"/>
      <c r="V2" s="103"/>
      <c r="W2" s="103"/>
      <c r="X2" s="103"/>
      <c r="Y2" s="103"/>
      <c r="Z2" s="103"/>
      <c r="AA2" s="103"/>
      <c r="AB2" s="103"/>
      <c r="AC2" s="103"/>
      <c r="AD2" s="103"/>
      <c r="AE2" s="103"/>
      <c r="AF2" s="103"/>
      <c r="AG2" s="103"/>
      <c r="AH2" s="103"/>
      <c r="AI2" s="103"/>
      <c r="AJ2" s="103"/>
      <c r="AK2" s="103"/>
      <c r="AL2" s="103"/>
    </row>
    <row r="3" spans="1:38" ht="16.5">
      <c r="A3" s="110"/>
      <c r="B3" s="258"/>
      <c r="C3" s="108"/>
      <c r="E3" s="108"/>
      <c r="F3" s="108"/>
      <c r="G3" s="108"/>
      <c r="H3" s="108"/>
      <c r="I3" s="108"/>
      <c r="J3" s="108"/>
      <c r="K3" s="108"/>
      <c r="L3" s="108"/>
      <c r="M3" s="108"/>
      <c r="N3" s="108"/>
      <c r="O3" s="113"/>
      <c r="P3" s="113"/>
      <c r="Q3" s="108"/>
      <c r="R3" s="108"/>
      <c r="S3" s="108"/>
      <c r="T3" s="108"/>
      <c r="U3" s="103"/>
      <c r="V3" s="103"/>
      <c r="W3" s="103"/>
      <c r="X3" s="103"/>
      <c r="Y3" s="103"/>
      <c r="Z3" s="103"/>
      <c r="AA3" s="103"/>
      <c r="AB3" s="103"/>
      <c r="AC3" s="103"/>
      <c r="AD3" s="103"/>
      <c r="AE3" s="103"/>
      <c r="AF3" s="103"/>
      <c r="AG3" s="103"/>
      <c r="AH3" s="103"/>
      <c r="AI3" s="103"/>
      <c r="AJ3" s="103"/>
      <c r="AK3" s="103"/>
      <c r="AL3" s="103"/>
    </row>
    <row r="4" spans="1:38" ht="16.5">
      <c r="A4" s="110"/>
      <c r="B4" s="258"/>
      <c r="C4" s="108"/>
      <c r="E4" s="108"/>
      <c r="F4" s="108"/>
      <c r="G4" s="108"/>
      <c r="H4" s="108"/>
      <c r="I4" s="108"/>
      <c r="J4" s="108"/>
      <c r="K4" s="108"/>
      <c r="L4" s="108"/>
      <c r="M4" s="108"/>
      <c r="N4" s="108"/>
      <c r="O4" s="113"/>
      <c r="P4" s="113"/>
      <c r="Q4" s="108"/>
      <c r="R4" s="108"/>
      <c r="S4" s="108"/>
      <c r="T4" s="108"/>
      <c r="U4" s="103"/>
      <c r="V4" s="103"/>
      <c r="W4" s="103"/>
      <c r="X4" s="103"/>
      <c r="Y4" s="103"/>
      <c r="Z4" s="103"/>
      <c r="AA4" s="103"/>
      <c r="AB4" s="103"/>
      <c r="AC4" s="103"/>
      <c r="AD4" s="103"/>
      <c r="AE4" s="103"/>
      <c r="AF4" s="103"/>
      <c r="AG4" s="103"/>
      <c r="AH4" s="103"/>
      <c r="AI4" s="103"/>
      <c r="AJ4" s="103"/>
      <c r="AK4" s="103"/>
      <c r="AL4" s="103"/>
    </row>
    <row r="5" spans="1:38" ht="16.5">
      <c r="A5" s="110"/>
      <c r="B5" s="258"/>
      <c r="C5" s="108"/>
      <c r="E5" s="108"/>
      <c r="F5" s="108"/>
      <c r="G5" s="108"/>
      <c r="H5" s="108"/>
      <c r="I5" s="108"/>
      <c r="J5" s="108"/>
      <c r="K5" s="112"/>
      <c r="L5" s="108"/>
      <c r="M5" s="108"/>
      <c r="N5" s="112"/>
      <c r="O5" s="113"/>
      <c r="P5" s="113"/>
      <c r="Q5" s="108"/>
      <c r="R5" s="108"/>
      <c r="S5" s="108"/>
      <c r="T5" s="108"/>
      <c r="U5" s="103"/>
      <c r="V5" s="103"/>
      <c r="W5" s="103"/>
      <c r="X5" s="103"/>
      <c r="Y5" s="103"/>
      <c r="Z5" s="103"/>
      <c r="AA5" s="103"/>
      <c r="AB5" s="103"/>
      <c r="AC5" s="103"/>
      <c r="AD5" s="103"/>
      <c r="AE5" s="103"/>
      <c r="AF5" s="103"/>
      <c r="AG5" s="103"/>
      <c r="AH5" s="103"/>
      <c r="AI5" s="103"/>
      <c r="AJ5" s="103"/>
      <c r="AK5" s="103"/>
      <c r="AL5" s="103"/>
    </row>
    <row r="6" spans="1:38" ht="16.5">
      <c r="A6" s="104"/>
      <c r="B6" s="259"/>
      <c r="C6" s="108"/>
      <c r="E6" s="108"/>
      <c r="F6" s="108"/>
      <c r="G6" s="108"/>
      <c r="H6" s="108"/>
      <c r="I6" s="108"/>
      <c r="J6" s="108"/>
      <c r="K6" s="112"/>
      <c r="L6" s="112"/>
      <c r="M6" s="112"/>
      <c r="N6" s="112"/>
      <c r="O6" s="113"/>
      <c r="P6" s="113"/>
      <c r="Q6" s="112"/>
      <c r="R6" s="112"/>
      <c r="S6" s="112"/>
      <c r="T6" s="112"/>
      <c r="U6" s="103"/>
      <c r="V6" s="103"/>
      <c r="W6" s="103"/>
      <c r="X6" s="103"/>
      <c r="Y6" s="103"/>
      <c r="Z6" s="103"/>
      <c r="AA6" s="103"/>
      <c r="AB6" s="103"/>
      <c r="AC6" s="103"/>
      <c r="AD6" s="103"/>
      <c r="AE6" s="103"/>
      <c r="AF6" s="103"/>
      <c r="AG6" s="103"/>
      <c r="AH6" s="103"/>
      <c r="AI6" s="103"/>
      <c r="AJ6" s="103"/>
      <c r="AK6" s="103"/>
      <c r="AL6" s="103"/>
    </row>
    <row r="7" spans="1:38" ht="16.5">
      <c r="A7" s="110"/>
      <c r="B7" s="258"/>
      <c r="C7" s="108"/>
      <c r="E7" s="108"/>
      <c r="F7" s="108"/>
      <c r="G7" s="108"/>
      <c r="H7" s="108"/>
      <c r="I7" s="108"/>
      <c r="J7" s="108"/>
      <c r="K7" s="112"/>
      <c r="L7" s="108"/>
      <c r="M7" s="108"/>
      <c r="N7" s="112"/>
      <c r="O7" s="113"/>
      <c r="P7" s="113"/>
      <c r="Q7" s="112"/>
      <c r="R7" s="108"/>
      <c r="S7" s="108"/>
      <c r="T7" s="108"/>
      <c r="U7" s="109"/>
      <c r="V7" s="103"/>
      <c r="W7" s="103"/>
      <c r="X7" s="103"/>
      <c r="Y7" s="103"/>
      <c r="Z7" s="103"/>
      <c r="AA7" s="103"/>
      <c r="AB7" s="103"/>
      <c r="AC7" s="103"/>
      <c r="AD7" s="103"/>
      <c r="AE7" s="103"/>
      <c r="AF7" s="103"/>
      <c r="AG7" s="103"/>
      <c r="AH7" s="103"/>
      <c r="AI7" s="103"/>
      <c r="AJ7" s="103"/>
      <c r="AK7" s="103"/>
      <c r="AL7" s="103"/>
    </row>
    <row r="8" spans="1:38" ht="16.5">
      <c r="A8" s="104"/>
      <c r="B8" s="259"/>
      <c r="C8" s="108"/>
      <c r="E8" s="108"/>
      <c r="F8" s="112"/>
      <c r="G8" s="112"/>
      <c r="H8" s="112"/>
      <c r="I8" s="112"/>
      <c r="J8" s="112"/>
      <c r="K8" s="112"/>
      <c r="L8" s="112"/>
      <c r="M8" s="112"/>
      <c r="N8" s="112"/>
      <c r="O8" s="113"/>
      <c r="P8" s="113"/>
      <c r="Q8" s="112"/>
      <c r="R8" s="112"/>
      <c r="S8" s="112"/>
      <c r="T8" s="112"/>
      <c r="U8" s="103"/>
      <c r="V8" s="103"/>
      <c r="W8" s="103"/>
      <c r="X8" s="103"/>
      <c r="Y8" s="103"/>
      <c r="Z8" s="103"/>
      <c r="AA8" s="103"/>
      <c r="AB8" s="103"/>
      <c r="AC8" s="103"/>
      <c r="AD8" s="103"/>
      <c r="AE8" s="103"/>
      <c r="AF8" s="103"/>
      <c r="AG8" s="103"/>
      <c r="AH8" s="103"/>
      <c r="AI8" s="103"/>
      <c r="AJ8" s="103"/>
      <c r="AK8" s="103"/>
      <c r="AL8" s="103"/>
    </row>
    <row r="9" spans="1:38" ht="16.5">
      <c r="A9" s="110"/>
      <c r="B9" s="258"/>
      <c r="C9" s="108"/>
      <c r="E9" s="108"/>
      <c r="F9" s="108"/>
      <c r="G9" s="108"/>
      <c r="H9" s="108"/>
      <c r="I9" s="108"/>
      <c r="J9" s="108"/>
      <c r="K9" s="108"/>
      <c r="L9" s="108"/>
      <c r="M9" s="108"/>
      <c r="N9" s="108"/>
      <c r="O9" s="114"/>
      <c r="P9" s="113"/>
      <c r="Q9" s="108"/>
      <c r="R9" s="108"/>
      <c r="S9" s="108"/>
      <c r="T9" s="108"/>
      <c r="U9" s="103"/>
      <c r="V9" s="103"/>
      <c r="W9" s="103"/>
      <c r="X9" s="103"/>
      <c r="Y9" s="103"/>
      <c r="Z9" s="103"/>
      <c r="AA9" s="103"/>
      <c r="AB9" s="103"/>
      <c r="AC9" s="103"/>
      <c r="AD9" s="103"/>
      <c r="AE9" s="103"/>
      <c r="AF9" s="103"/>
      <c r="AG9" s="103"/>
      <c r="AH9" s="103"/>
      <c r="AI9" s="103"/>
      <c r="AJ9" s="103"/>
      <c r="AK9" s="103"/>
      <c r="AL9" s="103"/>
    </row>
    <row r="10" spans="1:38" ht="16.5">
      <c r="A10" s="110"/>
      <c r="B10" s="258"/>
      <c r="C10" s="108"/>
      <c r="E10" s="108"/>
      <c r="F10" s="108"/>
      <c r="G10" s="108"/>
      <c r="H10" s="108"/>
      <c r="I10" s="108"/>
      <c r="J10" s="108"/>
      <c r="K10" s="108"/>
      <c r="L10" s="108"/>
      <c r="M10" s="108"/>
      <c r="N10" s="108"/>
      <c r="O10" s="113"/>
      <c r="P10" s="113"/>
      <c r="Q10" s="108"/>
      <c r="R10" s="108"/>
      <c r="S10" s="108"/>
      <c r="T10" s="108"/>
      <c r="U10" s="109"/>
      <c r="V10" s="103"/>
      <c r="W10" s="103"/>
      <c r="X10" s="103"/>
      <c r="Y10" s="103"/>
      <c r="Z10" s="103"/>
      <c r="AA10" s="103"/>
      <c r="AB10" s="103"/>
      <c r="AC10" s="103"/>
      <c r="AD10" s="103"/>
      <c r="AE10" s="103"/>
      <c r="AF10" s="103"/>
      <c r="AG10" s="103"/>
      <c r="AH10" s="103"/>
      <c r="AI10" s="103"/>
      <c r="AJ10" s="103"/>
      <c r="AK10" s="103"/>
      <c r="AL10" s="103"/>
    </row>
    <row r="11" spans="1:38" ht="16.5">
      <c r="A11" s="110"/>
      <c r="B11" s="258"/>
      <c r="C11" s="108"/>
      <c r="E11" s="108"/>
      <c r="F11" s="108"/>
      <c r="G11" s="108"/>
      <c r="H11" s="108"/>
      <c r="I11" s="108"/>
      <c r="J11" s="108"/>
      <c r="K11" s="108"/>
      <c r="L11" s="108"/>
      <c r="M11" s="108"/>
      <c r="N11" s="108"/>
      <c r="O11" s="113"/>
      <c r="P11" s="113"/>
      <c r="Q11" s="112"/>
      <c r="R11" s="108"/>
      <c r="S11" s="108"/>
      <c r="T11" s="108"/>
      <c r="U11" s="109"/>
      <c r="V11" s="103"/>
      <c r="W11" s="103"/>
      <c r="X11" s="103"/>
      <c r="Y11" s="103"/>
      <c r="Z11" s="103"/>
      <c r="AA11" s="103"/>
      <c r="AB11" s="103"/>
      <c r="AC11" s="103"/>
      <c r="AD11" s="103"/>
      <c r="AE11" s="103"/>
      <c r="AF11" s="103"/>
      <c r="AG11" s="103"/>
      <c r="AH11" s="103"/>
      <c r="AI11" s="103"/>
      <c r="AJ11" s="103"/>
      <c r="AK11" s="103"/>
      <c r="AL11" s="103"/>
    </row>
    <row r="12" spans="1:38" ht="16.5">
      <c r="A12" s="110"/>
      <c r="B12" s="258"/>
      <c r="C12" s="108"/>
      <c r="E12" s="108"/>
      <c r="F12" s="108"/>
      <c r="G12" s="108"/>
      <c r="H12" s="108"/>
      <c r="I12" s="108"/>
      <c r="J12" s="108"/>
      <c r="K12" s="108"/>
      <c r="L12" s="108"/>
      <c r="M12" s="108"/>
      <c r="N12" s="108"/>
      <c r="O12" s="113"/>
      <c r="P12" s="113"/>
      <c r="Q12" s="112"/>
      <c r="R12" s="108"/>
      <c r="S12" s="108"/>
      <c r="T12" s="108"/>
      <c r="U12" s="103"/>
      <c r="V12" s="103"/>
      <c r="W12" s="103"/>
      <c r="X12" s="103"/>
      <c r="Y12" s="103"/>
      <c r="Z12" s="103"/>
      <c r="AA12" s="103"/>
      <c r="AB12" s="103"/>
      <c r="AC12" s="103"/>
      <c r="AD12" s="103"/>
      <c r="AE12" s="103"/>
      <c r="AF12" s="103"/>
      <c r="AG12" s="103"/>
      <c r="AH12" s="103"/>
      <c r="AI12" s="103"/>
      <c r="AJ12" s="103"/>
      <c r="AK12" s="103"/>
      <c r="AL12" s="103"/>
    </row>
    <row r="13" spans="1:38" ht="16.5">
      <c r="A13" s="110"/>
      <c r="B13" s="258"/>
      <c r="C13" s="108"/>
      <c r="E13" s="108"/>
      <c r="F13" s="108"/>
      <c r="G13" s="108"/>
      <c r="H13" s="108"/>
      <c r="I13" s="108"/>
      <c r="J13" s="108"/>
      <c r="K13" s="108"/>
      <c r="L13" s="108"/>
      <c r="M13" s="108"/>
      <c r="N13" s="108"/>
      <c r="O13" s="113"/>
      <c r="P13" s="113"/>
      <c r="Q13" s="112"/>
      <c r="R13" s="108"/>
      <c r="S13" s="108"/>
      <c r="T13" s="108"/>
      <c r="U13" s="103"/>
      <c r="V13" s="103"/>
      <c r="W13" s="103"/>
      <c r="X13" s="103"/>
      <c r="Y13" s="103"/>
      <c r="Z13" s="103"/>
      <c r="AA13" s="103"/>
      <c r="AB13" s="103"/>
      <c r="AC13" s="103"/>
      <c r="AD13" s="103"/>
      <c r="AE13" s="103"/>
      <c r="AF13" s="103"/>
      <c r="AG13" s="103"/>
      <c r="AH13" s="103"/>
      <c r="AI13" s="103"/>
      <c r="AJ13" s="103"/>
      <c r="AK13" s="103"/>
      <c r="AL13" s="103"/>
    </row>
    <row r="14" spans="1:38" ht="16.5">
      <c r="A14" s="110"/>
      <c r="B14" s="258"/>
      <c r="C14" s="108"/>
      <c r="E14" s="108"/>
      <c r="F14" s="108"/>
      <c r="G14" s="108"/>
      <c r="H14" s="108"/>
      <c r="I14" s="108"/>
      <c r="J14" s="108"/>
      <c r="K14" s="108"/>
      <c r="L14" s="108"/>
      <c r="M14" s="108"/>
      <c r="N14" s="108"/>
      <c r="O14" s="113"/>
      <c r="P14" s="113"/>
      <c r="Q14" s="112"/>
      <c r="R14" s="108"/>
      <c r="S14" s="108"/>
      <c r="T14" s="108"/>
      <c r="U14" s="103"/>
      <c r="V14" s="103"/>
      <c r="W14" s="103"/>
      <c r="X14" s="103"/>
      <c r="Y14" s="103"/>
      <c r="Z14" s="103"/>
      <c r="AA14" s="103"/>
      <c r="AB14" s="103"/>
      <c r="AC14" s="103"/>
      <c r="AD14" s="103"/>
      <c r="AE14" s="103"/>
      <c r="AF14" s="103"/>
      <c r="AG14" s="103"/>
      <c r="AH14" s="103"/>
      <c r="AI14" s="103"/>
      <c r="AJ14" s="103"/>
      <c r="AK14" s="103"/>
      <c r="AL14" s="103"/>
    </row>
    <row r="15" spans="1:38" ht="16.5">
      <c r="A15" s="110"/>
      <c r="B15" s="258"/>
      <c r="C15" s="108"/>
      <c r="E15" s="108"/>
      <c r="F15" s="108"/>
      <c r="G15" s="108"/>
      <c r="H15" s="108"/>
      <c r="I15" s="108"/>
      <c r="J15" s="108"/>
      <c r="K15" s="108"/>
      <c r="L15" s="108"/>
      <c r="M15" s="108"/>
      <c r="N15" s="108"/>
      <c r="O15" s="113"/>
      <c r="P15" s="113"/>
      <c r="Q15" s="112"/>
      <c r="R15" s="108"/>
      <c r="S15" s="108"/>
      <c r="T15" s="108"/>
      <c r="U15" s="103"/>
      <c r="V15" s="103"/>
      <c r="W15" s="103"/>
      <c r="X15" s="103"/>
      <c r="Y15" s="103"/>
      <c r="Z15" s="103"/>
      <c r="AA15" s="103"/>
      <c r="AB15" s="103"/>
      <c r="AC15" s="103"/>
      <c r="AD15" s="103"/>
      <c r="AE15" s="103"/>
      <c r="AF15" s="103"/>
      <c r="AG15" s="103"/>
      <c r="AH15" s="103"/>
      <c r="AI15" s="103"/>
      <c r="AJ15" s="103"/>
      <c r="AK15" s="103"/>
      <c r="AL15" s="103"/>
    </row>
    <row r="16" spans="1:38" ht="16.5">
      <c r="A16" s="110"/>
      <c r="B16" s="258"/>
      <c r="C16" s="108"/>
      <c r="E16" s="108"/>
      <c r="F16" s="112"/>
      <c r="G16" s="112"/>
      <c r="H16" s="112"/>
      <c r="I16" s="112"/>
      <c r="J16" s="112"/>
      <c r="K16" s="112"/>
      <c r="L16" s="108"/>
      <c r="M16" s="108"/>
      <c r="N16" s="112"/>
      <c r="O16" s="113"/>
      <c r="P16" s="113"/>
      <c r="Q16" s="112"/>
      <c r="R16" s="108"/>
      <c r="S16" s="108"/>
      <c r="T16" s="108"/>
      <c r="U16" s="103"/>
      <c r="V16" s="103"/>
      <c r="W16" s="103"/>
      <c r="X16" s="103"/>
      <c r="Y16" s="103"/>
      <c r="Z16" s="103"/>
      <c r="AA16" s="103"/>
      <c r="AB16" s="103"/>
      <c r="AC16" s="103"/>
      <c r="AD16" s="103"/>
      <c r="AE16" s="103"/>
      <c r="AF16" s="103"/>
      <c r="AG16" s="103"/>
      <c r="AH16" s="103"/>
      <c r="AI16" s="103"/>
      <c r="AJ16" s="103"/>
      <c r="AK16" s="103"/>
      <c r="AL16" s="103"/>
    </row>
    <row r="17" spans="1:38" ht="16.5">
      <c r="A17" s="110"/>
      <c r="B17" s="258"/>
      <c r="C17" s="108"/>
      <c r="E17" s="108"/>
      <c r="F17" s="112"/>
      <c r="G17" s="112"/>
      <c r="H17" s="112"/>
      <c r="I17" s="112"/>
      <c r="J17" s="112"/>
      <c r="K17" s="112"/>
      <c r="L17" s="108"/>
      <c r="M17" s="108"/>
      <c r="N17" s="112"/>
      <c r="O17" s="113"/>
      <c r="P17" s="113"/>
      <c r="Q17" s="112"/>
      <c r="R17" s="108"/>
      <c r="S17" s="108"/>
      <c r="T17" s="108"/>
      <c r="U17" s="103"/>
      <c r="V17" s="103"/>
      <c r="W17" s="103"/>
      <c r="X17" s="103"/>
      <c r="Y17" s="103"/>
      <c r="Z17" s="103"/>
      <c r="AA17" s="103"/>
      <c r="AB17" s="103"/>
      <c r="AC17" s="103"/>
      <c r="AD17" s="103"/>
      <c r="AE17" s="103"/>
      <c r="AF17" s="103"/>
      <c r="AG17" s="103"/>
      <c r="AH17" s="103"/>
      <c r="AI17" s="103"/>
      <c r="AJ17" s="103"/>
      <c r="AK17" s="103"/>
      <c r="AL17" s="103"/>
    </row>
    <row r="18" spans="1:38" ht="16.5">
      <c r="A18" s="110"/>
      <c r="B18" s="258"/>
      <c r="C18" s="112"/>
      <c r="E18" s="112"/>
      <c r="F18" s="112"/>
      <c r="G18" s="112"/>
      <c r="H18" s="112"/>
      <c r="I18" s="112"/>
      <c r="J18" s="112"/>
      <c r="K18" s="112"/>
      <c r="L18" s="112"/>
      <c r="M18" s="112"/>
      <c r="N18" s="112"/>
      <c r="O18" s="113"/>
      <c r="P18" s="113"/>
      <c r="Q18" s="112"/>
      <c r="R18" s="112"/>
      <c r="S18" s="112"/>
      <c r="T18" s="112"/>
      <c r="U18" s="103"/>
      <c r="V18" s="103"/>
      <c r="W18" s="103"/>
      <c r="X18" s="103"/>
      <c r="Y18" s="103"/>
      <c r="Z18" s="103"/>
      <c r="AA18" s="103"/>
      <c r="AB18" s="103"/>
      <c r="AC18" s="103"/>
      <c r="AD18" s="103"/>
      <c r="AE18" s="103"/>
      <c r="AF18" s="103"/>
      <c r="AG18" s="103"/>
      <c r="AH18" s="103"/>
      <c r="AI18" s="103"/>
      <c r="AJ18" s="103"/>
      <c r="AK18" s="103"/>
      <c r="AL18" s="103"/>
    </row>
    <row r="19" spans="1:38" ht="16.5">
      <c r="A19" s="110"/>
      <c r="B19" s="258"/>
      <c r="C19" s="108"/>
      <c r="E19" s="108"/>
      <c r="F19" s="112"/>
      <c r="G19" s="112"/>
      <c r="H19" s="112"/>
      <c r="I19" s="112"/>
      <c r="J19" s="112"/>
      <c r="K19" s="112"/>
      <c r="L19" s="108"/>
      <c r="M19" s="108"/>
      <c r="N19" s="112"/>
      <c r="O19" s="113"/>
      <c r="P19" s="113"/>
      <c r="Q19" s="112"/>
      <c r="R19" s="108"/>
      <c r="S19" s="108"/>
      <c r="T19" s="108"/>
      <c r="U19" s="103"/>
      <c r="V19" s="103"/>
      <c r="W19" s="103"/>
      <c r="X19" s="103"/>
      <c r="Y19" s="103"/>
      <c r="Z19" s="103"/>
      <c r="AA19" s="103"/>
      <c r="AB19" s="103"/>
      <c r="AC19" s="103"/>
      <c r="AD19" s="103"/>
      <c r="AE19" s="103"/>
      <c r="AF19" s="103"/>
      <c r="AG19" s="103"/>
      <c r="AH19" s="103"/>
      <c r="AI19" s="103"/>
      <c r="AJ19" s="103"/>
      <c r="AK19" s="103"/>
      <c r="AL19" s="103"/>
    </row>
    <row r="20" spans="1:38" ht="16.5">
      <c r="A20" s="110"/>
      <c r="B20" s="258"/>
      <c r="C20" s="108"/>
      <c r="E20" s="108"/>
      <c r="F20" s="112"/>
      <c r="G20" s="112"/>
      <c r="H20" s="112"/>
      <c r="I20" s="112"/>
      <c r="J20" s="112"/>
      <c r="K20" s="112"/>
      <c r="L20" s="108"/>
      <c r="M20" s="108"/>
      <c r="N20" s="112"/>
      <c r="O20" s="113"/>
      <c r="P20" s="113"/>
      <c r="Q20" s="112"/>
      <c r="R20" s="108"/>
      <c r="S20" s="108"/>
      <c r="T20" s="108"/>
      <c r="U20" s="103"/>
      <c r="V20" s="103"/>
      <c r="W20" s="103"/>
      <c r="X20" s="103"/>
      <c r="Y20" s="103"/>
      <c r="Z20" s="103"/>
      <c r="AA20" s="103"/>
      <c r="AB20" s="103"/>
      <c r="AC20" s="103"/>
      <c r="AD20" s="103"/>
      <c r="AE20" s="103"/>
      <c r="AF20" s="103"/>
      <c r="AG20" s="103"/>
      <c r="AH20" s="103"/>
      <c r="AI20" s="103"/>
      <c r="AJ20" s="103"/>
      <c r="AK20" s="103"/>
      <c r="AL20" s="103"/>
    </row>
    <row r="21" spans="1:38" ht="16.5">
      <c r="A21" s="110"/>
      <c r="B21" s="258"/>
      <c r="C21" s="108"/>
      <c r="E21" s="108"/>
      <c r="F21" s="112"/>
      <c r="G21" s="112"/>
      <c r="H21" s="112"/>
      <c r="I21" s="112"/>
      <c r="J21" s="112"/>
      <c r="K21" s="112"/>
      <c r="L21" s="108"/>
      <c r="M21" s="108"/>
      <c r="N21" s="112"/>
      <c r="O21" s="113"/>
      <c r="P21" s="113"/>
      <c r="Q21" s="112"/>
      <c r="R21" s="108"/>
      <c r="S21" s="108"/>
      <c r="T21" s="108"/>
      <c r="U21" s="103"/>
      <c r="V21" s="103"/>
      <c r="W21" s="103"/>
      <c r="X21" s="103"/>
      <c r="Y21" s="103"/>
      <c r="Z21" s="103"/>
      <c r="AA21" s="103"/>
      <c r="AB21" s="103"/>
      <c r="AC21" s="103"/>
      <c r="AD21" s="103"/>
      <c r="AE21" s="103"/>
      <c r="AF21" s="103"/>
      <c r="AG21" s="103"/>
      <c r="AH21" s="103"/>
      <c r="AI21" s="103"/>
      <c r="AJ21" s="103"/>
      <c r="AK21" s="103"/>
      <c r="AL21" s="103"/>
    </row>
    <row r="22" spans="1:38" ht="16.5">
      <c r="A22" s="110"/>
      <c r="B22" s="258"/>
      <c r="C22" s="108"/>
      <c r="E22" s="108"/>
      <c r="F22" s="112"/>
      <c r="G22" s="112"/>
      <c r="H22" s="112"/>
      <c r="I22" s="112"/>
      <c r="J22" s="112"/>
      <c r="K22" s="112"/>
      <c r="L22" s="108"/>
      <c r="M22" s="108"/>
      <c r="N22" s="112"/>
      <c r="O22" s="113"/>
      <c r="P22" s="113"/>
      <c r="Q22" s="112"/>
      <c r="R22" s="108"/>
      <c r="S22" s="108"/>
      <c r="T22" s="108"/>
      <c r="U22" s="103"/>
      <c r="V22" s="103"/>
      <c r="W22" s="103"/>
      <c r="X22" s="103"/>
      <c r="Y22" s="103"/>
      <c r="Z22" s="103"/>
      <c r="AA22" s="103"/>
      <c r="AB22" s="103"/>
      <c r="AC22" s="103"/>
      <c r="AD22" s="103"/>
      <c r="AE22" s="103"/>
      <c r="AF22" s="103"/>
      <c r="AG22" s="103"/>
      <c r="AH22" s="103"/>
      <c r="AI22" s="103"/>
      <c r="AJ22" s="103"/>
      <c r="AK22" s="103"/>
      <c r="AL22" s="103"/>
    </row>
    <row r="23" spans="1:38" ht="16.5">
      <c r="A23" s="104"/>
      <c r="B23" s="259"/>
      <c r="C23" s="103"/>
      <c r="E23" s="103"/>
      <c r="F23" s="103"/>
      <c r="G23" s="103"/>
      <c r="H23" s="103"/>
      <c r="I23" s="103"/>
      <c r="J23" s="103"/>
      <c r="K23" s="103"/>
      <c r="L23" s="103"/>
      <c r="M23" s="103"/>
      <c r="N23" s="103"/>
      <c r="O23" s="103"/>
      <c r="P23" s="103"/>
      <c r="Q23" s="103"/>
      <c r="R23" s="103"/>
      <c r="S23" s="103"/>
      <c r="T23" s="103"/>
      <c r="U23" s="103"/>
      <c r="V23" s="103"/>
      <c r="W23" s="103"/>
      <c r="X23" s="103"/>
      <c r="Y23" s="103"/>
      <c r="Z23" s="103"/>
      <c r="AA23" s="103"/>
      <c r="AB23" s="103"/>
      <c r="AC23" s="103"/>
      <c r="AD23" s="103"/>
      <c r="AE23" s="103"/>
      <c r="AF23" s="103"/>
      <c r="AG23" s="103"/>
      <c r="AH23" s="103"/>
      <c r="AI23" s="103"/>
      <c r="AJ23" s="103"/>
      <c r="AK23" s="103"/>
      <c r="AL23" s="103"/>
    </row>
    <row r="24" spans="1:38" ht="16.5">
      <c r="A24" s="110"/>
      <c r="B24" s="258"/>
      <c r="C24" s="103"/>
      <c r="E24" s="103"/>
      <c r="F24" s="103"/>
      <c r="G24" s="103"/>
      <c r="H24" s="103"/>
      <c r="I24" s="103"/>
      <c r="J24" s="103"/>
      <c r="K24" s="103"/>
      <c r="L24" s="103"/>
      <c r="M24" s="103"/>
      <c r="N24" s="103"/>
      <c r="O24" s="103"/>
      <c r="P24" s="103"/>
      <c r="Q24" s="103"/>
      <c r="R24" s="103"/>
      <c r="S24" s="103"/>
      <c r="T24" s="103"/>
      <c r="U24" s="103"/>
      <c r="V24" s="103"/>
      <c r="W24" s="103"/>
      <c r="X24" s="103"/>
      <c r="Y24" s="103"/>
      <c r="Z24" s="103"/>
      <c r="AA24" s="103"/>
      <c r="AB24" s="103"/>
      <c r="AC24" s="103"/>
      <c r="AD24" s="103"/>
      <c r="AE24" s="103"/>
      <c r="AF24" s="103"/>
      <c r="AG24" s="103"/>
      <c r="AH24" s="103"/>
      <c r="AI24" s="103"/>
      <c r="AJ24" s="103"/>
      <c r="AK24" s="103"/>
      <c r="AL24" s="103"/>
    </row>
    <row r="25" spans="1:38" ht="16.5">
      <c r="A25" s="104"/>
      <c r="B25" s="259"/>
      <c r="C25" s="103"/>
      <c r="E25" s="103"/>
      <c r="F25" s="103"/>
      <c r="G25" s="103"/>
      <c r="H25" s="103"/>
      <c r="I25" s="103"/>
      <c r="J25" s="103"/>
      <c r="K25" s="103"/>
      <c r="L25" s="103"/>
      <c r="M25" s="103"/>
      <c r="N25" s="103"/>
      <c r="O25" s="103"/>
      <c r="P25" s="103"/>
      <c r="Q25" s="103"/>
      <c r="R25" s="103"/>
      <c r="S25" s="103"/>
      <c r="T25" s="103"/>
      <c r="U25" s="103"/>
      <c r="V25" s="103"/>
      <c r="W25" s="103"/>
      <c r="X25" s="103"/>
      <c r="Y25" s="103"/>
      <c r="Z25" s="103"/>
      <c r="AA25" s="103"/>
      <c r="AB25" s="103"/>
      <c r="AC25" s="103"/>
      <c r="AD25" s="103"/>
      <c r="AE25" s="103"/>
      <c r="AF25" s="103"/>
      <c r="AG25" s="103"/>
      <c r="AH25" s="103"/>
      <c r="AI25" s="103"/>
      <c r="AJ25" s="103"/>
      <c r="AK25" s="103"/>
      <c r="AL25" s="103"/>
    </row>
    <row r="26" spans="1:38" ht="16.5">
      <c r="A26" s="110"/>
      <c r="B26" s="258"/>
      <c r="C26" s="108"/>
      <c r="E26" s="108"/>
      <c r="F26" s="112"/>
      <c r="G26" s="112"/>
      <c r="H26" s="112"/>
      <c r="I26" s="112"/>
      <c r="J26" s="112"/>
      <c r="K26" s="112"/>
      <c r="L26" s="108"/>
      <c r="M26" s="108"/>
      <c r="N26" s="112"/>
      <c r="O26" s="113"/>
      <c r="P26" s="113"/>
      <c r="Q26" s="112"/>
      <c r="R26" s="108"/>
      <c r="S26" s="108"/>
      <c r="T26" s="108"/>
      <c r="U26" s="103"/>
      <c r="V26" s="103"/>
      <c r="W26" s="103"/>
      <c r="X26" s="103"/>
      <c r="Y26" s="103"/>
      <c r="Z26" s="103"/>
      <c r="AA26" s="103"/>
      <c r="AB26" s="103"/>
      <c r="AC26" s="103"/>
      <c r="AD26" s="103"/>
      <c r="AE26" s="103"/>
      <c r="AF26" s="103"/>
      <c r="AG26" s="103"/>
      <c r="AH26" s="103"/>
      <c r="AI26" s="103"/>
      <c r="AJ26" s="103"/>
      <c r="AK26" s="103"/>
      <c r="AL26" s="103"/>
    </row>
    <row r="27" spans="1:38" ht="16.5">
      <c r="A27" s="110"/>
      <c r="B27" s="258"/>
      <c r="C27" s="108"/>
      <c r="E27" s="108"/>
      <c r="F27" s="112"/>
      <c r="G27" s="112"/>
      <c r="H27" s="112"/>
      <c r="I27" s="112"/>
      <c r="J27" s="112"/>
      <c r="K27" s="112"/>
      <c r="L27" s="108"/>
      <c r="M27" s="108"/>
      <c r="N27" s="112"/>
      <c r="O27" s="113"/>
      <c r="P27" s="113"/>
      <c r="Q27" s="112"/>
      <c r="R27" s="103"/>
      <c r="S27" s="103"/>
      <c r="T27" s="103"/>
      <c r="U27" s="103"/>
      <c r="V27" s="103"/>
      <c r="W27" s="103"/>
      <c r="X27" s="103"/>
      <c r="Y27" s="103"/>
      <c r="Z27" s="103"/>
      <c r="AA27" s="103"/>
      <c r="AB27" s="103"/>
      <c r="AC27" s="103"/>
      <c r="AD27" s="103"/>
      <c r="AE27" s="103"/>
      <c r="AF27" s="103"/>
      <c r="AG27" s="103"/>
      <c r="AH27" s="103"/>
      <c r="AI27" s="103"/>
      <c r="AJ27" s="103"/>
      <c r="AK27" s="103"/>
      <c r="AL27" s="103"/>
    </row>
    <row r="28" spans="1:38" ht="16.5">
      <c r="A28" s="110"/>
      <c r="B28" s="258"/>
      <c r="C28" s="103"/>
      <c r="E28" s="103"/>
      <c r="F28" s="103"/>
      <c r="G28" s="103"/>
      <c r="H28" s="103"/>
      <c r="I28" s="103"/>
      <c r="J28" s="103"/>
      <c r="K28" s="103"/>
      <c r="L28" s="103"/>
      <c r="M28" s="103"/>
      <c r="N28" s="103"/>
      <c r="O28" s="103"/>
      <c r="P28" s="103"/>
      <c r="Q28" s="103"/>
      <c r="R28" s="103"/>
      <c r="S28" s="103"/>
      <c r="T28" s="103"/>
      <c r="U28" s="103"/>
      <c r="V28" s="103"/>
      <c r="W28" s="103"/>
      <c r="X28" s="103"/>
      <c r="Y28" s="103"/>
      <c r="Z28" s="103"/>
      <c r="AA28" s="103"/>
      <c r="AB28" s="103"/>
      <c r="AC28" s="103"/>
      <c r="AD28" s="103"/>
      <c r="AE28" s="103"/>
      <c r="AF28" s="103"/>
      <c r="AG28" s="103"/>
      <c r="AH28" s="103"/>
      <c r="AI28" s="103"/>
      <c r="AJ28" s="103"/>
      <c r="AK28" s="103"/>
      <c r="AL28" s="103"/>
    </row>
    <row r="29" spans="1:38" ht="16.5">
      <c r="A29" s="104"/>
      <c r="B29" s="259"/>
      <c r="C29" s="103"/>
      <c r="E29" s="103"/>
      <c r="F29" s="103"/>
      <c r="G29" s="103"/>
      <c r="H29" s="103"/>
      <c r="I29" s="103"/>
      <c r="J29" s="103"/>
      <c r="K29" s="103"/>
      <c r="L29" s="103"/>
      <c r="M29" s="103"/>
      <c r="N29" s="103"/>
      <c r="O29" s="103"/>
      <c r="P29" s="103"/>
      <c r="Q29" s="103"/>
      <c r="R29" s="103"/>
      <c r="S29" s="103"/>
      <c r="T29" s="103"/>
      <c r="U29" s="103"/>
      <c r="V29" s="103"/>
      <c r="W29" s="103"/>
      <c r="X29" s="103"/>
      <c r="Y29" s="103"/>
      <c r="Z29" s="103"/>
      <c r="AA29" s="103"/>
      <c r="AB29" s="103"/>
      <c r="AC29" s="103"/>
      <c r="AD29" s="103"/>
      <c r="AE29" s="103"/>
      <c r="AF29" s="103"/>
      <c r="AG29" s="103"/>
      <c r="AH29" s="103"/>
      <c r="AI29" s="103"/>
      <c r="AJ29" s="103"/>
      <c r="AK29" s="103"/>
      <c r="AL29" s="103"/>
    </row>
    <row r="30" spans="1:38" ht="16.5">
      <c r="A30" s="104"/>
      <c r="B30" s="259"/>
      <c r="C30" s="103"/>
      <c r="E30" s="103"/>
      <c r="F30" s="103"/>
      <c r="G30" s="103"/>
      <c r="H30" s="103"/>
      <c r="I30" s="103"/>
      <c r="J30" s="103"/>
      <c r="K30" s="103"/>
      <c r="L30" s="103"/>
      <c r="M30" s="103"/>
      <c r="N30" s="103"/>
      <c r="O30" s="103"/>
      <c r="P30" s="103"/>
      <c r="Q30" s="103"/>
      <c r="R30" s="103"/>
      <c r="S30" s="103"/>
      <c r="T30" s="103"/>
      <c r="U30" s="103"/>
      <c r="V30" s="103"/>
      <c r="W30" s="103"/>
      <c r="X30" s="103"/>
      <c r="Y30" s="103"/>
      <c r="Z30" s="103"/>
      <c r="AA30" s="103"/>
      <c r="AB30" s="103"/>
      <c r="AC30" s="103"/>
      <c r="AD30" s="103"/>
      <c r="AE30" s="103"/>
      <c r="AF30" s="103"/>
      <c r="AG30" s="103"/>
      <c r="AH30" s="103"/>
      <c r="AI30" s="103"/>
      <c r="AJ30" s="103"/>
      <c r="AK30" s="103"/>
      <c r="AL30" s="103"/>
    </row>
    <row r="31" spans="1:38" ht="16.5">
      <c r="A31" s="110"/>
      <c r="B31" s="258"/>
      <c r="C31" s="109"/>
      <c r="E31" s="109"/>
      <c r="F31" s="103"/>
      <c r="G31" s="103"/>
      <c r="H31" s="103"/>
      <c r="I31" s="103"/>
      <c r="J31" s="103"/>
      <c r="K31" s="103"/>
      <c r="L31" s="103"/>
      <c r="M31" s="103"/>
      <c r="N31" s="103"/>
      <c r="O31" s="103"/>
      <c r="P31" s="105"/>
      <c r="Q31" s="103"/>
      <c r="R31" s="108"/>
      <c r="S31" s="108"/>
      <c r="T31" s="108"/>
      <c r="U31" s="103"/>
      <c r="V31" s="103"/>
      <c r="W31" s="103"/>
      <c r="X31" s="103"/>
      <c r="Y31" s="103"/>
      <c r="Z31" s="103"/>
      <c r="AA31" s="103"/>
      <c r="AB31" s="103"/>
      <c r="AC31" s="103"/>
      <c r="AD31" s="103"/>
      <c r="AE31" s="103"/>
      <c r="AF31" s="103"/>
      <c r="AG31" s="103"/>
      <c r="AH31" s="103"/>
      <c r="AI31" s="103"/>
      <c r="AJ31" s="103"/>
      <c r="AK31" s="103"/>
      <c r="AL31" s="103"/>
    </row>
    <row r="32" spans="1:38" ht="16.5">
      <c r="A32" s="110"/>
      <c r="B32" s="258"/>
      <c r="C32" s="103"/>
      <c r="E32" s="103"/>
      <c r="F32" s="103"/>
      <c r="G32" s="103"/>
      <c r="H32" s="103"/>
      <c r="I32" s="103"/>
      <c r="J32" s="103"/>
      <c r="K32" s="103"/>
      <c r="L32" s="103"/>
      <c r="M32" s="103"/>
      <c r="N32" s="103"/>
      <c r="O32" s="103"/>
      <c r="P32" s="105"/>
      <c r="Q32" s="103"/>
      <c r="R32" s="108"/>
      <c r="S32" s="108"/>
      <c r="T32" s="108"/>
      <c r="U32" s="103"/>
      <c r="V32" s="103"/>
      <c r="W32" s="103"/>
      <c r="X32" s="103"/>
      <c r="Y32" s="103"/>
      <c r="Z32" s="103"/>
      <c r="AA32" s="103"/>
      <c r="AB32" s="103"/>
      <c r="AC32" s="103"/>
      <c r="AD32" s="103"/>
      <c r="AE32" s="103"/>
      <c r="AF32" s="103"/>
      <c r="AG32" s="103"/>
      <c r="AH32" s="103"/>
      <c r="AI32" s="103"/>
      <c r="AJ32" s="103"/>
      <c r="AK32" s="103"/>
      <c r="AL32" s="103"/>
    </row>
    <row r="33" spans="1:38" ht="16.5">
      <c r="A33" s="110"/>
      <c r="B33" s="258"/>
      <c r="C33" s="103"/>
      <c r="E33" s="103"/>
      <c r="F33" s="103"/>
      <c r="G33" s="103"/>
      <c r="H33" s="103"/>
      <c r="I33" s="103"/>
      <c r="J33" s="103"/>
      <c r="K33" s="103"/>
      <c r="L33" s="103"/>
      <c r="M33" s="103"/>
      <c r="N33" s="103"/>
      <c r="O33" s="103"/>
      <c r="P33" s="105"/>
      <c r="Q33" s="103"/>
      <c r="R33" s="103"/>
      <c r="S33" s="103"/>
      <c r="T33" s="103"/>
      <c r="U33" s="103"/>
      <c r="V33" s="103"/>
      <c r="W33" s="103"/>
      <c r="X33" s="103"/>
      <c r="Y33" s="103"/>
      <c r="Z33" s="103"/>
      <c r="AA33" s="103"/>
      <c r="AB33" s="103"/>
      <c r="AC33" s="103"/>
      <c r="AD33" s="103"/>
      <c r="AE33" s="103"/>
      <c r="AF33" s="103"/>
      <c r="AG33" s="103"/>
      <c r="AH33" s="103"/>
      <c r="AI33" s="103"/>
      <c r="AJ33" s="103"/>
      <c r="AK33" s="103"/>
      <c r="AL33" s="103"/>
    </row>
    <row r="34" spans="1:38" ht="16.5">
      <c r="A34" s="104"/>
      <c r="B34" s="259"/>
      <c r="C34" s="103"/>
      <c r="E34" s="103"/>
      <c r="F34" s="103"/>
      <c r="G34" s="103"/>
      <c r="H34" s="103"/>
      <c r="I34" s="103"/>
      <c r="J34" s="103"/>
      <c r="K34" s="103"/>
      <c r="L34" s="103"/>
      <c r="M34" s="103"/>
      <c r="N34" s="103"/>
      <c r="O34" s="103"/>
      <c r="P34" s="105"/>
      <c r="Q34" s="103"/>
      <c r="R34" s="103"/>
      <c r="S34" s="103"/>
      <c r="T34" s="103"/>
      <c r="U34" s="103"/>
      <c r="V34" s="103"/>
      <c r="W34" s="103"/>
      <c r="X34" s="103"/>
      <c r="Y34" s="103"/>
      <c r="Z34" s="103"/>
      <c r="AA34" s="103"/>
      <c r="AB34" s="103"/>
      <c r="AC34" s="103"/>
      <c r="AD34" s="103"/>
      <c r="AE34" s="103"/>
      <c r="AF34" s="103"/>
      <c r="AG34" s="103"/>
      <c r="AH34" s="103"/>
      <c r="AI34" s="103"/>
      <c r="AJ34" s="103"/>
      <c r="AK34" s="103"/>
      <c r="AL34" s="103"/>
    </row>
    <row r="35" spans="1:38" ht="16.5">
      <c r="A35" s="110"/>
      <c r="B35" s="258"/>
      <c r="C35" s="109"/>
      <c r="E35" s="109"/>
      <c r="F35" s="103"/>
      <c r="G35" s="103"/>
      <c r="H35" s="103"/>
      <c r="I35" s="103"/>
      <c r="J35" s="103"/>
      <c r="K35" s="103"/>
      <c r="L35" s="103"/>
      <c r="M35" s="103"/>
      <c r="N35" s="103"/>
      <c r="O35" s="103"/>
      <c r="P35" s="105"/>
      <c r="Q35" s="103"/>
      <c r="R35" s="108"/>
      <c r="S35" s="108"/>
      <c r="T35" s="108"/>
      <c r="U35" s="103"/>
      <c r="V35" s="103"/>
      <c r="W35" s="103"/>
      <c r="X35" s="103"/>
      <c r="Y35" s="103"/>
      <c r="Z35" s="103"/>
      <c r="AA35" s="103"/>
      <c r="AB35" s="103"/>
      <c r="AC35" s="103"/>
      <c r="AD35" s="103"/>
      <c r="AE35" s="103"/>
      <c r="AF35" s="103"/>
      <c r="AG35" s="103"/>
      <c r="AH35" s="103"/>
      <c r="AI35" s="103"/>
      <c r="AJ35" s="103"/>
      <c r="AK35" s="103"/>
      <c r="AL35" s="103"/>
    </row>
    <row r="36" spans="1:38" ht="16.5">
      <c r="A36" s="110"/>
      <c r="B36" s="258"/>
      <c r="C36" s="109"/>
      <c r="E36" s="109"/>
      <c r="F36" s="103"/>
      <c r="G36" s="103"/>
      <c r="H36" s="103"/>
      <c r="I36" s="103"/>
      <c r="J36" s="103"/>
      <c r="K36" s="103"/>
      <c r="L36" s="103"/>
      <c r="M36" s="103"/>
      <c r="N36" s="103"/>
      <c r="O36" s="103"/>
      <c r="P36" s="105"/>
      <c r="Q36" s="103"/>
      <c r="R36" s="108"/>
      <c r="S36" s="108"/>
      <c r="T36" s="108"/>
      <c r="U36" s="103"/>
      <c r="V36" s="103"/>
      <c r="W36" s="103"/>
      <c r="X36" s="103"/>
      <c r="Y36" s="103"/>
      <c r="Z36" s="103"/>
      <c r="AA36" s="103"/>
      <c r="AB36" s="103"/>
      <c r="AC36" s="103"/>
      <c r="AD36" s="103"/>
      <c r="AE36" s="103"/>
      <c r="AF36" s="103"/>
      <c r="AG36" s="103"/>
      <c r="AH36" s="103"/>
      <c r="AI36" s="103"/>
      <c r="AJ36" s="103"/>
      <c r="AK36" s="103"/>
      <c r="AL36" s="103"/>
    </row>
    <row r="37" spans="1:38" ht="16.5">
      <c r="A37" s="110"/>
      <c r="B37" s="258"/>
      <c r="C37" s="109"/>
      <c r="E37" s="109"/>
      <c r="F37" s="103"/>
      <c r="G37" s="103"/>
      <c r="H37" s="103"/>
      <c r="I37" s="103"/>
      <c r="J37" s="103"/>
      <c r="K37" s="103"/>
      <c r="L37" s="103"/>
      <c r="M37" s="103"/>
      <c r="N37" s="103"/>
      <c r="O37" s="103"/>
      <c r="P37" s="105"/>
      <c r="Q37" s="103"/>
      <c r="R37" s="108"/>
      <c r="S37" s="108"/>
      <c r="T37" s="108"/>
      <c r="U37" s="103"/>
      <c r="V37" s="103"/>
      <c r="W37" s="103"/>
      <c r="X37" s="103"/>
      <c r="Y37" s="103"/>
      <c r="Z37" s="103"/>
      <c r="AA37" s="103"/>
      <c r="AB37" s="103"/>
      <c r="AC37" s="103"/>
      <c r="AD37" s="103"/>
      <c r="AE37" s="103"/>
      <c r="AF37" s="103"/>
      <c r="AG37" s="103"/>
      <c r="AH37" s="103"/>
      <c r="AI37" s="103"/>
      <c r="AJ37" s="103"/>
      <c r="AK37" s="103"/>
      <c r="AL37" s="103"/>
    </row>
    <row r="38" spans="1:38" ht="16.5">
      <c r="A38" s="110"/>
      <c r="B38" s="258"/>
      <c r="C38" s="109"/>
      <c r="E38" s="109"/>
      <c r="F38" s="103"/>
      <c r="G38" s="103"/>
      <c r="H38" s="103"/>
      <c r="I38" s="103"/>
      <c r="J38" s="103"/>
      <c r="K38" s="103"/>
      <c r="L38" s="103"/>
      <c r="M38" s="103"/>
      <c r="N38" s="103"/>
      <c r="O38" s="103"/>
      <c r="P38" s="105"/>
      <c r="Q38" s="103"/>
      <c r="R38" s="108"/>
      <c r="S38" s="108"/>
      <c r="T38" s="108"/>
      <c r="U38" s="103"/>
      <c r="V38" s="103"/>
      <c r="W38" s="103"/>
      <c r="X38" s="103"/>
      <c r="Y38" s="103"/>
      <c r="Z38" s="103"/>
      <c r="AA38" s="103"/>
      <c r="AB38" s="103"/>
      <c r="AC38" s="103"/>
      <c r="AD38" s="103"/>
      <c r="AE38" s="103"/>
      <c r="AF38" s="103"/>
      <c r="AG38" s="103"/>
      <c r="AH38" s="103"/>
      <c r="AI38" s="103"/>
      <c r="AJ38" s="103"/>
      <c r="AK38" s="103"/>
      <c r="AL38" s="103"/>
    </row>
    <row r="39" spans="1:38" ht="16.5">
      <c r="A39" s="110"/>
      <c r="B39" s="258"/>
      <c r="C39" s="109"/>
      <c r="E39" s="109"/>
      <c r="F39" s="103"/>
      <c r="G39" s="103"/>
      <c r="H39" s="103"/>
      <c r="I39" s="103"/>
      <c r="J39" s="103"/>
      <c r="K39" s="103"/>
      <c r="L39" s="103"/>
      <c r="M39" s="103"/>
      <c r="N39" s="103"/>
      <c r="O39" s="103"/>
      <c r="P39" s="105"/>
      <c r="Q39" s="103"/>
      <c r="R39" s="108"/>
      <c r="S39" s="108"/>
      <c r="T39" s="108"/>
      <c r="U39" s="103"/>
      <c r="V39" s="103"/>
      <c r="W39" s="103"/>
      <c r="X39" s="103"/>
      <c r="Y39" s="103"/>
      <c r="Z39" s="103"/>
      <c r="AA39" s="103"/>
      <c r="AB39" s="103"/>
      <c r="AC39" s="103"/>
      <c r="AD39" s="103"/>
      <c r="AE39" s="103"/>
      <c r="AF39" s="103"/>
      <c r="AG39" s="103"/>
      <c r="AH39" s="103"/>
      <c r="AI39" s="103"/>
      <c r="AJ39" s="103"/>
      <c r="AK39" s="103"/>
      <c r="AL39" s="103"/>
    </row>
    <row r="40" spans="1:38" ht="16.5">
      <c r="A40" s="110"/>
      <c r="B40" s="258"/>
      <c r="C40" s="109"/>
      <c r="E40" s="109"/>
      <c r="F40" s="103"/>
      <c r="G40" s="103"/>
      <c r="H40" s="103"/>
      <c r="I40" s="103"/>
      <c r="J40" s="103"/>
      <c r="K40" s="103"/>
      <c r="L40" s="103"/>
      <c r="M40" s="103"/>
      <c r="N40" s="103"/>
      <c r="O40" s="103"/>
      <c r="P40" s="105"/>
      <c r="Q40" s="103"/>
      <c r="R40" s="108"/>
      <c r="S40" s="108"/>
      <c r="T40" s="108"/>
      <c r="U40" s="103"/>
      <c r="V40" s="103"/>
      <c r="W40" s="103"/>
      <c r="X40" s="103"/>
      <c r="Y40" s="103"/>
      <c r="Z40" s="103"/>
      <c r="AA40" s="103"/>
      <c r="AB40" s="103"/>
      <c r="AC40" s="103"/>
      <c r="AD40" s="103"/>
      <c r="AE40" s="103"/>
      <c r="AF40" s="103"/>
      <c r="AG40" s="103"/>
      <c r="AH40" s="103"/>
      <c r="AI40" s="103"/>
      <c r="AJ40" s="103"/>
      <c r="AK40" s="103"/>
      <c r="AL40" s="103"/>
    </row>
    <row r="41" spans="1:38" ht="16.5">
      <c r="A41" s="104"/>
      <c r="B41" s="259"/>
      <c r="C41" s="103"/>
      <c r="E41" s="103"/>
      <c r="F41" s="103"/>
      <c r="G41" s="103"/>
      <c r="H41" s="103"/>
      <c r="I41" s="103"/>
      <c r="J41" s="103"/>
      <c r="K41" s="103"/>
      <c r="L41" s="103"/>
      <c r="M41" s="103"/>
      <c r="N41" s="103"/>
      <c r="O41" s="103"/>
      <c r="P41" s="105"/>
      <c r="Q41" s="103"/>
      <c r="R41" s="103"/>
      <c r="S41" s="103"/>
      <c r="T41" s="103"/>
      <c r="U41" s="103"/>
      <c r="V41" s="103"/>
      <c r="W41" s="103"/>
      <c r="X41" s="103"/>
      <c r="Y41" s="103"/>
      <c r="Z41" s="103"/>
      <c r="AA41" s="103"/>
      <c r="AB41" s="103"/>
      <c r="AC41" s="103"/>
      <c r="AD41" s="103"/>
      <c r="AE41" s="103"/>
      <c r="AF41" s="103"/>
      <c r="AG41" s="103"/>
      <c r="AH41" s="103"/>
      <c r="AI41" s="103"/>
      <c r="AJ41" s="103"/>
      <c r="AK41" s="103"/>
      <c r="AL41" s="103"/>
    </row>
    <row r="42" spans="1:38" ht="16.5">
      <c r="A42" s="104"/>
      <c r="B42" s="259"/>
      <c r="C42" s="103"/>
      <c r="E42" s="103"/>
      <c r="F42" s="103"/>
      <c r="G42" s="103"/>
      <c r="H42" s="103"/>
      <c r="I42" s="103"/>
      <c r="J42" s="103"/>
      <c r="K42" s="103"/>
      <c r="L42" s="103"/>
      <c r="M42" s="103"/>
      <c r="N42" s="103"/>
      <c r="O42" s="103"/>
      <c r="P42" s="105"/>
      <c r="Q42" s="103"/>
      <c r="R42" s="103"/>
      <c r="S42" s="103"/>
      <c r="T42" s="103"/>
      <c r="U42" s="103"/>
      <c r="V42" s="103"/>
      <c r="W42" s="103"/>
      <c r="X42" s="103"/>
      <c r="Y42" s="103"/>
      <c r="Z42" s="103"/>
      <c r="AA42" s="103"/>
      <c r="AB42" s="103"/>
      <c r="AC42" s="103"/>
      <c r="AD42" s="103"/>
      <c r="AE42" s="103"/>
      <c r="AF42" s="103"/>
      <c r="AG42" s="103"/>
      <c r="AH42" s="103"/>
      <c r="AI42" s="103"/>
      <c r="AJ42" s="103"/>
      <c r="AK42" s="103"/>
      <c r="AL42" s="103"/>
    </row>
    <row r="43" spans="1:38" ht="16.5">
      <c r="A43" s="104"/>
      <c r="B43" s="259"/>
      <c r="C43" s="103"/>
      <c r="E43" s="103"/>
      <c r="F43" s="103"/>
      <c r="G43" s="103"/>
      <c r="H43" s="103"/>
      <c r="I43" s="103"/>
      <c r="J43" s="103"/>
      <c r="K43" s="103"/>
      <c r="L43" s="103"/>
      <c r="M43" s="103"/>
      <c r="N43" s="103"/>
      <c r="O43" s="103"/>
      <c r="P43" s="105"/>
      <c r="Q43" s="103"/>
      <c r="R43" s="103"/>
      <c r="S43" s="103"/>
      <c r="T43" s="103"/>
      <c r="U43" s="103"/>
      <c r="V43" s="103"/>
      <c r="W43" s="103"/>
      <c r="X43" s="103"/>
      <c r="Y43" s="103"/>
      <c r="Z43" s="103"/>
      <c r="AA43" s="103"/>
      <c r="AB43" s="103"/>
      <c r="AC43" s="103"/>
      <c r="AD43" s="103"/>
      <c r="AE43" s="103"/>
      <c r="AF43" s="103"/>
      <c r="AG43" s="103"/>
      <c r="AH43" s="103"/>
      <c r="AI43" s="103"/>
      <c r="AJ43" s="103"/>
      <c r="AK43" s="103"/>
      <c r="AL43" s="103"/>
    </row>
    <row r="44" spans="1:38" ht="16.5">
      <c r="A44" s="104"/>
      <c r="B44" s="259"/>
      <c r="C44" s="103"/>
      <c r="E44" s="103"/>
      <c r="F44" s="103"/>
      <c r="G44" s="103"/>
      <c r="H44" s="103"/>
      <c r="I44" s="103"/>
      <c r="J44" s="103"/>
      <c r="K44" s="103"/>
      <c r="L44" s="103"/>
      <c r="M44" s="103"/>
      <c r="N44" s="103"/>
      <c r="O44" s="103"/>
      <c r="P44" s="105"/>
      <c r="Q44" s="103"/>
      <c r="R44" s="103"/>
      <c r="S44" s="103"/>
      <c r="T44" s="103"/>
      <c r="U44" s="103"/>
      <c r="V44" s="103"/>
      <c r="W44" s="103"/>
      <c r="X44" s="103"/>
      <c r="Y44" s="103"/>
      <c r="Z44" s="103"/>
      <c r="AA44" s="103"/>
      <c r="AB44" s="103"/>
      <c r="AC44" s="103"/>
      <c r="AD44" s="103"/>
      <c r="AE44" s="103"/>
      <c r="AF44" s="103"/>
      <c r="AG44" s="103"/>
      <c r="AH44" s="103"/>
      <c r="AI44" s="103"/>
      <c r="AJ44" s="103"/>
      <c r="AK44" s="103"/>
      <c r="AL44" s="103"/>
    </row>
    <row r="45" spans="1:38" ht="16.5">
      <c r="A45" s="104"/>
      <c r="B45" s="259"/>
      <c r="C45" s="103"/>
      <c r="E45" s="103"/>
      <c r="F45" s="103"/>
      <c r="G45" s="103"/>
      <c r="H45" s="103"/>
      <c r="I45" s="103"/>
      <c r="J45" s="103"/>
      <c r="K45" s="103"/>
      <c r="L45" s="103"/>
      <c r="M45" s="103"/>
      <c r="N45" s="103"/>
      <c r="O45" s="103"/>
      <c r="P45" s="105"/>
      <c r="Q45" s="103"/>
      <c r="R45" s="103"/>
      <c r="S45" s="103"/>
      <c r="T45" s="103"/>
      <c r="U45" s="103"/>
      <c r="V45" s="103"/>
      <c r="W45" s="103"/>
      <c r="X45" s="103"/>
      <c r="Y45" s="103"/>
      <c r="Z45" s="103"/>
      <c r="AA45" s="103"/>
      <c r="AB45" s="103"/>
      <c r="AC45" s="103"/>
      <c r="AD45" s="103"/>
      <c r="AE45" s="103"/>
      <c r="AF45" s="103"/>
      <c r="AG45" s="103"/>
      <c r="AH45" s="103"/>
      <c r="AI45" s="103"/>
      <c r="AJ45" s="103"/>
      <c r="AK45" s="103"/>
      <c r="AL45" s="103"/>
    </row>
    <row r="46" spans="1:38" ht="16.5">
      <c r="A46" s="104"/>
      <c r="B46" s="259"/>
      <c r="C46" s="103"/>
      <c r="E46" s="103"/>
      <c r="F46" s="103"/>
      <c r="G46" s="103"/>
      <c r="H46" s="103"/>
      <c r="I46" s="103"/>
      <c r="J46" s="103"/>
      <c r="K46" s="103"/>
      <c r="L46" s="103"/>
      <c r="M46" s="103"/>
      <c r="N46" s="103"/>
      <c r="O46" s="103"/>
      <c r="P46" s="105"/>
      <c r="Q46" s="103"/>
      <c r="R46" s="103"/>
      <c r="S46" s="103"/>
      <c r="T46" s="103"/>
      <c r="U46" s="103"/>
      <c r="V46" s="103"/>
      <c r="W46" s="103"/>
      <c r="X46" s="103"/>
      <c r="Y46" s="103"/>
      <c r="Z46" s="103"/>
      <c r="AA46" s="103"/>
      <c r="AB46" s="103"/>
      <c r="AC46" s="103"/>
      <c r="AD46" s="103"/>
      <c r="AE46" s="103"/>
      <c r="AF46" s="103"/>
      <c r="AG46" s="103"/>
      <c r="AH46" s="103"/>
      <c r="AI46" s="103"/>
      <c r="AJ46" s="103"/>
      <c r="AK46" s="103"/>
      <c r="AL46" s="103"/>
    </row>
    <row r="47" spans="1:38" ht="16.5">
      <c r="A47" s="104"/>
      <c r="B47" s="259"/>
      <c r="C47" s="103"/>
      <c r="E47" s="103"/>
      <c r="F47" s="103"/>
      <c r="G47" s="103"/>
      <c r="H47" s="103"/>
      <c r="I47" s="103"/>
      <c r="J47" s="103"/>
      <c r="K47" s="103"/>
      <c r="L47" s="103"/>
      <c r="M47" s="103"/>
      <c r="N47" s="103"/>
      <c r="O47" s="103"/>
      <c r="P47" s="105"/>
      <c r="Q47" s="103"/>
      <c r="R47" s="103"/>
      <c r="S47" s="103"/>
      <c r="T47" s="103"/>
      <c r="U47" s="103"/>
      <c r="V47" s="103"/>
      <c r="W47" s="103"/>
      <c r="X47" s="103"/>
      <c r="Y47" s="103"/>
      <c r="Z47" s="103"/>
      <c r="AA47" s="103"/>
      <c r="AB47" s="103"/>
      <c r="AC47" s="103"/>
      <c r="AD47" s="103"/>
      <c r="AE47" s="103"/>
      <c r="AF47" s="103"/>
      <c r="AG47" s="103"/>
      <c r="AH47" s="103"/>
      <c r="AI47" s="103"/>
      <c r="AJ47" s="103"/>
      <c r="AK47" s="103"/>
      <c r="AL47" s="103"/>
    </row>
    <row r="48" spans="1:38" ht="16.5">
      <c r="A48" s="104"/>
      <c r="B48" s="259"/>
      <c r="C48" s="103"/>
      <c r="E48" s="103"/>
      <c r="F48" s="103"/>
      <c r="G48" s="103"/>
      <c r="H48" s="103"/>
      <c r="I48" s="103"/>
      <c r="J48" s="103"/>
      <c r="K48" s="103"/>
      <c r="L48" s="103"/>
      <c r="M48" s="103"/>
      <c r="N48" s="103"/>
      <c r="O48" s="103"/>
      <c r="P48" s="105"/>
      <c r="Q48" s="103"/>
      <c r="R48" s="103"/>
      <c r="S48" s="103"/>
      <c r="T48" s="103"/>
      <c r="U48" s="103"/>
      <c r="V48" s="103"/>
      <c r="W48" s="103"/>
      <c r="X48" s="103"/>
      <c r="Y48" s="103"/>
      <c r="Z48" s="103"/>
      <c r="AA48" s="103"/>
      <c r="AB48" s="103"/>
      <c r="AC48" s="103"/>
      <c r="AD48" s="103"/>
      <c r="AE48" s="103"/>
      <c r="AF48" s="103"/>
      <c r="AG48" s="103"/>
      <c r="AH48" s="103"/>
      <c r="AI48" s="103"/>
      <c r="AJ48" s="103"/>
      <c r="AK48" s="103"/>
      <c r="AL48" s="103"/>
    </row>
    <row r="49" spans="1:38" ht="16.5">
      <c r="A49" s="260"/>
      <c r="B49" s="257" t="s">
        <v>2098</v>
      </c>
      <c r="C49" s="261"/>
      <c r="D49" s="262"/>
      <c r="E49" s="261"/>
      <c r="F49" s="261"/>
      <c r="G49" s="261"/>
      <c r="H49" s="261"/>
      <c r="I49" s="261"/>
      <c r="J49" s="261"/>
      <c r="K49" s="261"/>
      <c r="L49" s="261"/>
      <c r="M49" s="261"/>
      <c r="N49" s="261"/>
      <c r="O49" s="261"/>
      <c r="P49" s="261"/>
      <c r="Q49" s="261"/>
      <c r="R49" s="261"/>
      <c r="S49" s="261"/>
      <c r="T49" s="261"/>
      <c r="U49" s="261"/>
      <c r="V49" s="103"/>
      <c r="W49" s="103"/>
      <c r="X49" s="103"/>
      <c r="Y49" s="103"/>
      <c r="Z49" s="103"/>
      <c r="AA49" s="103"/>
      <c r="AB49" s="103"/>
      <c r="AC49" s="103"/>
      <c r="AD49" s="103"/>
      <c r="AE49" s="103"/>
      <c r="AF49" s="103"/>
      <c r="AG49" s="103"/>
      <c r="AH49" s="103"/>
      <c r="AI49" s="103"/>
      <c r="AJ49" s="103"/>
      <c r="AK49" s="103"/>
      <c r="AL49" s="103"/>
    </row>
    <row r="50" spans="1:38" ht="16.5">
      <c r="A50" s="104"/>
      <c r="B50" s="104"/>
      <c r="C50" s="103"/>
      <c r="E50" s="103"/>
      <c r="F50" s="103"/>
      <c r="G50" s="103"/>
      <c r="H50" s="103"/>
      <c r="I50" s="103"/>
      <c r="J50" s="103"/>
      <c r="K50" s="103"/>
      <c r="L50" s="103"/>
      <c r="M50" s="103"/>
      <c r="N50" s="103"/>
      <c r="O50" s="103"/>
      <c r="P50" s="103"/>
      <c r="Q50" s="103"/>
      <c r="R50" s="103"/>
      <c r="S50" s="103"/>
      <c r="T50" s="103"/>
      <c r="U50" s="103"/>
      <c r="V50" s="103"/>
      <c r="W50" s="103"/>
      <c r="X50" s="103"/>
      <c r="Y50" s="103"/>
      <c r="Z50" s="103"/>
      <c r="AA50" s="103"/>
      <c r="AB50" s="103"/>
      <c r="AC50" s="103"/>
      <c r="AD50" s="103"/>
      <c r="AE50" s="103"/>
      <c r="AF50" s="103"/>
      <c r="AG50" s="103"/>
      <c r="AH50" s="103"/>
      <c r="AI50" s="103"/>
      <c r="AJ50" s="103"/>
      <c r="AK50" s="103"/>
      <c r="AL50" s="103"/>
    </row>
    <row r="51" spans="1:38" ht="16.5">
      <c r="A51" s="104"/>
      <c r="B51" s="104"/>
      <c r="C51" s="103"/>
      <c r="E51" s="103"/>
      <c r="F51" s="103"/>
      <c r="G51" s="103"/>
      <c r="H51" s="103"/>
      <c r="I51" s="103"/>
      <c r="J51" s="103"/>
      <c r="K51" s="103"/>
      <c r="L51" s="103"/>
      <c r="M51" s="103"/>
      <c r="N51" s="103"/>
      <c r="O51" s="103"/>
      <c r="P51" s="103"/>
      <c r="Q51" s="103"/>
      <c r="R51" s="103"/>
      <c r="S51" s="103"/>
      <c r="T51" s="103"/>
      <c r="U51" s="103"/>
      <c r="V51" s="103"/>
      <c r="W51" s="103"/>
      <c r="X51" s="103"/>
      <c r="Y51" s="103"/>
      <c r="Z51" s="103"/>
      <c r="AA51" s="103"/>
      <c r="AB51" s="103"/>
      <c r="AC51" s="103"/>
      <c r="AD51" s="103"/>
      <c r="AE51" s="103"/>
      <c r="AF51" s="103"/>
      <c r="AG51" s="103"/>
      <c r="AH51" s="103"/>
      <c r="AI51" s="103"/>
      <c r="AJ51" s="103"/>
      <c r="AK51" s="103"/>
      <c r="AL51" s="103"/>
    </row>
    <row r="52" spans="1:38" ht="16.5">
      <c r="A52" s="104"/>
      <c r="B52" s="104"/>
      <c r="C52" s="103"/>
      <c r="E52" s="103"/>
      <c r="F52" s="103"/>
      <c r="G52" s="103"/>
      <c r="H52" s="103"/>
      <c r="I52" s="103"/>
      <c r="J52" s="103"/>
      <c r="K52" s="103"/>
      <c r="L52" s="103"/>
      <c r="M52" s="103"/>
      <c r="N52" s="103"/>
      <c r="O52" s="103"/>
      <c r="P52" s="103"/>
      <c r="Q52" s="103"/>
      <c r="R52" s="103"/>
      <c r="S52" s="103"/>
      <c r="T52" s="103"/>
      <c r="U52" s="103"/>
      <c r="V52" s="103"/>
      <c r="W52" s="103"/>
      <c r="X52" s="103"/>
      <c r="Y52" s="103"/>
      <c r="Z52" s="103"/>
      <c r="AA52" s="103"/>
      <c r="AB52" s="103"/>
      <c r="AC52" s="103"/>
      <c r="AD52" s="103"/>
      <c r="AE52" s="103"/>
      <c r="AF52" s="103"/>
      <c r="AG52" s="103"/>
      <c r="AH52" s="103"/>
      <c r="AI52" s="103"/>
      <c r="AJ52" s="103"/>
      <c r="AK52" s="103"/>
      <c r="AL52" s="103"/>
    </row>
    <row r="53" spans="1:38" ht="16.5">
      <c r="A53" s="104"/>
      <c r="B53" s="104"/>
      <c r="C53" s="103"/>
      <c r="E53" s="103"/>
      <c r="F53" s="103"/>
      <c r="G53" s="103"/>
      <c r="H53" s="103"/>
      <c r="I53" s="103"/>
      <c r="J53" s="103"/>
      <c r="K53" s="103"/>
      <c r="L53" s="103"/>
      <c r="M53" s="103"/>
      <c r="N53" s="103"/>
      <c r="O53" s="103"/>
      <c r="P53" s="103"/>
      <c r="Q53" s="103"/>
      <c r="R53" s="103"/>
      <c r="S53" s="103"/>
      <c r="T53" s="103"/>
      <c r="U53" s="103"/>
      <c r="V53" s="103"/>
      <c r="W53" s="103"/>
      <c r="X53" s="103"/>
      <c r="Y53" s="103"/>
      <c r="Z53" s="103"/>
      <c r="AA53" s="103"/>
      <c r="AB53" s="103"/>
      <c r="AC53" s="103"/>
      <c r="AD53" s="103"/>
      <c r="AE53" s="103"/>
      <c r="AF53" s="103"/>
      <c r="AG53" s="103"/>
      <c r="AH53" s="103"/>
      <c r="AI53" s="103"/>
      <c r="AJ53" s="103"/>
      <c r="AK53" s="103"/>
      <c r="AL53" s="103"/>
    </row>
    <row r="54" spans="1:38" ht="16.5">
      <c r="A54" s="104"/>
      <c r="B54" s="104"/>
      <c r="C54" s="103"/>
      <c r="E54" s="103"/>
      <c r="F54" s="103"/>
      <c r="G54" s="103"/>
      <c r="H54" s="103"/>
      <c r="I54" s="103"/>
      <c r="J54" s="103"/>
      <c r="K54" s="103"/>
      <c r="L54" s="103"/>
      <c r="M54" s="103"/>
      <c r="N54" s="103"/>
      <c r="O54" s="103"/>
      <c r="P54" s="103"/>
      <c r="Q54" s="103"/>
      <c r="R54" s="103"/>
      <c r="S54" s="103"/>
      <c r="T54" s="103"/>
      <c r="U54" s="103"/>
      <c r="V54" s="103"/>
      <c r="W54" s="103"/>
      <c r="X54" s="103"/>
      <c r="Y54" s="103"/>
      <c r="Z54" s="103"/>
      <c r="AA54" s="103"/>
      <c r="AB54" s="103"/>
      <c r="AC54" s="103"/>
      <c r="AD54" s="103"/>
      <c r="AE54" s="103"/>
      <c r="AF54" s="103"/>
      <c r="AG54" s="103"/>
      <c r="AH54" s="103"/>
      <c r="AI54" s="103"/>
      <c r="AJ54" s="103"/>
      <c r="AK54" s="103"/>
      <c r="AL54" s="103"/>
    </row>
    <row r="55" spans="1:38" ht="16.5">
      <c r="A55" s="104"/>
      <c r="B55" s="104"/>
      <c r="C55" s="103"/>
      <c r="E55" s="103"/>
      <c r="F55" s="103"/>
      <c r="G55" s="103"/>
      <c r="H55" s="103"/>
      <c r="I55" s="103"/>
      <c r="J55" s="103"/>
      <c r="K55" s="103"/>
      <c r="L55" s="103"/>
      <c r="M55" s="103"/>
      <c r="N55" s="103"/>
      <c r="O55" s="103"/>
      <c r="P55" s="103"/>
      <c r="Q55" s="103"/>
      <c r="R55" s="103"/>
      <c r="S55" s="103"/>
      <c r="T55" s="103"/>
      <c r="U55" s="103"/>
      <c r="V55" s="103"/>
      <c r="W55" s="103"/>
      <c r="X55" s="103"/>
      <c r="Y55" s="103"/>
      <c r="Z55" s="103"/>
      <c r="AA55" s="103"/>
      <c r="AB55" s="103"/>
      <c r="AC55" s="103"/>
      <c r="AD55" s="103"/>
      <c r="AE55" s="103"/>
      <c r="AF55" s="103"/>
      <c r="AG55" s="103"/>
      <c r="AH55" s="103"/>
      <c r="AI55" s="103"/>
      <c r="AJ55" s="103"/>
      <c r="AK55" s="103"/>
      <c r="AL55" s="103"/>
    </row>
    <row r="56" spans="1:38" ht="16.5">
      <c r="A56" s="104"/>
      <c r="B56" s="104"/>
      <c r="C56" s="103"/>
      <c r="E56" s="103"/>
      <c r="F56" s="103"/>
      <c r="G56" s="103"/>
      <c r="H56" s="103"/>
      <c r="I56" s="103"/>
      <c r="J56" s="103"/>
      <c r="K56" s="103"/>
      <c r="L56" s="103"/>
      <c r="M56" s="103"/>
      <c r="N56" s="103"/>
      <c r="O56" s="103"/>
      <c r="P56" s="103"/>
      <c r="Q56" s="103"/>
      <c r="R56" s="103"/>
      <c r="S56" s="103"/>
      <c r="T56" s="103"/>
      <c r="U56" s="103"/>
      <c r="V56" s="103"/>
      <c r="W56" s="103"/>
      <c r="X56" s="103"/>
      <c r="Y56" s="103"/>
      <c r="Z56" s="103"/>
      <c r="AA56" s="103"/>
      <c r="AB56" s="103"/>
      <c r="AC56" s="103"/>
      <c r="AD56" s="103"/>
      <c r="AE56" s="103"/>
      <c r="AF56" s="103"/>
      <c r="AG56" s="103"/>
      <c r="AH56" s="103"/>
      <c r="AI56" s="103"/>
      <c r="AJ56" s="103"/>
      <c r="AK56" s="103"/>
      <c r="AL56" s="103"/>
    </row>
    <row r="57" spans="1:38" ht="16.5">
      <c r="A57" s="104"/>
      <c r="B57" s="104"/>
      <c r="C57" s="103"/>
      <c r="E57" s="103"/>
      <c r="F57" s="103"/>
      <c r="G57" s="103"/>
      <c r="H57" s="103"/>
      <c r="I57" s="103"/>
      <c r="J57" s="103"/>
      <c r="K57" s="103"/>
      <c r="L57" s="103"/>
      <c r="M57" s="103"/>
      <c r="N57" s="103"/>
      <c r="O57" s="103"/>
      <c r="P57" s="103"/>
      <c r="Q57" s="103"/>
      <c r="R57" s="103"/>
      <c r="S57" s="103"/>
      <c r="T57" s="103"/>
      <c r="U57" s="103"/>
      <c r="V57" s="103"/>
      <c r="W57" s="103"/>
      <c r="X57" s="103"/>
      <c r="Y57" s="103"/>
      <c r="Z57" s="103"/>
      <c r="AA57" s="103"/>
      <c r="AB57" s="103"/>
      <c r="AC57" s="103"/>
      <c r="AD57" s="103"/>
      <c r="AE57" s="103"/>
      <c r="AF57" s="103"/>
      <c r="AG57" s="103"/>
      <c r="AH57" s="103"/>
      <c r="AI57" s="103"/>
      <c r="AJ57" s="103"/>
      <c r="AK57" s="103"/>
      <c r="AL57" s="103"/>
    </row>
    <row r="58" spans="1:38" ht="16.5">
      <c r="A58" s="104"/>
      <c r="B58" s="104"/>
      <c r="C58" s="103"/>
      <c r="E58" s="103"/>
      <c r="F58" s="103"/>
      <c r="G58" s="103"/>
      <c r="H58" s="103"/>
      <c r="I58" s="103"/>
      <c r="J58" s="103"/>
      <c r="K58" s="103"/>
      <c r="L58" s="103"/>
      <c r="M58" s="103"/>
      <c r="N58" s="103"/>
      <c r="O58" s="103"/>
      <c r="P58" s="103"/>
      <c r="Q58" s="103"/>
      <c r="R58" s="103"/>
      <c r="S58" s="103"/>
      <c r="T58" s="103"/>
      <c r="U58" s="103"/>
      <c r="V58" s="103"/>
      <c r="W58" s="103"/>
      <c r="X58" s="103"/>
      <c r="Y58" s="103"/>
      <c r="Z58" s="103"/>
      <c r="AA58" s="103"/>
      <c r="AB58" s="103"/>
      <c r="AC58" s="103"/>
      <c r="AD58" s="103"/>
      <c r="AE58" s="103"/>
      <c r="AF58" s="103"/>
      <c r="AG58" s="103"/>
      <c r="AH58" s="103"/>
      <c r="AI58" s="103"/>
      <c r="AJ58" s="103"/>
      <c r="AK58" s="103"/>
      <c r="AL58" s="103"/>
    </row>
    <row r="59" spans="1:38" ht="16.5">
      <c r="A59" s="104"/>
      <c r="B59" s="104"/>
      <c r="C59" s="103"/>
      <c r="E59" s="103"/>
      <c r="F59" s="103"/>
      <c r="G59" s="103"/>
      <c r="H59" s="103"/>
      <c r="I59" s="103"/>
      <c r="J59" s="103"/>
      <c r="K59" s="103"/>
      <c r="L59" s="103"/>
      <c r="M59" s="103"/>
      <c r="N59" s="103"/>
      <c r="O59" s="103"/>
      <c r="P59" s="103"/>
      <c r="Q59" s="103"/>
      <c r="R59" s="103"/>
      <c r="S59" s="103"/>
      <c r="T59" s="103"/>
      <c r="U59" s="103"/>
      <c r="V59" s="103"/>
      <c r="W59" s="103"/>
      <c r="X59" s="103"/>
      <c r="Y59" s="103"/>
      <c r="Z59" s="103"/>
      <c r="AA59" s="103"/>
      <c r="AB59" s="103"/>
      <c r="AC59" s="103"/>
      <c r="AD59" s="103"/>
      <c r="AE59" s="103"/>
      <c r="AF59" s="103"/>
      <c r="AG59" s="103"/>
      <c r="AH59" s="103"/>
      <c r="AI59" s="103"/>
      <c r="AJ59" s="103"/>
      <c r="AK59" s="103"/>
      <c r="AL59" s="103"/>
    </row>
    <row r="60" spans="1:38" ht="16.5">
      <c r="A60" s="104"/>
      <c r="B60" s="104"/>
      <c r="C60" s="103"/>
      <c r="E60" s="103"/>
      <c r="F60" s="103"/>
      <c r="G60" s="103"/>
      <c r="H60" s="103"/>
      <c r="I60" s="103"/>
      <c r="J60" s="103"/>
      <c r="K60" s="103"/>
      <c r="L60" s="103"/>
      <c r="M60" s="103"/>
      <c r="N60" s="103"/>
      <c r="O60" s="103"/>
      <c r="P60" s="103"/>
      <c r="Q60" s="103"/>
      <c r="R60" s="103"/>
      <c r="S60" s="103"/>
      <c r="T60" s="103"/>
      <c r="U60" s="103"/>
      <c r="V60" s="103"/>
      <c r="W60" s="103"/>
      <c r="X60" s="103"/>
      <c r="Y60" s="103"/>
      <c r="Z60" s="103"/>
      <c r="AA60" s="103"/>
      <c r="AB60" s="103"/>
      <c r="AC60" s="103"/>
      <c r="AD60" s="103"/>
      <c r="AE60" s="103"/>
      <c r="AF60" s="103"/>
      <c r="AG60" s="103"/>
      <c r="AH60" s="103"/>
      <c r="AI60" s="103"/>
      <c r="AJ60" s="103"/>
      <c r="AK60" s="103"/>
      <c r="AL60" s="103"/>
    </row>
    <row r="61" spans="1:38" ht="16.5">
      <c r="A61" s="104"/>
      <c r="B61" s="104"/>
      <c r="C61" s="103"/>
      <c r="E61" s="103"/>
      <c r="F61" s="103"/>
      <c r="G61" s="103"/>
      <c r="H61" s="103"/>
      <c r="I61" s="103"/>
      <c r="J61" s="103"/>
      <c r="K61" s="103"/>
      <c r="L61" s="103"/>
      <c r="M61" s="103"/>
      <c r="N61" s="103"/>
      <c r="O61" s="103"/>
      <c r="P61" s="103"/>
      <c r="Q61" s="103"/>
      <c r="R61" s="103"/>
      <c r="S61" s="103"/>
      <c r="T61" s="103"/>
      <c r="U61" s="103"/>
      <c r="V61" s="103"/>
      <c r="W61" s="103"/>
      <c r="X61" s="103"/>
      <c r="Y61" s="103"/>
      <c r="Z61" s="103"/>
      <c r="AA61" s="103"/>
      <c r="AB61" s="103"/>
      <c r="AC61" s="103"/>
      <c r="AD61" s="103"/>
      <c r="AE61" s="103"/>
      <c r="AF61" s="103"/>
      <c r="AG61" s="103"/>
      <c r="AH61" s="103"/>
      <c r="AI61" s="103"/>
      <c r="AJ61" s="103"/>
      <c r="AK61" s="103"/>
      <c r="AL61" s="103"/>
    </row>
    <row r="62" spans="1:38" ht="16.5">
      <c r="A62" s="104"/>
      <c r="B62" s="104"/>
      <c r="C62" s="103"/>
      <c r="E62" s="103"/>
      <c r="F62" s="103"/>
      <c r="G62" s="103"/>
      <c r="H62" s="103"/>
      <c r="I62" s="103"/>
      <c r="J62" s="103"/>
      <c r="K62" s="103"/>
      <c r="L62" s="103"/>
      <c r="M62" s="103"/>
      <c r="N62" s="103"/>
      <c r="O62" s="103"/>
      <c r="P62" s="103"/>
      <c r="Q62" s="103"/>
      <c r="R62" s="103"/>
      <c r="S62" s="103"/>
      <c r="T62" s="103"/>
      <c r="U62" s="103"/>
      <c r="V62" s="103"/>
      <c r="W62" s="103"/>
      <c r="X62" s="103"/>
      <c r="Y62" s="103"/>
      <c r="Z62" s="103"/>
      <c r="AA62" s="103"/>
      <c r="AB62" s="103"/>
      <c r="AC62" s="103"/>
      <c r="AD62" s="103"/>
      <c r="AE62" s="103"/>
      <c r="AF62" s="103"/>
      <c r="AG62" s="103"/>
      <c r="AH62" s="103"/>
      <c r="AI62" s="103"/>
      <c r="AJ62" s="103"/>
      <c r="AK62" s="103"/>
      <c r="AL62" s="103"/>
    </row>
    <row r="63" spans="1:38" ht="16.5">
      <c r="A63" s="104"/>
      <c r="B63" s="104"/>
      <c r="C63" s="103"/>
      <c r="E63" s="103"/>
      <c r="F63" s="103"/>
      <c r="G63" s="103"/>
      <c r="H63" s="103"/>
      <c r="I63" s="103"/>
      <c r="J63" s="103"/>
      <c r="K63" s="103"/>
      <c r="L63" s="103"/>
      <c r="M63" s="103"/>
      <c r="N63" s="103"/>
      <c r="O63" s="103"/>
      <c r="P63" s="103"/>
      <c r="Q63" s="103"/>
      <c r="R63" s="103"/>
      <c r="S63" s="103"/>
      <c r="T63" s="103"/>
      <c r="U63" s="103"/>
      <c r="V63" s="103"/>
      <c r="W63" s="103"/>
      <c r="X63" s="103"/>
      <c r="Y63" s="103"/>
      <c r="Z63" s="103"/>
      <c r="AA63" s="103"/>
      <c r="AB63" s="103"/>
      <c r="AC63" s="103"/>
      <c r="AD63" s="103"/>
      <c r="AE63" s="103"/>
      <c r="AF63" s="103"/>
      <c r="AG63" s="103"/>
      <c r="AH63" s="103"/>
      <c r="AI63" s="103"/>
      <c r="AJ63" s="103"/>
      <c r="AK63" s="103"/>
      <c r="AL63" s="103"/>
    </row>
    <row r="64" spans="1:38" ht="16.5">
      <c r="A64" s="104"/>
      <c r="B64" s="104"/>
      <c r="C64" s="103"/>
      <c r="E64" s="103"/>
      <c r="F64" s="103"/>
      <c r="G64" s="103"/>
      <c r="H64" s="103"/>
      <c r="I64" s="103"/>
      <c r="J64" s="103"/>
      <c r="K64" s="103"/>
      <c r="L64" s="103"/>
      <c r="M64" s="103"/>
      <c r="N64" s="103"/>
      <c r="O64" s="103"/>
      <c r="P64" s="103"/>
      <c r="Q64" s="103"/>
      <c r="R64" s="103"/>
      <c r="S64" s="103"/>
      <c r="T64" s="103"/>
      <c r="U64" s="103"/>
      <c r="V64" s="103"/>
      <c r="W64" s="103"/>
      <c r="X64" s="103"/>
      <c r="Y64" s="103"/>
      <c r="Z64" s="103"/>
      <c r="AA64" s="103"/>
      <c r="AB64" s="103"/>
      <c r="AC64" s="103"/>
      <c r="AD64" s="103"/>
      <c r="AE64" s="103"/>
      <c r="AF64" s="103"/>
      <c r="AG64" s="103"/>
      <c r="AH64" s="103"/>
      <c r="AI64" s="103"/>
      <c r="AJ64" s="103"/>
      <c r="AK64" s="103"/>
      <c r="AL64" s="103"/>
    </row>
    <row r="65" spans="1:38" ht="16.5">
      <c r="A65" s="104"/>
      <c r="B65" s="104"/>
      <c r="C65" s="103"/>
      <c r="E65" s="103"/>
      <c r="F65" s="103"/>
      <c r="G65" s="103"/>
      <c r="H65" s="103"/>
      <c r="I65" s="103"/>
      <c r="J65" s="103"/>
      <c r="K65" s="103"/>
      <c r="L65" s="103"/>
      <c r="M65" s="103"/>
      <c r="N65" s="103"/>
      <c r="O65" s="103"/>
      <c r="P65" s="103"/>
      <c r="Q65" s="103"/>
      <c r="R65" s="103"/>
      <c r="S65" s="103"/>
      <c r="T65" s="103"/>
      <c r="U65" s="103"/>
      <c r="V65" s="103"/>
      <c r="W65" s="103"/>
      <c r="X65" s="103"/>
      <c r="Y65" s="103"/>
      <c r="Z65" s="103"/>
      <c r="AA65" s="103"/>
      <c r="AB65" s="103"/>
      <c r="AC65" s="103"/>
      <c r="AD65" s="103"/>
      <c r="AE65" s="103"/>
      <c r="AF65" s="103"/>
      <c r="AG65" s="103"/>
      <c r="AH65" s="103"/>
      <c r="AI65" s="103"/>
      <c r="AJ65" s="103"/>
      <c r="AK65" s="103"/>
      <c r="AL65" s="103"/>
    </row>
    <row r="66" spans="1:38" ht="16.5">
      <c r="A66" s="104"/>
      <c r="B66" s="104"/>
      <c r="C66" s="103"/>
      <c r="E66" s="103"/>
      <c r="F66" s="103"/>
      <c r="G66" s="103"/>
      <c r="H66" s="103"/>
      <c r="I66" s="103"/>
      <c r="J66" s="103"/>
      <c r="K66" s="103"/>
      <c r="L66" s="103"/>
      <c r="M66" s="103"/>
      <c r="N66" s="103"/>
      <c r="O66" s="103"/>
      <c r="P66" s="103"/>
      <c r="Q66" s="103"/>
      <c r="R66" s="103"/>
      <c r="S66" s="103"/>
      <c r="T66" s="103"/>
      <c r="U66" s="103"/>
      <c r="V66" s="103"/>
      <c r="W66" s="103"/>
      <c r="X66" s="103"/>
      <c r="Y66" s="103"/>
      <c r="Z66" s="103"/>
      <c r="AA66" s="103"/>
      <c r="AB66" s="103"/>
      <c r="AC66" s="103"/>
      <c r="AD66" s="103"/>
      <c r="AE66" s="103"/>
      <c r="AF66" s="103"/>
      <c r="AG66" s="103"/>
      <c r="AH66" s="103"/>
      <c r="AI66" s="103"/>
      <c r="AJ66" s="103"/>
      <c r="AK66" s="103"/>
      <c r="AL66" s="103"/>
    </row>
    <row r="67" spans="1:38" ht="16.5">
      <c r="A67" s="104"/>
      <c r="B67" s="104"/>
      <c r="C67" s="103"/>
      <c r="E67" s="103"/>
      <c r="F67" s="103"/>
      <c r="G67" s="103"/>
      <c r="H67" s="103"/>
      <c r="I67" s="103"/>
      <c r="J67" s="103"/>
      <c r="K67" s="103"/>
      <c r="L67" s="103"/>
      <c r="M67" s="103"/>
      <c r="N67" s="103"/>
      <c r="O67" s="103"/>
      <c r="P67" s="103"/>
      <c r="Q67" s="103"/>
      <c r="R67" s="103"/>
      <c r="S67" s="103"/>
      <c r="T67" s="103"/>
      <c r="U67" s="103"/>
      <c r="V67" s="103"/>
      <c r="W67" s="103"/>
      <c r="X67" s="103"/>
      <c r="Y67" s="103"/>
      <c r="Z67" s="103"/>
      <c r="AA67" s="103"/>
      <c r="AB67" s="103"/>
      <c r="AC67" s="103"/>
      <c r="AD67" s="103"/>
      <c r="AE67" s="103"/>
      <c r="AF67" s="103"/>
      <c r="AG67" s="103"/>
      <c r="AH67" s="103"/>
      <c r="AI67" s="103"/>
      <c r="AJ67" s="103"/>
      <c r="AK67" s="103"/>
      <c r="AL67" s="103"/>
    </row>
    <row r="68" spans="1:38" ht="16.5">
      <c r="A68" s="104"/>
      <c r="B68" s="104"/>
      <c r="C68" s="103"/>
      <c r="E68" s="103"/>
      <c r="F68" s="103"/>
      <c r="G68" s="103"/>
      <c r="H68" s="103"/>
      <c r="I68" s="103"/>
      <c r="J68" s="103"/>
      <c r="K68" s="103"/>
      <c r="L68" s="103"/>
      <c r="M68" s="103"/>
      <c r="N68" s="103"/>
      <c r="O68" s="103"/>
      <c r="P68" s="103"/>
      <c r="Q68" s="103"/>
      <c r="R68" s="103"/>
      <c r="S68" s="103"/>
      <c r="T68" s="103"/>
      <c r="U68" s="103"/>
      <c r="V68" s="103"/>
      <c r="W68" s="103"/>
      <c r="X68" s="103"/>
      <c r="Y68" s="103"/>
      <c r="Z68" s="103"/>
      <c r="AA68" s="103"/>
      <c r="AB68" s="103"/>
      <c r="AC68" s="103"/>
      <c r="AD68" s="103"/>
      <c r="AE68" s="103"/>
      <c r="AF68" s="103"/>
      <c r="AG68" s="103"/>
      <c r="AH68" s="103"/>
      <c r="AI68" s="103"/>
      <c r="AJ68" s="103"/>
      <c r="AK68" s="103"/>
      <c r="AL68" s="103"/>
    </row>
    <row r="69" spans="1:38" ht="16.5">
      <c r="A69" s="104"/>
      <c r="B69" s="104"/>
      <c r="C69" s="103"/>
      <c r="E69" s="103"/>
      <c r="F69" s="103"/>
      <c r="G69" s="103"/>
      <c r="H69" s="103"/>
      <c r="I69" s="103"/>
      <c r="J69" s="103"/>
      <c r="K69" s="103"/>
      <c r="L69" s="103"/>
      <c r="M69" s="103"/>
      <c r="N69" s="103"/>
      <c r="O69" s="103"/>
      <c r="P69" s="103"/>
      <c r="Q69" s="103"/>
      <c r="R69" s="103"/>
      <c r="S69" s="103"/>
      <c r="T69" s="103"/>
      <c r="U69" s="103"/>
      <c r="V69" s="103"/>
      <c r="W69" s="103"/>
      <c r="X69" s="103"/>
      <c r="Y69" s="103"/>
      <c r="Z69" s="103"/>
      <c r="AA69" s="103"/>
      <c r="AB69" s="103"/>
      <c r="AC69" s="103"/>
      <c r="AD69" s="103"/>
      <c r="AE69" s="103"/>
      <c r="AF69" s="103"/>
      <c r="AG69" s="103"/>
      <c r="AH69" s="103"/>
      <c r="AI69" s="103"/>
      <c r="AJ69" s="103"/>
      <c r="AK69" s="103"/>
      <c r="AL69" s="103"/>
    </row>
    <row r="70" spans="1:38" ht="16.5">
      <c r="A70" s="104"/>
      <c r="B70" s="104"/>
      <c r="C70" s="103"/>
      <c r="E70" s="103"/>
      <c r="F70" s="103"/>
      <c r="G70" s="103"/>
      <c r="H70" s="103"/>
      <c r="I70" s="103"/>
      <c r="J70" s="103"/>
      <c r="K70" s="103"/>
      <c r="L70" s="103"/>
      <c r="M70" s="103"/>
      <c r="N70" s="103"/>
      <c r="O70" s="103"/>
      <c r="P70" s="103"/>
      <c r="Q70" s="103"/>
      <c r="R70" s="103"/>
      <c r="S70" s="103"/>
      <c r="T70" s="103"/>
      <c r="U70" s="103"/>
      <c r="V70" s="103"/>
      <c r="W70" s="103"/>
      <c r="X70" s="103"/>
      <c r="Y70" s="103"/>
      <c r="Z70" s="103"/>
      <c r="AA70" s="103"/>
      <c r="AB70" s="103"/>
      <c r="AC70" s="103"/>
      <c r="AD70" s="103"/>
      <c r="AE70" s="103"/>
      <c r="AF70" s="103"/>
      <c r="AG70" s="103"/>
      <c r="AH70" s="103"/>
      <c r="AI70" s="103"/>
      <c r="AJ70" s="103"/>
      <c r="AK70" s="103"/>
      <c r="AL70" s="103"/>
    </row>
    <row r="71" spans="1:38" ht="16.5">
      <c r="A71" s="104"/>
      <c r="B71" s="104"/>
      <c r="C71" s="103"/>
      <c r="E71" s="103"/>
      <c r="F71" s="103"/>
      <c r="G71" s="103"/>
      <c r="H71" s="103"/>
      <c r="I71" s="103"/>
      <c r="J71" s="103"/>
      <c r="K71" s="103"/>
      <c r="L71" s="103"/>
      <c r="M71" s="103"/>
      <c r="N71" s="103"/>
      <c r="O71" s="103"/>
      <c r="P71" s="103"/>
      <c r="Q71" s="103"/>
      <c r="R71" s="103"/>
      <c r="S71" s="103"/>
      <c r="T71" s="103"/>
      <c r="U71" s="103"/>
      <c r="V71" s="103"/>
      <c r="W71" s="103"/>
      <c r="X71" s="103"/>
      <c r="Y71" s="103"/>
      <c r="Z71" s="103"/>
      <c r="AA71" s="103"/>
      <c r="AB71" s="103"/>
      <c r="AC71" s="103"/>
      <c r="AD71" s="103"/>
      <c r="AE71" s="103"/>
      <c r="AF71" s="103"/>
      <c r="AG71" s="103"/>
      <c r="AH71" s="103"/>
      <c r="AI71" s="103"/>
      <c r="AJ71" s="103"/>
      <c r="AK71" s="103"/>
      <c r="AL71" s="103"/>
    </row>
    <row r="72" spans="1:38" ht="16.5">
      <c r="A72" s="104"/>
      <c r="B72" s="104"/>
      <c r="C72" s="103"/>
      <c r="E72" s="103"/>
      <c r="F72" s="103"/>
      <c r="G72" s="103"/>
      <c r="H72" s="103"/>
      <c r="I72" s="103"/>
      <c r="J72" s="103"/>
      <c r="K72" s="103"/>
      <c r="L72" s="103"/>
      <c r="M72" s="103"/>
      <c r="N72" s="103"/>
      <c r="O72" s="103"/>
      <c r="P72" s="103"/>
      <c r="Q72" s="103"/>
      <c r="R72" s="103"/>
      <c r="S72" s="103"/>
      <c r="T72" s="103"/>
      <c r="U72" s="103"/>
      <c r="V72" s="103"/>
      <c r="W72" s="103"/>
      <c r="X72" s="103"/>
      <c r="Y72" s="103"/>
      <c r="Z72" s="103"/>
      <c r="AA72" s="103"/>
      <c r="AB72" s="103"/>
      <c r="AC72" s="103"/>
      <c r="AD72" s="103"/>
      <c r="AE72" s="103"/>
      <c r="AF72" s="103"/>
      <c r="AG72" s="103"/>
      <c r="AH72" s="103"/>
      <c r="AI72" s="103"/>
      <c r="AJ72" s="103"/>
      <c r="AK72" s="103"/>
      <c r="AL72" s="103"/>
    </row>
    <row r="73" spans="1:38" ht="16.5">
      <c r="A73" s="104"/>
      <c r="B73" s="104"/>
      <c r="C73" s="103"/>
      <c r="E73" s="103"/>
      <c r="F73" s="103"/>
      <c r="G73" s="103"/>
      <c r="H73" s="103"/>
      <c r="I73" s="103"/>
      <c r="J73" s="103"/>
      <c r="K73" s="103"/>
      <c r="L73" s="103"/>
      <c r="M73" s="103"/>
      <c r="N73" s="103"/>
      <c r="O73" s="103"/>
      <c r="P73" s="103"/>
      <c r="Q73" s="103"/>
      <c r="R73" s="103"/>
      <c r="S73" s="103"/>
      <c r="T73" s="103"/>
      <c r="U73" s="103"/>
      <c r="V73" s="103"/>
      <c r="W73" s="103"/>
      <c r="X73" s="103"/>
      <c r="Y73" s="103"/>
      <c r="Z73" s="103"/>
      <c r="AA73" s="103"/>
      <c r="AB73" s="103"/>
      <c r="AC73" s="103"/>
      <c r="AD73" s="103"/>
      <c r="AE73" s="103"/>
      <c r="AF73" s="103"/>
      <c r="AG73" s="103"/>
      <c r="AH73" s="103"/>
      <c r="AI73" s="103"/>
      <c r="AJ73" s="103"/>
      <c r="AK73" s="103"/>
      <c r="AL73" s="103"/>
    </row>
    <row r="74" spans="1:38" ht="16.5">
      <c r="A74" s="104"/>
      <c r="B74" s="104"/>
      <c r="C74" s="103"/>
      <c r="E74" s="103"/>
      <c r="F74" s="103"/>
      <c r="G74" s="103"/>
      <c r="H74" s="103"/>
      <c r="I74" s="103"/>
      <c r="J74" s="103"/>
      <c r="K74" s="103"/>
      <c r="L74" s="103"/>
      <c r="M74" s="103"/>
      <c r="N74" s="103"/>
      <c r="O74" s="103"/>
      <c r="P74" s="103"/>
      <c r="Q74" s="103"/>
      <c r="R74" s="103"/>
      <c r="S74" s="103"/>
      <c r="T74" s="103"/>
      <c r="U74" s="103"/>
      <c r="V74" s="103"/>
      <c r="W74" s="103"/>
      <c r="X74" s="103"/>
      <c r="Y74" s="103"/>
      <c r="Z74" s="103"/>
      <c r="AA74" s="103"/>
      <c r="AB74" s="103"/>
      <c r="AC74" s="103"/>
      <c r="AD74" s="103"/>
      <c r="AE74" s="103"/>
      <c r="AF74" s="103"/>
      <c r="AG74" s="103"/>
      <c r="AH74" s="103"/>
      <c r="AI74" s="103"/>
      <c r="AJ74" s="103"/>
      <c r="AK74" s="103"/>
      <c r="AL74" s="103"/>
    </row>
    <row r="75" spans="1:38" ht="16.5">
      <c r="A75" s="104"/>
      <c r="B75" s="104"/>
      <c r="C75" s="103"/>
      <c r="E75" s="103"/>
      <c r="F75" s="103"/>
      <c r="G75" s="103"/>
      <c r="H75" s="103"/>
      <c r="I75" s="103"/>
      <c r="J75" s="103"/>
      <c r="K75" s="103"/>
      <c r="L75" s="103"/>
      <c r="M75" s="103"/>
      <c r="N75" s="103"/>
      <c r="O75" s="103"/>
      <c r="P75" s="103"/>
      <c r="Q75" s="103"/>
      <c r="R75" s="103"/>
      <c r="S75" s="103"/>
      <c r="T75" s="103"/>
      <c r="U75" s="103"/>
      <c r="V75" s="103"/>
      <c r="W75" s="103"/>
      <c r="X75" s="103"/>
      <c r="Y75" s="103"/>
      <c r="Z75" s="103"/>
      <c r="AA75" s="103"/>
      <c r="AB75" s="103"/>
      <c r="AC75" s="103"/>
      <c r="AD75" s="103"/>
      <c r="AE75" s="103"/>
      <c r="AF75" s="103"/>
      <c r="AG75" s="103"/>
      <c r="AH75" s="103"/>
      <c r="AI75" s="103"/>
      <c r="AJ75" s="103"/>
      <c r="AK75" s="103"/>
      <c r="AL75" s="103"/>
    </row>
    <row r="76" spans="1:38" ht="16.5">
      <c r="A76" s="104"/>
      <c r="B76" s="104"/>
      <c r="C76" s="103"/>
      <c r="E76" s="103"/>
      <c r="F76" s="103"/>
      <c r="G76" s="103"/>
      <c r="H76" s="103"/>
      <c r="I76" s="103"/>
      <c r="J76" s="103"/>
      <c r="K76" s="103"/>
      <c r="L76" s="103"/>
      <c r="M76" s="103"/>
      <c r="N76" s="103"/>
      <c r="O76" s="103"/>
      <c r="P76" s="103"/>
      <c r="Q76" s="103"/>
      <c r="R76" s="103"/>
      <c r="S76" s="103"/>
      <c r="T76" s="103"/>
      <c r="U76" s="103"/>
      <c r="V76" s="103"/>
      <c r="W76" s="103"/>
      <c r="X76" s="103"/>
      <c r="Y76" s="103"/>
      <c r="Z76" s="103"/>
      <c r="AA76" s="103"/>
      <c r="AB76" s="103"/>
      <c r="AC76" s="103"/>
      <c r="AD76" s="103"/>
      <c r="AE76" s="103"/>
      <c r="AF76" s="103"/>
      <c r="AG76" s="103"/>
      <c r="AH76" s="103"/>
      <c r="AI76" s="103"/>
      <c r="AJ76" s="103"/>
      <c r="AK76" s="103"/>
      <c r="AL76" s="103"/>
    </row>
    <row r="77" spans="1:38" ht="16.5">
      <c r="A77" s="104"/>
      <c r="B77" s="104"/>
      <c r="C77" s="103"/>
      <c r="E77" s="103"/>
      <c r="F77" s="103"/>
      <c r="G77" s="103"/>
      <c r="H77" s="103"/>
      <c r="I77" s="103"/>
      <c r="J77" s="103"/>
      <c r="K77" s="103"/>
      <c r="L77" s="103"/>
      <c r="M77" s="103"/>
      <c r="N77" s="103"/>
      <c r="O77" s="103"/>
      <c r="P77" s="103"/>
      <c r="Q77" s="103"/>
      <c r="R77" s="103"/>
      <c r="S77" s="103"/>
      <c r="T77" s="103"/>
      <c r="U77" s="103"/>
      <c r="V77" s="103"/>
      <c r="W77" s="103"/>
      <c r="X77" s="103"/>
      <c r="Y77" s="103"/>
      <c r="Z77" s="103"/>
      <c r="AA77" s="103"/>
      <c r="AB77" s="103"/>
      <c r="AC77" s="103"/>
      <c r="AD77" s="103"/>
      <c r="AE77" s="103"/>
      <c r="AF77" s="103"/>
      <c r="AG77" s="103"/>
      <c r="AH77" s="103"/>
      <c r="AI77" s="103"/>
      <c r="AJ77" s="103"/>
      <c r="AK77" s="103"/>
      <c r="AL77" s="103"/>
    </row>
    <row r="78" spans="1:38" ht="16.5">
      <c r="A78" s="104"/>
      <c r="B78" s="104"/>
      <c r="C78" s="103"/>
      <c r="E78" s="103"/>
      <c r="F78" s="103"/>
      <c r="G78" s="103"/>
      <c r="H78" s="103"/>
      <c r="I78" s="103"/>
      <c r="J78" s="103"/>
      <c r="K78" s="103"/>
      <c r="L78" s="103"/>
      <c r="M78" s="103"/>
      <c r="N78" s="103"/>
      <c r="O78" s="103"/>
      <c r="P78" s="103"/>
      <c r="Q78" s="103"/>
      <c r="R78" s="103"/>
      <c r="S78" s="103"/>
      <c r="T78" s="103"/>
      <c r="U78" s="103"/>
      <c r="V78" s="103"/>
      <c r="W78" s="103"/>
      <c r="X78" s="103"/>
      <c r="Y78" s="103"/>
      <c r="Z78" s="103"/>
      <c r="AA78" s="103"/>
      <c r="AB78" s="103"/>
      <c r="AC78" s="103"/>
      <c r="AD78" s="103"/>
      <c r="AE78" s="103"/>
      <c r="AF78" s="103"/>
      <c r="AG78" s="103"/>
      <c r="AH78" s="103"/>
      <c r="AI78" s="103"/>
      <c r="AJ78" s="103"/>
      <c r="AK78" s="103"/>
      <c r="AL78" s="103"/>
    </row>
    <row r="79" spans="1:38" ht="16.5">
      <c r="A79" s="104"/>
      <c r="B79" s="104"/>
      <c r="C79" s="103"/>
      <c r="E79" s="103"/>
      <c r="F79" s="103"/>
      <c r="G79" s="103"/>
      <c r="H79" s="103"/>
      <c r="I79" s="103"/>
      <c r="J79" s="103"/>
      <c r="K79" s="103"/>
      <c r="L79" s="103"/>
      <c r="M79" s="103"/>
      <c r="N79" s="103"/>
      <c r="O79" s="103"/>
      <c r="P79" s="103"/>
      <c r="Q79" s="103"/>
      <c r="R79" s="103"/>
      <c r="S79" s="103"/>
      <c r="T79" s="103"/>
      <c r="U79" s="103"/>
      <c r="V79" s="103"/>
      <c r="W79" s="103"/>
      <c r="X79" s="103"/>
      <c r="Y79" s="103"/>
      <c r="Z79" s="103"/>
      <c r="AA79" s="103"/>
      <c r="AB79" s="103"/>
      <c r="AC79" s="103"/>
      <c r="AD79" s="103"/>
      <c r="AE79" s="103"/>
      <c r="AF79" s="103"/>
      <c r="AG79" s="103"/>
      <c r="AH79" s="103"/>
      <c r="AI79" s="103"/>
      <c r="AJ79" s="103"/>
      <c r="AK79" s="103"/>
      <c r="AL79" s="103"/>
    </row>
    <row r="80" spans="1:38" ht="16.5">
      <c r="A80" s="104"/>
      <c r="B80" s="104"/>
      <c r="C80" s="103"/>
      <c r="E80" s="103"/>
      <c r="F80" s="103"/>
      <c r="G80" s="103"/>
      <c r="H80" s="103"/>
      <c r="I80" s="103"/>
      <c r="J80" s="103"/>
      <c r="K80" s="103"/>
      <c r="L80" s="103"/>
      <c r="M80" s="103"/>
      <c r="N80" s="103"/>
      <c r="O80" s="103"/>
      <c r="P80" s="103"/>
      <c r="Q80" s="103"/>
      <c r="R80" s="103"/>
      <c r="S80" s="103"/>
      <c r="T80" s="103"/>
      <c r="U80" s="103"/>
      <c r="V80" s="103"/>
      <c r="W80" s="103"/>
      <c r="X80" s="103"/>
      <c r="Y80" s="103"/>
      <c r="Z80" s="103"/>
      <c r="AA80" s="103"/>
      <c r="AB80" s="103"/>
      <c r="AC80" s="103"/>
      <c r="AD80" s="103"/>
      <c r="AE80" s="103"/>
      <c r="AF80" s="103"/>
      <c r="AG80" s="103"/>
      <c r="AH80" s="103"/>
      <c r="AI80" s="103"/>
      <c r="AJ80" s="103"/>
      <c r="AK80" s="103"/>
      <c r="AL80" s="103"/>
    </row>
    <row r="81" spans="1:38" ht="16.5">
      <c r="A81" s="104"/>
      <c r="B81" s="104"/>
      <c r="C81" s="103"/>
      <c r="E81" s="103"/>
      <c r="F81" s="103"/>
      <c r="G81" s="103"/>
      <c r="H81" s="103"/>
      <c r="I81" s="103"/>
      <c r="J81" s="103"/>
      <c r="K81" s="103"/>
      <c r="L81" s="103"/>
      <c r="M81" s="103"/>
      <c r="N81" s="103"/>
      <c r="O81" s="103"/>
      <c r="P81" s="103"/>
      <c r="Q81" s="103"/>
      <c r="R81" s="103"/>
      <c r="S81" s="103"/>
      <c r="T81" s="103"/>
      <c r="U81" s="103"/>
      <c r="V81" s="103"/>
      <c r="W81" s="103"/>
      <c r="X81" s="103"/>
      <c r="Y81" s="103"/>
      <c r="Z81" s="103"/>
      <c r="AA81" s="103"/>
      <c r="AB81" s="103"/>
      <c r="AC81" s="103"/>
      <c r="AD81" s="103"/>
      <c r="AE81" s="103"/>
      <c r="AF81" s="103"/>
      <c r="AG81" s="103"/>
      <c r="AH81" s="103"/>
      <c r="AI81" s="103"/>
      <c r="AJ81" s="103"/>
      <c r="AK81" s="103"/>
      <c r="AL81" s="103"/>
    </row>
    <row r="82" spans="1:38" ht="16.5">
      <c r="A82" s="104"/>
      <c r="B82" s="104"/>
      <c r="C82" s="103"/>
      <c r="E82" s="103"/>
      <c r="F82" s="103"/>
      <c r="G82" s="103"/>
      <c r="H82" s="103"/>
      <c r="I82" s="103"/>
      <c r="J82" s="103"/>
      <c r="K82" s="103"/>
      <c r="L82" s="103"/>
      <c r="M82" s="103"/>
      <c r="N82" s="103"/>
      <c r="O82" s="103"/>
      <c r="P82" s="103"/>
      <c r="Q82" s="103"/>
      <c r="R82" s="103"/>
      <c r="S82" s="103"/>
      <c r="T82" s="103"/>
      <c r="U82" s="103"/>
      <c r="V82" s="103"/>
      <c r="W82" s="103"/>
      <c r="X82" s="103"/>
      <c r="Y82" s="103"/>
      <c r="Z82" s="103"/>
      <c r="AA82" s="103"/>
      <c r="AB82" s="103"/>
      <c r="AC82" s="103"/>
      <c r="AD82" s="103"/>
      <c r="AE82" s="103"/>
      <c r="AF82" s="103"/>
      <c r="AG82" s="103"/>
      <c r="AH82" s="103"/>
      <c r="AI82" s="103"/>
      <c r="AJ82" s="103"/>
      <c r="AK82" s="103"/>
      <c r="AL82" s="103"/>
    </row>
    <row r="83" spans="1:38" ht="16.5">
      <c r="A83" s="104"/>
      <c r="B83" s="104"/>
      <c r="C83" s="103"/>
      <c r="E83" s="103"/>
      <c r="F83" s="103"/>
      <c r="G83" s="103"/>
      <c r="H83" s="103"/>
      <c r="I83" s="103"/>
      <c r="J83" s="103"/>
      <c r="K83" s="103"/>
      <c r="L83" s="103"/>
      <c r="M83" s="103"/>
      <c r="N83" s="103"/>
      <c r="O83" s="103"/>
      <c r="P83" s="103"/>
      <c r="Q83" s="103"/>
      <c r="R83" s="103"/>
      <c r="S83" s="103"/>
      <c r="T83" s="103"/>
      <c r="U83" s="103"/>
      <c r="V83" s="103"/>
      <c r="W83" s="103"/>
      <c r="X83" s="103"/>
      <c r="Y83" s="103"/>
      <c r="Z83" s="103"/>
      <c r="AA83" s="103"/>
      <c r="AB83" s="103"/>
      <c r="AC83" s="103"/>
      <c r="AD83" s="103"/>
      <c r="AE83" s="103"/>
      <c r="AF83" s="103"/>
      <c r="AG83" s="103"/>
      <c r="AH83" s="103"/>
      <c r="AI83" s="103"/>
      <c r="AJ83" s="103"/>
      <c r="AK83" s="103"/>
      <c r="AL83" s="103"/>
    </row>
    <row r="84" spans="1:38" ht="16.5">
      <c r="A84" s="104"/>
      <c r="B84" s="104"/>
      <c r="C84" s="103"/>
      <c r="E84" s="103"/>
      <c r="F84" s="103"/>
      <c r="G84" s="103"/>
      <c r="H84" s="103"/>
      <c r="I84" s="103"/>
      <c r="J84" s="103"/>
      <c r="K84" s="103"/>
      <c r="L84" s="103"/>
      <c r="M84" s="103"/>
      <c r="N84" s="103"/>
      <c r="O84" s="103"/>
      <c r="P84" s="103"/>
      <c r="Q84" s="103"/>
      <c r="R84" s="103"/>
      <c r="S84" s="103"/>
      <c r="T84" s="103"/>
      <c r="U84" s="103"/>
      <c r="V84" s="103"/>
      <c r="W84" s="103"/>
      <c r="X84" s="103"/>
      <c r="Y84" s="103"/>
      <c r="Z84" s="103"/>
      <c r="AA84" s="103"/>
      <c r="AB84" s="103"/>
      <c r="AC84" s="103"/>
      <c r="AD84" s="103"/>
      <c r="AE84" s="103"/>
      <c r="AF84" s="103"/>
      <c r="AG84" s="103"/>
      <c r="AH84" s="103"/>
      <c r="AI84" s="103"/>
      <c r="AJ84" s="103"/>
      <c r="AK84" s="103"/>
      <c r="AL84" s="103"/>
    </row>
    <row r="85" spans="1:38" ht="16.5">
      <c r="A85" s="104"/>
      <c r="B85" s="104"/>
      <c r="C85" s="103"/>
      <c r="E85" s="103"/>
      <c r="F85" s="103"/>
      <c r="G85" s="103"/>
      <c r="H85" s="103"/>
      <c r="I85" s="103"/>
      <c r="J85" s="103"/>
      <c r="K85" s="103"/>
      <c r="L85" s="103"/>
      <c r="M85" s="103"/>
      <c r="N85" s="103"/>
      <c r="O85" s="103"/>
      <c r="P85" s="103"/>
      <c r="Q85" s="103"/>
      <c r="R85" s="103"/>
      <c r="S85" s="103"/>
      <c r="T85" s="103"/>
      <c r="U85" s="103"/>
      <c r="V85" s="103"/>
      <c r="W85" s="103"/>
      <c r="X85" s="103"/>
      <c r="Y85" s="103"/>
      <c r="Z85" s="103"/>
      <c r="AA85" s="103"/>
      <c r="AB85" s="103"/>
      <c r="AC85" s="103"/>
      <c r="AD85" s="103"/>
      <c r="AE85" s="103"/>
      <c r="AF85" s="103"/>
      <c r="AG85" s="103"/>
      <c r="AH85" s="103"/>
      <c r="AI85" s="103"/>
      <c r="AJ85" s="103"/>
      <c r="AK85" s="103"/>
      <c r="AL85" s="103"/>
    </row>
    <row r="86" spans="1:38" ht="16.5">
      <c r="A86" s="104"/>
      <c r="B86" s="104"/>
      <c r="C86" s="103"/>
      <c r="E86" s="103"/>
      <c r="F86" s="103"/>
      <c r="G86" s="103"/>
      <c r="H86" s="103"/>
      <c r="I86" s="103"/>
      <c r="J86" s="103"/>
      <c r="K86" s="103"/>
      <c r="L86" s="103"/>
      <c r="M86" s="103"/>
      <c r="N86" s="103"/>
      <c r="O86" s="103"/>
      <c r="P86" s="103"/>
      <c r="Q86" s="103"/>
      <c r="R86" s="103"/>
      <c r="S86" s="103"/>
      <c r="T86" s="103"/>
      <c r="U86" s="103"/>
      <c r="V86" s="103"/>
      <c r="W86" s="103"/>
      <c r="X86" s="103"/>
      <c r="Y86" s="103"/>
      <c r="Z86" s="103"/>
      <c r="AA86" s="103"/>
      <c r="AB86" s="103"/>
      <c r="AC86" s="103"/>
      <c r="AD86" s="103"/>
      <c r="AE86" s="103"/>
      <c r="AF86" s="103"/>
      <c r="AG86" s="103"/>
      <c r="AH86" s="103"/>
      <c r="AI86" s="103"/>
      <c r="AJ86" s="103"/>
      <c r="AK86" s="103"/>
      <c r="AL86" s="103"/>
    </row>
    <row r="87" spans="1:38" ht="16.5">
      <c r="A87" s="104"/>
      <c r="B87" s="104"/>
      <c r="C87" s="103"/>
      <c r="E87" s="103"/>
      <c r="F87" s="103"/>
      <c r="G87" s="103"/>
      <c r="H87" s="103"/>
      <c r="I87" s="103"/>
      <c r="J87" s="103"/>
      <c r="K87" s="103"/>
      <c r="L87" s="103"/>
      <c r="M87" s="103"/>
      <c r="N87" s="103"/>
      <c r="O87" s="103"/>
      <c r="P87" s="103"/>
      <c r="Q87" s="103"/>
      <c r="R87" s="103"/>
      <c r="S87" s="103"/>
      <c r="T87" s="103"/>
      <c r="U87" s="103"/>
      <c r="V87" s="103"/>
      <c r="W87" s="103"/>
      <c r="X87" s="103"/>
      <c r="Y87" s="103"/>
      <c r="Z87" s="103"/>
      <c r="AA87" s="103"/>
      <c r="AB87" s="103"/>
      <c r="AC87" s="103"/>
      <c r="AD87" s="103"/>
      <c r="AE87" s="103"/>
      <c r="AF87" s="103"/>
      <c r="AG87" s="103"/>
      <c r="AH87" s="103"/>
      <c r="AI87" s="103"/>
      <c r="AJ87" s="103"/>
      <c r="AK87" s="103"/>
      <c r="AL87" s="103"/>
    </row>
    <row r="88" spans="1:38" ht="16.5">
      <c r="A88" s="104"/>
      <c r="B88" s="104"/>
      <c r="C88" s="103"/>
      <c r="E88" s="103"/>
      <c r="F88" s="103"/>
      <c r="G88" s="103"/>
      <c r="H88" s="103"/>
      <c r="I88" s="103"/>
      <c r="J88" s="103"/>
      <c r="K88" s="103"/>
      <c r="L88" s="103"/>
      <c r="M88" s="103"/>
      <c r="N88" s="103"/>
      <c r="O88" s="103"/>
      <c r="P88" s="103"/>
      <c r="Q88" s="103"/>
      <c r="R88" s="103"/>
      <c r="S88" s="103"/>
      <c r="T88" s="103"/>
      <c r="U88" s="103"/>
      <c r="V88" s="103"/>
      <c r="W88" s="103"/>
      <c r="X88" s="103"/>
      <c r="Y88" s="103"/>
      <c r="Z88" s="103"/>
      <c r="AA88" s="103"/>
      <c r="AB88" s="103"/>
      <c r="AC88" s="103"/>
      <c r="AD88" s="103"/>
      <c r="AE88" s="103"/>
      <c r="AF88" s="103"/>
      <c r="AG88" s="103"/>
      <c r="AH88" s="103"/>
      <c r="AI88" s="103"/>
      <c r="AJ88" s="103"/>
      <c r="AK88" s="103"/>
      <c r="AL88" s="103"/>
    </row>
    <row r="89" spans="1:38" ht="16.5">
      <c r="A89" s="104"/>
      <c r="B89" s="104"/>
      <c r="C89" s="103"/>
      <c r="E89" s="103"/>
      <c r="F89" s="103"/>
      <c r="G89" s="103"/>
      <c r="H89" s="103"/>
      <c r="I89" s="103"/>
      <c r="J89" s="103"/>
      <c r="K89" s="103"/>
      <c r="L89" s="103"/>
      <c r="M89" s="103"/>
      <c r="N89" s="103"/>
      <c r="O89" s="103"/>
      <c r="P89" s="103"/>
      <c r="Q89" s="103"/>
      <c r="R89" s="103"/>
      <c r="S89" s="103"/>
      <c r="T89" s="103"/>
      <c r="U89" s="103"/>
      <c r="V89" s="103"/>
      <c r="W89" s="103"/>
      <c r="X89" s="103"/>
      <c r="Y89" s="103"/>
      <c r="Z89" s="103"/>
      <c r="AA89" s="103"/>
      <c r="AB89" s="103"/>
      <c r="AC89" s="103"/>
      <c r="AD89" s="103"/>
      <c r="AE89" s="103"/>
      <c r="AF89" s="103"/>
      <c r="AG89" s="103"/>
      <c r="AH89" s="103"/>
      <c r="AI89" s="103"/>
      <c r="AJ89" s="103"/>
      <c r="AK89" s="103"/>
      <c r="AL89" s="103"/>
    </row>
    <row r="90" spans="1:38" ht="16.5">
      <c r="A90" s="104"/>
      <c r="B90" s="104"/>
      <c r="C90" s="103"/>
      <c r="E90" s="103"/>
      <c r="F90" s="103"/>
      <c r="G90" s="103"/>
      <c r="H90" s="103"/>
      <c r="I90" s="103"/>
      <c r="J90" s="103"/>
      <c r="K90" s="103"/>
      <c r="L90" s="103"/>
      <c r="M90" s="103"/>
      <c r="N90" s="103"/>
      <c r="O90" s="103"/>
      <c r="P90" s="103"/>
      <c r="Q90" s="103"/>
      <c r="R90" s="103"/>
      <c r="S90" s="103"/>
      <c r="T90" s="103"/>
      <c r="U90" s="103"/>
      <c r="V90" s="103"/>
      <c r="W90" s="103"/>
      <c r="X90" s="103"/>
      <c r="Y90" s="103"/>
      <c r="Z90" s="103"/>
      <c r="AA90" s="103"/>
      <c r="AB90" s="103"/>
      <c r="AC90" s="103"/>
      <c r="AD90" s="103"/>
      <c r="AE90" s="103"/>
      <c r="AF90" s="103"/>
      <c r="AG90" s="103"/>
      <c r="AH90" s="103"/>
      <c r="AI90" s="103"/>
      <c r="AJ90" s="103"/>
      <c r="AK90" s="103"/>
      <c r="AL90" s="103"/>
    </row>
    <row r="91" spans="1:38" ht="16.5">
      <c r="A91" s="104"/>
      <c r="B91" s="104"/>
      <c r="C91" s="103"/>
      <c r="E91" s="103"/>
      <c r="F91" s="103"/>
      <c r="G91" s="103"/>
      <c r="H91" s="103"/>
      <c r="I91" s="103"/>
      <c r="J91" s="103"/>
      <c r="K91" s="103"/>
      <c r="L91" s="103"/>
      <c r="M91" s="103"/>
      <c r="N91" s="103"/>
      <c r="O91" s="103"/>
      <c r="P91" s="103"/>
      <c r="Q91" s="103"/>
      <c r="R91" s="103"/>
      <c r="S91" s="103"/>
      <c r="T91" s="103"/>
      <c r="U91" s="103"/>
      <c r="V91" s="103"/>
      <c r="W91" s="103"/>
      <c r="X91" s="103"/>
      <c r="Y91" s="103"/>
      <c r="Z91" s="103"/>
      <c r="AA91" s="103"/>
      <c r="AB91" s="103"/>
      <c r="AC91" s="103"/>
      <c r="AD91" s="103"/>
      <c r="AE91" s="103"/>
      <c r="AF91" s="103"/>
      <c r="AG91" s="103"/>
      <c r="AH91" s="103"/>
      <c r="AI91" s="103"/>
      <c r="AJ91" s="103"/>
      <c r="AK91" s="103"/>
      <c r="AL91" s="103"/>
    </row>
    <row r="92" spans="1:38" ht="16.5">
      <c r="A92" s="104"/>
      <c r="B92" s="104"/>
      <c r="C92" s="103"/>
      <c r="E92" s="103"/>
      <c r="F92" s="103"/>
      <c r="G92" s="103"/>
      <c r="H92" s="103"/>
      <c r="I92" s="103"/>
      <c r="J92" s="103"/>
      <c r="K92" s="103"/>
      <c r="L92" s="103"/>
      <c r="M92" s="103"/>
      <c r="N92" s="103"/>
      <c r="O92" s="103"/>
      <c r="P92" s="103"/>
      <c r="Q92" s="103"/>
      <c r="R92" s="103"/>
      <c r="S92" s="103"/>
      <c r="T92" s="103"/>
      <c r="U92" s="103"/>
      <c r="V92" s="103"/>
      <c r="W92" s="103"/>
      <c r="X92" s="103"/>
      <c r="Y92" s="103"/>
      <c r="Z92" s="103"/>
      <c r="AA92" s="103"/>
      <c r="AB92" s="103"/>
      <c r="AC92" s="103"/>
      <c r="AD92" s="103"/>
      <c r="AE92" s="103"/>
      <c r="AF92" s="103"/>
      <c r="AG92" s="103"/>
      <c r="AH92" s="103"/>
      <c r="AI92" s="103"/>
      <c r="AJ92" s="103"/>
      <c r="AK92" s="103"/>
      <c r="AL92" s="103"/>
    </row>
    <row r="93" spans="1:38" ht="16.5">
      <c r="A93" s="104"/>
      <c r="B93" s="104"/>
      <c r="C93" s="103"/>
      <c r="E93" s="103"/>
      <c r="F93" s="103"/>
      <c r="G93" s="103"/>
      <c r="H93" s="103"/>
      <c r="I93" s="103"/>
      <c r="J93" s="103"/>
      <c r="K93" s="103"/>
      <c r="L93" s="103"/>
      <c r="M93" s="103"/>
      <c r="N93" s="103"/>
      <c r="O93" s="103"/>
      <c r="P93" s="103"/>
      <c r="Q93" s="103"/>
      <c r="R93" s="103"/>
      <c r="S93" s="103"/>
      <c r="T93" s="103"/>
      <c r="U93" s="103"/>
      <c r="V93" s="103"/>
      <c r="W93" s="103"/>
      <c r="X93" s="103"/>
      <c r="Y93" s="103"/>
      <c r="Z93" s="103"/>
      <c r="AA93" s="103"/>
      <c r="AB93" s="103"/>
      <c r="AC93" s="103"/>
      <c r="AD93" s="103"/>
      <c r="AE93" s="103"/>
      <c r="AF93" s="103"/>
      <c r="AG93" s="103"/>
      <c r="AH93" s="103"/>
      <c r="AI93" s="103"/>
      <c r="AJ93" s="103"/>
      <c r="AK93" s="103"/>
      <c r="AL93" s="103"/>
    </row>
    <row r="94" spans="1:38" ht="16.5">
      <c r="A94" s="104"/>
      <c r="B94" s="104"/>
      <c r="C94" s="103"/>
      <c r="E94" s="103"/>
      <c r="F94" s="103"/>
      <c r="G94" s="103"/>
      <c r="H94" s="103"/>
      <c r="I94" s="103"/>
      <c r="J94" s="103"/>
      <c r="K94" s="103"/>
      <c r="L94" s="103"/>
      <c r="M94" s="103"/>
      <c r="N94" s="103"/>
      <c r="O94" s="103"/>
      <c r="P94" s="103"/>
      <c r="Q94" s="103"/>
      <c r="R94" s="103"/>
      <c r="S94" s="103"/>
      <c r="T94" s="103"/>
      <c r="U94" s="103"/>
      <c r="V94" s="103"/>
      <c r="W94" s="103"/>
      <c r="X94" s="103"/>
      <c r="Y94" s="103"/>
      <c r="Z94" s="103"/>
      <c r="AA94" s="103"/>
      <c r="AB94" s="103"/>
      <c r="AC94" s="103"/>
      <c r="AD94" s="103"/>
      <c r="AE94" s="103"/>
      <c r="AF94" s="103"/>
      <c r="AG94" s="103"/>
      <c r="AH94" s="103"/>
      <c r="AI94" s="103"/>
      <c r="AJ94" s="103"/>
      <c r="AK94" s="103"/>
      <c r="AL94" s="103"/>
    </row>
    <row r="95" spans="1:38" ht="16.5">
      <c r="A95" s="104"/>
      <c r="B95" s="104"/>
      <c r="C95" s="103"/>
      <c r="E95" s="103"/>
      <c r="F95" s="103"/>
      <c r="G95" s="103"/>
      <c r="H95" s="103"/>
      <c r="I95" s="103"/>
      <c r="J95" s="103"/>
      <c r="K95" s="103"/>
      <c r="L95" s="103"/>
      <c r="M95" s="103"/>
      <c r="N95" s="103"/>
      <c r="O95" s="103"/>
      <c r="P95" s="103"/>
      <c r="Q95" s="103"/>
      <c r="R95" s="103"/>
      <c r="S95" s="103"/>
      <c r="T95" s="103"/>
      <c r="U95" s="103"/>
      <c r="V95" s="103"/>
      <c r="W95" s="103"/>
      <c r="X95" s="103"/>
      <c r="Y95" s="103"/>
      <c r="Z95" s="103"/>
      <c r="AA95" s="103"/>
      <c r="AB95" s="103"/>
      <c r="AC95" s="103"/>
      <c r="AD95" s="103"/>
      <c r="AE95" s="103"/>
      <c r="AF95" s="103"/>
      <c r="AG95" s="103"/>
      <c r="AH95" s="103"/>
      <c r="AI95" s="103"/>
      <c r="AJ95" s="103"/>
      <c r="AK95" s="103"/>
      <c r="AL95" s="103"/>
    </row>
    <row r="96" spans="1:38" ht="16.5">
      <c r="A96" s="104"/>
      <c r="B96" s="104"/>
      <c r="C96" s="103"/>
      <c r="E96" s="103"/>
      <c r="F96" s="103"/>
      <c r="G96" s="103"/>
      <c r="H96" s="103"/>
      <c r="I96" s="103"/>
      <c r="J96" s="103"/>
      <c r="K96" s="103"/>
      <c r="L96" s="103"/>
      <c r="M96" s="103"/>
      <c r="N96" s="103"/>
      <c r="O96" s="103"/>
      <c r="P96" s="103"/>
      <c r="Q96" s="103"/>
      <c r="R96" s="103"/>
      <c r="S96" s="103"/>
      <c r="T96" s="103"/>
      <c r="U96" s="103"/>
      <c r="V96" s="103"/>
      <c r="W96" s="103"/>
      <c r="X96" s="103"/>
      <c r="Y96" s="103"/>
      <c r="Z96" s="103"/>
      <c r="AA96" s="103"/>
      <c r="AB96" s="103"/>
      <c r="AC96" s="103"/>
      <c r="AD96" s="103"/>
      <c r="AE96" s="103"/>
      <c r="AF96" s="103"/>
      <c r="AG96" s="103"/>
      <c r="AH96" s="103"/>
      <c r="AI96" s="103"/>
      <c r="AJ96" s="103"/>
      <c r="AK96" s="103"/>
      <c r="AL96" s="103"/>
    </row>
    <row r="97" spans="1:38" ht="16.5">
      <c r="A97" s="104"/>
      <c r="B97" s="104"/>
      <c r="C97" s="103"/>
      <c r="E97" s="103"/>
      <c r="F97" s="103"/>
      <c r="G97" s="103"/>
      <c r="H97" s="103"/>
      <c r="I97" s="103"/>
      <c r="J97" s="103"/>
      <c r="K97" s="103"/>
      <c r="L97" s="103"/>
      <c r="M97" s="103"/>
      <c r="N97" s="103"/>
      <c r="O97" s="103"/>
      <c r="P97" s="103"/>
      <c r="Q97" s="103"/>
      <c r="R97" s="103"/>
      <c r="S97" s="103"/>
      <c r="T97" s="103"/>
      <c r="U97" s="103"/>
      <c r="V97" s="103"/>
      <c r="W97" s="103"/>
      <c r="X97" s="103"/>
      <c r="Y97" s="103"/>
      <c r="Z97" s="103"/>
      <c r="AA97" s="103"/>
      <c r="AB97" s="103"/>
      <c r="AC97" s="103"/>
      <c r="AD97" s="103"/>
      <c r="AE97" s="103"/>
      <c r="AF97" s="103"/>
      <c r="AG97" s="103"/>
      <c r="AH97" s="103"/>
      <c r="AI97" s="103"/>
      <c r="AJ97" s="103"/>
      <c r="AK97" s="103"/>
      <c r="AL97" s="103"/>
    </row>
    <row r="98" spans="1:38" ht="16.5">
      <c r="A98" s="104"/>
      <c r="B98" s="104"/>
      <c r="C98" s="103"/>
      <c r="E98" s="103"/>
      <c r="F98" s="103"/>
      <c r="G98" s="103"/>
      <c r="H98" s="103"/>
      <c r="I98" s="103"/>
      <c r="J98" s="103"/>
      <c r="K98" s="103"/>
      <c r="L98" s="103"/>
      <c r="M98" s="103"/>
      <c r="N98" s="103"/>
      <c r="O98" s="103"/>
      <c r="P98" s="103"/>
      <c r="Q98" s="103"/>
      <c r="R98" s="103"/>
      <c r="S98" s="103"/>
      <c r="T98" s="103"/>
      <c r="U98" s="103"/>
      <c r="V98" s="103"/>
      <c r="W98" s="103"/>
      <c r="X98" s="103"/>
      <c r="Y98" s="103"/>
      <c r="Z98" s="103"/>
      <c r="AA98" s="103"/>
      <c r="AB98" s="103"/>
      <c r="AC98" s="103"/>
      <c r="AD98" s="103"/>
      <c r="AE98" s="103"/>
      <c r="AF98" s="103"/>
      <c r="AG98" s="103"/>
      <c r="AH98" s="103"/>
      <c r="AI98" s="103"/>
      <c r="AJ98" s="103"/>
      <c r="AK98" s="103"/>
      <c r="AL98" s="103"/>
    </row>
    <row r="99" spans="1:38" ht="16.5">
      <c r="A99" s="104"/>
      <c r="B99" s="104"/>
      <c r="C99" s="103"/>
      <c r="E99" s="103"/>
      <c r="F99" s="103"/>
      <c r="G99" s="103"/>
      <c r="H99" s="103"/>
      <c r="I99" s="103"/>
      <c r="J99" s="103"/>
      <c r="K99" s="103"/>
      <c r="L99" s="103"/>
      <c r="M99" s="103"/>
      <c r="N99" s="103"/>
      <c r="O99" s="103"/>
      <c r="P99" s="103"/>
      <c r="Q99" s="103"/>
      <c r="R99" s="103"/>
      <c r="S99" s="103"/>
      <c r="T99" s="103"/>
      <c r="U99" s="103"/>
      <c r="V99" s="103"/>
      <c r="W99" s="103"/>
      <c r="X99" s="103"/>
      <c r="Y99" s="103"/>
      <c r="Z99" s="103"/>
      <c r="AA99" s="103"/>
      <c r="AB99" s="103"/>
      <c r="AC99" s="103"/>
      <c r="AD99" s="103"/>
      <c r="AE99" s="103"/>
      <c r="AF99" s="103"/>
      <c r="AG99" s="103"/>
      <c r="AH99" s="103"/>
      <c r="AI99" s="103"/>
      <c r="AJ99" s="103"/>
      <c r="AK99" s="103"/>
      <c r="AL99" s="103"/>
    </row>
    <row r="100" spans="1:38" ht="16.5">
      <c r="A100" s="104"/>
      <c r="B100" s="104"/>
      <c r="C100" s="103"/>
      <c r="E100" s="103"/>
      <c r="F100" s="103"/>
      <c r="G100" s="103"/>
      <c r="H100" s="103"/>
      <c r="I100" s="103"/>
      <c r="J100" s="103"/>
      <c r="K100" s="103"/>
      <c r="L100" s="103"/>
      <c r="M100" s="103"/>
      <c r="N100" s="103"/>
      <c r="O100" s="103"/>
      <c r="P100" s="103"/>
      <c r="Q100" s="103"/>
      <c r="R100" s="103"/>
      <c r="S100" s="103"/>
      <c r="T100" s="103"/>
      <c r="U100" s="103"/>
      <c r="V100" s="103"/>
      <c r="W100" s="103"/>
      <c r="X100" s="103"/>
      <c r="Y100" s="103"/>
      <c r="Z100" s="103"/>
      <c r="AA100" s="103"/>
      <c r="AB100" s="103"/>
      <c r="AC100" s="103"/>
      <c r="AD100" s="103"/>
      <c r="AE100" s="103"/>
      <c r="AF100" s="103"/>
      <c r="AG100" s="103"/>
      <c r="AH100" s="103"/>
      <c r="AI100" s="103"/>
      <c r="AJ100" s="103"/>
      <c r="AK100" s="103"/>
      <c r="AL100" s="103"/>
    </row>
    <row r="101" spans="1:38" ht="16.5">
      <c r="A101" s="104"/>
      <c r="B101" s="104"/>
      <c r="C101" s="103"/>
      <c r="E101" s="103"/>
      <c r="F101" s="103"/>
      <c r="G101" s="103"/>
      <c r="H101" s="103"/>
      <c r="I101" s="103"/>
      <c r="J101" s="103"/>
      <c r="K101" s="103"/>
      <c r="L101" s="103"/>
      <c r="M101" s="103"/>
      <c r="N101" s="103"/>
      <c r="O101" s="103"/>
      <c r="P101" s="103"/>
      <c r="Q101" s="103"/>
      <c r="R101" s="103"/>
      <c r="S101" s="103"/>
      <c r="T101" s="103"/>
      <c r="U101" s="103"/>
      <c r="V101" s="103"/>
      <c r="W101" s="103"/>
      <c r="X101" s="103"/>
      <c r="Y101" s="103"/>
      <c r="Z101" s="103"/>
      <c r="AA101" s="103"/>
      <c r="AB101" s="103"/>
      <c r="AC101" s="103"/>
      <c r="AD101" s="103"/>
      <c r="AE101" s="103"/>
      <c r="AF101" s="103"/>
      <c r="AG101" s="103"/>
      <c r="AH101" s="103"/>
      <c r="AI101" s="103"/>
      <c r="AJ101" s="103"/>
      <c r="AK101" s="103"/>
      <c r="AL101" s="103"/>
    </row>
    <row r="102" spans="1:38" ht="16.5">
      <c r="A102" s="104"/>
      <c r="B102" s="104"/>
      <c r="C102" s="103"/>
      <c r="E102" s="103"/>
      <c r="F102" s="103"/>
      <c r="G102" s="103"/>
      <c r="H102" s="103"/>
      <c r="I102" s="103"/>
      <c r="J102" s="103"/>
      <c r="K102" s="103"/>
      <c r="L102" s="103"/>
      <c r="M102" s="103"/>
      <c r="N102" s="103"/>
      <c r="O102" s="103"/>
      <c r="P102" s="103"/>
      <c r="Q102" s="103"/>
      <c r="R102" s="103"/>
      <c r="S102" s="103"/>
      <c r="T102" s="103"/>
      <c r="U102" s="103"/>
      <c r="V102" s="103"/>
      <c r="W102" s="103"/>
      <c r="X102" s="103"/>
      <c r="Y102" s="103"/>
      <c r="Z102" s="103"/>
      <c r="AA102" s="103"/>
      <c r="AB102" s="103"/>
      <c r="AC102" s="103"/>
      <c r="AD102" s="103"/>
      <c r="AE102" s="103"/>
      <c r="AF102" s="103"/>
      <c r="AG102" s="103"/>
      <c r="AH102" s="103"/>
      <c r="AI102" s="103"/>
      <c r="AJ102" s="103"/>
      <c r="AK102" s="103"/>
      <c r="AL102" s="103"/>
    </row>
    <row r="103" spans="1:38" ht="16.5">
      <c r="A103" s="104"/>
      <c r="B103" s="104"/>
      <c r="C103" s="103"/>
      <c r="E103" s="103"/>
      <c r="F103" s="103"/>
      <c r="G103" s="103"/>
      <c r="H103" s="103"/>
      <c r="I103" s="103"/>
      <c r="J103" s="103"/>
      <c r="K103" s="103"/>
      <c r="L103" s="103"/>
      <c r="M103" s="103"/>
      <c r="N103" s="103"/>
      <c r="O103" s="103"/>
      <c r="P103" s="103"/>
      <c r="Q103" s="103"/>
      <c r="R103" s="103"/>
      <c r="S103" s="103"/>
      <c r="T103" s="103"/>
      <c r="U103" s="103"/>
      <c r="V103" s="103"/>
      <c r="W103" s="103"/>
      <c r="X103" s="103"/>
      <c r="Y103" s="103"/>
      <c r="Z103" s="103"/>
      <c r="AA103" s="103"/>
      <c r="AB103" s="103"/>
      <c r="AC103" s="103"/>
      <c r="AD103" s="103"/>
      <c r="AE103" s="103"/>
      <c r="AF103" s="103"/>
      <c r="AG103" s="103"/>
      <c r="AH103" s="103"/>
      <c r="AI103" s="103"/>
      <c r="AJ103" s="103"/>
      <c r="AK103" s="103"/>
      <c r="AL103" s="103"/>
    </row>
    <row r="104" spans="1:38" ht="16.5">
      <c r="A104" s="104"/>
      <c r="B104" s="104"/>
      <c r="C104" s="103"/>
      <c r="E104" s="103"/>
      <c r="F104" s="103"/>
      <c r="G104" s="103"/>
      <c r="H104" s="103"/>
      <c r="I104" s="103"/>
      <c r="J104" s="103"/>
      <c r="K104" s="103"/>
      <c r="L104" s="103"/>
      <c r="M104" s="103"/>
      <c r="N104" s="103"/>
      <c r="O104" s="103"/>
      <c r="P104" s="103"/>
      <c r="Q104" s="103"/>
      <c r="R104" s="103"/>
      <c r="S104" s="103"/>
      <c r="T104" s="103"/>
      <c r="U104" s="103"/>
      <c r="V104" s="103"/>
      <c r="W104" s="103"/>
      <c r="X104" s="103"/>
      <c r="Y104" s="103"/>
      <c r="Z104" s="103"/>
      <c r="AA104" s="103"/>
      <c r="AB104" s="103"/>
      <c r="AC104" s="103"/>
      <c r="AD104" s="103"/>
      <c r="AE104" s="103"/>
      <c r="AF104" s="103"/>
      <c r="AG104" s="103"/>
      <c r="AH104" s="103"/>
      <c r="AI104" s="103"/>
      <c r="AJ104" s="103"/>
      <c r="AK104" s="103"/>
      <c r="AL104" s="103"/>
    </row>
    <row r="105" spans="1:38" ht="16.5">
      <c r="A105" s="104"/>
      <c r="B105" s="104"/>
      <c r="C105" s="103"/>
      <c r="E105" s="103"/>
      <c r="F105" s="103"/>
      <c r="G105" s="103"/>
      <c r="H105" s="103"/>
      <c r="I105" s="103"/>
      <c r="J105" s="103"/>
      <c r="K105" s="103"/>
      <c r="L105" s="103"/>
      <c r="M105" s="103"/>
      <c r="N105" s="103"/>
      <c r="O105" s="103"/>
      <c r="P105" s="103"/>
      <c r="Q105" s="103"/>
      <c r="R105" s="103"/>
      <c r="S105" s="103"/>
      <c r="T105" s="103"/>
      <c r="U105" s="103"/>
      <c r="V105" s="103"/>
      <c r="W105" s="103"/>
      <c r="X105" s="103"/>
      <c r="Y105" s="103"/>
      <c r="Z105" s="103"/>
      <c r="AA105" s="103"/>
      <c r="AB105" s="103"/>
      <c r="AC105" s="103"/>
      <c r="AD105" s="103"/>
      <c r="AE105" s="103"/>
      <c r="AF105" s="103"/>
      <c r="AG105" s="103"/>
      <c r="AH105" s="103"/>
      <c r="AI105" s="103"/>
      <c r="AJ105" s="103"/>
      <c r="AK105" s="103"/>
      <c r="AL105" s="103"/>
    </row>
    <row r="106" spans="1:38" ht="16.5">
      <c r="A106" s="104"/>
      <c r="B106" s="104"/>
      <c r="C106" s="103"/>
      <c r="E106" s="103"/>
      <c r="F106" s="103"/>
      <c r="G106" s="103"/>
      <c r="H106" s="103"/>
      <c r="I106" s="103"/>
      <c r="J106" s="103"/>
      <c r="K106" s="103"/>
      <c r="L106" s="103"/>
      <c r="M106" s="103"/>
      <c r="N106" s="103"/>
      <c r="O106" s="103"/>
      <c r="P106" s="103"/>
      <c r="Q106" s="103"/>
      <c r="R106" s="103"/>
      <c r="S106" s="103"/>
      <c r="T106" s="103"/>
      <c r="U106" s="103"/>
      <c r="V106" s="103"/>
      <c r="W106" s="103"/>
      <c r="X106" s="103"/>
      <c r="Y106" s="103"/>
      <c r="Z106" s="103"/>
      <c r="AA106" s="103"/>
      <c r="AB106" s="103"/>
      <c r="AC106" s="103"/>
      <c r="AD106" s="103"/>
      <c r="AE106" s="103"/>
      <c r="AF106" s="103"/>
      <c r="AG106" s="103"/>
      <c r="AH106" s="103"/>
      <c r="AI106" s="103"/>
      <c r="AJ106" s="103"/>
      <c r="AK106" s="103"/>
      <c r="AL106" s="103"/>
    </row>
    <row r="107" spans="1:38" ht="16.5">
      <c r="A107" s="104"/>
      <c r="B107" s="104"/>
      <c r="C107" s="103"/>
      <c r="E107" s="103"/>
      <c r="F107" s="103"/>
      <c r="G107" s="103"/>
      <c r="H107" s="103"/>
      <c r="I107" s="103"/>
      <c r="J107" s="103"/>
      <c r="K107" s="103"/>
      <c r="L107" s="103"/>
      <c r="M107" s="103"/>
      <c r="N107" s="103"/>
      <c r="O107" s="103"/>
      <c r="P107" s="103"/>
      <c r="Q107" s="103"/>
      <c r="R107" s="103"/>
      <c r="S107" s="103"/>
      <c r="T107" s="103"/>
      <c r="U107" s="103"/>
      <c r="V107" s="103"/>
      <c r="W107" s="103"/>
      <c r="X107" s="103"/>
      <c r="Y107" s="103"/>
      <c r="Z107" s="103"/>
      <c r="AA107" s="103"/>
      <c r="AB107" s="103"/>
      <c r="AC107" s="103"/>
      <c r="AD107" s="103"/>
      <c r="AE107" s="103"/>
      <c r="AF107" s="103"/>
      <c r="AG107" s="103"/>
      <c r="AH107" s="103"/>
      <c r="AI107" s="103"/>
      <c r="AJ107" s="103"/>
      <c r="AK107" s="103"/>
      <c r="AL107" s="103"/>
    </row>
    <row r="108" spans="1:38" ht="16.5">
      <c r="A108" s="104"/>
      <c r="B108" s="104"/>
      <c r="C108" s="103"/>
      <c r="E108" s="103"/>
      <c r="F108" s="103"/>
      <c r="G108" s="103"/>
      <c r="H108" s="103"/>
      <c r="I108" s="103"/>
      <c r="J108" s="103"/>
      <c r="K108" s="103"/>
      <c r="L108" s="103"/>
      <c r="M108" s="103"/>
      <c r="N108" s="103"/>
      <c r="O108" s="103"/>
      <c r="P108" s="103"/>
      <c r="Q108" s="103"/>
      <c r="R108" s="103"/>
      <c r="S108" s="103"/>
      <c r="T108" s="103"/>
      <c r="U108" s="103"/>
      <c r="V108" s="103"/>
      <c r="W108" s="103"/>
      <c r="X108" s="103"/>
      <c r="Y108" s="103"/>
      <c r="Z108" s="103"/>
      <c r="AA108" s="103"/>
      <c r="AB108" s="103"/>
      <c r="AC108" s="103"/>
      <c r="AD108" s="103"/>
      <c r="AE108" s="103"/>
      <c r="AF108" s="103"/>
      <c r="AG108" s="103"/>
      <c r="AH108" s="103"/>
      <c r="AI108" s="103"/>
      <c r="AJ108" s="103"/>
      <c r="AK108" s="103"/>
      <c r="AL108" s="103"/>
    </row>
    <row r="109" spans="1:38" ht="16.5">
      <c r="A109" s="104"/>
      <c r="B109" s="104"/>
      <c r="C109" s="103"/>
      <c r="E109" s="103"/>
      <c r="F109" s="103"/>
      <c r="G109" s="103"/>
      <c r="H109" s="103"/>
      <c r="I109" s="103"/>
      <c r="J109" s="103"/>
      <c r="K109" s="103"/>
      <c r="L109" s="103"/>
      <c r="M109" s="103"/>
      <c r="N109" s="103"/>
      <c r="O109" s="103"/>
      <c r="P109" s="103"/>
      <c r="Q109" s="103"/>
      <c r="R109" s="103"/>
      <c r="S109" s="103"/>
      <c r="T109" s="103"/>
      <c r="U109" s="103"/>
      <c r="V109" s="103"/>
      <c r="W109" s="103"/>
      <c r="X109" s="103"/>
      <c r="Y109" s="103"/>
      <c r="Z109" s="103"/>
      <c r="AA109" s="103"/>
      <c r="AB109" s="103"/>
      <c r="AC109" s="103"/>
      <c r="AD109" s="103"/>
      <c r="AE109" s="103"/>
      <c r="AF109" s="103"/>
      <c r="AG109" s="103"/>
      <c r="AH109" s="103"/>
      <c r="AI109" s="103"/>
      <c r="AJ109" s="103"/>
      <c r="AK109" s="103"/>
      <c r="AL109" s="103"/>
    </row>
    <row r="110" spans="1:38" ht="16.5">
      <c r="A110" s="104"/>
      <c r="B110" s="104"/>
      <c r="C110" s="103"/>
      <c r="E110" s="103"/>
      <c r="F110" s="103"/>
      <c r="G110" s="103"/>
      <c r="H110" s="103"/>
      <c r="I110" s="103"/>
      <c r="J110" s="103"/>
      <c r="K110" s="103"/>
      <c r="L110" s="103"/>
      <c r="M110" s="103"/>
      <c r="N110" s="103"/>
      <c r="O110" s="103"/>
      <c r="P110" s="103"/>
      <c r="Q110" s="103"/>
      <c r="R110" s="103"/>
      <c r="S110" s="103"/>
      <c r="T110" s="103"/>
      <c r="U110" s="103"/>
      <c r="V110" s="103"/>
      <c r="W110" s="103"/>
      <c r="X110" s="103"/>
      <c r="Y110" s="103"/>
      <c r="Z110" s="103"/>
      <c r="AA110" s="103"/>
      <c r="AB110" s="103"/>
      <c r="AC110" s="103"/>
      <c r="AD110" s="103"/>
      <c r="AE110" s="103"/>
      <c r="AF110" s="103"/>
      <c r="AG110" s="103"/>
      <c r="AH110" s="103"/>
      <c r="AI110" s="103"/>
      <c r="AJ110" s="103"/>
      <c r="AK110" s="103"/>
      <c r="AL110" s="103"/>
    </row>
    <row r="111" spans="1:38" ht="16.5">
      <c r="A111" s="104"/>
      <c r="B111" s="104"/>
      <c r="C111" s="103"/>
      <c r="E111" s="103"/>
      <c r="F111" s="103"/>
      <c r="G111" s="103"/>
      <c r="H111" s="103"/>
      <c r="I111" s="103"/>
      <c r="J111" s="103"/>
      <c r="K111" s="103"/>
      <c r="L111" s="103"/>
      <c r="M111" s="103"/>
      <c r="N111" s="103"/>
      <c r="O111" s="103"/>
      <c r="P111" s="103"/>
      <c r="Q111" s="103"/>
      <c r="R111" s="103"/>
      <c r="S111" s="103"/>
      <c r="T111" s="103"/>
      <c r="U111" s="103"/>
      <c r="V111" s="103"/>
      <c r="W111" s="103"/>
      <c r="X111" s="103"/>
      <c r="Y111" s="103"/>
      <c r="Z111" s="103"/>
      <c r="AA111" s="103"/>
      <c r="AB111" s="103"/>
      <c r="AC111" s="103"/>
      <c r="AD111" s="103"/>
      <c r="AE111" s="103"/>
      <c r="AF111" s="103"/>
      <c r="AG111" s="103"/>
      <c r="AH111" s="103"/>
      <c r="AI111" s="103"/>
      <c r="AJ111" s="103"/>
      <c r="AK111" s="103"/>
      <c r="AL111" s="103"/>
    </row>
    <row r="112" spans="1:38" ht="16.5">
      <c r="A112" s="104"/>
      <c r="B112" s="104"/>
      <c r="C112" s="103"/>
      <c r="E112" s="103"/>
      <c r="F112" s="103"/>
      <c r="G112" s="103"/>
      <c r="H112" s="103"/>
      <c r="I112" s="103"/>
      <c r="J112" s="103"/>
      <c r="K112" s="103"/>
      <c r="L112" s="103"/>
      <c r="M112" s="103"/>
      <c r="N112" s="103"/>
      <c r="O112" s="103"/>
      <c r="P112" s="103"/>
      <c r="Q112" s="103"/>
      <c r="R112" s="103"/>
      <c r="S112" s="103"/>
      <c r="T112" s="103"/>
      <c r="U112" s="103"/>
      <c r="V112" s="103"/>
      <c r="W112" s="103"/>
      <c r="X112" s="103"/>
      <c r="Y112" s="103"/>
      <c r="Z112" s="103"/>
      <c r="AA112" s="103"/>
      <c r="AB112" s="103"/>
      <c r="AC112" s="103"/>
      <c r="AD112" s="103"/>
      <c r="AE112" s="103"/>
      <c r="AF112" s="103"/>
      <c r="AG112" s="103"/>
      <c r="AH112" s="103"/>
      <c r="AI112" s="103"/>
      <c r="AJ112" s="103"/>
      <c r="AK112" s="103"/>
      <c r="AL112" s="103"/>
    </row>
    <row r="113" spans="1:38" ht="16.5">
      <c r="A113" s="104"/>
      <c r="B113" s="104"/>
      <c r="C113" s="103"/>
      <c r="E113" s="103"/>
      <c r="F113" s="103"/>
      <c r="G113" s="103"/>
      <c r="H113" s="103"/>
      <c r="I113" s="103"/>
      <c r="J113" s="103"/>
      <c r="K113" s="103"/>
      <c r="L113" s="103"/>
      <c r="M113" s="103"/>
      <c r="N113" s="103"/>
      <c r="O113" s="103"/>
      <c r="P113" s="103"/>
      <c r="Q113" s="103"/>
      <c r="R113" s="103"/>
      <c r="S113" s="103"/>
      <c r="T113" s="103"/>
      <c r="U113" s="103"/>
      <c r="V113" s="103"/>
      <c r="W113" s="103"/>
      <c r="X113" s="103"/>
      <c r="Y113" s="103"/>
      <c r="Z113" s="103"/>
      <c r="AA113" s="103"/>
      <c r="AB113" s="103"/>
      <c r="AC113" s="103"/>
      <c r="AD113" s="103"/>
      <c r="AE113" s="103"/>
      <c r="AF113" s="103"/>
      <c r="AG113" s="103"/>
      <c r="AH113" s="103"/>
      <c r="AI113" s="103"/>
      <c r="AJ113" s="103"/>
      <c r="AK113" s="103"/>
      <c r="AL113" s="103"/>
    </row>
    <row r="114" spans="1:38" ht="16.5">
      <c r="A114" s="104"/>
      <c r="B114" s="104"/>
      <c r="C114" s="103"/>
      <c r="E114" s="103"/>
      <c r="F114" s="103"/>
      <c r="G114" s="103"/>
      <c r="H114" s="103"/>
      <c r="I114" s="103"/>
      <c r="J114" s="103"/>
      <c r="K114" s="103"/>
      <c r="L114" s="103"/>
      <c r="M114" s="103"/>
      <c r="N114" s="103"/>
      <c r="O114" s="103"/>
      <c r="P114" s="103"/>
      <c r="Q114" s="103"/>
      <c r="R114" s="103"/>
      <c r="S114" s="103"/>
      <c r="T114" s="103"/>
      <c r="U114" s="103"/>
      <c r="V114" s="103"/>
      <c r="W114" s="103"/>
      <c r="X114" s="103"/>
      <c r="Y114" s="103"/>
      <c r="Z114" s="103"/>
      <c r="AA114" s="103"/>
      <c r="AB114" s="103"/>
      <c r="AC114" s="103"/>
      <c r="AD114" s="103"/>
      <c r="AE114" s="103"/>
      <c r="AF114" s="103"/>
      <c r="AG114" s="103"/>
      <c r="AH114" s="103"/>
      <c r="AI114" s="103"/>
      <c r="AJ114" s="103"/>
      <c r="AK114" s="103"/>
      <c r="AL114" s="103"/>
    </row>
    <row r="115" spans="1:38" ht="16.5">
      <c r="A115" s="104"/>
      <c r="B115" s="104"/>
      <c r="C115" s="103"/>
      <c r="E115" s="103"/>
      <c r="F115" s="103"/>
      <c r="G115" s="103"/>
      <c r="H115" s="103"/>
      <c r="I115" s="103"/>
      <c r="J115" s="103"/>
      <c r="K115" s="103"/>
      <c r="L115" s="103"/>
      <c r="M115" s="103"/>
      <c r="N115" s="103"/>
      <c r="O115" s="103"/>
      <c r="P115" s="103"/>
      <c r="Q115" s="103"/>
      <c r="R115" s="103"/>
      <c r="S115" s="103"/>
      <c r="T115" s="103"/>
      <c r="U115" s="103"/>
      <c r="V115" s="103"/>
      <c r="W115" s="103"/>
      <c r="X115" s="103"/>
      <c r="Y115" s="103"/>
      <c r="Z115" s="103"/>
      <c r="AA115" s="103"/>
      <c r="AB115" s="103"/>
      <c r="AC115" s="103"/>
      <c r="AD115" s="103"/>
      <c r="AE115" s="103"/>
      <c r="AF115" s="103"/>
      <c r="AG115" s="103"/>
      <c r="AH115" s="103"/>
      <c r="AI115" s="103"/>
      <c r="AJ115" s="103"/>
      <c r="AK115" s="103"/>
      <c r="AL115" s="103"/>
    </row>
    <row r="116" spans="1:38" ht="16.5">
      <c r="A116" s="104"/>
      <c r="B116" s="104"/>
      <c r="C116" s="103"/>
      <c r="E116" s="103"/>
      <c r="F116" s="103"/>
      <c r="G116" s="103"/>
      <c r="H116" s="103"/>
      <c r="I116" s="103"/>
      <c r="J116" s="103"/>
      <c r="K116" s="103"/>
      <c r="L116" s="103"/>
      <c r="M116" s="103"/>
      <c r="N116" s="103"/>
      <c r="O116" s="103"/>
      <c r="P116" s="103"/>
      <c r="Q116" s="103"/>
      <c r="R116" s="103"/>
      <c r="S116" s="103"/>
      <c r="T116" s="103"/>
      <c r="U116" s="103"/>
      <c r="V116" s="103"/>
      <c r="W116" s="103"/>
      <c r="X116" s="103"/>
      <c r="Y116" s="103"/>
      <c r="Z116" s="103"/>
      <c r="AA116" s="103"/>
      <c r="AB116" s="103"/>
      <c r="AC116" s="103"/>
      <c r="AD116" s="103"/>
      <c r="AE116" s="103"/>
      <c r="AF116" s="103"/>
      <c r="AG116" s="103"/>
      <c r="AH116" s="103"/>
      <c r="AI116" s="103"/>
      <c r="AJ116" s="103"/>
      <c r="AK116" s="103"/>
      <c r="AL116" s="103"/>
    </row>
    <row r="117" spans="1:38" ht="16.5">
      <c r="A117" s="104"/>
      <c r="B117" s="104"/>
      <c r="C117" s="103"/>
      <c r="E117" s="103"/>
      <c r="F117" s="103"/>
      <c r="G117" s="103"/>
      <c r="H117" s="103"/>
      <c r="I117" s="103"/>
      <c r="J117" s="103"/>
      <c r="K117" s="103"/>
      <c r="L117" s="103"/>
      <c r="M117" s="103"/>
      <c r="N117" s="103"/>
      <c r="O117" s="103"/>
      <c r="P117" s="103"/>
      <c r="Q117" s="103"/>
      <c r="R117" s="103"/>
      <c r="S117" s="103"/>
      <c r="T117" s="103"/>
      <c r="U117" s="103"/>
      <c r="V117" s="103"/>
      <c r="W117" s="103"/>
      <c r="X117" s="103"/>
      <c r="Y117" s="103"/>
      <c r="Z117" s="103"/>
      <c r="AA117" s="103"/>
      <c r="AB117" s="103"/>
      <c r="AC117" s="103"/>
      <c r="AD117" s="103"/>
      <c r="AE117" s="103"/>
      <c r="AF117" s="103"/>
      <c r="AG117" s="103"/>
      <c r="AH117" s="103"/>
      <c r="AI117" s="103"/>
      <c r="AJ117" s="103"/>
      <c r="AK117" s="103"/>
      <c r="AL117" s="103"/>
    </row>
    <row r="118" spans="1:38" ht="16.5">
      <c r="A118" s="104"/>
      <c r="B118" s="104"/>
      <c r="C118" s="103"/>
      <c r="E118" s="103"/>
      <c r="F118" s="103"/>
      <c r="G118" s="103"/>
      <c r="H118" s="103"/>
      <c r="I118" s="103"/>
      <c r="J118" s="103"/>
      <c r="K118" s="103"/>
      <c r="L118" s="103"/>
      <c r="M118" s="103"/>
      <c r="N118" s="103"/>
      <c r="O118" s="103"/>
      <c r="P118" s="103"/>
      <c r="Q118" s="103"/>
      <c r="R118" s="103"/>
      <c r="S118" s="103"/>
      <c r="T118" s="103"/>
      <c r="U118" s="103"/>
      <c r="V118" s="103"/>
      <c r="W118" s="103"/>
      <c r="X118" s="103"/>
      <c r="Y118" s="103"/>
      <c r="Z118" s="103"/>
      <c r="AA118" s="103"/>
      <c r="AB118" s="103"/>
      <c r="AC118" s="103"/>
      <c r="AD118" s="103"/>
      <c r="AE118" s="103"/>
      <c r="AF118" s="103"/>
      <c r="AG118" s="103"/>
      <c r="AH118" s="103"/>
      <c r="AI118" s="103"/>
      <c r="AJ118" s="103"/>
      <c r="AK118" s="103"/>
      <c r="AL118" s="103"/>
    </row>
    <row r="119" spans="1:38" ht="16.5">
      <c r="A119" s="104"/>
      <c r="B119" s="104"/>
      <c r="C119" s="103"/>
      <c r="E119" s="103"/>
      <c r="F119" s="103"/>
      <c r="G119" s="103"/>
      <c r="H119" s="103"/>
      <c r="I119" s="103"/>
      <c r="J119" s="103"/>
      <c r="K119" s="103"/>
      <c r="L119" s="103"/>
      <c r="M119" s="103"/>
      <c r="N119" s="103"/>
      <c r="O119" s="103"/>
      <c r="P119" s="103"/>
      <c r="Q119" s="103"/>
      <c r="R119" s="103"/>
      <c r="S119" s="103"/>
      <c r="T119" s="103"/>
      <c r="U119" s="103"/>
      <c r="V119" s="103"/>
      <c r="W119" s="103"/>
      <c r="X119" s="103"/>
      <c r="Y119" s="103"/>
      <c r="Z119" s="103"/>
      <c r="AA119" s="103"/>
      <c r="AB119" s="103"/>
      <c r="AC119" s="103"/>
      <c r="AD119" s="103"/>
      <c r="AE119" s="103"/>
      <c r="AF119" s="103"/>
      <c r="AG119" s="103"/>
      <c r="AH119" s="103"/>
      <c r="AI119" s="103"/>
      <c r="AJ119" s="103"/>
      <c r="AK119" s="103"/>
      <c r="AL119" s="103"/>
    </row>
    <row r="120" spans="1:38" ht="16.5">
      <c r="A120" s="104"/>
      <c r="B120" s="104"/>
      <c r="C120" s="103"/>
      <c r="E120" s="103"/>
      <c r="F120" s="103"/>
      <c r="G120" s="103"/>
      <c r="H120" s="103"/>
      <c r="I120" s="103"/>
      <c r="J120" s="103"/>
      <c r="K120" s="103"/>
      <c r="L120" s="103"/>
      <c r="M120" s="103"/>
      <c r="N120" s="103"/>
      <c r="O120" s="103"/>
      <c r="P120" s="103"/>
      <c r="Q120" s="103"/>
      <c r="R120" s="103"/>
      <c r="S120" s="103"/>
      <c r="T120" s="103"/>
      <c r="U120" s="103"/>
      <c r="V120" s="103"/>
      <c r="W120" s="103"/>
      <c r="X120" s="103"/>
      <c r="Y120" s="103"/>
      <c r="Z120" s="103"/>
      <c r="AA120" s="103"/>
      <c r="AB120" s="103"/>
      <c r="AC120" s="103"/>
      <c r="AD120" s="103"/>
      <c r="AE120" s="103"/>
      <c r="AF120" s="103"/>
      <c r="AG120" s="103"/>
      <c r="AH120" s="103"/>
      <c r="AI120" s="103"/>
      <c r="AJ120" s="103"/>
      <c r="AK120" s="103"/>
      <c r="AL120" s="103"/>
    </row>
    <row r="121" spans="1:38" ht="16.5">
      <c r="A121" s="104"/>
      <c r="B121" s="104"/>
      <c r="C121" s="103"/>
      <c r="E121" s="103"/>
      <c r="F121" s="103"/>
      <c r="G121" s="103"/>
      <c r="H121" s="103"/>
      <c r="I121" s="103"/>
      <c r="J121" s="103"/>
      <c r="K121" s="103"/>
      <c r="L121" s="103"/>
      <c r="M121" s="103"/>
      <c r="N121" s="103"/>
      <c r="O121" s="103"/>
      <c r="P121" s="103"/>
      <c r="Q121" s="103"/>
      <c r="R121" s="103"/>
      <c r="S121" s="103"/>
      <c r="T121" s="103"/>
      <c r="U121" s="103"/>
      <c r="V121" s="103"/>
      <c r="W121" s="103"/>
      <c r="X121" s="103"/>
      <c r="Y121" s="103"/>
      <c r="Z121" s="103"/>
      <c r="AA121" s="103"/>
      <c r="AB121" s="103"/>
      <c r="AC121" s="103"/>
      <c r="AD121" s="103"/>
      <c r="AE121" s="103"/>
      <c r="AF121" s="103"/>
      <c r="AG121" s="103"/>
      <c r="AH121" s="103"/>
      <c r="AI121" s="103"/>
      <c r="AJ121" s="103"/>
      <c r="AK121" s="103"/>
      <c r="AL121" s="103"/>
    </row>
    <row r="122" spans="1:38" ht="16.5">
      <c r="A122" s="104"/>
      <c r="B122" s="104"/>
      <c r="C122" s="103"/>
      <c r="E122" s="103"/>
      <c r="F122" s="103"/>
      <c r="G122" s="103"/>
      <c r="H122" s="103"/>
      <c r="I122" s="103"/>
      <c r="J122" s="103"/>
      <c r="K122" s="103"/>
      <c r="L122" s="103"/>
      <c r="M122" s="103"/>
      <c r="N122" s="103"/>
      <c r="O122" s="103"/>
      <c r="P122" s="103"/>
      <c r="Q122" s="103"/>
      <c r="R122" s="103"/>
      <c r="S122" s="103"/>
      <c r="T122" s="103"/>
      <c r="U122" s="103"/>
      <c r="V122" s="103"/>
      <c r="W122" s="103"/>
      <c r="X122" s="103"/>
      <c r="Y122" s="103"/>
      <c r="Z122" s="103"/>
      <c r="AA122" s="103"/>
      <c r="AB122" s="103"/>
      <c r="AC122" s="103"/>
      <c r="AD122" s="103"/>
      <c r="AE122" s="103"/>
      <c r="AF122" s="103"/>
      <c r="AG122" s="103"/>
      <c r="AH122" s="103"/>
      <c r="AI122" s="103"/>
      <c r="AJ122" s="103"/>
      <c r="AK122" s="103"/>
      <c r="AL122" s="103"/>
    </row>
    <row r="123" spans="1:38" ht="16.5">
      <c r="A123" s="104"/>
      <c r="B123" s="104"/>
      <c r="C123" s="103"/>
      <c r="E123" s="103"/>
      <c r="F123" s="103"/>
      <c r="G123" s="103"/>
      <c r="H123" s="103"/>
      <c r="I123" s="103"/>
      <c r="J123" s="103"/>
      <c r="K123" s="103"/>
      <c r="L123" s="103"/>
      <c r="M123" s="103"/>
      <c r="N123" s="103"/>
      <c r="O123" s="103"/>
      <c r="P123" s="103"/>
      <c r="Q123" s="103"/>
      <c r="R123" s="103"/>
      <c r="S123" s="103"/>
      <c r="T123" s="103"/>
      <c r="U123" s="103"/>
      <c r="V123" s="103"/>
      <c r="W123" s="103"/>
      <c r="X123" s="103"/>
      <c r="Y123" s="103"/>
      <c r="Z123" s="103"/>
      <c r="AA123" s="103"/>
      <c r="AB123" s="103"/>
      <c r="AC123" s="103"/>
      <c r="AD123" s="103"/>
      <c r="AE123" s="103"/>
      <c r="AF123" s="103"/>
      <c r="AG123" s="103"/>
      <c r="AH123" s="103"/>
      <c r="AI123" s="103"/>
      <c r="AJ123" s="103"/>
      <c r="AK123" s="103"/>
      <c r="AL123" s="103"/>
    </row>
    <row r="124" spans="1:38" ht="16.5">
      <c r="A124" s="104"/>
      <c r="B124" s="104"/>
      <c r="C124" s="103"/>
      <c r="E124" s="103"/>
      <c r="F124" s="103"/>
      <c r="G124" s="103"/>
      <c r="H124" s="103"/>
      <c r="I124" s="103"/>
      <c r="J124" s="103"/>
      <c r="K124" s="103"/>
      <c r="L124" s="103"/>
      <c r="M124" s="103"/>
      <c r="N124" s="103"/>
      <c r="O124" s="103"/>
      <c r="P124" s="103"/>
      <c r="Q124" s="103"/>
      <c r="R124" s="103"/>
      <c r="S124" s="103"/>
      <c r="T124" s="103"/>
      <c r="U124" s="103"/>
      <c r="V124" s="103"/>
      <c r="W124" s="103"/>
      <c r="X124" s="103"/>
      <c r="Y124" s="103"/>
      <c r="Z124" s="103"/>
      <c r="AA124" s="103"/>
      <c r="AB124" s="103"/>
      <c r="AC124" s="103"/>
      <c r="AD124" s="103"/>
      <c r="AE124" s="103"/>
      <c r="AF124" s="103"/>
      <c r="AG124" s="103"/>
      <c r="AH124" s="103"/>
      <c r="AI124" s="103"/>
      <c r="AJ124" s="103"/>
      <c r="AK124" s="103"/>
      <c r="AL124" s="103"/>
    </row>
    <row r="125" spans="1:38" ht="16.5">
      <c r="A125" s="104"/>
      <c r="B125" s="104"/>
      <c r="C125" s="103"/>
      <c r="E125" s="103"/>
      <c r="F125" s="103"/>
      <c r="G125" s="103"/>
      <c r="H125" s="103"/>
      <c r="I125" s="103"/>
      <c r="J125" s="103"/>
      <c r="K125" s="103"/>
      <c r="L125" s="103"/>
      <c r="M125" s="103"/>
      <c r="N125" s="103"/>
      <c r="O125" s="103"/>
      <c r="P125" s="103"/>
      <c r="Q125" s="103"/>
      <c r="R125" s="103"/>
      <c r="S125" s="103"/>
      <c r="T125" s="103"/>
      <c r="U125" s="103"/>
      <c r="V125" s="103"/>
      <c r="W125" s="103"/>
      <c r="X125" s="103"/>
      <c r="Y125" s="103"/>
      <c r="Z125" s="103"/>
      <c r="AA125" s="103"/>
      <c r="AB125" s="103"/>
      <c r="AC125" s="103"/>
      <c r="AD125" s="103"/>
      <c r="AE125" s="103"/>
      <c r="AF125" s="103"/>
      <c r="AG125" s="103"/>
      <c r="AH125" s="103"/>
      <c r="AI125" s="103"/>
      <c r="AJ125" s="103"/>
      <c r="AK125" s="103"/>
      <c r="AL125" s="103"/>
    </row>
    <row r="126" spans="1:38" ht="16.5">
      <c r="A126" s="104"/>
      <c r="B126" s="104"/>
      <c r="C126" s="103"/>
      <c r="E126" s="103"/>
      <c r="F126" s="103"/>
      <c r="G126" s="103"/>
      <c r="H126" s="103"/>
      <c r="I126" s="103"/>
      <c r="J126" s="103"/>
      <c r="K126" s="103"/>
      <c r="L126" s="103"/>
      <c r="M126" s="103"/>
      <c r="N126" s="103"/>
      <c r="O126" s="103"/>
      <c r="P126" s="103"/>
      <c r="Q126" s="103"/>
      <c r="R126" s="103"/>
      <c r="S126" s="103"/>
      <c r="T126" s="103"/>
      <c r="U126" s="103"/>
      <c r="V126" s="103"/>
      <c r="W126" s="103"/>
      <c r="X126" s="103"/>
      <c r="Y126" s="103"/>
      <c r="Z126" s="103"/>
      <c r="AA126" s="103"/>
      <c r="AB126" s="103"/>
      <c r="AC126" s="103"/>
      <c r="AD126" s="103"/>
      <c r="AE126" s="103"/>
      <c r="AF126" s="103"/>
      <c r="AG126" s="103"/>
      <c r="AH126" s="103"/>
      <c r="AI126" s="103"/>
      <c r="AJ126" s="103"/>
      <c r="AK126" s="103"/>
      <c r="AL126" s="103"/>
    </row>
    <row r="127" spans="1:38" ht="16.5">
      <c r="A127" s="104"/>
      <c r="B127" s="104"/>
      <c r="C127" s="103"/>
      <c r="E127" s="103"/>
      <c r="F127" s="103"/>
      <c r="G127" s="103"/>
      <c r="H127" s="103"/>
      <c r="I127" s="103"/>
      <c r="J127" s="103"/>
      <c r="K127" s="103"/>
      <c r="L127" s="103"/>
      <c r="M127" s="103"/>
      <c r="N127" s="103"/>
      <c r="O127" s="103"/>
      <c r="P127" s="103"/>
      <c r="Q127" s="103"/>
      <c r="R127" s="103"/>
      <c r="S127" s="103"/>
      <c r="T127" s="103"/>
      <c r="U127" s="103"/>
      <c r="V127" s="103"/>
      <c r="W127" s="103"/>
      <c r="X127" s="103"/>
      <c r="Y127" s="103"/>
      <c r="Z127" s="103"/>
      <c r="AA127" s="103"/>
      <c r="AB127" s="103"/>
      <c r="AC127" s="103"/>
      <c r="AD127" s="103"/>
      <c r="AE127" s="103"/>
      <c r="AF127" s="103"/>
      <c r="AG127" s="103"/>
      <c r="AH127" s="103"/>
      <c r="AI127" s="103"/>
      <c r="AJ127" s="103"/>
      <c r="AK127" s="103"/>
      <c r="AL127" s="103"/>
    </row>
    <row r="128" spans="1:38" ht="16.5">
      <c r="A128" s="104"/>
      <c r="B128" s="104"/>
      <c r="C128" s="103"/>
      <c r="E128" s="103"/>
      <c r="F128" s="103"/>
      <c r="G128" s="103"/>
      <c r="H128" s="103"/>
      <c r="I128" s="103"/>
      <c r="J128" s="103"/>
      <c r="K128" s="103"/>
      <c r="L128" s="103"/>
      <c r="M128" s="103"/>
      <c r="N128" s="103"/>
      <c r="O128" s="103"/>
      <c r="P128" s="103"/>
      <c r="Q128" s="103"/>
      <c r="R128" s="103"/>
      <c r="S128" s="103"/>
      <c r="T128" s="103"/>
      <c r="U128" s="103"/>
      <c r="V128" s="103"/>
      <c r="W128" s="103"/>
      <c r="X128" s="103"/>
      <c r="Y128" s="103"/>
      <c r="Z128" s="103"/>
      <c r="AA128" s="103"/>
      <c r="AB128" s="103"/>
      <c r="AC128" s="103"/>
      <c r="AD128" s="103"/>
      <c r="AE128" s="103"/>
      <c r="AF128" s="103"/>
      <c r="AG128" s="103"/>
      <c r="AH128" s="103"/>
      <c r="AI128" s="103"/>
      <c r="AJ128" s="103"/>
      <c r="AK128" s="103"/>
      <c r="AL128" s="103"/>
    </row>
    <row r="129" spans="1:38" ht="16.5">
      <c r="A129" s="104"/>
      <c r="B129" s="104"/>
      <c r="C129" s="103"/>
      <c r="E129" s="103"/>
      <c r="F129" s="103"/>
      <c r="G129" s="103"/>
      <c r="H129" s="103"/>
      <c r="I129" s="103"/>
      <c r="J129" s="103"/>
      <c r="K129" s="103"/>
      <c r="L129" s="103"/>
      <c r="M129" s="103"/>
      <c r="N129" s="103"/>
      <c r="O129" s="103"/>
      <c r="P129" s="103"/>
      <c r="Q129" s="103"/>
      <c r="R129" s="103"/>
      <c r="S129" s="103"/>
      <c r="T129" s="103"/>
      <c r="U129" s="103"/>
      <c r="V129" s="103"/>
      <c r="W129" s="103"/>
      <c r="X129" s="103"/>
      <c r="Y129" s="103"/>
      <c r="Z129" s="103"/>
      <c r="AA129" s="103"/>
      <c r="AB129" s="103"/>
      <c r="AC129" s="103"/>
      <c r="AD129" s="103"/>
      <c r="AE129" s="103"/>
      <c r="AF129" s="103"/>
      <c r="AG129" s="103"/>
      <c r="AH129" s="103"/>
      <c r="AI129" s="103"/>
      <c r="AJ129" s="103"/>
      <c r="AK129" s="103"/>
      <c r="AL129" s="103"/>
    </row>
    <row r="130" spans="1:38" ht="16.5">
      <c r="A130" s="104"/>
      <c r="B130" s="104"/>
      <c r="C130" s="103"/>
      <c r="E130" s="103"/>
      <c r="F130" s="103"/>
      <c r="G130" s="103"/>
      <c r="H130" s="103"/>
      <c r="I130" s="103"/>
      <c r="J130" s="103"/>
      <c r="K130" s="103"/>
      <c r="L130" s="103"/>
      <c r="M130" s="103"/>
      <c r="N130" s="103"/>
      <c r="O130" s="103"/>
      <c r="P130" s="103"/>
      <c r="Q130" s="103"/>
      <c r="R130" s="103"/>
      <c r="S130" s="103"/>
      <c r="T130" s="103"/>
      <c r="U130" s="103"/>
      <c r="V130" s="103"/>
      <c r="W130" s="103"/>
      <c r="X130" s="103"/>
      <c r="Y130" s="103"/>
      <c r="Z130" s="103"/>
      <c r="AA130" s="103"/>
      <c r="AB130" s="103"/>
      <c r="AC130" s="103"/>
      <c r="AD130" s="103"/>
      <c r="AE130" s="103"/>
      <c r="AF130" s="103"/>
      <c r="AG130" s="103"/>
      <c r="AH130" s="103"/>
      <c r="AI130" s="103"/>
      <c r="AJ130" s="103"/>
      <c r="AK130" s="103"/>
      <c r="AL130" s="103"/>
    </row>
    <row r="131" spans="1:38" ht="16.5">
      <c r="A131" s="104"/>
      <c r="B131" s="104"/>
      <c r="C131" s="103"/>
      <c r="E131" s="103"/>
      <c r="F131" s="103"/>
      <c r="G131" s="103"/>
      <c r="H131" s="103"/>
      <c r="I131" s="103"/>
      <c r="J131" s="103"/>
      <c r="K131" s="103"/>
      <c r="L131" s="103"/>
      <c r="M131" s="103"/>
      <c r="N131" s="103"/>
      <c r="O131" s="103"/>
      <c r="P131" s="103"/>
      <c r="Q131" s="103"/>
      <c r="R131" s="103"/>
      <c r="S131" s="103"/>
      <c r="T131" s="103"/>
      <c r="U131" s="103"/>
      <c r="V131" s="103"/>
      <c r="W131" s="103"/>
      <c r="X131" s="103"/>
      <c r="Y131" s="103"/>
      <c r="Z131" s="103"/>
      <c r="AA131" s="103"/>
      <c r="AB131" s="103"/>
      <c r="AC131" s="103"/>
      <c r="AD131" s="103"/>
      <c r="AE131" s="103"/>
      <c r="AF131" s="103"/>
      <c r="AG131" s="103"/>
      <c r="AH131" s="103"/>
      <c r="AI131" s="103"/>
      <c r="AJ131" s="103"/>
      <c r="AK131" s="103"/>
      <c r="AL131" s="103"/>
    </row>
    <row r="132" spans="1:38" ht="16.5">
      <c r="A132" s="104"/>
      <c r="B132" s="104"/>
      <c r="C132" s="103"/>
      <c r="E132" s="103"/>
      <c r="F132" s="103"/>
      <c r="G132" s="103"/>
      <c r="H132" s="103"/>
      <c r="I132" s="103"/>
      <c r="J132" s="103"/>
      <c r="K132" s="103"/>
      <c r="L132" s="103"/>
      <c r="M132" s="103"/>
      <c r="N132" s="103"/>
      <c r="O132" s="103"/>
      <c r="P132" s="103"/>
      <c r="Q132" s="103"/>
      <c r="R132" s="103"/>
      <c r="S132" s="103"/>
      <c r="T132" s="103"/>
      <c r="U132" s="103"/>
      <c r="V132" s="103"/>
      <c r="W132" s="103"/>
      <c r="X132" s="103"/>
      <c r="Y132" s="103"/>
      <c r="Z132" s="103"/>
      <c r="AA132" s="103"/>
      <c r="AB132" s="103"/>
      <c r="AC132" s="103"/>
      <c r="AD132" s="103"/>
      <c r="AE132" s="103"/>
      <c r="AF132" s="103"/>
      <c r="AG132" s="103"/>
      <c r="AH132" s="103"/>
      <c r="AI132" s="103"/>
      <c r="AJ132" s="103"/>
      <c r="AK132" s="103"/>
      <c r="AL132" s="103"/>
    </row>
    <row r="133" spans="1:38" ht="16.5">
      <c r="A133" s="104"/>
      <c r="B133" s="104"/>
      <c r="C133" s="103"/>
      <c r="E133" s="103"/>
      <c r="F133" s="103"/>
      <c r="G133" s="103"/>
      <c r="H133" s="103"/>
      <c r="I133" s="103"/>
      <c r="J133" s="103"/>
      <c r="K133" s="103"/>
      <c r="L133" s="103"/>
      <c r="M133" s="103"/>
      <c r="N133" s="103"/>
      <c r="O133" s="103"/>
      <c r="P133" s="103"/>
      <c r="Q133" s="103"/>
      <c r="R133" s="103"/>
      <c r="S133" s="103"/>
      <c r="T133" s="103"/>
      <c r="U133" s="103"/>
      <c r="V133" s="103"/>
      <c r="W133" s="103"/>
      <c r="X133" s="103"/>
      <c r="Y133" s="103"/>
      <c r="Z133" s="103"/>
      <c r="AA133" s="103"/>
      <c r="AB133" s="103"/>
      <c r="AC133" s="103"/>
      <c r="AD133" s="103"/>
      <c r="AE133" s="103"/>
      <c r="AF133" s="103"/>
      <c r="AG133" s="103"/>
      <c r="AH133" s="103"/>
      <c r="AI133" s="103"/>
      <c r="AJ133" s="103"/>
      <c r="AK133" s="103"/>
      <c r="AL133" s="103"/>
    </row>
    <row r="134" spans="1:38" ht="16.5">
      <c r="A134" s="104"/>
      <c r="B134" s="104"/>
      <c r="C134" s="103"/>
      <c r="E134" s="103"/>
      <c r="F134" s="103"/>
      <c r="G134" s="103"/>
      <c r="H134" s="103"/>
      <c r="I134" s="103"/>
      <c r="J134" s="103"/>
      <c r="K134" s="103"/>
      <c r="L134" s="103"/>
      <c r="M134" s="103"/>
      <c r="N134" s="103"/>
      <c r="O134" s="103"/>
      <c r="P134" s="103"/>
      <c r="Q134" s="103"/>
      <c r="R134" s="103"/>
      <c r="S134" s="103"/>
      <c r="T134" s="103"/>
      <c r="U134" s="103"/>
      <c r="V134" s="103"/>
      <c r="W134" s="103"/>
      <c r="X134" s="103"/>
      <c r="Y134" s="103"/>
      <c r="Z134" s="103"/>
      <c r="AA134" s="103"/>
      <c r="AB134" s="103"/>
      <c r="AC134" s="103"/>
      <c r="AD134" s="103"/>
      <c r="AE134" s="103"/>
      <c r="AF134" s="103"/>
      <c r="AG134" s="103"/>
      <c r="AH134" s="103"/>
      <c r="AI134" s="103"/>
      <c r="AJ134" s="103"/>
      <c r="AK134" s="103"/>
      <c r="AL134" s="103"/>
    </row>
    <row r="135" spans="1:38" ht="16.5">
      <c r="A135" s="104"/>
      <c r="B135" s="104"/>
      <c r="C135" s="103"/>
      <c r="E135" s="103"/>
      <c r="F135" s="103"/>
      <c r="G135" s="103"/>
      <c r="H135" s="103"/>
      <c r="I135" s="103"/>
      <c r="J135" s="103"/>
      <c r="K135" s="103"/>
      <c r="L135" s="103"/>
      <c r="M135" s="103"/>
      <c r="N135" s="103"/>
      <c r="O135" s="103"/>
      <c r="P135" s="103"/>
      <c r="Q135" s="103"/>
      <c r="R135" s="103"/>
      <c r="S135" s="103"/>
      <c r="T135" s="103"/>
      <c r="U135" s="103"/>
      <c r="V135" s="103"/>
      <c r="W135" s="103"/>
      <c r="X135" s="103"/>
      <c r="Y135" s="103"/>
      <c r="Z135" s="103"/>
      <c r="AA135" s="103"/>
      <c r="AB135" s="103"/>
      <c r="AC135" s="103"/>
      <c r="AD135" s="103"/>
      <c r="AE135" s="103"/>
      <c r="AF135" s="103"/>
      <c r="AG135" s="103"/>
      <c r="AH135" s="103"/>
      <c r="AI135" s="103"/>
      <c r="AJ135" s="103"/>
      <c r="AK135" s="103"/>
      <c r="AL135" s="103"/>
    </row>
    <row r="136" spans="1:38" ht="16.5">
      <c r="A136" s="104"/>
      <c r="B136" s="104"/>
      <c r="C136" s="103"/>
      <c r="E136" s="103"/>
      <c r="F136" s="103"/>
      <c r="G136" s="103"/>
      <c r="H136" s="103"/>
      <c r="I136" s="103"/>
      <c r="J136" s="103"/>
      <c r="K136" s="103"/>
      <c r="L136" s="103"/>
      <c r="M136" s="103"/>
      <c r="N136" s="103"/>
      <c r="O136" s="103"/>
      <c r="P136" s="103"/>
      <c r="Q136" s="103"/>
      <c r="R136" s="103"/>
      <c r="S136" s="103"/>
      <c r="T136" s="103"/>
      <c r="U136" s="103"/>
      <c r="V136" s="103"/>
      <c r="W136" s="103"/>
      <c r="X136" s="103"/>
      <c r="Y136" s="103"/>
      <c r="Z136" s="103"/>
      <c r="AA136" s="103"/>
      <c r="AB136" s="103"/>
      <c r="AC136" s="103"/>
      <c r="AD136" s="103"/>
      <c r="AE136" s="103"/>
      <c r="AF136" s="103"/>
      <c r="AG136" s="103"/>
      <c r="AH136" s="103"/>
      <c r="AI136" s="103"/>
      <c r="AJ136" s="103"/>
      <c r="AK136" s="103"/>
      <c r="AL136" s="103"/>
    </row>
    <row r="137" spans="1:38" ht="16.5">
      <c r="A137" s="104"/>
      <c r="B137" s="104"/>
      <c r="C137" s="103"/>
      <c r="E137" s="103"/>
      <c r="F137" s="103"/>
      <c r="G137" s="103"/>
      <c r="H137" s="103"/>
      <c r="I137" s="103"/>
      <c r="J137" s="103"/>
      <c r="K137" s="103"/>
      <c r="L137" s="103"/>
      <c r="M137" s="103"/>
      <c r="N137" s="103"/>
      <c r="O137" s="103"/>
      <c r="P137" s="103"/>
      <c r="Q137" s="103"/>
      <c r="R137" s="103"/>
      <c r="S137" s="103"/>
      <c r="T137" s="103"/>
      <c r="U137" s="103"/>
      <c r="V137" s="103"/>
      <c r="W137" s="103"/>
      <c r="X137" s="103"/>
      <c r="Y137" s="103"/>
      <c r="Z137" s="103"/>
      <c r="AA137" s="103"/>
      <c r="AB137" s="103"/>
      <c r="AC137" s="103"/>
      <c r="AD137" s="103"/>
      <c r="AE137" s="103"/>
      <c r="AF137" s="103"/>
      <c r="AG137" s="103"/>
      <c r="AH137" s="103"/>
      <c r="AI137" s="103"/>
      <c r="AJ137" s="103"/>
      <c r="AK137" s="103"/>
      <c r="AL137" s="103"/>
    </row>
    <row r="138" spans="1:38" ht="16.5">
      <c r="A138" s="104"/>
      <c r="B138" s="104"/>
      <c r="C138" s="103"/>
      <c r="E138" s="103"/>
      <c r="F138" s="103"/>
      <c r="G138" s="103"/>
      <c r="H138" s="103"/>
      <c r="I138" s="103"/>
      <c r="J138" s="103"/>
      <c r="K138" s="103"/>
      <c r="L138" s="103"/>
      <c r="M138" s="103"/>
      <c r="N138" s="103"/>
      <c r="O138" s="103"/>
      <c r="P138" s="103"/>
      <c r="Q138" s="103"/>
      <c r="R138" s="103"/>
      <c r="S138" s="103"/>
      <c r="T138" s="103"/>
      <c r="U138" s="103"/>
      <c r="V138" s="103"/>
      <c r="W138" s="103"/>
      <c r="X138" s="103"/>
      <c r="Y138" s="103"/>
      <c r="Z138" s="103"/>
      <c r="AA138" s="103"/>
      <c r="AB138" s="103"/>
      <c r="AC138" s="103"/>
      <c r="AD138" s="103"/>
      <c r="AE138" s="103"/>
      <c r="AF138" s="103"/>
      <c r="AG138" s="103"/>
      <c r="AH138" s="103"/>
      <c r="AI138" s="103"/>
      <c r="AJ138" s="103"/>
      <c r="AK138" s="103"/>
      <c r="AL138" s="103"/>
    </row>
    <row r="139" spans="1:38" ht="16.5">
      <c r="A139" s="104"/>
      <c r="B139" s="104"/>
      <c r="C139" s="103"/>
      <c r="E139" s="103"/>
      <c r="F139" s="103"/>
      <c r="G139" s="103"/>
      <c r="H139" s="103"/>
      <c r="I139" s="103"/>
      <c r="J139" s="103"/>
      <c r="K139" s="103"/>
      <c r="L139" s="103"/>
      <c r="M139" s="103"/>
      <c r="N139" s="103"/>
      <c r="O139" s="103"/>
      <c r="P139" s="103"/>
      <c r="Q139" s="103"/>
      <c r="R139" s="103"/>
      <c r="S139" s="103"/>
      <c r="T139" s="103"/>
      <c r="U139" s="103"/>
      <c r="V139" s="103"/>
      <c r="W139" s="103"/>
      <c r="X139" s="103"/>
      <c r="Y139" s="103"/>
      <c r="Z139" s="103"/>
      <c r="AA139" s="103"/>
      <c r="AB139" s="103"/>
      <c r="AC139" s="103"/>
      <c r="AD139" s="103"/>
      <c r="AE139" s="103"/>
      <c r="AF139" s="103"/>
      <c r="AG139" s="103"/>
      <c r="AH139" s="103"/>
      <c r="AI139" s="103"/>
      <c r="AJ139" s="103"/>
      <c r="AK139" s="103"/>
      <c r="AL139" s="103"/>
    </row>
    <row r="140" spans="1:38" ht="16.5">
      <c r="A140" s="104"/>
      <c r="B140" s="104"/>
      <c r="C140" s="103"/>
      <c r="E140" s="103"/>
      <c r="F140" s="103"/>
      <c r="G140" s="103"/>
      <c r="H140" s="103"/>
      <c r="I140" s="103"/>
      <c r="J140" s="103"/>
      <c r="K140" s="103"/>
      <c r="L140" s="103"/>
      <c r="M140" s="103"/>
      <c r="N140" s="103"/>
      <c r="O140" s="103"/>
      <c r="P140" s="103"/>
      <c r="Q140" s="103"/>
      <c r="R140" s="103"/>
      <c r="S140" s="103"/>
      <c r="T140" s="103"/>
      <c r="U140" s="103"/>
      <c r="V140" s="103"/>
      <c r="W140" s="103"/>
      <c r="X140" s="103"/>
      <c r="Y140" s="103"/>
      <c r="Z140" s="103"/>
      <c r="AA140" s="103"/>
      <c r="AB140" s="103"/>
      <c r="AC140" s="103"/>
      <c r="AD140" s="103"/>
      <c r="AE140" s="103"/>
      <c r="AF140" s="103"/>
      <c r="AG140" s="103"/>
      <c r="AH140" s="103"/>
      <c r="AI140" s="103"/>
      <c r="AJ140" s="103"/>
      <c r="AK140" s="103"/>
      <c r="AL140" s="103"/>
    </row>
    <row r="141" spans="1:38" ht="16.5">
      <c r="A141" s="104"/>
      <c r="B141" s="104"/>
      <c r="C141" s="103"/>
      <c r="E141" s="103"/>
      <c r="F141" s="103"/>
      <c r="G141" s="103"/>
      <c r="H141" s="103"/>
      <c r="I141" s="103"/>
      <c r="J141" s="103"/>
      <c r="K141" s="103"/>
      <c r="L141" s="103"/>
      <c r="M141" s="103"/>
      <c r="N141" s="103"/>
      <c r="O141" s="103"/>
      <c r="P141" s="103"/>
      <c r="Q141" s="103"/>
      <c r="R141" s="103"/>
      <c r="S141" s="103"/>
      <c r="T141" s="103"/>
      <c r="U141" s="103"/>
      <c r="V141" s="103"/>
      <c r="W141" s="103"/>
      <c r="X141" s="103"/>
      <c r="Y141" s="103"/>
      <c r="Z141" s="103"/>
      <c r="AA141" s="103"/>
      <c r="AB141" s="103"/>
      <c r="AC141" s="103"/>
      <c r="AD141" s="103"/>
      <c r="AE141" s="103"/>
      <c r="AF141" s="103"/>
      <c r="AG141" s="103"/>
      <c r="AH141" s="103"/>
      <c r="AI141" s="103"/>
      <c r="AJ141" s="103"/>
      <c r="AK141" s="103"/>
      <c r="AL141" s="103"/>
    </row>
    <row r="142" spans="1:38" ht="16.5">
      <c r="A142" s="104"/>
      <c r="B142" s="104"/>
      <c r="C142" s="103"/>
      <c r="E142" s="103"/>
      <c r="F142" s="103"/>
      <c r="G142" s="103"/>
      <c r="H142" s="103"/>
      <c r="I142" s="103"/>
      <c r="J142" s="103"/>
      <c r="K142" s="103"/>
      <c r="L142" s="103"/>
      <c r="M142" s="103"/>
      <c r="N142" s="103"/>
      <c r="O142" s="103"/>
      <c r="P142" s="103"/>
      <c r="Q142" s="103"/>
      <c r="R142" s="103"/>
      <c r="S142" s="103"/>
      <c r="T142" s="103"/>
      <c r="U142" s="103"/>
      <c r="V142" s="103"/>
      <c r="W142" s="103"/>
      <c r="X142" s="103"/>
      <c r="Y142" s="103"/>
      <c r="Z142" s="103"/>
      <c r="AA142" s="103"/>
      <c r="AB142" s="103"/>
      <c r="AC142" s="103"/>
      <c r="AD142" s="103"/>
      <c r="AE142" s="103"/>
      <c r="AF142" s="103"/>
      <c r="AG142" s="103"/>
      <c r="AH142" s="103"/>
      <c r="AI142" s="103"/>
      <c r="AJ142" s="103"/>
      <c r="AK142" s="103"/>
      <c r="AL142" s="103"/>
    </row>
    <row r="143" spans="1:38" ht="16.5">
      <c r="A143" s="104"/>
      <c r="B143" s="104"/>
      <c r="C143" s="103"/>
      <c r="E143" s="103"/>
      <c r="F143" s="103"/>
      <c r="G143" s="103"/>
      <c r="H143" s="103"/>
      <c r="I143" s="103"/>
      <c r="J143" s="103"/>
      <c r="K143" s="103"/>
      <c r="L143" s="103"/>
      <c r="M143" s="103"/>
      <c r="N143" s="103"/>
      <c r="O143" s="103"/>
      <c r="P143" s="103"/>
      <c r="Q143" s="103"/>
      <c r="R143" s="103"/>
      <c r="S143" s="103"/>
      <c r="T143" s="103"/>
      <c r="U143" s="103"/>
      <c r="V143" s="103"/>
      <c r="W143" s="103"/>
      <c r="X143" s="103"/>
      <c r="Y143" s="103"/>
      <c r="Z143" s="103"/>
      <c r="AA143" s="103"/>
      <c r="AB143" s="103"/>
      <c r="AC143" s="103"/>
      <c r="AD143" s="103"/>
      <c r="AE143" s="103"/>
      <c r="AF143" s="103"/>
      <c r="AG143" s="103"/>
      <c r="AH143" s="103"/>
      <c r="AI143" s="103"/>
      <c r="AJ143" s="103"/>
      <c r="AK143" s="103"/>
      <c r="AL143" s="103"/>
    </row>
    <row r="144" spans="1:38" ht="16.5">
      <c r="A144" s="104"/>
      <c r="B144" s="104"/>
      <c r="C144" s="103"/>
      <c r="E144" s="103"/>
      <c r="F144" s="103"/>
      <c r="G144" s="103"/>
      <c r="H144" s="103"/>
      <c r="I144" s="103"/>
      <c r="J144" s="103"/>
      <c r="K144" s="103"/>
      <c r="L144" s="103"/>
      <c r="M144" s="103"/>
      <c r="N144" s="103"/>
      <c r="O144" s="103"/>
      <c r="P144" s="103"/>
      <c r="Q144" s="103"/>
      <c r="R144" s="103"/>
      <c r="S144" s="103"/>
      <c r="T144" s="103"/>
      <c r="U144" s="103"/>
      <c r="V144" s="103"/>
      <c r="W144" s="103"/>
      <c r="X144" s="103"/>
      <c r="Y144" s="103"/>
      <c r="Z144" s="103"/>
      <c r="AA144" s="103"/>
      <c r="AB144" s="103"/>
      <c r="AC144" s="103"/>
      <c r="AD144" s="103"/>
      <c r="AE144" s="103"/>
      <c r="AF144" s="103"/>
      <c r="AG144" s="103"/>
      <c r="AH144" s="103"/>
      <c r="AI144" s="103"/>
      <c r="AJ144" s="103"/>
      <c r="AK144" s="103"/>
      <c r="AL144" s="103"/>
    </row>
    <row r="145" spans="1:38" ht="16.5">
      <c r="A145" s="104"/>
      <c r="B145" s="104"/>
      <c r="C145" s="103"/>
      <c r="E145" s="103"/>
      <c r="F145" s="103"/>
      <c r="G145" s="103"/>
      <c r="H145" s="103"/>
      <c r="I145" s="103"/>
      <c r="J145" s="103"/>
      <c r="K145" s="103"/>
      <c r="L145" s="103"/>
      <c r="M145" s="103"/>
      <c r="N145" s="103"/>
      <c r="O145" s="103"/>
      <c r="P145" s="103"/>
      <c r="Q145" s="103"/>
      <c r="R145" s="103"/>
      <c r="S145" s="103"/>
      <c r="T145" s="103"/>
      <c r="U145" s="103"/>
      <c r="V145" s="103"/>
      <c r="W145" s="103"/>
      <c r="X145" s="103"/>
      <c r="Y145" s="103"/>
      <c r="Z145" s="103"/>
      <c r="AA145" s="103"/>
      <c r="AB145" s="103"/>
      <c r="AC145" s="103"/>
      <c r="AD145" s="103"/>
      <c r="AE145" s="103"/>
      <c r="AF145" s="103"/>
      <c r="AG145" s="103"/>
      <c r="AH145" s="103"/>
      <c r="AI145" s="103"/>
      <c r="AJ145" s="103"/>
      <c r="AK145" s="103"/>
      <c r="AL145" s="103"/>
    </row>
    <row r="146" spans="1:38" ht="16.5">
      <c r="A146" s="104"/>
      <c r="B146" s="104"/>
      <c r="C146" s="103"/>
      <c r="E146" s="103"/>
      <c r="F146" s="103"/>
      <c r="G146" s="103"/>
      <c r="H146" s="103"/>
      <c r="I146" s="103"/>
      <c r="J146" s="103"/>
      <c r="K146" s="103"/>
      <c r="L146" s="103"/>
      <c r="M146" s="103"/>
      <c r="N146" s="103"/>
      <c r="O146" s="103"/>
      <c r="P146" s="103"/>
      <c r="Q146" s="103"/>
      <c r="R146" s="103"/>
      <c r="S146" s="103"/>
      <c r="T146" s="103"/>
      <c r="U146" s="103"/>
      <c r="V146" s="103"/>
      <c r="W146" s="103"/>
      <c r="X146" s="103"/>
      <c r="Y146" s="103"/>
      <c r="Z146" s="103"/>
      <c r="AA146" s="103"/>
      <c r="AB146" s="103"/>
      <c r="AC146" s="103"/>
      <c r="AD146" s="103"/>
      <c r="AE146" s="103"/>
      <c r="AF146" s="103"/>
      <c r="AG146" s="103"/>
      <c r="AH146" s="103"/>
      <c r="AI146" s="103"/>
      <c r="AJ146" s="103"/>
      <c r="AK146" s="103"/>
      <c r="AL146" s="103"/>
    </row>
    <row r="147" spans="1:38" ht="16.5">
      <c r="A147" s="104"/>
      <c r="B147" s="104"/>
      <c r="C147" s="103"/>
      <c r="E147" s="103"/>
      <c r="F147" s="103"/>
      <c r="G147" s="103"/>
      <c r="H147" s="103"/>
      <c r="I147" s="103"/>
      <c r="J147" s="103"/>
      <c r="K147" s="103"/>
      <c r="L147" s="103"/>
      <c r="M147" s="103"/>
      <c r="N147" s="103"/>
      <c r="O147" s="103"/>
      <c r="P147" s="103"/>
      <c r="Q147" s="103"/>
      <c r="R147" s="103"/>
      <c r="S147" s="103"/>
      <c r="T147" s="103"/>
      <c r="U147" s="103"/>
      <c r="V147" s="103"/>
      <c r="W147" s="103"/>
      <c r="X147" s="103"/>
      <c r="Y147" s="103"/>
      <c r="Z147" s="103"/>
      <c r="AA147" s="103"/>
      <c r="AB147" s="103"/>
      <c r="AC147" s="103"/>
      <c r="AD147" s="103"/>
      <c r="AE147" s="103"/>
      <c r="AF147" s="103"/>
      <c r="AG147" s="103"/>
      <c r="AH147" s="103"/>
      <c r="AI147" s="103"/>
      <c r="AJ147" s="103"/>
      <c r="AK147" s="103"/>
      <c r="AL147" s="103"/>
    </row>
    <row r="148" spans="1:38" ht="16.5">
      <c r="A148" s="104"/>
      <c r="B148" s="104"/>
      <c r="C148" s="103"/>
      <c r="E148" s="103"/>
      <c r="F148" s="103"/>
      <c r="G148" s="103"/>
      <c r="H148" s="103"/>
      <c r="I148" s="103"/>
      <c r="J148" s="103"/>
      <c r="K148" s="103"/>
      <c r="L148" s="103"/>
      <c r="M148" s="103"/>
      <c r="N148" s="103"/>
      <c r="O148" s="103"/>
      <c r="P148" s="103"/>
      <c r="Q148" s="103"/>
      <c r="R148" s="103"/>
      <c r="S148" s="103"/>
      <c r="T148" s="103"/>
      <c r="U148" s="103"/>
      <c r="V148" s="103"/>
      <c r="W148" s="103"/>
      <c r="X148" s="103"/>
      <c r="Y148" s="103"/>
      <c r="Z148" s="103"/>
      <c r="AA148" s="103"/>
      <c r="AB148" s="103"/>
      <c r="AC148" s="103"/>
      <c r="AD148" s="103"/>
      <c r="AE148" s="103"/>
      <c r="AF148" s="103"/>
      <c r="AG148" s="103"/>
      <c r="AH148" s="103"/>
      <c r="AI148" s="103"/>
      <c r="AJ148" s="103"/>
      <c r="AK148" s="103"/>
      <c r="AL148" s="103"/>
    </row>
    <row r="149" spans="1:38" ht="16.5">
      <c r="A149" s="104"/>
      <c r="B149" s="104"/>
      <c r="C149" s="103"/>
      <c r="E149" s="103"/>
      <c r="F149" s="103"/>
      <c r="G149" s="103"/>
      <c r="H149" s="103"/>
      <c r="I149" s="103"/>
      <c r="J149" s="103"/>
      <c r="K149" s="103"/>
      <c r="L149" s="103"/>
      <c r="M149" s="103"/>
      <c r="N149" s="103"/>
      <c r="O149" s="103"/>
      <c r="P149" s="103"/>
      <c r="Q149" s="103"/>
      <c r="R149" s="103"/>
      <c r="S149" s="103"/>
      <c r="T149" s="103"/>
      <c r="U149" s="103"/>
      <c r="V149" s="103"/>
      <c r="W149" s="103"/>
      <c r="X149" s="103"/>
      <c r="Y149" s="103"/>
      <c r="Z149" s="103"/>
      <c r="AA149" s="103"/>
      <c r="AB149" s="103"/>
      <c r="AC149" s="103"/>
      <c r="AD149" s="103"/>
      <c r="AE149" s="103"/>
      <c r="AF149" s="103"/>
      <c r="AG149" s="103"/>
      <c r="AH149" s="103"/>
      <c r="AI149" s="103"/>
      <c r="AJ149" s="103"/>
      <c r="AK149" s="103"/>
      <c r="AL149" s="103"/>
    </row>
    <row r="150" spans="1:38" ht="16.5">
      <c r="A150" s="104"/>
      <c r="B150" s="104"/>
      <c r="C150" s="103"/>
      <c r="E150" s="103"/>
      <c r="F150" s="103"/>
      <c r="G150" s="103"/>
      <c r="H150" s="103"/>
      <c r="I150" s="103"/>
      <c r="J150" s="103"/>
      <c r="K150" s="103"/>
      <c r="L150" s="103"/>
      <c r="M150" s="103"/>
      <c r="N150" s="103"/>
      <c r="O150" s="103"/>
      <c r="P150" s="103"/>
      <c r="Q150" s="103"/>
      <c r="R150" s="103"/>
      <c r="S150" s="103"/>
      <c r="T150" s="103"/>
      <c r="U150" s="103"/>
      <c r="V150" s="103"/>
      <c r="W150" s="103"/>
      <c r="X150" s="103"/>
      <c r="Y150" s="103"/>
      <c r="Z150" s="103"/>
      <c r="AA150" s="103"/>
      <c r="AB150" s="103"/>
      <c r="AC150" s="103"/>
      <c r="AD150" s="103"/>
      <c r="AE150" s="103"/>
      <c r="AF150" s="103"/>
      <c r="AG150" s="103"/>
      <c r="AH150" s="103"/>
      <c r="AI150" s="103"/>
      <c r="AJ150" s="103"/>
      <c r="AK150" s="103"/>
      <c r="AL150" s="103"/>
    </row>
    <row r="151" spans="1:38" ht="16.5">
      <c r="A151" s="104"/>
      <c r="B151" s="104"/>
      <c r="C151" s="103"/>
      <c r="E151" s="103"/>
      <c r="F151" s="103"/>
      <c r="G151" s="103"/>
      <c r="H151" s="103"/>
      <c r="I151" s="103"/>
      <c r="J151" s="103"/>
      <c r="K151" s="103"/>
      <c r="L151" s="103"/>
      <c r="M151" s="103"/>
      <c r="N151" s="103"/>
      <c r="O151" s="103"/>
      <c r="P151" s="103"/>
      <c r="Q151" s="103"/>
      <c r="R151" s="103"/>
      <c r="S151" s="103"/>
      <c r="T151" s="103"/>
      <c r="U151" s="103"/>
      <c r="V151" s="103"/>
      <c r="W151" s="103"/>
      <c r="X151" s="103"/>
      <c r="Y151" s="103"/>
      <c r="Z151" s="103"/>
      <c r="AA151" s="103"/>
      <c r="AB151" s="103"/>
      <c r="AC151" s="103"/>
      <c r="AD151" s="103"/>
      <c r="AE151" s="103"/>
      <c r="AF151" s="103"/>
      <c r="AG151" s="103"/>
      <c r="AH151" s="103"/>
      <c r="AI151" s="103"/>
      <c r="AJ151" s="103"/>
      <c r="AK151" s="103"/>
      <c r="AL151" s="103"/>
    </row>
    <row r="152" spans="1:38" ht="16.5">
      <c r="A152" s="104"/>
      <c r="B152" s="104"/>
      <c r="C152" s="103"/>
      <c r="E152" s="103"/>
      <c r="F152" s="103"/>
      <c r="G152" s="103"/>
      <c r="H152" s="103"/>
      <c r="I152" s="103"/>
      <c r="J152" s="103"/>
      <c r="K152" s="103"/>
      <c r="L152" s="103"/>
      <c r="M152" s="103"/>
      <c r="N152" s="103"/>
      <c r="O152" s="103"/>
      <c r="P152" s="103"/>
      <c r="Q152" s="103"/>
      <c r="R152" s="103"/>
      <c r="S152" s="103"/>
      <c r="T152" s="103"/>
      <c r="U152" s="103"/>
      <c r="V152" s="103"/>
      <c r="W152" s="103"/>
      <c r="X152" s="103"/>
      <c r="Y152" s="103"/>
      <c r="Z152" s="103"/>
      <c r="AA152" s="103"/>
      <c r="AB152" s="103"/>
      <c r="AC152" s="103"/>
      <c r="AD152" s="103"/>
      <c r="AE152" s="103"/>
      <c r="AF152" s="103"/>
      <c r="AG152" s="103"/>
      <c r="AH152" s="103"/>
      <c r="AI152" s="103"/>
      <c r="AJ152" s="103"/>
      <c r="AK152" s="103"/>
      <c r="AL152" s="103"/>
    </row>
    <row r="153" spans="1:38" ht="16.5">
      <c r="A153" s="104"/>
      <c r="B153" s="104"/>
      <c r="C153" s="103"/>
      <c r="E153" s="103"/>
      <c r="F153" s="103"/>
      <c r="G153" s="103"/>
      <c r="H153" s="103"/>
      <c r="I153" s="103"/>
      <c r="J153" s="103"/>
      <c r="K153" s="103"/>
      <c r="L153" s="103"/>
      <c r="M153" s="103"/>
      <c r="N153" s="103"/>
      <c r="O153" s="103"/>
      <c r="P153" s="103"/>
      <c r="Q153" s="103"/>
      <c r="R153" s="103"/>
      <c r="S153" s="103"/>
      <c r="T153" s="103"/>
      <c r="U153" s="103"/>
      <c r="V153" s="103"/>
      <c r="W153" s="103"/>
      <c r="X153" s="103"/>
      <c r="Y153" s="103"/>
      <c r="Z153" s="103"/>
      <c r="AA153" s="103"/>
      <c r="AB153" s="103"/>
      <c r="AC153" s="103"/>
      <c r="AD153" s="103"/>
      <c r="AE153" s="103"/>
      <c r="AF153" s="103"/>
      <c r="AG153" s="103"/>
      <c r="AH153" s="103"/>
      <c r="AI153" s="103"/>
      <c r="AJ153" s="103"/>
      <c r="AK153" s="103"/>
      <c r="AL153" s="103"/>
    </row>
    <row r="154" spans="1:38" ht="16.5">
      <c r="A154" s="104"/>
      <c r="B154" s="104"/>
      <c r="C154" s="103"/>
      <c r="E154" s="103"/>
      <c r="F154" s="103"/>
      <c r="G154" s="103"/>
      <c r="H154" s="103"/>
      <c r="I154" s="103"/>
      <c r="J154" s="103"/>
      <c r="K154" s="103"/>
      <c r="L154" s="103"/>
      <c r="M154" s="103"/>
      <c r="N154" s="103"/>
      <c r="O154" s="103"/>
      <c r="P154" s="103"/>
      <c r="Q154" s="103"/>
      <c r="R154" s="103"/>
      <c r="S154" s="103"/>
      <c r="T154" s="103"/>
      <c r="U154" s="103"/>
      <c r="V154" s="103"/>
      <c r="W154" s="103"/>
      <c r="X154" s="103"/>
      <c r="Y154" s="103"/>
      <c r="Z154" s="103"/>
      <c r="AA154" s="103"/>
      <c r="AB154" s="103"/>
      <c r="AC154" s="103"/>
      <c r="AD154" s="103"/>
      <c r="AE154" s="103"/>
      <c r="AF154" s="103"/>
      <c r="AG154" s="103"/>
      <c r="AH154" s="103"/>
      <c r="AI154" s="103"/>
      <c r="AJ154" s="103"/>
      <c r="AK154" s="103"/>
      <c r="AL154" s="103"/>
    </row>
    <row r="155" spans="1:38" ht="16.5">
      <c r="A155" s="104"/>
      <c r="B155" s="104"/>
      <c r="C155" s="103"/>
      <c r="E155" s="103"/>
      <c r="F155" s="103"/>
      <c r="G155" s="103"/>
      <c r="H155" s="103"/>
      <c r="I155" s="103"/>
      <c r="J155" s="103"/>
      <c r="K155" s="103"/>
      <c r="L155" s="103"/>
      <c r="M155" s="103"/>
      <c r="N155" s="103"/>
      <c r="O155" s="103"/>
      <c r="P155" s="103"/>
      <c r="Q155" s="103"/>
      <c r="R155" s="103"/>
      <c r="S155" s="103"/>
      <c r="T155" s="103"/>
      <c r="U155" s="103"/>
      <c r="V155" s="103"/>
      <c r="W155" s="103"/>
      <c r="X155" s="103"/>
      <c r="Y155" s="103"/>
      <c r="Z155" s="103"/>
      <c r="AA155" s="103"/>
      <c r="AB155" s="103"/>
      <c r="AC155" s="103"/>
      <c r="AD155" s="103"/>
      <c r="AE155" s="103"/>
      <c r="AF155" s="103"/>
      <c r="AG155" s="103"/>
      <c r="AH155" s="103"/>
      <c r="AI155" s="103"/>
      <c r="AJ155" s="103"/>
      <c r="AK155" s="103"/>
      <c r="AL155" s="103"/>
    </row>
    <row r="156" spans="1:38" ht="16.5">
      <c r="A156" s="104"/>
      <c r="B156" s="104"/>
      <c r="C156" s="103"/>
      <c r="E156" s="103"/>
      <c r="F156" s="103"/>
      <c r="G156" s="103"/>
      <c r="H156" s="103"/>
      <c r="I156" s="103"/>
      <c r="J156" s="103"/>
      <c r="K156" s="103"/>
      <c r="L156" s="103"/>
      <c r="M156" s="103"/>
      <c r="N156" s="103"/>
      <c r="O156" s="103"/>
      <c r="P156" s="103"/>
      <c r="Q156" s="103"/>
      <c r="R156" s="103"/>
      <c r="S156" s="103"/>
      <c r="T156" s="103"/>
      <c r="U156" s="103"/>
      <c r="V156" s="103"/>
      <c r="W156" s="103"/>
      <c r="X156" s="103"/>
      <c r="Y156" s="103"/>
      <c r="Z156" s="103"/>
      <c r="AA156" s="103"/>
      <c r="AB156" s="103"/>
      <c r="AC156" s="103"/>
      <c r="AD156" s="103"/>
      <c r="AE156" s="103"/>
      <c r="AF156" s="103"/>
      <c r="AG156" s="103"/>
      <c r="AH156" s="103"/>
      <c r="AI156" s="103"/>
      <c r="AJ156" s="103"/>
      <c r="AK156" s="103"/>
      <c r="AL156" s="103"/>
    </row>
    <row r="157" spans="1:38" ht="16.5">
      <c r="A157" s="104"/>
      <c r="B157" s="104"/>
      <c r="C157" s="103"/>
      <c r="E157" s="103"/>
      <c r="F157" s="103"/>
      <c r="G157" s="103"/>
      <c r="H157" s="103"/>
      <c r="I157" s="103"/>
      <c r="J157" s="103"/>
      <c r="K157" s="103"/>
      <c r="L157" s="103"/>
      <c r="M157" s="103"/>
      <c r="N157" s="103"/>
      <c r="O157" s="103"/>
      <c r="P157" s="103"/>
      <c r="Q157" s="103"/>
      <c r="R157" s="103"/>
      <c r="S157" s="103"/>
      <c r="T157" s="103"/>
      <c r="U157" s="103"/>
      <c r="V157" s="103"/>
      <c r="W157" s="103"/>
      <c r="X157" s="103"/>
      <c r="Y157" s="103"/>
      <c r="Z157" s="103"/>
      <c r="AA157" s="103"/>
      <c r="AB157" s="103"/>
      <c r="AC157" s="103"/>
      <c r="AD157" s="103"/>
      <c r="AE157" s="103"/>
      <c r="AF157" s="103"/>
      <c r="AG157" s="103"/>
      <c r="AH157" s="103"/>
      <c r="AI157" s="103"/>
      <c r="AJ157" s="103"/>
      <c r="AK157" s="103"/>
      <c r="AL157" s="103"/>
    </row>
    <row r="158" spans="1:38" ht="16.5">
      <c r="A158" s="104"/>
      <c r="B158" s="104"/>
      <c r="C158" s="103"/>
      <c r="E158" s="103"/>
      <c r="F158" s="103"/>
      <c r="G158" s="103"/>
      <c r="H158" s="103"/>
      <c r="I158" s="103"/>
      <c r="J158" s="103"/>
      <c r="K158" s="103"/>
      <c r="L158" s="103"/>
      <c r="M158" s="103"/>
      <c r="N158" s="103"/>
      <c r="O158" s="103"/>
      <c r="P158" s="103"/>
      <c r="Q158" s="103"/>
      <c r="R158" s="103"/>
      <c r="S158" s="103"/>
      <c r="T158" s="103"/>
      <c r="U158" s="103"/>
      <c r="V158" s="103"/>
      <c r="W158" s="103"/>
      <c r="X158" s="103"/>
      <c r="Y158" s="103"/>
      <c r="Z158" s="103"/>
      <c r="AA158" s="103"/>
      <c r="AB158" s="103"/>
      <c r="AC158" s="103"/>
      <c r="AD158" s="103"/>
      <c r="AE158" s="103"/>
      <c r="AF158" s="103"/>
      <c r="AG158" s="103"/>
      <c r="AH158" s="103"/>
      <c r="AI158" s="103"/>
      <c r="AJ158" s="103"/>
      <c r="AK158" s="103"/>
      <c r="AL158" s="103"/>
    </row>
    <row r="159" spans="1:38" ht="16.5">
      <c r="A159" s="104"/>
      <c r="B159" s="104"/>
      <c r="C159" s="103"/>
      <c r="E159" s="103"/>
      <c r="F159" s="103"/>
      <c r="G159" s="103"/>
      <c r="H159" s="103"/>
      <c r="I159" s="103"/>
      <c r="J159" s="103"/>
      <c r="K159" s="103"/>
      <c r="L159" s="103"/>
      <c r="M159" s="103"/>
      <c r="N159" s="103"/>
      <c r="O159" s="103"/>
      <c r="P159" s="103"/>
      <c r="Q159" s="103"/>
      <c r="R159" s="103"/>
      <c r="S159" s="103"/>
      <c r="T159" s="103"/>
      <c r="U159" s="103"/>
      <c r="V159" s="103"/>
      <c r="W159" s="103"/>
      <c r="X159" s="103"/>
      <c r="Y159" s="103"/>
      <c r="Z159" s="103"/>
      <c r="AA159" s="103"/>
      <c r="AB159" s="103"/>
      <c r="AC159" s="103"/>
      <c r="AD159" s="103"/>
      <c r="AE159" s="103"/>
      <c r="AF159" s="103"/>
      <c r="AG159" s="103"/>
      <c r="AH159" s="103"/>
      <c r="AI159" s="103"/>
      <c r="AJ159" s="103"/>
      <c r="AK159" s="103"/>
      <c r="AL159" s="103"/>
    </row>
    <row r="160" spans="1:38" ht="16.5">
      <c r="A160" s="104"/>
      <c r="B160" s="104"/>
      <c r="C160" s="103"/>
      <c r="E160" s="103"/>
      <c r="F160" s="103"/>
      <c r="G160" s="103"/>
      <c r="H160" s="103"/>
      <c r="I160" s="103"/>
      <c r="J160" s="103"/>
      <c r="K160" s="103"/>
      <c r="L160" s="103"/>
      <c r="M160" s="103"/>
      <c r="N160" s="103"/>
      <c r="O160" s="103"/>
      <c r="P160" s="103"/>
      <c r="Q160" s="103"/>
      <c r="R160" s="103"/>
      <c r="S160" s="103"/>
      <c r="T160" s="103"/>
      <c r="U160" s="103"/>
      <c r="V160" s="103"/>
      <c r="W160" s="103"/>
      <c r="X160" s="103"/>
      <c r="Y160" s="103"/>
      <c r="Z160" s="103"/>
      <c r="AA160" s="103"/>
      <c r="AB160" s="103"/>
      <c r="AC160" s="103"/>
      <c r="AD160" s="103"/>
      <c r="AE160" s="103"/>
      <c r="AF160" s="103"/>
      <c r="AG160" s="103"/>
      <c r="AH160" s="103"/>
      <c r="AI160" s="103"/>
      <c r="AJ160" s="103"/>
      <c r="AK160" s="103"/>
      <c r="AL160" s="103"/>
    </row>
    <row r="161" spans="1:38" ht="16.5">
      <c r="A161" s="104"/>
      <c r="B161" s="104"/>
      <c r="C161" s="103"/>
      <c r="E161" s="103"/>
      <c r="F161" s="103"/>
      <c r="G161" s="103"/>
      <c r="H161" s="103"/>
      <c r="I161" s="103"/>
      <c r="J161" s="103"/>
      <c r="K161" s="103"/>
      <c r="L161" s="103"/>
      <c r="M161" s="103"/>
      <c r="N161" s="103"/>
      <c r="O161" s="103"/>
      <c r="P161" s="103"/>
      <c r="Q161" s="103"/>
      <c r="R161" s="103"/>
      <c r="S161" s="103"/>
      <c r="T161" s="103"/>
      <c r="U161" s="103"/>
      <c r="V161" s="103"/>
      <c r="W161" s="103"/>
      <c r="X161" s="103"/>
      <c r="Y161" s="103"/>
      <c r="Z161" s="103"/>
      <c r="AA161" s="103"/>
      <c r="AB161" s="103"/>
      <c r="AC161" s="103"/>
      <c r="AD161" s="103"/>
      <c r="AE161" s="103"/>
      <c r="AF161" s="103"/>
      <c r="AG161" s="103"/>
      <c r="AH161" s="103"/>
      <c r="AI161" s="103"/>
      <c r="AJ161" s="103"/>
      <c r="AK161" s="103"/>
      <c r="AL161" s="103"/>
    </row>
    <row r="162" spans="1:38" ht="16.5">
      <c r="A162" s="104"/>
      <c r="B162" s="104"/>
      <c r="C162" s="103"/>
      <c r="E162" s="103"/>
      <c r="F162" s="103"/>
      <c r="G162" s="103"/>
      <c r="H162" s="103"/>
      <c r="I162" s="103"/>
      <c r="J162" s="103"/>
      <c r="K162" s="103"/>
      <c r="L162" s="103"/>
      <c r="M162" s="103"/>
      <c r="N162" s="103"/>
      <c r="O162" s="103"/>
      <c r="P162" s="103"/>
      <c r="Q162" s="103"/>
      <c r="R162" s="103"/>
      <c r="S162" s="103"/>
      <c r="T162" s="103"/>
      <c r="U162" s="103"/>
      <c r="V162" s="103"/>
      <c r="W162" s="103"/>
      <c r="X162" s="103"/>
      <c r="Y162" s="103"/>
      <c r="Z162" s="103"/>
      <c r="AA162" s="103"/>
      <c r="AB162" s="103"/>
      <c r="AC162" s="103"/>
      <c r="AD162" s="103"/>
      <c r="AE162" s="103"/>
      <c r="AF162" s="103"/>
      <c r="AG162" s="103"/>
      <c r="AH162" s="103"/>
      <c r="AI162" s="103"/>
      <c r="AJ162" s="103"/>
      <c r="AK162" s="103"/>
      <c r="AL162" s="103"/>
    </row>
    <row r="163" spans="1:38" ht="16.5">
      <c r="A163" s="104"/>
      <c r="B163" s="104"/>
      <c r="C163" s="103"/>
      <c r="E163" s="103"/>
      <c r="F163" s="103"/>
      <c r="G163" s="103"/>
      <c r="H163" s="103"/>
      <c r="I163" s="103"/>
      <c r="J163" s="103"/>
      <c r="K163" s="103"/>
      <c r="L163" s="103"/>
      <c r="M163" s="103"/>
      <c r="N163" s="103"/>
      <c r="O163" s="103"/>
      <c r="P163" s="103"/>
      <c r="Q163" s="103"/>
      <c r="R163" s="103"/>
      <c r="S163" s="103"/>
      <c r="T163" s="103"/>
      <c r="U163" s="103"/>
      <c r="V163" s="103"/>
      <c r="W163" s="103"/>
      <c r="X163" s="103"/>
      <c r="Y163" s="103"/>
      <c r="Z163" s="103"/>
      <c r="AA163" s="103"/>
      <c r="AB163" s="103"/>
      <c r="AC163" s="103"/>
      <c r="AD163" s="103"/>
      <c r="AE163" s="103"/>
      <c r="AF163" s="103"/>
      <c r="AG163" s="103"/>
      <c r="AH163" s="103"/>
      <c r="AI163" s="103"/>
      <c r="AJ163" s="103"/>
      <c r="AK163" s="103"/>
      <c r="AL163" s="103"/>
    </row>
    <row r="164" spans="1:38" ht="16.5">
      <c r="A164" s="104"/>
      <c r="B164" s="104"/>
      <c r="C164" s="103"/>
      <c r="E164" s="103"/>
      <c r="F164" s="103"/>
      <c r="G164" s="103"/>
      <c r="H164" s="103"/>
      <c r="I164" s="103"/>
      <c r="J164" s="103"/>
      <c r="K164" s="103"/>
      <c r="L164" s="103"/>
      <c r="M164" s="103"/>
      <c r="N164" s="103"/>
      <c r="O164" s="103"/>
      <c r="P164" s="103"/>
      <c r="Q164" s="103"/>
      <c r="R164" s="103"/>
      <c r="S164" s="103"/>
      <c r="T164" s="103"/>
      <c r="U164" s="103"/>
      <c r="V164" s="103"/>
      <c r="W164" s="103"/>
      <c r="X164" s="103"/>
      <c r="Y164" s="103"/>
      <c r="Z164" s="103"/>
      <c r="AA164" s="103"/>
      <c r="AB164" s="103"/>
      <c r="AC164" s="103"/>
      <c r="AD164" s="103"/>
      <c r="AE164" s="103"/>
      <c r="AF164" s="103"/>
      <c r="AG164" s="103"/>
      <c r="AH164" s="103"/>
      <c r="AI164" s="103"/>
      <c r="AJ164" s="103"/>
      <c r="AK164" s="103"/>
      <c r="AL164" s="103"/>
    </row>
    <row r="165" spans="1:38" ht="16.5">
      <c r="A165" s="104"/>
      <c r="B165" s="104"/>
      <c r="C165" s="103"/>
      <c r="E165" s="103"/>
      <c r="F165" s="103"/>
      <c r="G165" s="103"/>
      <c r="H165" s="103"/>
      <c r="I165" s="103"/>
      <c r="J165" s="103"/>
      <c r="K165" s="103"/>
      <c r="L165" s="103"/>
      <c r="M165" s="103"/>
      <c r="N165" s="103"/>
      <c r="O165" s="103"/>
      <c r="P165" s="103"/>
      <c r="Q165" s="103"/>
      <c r="R165" s="103"/>
      <c r="S165" s="103"/>
      <c r="T165" s="103"/>
      <c r="U165" s="103"/>
      <c r="V165" s="103"/>
      <c r="W165" s="103"/>
      <c r="X165" s="103"/>
      <c r="Y165" s="103"/>
      <c r="Z165" s="103"/>
      <c r="AA165" s="103"/>
      <c r="AB165" s="103"/>
      <c r="AC165" s="103"/>
      <c r="AD165" s="103"/>
      <c r="AE165" s="103"/>
      <c r="AF165" s="103"/>
      <c r="AG165" s="103"/>
      <c r="AH165" s="103"/>
      <c r="AI165" s="103"/>
      <c r="AJ165" s="103"/>
      <c r="AK165" s="103"/>
      <c r="AL165" s="103"/>
    </row>
    <row r="166" spans="1:38" ht="16.5">
      <c r="A166" s="104"/>
      <c r="B166" s="104"/>
      <c r="C166" s="103"/>
      <c r="E166" s="103"/>
      <c r="F166" s="103"/>
      <c r="G166" s="103"/>
      <c r="H166" s="103"/>
      <c r="I166" s="103"/>
      <c r="J166" s="103"/>
      <c r="K166" s="103"/>
      <c r="L166" s="103"/>
      <c r="M166" s="103"/>
      <c r="N166" s="103"/>
      <c r="O166" s="103"/>
      <c r="P166" s="103"/>
      <c r="Q166" s="103"/>
      <c r="R166" s="103"/>
      <c r="S166" s="103"/>
      <c r="T166" s="103"/>
      <c r="U166" s="103"/>
      <c r="V166" s="103"/>
      <c r="W166" s="103"/>
      <c r="X166" s="103"/>
      <c r="Y166" s="103"/>
      <c r="Z166" s="103"/>
      <c r="AA166" s="103"/>
      <c r="AB166" s="103"/>
      <c r="AC166" s="103"/>
      <c r="AD166" s="103"/>
      <c r="AE166" s="103"/>
      <c r="AF166" s="103"/>
      <c r="AG166" s="103"/>
      <c r="AH166" s="103"/>
      <c r="AI166" s="103"/>
      <c r="AJ166" s="103"/>
      <c r="AK166" s="103"/>
      <c r="AL166" s="103"/>
    </row>
    <row r="167" spans="1:38" ht="16.5">
      <c r="A167" s="104"/>
      <c r="B167" s="104"/>
      <c r="C167" s="103"/>
      <c r="E167" s="103"/>
      <c r="F167" s="103"/>
      <c r="G167" s="103"/>
      <c r="H167" s="103"/>
      <c r="I167" s="103"/>
      <c r="J167" s="103"/>
      <c r="K167" s="103"/>
      <c r="L167" s="103"/>
      <c r="M167" s="103"/>
      <c r="N167" s="103"/>
      <c r="O167" s="103"/>
      <c r="P167" s="103"/>
      <c r="Q167" s="103"/>
      <c r="R167" s="103"/>
      <c r="S167" s="103"/>
      <c r="T167" s="103"/>
      <c r="U167" s="103"/>
      <c r="V167" s="103"/>
      <c r="W167" s="103"/>
      <c r="X167" s="103"/>
      <c r="Y167" s="103"/>
      <c r="Z167" s="103"/>
      <c r="AA167" s="103"/>
      <c r="AB167" s="103"/>
      <c r="AC167" s="103"/>
      <c r="AD167" s="103"/>
      <c r="AE167" s="103"/>
      <c r="AF167" s="103"/>
      <c r="AG167" s="103"/>
      <c r="AH167" s="103"/>
      <c r="AI167" s="103"/>
      <c r="AJ167" s="103"/>
      <c r="AK167" s="103"/>
      <c r="AL167" s="103"/>
    </row>
    <row r="168" spans="1:38" ht="16.5">
      <c r="A168" s="104"/>
      <c r="B168" s="104"/>
      <c r="C168" s="103"/>
      <c r="E168" s="103"/>
      <c r="F168" s="103"/>
      <c r="G168" s="103"/>
      <c r="H168" s="103"/>
      <c r="I168" s="103"/>
      <c r="J168" s="103"/>
      <c r="K168" s="103"/>
      <c r="L168" s="103"/>
      <c r="M168" s="103"/>
      <c r="N168" s="103"/>
      <c r="O168" s="103"/>
      <c r="P168" s="103"/>
      <c r="Q168" s="103"/>
      <c r="R168" s="103"/>
      <c r="S168" s="103"/>
      <c r="T168" s="103"/>
      <c r="U168" s="103"/>
      <c r="V168" s="103"/>
      <c r="W168" s="103"/>
      <c r="X168" s="103"/>
      <c r="Y168" s="103"/>
      <c r="Z168" s="103"/>
      <c r="AA168" s="103"/>
      <c r="AB168" s="103"/>
      <c r="AC168" s="103"/>
      <c r="AD168" s="103"/>
      <c r="AE168" s="103"/>
      <c r="AF168" s="103"/>
      <c r="AG168" s="103"/>
      <c r="AH168" s="103"/>
      <c r="AI168" s="103"/>
      <c r="AJ168" s="103"/>
      <c r="AK168" s="103"/>
      <c r="AL168" s="103"/>
    </row>
    <row r="169" spans="1:38" ht="16.5">
      <c r="A169" s="104"/>
      <c r="B169" s="104"/>
      <c r="C169" s="103"/>
      <c r="E169" s="103"/>
      <c r="F169" s="103"/>
      <c r="G169" s="103"/>
      <c r="H169" s="103"/>
      <c r="I169" s="103"/>
      <c r="J169" s="103"/>
      <c r="K169" s="103"/>
      <c r="L169" s="103"/>
      <c r="M169" s="103"/>
      <c r="N169" s="103"/>
      <c r="O169" s="103"/>
      <c r="P169" s="103"/>
      <c r="Q169" s="103"/>
      <c r="R169" s="103"/>
      <c r="S169" s="103"/>
      <c r="T169" s="103"/>
      <c r="U169" s="103"/>
      <c r="V169" s="103"/>
      <c r="W169" s="103"/>
      <c r="X169" s="103"/>
      <c r="Y169" s="103"/>
      <c r="Z169" s="103"/>
      <c r="AA169" s="103"/>
      <c r="AB169" s="103"/>
      <c r="AC169" s="103"/>
      <c r="AD169" s="103"/>
      <c r="AE169" s="103"/>
      <c r="AF169" s="103"/>
      <c r="AG169" s="103"/>
      <c r="AH169" s="103"/>
      <c r="AI169" s="103"/>
      <c r="AJ169" s="103"/>
      <c r="AK169" s="103"/>
      <c r="AL169" s="103"/>
    </row>
    <row r="170" spans="1:38" ht="16.5">
      <c r="A170" s="104"/>
      <c r="B170" s="104"/>
      <c r="C170" s="103"/>
      <c r="E170" s="103"/>
      <c r="F170" s="103"/>
      <c r="G170" s="103"/>
      <c r="H170" s="103"/>
      <c r="I170" s="103"/>
      <c r="J170" s="103"/>
      <c r="K170" s="103"/>
      <c r="L170" s="103"/>
      <c r="M170" s="103"/>
      <c r="N170" s="103"/>
      <c r="O170" s="103"/>
      <c r="P170" s="103"/>
      <c r="Q170" s="103"/>
      <c r="R170" s="103"/>
      <c r="S170" s="103"/>
      <c r="T170" s="103"/>
      <c r="U170" s="103"/>
      <c r="V170" s="103"/>
      <c r="W170" s="103"/>
      <c r="X170" s="103"/>
      <c r="Y170" s="103"/>
      <c r="Z170" s="103"/>
      <c r="AA170" s="103"/>
      <c r="AB170" s="103"/>
      <c r="AC170" s="103"/>
      <c r="AD170" s="103"/>
      <c r="AE170" s="103"/>
      <c r="AF170" s="103"/>
      <c r="AG170" s="103"/>
      <c r="AH170" s="103"/>
      <c r="AI170" s="103"/>
      <c r="AJ170" s="103"/>
      <c r="AK170" s="103"/>
      <c r="AL170" s="103"/>
    </row>
    <row r="171" spans="1:38" ht="16.5">
      <c r="A171" s="104"/>
      <c r="B171" s="104"/>
      <c r="C171" s="103"/>
      <c r="E171" s="103"/>
      <c r="F171" s="103"/>
      <c r="G171" s="103"/>
      <c r="H171" s="103"/>
      <c r="I171" s="103"/>
      <c r="J171" s="103"/>
      <c r="K171" s="103"/>
      <c r="L171" s="103"/>
      <c r="M171" s="103"/>
      <c r="N171" s="103"/>
      <c r="O171" s="103"/>
      <c r="P171" s="103"/>
      <c r="Q171" s="103"/>
      <c r="R171" s="103"/>
      <c r="S171" s="103"/>
      <c r="T171" s="103"/>
      <c r="U171" s="103"/>
      <c r="V171" s="103"/>
      <c r="W171" s="103"/>
      <c r="X171" s="103"/>
      <c r="Y171" s="103"/>
      <c r="Z171" s="103"/>
      <c r="AA171" s="103"/>
      <c r="AB171" s="103"/>
      <c r="AC171" s="103"/>
      <c r="AD171" s="103"/>
      <c r="AE171" s="103"/>
      <c r="AF171" s="103"/>
      <c r="AG171" s="103"/>
      <c r="AH171" s="103"/>
      <c r="AI171" s="103"/>
      <c r="AJ171" s="103"/>
      <c r="AK171" s="103"/>
      <c r="AL171" s="103"/>
    </row>
    <row r="172" spans="1:38" ht="16.5">
      <c r="A172" s="104"/>
      <c r="B172" s="104"/>
      <c r="C172" s="103"/>
      <c r="E172" s="103"/>
      <c r="F172" s="103"/>
      <c r="G172" s="103"/>
      <c r="H172" s="103"/>
      <c r="I172" s="103"/>
      <c r="J172" s="103"/>
      <c r="K172" s="103"/>
      <c r="L172" s="103"/>
      <c r="M172" s="103"/>
      <c r="N172" s="103"/>
      <c r="O172" s="103"/>
      <c r="P172" s="103"/>
      <c r="Q172" s="103"/>
      <c r="R172" s="103"/>
      <c r="S172" s="103"/>
      <c r="T172" s="103"/>
      <c r="U172" s="103"/>
      <c r="V172" s="103"/>
      <c r="W172" s="103"/>
      <c r="X172" s="103"/>
      <c r="Y172" s="103"/>
      <c r="Z172" s="103"/>
      <c r="AA172" s="103"/>
      <c r="AB172" s="103"/>
      <c r="AC172" s="103"/>
      <c r="AD172" s="103"/>
      <c r="AE172" s="103"/>
      <c r="AF172" s="103"/>
      <c r="AG172" s="103"/>
      <c r="AH172" s="103"/>
      <c r="AI172" s="103"/>
      <c r="AJ172" s="103"/>
      <c r="AK172" s="103"/>
      <c r="AL172" s="103"/>
    </row>
    <row r="173" spans="1:38" ht="16.5">
      <c r="A173" s="104"/>
      <c r="B173" s="104"/>
      <c r="C173" s="103"/>
      <c r="E173" s="103"/>
      <c r="F173" s="103"/>
      <c r="G173" s="103"/>
      <c r="H173" s="103"/>
      <c r="I173" s="103"/>
      <c r="J173" s="103"/>
      <c r="K173" s="103"/>
      <c r="L173" s="103"/>
      <c r="M173" s="103"/>
      <c r="N173" s="103"/>
      <c r="O173" s="103"/>
      <c r="P173" s="103"/>
      <c r="Q173" s="103"/>
      <c r="R173" s="103"/>
      <c r="S173" s="103"/>
      <c r="T173" s="103"/>
      <c r="U173" s="103"/>
      <c r="V173" s="103"/>
      <c r="W173" s="103"/>
      <c r="X173" s="103"/>
      <c r="Y173" s="103"/>
      <c r="Z173" s="103"/>
      <c r="AA173" s="103"/>
      <c r="AB173" s="103"/>
      <c r="AC173" s="103"/>
      <c r="AD173" s="103"/>
      <c r="AE173" s="103"/>
      <c r="AF173" s="103"/>
      <c r="AG173" s="103"/>
      <c r="AH173" s="103"/>
      <c r="AI173" s="103"/>
      <c r="AJ173" s="103"/>
      <c r="AK173" s="103"/>
      <c r="AL173" s="103"/>
    </row>
    <row r="174" spans="1:38" ht="16.5">
      <c r="A174" s="104"/>
      <c r="B174" s="104"/>
      <c r="C174" s="103"/>
      <c r="E174" s="103"/>
      <c r="F174" s="103"/>
      <c r="G174" s="103"/>
      <c r="H174" s="103"/>
      <c r="I174" s="103"/>
      <c r="J174" s="103"/>
      <c r="K174" s="103"/>
      <c r="L174" s="103"/>
      <c r="M174" s="103"/>
      <c r="N174" s="103"/>
      <c r="O174" s="103"/>
      <c r="P174" s="103"/>
      <c r="Q174" s="103"/>
      <c r="R174" s="103"/>
      <c r="S174" s="103"/>
      <c r="T174" s="103"/>
      <c r="U174" s="103"/>
      <c r="V174" s="103"/>
      <c r="W174" s="103"/>
      <c r="X174" s="103"/>
      <c r="Y174" s="103"/>
      <c r="Z174" s="103"/>
      <c r="AA174" s="103"/>
      <c r="AB174" s="103"/>
      <c r="AC174" s="103"/>
      <c r="AD174" s="103"/>
      <c r="AE174" s="103"/>
      <c r="AF174" s="103"/>
      <c r="AG174" s="103"/>
      <c r="AH174" s="103"/>
      <c r="AI174" s="103"/>
      <c r="AJ174" s="103"/>
      <c r="AK174" s="103"/>
      <c r="AL174" s="103"/>
    </row>
    <row r="175" spans="1:38" ht="16.5">
      <c r="A175" s="104"/>
      <c r="B175" s="104"/>
      <c r="C175" s="103"/>
      <c r="E175" s="103"/>
      <c r="F175" s="103"/>
      <c r="G175" s="103"/>
      <c r="H175" s="103"/>
      <c r="I175" s="103"/>
      <c r="J175" s="103"/>
      <c r="K175" s="103"/>
      <c r="L175" s="103"/>
      <c r="M175" s="103"/>
      <c r="N175" s="103"/>
      <c r="O175" s="103"/>
      <c r="P175" s="103"/>
      <c r="Q175" s="103"/>
      <c r="R175" s="103"/>
      <c r="S175" s="103"/>
      <c r="T175" s="103"/>
      <c r="U175" s="103"/>
      <c r="V175" s="103"/>
      <c r="W175" s="103"/>
      <c r="X175" s="103"/>
      <c r="Y175" s="103"/>
      <c r="Z175" s="103"/>
      <c r="AA175" s="103"/>
      <c r="AB175" s="103"/>
      <c r="AC175" s="103"/>
      <c r="AD175" s="103"/>
      <c r="AE175" s="103"/>
      <c r="AF175" s="103"/>
      <c r="AG175" s="103"/>
      <c r="AH175" s="103"/>
      <c r="AI175" s="103"/>
      <c r="AJ175" s="103"/>
      <c r="AK175" s="103"/>
      <c r="AL175" s="103"/>
    </row>
    <row r="176" spans="1:38" ht="16.5">
      <c r="A176" s="104"/>
      <c r="B176" s="104"/>
      <c r="C176" s="103"/>
      <c r="E176" s="103"/>
      <c r="F176" s="103"/>
      <c r="G176" s="103"/>
      <c r="H176" s="103"/>
      <c r="I176" s="103"/>
      <c r="J176" s="103"/>
      <c r="K176" s="103"/>
      <c r="L176" s="103"/>
      <c r="M176" s="103"/>
      <c r="N176" s="103"/>
      <c r="O176" s="103"/>
      <c r="P176" s="103"/>
      <c r="Q176" s="103"/>
      <c r="R176" s="103"/>
      <c r="S176" s="103"/>
      <c r="T176" s="103"/>
      <c r="U176" s="103"/>
      <c r="V176" s="103"/>
      <c r="W176" s="103"/>
      <c r="X176" s="103"/>
      <c r="Y176" s="103"/>
      <c r="Z176" s="103"/>
      <c r="AA176" s="103"/>
      <c r="AB176" s="103"/>
      <c r="AC176" s="103"/>
      <c r="AD176" s="103"/>
      <c r="AE176" s="103"/>
      <c r="AF176" s="103"/>
      <c r="AG176" s="103"/>
      <c r="AH176" s="103"/>
      <c r="AI176" s="103"/>
      <c r="AJ176" s="103"/>
      <c r="AK176" s="103"/>
      <c r="AL176" s="103"/>
    </row>
    <row r="177" spans="1:38" ht="16.5">
      <c r="A177" s="104"/>
      <c r="B177" s="104"/>
      <c r="C177" s="103"/>
      <c r="E177" s="103"/>
      <c r="F177" s="103"/>
      <c r="G177" s="103"/>
      <c r="H177" s="103"/>
      <c r="I177" s="103"/>
      <c r="J177" s="103"/>
      <c r="K177" s="103"/>
      <c r="L177" s="103"/>
      <c r="M177" s="103"/>
      <c r="N177" s="103"/>
      <c r="O177" s="103"/>
      <c r="P177" s="103"/>
      <c r="Q177" s="103"/>
      <c r="R177" s="103"/>
      <c r="S177" s="103"/>
      <c r="T177" s="103"/>
      <c r="U177" s="103"/>
      <c r="V177" s="103"/>
      <c r="W177" s="103"/>
      <c r="X177" s="103"/>
      <c r="Y177" s="103"/>
      <c r="Z177" s="103"/>
      <c r="AA177" s="103"/>
      <c r="AB177" s="103"/>
      <c r="AC177" s="103"/>
      <c r="AD177" s="103"/>
      <c r="AE177" s="103"/>
      <c r="AF177" s="103"/>
      <c r="AG177" s="103"/>
      <c r="AH177" s="103"/>
      <c r="AI177" s="103"/>
      <c r="AJ177" s="103"/>
      <c r="AK177" s="103"/>
      <c r="AL177" s="103"/>
    </row>
    <row r="178" spans="1:38" ht="16.5">
      <c r="A178" s="104"/>
      <c r="B178" s="104"/>
      <c r="C178" s="103"/>
      <c r="E178" s="103"/>
      <c r="F178" s="103"/>
      <c r="G178" s="103"/>
      <c r="H178" s="103"/>
      <c r="I178" s="103"/>
      <c r="J178" s="103"/>
      <c r="K178" s="103"/>
      <c r="L178" s="103"/>
      <c r="M178" s="103"/>
      <c r="N178" s="103"/>
      <c r="O178" s="103"/>
      <c r="P178" s="103"/>
      <c r="Q178" s="103"/>
      <c r="R178" s="103"/>
      <c r="S178" s="103"/>
      <c r="T178" s="103"/>
      <c r="U178" s="103"/>
      <c r="V178" s="103"/>
      <c r="W178" s="103"/>
      <c r="X178" s="103"/>
      <c r="Y178" s="103"/>
      <c r="Z178" s="103"/>
      <c r="AA178" s="103"/>
      <c r="AB178" s="103"/>
      <c r="AC178" s="103"/>
      <c r="AD178" s="103"/>
      <c r="AE178" s="103"/>
      <c r="AF178" s="103"/>
      <c r="AG178" s="103"/>
      <c r="AH178" s="103"/>
      <c r="AI178" s="103"/>
      <c r="AJ178" s="103"/>
      <c r="AK178" s="103"/>
      <c r="AL178" s="103"/>
    </row>
    <row r="179" spans="1:38" ht="16.5">
      <c r="A179" s="104"/>
      <c r="B179" s="104"/>
      <c r="C179" s="103"/>
      <c r="E179" s="103"/>
      <c r="F179" s="103"/>
      <c r="G179" s="103"/>
      <c r="H179" s="103"/>
      <c r="I179" s="103"/>
      <c r="J179" s="103"/>
      <c r="K179" s="103"/>
      <c r="L179" s="103"/>
      <c r="M179" s="103"/>
      <c r="N179" s="103"/>
      <c r="O179" s="103"/>
      <c r="P179" s="103"/>
      <c r="Q179" s="103"/>
      <c r="R179" s="103"/>
      <c r="S179" s="103"/>
      <c r="T179" s="103"/>
      <c r="U179" s="103"/>
      <c r="V179" s="103"/>
      <c r="W179" s="103"/>
      <c r="X179" s="103"/>
      <c r="Y179" s="103"/>
      <c r="Z179" s="103"/>
      <c r="AA179" s="103"/>
      <c r="AB179" s="103"/>
      <c r="AC179" s="103"/>
      <c r="AD179" s="103"/>
      <c r="AE179" s="103"/>
      <c r="AF179" s="103"/>
      <c r="AG179" s="103"/>
      <c r="AH179" s="103"/>
      <c r="AI179" s="103"/>
      <c r="AJ179" s="103"/>
      <c r="AK179" s="103"/>
      <c r="AL179" s="103"/>
    </row>
    <row r="180" spans="1:38" ht="16.5">
      <c r="A180" s="104"/>
      <c r="B180" s="104"/>
      <c r="C180" s="103"/>
      <c r="E180" s="103"/>
      <c r="F180" s="103"/>
      <c r="G180" s="103"/>
      <c r="H180" s="103"/>
      <c r="I180" s="103"/>
      <c r="J180" s="103"/>
      <c r="K180" s="103"/>
      <c r="L180" s="103"/>
      <c r="M180" s="103"/>
      <c r="N180" s="103"/>
      <c r="O180" s="103"/>
      <c r="P180" s="103"/>
      <c r="Q180" s="103"/>
      <c r="R180" s="103"/>
      <c r="S180" s="103"/>
      <c r="T180" s="103"/>
      <c r="U180" s="103"/>
      <c r="V180" s="103"/>
      <c r="W180" s="103"/>
      <c r="X180" s="103"/>
      <c r="Y180" s="103"/>
      <c r="Z180" s="103"/>
      <c r="AA180" s="103"/>
      <c r="AB180" s="103"/>
      <c r="AC180" s="103"/>
      <c r="AD180" s="103"/>
      <c r="AE180" s="103"/>
      <c r="AF180" s="103"/>
      <c r="AG180" s="103"/>
      <c r="AH180" s="103"/>
      <c r="AI180" s="103"/>
      <c r="AJ180" s="103"/>
      <c r="AK180" s="103"/>
      <c r="AL180" s="103"/>
    </row>
    <row r="181" spans="1:38" ht="16.5">
      <c r="A181" s="104"/>
      <c r="B181" s="104"/>
      <c r="C181" s="103"/>
      <c r="E181" s="103"/>
      <c r="F181" s="103"/>
      <c r="G181" s="103"/>
      <c r="H181" s="103"/>
      <c r="I181" s="103"/>
      <c r="J181" s="103"/>
      <c r="K181" s="103"/>
      <c r="L181" s="103"/>
      <c r="M181" s="103"/>
      <c r="N181" s="103"/>
      <c r="O181" s="103"/>
      <c r="P181" s="103"/>
      <c r="Q181" s="103"/>
      <c r="R181" s="103"/>
      <c r="S181" s="103"/>
      <c r="T181" s="103"/>
      <c r="U181" s="103"/>
      <c r="V181" s="103"/>
      <c r="W181" s="103"/>
      <c r="X181" s="103"/>
      <c r="Y181" s="103"/>
      <c r="Z181" s="103"/>
      <c r="AA181" s="103"/>
      <c r="AB181" s="103"/>
      <c r="AC181" s="103"/>
      <c r="AD181" s="103"/>
      <c r="AE181" s="103"/>
      <c r="AF181" s="103"/>
      <c r="AG181" s="103"/>
      <c r="AH181" s="103"/>
      <c r="AI181" s="103"/>
      <c r="AJ181" s="103"/>
      <c r="AK181" s="103"/>
      <c r="AL181" s="103"/>
    </row>
    <row r="182" spans="1:38" ht="16.5">
      <c r="A182" s="104"/>
      <c r="B182" s="104"/>
      <c r="C182" s="103"/>
      <c r="E182" s="103"/>
      <c r="F182" s="103"/>
      <c r="G182" s="103"/>
      <c r="H182" s="103"/>
      <c r="I182" s="103"/>
      <c r="J182" s="103"/>
      <c r="K182" s="103"/>
      <c r="L182" s="103"/>
      <c r="M182" s="103"/>
      <c r="N182" s="103"/>
      <c r="O182" s="103"/>
      <c r="P182" s="103"/>
      <c r="Q182" s="103"/>
      <c r="R182" s="103"/>
      <c r="S182" s="103"/>
      <c r="T182" s="103"/>
      <c r="U182" s="103"/>
      <c r="V182" s="103"/>
      <c r="W182" s="103"/>
      <c r="X182" s="103"/>
      <c r="Y182" s="103"/>
      <c r="Z182" s="103"/>
      <c r="AA182" s="103"/>
      <c r="AB182" s="103"/>
      <c r="AC182" s="103"/>
      <c r="AD182" s="103"/>
      <c r="AE182" s="103"/>
      <c r="AF182" s="103"/>
      <c r="AG182" s="103"/>
      <c r="AH182" s="103"/>
      <c r="AI182" s="103"/>
      <c r="AJ182" s="103"/>
      <c r="AK182" s="103"/>
      <c r="AL182" s="103"/>
    </row>
    <row r="183" spans="1:38" ht="16.5">
      <c r="A183" s="104"/>
      <c r="B183" s="104"/>
      <c r="C183" s="103"/>
      <c r="E183" s="103"/>
      <c r="F183" s="103"/>
      <c r="G183" s="103"/>
      <c r="H183" s="103"/>
      <c r="I183" s="103"/>
      <c r="J183" s="103"/>
      <c r="K183" s="103"/>
      <c r="L183" s="103"/>
      <c r="M183" s="103"/>
      <c r="N183" s="103"/>
      <c r="O183" s="103"/>
      <c r="P183" s="103"/>
      <c r="Q183" s="103"/>
      <c r="R183" s="103"/>
      <c r="S183" s="103"/>
      <c r="T183" s="103"/>
      <c r="U183" s="103"/>
      <c r="V183" s="103"/>
      <c r="W183" s="103"/>
      <c r="X183" s="103"/>
      <c r="Y183" s="103"/>
      <c r="Z183" s="103"/>
      <c r="AA183" s="103"/>
      <c r="AB183" s="103"/>
      <c r="AC183" s="103"/>
      <c r="AD183" s="103"/>
      <c r="AE183" s="103"/>
      <c r="AF183" s="103"/>
      <c r="AG183" s="103"/>
      <c r="AH183" s="103"/>
      <c r="AI183" s="103"/>
      <c r="AJ183" s="103"/>
      <c r="AK183" s="103"/>
      <c r="AL183" s="103"/>
    </row>
    <row r="184" spans="1:38" ht="16.5">
      <c r="A184" s="104"/>
      <c r="B184" s="104"/>
      <c r="C184" s="103"/>
      <c r="E184" s="103"/>
      <c r="F184" s="103"/>
      <c r="G184" s="103"/>
      <c r="H184" s="103"/>
      <c r="I184" s="103"/>
      <c r="J184" s="103"/>
      <c r="K184" s="103"/>
      <c r="L184" s="103"/>
      <c r="M184" s="103"/>
      <c r="N184" s="103"/>
      <c r="O184" s="103"/>
      <c r="P184" s="103"/>
      <c r="Q184" s="103"/>
      <c r="R184" s="103"/>
      <c r="S184" s="103"/>
      <c r="T184" s="103"/>
      <c r="U184" s="103"/>
      <c r="V184" s="103"/>
      <c r="W184" s="103"/>
      <c r="X184" s="103"/>
      <c r="Y184" s="103"/>
      <c r="Z184" s="103"/>
      <c r="AA184" s="103"/>
      <c r="AB184" s="103"/>
      <c r="AC184" s="103"/>
      <c r="AD184" s="103"/>
      <c r="AE184" s="103"/>
      <c r="AF184" s="103"/>
      <c r="AG184" s="103"/>
      <c r="AH184" s="103"/>
      <c r="AI184" s="103"/>
      <c r="AJ184" s="103"/>
      <c r="AK184" s="103"/>
      <c r="AL184" s="103"/>
    </row>
    <row r="185" spans="1:38" ht="16.5">
      <c r="A185" s="104"/>
      <c r="B185" s="104"/>
      <c r="C185" s="103"/>
      <c r="E185" s="103"/>
      <c r="F185" s="103"/>
      <c r="G185" s="103"/>
      <c r="H185" s="103"/>
      <c r="I185" s="103"/>
      <c r="J185" s="103"/>
      <c r="K185" s="103"/>
      <c r="L185" s="103"/>
      <c r="M185" s="103"/>
      <c r="N185" s="103"/>
      <c r="O185" s="103"/>
      <c r="P185" s="103"/>
      <c r="Q185" s="103"/>
      <c r="R185" s="103"/>
      <c r="S185" s="103"/>
      <c r="T185" s="103"/>
      <c r="U185" s="103"/>
      <c r="V185" s="103"/>
      <c r="W185" s="103"/>
      <c r="X185" s="103"/>
      <c r="Y185" s="103"/>
      <c r="Z185" s="103"/>
      <c r="AA185" s="103"/>
      <c r="AB185" s="103"/>
      <c r="AC185" s="103"/>
      <c r="AD185" s="103"/>
      <c r="AE185" s="103"/>
      <c r="AF185" s="103"/>
      <c r="AG185" s="103"/>
      <c r="AH185" s="103"/>
      <c r="AI185" s="103"/>
      <c r="AJ185" s="103"/>
      <c r="AK185" s="103"/>
      <c r="AL185" s="103"/>
    </row>
    <row r="186" spans="1:38" ht="16.5">
      <c r="A186" s="104"/>
      <c r="B186" s="104"/>
      <c r="C186" s="103"/>
      <c r="E186" s="103"/>
      <c r="F186" s="103"/>
      <c r="G186" s="103"/>
      <c r="H186" s="103"/>
      <c r="I186" s="103"/>
      <c r="J186" s="103"/>
      <c r="K186" s="103"/>
      <c r="L186" s="103"/>
      <c r="M186" s="103"/>
      <c r="N186" s="103"/>
      <c r="O186" s="103"/>
      <c r="P186" s="103"/>
      <c r="Q186" s="103"/>
      <c r="R186" s="103"/>
      <c r="S186" s="103"/>
      <c r="T186" s="103"/>
      <c r="U186" s="103"/>
      <c r="V186" s="103"/>
      <c r="W186" s="103"/>
      <c r="X186" s="103"/>
      <c r="Y186" s="103"/>
      <c r="Z186" s="103"/>
      <c r="AA186" s="103"/>
      <c r="AB186" s="103"/>
      <c r="AC186" s="103"/>
      <c r="AD186" s="103"/>
      <c r="AE186" s="103"/>
      <c r="AF186" s="103"/>
      <c r="AG186" s="103"/>
      <c r="AH186" s="103"/>
      <c r="AI186" s="103"/>
      <c r="AJ186" s="103"/>
      <c r="AK186" s="103"/>
      <c r="AL186" s="103"/>
    </row>
    <row r="187" spans="1:38" ht="16.5">
      <c r="A187" s="104"/>
      <c r="B187" s="104"/>
      <c r="C187" s="103"/>
      <c r="E187" s="103"/>
      <c r="F187" s="103"/>
      <c r="G187" s="103"/>
      <c r="H187" s="103"/>
      <c r="I187" s="103"/>
      <c r="J187" s="103"/>
      <c r="K187" s="103"/>
      <c r="L187" s="103"/>
      <c r="M187" s="103"/>
      <c r="N187" s="103"/>
      <c r="O187" s="103"/>
      <c r="P187" s="103"/>
      <c r="Q187" s="103"/>
      <c r="R187" s="103"/>
      <c r="S187" s="103"/>
      <c r="T187" s="103"/>
      <c r="U187" s="103"/>
      <c r="V187" s="103"/>
      <c r="W187" s="103"/>
      <c r="X187" s="103"/>
      <c r="Y187" s="103"/>
      <c r="Z187" s="103"/>
      <c r="AA187" s="103"/>
      <c r="AB187" s="103"/>
      <c r="AC187" s="103"/>
      <c r="AD187" s="103"/>
      <c r="AE187" s="103"/>
      <c r="AF187" s="103"/>
      <c r="AG187" s="103"/>
      <c r="AH187" s="103"/>
      <c r="AI187" s="103"/>
      <c r="AJ187" s="103"/>
      <c r="AK187" s="103"/>
      <c r="AL187" s="103"/>
    </row>
    <row r="188" spans="1:38" ht="16.5">
      <c r="A188" s="104"/>
      <c r="B188" s="104"/>
      <c r="C188" s="103"/>
      <c r="E188" s="103"/>
      <c r="F188" s="103"/>
      <c r="G188" s="103"/>
      <c r="H188" s="103"/>
      <c r="I188" s="103"/>
      <c r="J188" s="103"/>
      <c r="K188" s="103"/>
      <c r="L188" s="103"/>
      <c r="M188" s="103"/>
      <c r="N188" s="103"/>
      <c r="O188" s="103"/>
      <c r="P188" s="103"/>
      <c r="Q188" s="103"/>
      <c r="R188" s="103"/>
      <c r="S188" s="103"/>
      <c r="T188" s="103"/>
      <c r="U188" s="103"/>
      <c r="V188" s="103"/>
      <c r="W188" s="103"/>
      <c r="X188" s="103"/>
      <c r="Y188" s="103"/>
      <c r="Z188" s="103"/>
      <c r="AA188" s="103"/>
      <c r="AB188" s="103"/>
      <c r="AC188" s="103"/>
      <c r="AD188" s="103"/>
      <c r="AE188" s="103"/>
      <c r="AF188" s="103"/>
      <c r="AG188" s="103"/>
      <c r="AH188" s="103"/>
      <c r="AI188" s="103"/>
      <c r="AJ188" s="103"/>
      <c r="AK188" s="103"/>
      <c r="AL188" s="103"/>
    </row>
    <row r="189" spans="1:38" ht="16.5">
      <c r="A189" s="104"/>
      <c r="B189" s="104"/>
      <c r="C189" s="103"/>
      <c r="E189" s="103"/>
      <c r="F189" s="103"/>
      <c r="G189" s="103"/>
      <c r="H189" s="103"/>
      <c r="I189" s="103"/>
      <c r="J189" s="103"/>
      <c r="K189" s="103"/>
      <c r="L189" s="103"/>
      <c r="M189" s="103"/>
      <c r="N189" s="103"/>
      <c r="O189" s="103"/>
      <c r="P189" s="103"/>
      <c r="Q189" s="103"/>
      <c r="R189" s="103"/>
      <c r="S189" s="103"/>
      <c r="T189" s="103"/>
      <c r="U189" s="103"/>
      <c r="V189" s="103"/>
      <c r="W189" s="103"/>
      <c r="X189" s="103"/>
      <c r="Y189" s="103"/>
      <c r="Z189" s="103"/>
      <c r="AA189" s="103"/>
      <c r="AB189" s="103"/>
      <c r="AC189" s="103"/>
      <c r="AD189" s="103"/>
      <c r="AE189" s="103"/>
      <c r="AF189" s="103"/>
      <c r="AG189" s="103"/>
      <c r="AH189" s="103"/>
      <c r="AI189" s="103"/>
      <c r="AJ189" s="103"/>
      <c r="AK189" s="103"/>
      <c r="AL189" s="103"/>
    </row>
    <row r="190" spans="1:38" ht="16.5">
      <c r="A190" s="104"/>
      <c r="B190" s="104"/>
      <c r="C190" s="103"/>
      <c r="E190" s="103"/>
      <c r="F190" s="103"/>
      <c r="G190" s="103"/>
      <c r="H190" s="103"/>
      <c r="I190" s="103"/>
      <c r="J190" s="103"/>
      <c r="K190" s="103"/>
      <c r="L190" s="103"/>
      <c r="M190" s="103"/>
      <c r="N190" s="103"/>
      <c r="O190" s="103"/>
      <c r="P190" s="103"/>
      <c r="Q190" s="103"/>
      <c r="R190" s="103"/>
      <c r="S190" s="103"/>
      <c r="T190" s="103"/>
      <c r="U190" s="103"/>
      <c r="V190" s="103"/>
      <c r="W190" s="103"/>
      <c r="X190" s="103"/>
      <c r="Y190" s="103"/>
      <c r="Z190" s="103"/>
      <c r="AA190" s="103"/>
      <c r="AB190" s="103"/>
      <c r="AC190" s="103"/>
      <c r="AD190" s="103"/>
      <c r="AE190" s="103"/>
      <c r="AF190" s="103"/>
      <c r="AG190" s="103"/>
      <c r="AH190" s="103"/>
      <c r="AI190" s="103"/>
      <c r="AJ190" s="103"/>
      <c r="AK190" s="103"/>
      <c r="AL190" s="103"/>
    </row>
    <row r="191" spans="1:38" ht="16.5">
      <c r="A191" s="104"/>
      <c r="B191" s="104"/>
      <c r="C191" s="103"/>
      <c r="E191" s="103"/>
      <c r="F191" s="103"/>
      <c r="G191" s="103"/>
      <c r="H191" s="103"/>
      <c r="I191" s="103"/>
      <c r="J191" s="103"/>
      <c r="K191" s="103"/>
      <c r="L191" s="103"/>
      <c r="M191" s="103"/>
      <c r="N191" s="103"/>
      <c r="O191" s="103"/>
      <c r="P191" s="103"/>
      <c r="Q191" s="103"/>
      <c r="R191" s="103"/>
      <c r="S191" s="103"/>
      <c r="T191" s="103"/>
      <c r="U191" s="103"/>
      <c r="V191" s="103"/>
      <c r="W191" s="103"/>
      <c r="X191" s="103"/>
      <c r="Y191" s="103"/>
      <c r="Z191" s="103"/>
      <c r="AA191" s="103"/>
      <c r="AB191" s="103"/>
      <c r="AC191" s="103"/>
      <c r="AD191" s="103"/>
      <c r="AE191" s="103"/>
      <c r="AF191" s="103"/>
      <c r="AG191" s="103"/>
      <c r="AH191" s="103"/>
      <c r="AI191" s="103"/>
      <c r="AJ191" s="103"/>
      <c r="AK191" s="103"/>
      <c r="AL191" s="103"/>
    </row>
    <row r="192" spans="1:38" ht="16.5">
      <c r="A192" s="104"/>
      <c r="B192" s="104"/>
      <c r="C192" s="103"/>
      <c r="E192" s="103"/>
      <c r="F192" s="103"/>
      <c r="G192" s="103"/>
      <c r="H192" s="103"/>
      <c r="I192" s="103"/>
      <c r="J192" s="103"/>
      <c r="K192" s="103"/>
      <c r="L192" s="103"/>
      <c r="M192" s="103"/>
      <c r="N192" s="103"/>
      <c r="O192" s="103"/>
      <c r="P192" s="103"/>
      <c r="Q192" s="103"/>
      <c r="R192" s="103"/>
      <c r="S192" s="103"/>
      <c r="T192" s="103"/>
      <c r="U192" s="103"/>
      <c r="V192" s="103"/>
      <c r="W192" s="103"/>
      <c r="X192" s="103"/>
      <c r="Y192" s="103"/>
      <c r="Z192" s="103"/>
      <c r="AA192" s="103"/>
      <c r="AB192" s="103"/>
      <c r="AC192" s="103"/>
      <c r="AD192" s="103"/>
      <c r="AE192" s="103"/>
      <c r="AF192" s="103"/>
      <c r="AG192" s="103"/>
      <c r="AH192" s="103"/>
      <c r="AI192" s="103"/>
      <c r="AJ192" s="103"/>
      <c r="AK192" s="103"/>
      <c r="AL192" s="103"/>
    </row>
    <row r="193" spans="1:38" ht="16.5">
      <c r="A193" s="104"/>
      <c r="B193" s="104"/>
      <c r="C193" s="103"/>
      <c r="E193" s="103"/>
      <c r="F193" s="103"/>
      <c r="G193" s="103"/>
      <c r="H193" s="103"/>
      <c r="I193" s="103"/>
      <c r="J193" s="103"/>
      <c r="K193" s="103"/>
      <c r="L193" s="103"/>
      <c r="M193" s="103"/>
      <c r="N193" s="103"/>
      <c r="O193" s="103"/>
      <c r="P193" s="103"/>
      <c r="Q193" s="103"/>
      <c r="R193" s="103"/>
      <c r="S193" s="103"/>
      <c r="T193" s="103"/>
      <c r="U193" s="103"/>
      <c r="V193" s="103"/>
      <c r="W193" s="103"/>
      <c r="X193" s="103"/>
      <c r="Y193" s="103"/>
      <c r="Z193" s="103"/>
      <c r="AA193" s="103"/>
      <c r="AB193" s="103"/>
      <c r="AC193" s="103"/>
      <c r="AD193" s="103"/>
      <c r="AE193" s="103"/>
      <c r="AF193" s="103"/>
      <c r="AG193" s="103"/>
      <c r="AH193" s="103"/>
      <c r="AI193" s="103"/>
      <c r="AJ193" s="103"/>
      <c r="AK193" s="103"/>
      <c r="AL193" s="103"/>
    </row>
    <row r="194" spans="1:38" ht="16.5">
      <c r="A194" s="104"/>
      <c r="B194" s="104"/>
      <c r="C194" s="103"/>
      <c r="E194" s="103"/>
      <c r="F194" s="103"/>
      <c r="G194" s="103"/>
      <c r="H194" s="103"/>
      <c r="I194" s="103"/>
      <c r="J194" s="103"/>
      <c r="K194" s="103"/>
      <c r="L194" s="103"/>
      <c r="M194" s="103"/>
      <c r="N194" s="103"/>
      <c r="O194" s="103"/>
      <c r="P194" s="103"/>
      <c r="Q194" s="103"/>
      <c r="R194" s="103"/>
      <c r="S194" s="103"/>
      <c r="T194" s="103"/>
      <c r="U194" s="103"/>
      <c r="V194" s="103"/>
      <c r="W194" s="103"/>
      <c r="X194" s="103"/>
      <c r="Y194" s="103"/>
      <c r="Z194" s="103"/>
      <c r="AA194" s="103"/>
      <c r="AB194" s="103"/>
      <c r="AC194" s="103"/>
      <c r="AD194" s="103"/>
      <c r="AE194" s="103"/>
      <c r="AF194" s="103"/>
      <c r="AG194" s="103"/>
      <c r="AH194" s="103"/>
      <c r="AI194" s="103"/>
      <c r="AJ194" s="103"/>
      <c r="AK194" s="103"/>
      <c r="AL194" s="103"/>
    </row>
    <row r="195" spans="1:38" ht="16.5">
      <c r="A195" s="104"/>
      <c r="B195" s="104"/>
      <c r="C195" s="103"/>
      <c r="E195" s="103"/>
      <c r="F195" s="103"/>
      <c r="G195" s="103"/>
      <c r="H195" s="103"/>
      <c r="I195" s="103"/>
      <c r="J195" s="103"/>
      <c r="K195" s="103"/>
      <c r="L195" s="103"/>
      <c r="M195" s="103"/>
      <c r="N195" s="103"/>
      <c r="O195" s="103"/>
      <c r="P195" s="103"/>
      <c r="Q195" s="103"/>
      <c r="R195" s="103"/>
      <c r="S195" s="103"/>
      <c r="T195" s="103"/>
      <c r="U195" s="103"/>
      <c r="V195" s="103"/>
      <c r="W195" s="103"/>
      <c r="X195" s="103"/>
      <c r="Y195" s="103"/>
      <c r="Z195" s="103"/>
      <c r="AA195" s="103"/>
      <c r="AB195" s="103"/>
      <c r="AC195" s="103"/>
      <c r="AD195" s="103"/>
      <c r="AE195" s="103"/>
      <c r="AF195" s="103"/>
      <c r="AG195" s="103"/>
      <c r="AH195" s="103"/>
      <c r="AI195" s="103"/>
      <c r="AJ195" s="103"/>
      <c r="AK195" s="103"/>
      <c r="AL195" s="103"/>
    </row>
    <row r="196" spans="1:38" ht="16.5">
      <c r="A196" s="104"/>
      <c r="B196" s="104"/>
      <c r="C196" s="103"/>
      <c r="E196" s="103"/>
      <c r="F196" s="103"/>
      <c r="G196" s="103"/>
      <c r="H196" s="103"/>
      <c r="I196" s="103"/>
      <c r="J196" s="103"/>
      <c r="K196" s="103"/>
      <c r="L196" s="103"/>
      <c r="M196" s="103"/>
      <c r="N196" s="103"/>
      <c r="O196" s="103"/>
      <c r="P196" s="103"/>
      <c r="Q196" s="103"/>
      <c r="R196" s="103"/>
      <c r="S196" s="103"/>
      <c r="T196" s="103"/>
      <c r="U196" s="103"/>
      <c r="V196" s="103"/>
      <c r="W196" s="103"/>
      <c r="X196" s="103"/>
      <c r="Y196" s="103"/>
      <c r="Z196" s="103"/>
      <c r="AA196" s="103"/>
      <c r="AB196" s="103"/>
      <c r="AC196" s="103"/>
      <c r="AD196" s="103"/>
      <c r="AE196" s="103"/>
      <c r="AF196" s="103"/>
      <c r="AG196" s="103"/>
      <c r="AH196" s="103"/>
      <c r="AI196" s="103"/>
      <c r="AJ196" s="103"/>
      <c r="AK196" s="103"/>
      <c r="AL196" s="103"/>
    </row>
    <row r="197" spans="1:38" ht="16.5">
      <c r="A197" s="104"/>
      <c r="B197" s="104"/>
      <c r="C197" s="103"/>
      <c r="E197" s="103"/>
      <c r="F197" s="103"/>
      <c r="G197" s="103"/>
      <c r="H197" s="103"/>
      <c r="I197" s="103"/>
      <c r="J197" s="103"/>
      <c r="K197" s="103"/>
      <c r="L197" s="103"/>
      <c r="M197" s="103"/>
      <c r="N197" s="103"/>
      <c r="O197" s="103"/>
      <c r="P197" s="103"/>
      <c r="Q197" s="103"/>
      <c r="R197" s="103"/>
      <c r="S197" s="103"/>
      <c r="T197" s="103"/>
      <c r="U197" s="103"/>
      <c r="V197" s="103"/>
      <c r="W197" s="103"/>
      <c r="X197" s="103"/>
      <c r="Y197" s="103"/>
      <c r="Z197" s="103"/>
      <c r="AA197" s="103"/>
      <c r="AB197" s="103"/>
      <c r="AC197" s="103"/>
      <c r="AD197" s="103"/>
      <c r="AE197" s="103"/>
      <c r="AF197" s="103"/>
      <c r="AG197" s="103"/>
      <c r="AH197" s="103"/>
      <c r="AI197" s="103"/>
      <c r="AJ197" s="103"/>
      <c r="AK197" s="103"/>
      <c r="AL197" s="103"/>
    </row>
    <row r="198" spans="1:38" ht="16.5">
      <c r="A198" s="104"/>
      <c r="B198" s="104"/>
      <c r="C198" s="103"/>
      <c r="E198" s="103"/>
      <c r="F198" s="103"/>
      <c r="G198" s="103"/>
      <c r="H198" s="103"/>
      <c r="I198" s="103"/>
      <c r="J198" s="103"/>
      <c r="K198" s="103"/>
      <c r="L198" s="103"/>
      <c r="M198" s="103"/>
      <c r="N198" s="103"/>
      <c r="O198" s="103"/>
      <c r="P198" s="103"/>
      <c r="Q198" s="103"/>
      <c r="R198" s="103"/>
      <c r="S198" s="103"/>
      <c r="T198" s="103"/>
      <c r="U198" s="103"/>
      <c r="V198" s="103"/>
      <c r="W198" s="103"/>
      <c r="X198" s="103"/>
      <c r="Y198" s="103"/>
      <c r="Z198" s="103"/>
      <c r="AA198" s="103"/>
      <c r="AB198" s="103"/>
      <c r="AC198" s="103"/>
      <c r="AD198" s="103"/>
      <c r="AE198" s="103"/>
      <c r="AF198" s="103"/>
      <c r="AG198" s="103"/>
      <c r="AH198" s="103"/>
      <c r="AI198" s="103"/>
      <c r="AJ198" s="103"/>
      <c r="AK198" s="103"/>
      <c r="AL198" s="103"/>
    </row>
    <row r="199" spans="1:38" ht="16.5">
      <c r="A199" s="104"/>
      <c r="B199" s="104"/>
      <c r="C199" s="103"/>
      <c r="E199" s="103"/>
      <c r="F199" s="103"/>
      <c r="G199" s="103"/>
      <c r="H199" s="103"/>
      <c r="I199" s="103"/>
      <c r="J199" s="103"/>
      <c r="K199" s="103"/>
      <c r="L199" s="103"/>
      <c r="M199" s="103"/>
      <c r="N199" s="103"/>
      <c r="O199" s="103"/>
      <c r="P199" s="103"/>
      <c r="Q199" s="103"/>
      <c r="R199" s="103"/>
      <c r="S199" s="103"/>
      <c r="T199" s="103"/>
      <c r="U199" s="103"/>
      <c r="V199" s="103"/>
      <c r="W199" s="103"/>
      <c r="X199" s="103"/>
      <c r="Y199" s="103"/>
      <c r="Z199" s="103"/>
      <c r="AA199" s="103"/>
      <c r="AB199" s="103"/>
      <c r="AC199" s="103"/>
      <c r="AD199" s="103"/>
      <c r="AE199" s="103"/>
      <c r="AF199" s="103"/>
      <c r="AG199" s="103"/>
      <c r="AH199" s="103"/>
      <c r="AI199" s="103"/>
      <c r="AJ199" s="103"/>
      <c r="AK199" s="103"/>
      <c r="AL199" s="103"/>
    </row>
    <row r="200" spans="1:38" ht="16.5">
      <c r="A200" s="104"/>
      <c r="B200" s="104"/>
      <c r="C200" s="103"/>
      <c r="E200" s="103"/>
      <c r="F200" s="103"/>
      <c r="G200" s="103"/>
      <c r="H200" s="103"/>
      <c r="I200" s="103"/>
      <c r="J200" s="103"/>
      <c r="K200" s="103"/>
      <c r="L200" s="103"/>
      <c r="M200" s="103"/>
      <c r="N200" s="103"/>
      <c r="O200" s="103"/>
      <c r="P200" s="103"/>
      <c r="Q200" s="103"/>
      <c r="R200" s="103"/>
      <c r="S200" s="103"/>
      <c r="T200" s="103"/>
      <c r="U200" s="103"/>
      <c r="V200" s="103"/>
      <c r="W200" s="103"/>
      <c r="X200" s="103"/>
      <c r="Y200" s="103"/>
      <c r="Z200" s="103"/>
      <c r="AA200" s="103"/>
      <c r="AB200" s="103"/>
      <c r="AC200" s="103"/>
      <c r="AD200" s="103"/>
      <c r="AE200" s="103"/>
      <c r="AF200" s="103"/>
      <c r="AG200" s="103"/>
      <c r="AH200" s="103"/>
      <c r="AI200" s="103"/>
      <c r="AJ200" s="103"/>
      <c r="AK200" s="103"/>
      <c r="AL200" s="103"/>
    </row>
  </sheetData>
  <phoneticPr fontId="3"/>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916C60-9C2D-40C8-997A-65AEFEF15352}">
  <sheetPr codeName="Action"/>
  <dimension ref="A1:K1268"/>
  <sheetViews>
    <sheetView zoomScale="90" zoomScaleNormal="90" workbookViewId="0">
      <pane xSplit="1" ySplit="1" topLeftCell="B885" activePane="bottomRight" state="frozen"/>
      <selection activeCell="A2" sqref="A2"/>
      <selection pane="topRight" activeCell="A2" sqref="A2"/>
      <selection pane="bottomLeft" activeCell="A2" sqref="A2"/>
      <selection pane="bottomRight" activeCell="A888" sqref="A888:XFD888"/>
    </sheetView>
  </sheetViews>
  <sheetFormatPr defaultRowHeight="14.25"/>
  <cols>
    <col min="1" max="1" width="44.875" style="282" customWidth="1"/>
    <col min="2" max="2" width="16.25" style="5" customWidth="1"/>
    <col min="3" max="3" width="23.375" style="165" customWidth="1"/>
    <col min="4" max="4" width="17.375" style="165" customWidth="1"/>
    <col min="5" max="5" width="23" style="165" customWidth="1"/>
    <col min="6" max="6" width="11.5" style="215" customWidth="1"/>
    <col min="7" max="7" width="20.375" style="215" customWidth="1"/>
    <col min="8" max="8" width="42" style="215" customWidth="1"/>
    <col min="9" max="16384" width="9" style="215"/>
  </cols>
  <sheetData>
    <row r="1" spans="1:11" s="5" customFormat="1" ht="17.25" thickBot="1">
      <c r="A1" s="289" t="s">
        <v>2062</v>
      </c>
      <c r="B1" s="264" t="s">
        <v>2099</v>
      </c>
      <c r="C1" s="287" t="s">
        <v>2100</v>
      </c>
      <c r="D1" s="288" t="s">
        <v>2101</v>
      </c>
      <c r="E1" s="288" t="s">
        <v>2102</v>
      </c>
      <c r="F1" s="263" t="s">
        <v>26</v>
      </c>
      <c r="G1" s="263" t="s">
        <v>3113</v>
      </c>
      <c r="H1" s="265"/>
      <c r="I1" s="265" t="s">
        <v>1248</v>
      </c>
      <c r="J1" s="265" t="s">
        <v>1250</v>
      </c>
      <c r="K1" s="266" t="s">
        <v>10</v>
      </c>
    </row>
    <row r="2" spans="1:11" ht="17.25" thickBot="1">
      <c r="A2" s="290" t="s">
        <v>2103</v>
      </c>
      <c r="B2" s="19" t="s">
        <v>2104</v>
      </c>
      <c r="C2" s="267">
        <v>44099.534722222219</v>
      </c>
    </row>
    <row r="3" spans="1:11" ht="17.25" thickBot="1">
      <c r="A3" s="206" t="s">
        <v>2105</v>
      </c>
      <c r="B3" s="19" t="s">
        <v>2104</v>
      </c>
      <c r="C3" s="267">
        <v>44099.536111111112</v>
      </c>
    </row>
    <row r="4" spans="1:11" ht="17.25" thickBot="1">
      <c r="A4" s="290" t="s">
        <v>2106</v>
      </c>
      <c r="B4" s="19" t="s">
        <v>2104</v>
      </c>
      <c r="C4" s="267">
        <v>44099.5625</v>
      </c>
    </row>
    <row r="5" spans="1:11" ht="17.25" thickBot="1">
      <c r="A5" s="290" t="s">
        <v>2107</v>
      </c>
      <c r="B5" s="19" t="s">
        <v>2104</v>
      </c>
      <c r="C5" s="267">
        <v>44099.568749999999</v>
      </c>
    </row>
    <row r="6" spans="1:11" ht="17.25" thickBot="1">
      <c r="A6" s="290" t="s">
        <v>2108</v>
      </c>
      <c r="B6" s="19" t="s">
        <v>2104</v>
      </c>
      <c r="C6" s="267">
        <v>44099.570833333331</v>
      </c>
    </row>
    <row r="7" spans="1:11" ht="17.25" thickBot="1">
      <c r="A7" s="290" t="s">
        <v>2109</v>
      </c>
      <c r="B7" s="19" t="s">
        <v>2104</v>
      </c>
      <c r="C7" s="267">
        <v>44099.574999999997</v>
      </c>
    </row>
    <row r="8" spans="1:11" ht="17.25" thickBot="1">
      <c r="A8" s="290" t="s">
        <v>2110</v>
      </c>
      <c r="B8" s="19" t="s">
        <v>2104</v>
      </c>
      <c r="C8" s="267">
        <v>44099.633333333331</v>
      </c>
    </row>
    <row r="9" spans="1:11" ht="17.25" thickBot="1">
      <c r="A9" s="290" t="s">
        <v>2103</v>
      </c>
      <c r="B9" s="19" t="s">
        <v>2104</v>
      </c>
      <c r="C9" s="267">
        <v>44099.757638888892</v>
      </c>
    </row>
    <row r="10" spans="1:11" ht="17.25" thickBot="1">
      <c r="A10" s="290" t="s">
        <v>2111</v>
      </c>
      <c r="B10" s="19" t="s">
        <v>2104</v>
      </c>
      <c r="C10" s="267">
        <v>44099.761805555558</v>
      </c>
    </row>
    <row r="11" spans="1:11" ht="17.25" thickBot="1">
      <c r="A11" s="199" t="s">
        <v>2112</v>
      </c>
      <c r="B11" s="19" t="s">
        <v>2104</v>
      </c>
      <c r="C11" s="267">
        <v>44099.763194444444</v>
      </c>
      <c r="D11" s="188"/>
      <c r="E11" s="188"/>
    </row>
    <row r="12" spans="1:11" ht="17.25" thickBot="1">
      <c r="A12" s="291" t="s">
        <v>2113</v>
      </c>
      <c r="B12" s="19" t="s">
        <v>2104</v>
      </c>
      <c r="C12" s="267">
        <v>44099.765277777777</v>
      </c>
      <c r="D12" s="172"/>
      <c r="E12" s="172"/>
    </row>
    <row r="13" spans="1:11" ht="17.25" thickBot="1">
      <c r="A13" s="206" t="s">
        <v>2114</v>
      </c>
      <c r="B13" s="19" t="s">
        <v>2104</v>
      </c>
      <c r="C13" s="267">
        <v>44099.767361111109</v>
      </c>
    </row>
    <row r="14" spans="1:11" ht="17.25" thickBot="1">
      <c r="A14" s="290" t="s">
        <v>2115</v>
      </c>
      <c r="B14" s="19" t="s">
        <v>2104</v>
      </c>
      <c r="C14" s="267">
        <v>44099.768750000003</v>
      </c>
    </row>
    <row r="15" spans="1:11" ht="29.25" thickBot="1">
      <c r="A15" s="206" t="s">
        <v>2116</v>
      </c>
      <c r="B15" s="19" t="s">
        <v>2104</v>
      </c>
      <c r="C15" s="267">
        <v>44099.768750000003</v>
      </c>
    </row>
    <row r="16" spans="1:11" ht="17.25" thickBot="1">
      <c r="A16" s="206" t="s">
        <v>2117</v>
      </c>
      <c r="B16" s="19" t="s">
        <v>2104</v>
      </c>
      <c r="C16" s="267">
        <v>44099.790972222225</v>
      </c>
    </row>
    <row r="17" spans="1:8" ht="17.25" thickBot="1">
      <c r="A17" s="199" t="s">
        <v>2118</v>
      </c>
      <c r="B17" s="19" t="s">
        <v>2104</v>
      </c>
      <c r="C17" s="267">
        <v>44099.799305555556</v>
      </c>
      <c r="D17" s="172"/>
      <c r="E17" s="172"/>
    </row>
    <row r="18" spans="1:8" ht="17.25" thickBot="1">
      <c r="A18" s="290" t="s">
        <v>2119</v>
      </c>
      <c r="B18" s="19" t="s">
        <v>2104</v>
      </c>
      <c r="C18" s="267">
        <v>44099.808333333334</v>
      </c>
    </row>
    <row r="19" spans="1:8" ht="17.25" thickBot="1">
      <c r="A19" s="290" t="s">
        <v>2120</v>
      </c>
      <c r="B19" s="19" t="s">
        <v>2104</v>
      </c>
      <c r="C19" s="267">
        <v>44099.817361111112</v>
      </c>
    </row>
    <row r="20" spans="1:8" ht="17.25" thickBot="1">
      <c r="A20" s="290" t="s">
        <v>2121</v>
      </c>
      <c r="B20" s="19" t="s">
        <v>2104</v>
      </c>
      <c r="C20" s="267">
        <v>44099.832638888889</v>
      </c>
    </row>
    <row r="21" spans="1:8" ht="17.25" thickBot="1">
      <c r="A21" s="290" t="s">
        <v>2122</v>
      </c>
      <c r="B21" s="19" t="s">
        <v>2104</v>
      </c>
      <c r="C21" s="267">
        <v>44099.839583333334</v>
      </c>
    </row>
    <row r="22" spans="1:8" ht="17.25" thickBot="1">
      <c r="A22" s="290" t="s">
        <v>2123</v>
      </c>
      <c r="B22" s="19" t="s">
        <v>2104</v>
      </c>
      <c r="C22" s="267">
        <v>44099.850694444445</v>
      </c>
    </row>
    <row r="23" spans="1:8" ht="17.25" thickBot="1">
      <c r="A23" s="290" t="s">
        <v>2124</v>
      </c>
      <c r="B23" s="19" t="s">
        <v>2104</v>
      </c>
      <c r="C23" s="267">
        <v>44100.620138888888</v>
      </c>
    </row>
    <row r="24" spans="1:8" ht="17.25" thickBot="1">
      <c r="A24" s="290" t="s">
        <v>2125</v>
      </c>
      <c r="B24" s="19" t="s">
        <v>2104</v>
      </c>
      <c r="C24" s="267">
        <v>44100.64166666667</v>
      </c>
      <c r="H24" s="215" t="s">
        <v>2126</v>
      </c>
    </row>
    <row r="25" spans="1:8" ht="29.25" thickBot="1">
      <c r="A25" s="206" t="s">
        <v>2116</v>
      </c>
      <c r="B25" s="19" t="s">
        <v>2104</v>
      </c>
      <c r="C25" s="267">
        <v>44100.661111111112</v>
      </c>
    </row>
    <row r="26" spans="1:8" ht="57.75" thickBot="1">
      <c r="A26" s="290" t="s">
        <v>2127</v>
      </c>
      <c r="B26" s="19" t="s">
        <v>2104</v>
      </c>
      <c r="C26" s="267">
        <v>44100.693749999999</v>
      </c>
      <c r="H26" s="30" t="s">
        <v>2128</v>
      </c>
    </row>
    <row r="27" spans="1:8" ht="17.25" thickBot="1">
      <c r="A27" s="290" t="s">
        <v>2129</v>
      </c>
      <c r="B27" s="19" t="s">
        <v>2104</v>
      </c>
      <c r="C27" s="267">
        <v>44100.695138888892</v>
      </c>
    </row>
    <row r="28" spans="1:8" ht="17.25" thickBot="1">
      <c r="A28" s="290" t="s">
        <v>2130</v>
      </c>
      <c r="B28" s="19" t="s">
        <v>2104</v>
      </c>
      <c r="C28" s="267">
        <v>44100.697222222225</v>
      </c>
    </row>
    <row r="29" spans="1:8" ht="17.25" thickBot="1">
      <c r="A29" s="290" t="s">
        <v>2117</v>
      </c>
      <c r="B29" s="19" t="s">
        <v>2104</v>
      </c>
      <c r="C29" s="267">
        <v>44100.70208333333</v>
      </c>
    </row>
    <row r="30" spans="1:8" ht="29.25" thickBot="1">
      <c r="A30" s="290" t="s">
        <v>2131</v>
      </c>
      <c r="B30" s="19" t="s">
        <v>2104</v>
      </c>
      <c r="C30" s="267">
        <v>44100.703472222223</v>
      </c>
    </row>
    <row r="31" spans="1:8" ht="17.25" thickBot="1">
      <c r="A31" s="290" t="s">
        <v>2121</v>
      </c>
      <c r="B31" s="19" t="s">
        <v>2104</v>
      </c>
      <c r="C31" s="267">
        <v>44100.792361111111</v>
      </c>
    </row>
    <row r="32" spans="1:8" ht="17.25" thickBot="1">
      <c r="A32" s="290" t="s">
        <v>2132</v>
      </c>
      <c r="B32" s="19" t="s">
        <v>2104</v>
      </c>
      <c r="C32" s="267">
        <v>44100.834027777775</v>
      </c>
      <c r="H32" s="215" t="s">
        <v>2133</v>
      </c>
    </row>
    <row r="33" spans="1:8" ht="57.75" thickBot="1">
      <c r="A33" s="290" t="s">
        <v>2134</v>
      </c>
      <c r="B33" s="19" t="s">
        <v>2104</v>
      </c>
      <c r="C33" s="267">
        <v>44100.844444444447</v>
      </c>
      <c r="H33" s="30" t="s">
        <v>2135</v>
      </c>
    </row>
    <row r="34" spans="1:8" ht="17.25" thickBot="1">
      <c r="A34" s="290" t="s">
        <v>2136</v>
      </c>
      <c r="B34" s="19" t="s">
        <v>2104</v>
      </c>
      <c r="C34" s="267">
        <v>44100.845833333333</v>
      </c>
    </row>
    <row r="35" spans="1:8" ht="17.25" thickBot="1">
      <c r="A35" s="290" t="s">
        <v>2137</v>
      </c>
      <c r="B35" s="19" t="s">
        <v>2104</v>
      </c>
      <c r="C35" s="267">
        <v>44101.663888888892</v>
      </c>
    </row>
    <row r="36" spans="1:8" ht="17.25" thickBot="1">
      <c r="A36" s="290" t="s">
        <v>2138</v>
      </c>
      <c r="B36" s="19" t="s">
        <v>2104</v>
      </c>
      <c r="C36" s="267">
        <v>44101.679166666669</v>
      </c>
    </row>
    <row r="37" spans="1:8" ht="17.25" thickBot="1">
      <c r="A37" s="290" t="s">
        <v>2107</v>
      </c>
      <c r="B37" s="19" t="s">
        <v>2104</v>
      </c>
      <c r="C37" s="267">
        <v>44101.683333333334</v>
      </c>
    </row>
    <row r="38" spans="1:8" ht="17.25" thickBot="1">
      <c r="A38" s="290" t="s">
        <v>2139</v>
      </c>
      <c r="B38" s="19" t="s">
        <v>2104</v>
      </c>
      <c r="C38" s="267">
        <v>44101.6875</v>
      </c>
    </row>
    <row r="39" spans="1:8" ht="17.25" thickBot="1">
      <c r="A39" s="290" t="s">
        <v>2140</v>
      </c>
      <c r="B39" s="19" t="s">
        <v>2104</v>
      </c>
      <c r="C39" s="267">
        <v>44101.695833333331</v>
      </c>
    </row>
    <row r="40" spans="1:8" ht="17.25" thickBot="1">
      <c r="A40" s="290" t="s">
        <v>2123</v>
      </c>
      <c r="B40" s="19" t="s">
        <v>2104</v>
      </c>
      <c r="C40" s="267">
        <v>44101.708333333336</v>
      </c>
    </row>
    <row r="41" spans="1:8" ht="17.25" thickBot="1">
      <c r="A41" s="290" t="s">
        <v>2141</v>
      </c>
      <c r="B41" s="19" t="s">
        <v>2104</v>
      </c>
      <c r="C41" s="267">
        <v>44101.711111111108</v>
      </c>
    </row>
    <row r="42" spans="1:8" ht="17.25" thickBot="1">
      <c r="A42" s="290" t="s">
        <v>2142</v>
      </c>
      <c r="B42" s="19" t="s">
        <v>2104</v>
      </c>
      <c r="C42" s="267">
        <v>44101.713194444441</v>
      </c>
    </row>
    <row r="43" spans="1:8" ht="17.25" thickBot="1">
      <c r="A43" s="290" t="s">
        <v>2058</v>
      </c>
      <c r="B43" s="19" t="s">
        <v>2104</v>
      </c>
      <c r="C43" s="267">
        <v>44101.713888888888</v>
      </c>
    </row>
    <row r="44" spans="1:8" ht="17.25" thickBot="1">
      <c r="A44" s="290" t="s">
        <v>2143</v>
      </c>
      <c r="B44" s="19" t="s">
        <v>2104</v>
      </c>
      <c r="C44" s="267">
        <v>44101.715277777781</v>
      </c>
    </row>
    <row r="45" spans="1:8" ht="114.75" thickBot="1">
      <c r="A45" s="290" t="s">
        <v>2144</v>
      </c>
      <c r="B45" s="19" t="s">
        <v>2104</v>
      </c>
      <c r="C45" s="267">
        <v>44101.716666666667</v>
      </c>
      <c r="H45" s="30" t="s">
        <v>2145</v>
      </c>
    </row>
    <row r="46" spans="1:8" ht="17.25" thickBot="1">
      <c r="A46" s="290" t="s">
        <v>2110</v>
      </c>
      <c r="B46" s="19" t="s">
        <v>2104</v>
      </c>
      <c r="C46" s="267">
        <v>44101.719444444447</v>
      </c>
    </row>
    <row r="47" spans="1:8" ht="72" thickBot="1">
      <c r="A47" s="290" t="s">
        <v>2146</v>
      </c>
      <c r="B47" s="19" t="s">
        <v>2104</v>
      </c>
      <c r="C47" s="267">
        <v>44101.720138888886</v>
      </c>
      <c r="H47" s="30" t="s">
        <v>2147</v>
      </c>
    </row>
    <row r="48" spans="1:8" ht="17.25" thickBot="1">
      <c r="A48" s="290" t="s">
        <v>2148</v>
      </c>
      <c r="B48" s="19" t="s">
        <v>2104</v>
      </c>
      <c r="C48" s="267">
        <v>44101.724999999999</v>
      </c>
    </row>
    <row r="49" spans="1:8" ht="17.25" thickBot="1">
      <c r="A49" s="290" t="s">
        <v>2149</v>
      </c>
      <c r="B49" s="19" t="s">
        <v>2104</v>
      </c>
      <c r="C49" s="267">
        <v>44101.727083333331</v>
      </c>
    </row>
    <row r="50" spans="1:8" ht="17.25" thickBot="1">
      <c r="A50" s="290" t="s">
        <v>2150</v>
      </c>
      <c r="B50" s="19" t="s">
        <v>2104</v>
      </c>
      <c r="C50" s="267">
        <v>44101.728472222225</v>
      </c>
    </row>
    <row r="51" spans="1:8" ht="17.25" thickBot="1">
      <c r="A51" s="290" t="s">
        <v>2151</v>
      </c>
      <c r="B51" s="19" t="s">
        <v>2104</v>
      </c>
      <c r="C51" s="267">
        <v>44101.728472222225</v>
      </c>
    </row>
    <row r="52" spans="1:8" ht="17.25" thickBot="1">
      <c r="A52" s="290" t="s">
        <v>2152</v>
      </c>
      <c r="B52" s="19" t="s">
        <v>2104</v>
      </c>
      <c r="C52" s="267">
        <v>44101.731944444444</v>
      </c>
    </row>
    <row r="53" spans="1:8" ht="17.25" thickBot="1">
      <c r="A53" s="206" t="s">
        <v>2153</v>
      </c>
      <c r="B53" s="19" t="s">
        <v>2104</v>
      </c>
      <c r="C53" s="267">
        <v>44102.46597222222</v>
      </c>
    </row>
    <row r="54" spans="1:8" ht="17.25" thickBot="1">
      <c r="A54" s="290" t="s">
        <v>2154</v>
      </c>
      <c r="B54" s="19" t="s">
        <v>2104</v>
      </c>
      <c r="C54" s="267">
        <v>44102.794444444444</v>
      </c>
    </row>
    <row r="55" spans="1:8" ht="17.25" thickBot="1">
      <c r="A55" s="290" t="s">
        <v>2155</v>
      </c>
      <c r="B55" s="19" t="s">
        <v>2104</v>
      </c>
      <c r="C55" s="267">
        <v>44102.796527777777</v>
      </c>
    </row>
    <row r="56" spans="1:8" ht="17.25" thickBot="1">
      <c r="A56" s="290" t="s">
        <v>2156</v>
      </c>
      <c r="B56" s="19" t="s">
        <v>2104</v>
      </c>
      <c r="C56" s="267">
        <v>44102.800694444442</v>
      </c>
    </row>
    <row r="57" spans="1:8" ht="17.25" thickBot="1">
      <c r="A57" s="290" t="s">
        <v>2157</v>
      </c>
      <c r="B57" s="19" t="s">
        <v>2104</v>
      </c>
      <c r="C57" s="267">
        <v>44102.808333333334</v>
      </c>
    </row>
    <row r="58" spans="1:8" ht="17.25" thickBot="1">
      <c r="A58" s="290" t="s">
        <v>2158</v>
      </c>
      <c r="B58" s="19" t="s">
        <v>2104</v>
      </c>
      <c r="C58" s="267">
        <v>44102.817361111112</v>
      </c>
    </row>
    <row r="59" spans="1:8" ht="17.25" thickBot="1">
      <c r="A59" s="290" t="s">
        <v>2159</v>
      </c>
      <c r="B59" s="19" t="s">
        <v>2104</v>
      </c>
      <c r="C59" s="267">
        <v>44102.822916666664</v>
      </c>
    </row>
    <row r="60" spans="1:8" ht="17.25" thickBot="1">
      <c r="A60" s="290" t="s">
        <v>2160</v>
      </c>
      <c r="B60" s="19" t="s">
        <v>2104</v>
      </c>
      <c r="C60" s="267">
        <v>44102.824305555558</v>
      </c>
    </row>
    <row r="61" spans="1:8" ht="17.25" thickBot="1">
      <c r="A61" s="290" t="s">
        <v>2161</v>
      </c>
      <c r="B61" s="19" t="s">
        <v>2104</v>
      </c>
      <c r="C61" s="267">
        <v>44102.833333333336</v>
      </c>
    </row>
    <row r="62" spans="1:8" ht="17.25" thickBot="1">
      <c r="A62" s="290" t="s">
        <v>2162</v>
      </c>
      <c r="B62" s="19" t="s">
        <v>2104</v>
      </c>
      <c r="C62" s="267">
        <v>44102.834722222222</v>
      </c>
    </row>
    <row r="63" spans="1:8" ht="16.5">
      <c r="A63" s="282" t="s">
        <v>2163</v>
      </c>
      <c r="B63" s="19" t="s">
        <v>2104</v>
      </c>
      <c r="C63" s="267">
        <v>44102.840277777781</v>
      </c>
    </row>
    <row r="64" spans="1:8" ht="71.25">
      <c r="A64" s="282" t="s">
        <v>2164</v>
      </c>
      <c r="B64" s="19" t="s">
        <v>2104</v>
      </c>
      <c r="C64" s="267">
        <v>44102.848611111112</v>
      </c>
      <c r="H64" s="30" t="s">
        <v>2165</v>
      </c>
    </row>
    <row r="65" spans="1:8" ht="28.5">
      <c r="A65" s="282" t="s">
        <v>2166</v>
      </c>
      <c r="B65" s="19" t="s">
        <v>2104</v>
      </c>
      <c r="C65" s="267">
        <v>44106.82916666667</v>
      </c>
      <c r="H65" s="215" t="s">
        <v>2167</v>
      </c>
    </row>
    <row r="66" spans="1:8" ht="16.5">
      <c r="A66" s="282" t="s">
        <v>2129</v>
      </c>
      <c r="B66" s="19" t="s">
        <v>2104</v>
      </c>
      <c r="C66" s="267">
        <v>44106.831944444442</v>
      </c>
    </row>
    <row r="67" spans="1:8" ht="16.5">
      <c r="A67" s="282" t="s">
        <v>2168</v>
      </c>
      <c r="B67" s="19" t="s">
        <v>2104</v>
      </c>
      <c r="C67" s="267">
        <v>44106.832638888889</v>
      </c>
      <c r="H67" s="215" t="s">
        <v>2169</v>
      </c>
    </row>
    <row r="68" spans="1:8" ht="16.5">
      <c r="A68" s="282" t="s">
        <v>2170</v>
      </c>
      <c r="B68" s="19" t="s">
        <v>2104</v>
      </c>
      <c r="C68" s="267">
        <v>44106.838888888888</v>
      </c>
    </row>
    <row r="69" spans="1:8" ht="57">
      <c r="A69" s="282" t="s">
        <v>2171</v>
      </c>
      <c r="B69" s="19" t="s">
        <v>2104</v>
      </c>
      <c r="C69" s="267">
        <v>44106.840277777781</v>
      </c>
      <c r="H69" s="30" t="s">
        <v>2172</v>
      </c>
    </row>
    <row r="70" spans="1:8" ht="16.5">
      <c r="A70" s="282" t="s">
        <v>2173</v>
      </c>
      <c r="B70" s="19" t="s">
        <v>2104</v>
      </c>
      <c r="C70" s="267">
        <v>44106.84375</v>
      </c>
    </row>
    <row r="71" spans="1:8" ht="16.5">
      <c r="A71" s="282" t="s">
        <v>2174</v>
      </c>
      <c r="B71" s="19" t="s">
        <v>2104</v>
      </c>
      <c r="C71" s="267">
        <v>44107.804861111108</v>
      </c>
      <c r="H71" s="215" t="s">
        <v>2175</v>
      </c>
    </row>
    <row r="72" spans="1:8" ht="16.5">
      <c r="A72" s="282" t="s">
        <v>2176</v>
      </c>
      <c r="B72" s="19" t="s">
        <v>2104</v>
      </c>
      <c r="C72" s="267">
        <v>44108.758333333331</v>
      </c>
    </row>
    <row r="73" spans="1:8" ht="16.5">
      <c r="A73" s="282" t="s">
        <v>2177</v>
      </c>
      <c r="B73" s="19" t="s">
        <v>2104</v>
      </c>
      <c r="C73" s="267">
        <v>44108.770138888889</v>
      </c>
    </row>
    <row r="74" spans="1:8" ht="16.5">
      <c r="A74" s="282" t="s">
        <v>2178</v>
      </c>
      <c r="B74" s="19" t="s">
        <v>2104</v>
      </c>
      <c r="C74" s="267">
        <v>44108.786111111112</v>
      </c>
    </row>
    <row r="75" spans="1:8" ht="16.5">
      <c r="A75" s="282" t="s">
        <v>2123</v>
      </c>
      <c r="B75" s="19" t="s">
        <v>2104</v>
      </c>
      <c r="C75" s="267">
        <v>44108.799305555556</v>
      </c>
    </row>
    <row r="76" spans="1:8" ht="16.5">
      <c r="A76" s="282" t="s">
        <v>2179</v>
      </c>
      <c r="B76" s="19" t="s">
        <v>2104</v>
      </c>
      <c r="C76" s="267">
        <v>44108.802777777775</v>
      </c>
    </row>
    <row r="77" spans="1:8" ht="16.5">
      <c r="A77" s="282" t="s">
        <v>2180</v>
      </c>
      <c r="B77" s="19" t="s">
        <v>2104</v>
      </c>
      <c r="C77" s="267">
        <v>44108.811805555553</v>
      </c>
    </row>
    <row r="78" spans="1:8" ht="16.5">
      <c r="A78" s="282" t="s">
        <v>2181</v>
      </c>
      <c r="B78" s="19" t="s">
        <v>2104</v>
      </c>
      <c r="C78" s="267">
        <v>44108.8125</v>
      </c>
    </row>
    <row r="79" spans="1:8" ht="16.5">
      <c r="A79" s="282" t="s">
        <v>2182</v>
      </c>
      <c r="B79" s="19" t="s">
        <v>2104</v>
      </c>
      <c r="C79" s="267">
        <v>44109.770833333336</v>
      </c>
    </row>
    <row r="80" spans="1:8" ht="16.5">
      <c r="A80" s="282" t="s">
        <v>2182</v>
      </c>
      <c r="B80" s="19" t="s">
        <v>2104</v>
      </c>
      <c r="C80" s="267">
        <v>44109.774305555555</v>
      </c>
    </row>
    <row r="81" spans="1:8" ht="16.5">
      <c r="A81" s="282" t="s">
        <v>2183</v>
      </c>
      <c r="B81" s="19" t="s">
        <v>2104</v>
      </c>
      <c r="C81" s="267">
        <v>44109.777777777781</v>
      </c>
    </row>
    <row r="82" spans="1:8" ht="16.5">
      <c r="A82" s="282" t="s">
        <v>2184</v>
      </c>
      <c r="B82" s="19" t="s">
        <v>2104</v>
      </c>
      <c r="C82" s="267">
        <v>44109.822916666664</v>
      </c>
    </row>
    <row r="83" spans="1:8" ht="16.5">
      <c r="A83" s="282" t="s">
        <v>2185</v>
      </c>
      <c r="B83" s="19" t="s">
        <v>2104</v>
      </c>
      <c r="C83" s="267">
        <v>44109.859027777777</v>
      </c>
    </row>
    <row r="84" spans="1:8" ht="16.5">
      <c r="A84" s="282" t="s">
        <v>2186</v>
      </c>
      <c r="B84" s="19" t="s">
        <v>2104</v>
      </c>
      <c r="C84" s="267">
        <v>44109.859722222223</v>
      </c>
    </row>
    <row r="85" spans="1:8" ht="16.5">
      <c r="A85" s="282" t="s">
        <v>2187</v>
      </c>
      <c r="B85" s="19" t="s">
        <v>2104</v>
      </c>
      <c r="C85" s="267">
        <v>44109.861111111109</v>
      </c>
    </row>
    <row r="86" spans="1:8" ht="16.5">
      <c r="A86" s="282" t="s">
        <v>2188</v>
      </c>
      <c r="B86" s="19" t="s">
        <v>2104</v>
      </c>
      <c r="C86" s="267">
        <v>44109.861111111109</v>
      </c>
    </row>
    <row r="87" spans="1:8" ht="16.5">
      <c r="A87" s="282" t="s">
        <v>2189</v>
      </c>
      <c r="B87" s="19" t="s">
        <v>2104</v>
      </c>
      <c r="C87" s="267">
        <v>44109.864583333336</v>
      </c>
    </row>
    <row r="88" spans="1:8" ht="16.5">
      <c r="A88" s="282" t="s">
        <v>2190</v>
      </c>
      <c r="B88" s="19" t="s">
        <v>2104</v>
      </c>
      <c r="C88" s="267">
        <v>44109.865972222222</v>
      </c>
    </row>
    <row r="89" spans="1:8" ht="57">
      <c r="A89" s="282" t="s">
        <v>2134</v>
      </c>
      <c r="B89" s="19" t="s">
        <v>2104</v>
      </c>
      <c r="C89" s="267">
        <v>44110.717361111114</v>
      </c>
      <c r="H89" s="30" t="s">
        <v>2191</v>
      </c>
    </row>
    <row r="90" spans="1:8" ht="16.5">
      <c r="A90" s="282" t="s">
        <v>2192</v>
      </c>
      <c r="B90" s="19" t="s">
        <v>2104</v>
      </c>
      <c r="C90" s="267">
        <v>44110.723611111112</v>
      </c>
    </row>
    <row r="91" spans="1:8" ht="16.5">
      <c r="A91" s="282" t="s">
        <v>2193</v>
      </c>
      <c r="B91" s="19" t="s">
        <v>2104</v>
      </c>
      <c r="C91" s="267">
        <v>44110.76666666667</v>
      </c>
    </row>
    <row r="92" spans="1:8" ht="16.5">
      <c r="A92" s="282" t="s">
        <v>2194</v>
      </c>
      <c r="B92" s="19" t="s">
        <v>2104</v>
      </c>
      <c r="C92" s="267">
        <v>44110.777777777781</v>
      </c>
    </row>
    <row r="93" spans="1:8" ht="16.5">
      <c r="A93" s="282" t="s">
        <v>2195</v>
      </c>
      <c r="B93" s="19" t="s">
        <v>2104</v>
      </c>
      <c r="C93" s="267">
        <v>44110.779861111114</v>
      </c>
    </row>
    <row r="94" spans="1:8" ht="16.5">
      <c r="A94" s="282" t="s">
        <v>2196</v>
      </c>
      <c r="B94" s="19" t="s">
        <v>2104</v>
      </c>
      <c r="C94" s="267">
        <v>44110.780555555553</v>
      </c>
    </row>
    <row r="95" spans="1:8" ht="71.25">
      <c r="A95" s="282" t="s">
        <v>2146</v>
      </c>
      <c r="B95" s="19" t="s">
        <v>2104</v>
      </c>
      <c r="C95" s="267">
        <v>44110.787499999999</v>
      </c>
      <c r="H95" s="30" t="s">
        <v>2147</v>
      </c>
    </row>
    <row r="96" spans="1:8" ht="16.5">
      <c r="A96" s="282" t="s">
        <v>2197</v>
      </c>
      <c r="B96" s="19" t="s">
        <v>2104</v>
      </c>
      <c r="C96" s="267">
        <v>44110.788194444445</v>
      </c>
    </row>
    <row r="97" spans="1:8" ht="16.5">
      <c r="A97" s="282" t="s">
        <v>2198</v>
      </c>
      <c r="B97" s="19" t="s">
        <v>2104</v>
      </c>
      <c r="C97" s="267">
        <v>44110.788194444445</v>
      </c>
    </row>
    <row r="98" spans="1:8" ht="16.5">
      <c r="A98" s="282" t="s">
        <v>2199</v>
      </c>
      <c r="B98" s="19" t="s">
        <v>2104</v>
      </c>
      <c r="C98" s="267">
        <v>44110.788194444445</v>
      </c>
    </row>
    <row r="99" spans="1:8" ht="16.5">
      <c r="A99" s="282" t="s">
        <v>2200</v>
      </c>
      <c r="B99" s="19" t="s">
        <v>2104</v>
      </c>
      <c r="C99" s="267">
        <v>44110.788888888892</v>
      </c>
    </row>
    <row r="100" spans="1:8" ht="16.5">
      <c r="A100" s="282" t="s">
        <v>2201</v>
      </c>
      <c r="B100" s="19" t="s">
        <v>2104</v>
      </c>
      <c r="C100" s="267">
        <v>44110.789583333331</v>
      </c>
    </row>
    <row r="101" spans="1:8" ht="57">
      <c r="A101" s="282" t="s">
        <v>2180</v>
      </c>
      <c r="B101" s="19" t="s">
        <v>2104</v>
      </c>
      <c r="C101" s="267">
        <v>44110.789583333331</v>
      </c>
      <c r="H101" s="30" t="s">
        <v>2202</v>
      </c>
    </row>
    <row r="102" spans="1:8" ht="16.5">
      <c r="A102" s="282" t="s">
        <v>2203</v>
      </c>
      <c r="B102" s="19" t="s">
        <v>2104</v>
      </c>
      <c r="C102" s="267">
        <v>44110.790972222225</v>
      </c>
    </row>
    <row r="103" spans="1:8" ht="16.5">
      <c r="A103" s="282" t="s">
        <v>2204</v>
      </c>
      <c r="B103" s="19" t="s">
        <v>2104</v>
      </c>
      <c r="C103" s="267">
        <v>44110.791666666664</v>
      </c>
    </row>
    <row r="104" spans="1:8" ht="16.5">
      <c r="A104" s="282" t="s">
        <v>2205</v>
      </c>
      <c r="B104" s="19" t="s">
        <v>2104</v>
      </c>
      <c r="C104" s="267">
        <v>44111.8125</v>
      </c>
    </row>
    <row r="105" spans="1:8" ht="16.5">
      <c r="A105" s="282" t="s">
        <v>2206</v>
      </c>
      <c r="B105" s="19" t="s">
        <v>2104</v>
      </c>
      <c r="C105" s="267">
        <v>44111.813888888886</v>
      </c>
    </row>
    <row r="106" spans="1:8" ht="16.5">
      <c r="A106" s="282" t="s">
        <v>2122</v>
      </c>
      <c r="B106" s="19" t="s">
        <v>2104</v>
      </c>
      <c r="C106" s="267">
        <v>44111.82708333333</v>
      </c>
    </row>
    <row r="107" spans="1:8" ht="16.5">
      <c r="A107" s="282" t="s">
        <v>2207</v>
      </c>
      <c r="B107" s="19" t="s">
        <v>2104</v>
      </c>
      <c r="C107" s="267">
        <v>44111.838194444441</v>
      </c>
    </row>
    <row r="108" spans="1:8" ht="16.5">
      <c r="A108" s="282" t="s">
        <v>2208</v>
      </c>
      <c r="B108" s="19" t="s">
        <v>2104</v>
      </c>
      <c r="C108" s="267">
        <v>44111.84097222222</v>
      </c>
    </row>
    <row r="109" spans="1:8" ht="16.5">
      <c r="A109" s="282" t="s">
        <v>2209</v>
      </c>
      <c r="B109" s="19" t="s">
        <v>2104</v>
      </c>
      <c r="C109" s="267">
        <v>44112.670138888891</v>
      </c>
    </row>
    <row r="110" spans="1:8" ht="16.5">
      <c r="A110" s="282" t="s">
        <v>2121</v>
      </c>
      <c r="B110" s="19" t="s">
        <v>2104</v>
      </c>
      <c r="C110" s="267">
        <v>44112.745833333334</v>
      </c>
    </row>
    <row r="111" spans="1:8" ht="16.5">
      <c r="A111" s="282" t="s">
        <v>2210</v>
      </c>
      <c r="B111" s="19" t="s">
        <v>2104</v>
      </c>
      <c r="C111" s="267">
        <v>44112.762499999997</v>
      </c>
    </row>
    <row r="112" spans="1:8" ht="16.5">
      <c r="A112" s="282" t="s">
        <v>2192</v>
      </c>
      <c r="B112" s="19" t="s">
        <v>2104</v>
      </c>
      <c r="C112" s="267">
        <v>44112.813888888886</v>
      </c>
    </row>
    <row r="113" spans="1:3" ht="16.5">
      <c r="A113" s="282" t="s">
        <v>2211</v>
      </c>
      <c r="B113" s="19" t="s">
        <v>2104</v>
      </c>
      <c r="C113" s="267">
        <v>44112.827777777777</v>
      </c>
    </row>
    <row r="114" spans="1:3" ht="16.5">
      <c r="A114" s="282" t="s">
        <v>2124</v>
      </c>
      <c r="B114" s="19" t="s">
        <v>2104</v>
      </c>
      <c r="C114" s="267">
        <v>44113.553472222222</v>
      </c>
    </row>
    <row r="115" spans="1:3" ht="16.5">
      <c r="A115" s="282" t="s">
        <v>2129</v>
      </c>
      <c r="B115" s="19" t="s">
        <v>2104</v>
      </c>
      <c r="C115" s="267">
        <v>44113.560416666667</v>
      </c>
    </row>
    <row r="116" spans="1:3" ht="16.5">
      <c r="A116" s="282" t="s">
        <v>2137</v>
      </c>
      <c r="B116" s="19" t="s">
        <v>2104</v>
      </c>
      <c r="C116" s="267">
        <v>44113.564583333333</v>
      </c>
    </row>
    <row r="117" spans="1:3" ht="16.5">
      <c r="A117" s="282" t="s">
        <v>2212</v>
      </c>
      <c r="B117" s="19" t="s">
        <v>2104</v>
      </c>
      <c r="C117" s="267">
        <v>44113.56527777778</v>
      </c>
    </row>
    <row r="118" spans="1:3" ht="16.5">
      <c r="A118" s="282" t="s">
        <v>2213</v>
      </c>
      <c r="B118" s="19" t="s">
        <v>2104</v>
      </c>
      <c r="C118" s="267">
        <v>44113.566666666666</v>
      </c>
    </row>
    <row r="119" spans="1:3" ht="16.5">
      <c r="A119" s="282" t="s">
        <v>1611</v>
      </c>
      <c r="B119" s="19" t="s">
        <v>2104</v>
      </c>
      <c r="C119" s="267">
        <v>44113.568055555559</v>
      </c>
    </row>
    <row r="120" spans="1:3" ht="16.5">
      <c r="A120" s="282" t="s">
        <v>2214</v>
      </c>
      <c r="B120" s="19" t="s">
        <v>2104</v>
      </c>
      <c r="C120" s="267">
        <v>44113.570138888892</v>
      </c>
    </row>
    <row r="121" spans="1:3" ht="16.5">
      <c r="A121" s="282" t="s">
        <v>2215</v>
      </c>
      <c r="B121" s="19" t="s">
        <v>2104</v>
      </c>
      <c r="C121" s="267">
        <v>44113.579861111109</v>
      </c>
    </row>
    <row r="122" spans="1:3" ht="16.5">
      <c r="A122" s="282" t="s">
        <v>2216</v>
      </c>
      <c r="B122" s="19" t="s">
        <v>2104</v>
      </c>
      <c r="C122" s="267">
        <v>44113.582638888889</v>
      </c>
    </row>
    <row r="123" spans="1:3" ht="16.5">
      <c r="A123" s="282" t="s">
        <v>2214</v>
      </c>
      <c r="B123" s="19" t="s">
        <v>2104</v>
      </c>
      <c r="C123" s="267">
        <v>44113.773611111108</v>
      </c>
    </row>
    <row r="124" spans="1:3" ht="16.5">
      <c r="A124" s="282" t="s">
        <v>2217</v>
      </c>
      <c r="B124" s="19" t="s">
        <v>2104</v>
      </c>
      <c r="C124" s="267">
        <v>44113.782638888886</v>
      </c>
    </row>
    <row r="125" spans="1:3" ht="16.5">
      <c r="A125" s="282" t="s">
        <v>2218</v>
      </c>
      <c r="B125" s="19" t="s">
        <v>2104</v>
      </c>
      <c r="C125" s="267">
        <v>44113.78402777778</v>
      </c>
    </row>
    <row r="126" spans="1:3" ht="16.5">
      <c r="A126" s="282" t="s">
        <v>2219</v>
      </c>
      <c r="B126" s="19" t="s">
        <v>2104</v>
      </c>
      <c r="C126" s="267">
        <v>44113.785416666666</v>
      </c>
    </row>
    <row r="127" spans="1:3" ht="16.5">
      <c r="A127" s="282" t="s">
        <v>2220</v>
      </c>
      <c r="B127" s="19" t="s">
        <v>2104</v>
      </c>
      <c r="C127" s="267">
        <v>44113.790972222225</v>
      </c>
    </row>
    <row r="128" spans="1:3" ht="16.5">
      <c r="A128" s="282" t="s">
        <v>2221</v>
      </c>
      <c r="B128" s="19" t="s">
        <v>2104</v>
      </c>
      <c r="C128" s="267">
        <v>44115.671527777777</v>
      </c>
    </row>
    <row r="129" spans="1:5">
      <c r="A129" s="237" t="s">
        <v>1321</v>
      </c>
      <c r="B129" s="268" t="s">
        <v>2222</v>
      </c>
      <c r="C129" s="267">
        <v>44256</v>
      </c>
      <c r="D129" s="269" t="s">
        <v>2223</v>
      </c>
    </row>
    <row r="130" spans="1:5">
      <c r="A130" s="237" t="s">
        <v>1284</v>
      </c>
      <c r="B130" s="268" t="s">
        <v>2222</v>
      </c>
      <c r="C130" s="267">
        <v>44256</v>
      </c>
      <c r="D130" s="269" t="s">
        <v>2223</v>
      </c>
    </row>
    <row r="131" spans="1:5">
      <c r="A131" s="237" t="s">
        <v>1323</v>
      </c>
      <c r="B131" s="268" t="s">
        <v>2222</v>
      </c>
      <c r="C131" s="267">
        <v>44256</v>
      </c>
      <c r="D131" s="269" t="s">
        <v>2223</v>
      </c>
    </row>
    <row r="132" spans="1:5" ht="16.5">
      <c r="A132" s="237" t="s">
        <v>1316</v>
      </c>
      <c r="B132" s="268" t="s">
        <v>2222</v>
      </c>
      <c r="C132" s="267">
        <v>44264</v>
      </c>
      <c r="D132" s="193" t="s">
        <v>2224</v>
      </c>
    </row>
    <row r="133" spans="1:5">
      <c r="A133" s="237" t="s">
        <v>1317</v>
      </c>
      <c r="B133" s="268" t="s">
        <v>2225</v>
      </c>
      <c r="C133" s="267">
        <v>44264</v>
      </c>
      <c r="D133" s="188"/>
      <c r="E133" s="172"/>
    </row>
    <row r="134" spans="1:5">
      <c r="A134" s="237" t="s">
        <v>1318</v>
      </c>
      <c r="B134" s="268" t="s">
        <v>2225</v>
      </c>
      <c r="C134" s="267">
        <v>44264</v>
      </c>
      <c r="D134" s="269" t="s">
        <v>2223</v>
      </c>
      <c r="E134" s="172"/>
    </row>
    <row r="135" spans="1:5" ht="16.5">
      <c r="A135" s="237" t="s">
        <v>1286</v>
      </c>
      <c r="B135" s="268" t="s">
        <v>2222</v>
      </c>
      <c r="C135" s="267">
        <v>44264</v>
      </c>
      <c r="D135" s="193" t="s">
        <v>1285</v>
      </c>
      <c r="E135" s="172"/>
    </row>
    <row r="136" spans="1:5">
      <c r="A136" s="237" t="s">
        <v>1320</v>
      </c>
      <c r="B136" s="268" t="s">
        <v>2225</v>
      </c>
      <c r="C136" s="267">
        <v>44264</v>
      </c>
      <c r="D136" s="172"/>
      <c r="E136" s="172"/>
    </row>
    <row r="137" spans="1:5">
      <c r="A137" s="237" t="s">
        <v>1281</v>
      </c>
      <c r="B137" s="268" t="s">
        <v>2225</v>
      </c>
      <c r="C137" s="267">
        <v>44265</v>
      </c>
      <c r="D137" s="188" t="s">
        <v>2224</v>
      </c>
      <c r="E137" s="172"/>
    </row>
    <row r="138" spans="1:5">
      <c r="A138" s="237" t="s">
        <v>1313</v>
      </c>
      <c r="B138" s="268" t="s">
        <v>2225</v>
      </c>
      <c r="C138" s="267">
        <v>44265</v>
      </c>
      <c r="D138" s="188"/>
      <c r="E138" s="172"/>
    </row>
    <row r="139" spans="1:5">
      <c r="A139" s="237" t="s">
        <v>1315</v>
      </c>
      <c r="B139" s="268" t="s">
        <v>2225</v>
      </c>
      <c r="C139" s="267">
        <v>44265</v>
      </c>
      <c r="D139" s="188" t="s">
        <v>2224</v>
      </c>
      <c r="E139" s="172"/>
    </row>
    <row r="140" spans="1:5">
      <c r="A140" s="237" t="s">
        <v>1310</v>
      </c>
      <c r="B140" s="268" t="s">
        <v>2225</v>
      </c>
      <c r="C140" s="267">
        <v>44266</v>
      </c>
      <c r="D140" s="188"/>
      <c r="E140" s="172"/>
    </row>
    <row r="141" spans="1:5">
      <c r="A141" s="237" t="s">
        <v>1311</v>
      </c>
      <c r="B141" s="268" t="s">
        <v>2225</v>
      </c>
      <c r="C141" s="267">
        <v>44266</v>
      </c>
      <c r="D141" s="188"/>
      <c r="E141" s="197"/>
    </row>
    <row r="142" spans="1:5">
      <c r="A142" s="237" t="s">
        <v>1312</v>
      </c>
      <c r="B142" s="268" t="s">
        <v>2225</v>
      </c>
      <c r="C142" s="267">
        <v>44266</v>
      </c>
      <c r="D142" s="269" t="s">
        <v>2223</v>
      </c>
      <c r="E142" s="172"/>
    </row>
    <row r="143" spans="1:5">
      <c r="A143" s="237" t="s">
        <v>1307</v>
      </c>
      <c r="B143" s="268" t="s">
        <v>2225</v>
      </c>
      <c r="C143" s="267">
        <v>44267</v>
      </c>
      <c r="D143" s="188" t="s">
        <v>2224</v>
      </c>
      <c r="E143" s="172"/>
    </row>
    <row r="144" spans="1:5">
      <c r="A144" s="237" t="s">
        <v>1308</v>
      </c>
      <c r="B144" s="268" t="s">
        <v>2225</v>
      </c>
      <c r="C144" s="267">
        <v>44267</v>
      </c>
      <c r="D144" s="269" t="s">
        <v>2223</v>
      </c>
      <c r="E144" s="172"/>
    </row>
    <row r="145" spans="1:5">
      <c r="A145" s="237" t="s">
        <v>1309</v>
      </c>
      <c r="B145" s="268" t="s">
        <v>2225</v>
      </c>
      <c r="C145" s="267">
        <v>44267</v>
      </c>
      <c r="D145" s="269" t="s">
        <v>2223</v>
      </c>
      <c r="E145" s="172"/>
    </row>
    <row r="146" spans="1:5" ht="16.5">
      <c r="A146" s="237" t="s">
        <v>1281</v>
      </c>
      <c r="B146" s="268" t="s">
        <v>2225</v>
      </c>
      <c r="C146" s="267">
        <v>44268</v>
      </c>
      <c r="D146" s="193" t="s">
        <v>1285</v>
      </c>
      <c r="E146" s="172"/>
    </row>
    <row r="147" spans="1:5" ht="16.5">
      <c r="A147" s="237" t="s">
        <v>1295</v>
      </c>
      <c r="B147" s="268" t="s">
        <v>2222</v>
      </c>
      <c r="C147" s="267">
        <v>44268</v>
      </c>
      <c r="D147" s="193" t="s">
        <v>2226</v>
      </c>
    </row>
    <row r="148" spans="1:5" ht="16.5">
      <c r="A148" s="237" t="s">
        <v>2227</v>
      </c>
      <c r="B148" s="268" t="s">
        <v>2222</v>
      </c>
      <c r="C148" s="267">
        <v>44268</v>
      </c>
      <c r="D148" s="193" t="s">
        <v>2226</v>
      </c>
    </row>
    <row r="149" spans="1:5">
      <c r="A149" s="237" t="s">
        <v>1297</v>
      </c>
      <c r="B149" s="268" t="s">
        <v>2222</v>
      </c>
      <c r="C149" s="267">
        <v>44268</v>
      </c>
      <c r="D149" s="188" t="s">
        <v>2224</v>
      </c>
    </row>
    <row r="150" spans="1:5">
      <c r="A150" s="237" t="s">
        <v>1298</v>
      </c>
      <c r="B150" s="268" t="s">
        <v>2222</v>
      </c>
      <c r="C150" s="267">
        <v>44268</v>
      </c>
      <c r="D150" s="188" t="s">
        <v>2224</v>
      </c>
    </row>
    <row r="151" spans="1:5" ht="16.5">
      <c r="A151" s="237" t="s">
        <v>1299</v>
      </c>
      <c r="B151" s="268" t="s">
        <v>2222</v>
      </c>
      <c r="C151" s="267">
        <v>44268</v>
      </c>
      <c r="D151" s="193" t="s">
        <v>2226</v>
      </c>
    </row>
    <row r="152" spans="1:5">
      <c r="A152" s="237" t="s">
        <v>2228</v>
      </c>
      <c r="B152" s="268" t="s">
        <v>2222</v>
      </c>
      <c r="C152" s="267">
        <v>44268</v>
      </c>
      <c r="D152" s="188" t="s">
        <v>2224</v>
      </c>
    </row>
    <row r="153" spans="1:5">
      <c r="A153" s="237" t="s">
        <v>2229</v>
      </c>
      <c r="B153" s="268" t="s">
        <v>2222</v>
      </c>
      <c r="C153" s="267">
        <v>44268</v>
      </c>
      <c r="D153" s="188" t="s">
        <v>2224</v>
      </c>
    </row>
    <row r="154" spans="1:5">
      <c r="A154" s="237" t="s">
        <v>1302</v>
      </c>
      <c r="B154" s="268" t="s">
        <v>2222</v>
      </c>
      <c r="C154" s="267">
        <v>44268</v>
      </c>
      <c r="D154" s="188" t="s">
        <v>2224</v>
      </c>
    </row>
    <row r="155" spans="1:5" ht="16.5">
      <c r="A155" s="237" t="s">
        <v>1303</v>
      </c>
      <c r="B155" s="268" t="s">
        <v>2222</v>
      </c>
      <c r="C155" s="267">
        <v>44268</v>
      </c>
      <c r="D155" s="193" t="s">
        <v>2226</v>
      </c>
    </row>
    <row r="156" spans="1:5">
      <c r="A156" s="237" t="s">
        <v>1304</v>
      </c>
      <c r="B156" s="268" t="s">
        <v>2222</v>
      </c>
      <c r="C156" s="267">
        <v>44268</v>
      </c>
      <c r="D156" s="188" t="s">
        <v>2224</v>
      </c>
    </row>
    <row r="157" spans="1:5">
      <c r="A157" s="237" t="s">
        <v>1305</v>
      </c>
      <c r="B157" s="268" t="s">
        <v>2222</v>
      </c>
      <c r="C157" s="267">
        <v>44268</v>
      </c>
      <c r="D157" s="172"/>
      <c r="E157" s="172"/>
    </row>
    <row r="158" spans="1:5">
      <c r="A158" s="237" t="s">
        <v>1306</v>
      </c>
      <c r="B158" s="268" t="s">
        <v>2225</v>
      </c>
      <c r="C158" s="267">
        <v>44268</v>
      </c>
      <c r="D158" s="269" t="s">
        <v>2223</v>
      </c>
      <c r="E158" s="196">
        <v>44273</v>
      </c>
    </row>
    <row r="159" spans="1:5">
      <c r="A159" s="237" t="s">
        <v>1290</v>
      </c>
      <c r="B159" s="268" t="s">
        <v>2222</v>
      </c>
      <c r="C159" s="267">
        <v>44269</v>
      </c>
      <c r="D159" s="172"/>
      <c r="E159" s="172"/>
    </row>
    <row r="160" spans="1:5" ht="16.5">
      <c r="A160" s="237" t="s">
        <v>1291</v>
      </c>
      <c r="B160" s="268" t="s">
        <v>2225</v>
      </c>
      <c r="C160" s="267">
        <v>44269</v>
      </c>
      <c r="D160" s="193" t="s">
        <v>1285</v>
      </c>
      <c r="E160" s="172"/>
    </row>
    <row r="161" spans="1:11">
      <c r="A161" s="237" t="s">
        <v>1294</v>
      </c>
      <c r="B161" s="268" t="s">
        <v>2222</v>
      </c>
      <c r="C161" s="267">
        <v>44269</v>
      </c>
      <c r="D161" s="172"/>
      <c r="E161" s="172"/>
    </row>
    <row r="162" spans="1:11">
      <c r="A162" s="237" t="s">
        <v>1282</v>
      </c>
      <c r="B162" s="268" t="s">
        <v>2222</v>
      </c>
      <c r="C162" s="267">
        <v>44269</v>
      </c>
      <c r="D162" s="172"/>
      <c r="E162" s="172"/>
    </row>
    <row r="163" spans="1:11">
      <c r="A163" s="237" t="s">
        <v>1281</v>
      </c>
      <c r="B163" s="268" t="s">
        <v>2225</v>
      </c>
      <c r="C163" s="267">
        <v>44270</v>
      </c>
      <c r="D163" s="188" t="s">
        <v>2230</v>
      </c>
      <c r="E163" s="172"/>
    </row>
    <row r="164" spans="1:11" ht="16.5">
      <c r="A164" s="237" t="s">
        <v>1283</v>
      </c>
      <c r="B164" s="268" t="s">
        <v>2222</v>
      </c>
      <c r="C164" s="267">
        <v>44270</v>
      </c>
      <c r="D164" s="193" t="s">
        <v>2231</v>
      </c>
      <c r="E164" s="172"/>
    </row>
    <row r="165" spans="1:11">
      <c r="A165" s="237" t="s">
        <v>1288</v>
      </c>
      <c r="B165" s="268" t="s">
        <v>2225</v>
      </c>
      <c r="C165" s="267">
        <v>44270</v>
      </c>
      <c r="D165" s="188"/>
      <c r="E165" s="172"/>
    </row>
    <row r="166" spans="1:11">
      <c r="A166" s="237" t="s">
        <v>1289</v>
      </c>
      <c r="B166" s="268" t="s">
        <v>2225</v>
      </c>
      <c r="C166" s="267">
        <v>44270</v>
      </c>
      <c r="D166" s="188" t="s">
        <v>2230</v>
      </c>
      <c r="E166" s="172"/>
    </row>
    <row r="167" spans="1:11" ht="16.5">
      <c r="A167" s="237" t="s">
        <v>1281</v>
      </c>
      <c r="B167" s="268" t="s">
        <v>2225</v>
      </c>
      <c r="C167" s="267">
        <v>44271</v>
      </c>
      <c r="D167" s="270" t="s">
        <v>2232</v>
      </c>
      <c r="E167" s="269" t="s">
        <v>2223</v>
      </c>
    </row>
    <row r="168" spans="1:11" ht="16.5">
      <c r="A168" s="237" t="s">
        <v>1280</v>
      </c>
      <c r="B168" s="268" t="s">
        <v>2225</v>
      </c>
      <c r="C168" s="267">
        <v>44271</v>
      </c>
      <c r="D168" s="193" t="s">
        <v>1285</v>
      </c>
      <c r="E168" s="172"/>
    </row>
    <row r="169" spans="1:11" ht="16.5">
      <c r="A169" s="237" t="s">
        <v>1282</v>
      </c>
      <c r="B169" s="268" t="s">
        <v>2225</v>
      </c>
      <c r="C169" s="267">
        <v>44271</v>
      </c>
      <c r="D169" s="271" t="s">
        <v>2233</v>
      </c>
      <c r="E169" s="269"/>
    </row>
    <row r="170" spans="1:11" ht="16.5">
      <c r="A170" s="237" t="s">
        <v>1280</v>
      </c>
      <c r="B170" s="268" t="s">
        <v>2225</v>
      </c>
      <c r="C170" s="267">
        <v>44272</v>
      </c>
      <c r="D170" s="270" t="s">
        <v>2234</v>
      </c>
      <c r="E170" s="188"/>
    </row>
    <row r="171" spans="1:11">
      <c r="A171" s="237" t="s">
        <v>2235</v>
      </c>
      <c r="B171" s="268" t="s">
        <v>2225</v>
      </c>
      <c r="C171" s="267">
        <v>44273.625</v>
      </c>
      <c r="D171" s="188" t="s">
        <v>2236</v>
      </c>
      <c r="E171" s="269" t="s">
        <v>2223</v>
      </c>
    </row>
    <row r="172" spans="1:11">
      <c r="A172" s="237" t="s">
        <v>1278</v>
      </c>
      <c r="B172" s="268" t="s">
        <v>2222</v>
      </c>
      <c r="C172" s="267">
        <v>44278</v>
      </c>
      <c r="D172" s="172"/>
      <c r="E172" s="192"/>
      <c r="F172" s="272"/>
      <c r="G172" s="272"/>
      <c r="H172" s="272"/>
    </row>
    <row r="173" spans="1:11">
      <c r="A173" s="237" t="s">
        <v>1277</v>
      </c>
      <c r="B173" s="268" t="s">
        <v>2222</v>
      </c>
      <c r="C173" s="267">
        <v>44278.625</v>
      </c>
      <c r="D173" s="172"/>
      <c r="E173" s="192"/>
      <c r="F173" s="272"/>
      <c r="G173" s="272"/>
      <c r="H173" s="272"/>
    </row>
    <row r="174" spans="1:11">
      <c r="A174" s="237" t="s">
        <v>1274</v>
      </c>
      <c r="B174" s="268" t="s">
        <v>2222</v>
      </c>
      <c r="C174" s="267">
        <v>44279.625</v>
      </c>
      <c r="D174" s="192"/>
      <c r="E174" s="192"/>
      <c r="F174" s="272"/>
      <c r="G174" s="272"/>
      <c r="H174" s="272"/>
      <c r="K174" s="273"/>
    </row>
    <row r="175" spans="1:11">
      <c r="A175" s="237" t="s">
        <v>1275</v>
      </c>
      <c r="B175" s="268" t="s">
        <v>2222</v>
      </c>
      <c r="C175" s="267">
        <v>44279.625</v>
      </c>
      <c r="D175" s="192"/>
      <c r="E175" s="192"/>
      <c r="F175" s="272"/>
      <c r="G175" s="272"/>
      <c r="H175" s="272"/>
      <c r="K175" s="273"/>
    </row>
    <row r="176" spans="1:11">
      <c r="A176" s="237" t="s">
        <v>1276</v>
      </c>
      <c r="B176" s="268" t="s">
        <v>2222</v>
      </c>
      <c r="C176" s="267">
        <v>44279.625</v>
      </c>
      <c r="D176" s="269" t="s">
        <v>2223</v>
      </c>
      <c r="E176" s="188"/>
      <c r="F176" s="272"/>
      <c r="G176" s="272"/>
      <c r="H176" s="272"/>
    </row>
    <row r="177" spans="1:11">
      <c r="A177" s="237" t="s">
        <v>1273</v>
      </c>
      <c r="B177" s="268" t="s">
        <v>2222</v>
      </c>
      <c r="C177" s="267">
        <v>44280</v>
      </c>
      <c r="D177" s="192"/>
      <c r="E177" s="192"/>
      <c r="F177" s="272"/>
      <c r="G177" s="272"/>
      <c r="H177" s="272"/>
      <c r="K177" s="273"/>
    </row>
    <row r="178" spans="1:11" ht="16.5">
      <c r="A178" s="170" t="s">
        <v>2053</v>
      </c>
      <c r="B178" s="19" t="s">
        <v>2225</v>
      </c>
      <c r="C178" s="267">
        <v>44280</v>
      </c>
      <c r="D178" s="232"/>
      <c r="E178" s="232"/>
    </row>
    <row r="179" spans="1:11" ht="16.5">
      <c r="A179" s="237" t="s">
        <v>1879</v>
      </c>
      <c r="B179" s="19" t="s">
        <v>2225</v>
      </c>
      <c r="C179" s="267">
        <v>44280</v>
      </c>
      <c r="D179" s="228"/>
      <c r="E179" s="228"/>
    </row>
    <row r="180" spans="1:11">
      <c r="A180" s="237" t="s">
        <v>1268</v>
      </c>
      <c r="B180" s="268" t="s">
        <v>2222</v>
      </c>
      <c r="C180" s="267">
        <v>44280.625</v>
      </c>
      <c r="D180" s="172"/>
      <c r="E180" s="172"/>
      <c r="F180" s="272"/>
      <c r="G180" s="272"/>
      <c r="H180" s="272"/>
      <c r="K180" s="273"/>
    </row>
    <row r="181" spans="1:11">
      <c r="A181" s="237" t="s">
        <v>1269</v>
      </c>
      <c r="B181" s="268" t="s">
        <v>2222</v>
      </c>
      <c r="C181" s="267">
        <v>44280.625</v>
      </c>
      <c r="D181" s="269" t="s">
        <v>2223</v>
      </c>
      <c r="E181" s="188"/>
      <c r="F181" s="272"/>
      <c r="G181" s="272"/>
      <c r="H181" s="272"/>
      <c r="K181" s="273"/>
    </row>
    <row r="182" spans="1:11">
      <c r="A182" s="292" t="s">
        <v>1270</v>
      </c>
      <c r="B182" s="268" t="s">
        <v>2222</v>
      </c>
      <c r="C182" s="267">
        <v>44280.625</v>
      </c>
      <c r="D182" s="192"/>
      <c r="E182" s="192"/>
      <c r="F182" s="272"/>
      <c r="G182" s="272"/>
      <c r="H182" s="272"/>
      <c r="K182" s="273"/>
    </row>
    <row r="183" spans="1:11">
      <c r="A183" s="237" t="s">
        <v>1271</v>
      </c>
      <c r="B183" s="268" t="s">
        <v>2222</v>
      </c>
      <c r="C183" s="267">
        <v>44280.625</v>
      </c>
      <c r="D183" s="192"/>
      <c r="E183" s="192"/>
      <c r="F183" s="272"/>
      <c r="G183" s="272"/>
      <c r="H183" s="272"/>
      <c r="K183" s="273"/>
    </row>
    <row r="184" spans="1:11">
      <c r="A184" s="237" t="s">
        <v>1272</v>
      </c>
      <c r="B184" s="268" t="s">
        <v>2222</v>
      </c>
      <c r="C184" s="267">
        <v>44280.625</v>
      </c>
      <c r="D184" s="192"/>
      <c r="E184" s="192"/>
      <c r="F184" s="272"/>
      <c r="G184" s="272"/>
      <c r="H184" s="272"/>
      <c r="K184" s="273"/>
    </row>
    <row r="185" spans="1:11">
      <c r="A185" s="237" t="s">
        <v>1264</v>
      </c>
      <c r="B185" s="268" t="s">
        <v>2222</v>
      </c>
      <c r="C185" s="267">
        <v>44281.625</v>
      </c>
      <c r="D185" s="172"/>
      <c r="E185" s="172"/>
      <c r="F185" s="272"/>
      <c r="G185" s="272"/>
      <c r="H185" s="272"/>
      <c r="K185" s="273"/>
    </row>
    <row r="186" spans="1:11">
      <c r="A186" s="237" t="s">
        <v>1265</v>
      </c>
      <c r="B186" s="268" t="s">
        <v>2222</v>
      </c>
      <c r="C186" s="267">
        <v>44281.625</v>
      </c>
      <c r="D186" s="172"/>
      <c r="E186" s="172"/>
      <c r="F186" s="272"/>
      <c r="G186" s="272"/>
      <c r="H186" s="272"/>
      <c r="K186" s="273"/>
    </row>
    <row r="187" spans="1:11">
      <c r="A187" s="237" t="s">
        <v>1266</v>
      </c>
      <c r="B187" s="268" t="s">
        <v>2222</v>
      </c>
      <c r="C187" s="267">
        <v>44281.625</v>
      </c>
      <c r="D187" s="172"/>
      <c r="E187" s="172"/>
      <c r="F187" s="272"/>
      <c r="G187" s="272"/>
      <c r="H187" s="272"/>
      <c r="K187" s="273"/>
    </row>
    <row r="188" spans="1:11">
      <c r="A188" s="237" t="s">
        <v>1267</v>
      </c>
      <c r="B188" s="268" t="s">
        <v>2222</v>
      </c>
      <c r="C188" s="267">
        <v>44281.625</v>
      </c>
      <c r="D188" s="172"/>
      <c r="E188" s="172"/>
      <c r="F188" s="272"/>
      <c r="G188" s="272"/>
      <c r="H188" s="272"/>
      <c r="K188" s="273"/>
    </row>
    <row r="189" spans="1:11" ht="16.5">
      <c r="A189" s="237" t="s">
        <v>2057</v>
      </c>
      <c r="B189" s="19" t="s">
        <v>2225</v>
      </c>
      <c r="C189" s="267">
        <v>44305</v>
      </c>
      <c r="D189" s="172"/>
      <c r="E189" s="267"/>
      <c r="F189" s="283">
        <f t="shared" ref="F189" si="0">E189-C189</f>
        <v>-44305</v>
      </c>
    </row>
    <row r="190" spans="1:11" ht="16.5">
      <c r="A190" s="282" t="s">
        <v>2185</v>
      </c>
      <c r="B190" s="19" t="s">
        <v>2104</v>
      </c>
      <c r="C190" s="267">
        <v>44112.790972222225</v>
      </c>
    </row>
    <row r="191" spans="1:11" ht="16.5">
      <c r="A191" s="282" t="s">
        <v>2237</v>
      </c>
      <c r="B191" s="19" t="s">
        <v>2104</v>
      </c>
      <c r="C191" s="267">
        <v>44117.57708333333</v>
      </c>
    </row>
    <row r="192" spans="1:11" ht="16.5">
      <c r="A192" s="282" t="s">
        <v>2173</v>
      </c>
      <c r="B192" s="19" t="s">
        <v>2104</v>
      </c>
      <c r="C192" s="267">
        <v>44117.643750000003</v>
      </c>
    </row>
    <row r="193" spans="1:8" ht="16.5">
      <c r="A193" s="282" t="s">
        <v>2214</v>
      </c>
      <c r="B193" s="19" t="s">
        <v>2104</v>
      </c>
      <c r="C193" s="267">
        <v>44117.566666666666</v>
      </c>
    </row>
    <row r="194" spans="1:8" ht="16.5">
      <c r="A194" s="282" t="s">
        <v>2238</v>
      </c>
      <c r="B194" s="19" t="s">
        <v>2104</v>
      </c>
      <c r="C194" s="267">
        <v>44117.548611111109</v>
      </c>
    </row>
    <row r="195" spans="1:8" ht="16.5">
      <c r="A195" s="282" t="s">
        <v>2239</v>
      </c>
      <c r="B195" s="19" t="s">
        <v>2104</v>
      </c>
      <c r="C195" s="267">
        <v>44110.77847222222</v>
      </c>
    </row>
    <row r="196" spans="1:8" ht="16.5">
      <c r="A196" s="282" t="s">
        <v>1611</v>
      </c>
      <c r="B196" s="19" t="s">
        <v>2104</v>
      </c>
      <c r="C196" s="267">
        <v>44117.565972222219</v>
      </c>
    </row>
    <row r="197" spans="1:8" ht="16.5">
      <c r="A197" s="282" t="s">
        <v>2157</v>
      </c>
      <c r="B197" s="19" t="s">
        <v>2104</v>
      </c>
      <c r="C197" s="267">
        <v>44117.742361111108</v>
      </c>
      <c r="H197" s="215" t="s">
        <v>2240</v>
      </c>
    </row>
    <row r="198" spans="1:8" ht="16.5">
      <c r="A198" s="282" t="s">
        <v>2130</v>
      </c>
      <c r="B198" s="19" t="s">
        <v>2104</v>
      </c>
      <c r="C198" s="267">
        <v>44112.738888888889</v>
      </c>
    </row>
    <row r="199" spans="1:8" ht="16.5">
      <c r="A199" s="282" t="s">
        <v>2241</v>
      </c>
      <c r="B199" s="19" t="s">
        <v>2104</v>
      </c>
      <c r="C199" s="267">
        <v>44117.606944444444</v>
      </c>
    </row>
    <row r="200" spans="1:8" ht="16.5">
      <c r="A200" s="282" t="s">
        <v>2242</v>
      </c>
      <c r="B200" s="19" t="s">
        <v>2104</v>
      </c>
      <c r="C200" s="267">
        <v>44117.547222222223</v>
      </c>
    </row>
    <row r="201" spans="1:8" ht="16.5">
      <c r="A201" s="282" t="s">
        <v>2243</v>
      </c>
      <c r="B201" s="19" t="s">
        <v>2104</v>
      </c>
      <c r="C201" s="267">
        <v>44102.896527777775</v>
      </c>
      <c r="F201" s="283">
        <f t="shared" ref="F201:F209" si="1">E201-C201</f>
        <v>-44102.896527777775</v>
      </c>
    </row>
    <row r="202" spans="1:8" ht="16.5">
      <c r="A202" s="282" t="s">
        <v>2244</v>
      </c>
      <c r="B202" s="19" t="s">
        <v>2104</v>
      </c>
      <c r="C202" s="267">
        <v>44117.867361111108</v>
      </c>
      <c r="F202" s="283">
        <f t="shared" si="1"/>
        <v>-44117.867361111108</v>
      </c>
    </row>
    <row r="203" spans="1:8" ht="16.5">
      <c r="A203" s="282" t="s">
        <v>2245</v>
      </c>
      <c r="B203" s="19" t="s">
        <v>2104</v>
      </c>
      <c r="C203" s="267">
        <v>44117.549305555556</v>
      </c>
      <c r="E203" s="267"/>
      <c r="F203" s="283">
        <f t="shared" si="1"/>
        <v>-44117.549305555556</v>
      </c>
    </row>
    <row r="204" spans="1:8" ht="16.5">
      <c r="A204" s="282" t="s">
        <v>2192</v>
      </c>
      <c r="B204" s="19" t="s">
        <v>2104</v>
      </c>
      <c r="C204" s="267">
        <v>44117.865277777775</v>
      </c>
      <c r="E204" s="267"/>
      <c r="F204" s="283">
        <f t="shared" si="1"/>
        <v>-44117.865277777775</v>
      </c>
    </row>
    <row r="205" spans="1:8" ht="16.5">
      <c r="A205" s="282" t="s">
        <v>2246</v>
      </c>
      <c r="B205" s="19" t="s">
        <v>2104</v>
      </c>
      <c r="C205" s="267">
        <v>44112.738194444442</v>
      </c>
      <c r="E205" s="267"/>
      <c r="F205" s="283">
        <f t="shared" si="1"/>
        <v>-44112.738194444442</v>
      </c>
    </row>
    <row r="206" spans="1:8" ht="16.5">
      <c r="A206" s="282" t="s">
        <v>2193</v>
      </c>
      <c r="B206" s="19" t="s">
        <v>2104</v>
      </c>
      <c r="C206" s="267">
        <v>44119.470833333333</v>
      </c>
      <c r="E206" s="267"/>
      <c r="F206" s="283">
        <f t="shared" si="1"/>
        <v>-44119.470833333333</v>
      </c>
    </row>
    <row r="207" spans="1:8" ht="71.25">
      <c r="A207" s="282" t="s">
        <v>2247</v>
      </c>
      <c r="B207" s="19" t="s">
        <v>2104</v>
      </c>
      <c r="C207" s="267">
        <v>44117.607638888891</v>
      </c>
      <c r="E207" s="267"/>
      <c r="F207" s="283">
        <f t="shared" si="1"/>
        <v>-44117.607638888891</v>
      </c>
      <c r="H207" s="30" t="s">
        <v>2248</v>
      </c>
    </row>
    <row r="208" spans="1:8" ht="57">
      <c r="A208" s="282" t="s">
        <v>2134</v>
      </c>
      <c r="B208" s="19" t="s">
        <v>2104</v>
      </c>
      <c r="C208" s="267">
        <v>44117.561805555553</v>
      </c>
      <c r="E208" s="267"/>
      <c r="F208" s="283">
        <f t="shared" si="1"/>
        <v>-44117.561805555553</v>
      </c>
      <c r="H208" s="30" t="s">
        <v>2249</v>
      </c>
    </row>
    <row r="209" spans="1:8" ht="16.5">
      <c r="A209" s="282" t="s">
        <v>2199</v>
      </c>
      <c r="B209" s="19" t="s">
        <v>2104</v>
      </c>
      <c r="C209" s="267">
        <v>44117.783333333333</v>
      </c>
      <c r="E209" s="267">
        <v>44119.606249999997</v>
      </c>
      <c r="F209" s="283">
        <f t="shared" si="1"/>
        <v>1.8229166666642413</v>
      </c>
    </row>
    <row r="210" spans="1:8" ht="16.5">
      <c r="A210" s="31" t="s">
        <v>2250</v>
      </c>
      <c r="B210" s="19" t="s">
        <v>2104</v>
      </c>
      <c r="C210" s="267">
        <v>44119.609027777777</v>
      </c>
      <c r="E210" s="267">
        <v>44119.615972222222</v>
      </c>
      <c r="F210" s="283">
        <f t="shared" ref="F210:F215" si="2">E210-C210</f>
        <v>6.9444444452528842E-3</v>
      </c>
    </row>
    <row r="211" spans="1:8" ht="16.5">
      <c r="A211" s="282" t="s">
        <v>2251</v>
      </c>
      <c r="B211" s="19" t="s">
        <v>2104</v>
      </c>
      <c r="C211" s="267">
        <v>44117.59652777778</v>
      </c>
      <c r="E211" s="267">
        <v>44119.691666666666</v>
      </c>
      <c r="F211" s="283">
        <f t="shared" si="2"/>
        <v>2.0951388888861402</v>
      </c>
    </row>
    <row r="212" spans="1:8" ht="16.5">
      <c r="A212" s="282" t="s">
        <v>2252</v>
      </c>
      <c r="B212" s="19" t="s">
        <v>2104</v>
      </c>
      <c r="C212" s="267">
        <v>44101.692361111112</v>
      </c>
      <c r="E212" s="267">
        <v>44119.713194444441</v>
      </c>
      <c r="F212" s="283">
        <f t="shared" si="2"/>
        <v>18.020833333328483</v>
      </c>
      <c r="H212" s="36" t="s">
        <v>2253</v>
      </c>
    </row>
    <row r="213" spans="1:8" ht="16.5">
      <c r="A213" s="282" t="s">
        <v>2254</v>
      </c>
      <c r="B213" s="19" t="s">
        <v>2104</v>
      </c>
      <c r="C213" s="267">
        <v>44113.556250000001</v>
      </c>
      <c r="E213" s="267">
        <v>44119.718055555553</v>
      </c>
      <c r="F213" s="283">
        <f t="shared" si="2"/>
        <v>6.1618055555518367</v>
      </c>
    </row>
    <row r="214" spans="1:8" ht="16.5">
      <c r="A214" s="282" t="s">
        <v>2254</v>
      </c>
      <c r="B214" s="19" t="s">
        <v>2104</v>
      </c>
      <c r="C214" s="267">
        <v>44113.78125</v>
      </c>
      <c r="E214" s="267">
        <v>44119.718055555553</v>
      </c>
      <c r="F214" s="283">
        <f t="shared" si="2"/>
        <v>5.9368055555532919</v>
      </c>
    </row>
    <row r="215" spans="1:8" ht="16.5">
      <c r="A215" s="282" t="s">
        <v>2255</v>
      </c>
      <c r="B215" s="19" t="s">
        <v>2104</v>
      </c>
      <c r="C215" s="267">
        <v>44118.527777777781</v>
      </c>
      <c r="E215" s="267">
        <v>44119.762499999997</v>
      </c>
      <c r="F215" s="283">
        <f t="shared" si="2"/>
        <v>1.2347222222160781</v>
      </c>
    </row>
    <row r="216" spans="1:8" ht="16.5">
      <c r="A216" s="31" t="s">
        <v>2256</v>
      </c>
      <c r="B216" s="19" t="s">
        <v>2104</v>
      </c>
      <c r="C216" s="267">
        <v>44119.810416666667</v>
      </c>
      <c r="E216" s="267">
        <v>44120.310416666667</v>
      </c>
      <c r="F216" s="283">
        <f t="shared" ref="F216:F221" si="3">E216-C216</f>
        <v>0.5</v>
      </c>
    </row>
    <row r="217" spans="1:8" ht="16.5">
      <c r="A217" s="282" t="s">
        <v>2221</v>
      </c>
      <c r="B217" s="19" t="s">
        <v>2104</v>
      </c>
      <c r="C217" s="267">
        <v>44119.811111111114</v>
      </c>
      <c r="E217" s="267">
        <v>44120.310416666667</v>
      </c>
      <c r="F217" s="283">
        <f t="shared" si="3"/>
        <v>0.49930555555329192</v>
      </c>
    </row>
    <row r="218" spans="1:8" ht="16.5">
      <c r="A218" s="282" t="s">
        <v>2257</v>
      </c>
      <c r="B218" s="19" t="s">
        <v>2104</v>
      </c>
      <c r="C218" s="267">
        <v>44119.674305555556</v>
      </c>
      <c r="E218" s="267">
        <v>44120.427083333336</v>
      </c>
      <c r="F218" s="283">
        <f t="shared" si="3"/>
        <v>0.75277777777955635</v>
      </c>
    </row>
    <row r="219" spans="1:8" ht="57">
      <c r="A219" s="282" t="s">
        <v>2258</v>
      </c>
      <c r="B219" s="19" t="s">
        <v>2104</v>
      </c>
      <c r="C219" s="267">
        <v>44105.554166666669</v>
      </c>
      <c r="E219" s="267">
        <v>44120.443055555559</v>
      </c>
      <c r="F219" s="283">
        <f t="shared" si="3"/>
        <v>14.888888888890506</v>
      </c>
      <c r="H219" s="30" t="s">
        <v>2259</v>
      </c>
    </row>
    <row r="220" spans="1:8" ht="16.5">
      <c r="A220" s="282" t="s">
        <v>2260</v>
      </c>
      <c r="B220" s="19" t="s">
        <v>2104</v>
      </c>
      <c r="C220" s="267">
        <v>44117.54791666667</v>
      </c>
      <c r="E220" s="267">
        <v>44120.565972222219</v>
      </c>
      <c r="F220" s="283">
        <f t="shared" si="3"/>
        <v>3.0180555555489263</v>
      </c>
    </row>
    <row r="221" spans="1:8" ht="16.5">
      <c r="A221" s="282" t="s">
        <v>2261</v>
      </c>
      <c r="B221" s="19" t="s">
        <v>2104</v>
      </c>
      <c r="C221" s="267">
        <v>44117.572916666664</v>
      </c>
      <c r="E221" s="267">
        <v>44120.57916666667</v>
      </c>
      <c r="F221" s="283">
        <f t="shared" si="3"/>
        <v>3.0062500000058208</v>
      </c>
    </row>
    <row r="222" spans="1:8" ht="16.5">
      <c r="A222" s="282" t="s">
        <v>2262</v>
      </c>
      <c r="B222" s="19" t="s">
        <v>2104</v>
      </c>
      <c r="C222" s="267">
        <v>44117.587500000001</v>
      </c>
      <c r="E222" s="267">
        <v>44120.597916666666</v>
      </c>
      <c r="F222" s="283">
        <f t="shared" ref="F222:F238" si="4">E222-C222</f>
        <v>3.0104166666642413</v>
      </c>
    </row>
    <row r="223" spans="1:8" ht="16.5">
      <c r="A223" s="282" t="s">
        <v>2263</v>
      </c>
      <c r="B223" s="19" t="s">
        <v>2104</v>
      </c>
      <c r="C223" s="267">
        <v>44119.609722222223</v>
      </c>
      <c r="E223" s="267">
        <v>44120.620138888888</v>
      </c>
      <c r="F223" s="283">
        <f t="shared" si="4"/>
        <v>1.0104166666642413</v>
      </c>
    </row>
    <row r="224" spans="1:8" ht="57">
      <c r="A224" s="282" t="s">
        <v>2264</v>
      </c>
      <c r="B224" s="19" t="s">
        <v>2104</v>
      </c>
      <c r="C224" s="267">
        <v>44117.62222222222</v>
      </c>
      <c r="E224" s="267">
        <v>44120.631249999999</v>
      </c>
      <c r="F224" s="283">
        <f t="shared" si="4"/>
        <v>3.0090277777781012</v>
      </c>
      <c r="H224" s="30" t="s">
        <v>2265</v>
      </c>
    </row>
    <row r="225" spans="1:8" ht="16.5">
      <c r="A225" s="282" t="s">
        <v>2152</v>
      </c>
      <c r="B225" s="19" t="s">
        <v>2104</v>
      </c>
      <c r="C225" s="267">
        <v>44120.586111111108</v>
      </c>
      <c r="E225" s="267">
        <v>44120.645138888889</v>
      </c>
      <c r="F225" s="283">
        <f t="shared" si="4"/>
        <v>5.9027777781011537E-2</v>
      </c>
    </row>
    <row r="226" spans="1:8" ht="16.5">
      <c r="A226" s="282" t="s">
        <v>2266</v>
      </c>
      <c r="B226" s="19" t="s">
        <v>2104</v>
      </c>
      <c r="C226" s="267">
        <v>44117.677083333336</v>
      </c>
      <c r="E226" s="267">
        <v>44120.681944444441</v>
      </c>
      <c r="F226" s="283">
        <f t="shared" si="4"/>
        <v>3.0048611111051287</v>
      </c>
    </row>
    <row r="227" spans="1:8" ht="16.5">
      <c r="A227" s="282" t="s">
        <v>2267</v>
      </c>
      <c r="B227" s="19" t="s">
        <v>2104</v>
      </c>
      <c r="C227" s="267">
        <v>44119.611805555556</v>
      </c>
      <c r="E227" s="267">
        <v>44121.927083333336</v>
      </c>
      <c r="F227" s="283">
        <f t="shared" si="4"/>
        <v>2.3152777777795563</v>
      </c>
    </row>
    <row r="228" spans="1:8" ht="16.5">
      <c r="A228" s="282" t="s">
        <v>2268</v>
      </c>
      <c r="B228" s="19" t="s">
        <v>2104</v>
      </c>
      <c r="C228" s="267">
        <v>44117.616666666669</v>
      </c>
      <c r="E228" s="267">
        <v>44123.376388888886</v>
      </c>
      <c r="F228" s="283">
        <f t="shared" si="4"/>
        <v>5.7597222222175333</v>
      </c>
      <c r="H228" s="215" t="s">
        <v>2269</v>
      </c>
    </row>
    <row r="229" spans="1:8" ht="16.5">
      <c r="A229" s="282" t="s">
        <v>2270</v>
      </c>
      <c r="B229" s="19" t="s">
        <v>2104</v>
      </c>
      <c r="C229" s="267">
        <v>44117.564583333333</v>
      </c>
      <c r="E229" s="267">
        <v>44123.387499999997</v>
      </c>
      <c r="F229" s="283">
        <f t="shared" si="4"/>
        <v>5.8229166666642413</v>
      </c>
    </row>
    <row r="230" spans="1:8" ht="16.5">
      <c r="A230" s="282" t="s">
        <v>2271</v>
      </c>
      <c r="B230" s="19" t="s">
        <v>2104</v>
      </c>
      <c r="C230" s="267">
        <v>44122.77847222222</v>
      </c>
      <c r="E230" s="267">
        <v>44123.425694444442</v>
      </c>
      <c r="F230" s="283">
        <f t="shared" si="4"/>
        <v>0.64722222222189885</v>
      </c>
    </row>
    <row r="231" spans="1:8" ht="16.5">
      <c r="A231" s="282" t="s">
        <v>2272</v>
      </c>
      <c r="B231" s="19" t="s">
        <v>2104</v>
      </c>
      <c r="C231" s="267">
        <v>44117.868750000001</v>
      </c>
      <c r="E231" s="267">
        <v>44123.426388888889</v>
      </c>
      <c r="F231" s="283">
        <f t="shared" si="4"/>
        <v>5.5576388888875954</v>
      </c>
    </row>
    <row r="232" spans="1:8" ht="16.5">
      <c r="A232" s="282" t="s">
        <v>2273</v>
      </c>
      <c r="B232" s="19" t="s">
        <v>2104</v>
      </c>
      <c r="C232" s="267">
        <v>44122.772222222222</v>
      </c>
      <c r="E232" s="267">
        <v>44123.451388888891</v>
      </c>
      <c r="F232" s="283">
        <f t="shared" si="4"/>
        <v>0.67916666666860692</v>
      </c>
    </row>
    <row r="233" spans="1:8" ht="16.5">
      <c r="A233" s="282" t="s">
        <v>2274</v>
      </c>
      <c r="B233" s="19" t="s">
        <v>2104</v>
      </c>
      <c r="C233" s="267">
        <v>44119.63958333333</v>
      </c>
      <c r="E233" s="267">
        <v>44123.45208333333</v>
      </c>
      <c r="F233" s="283">
        <f t="shared" si="4"/>
        <v>3.8125</v>
      </c>
    </row>
    <row r="234" spans="1:8" ht="16.5">
      <c r="A234" s="282" t="s">
        <v>2275</v>
      </c>
      <c r="B234" s="19" t="s">
        <v>2104</v>
      </c>
      <c r="C234" s="267">
        <v>44117.773611111108</v>
      </c>
      <c r="E234" s="267">
        <v>44123.466666666667</v>
      </c>
      <c r="F234" s="283">
        <f t="shared" si="4"/>
        <v>5.6930555555591127</v>
      </c>
    </row>
    <row r="235" spans="1:8" ht="16.5">
      <c r="A235" s="282" t="s">
        <v>2276</v>
      </c>
      <c r="B235" s="19" t="s">
        <v>2104</v>
      </c>
      <c r="C235" s="267">
        <v>44122.718055555553</v>
      </c>
      <c r="E235" s="267">
        <v>44123.470138888886</v>
      </c>
      <c r="F235" s="283">
        <f t="shared" si="4"/>
        <v>0.75208333333284827</v>
      </c>
    </row>
    <row r="236" spans="1:8" ht="16.5">
      <c r="A236" s="282" t="s">
        <v>2277</v>
      </c>
      <c r="B236" s="19" t="s">
        <v>2104</v>
      </c>
      <c r="C236" s="267">
        <v>44117.77847222222</v>
      </c>
      <c r="E236" s="267">
        <v>44123.487500000003</v>
      </c>
      <c r="F236" s="283">
        <f t="shared" si="4"/>
        <v>5.7090277777824667</v>
      </c>
    </row>
    <row r="237" spans="1:8" ht="16.5">
      <c r="A237" s="282" t="s">
        <v>2278</v>
      </c>
      <c r="B237" s="19" t="s">
        <v>2104</v>
      </c>
      <c r="C237" s="267">
        <v>44110.790972222225</v>
      </c>
      <c r="E237" s="267">
        <v>44123.495138888888</v>
      </c>
      <c r="F237" s="283">
        <f t="shared" si="4"/>
        <v>12.704166666662786</v>
      </c>
    </row>
    <row r="238" spans="1:8" ht="16.5">
      <c r="A238" s="282" t="s">
        <v>2273</v>
      </c>
      <c r="B238" s="19" t="s">
        <v>2104</v>
      </c>
      <c r="C238" s="267">
        <v>44119.783333333333</v>
      </c>
      <c r="E238" s="267">
        <v>44123.522916666669</v>
      </c>
      <c r="F238" s="283">
        <f t="shared" si="4"/>
        <v>3.7395833333357587</v>
      </c>
    </row>
    <row r="239" spans="1:8" ht="16.5">
      <c r="A239" s="282" t="s">
        <v>2260</v>
      </c>
      <c r="B239" s="19" t="s">
        <v>2104</v>
      </c>
      <c r="C239" s="267">
        <v>44117.55972222222</v>
      </c>
      <c r="E239" s="267">
        <v>44123.538888888892</v>
      </c>
      <c r="F239" s="283">
        <f t="shared" ref="F239:F250" si="5">E239-C239</f>
        <v>5.9791666666715173</v>
      </c>
    </row>
    <row r="240" spans="1:8" ht="16.5">
      <c r="A240" s="282" t="s">
        <v>2279</v>
      </c>
      <c r="B240" s="19" t="s">
        <v>2104</v>
      </c>
      <c r="C240" s="267">
        <v>44119.60833333333</v>
      </c>
      <c r="E240" s="267">
        <v>44123.565972222219</v>
      </c>
      <c r="F240" s="283">
        <f t="shared" si="5"/>
        <v>3.9576388888890506</v>
      </c>
    </row>
    <row r="241" spans="1:8" ht="16.5">
      <c r="A241" s="282" t="s">
        <v>2280</v>
      </c>
      <c r="B241" s="19" t="s">
        <v>2104</v>
      </c>
      <c r="C241" s="267">
        <v>44122.804861111108</v>
      </c>
      <c r="E241" s="267">
        <v>44123.57916666667</v>
      </c>
      <c r="F241" s="283">
        <f t="shared" si="5"/>
        <v>0.77430555556202307</v>
      </c>
    </row>
    <row r="242" spans="1:8" ht="16.5">
      <c r="A242" s="282" t="s">
        <v>2281</v>
      </c>
      <c r="B242" s="19" t="s">
        <v>2104</v>
      </c>
      <c r="C242" s="267">
        <v>44118.538888888892</v>
      </c>
      <c r="E242" s="267">
        <v>44123.57916666667</v>
      </c>
      <c r="F242" s="283">
        <f t="shared" si="5"/>
        <v>5.0402777777781012</v>
      </c>
    </row>
    <row r="243" spans="1:8" ht="57">
      <c r="A243" s="282" t="s">
        <v>2117</v>
      </c>
      <c r="B243" s="19" t="s">
        <v>2104</v>
      </c>
      <c r="C243" s="267">
        <v>44122.774305555555</v>
      </c>
      <c r="E243" s="267">
        <v>44123.593055555553</v>
      </c>
      <c r="F243" s="283">
        <f t="shared" si="5"/>
        <v>0.81874999999854481</v>
      </c>
      <c r="H243" s="30" t="s">
        <v>2282</v>
      </c>
    </row>
    <row r="244" spans="1:8" ht="99.75">
      <c r="A244" s="282" t="s">
        <v>2283</v>
      </c>
      <c r="B244" s="19" t="s">
        <v>2104</v>
      </c>
      <c r="C244" s="267">
        <v>44119.60833333333</v>
      </c>
      <c r="E244" s="267">
        <v>44123.638888888891</v>
      </c>
      <c r="F244" s="283">
        <f t="shared" si="5"/>
        <v>4.0305555555605679</v>
      </c>
      <c r="H244" s="30" t="s">
        <v>2284</v>
      </c>
    </row>
    <row r="245" spans="1:8" ht="16.5">
      <c r="A245" s="282" t="s">
        <v>2285</v>
      </c>
      <c r="B245" s="19" t="s">
        <v>2104</v>
      </c>
      <c r="C245" s="267">
        <v>44122.797222222223</v>
      </c>
      <c r="E245" s="267">
        <v>44123.64166666667</v>
      </c>
      <c r="F245" s="283">
        <f t="shared" si="5"/>
        <v>0.84444444444670808</v>
      </c>
    </row>
    <row r="246" spans="1:8" ht="16.5">
      <c r="A246" s="282" t="s">
        <v>2286</v>
      </c>
      <c r="B246" s="19" t="s">
        <v>2104</v>
      </c>
      <c r="C246" s="267">
        <v>44122.779861111114</v>
      </c>
      <c r="E246" s="267">
        <v>44123.743055555555</v>
      </c>
      <c r="F246" s="283">
        <f t="shared" si="5"/>
        <v>0.96319444444088731</v>
      </c>
    </row>
    <row r="247" spans="1:8" ht="16.5">
      <c r="A247" s="282" t="s">
        <v>2287</v>
      </c>
      <c r="B247" s="19" t="s">
        <v>2104</v>
      </c>
      <c r="C247" s="267">
        <v>44122.775000000001</v>
      </c>
      <c r="E247" s="267">
        <v>44123.761805555558</v>
      </c>
      <c r="F247" s="283">
        <f t="shared" si="5"/>
        <v>0.98680555555620231</v>
      </c>
    </row>
    <row r="248" spans="1:8" ht="42.75">
      <c r="A248" s="282" t="s">
        <v>2288</v>
      </c>
      <c r="B248" s="19" t="s">
        <v>2104</v>
      </c>
      <c r="C248" s="267">
        <v>44112.804861111108</v>
      </c>
      <c r="E248" s="267">
        <v>44123.783333333333</v>
      </c>
      <c r="F248" s="283">
        <f t="shared" si="5"/>
        <v>10.978472222224809</v>
      </c>
      <c r="H248" s="30" t="s">
        <v>2289</v>
      </c>
    </row>
    <row r="249" spans="1:8" ht="16.5">
      <c r="A249" s="282" t="s">
        <v>2290</v>
      </c>
      <c r="B249" s="19" t="s">
        <v>2104</v>
      </c>
      <c r="C249" s="267">
        <v>44119.818749999999</v>
      </c>
      <c r="E249" s="267">
        <v>44123.790277777778</v>
      </c>
      <c r="F249" s="283">
        <f t="shared" si="5"/>
        <v>3.9715277777795563</v>
      </c>
    </row>
    <row r="250" spans="1:8" ht="16.5">
      <c r="A250" s="282" t="s">
        <v>2149</v>
      </c>
      <c r="B250" s="19" t="s">
        <v>2104</v>
      </c>
      <c r="C250" s="267">
        <v>44122.773611111108</v>
      </c>
      <c r="E250" s="267">
        <v>44124.37777777778</v>
      </c>
      <c r="F250" s="283">
        <f t="shared" si="5"/>
        <v>1.6041666666715173</v>
      </c>
    </row>
    <row r="251" spans="1:8" ht="16.5">
      <c r="A251" s="282" t="s">
        <v>2291</v>
      </c>
      <c r="B251" s="19" t="s">
        <v>2104</v>
      </c>
      <c r="C251" s="267">
        <v>44122.720833333333</v>
      </c>
      <c r="E251" s="267">
        <v>44124.386111111111</v>
      </c>
      <c r="F251" s="283">
        <f t="shared" ref="F251:F268" si="6">E251-C251</f>
        <v>1.6652777777781012</v>
      </c>
    </row>
    <row r="252" spans="1:8" ht="16.5">
      <c r="A252" s="282" t="s">
        <v>2122</v>
      </c>
      <c r="B252" s="19" t="s">
        <v>2104</v>
      </c>
      <c r="C252" s="267">
        <v>44123.919444444444</v>
      </c>
      <c r="E252" s="267">
        <v>44124.388194444444</v>
      </c>
      <c r="F252" s="283">
        <f t="shared" si="6"/>
        <v>0.46875</v>
      </c>
    </row>
    <row r="253" spans="1:8" ht="16.5">
      <c r="A253" s="31" t="s">
        <v>2292</v>
      </c>
      <c r="B253" s="19" t="s">
        <v>2104</v>
      </c>
      <c r="C253" s="267">
        <v>44122.70416666667</v>
      </c>
      <c r="E253" s="267">
        <v>44124.395138888889</v>
      </c>
      <c r="F253" s="283">
        <f t="shared" si="6"/>
        <v>1.6909722222189885</v>
      </c>
    </row>
    <row r="254" spans="1:8" ht="16.5">
      <c r="A254" s="282" t="s">
        <v>2293</v>
      </c>
      <c r="B254" s="19" t="s">
        <v>2104</v>
      </c>
      <c r="C254" s="267">
        <v>44123.916666666664</v>
      </c>
      <c r="E254" s="267">
        <v>44124.45</v>
      </c>
      <c r="F254" s="283">
        <f t="shared" si="6"/>
        <v>0.53333333333284827</v>
      </c>
    </row>
    <row r="255" spans="1:8" ht="16.5">
      <c r="A255" s="282" t="s">
        <v>2294</v>
      </c>
      <c r="B255" s="19" t="s">
        <v>2104</v>
      </c>
      <c r="C255" s="267">
        <v>44119.618750000001</v>
      </c>
      <c r="E255" s="267">
        <v>44124.518750000003</v>
      </c>
      <c r="F255" s="283">
        <f t="shared" si="6"/>
        <v>4.9000000000014552</v>
      </c>
    </row>
    <row r="256" spans="1:8" ht="16.5">
      <c r="A256" s="282" t="s">
        <v>2295</v>
      </c>
      <c r="B256" s="19" t="s">
        <v>2104</v>
      </c>
      <c r="C256" s="267">
        <v>44123.906944444447</v>
      </c>
      <c r="E256" s="267">
        <v>44124.570138888892</v>
      </c>
      <c r="F256" s="283">
        <f t="shared" si="6"/>
        <v>0.66319444444525288</v>
      </c>
    </row>
    <row r="257" spans="1:6" ht="28.5">
      <c r="A257" s="282" t="s">
        <v>2296</v>
      </c>
      <c r="B257" s="19" t="s">
        <v>2104</v>
      </c>
      <c r="C257" s="267">
        <v>44122.805555555555</v>
      </c>
      <c r="E257" s="267">
        <v>44124.582638888889</v>
      </c>
      <c r="F257" s="283">
        <f t="shared" si="6"/>
        <v>1.7770833333343035</v>
      </c>
    </row>
    <row r="258" spans="1:6" ht="16.5">
      <c r="A258" s="282" t="s">
        <v>2297</v>
      </c>
      <c r="B258" s="19" t="s">
        <v>2104</v>
      </c>
      <c r="C258" s="267">
        <v>44123.919444444444</v>
      </c>
      <c r="E258" s="267">
        <v>44124.586111111108</v>
      </c>
      <c r="F258" s="283">
        <f t="shared" si="6"/>
        <v>0.66666666666424135</v>
      </c>
    </row>
    <row r="259" spans="1:6" ht="16.5">
      <c r="A259" s="282" t="s">
        <v>2157</v>
      </c>
      <c r="B259" s="19" t="s">
        <v>2104</v>
      </c>
      <c r="C259" s="267">
        <v>44123.90902777778</v>
      </c>
      <c r="E259" s="267">
        <v>44124.677083333336</v>
      </c>
      <c r="F259" s="283">
        <f t="shared" si="6"/>
        <v>0.76805555555620231</v>
      </c>
    </row>
    <row r="260" spans="1:6" ht="16.5">
      <c r="A260" s="282" t="s">
        <v>2247</v>
      </c>
      <c r="B260" s="19" t="s">
        <v>2104</v>
      </c>
      <c r="C260" s="267">
        <v>44124.724999999999</v>
      </c>
      <c r="E260" s="267">
        <v>44123.89166666667</v>
      </c>
      <c r="F260" s="283">
        <f t="shared" si="6"/>
        <v>-0.83333333332848269</v>
      </c>
    </row>
    <row r="261" spans="1:6" ht="16.5">
      <c r="A261" s="282" t="s">
        <v>2298</v>
      </c>
      <c r="B261" s="19" t="s">
        <v>2104</v>
      </c>
      <c r="C261" s="267">
        <v>44123.893750000003</v>
      </c>
      <c r="E261" s="267">
        <v>44124.737500000003</v>
      </c>
      <c r="F261" s="283">
        <f t="shared" si="6"/>
        <v>0.84375</v>
      </c>
    </row>
    <row r="262" spans="1:6" ht="16.5">
      <c r="A262" s="282" t="s">
        <v>2103</v>
      </c>
      <c r="B262" s="19" t="s">
        <v>2104</v>
      </c>
      <c r="C262" s="267">
        <v>44123.890277777777</v>
      </c>
      <c r="E262" s="267">
        <v>44124.750694444447</v>
      </c>
      <c r="F262" s="283">
        <f t="shared" si="6"/>
        <v>0.86041666667006211</v>
      </c>
    </row>
    <row r="263" spans="1:6" ht="16.5">
      <c r="A263" s="282" t="s">
        <v>2299</v>
      </c>
      <c r="B263" s="19" t="s">
        <v>2104</v>
      </c>
      <c r="C263" s="267">
        <v>44122.811111111114</v>
      </c>
      <c r="E263" s="267">
        <v>44124.805555555555</v>
      </c>
      <c r="F263" s="283">
        <f t="shared" si="6"/>
        <v>1.9944444444408873</v>
      </c>
    </row>
    <row r="264" spans="1:6" ht="16.5">
      <c r="A264" s="282" t="s">
        <v>2154</v>
      </c>
      <c r="B264" s="19" t="s">
        <v>2104</v>
      </c>
      <c r="C264" s="267">
        <v>44118.530555555553</v>
      </c>
      <c r="E264" s="267">
        <v>44124.897916666669</v>
      </c>
      <c r="F264" s="283">
        <f t="shared" si="6"/>
        <v>6.367361111115315</v>
      </c>
    </row>
    <row r="265" spans="1:6" ht="16.5">
      <c r="A265" s="282" t="s">
        <v>2300</v>
      </c>
      <c r="B265" s="19" t="s">
        <v>2104</v>
      </c>
      <c r="C265" s="267">
        <v>44123.901388888888</v>
      </c>
      <c r="E265" s="267">
        <v>44125.368750000001</v>
      </c>
      <c r="F265" s="283">
        <f t="shared" si="6"/>
        <v>1.4673611111138598</v>
      </c>
    </row>
    <row r="266" spans="1:6" ht="16.5">
      <c r="A266" s="282" t="s">
        <v>2129</v>
      </c>
      <c r="B266" s="19" t="s">
        <v>2104</v>
      </c>
      <c r="C266" s="267">
        <v>44123.90625</v>
      </c>
      <c r="E266" s="267">
        <v>44125.373611111114</v>
      </c>
      <c r="F266" s="283">
        <f t="shared" si="6"/>
        <v>1.4673611111138598</v>
      </c>
    </row>
    <row r="267" spans="1:6" ht="16.5">
      <c r="A267" s="282" t="s">
        <v>2301</v>
      </c>
      <c r="B267" s="19" t="s">
        <v>2104</v>
      </c>
      <c r="C267" s="267">
        <v>44123.918055555558</v>
      </c>
      <c r="E267" s="267">
        <v>44125.382638888892</v>
      </c>
      <c r="F267" s="283">
        <f t="shared" si="6"/>
        <v>1.4645833333343035</v>
      </c>
    </row>
    <row r="268" spans="1:6" ht="16.5">
      <c r="A268" s="282" t="s">
        <v>2302</v>
      </c>
      <c r="B268" s="19" t="s">
        <v>2104</v>
      </c>
      <c r="C268" s="267">
        <v>44121.792361111111</v>
      </c>
      <c r="E268" s="267">
        <v>44125.425694444442</v>
      </c>
      <c r="F268" s="283">
        <f t="shared" si="6"/>
        <v>3.6333333333313931</v>
      </c>
    </row>
    <row r="269" spans="1:6" ht="16.5">
      <c r="A269" s="282" t="s">
        <v>2276</v>
      </c>
      <c r="B269" s="19" t="s">
        <v>2104</v>
      </c>
      <c r="C269" s="267">
        <v>44122.769444444442</v>
      </c>
      <c r="E269" s="267">
        <v>44125.490972222222</v>
      </c>
      <c r="F269" s="283">
        <f t="shared" ref="F269:F281" si="7">E269-C269</f>
        <v>2.7215277777795563</v>
      </c>
    </row>
    <row r="270" spans="1:6" ht="16.5">
      <c r="A270" s="282" t="s">
        <v>2184</v>
      </c>
      <c r="B270" s="19" t="s">
        <v>2104</v>
      </c>
      <c r="C270" s="267">
        <v>44122.802777777775</v>
      </c>
      <c r="E270" s="267">
        <v>44125.671527777777</v>
      </c>
      <c r="F270" s="283">
        <f t="shared" si="7"/>
        <v>2.8687500000014552</v>
      </c>
    </row>
    <row r="271" spans="1:6" ht="16.5">
      <c r="A271" s="282" t="s">
        <v>2212</v>
      </c>
      <c r="B271" s="19" t="s">
        <v>2104</v>
      </c>
      <c r="C271" s="267">
        <v>44123.910416666666</v>
      </c>
      <c r="E271" s="267">
        <v>44125.724999999999</v>
      </c>
      <c r="F271" s="283">
        <f t="shared" si="7"/>
        <v>1.8145833333328483</v>
      </c>
    </row>
    <row r="272" spans="1:6" ht="16.5">
      <c r="A272" s="282" t="s">
        <v>2303</v>
      </c>
      <c r="B272" s="19" t="s">
        <v>2104</v>
      </c>
      <c r="C272" s="267">
        <v>44122.71875</v>
      </c>
      <c r="E272" s="267">
        <v>44125.730555555558</v>
      </c>
      <c r="F272" s="283">
        <f t="shared" si="7"/>
        <v>3.0118055555576575</v>
      </c>
    </row>
    <row r="273" spans="1:8" ht="16.5">
      <c r="A273" s="282" t="s">
        <v>2304</v>
      </c>
      <c r="B273" s="19" t="s">
        <v>2104</v>
      </c>
      <c r="C273" s="267">
        <v>44123.910416666666</v>
      </c>
      <c r="E273" s="267">
        <v>44125.748611111114</v>
      </c>
      <c r="F273" s="283">
        <f t="shared" si="7"/>
        <v>1.8381944444481633</v>
      </c>
    </row>
    <row r="274" spans="1:8" ht="16.5">
      <c r="A274" s="282" t="s">
        <v>2193</v>
      </c>
      <c r="B274" s="19" t="s">
        <v>2104</v>
      </c>
      <c r="C274" s="267">
        <v>44122.79791666667</v>
      </c>
      <c r="E274" s="267">
        <v>44125.753472222219</v>
      </c>
      <c r="F274" s="283">
        <f t="shared" si="7"/>
        <v>2.9555555555489263</v>
      </c>
    </row>
    <row r="275" spans="1:8" ht="16.5">
      <c r="A275" s="282" t="s">
        <v>2192</v>
      </c>
      <c r="B275" s="19" t="s">
        <v>2104</v>
      </c>
      <c r="C275" s="267">
        <v>44123.888888888891</v>
      </c>
      <c r="E275" s="267">
        <v>44125.757638888892</v>
      </c>
      <c r="F275" s="283">
        <f t="shared" si="7"/>
        <v>1.8687500000014552</v>
      </c>
    </row>
    <row r="276" spans="1:8" ht="16.5">
      <c r="A276" s="282" t="s">
        <v>2305</v>
      </c>
      <c r="B276" s="19" t="s">
        <v>2104</v>
      </c>
      <c r="C276" s="267">
        <v>44112.801388888889</v>
      </c>
      <c r="E276" s="267">
        <v>44126.421527777777</v>
      </c>
      <c r="F276" s="283">
        <f t="shared" si="7"/>
        <v>13.620138888887595</v>
      </c>
    </row>
    <row r="277" spans="1:8" ht="16.5">
      <c r="A277" s="282" t="s">
        <v>2306</v>
      </c>
      <c r="B277" s="19" t="s">
        <v>2104</v>
      </c>
      <c r="C277" s="267">
        <v>44122.768055555556</v>
      </c>
      <c r="E277" s="267">
        <v>44126.425694444442</v>
      </c>
      <c r="F277" s="283">
        <f t="shared" si="7"/>
        <v>3.6576388888861402</v>
      </c>
    </row>
    <row r="278" spans="1:8" ht="57">
      <c r="A278" s="282" t="s">
        <v>2134</v>
      </c>
      <c r="B278" s="19" t="s">
        <v>2104</v>
      </c>
      <c r="C278" s="267">
        <v>44122.770138888889</v>
      </c>
      <c r="E278" s="267">
        <v>44126.466666666667</v>
      </c>
      <c r="F278" s="283">
        <f t="shared" si="7"/>
        <v>3.6965277777781012</v>
      </c>
      <c r="H278" s="30" t="s">
        <v>2135</v>
      </c>
    </row>
    <row r="279" spans="1:8" ht="16.5">
      <c r="A279" s="282" t="s">
        <v>2307</v>
      </c>
      <c r="B279" s="19" t="s">
        <v>2104</v>
      </c>
      <c r="C279" s="267">
        <v>44122.772916666669</v>
      </c>
      <c r="E279" s="267">
        <v>44126.487500000003</v>
      </c>
      <c r="F279" s="283">
        <f t="shared" si="7"/>
        <v>3.7145833333343035</v>
      </c>
    </row>
    <row r="280" spans="1:8" ht="16.5">
      <c r="A280" s="282" t="s">
        <v>2308</v>
      </c>
      <c r="B280" s="19" t="s">
        <v>2104</v>
      </c>
      <c r="C280" s="267">
        <v>44122.780555555553</v>
      </c>
      <c r="E280" s="267">
        <v>44126.565972222219</v>
      </c>
      <c r="F280" s="283">
        <f t="shared" si="7"/>
        <v>3.7854166666656965</v>
      </c>
    </row>
    <row r="281" spans="1:8" ht="16.5">
      <c r="A281" s="282" t="s">
        <v>2205</v>
      </c>
      <c r="B281" s="19" t="s">
        <v>2104</v>
      </c>
      <c r="C281" s="267">
        <v>44122.804166666669</v>
      </c>
      <c r="E281" s="267">
        <v>44126.57916666667</v>
      </c>
      <c r="F281" s="283">
        <f t="shared" si="7"/>
        <v>3.7750000000014552</v>
      </c>
    </row>
    <row r="282" spans="1:8" ht="16.5">
      <c r="A282" s="282" t="s">
        <v>2125</v>
      </c>
      <c r="B282" s="19" t="s">
        <v>2104</v>
      </c>
      <c r="C282" s="267">
        <v>44123.908333333333</v>
      </c>
      <c r="E282" s="267">
        <v>44126.579861111109</v>
      </c>
      <c r="F282" s="283">
        <f t="shared" ref="F282:F296" si="8">E282-C282</f>
        <v>2.671527777776646</v>
      </c>
    </row>
    <row r="283" spans="1:8" ht="16.5">
      <c r="A283" s="282" t="s">
        <v>2309</v>
      </c>
      <c r="B283" s="19" t="s">
        <v>2104</v>
      </c>
      <c r="C283" s="267">
        <v>44124.991666666669</v>
      </c>
      <c r="E283" s="267">
        <v>44126.588194444441</v>
      </c>
      <c r="F283" s="283">
        <f t="shared" si="8"/>
        <v>1.5965277777722804</v>
      </c>
    </row>
    <row r="284" spans="1:8" ht="16.5">
      <c r="A284" s="282" t="s">
        <v>2310</v>
      </c>
      <c r="B284" s="19" t="s">
        <v>2104</v>
      </c>
      <c r="C284" s="267">
        <v>44124.563194444447</v>
      </c>
      <c r="E284" s="267">
        <v>44126.645833333336</v>
      </c>
      <c r="F284" s="283">
        <f t="shared" si="8"/>
        <v>2.0826388888890506</v>
      </c>
    </row>
    <row r="285" spans="1:8" ht="16.5">
      <c r="A285" s="282" t="s">
        <v>2311</v>
      </c>
      <c r="B285" s="19" t="s">
        <v>2104</v>
      </c>
      <c r="C285" s="267">
        <v>44123.907638888886</v>
      </c>
      <c r="E285" s="267">
        <v>44127.423611111109</v>
      </c>
      <c r="F285" s="283">
        <f t="shared" si="8"/>
        <v>3.515972222223354</v>
      </c>
    </row>
    <row r="286" spans="1:8" ht="16.5">
      <c r="A286" s="282" t="s">
        <v>2312</v>
      </c>
      <c r="B286" s="19" t="s">
        <v>2104</v>
      </c>
      <c r="C286" s="267">
        <v>44123.888888888891</v>
      </c>
      <c r="E286" s="267">
        <v>44127.425694444442</v>
      </c>
      <c r="F286" s="283">
        <f t="shared" si="8"/>
        <v>3.5368055555518367</v>
      </c>
    </row>
    <row r="287" spans="1:8" ht="16.5">
      <c r="A287" s="282" t="s">
        <v>2313</v>
      </c>
      <c r="B287" s="19" t="s">
        <v>2104</v>
      </c>
      <c r="C287" s="267">
        <v>44122.775694444441</v>
      </c>
      <c r="E287" s="267">
        <v>44127.453472222223</v>
      </c>
      <c r="F287" s="283">
        <f t="shared" si="8"/>
        <v>4.6777777777824667</v>
      </c>
    </row>
    <row r="288" spans="1:8" ht="16.5">
      <c r="A288" s="282" t="s">
        <v>2123</v>
      </c>
      <c r="B288" s="19" t="s">
        <v>2104</v>
      </c>
      <c r="C288" s="267">
        <v>44123.88958333333</v>
      </c>
      <c r="E288" s="267">
        <v>44127.466666666667</v>
      </c>
      <c r="F288" s="283">
        <f t="shared" si="8"/>
        <v>3.5770833333372138</v>
      </c>
    </row>
    <row r="289" spans="1:8" ht="16.5">
      <c r="A289" s="282" t="s">
        <v>2314</v>
      </c>
      <c r="B289" s="19" t="s">
        <v>2104</v>
      </c>
      <c r="C289" s="267">
        <v>44122.810416666667</v>
      </c>
      <c r="E289" s="267">
        <v>44127.487500000003</v>
      </c>
      <c r="F289" s="283">
        <f t="shared" si="8"/>
        <v>4.6770833333357587</v>
      </c>
    </row>
    <row r="290" spans="1:8" ht="16.5">
      <c r="A290" s="282" t="s">
        <v>2315</v>
      </c>
      <c r="B290" s="19" t="s">
        <v>2104</v>
      </c>
      <c r="C290" s="267">
        <v>44123.890277777777</v>
      </c>
      <c r="E290" s="267">
        <v>44127.487500000003</v>
      </c>
      <c r="F290" s="283">
        <f t="shared" si="8"/>
        <v>3.5972222222262644</v>
      </c>
    </row>
    <row r="291" spans="1:8" ht="16.5">
      <c r="A291" s="282" t="s">
        <v>2279</v>
      </c>
      <c r="B291" s="19" t="s">
        <v>2104</v>
      </c>
      <c r="C291" s="267">
        <v>44123.893055555556</v>
      </c>
      <c r="E291" s="267">
        <v>44127.565972222219</v>
      </c>
      <c r="F291" s="283">
        <f t="shared" si="8"/>
        <v>3.6729166666627862</v>
      </c>
    </row>
    <row r="292" spans="1:8" ht="16.5">
      <c r="A292" s="282" t="s">
        <v>2110</v>
      </c>
      <c r="B292" s="19" t="s">
        <v>2104</v>
      </c>
      <c r="C292" s="267">
        <v>44123.893750000003</v>
      </c>
      <c r="E292" s="267">
        <v>44127.57916666667</v>
      </c>
      <c r="F292" s="283">
        <f t="shared" si="8"/>
        <v>3.6854166666671517</v>
      </c>
    </row>
    <row r="293" spans="1:8" ht="42.75">
      <c r="A293" s="282" t="s">
        <v>2316</v>
      </c>
      <c r="B293" s="19" t="s">
        <v>2104</v>
      </c>
      <c r="C293" s="267">
        <v>44123.902083333334</v>
      </c>
      <c r="E293" s="267">
        <v>44127.597916666666</v>
      </c>
      <c r="F293" s="283">
        <f t="shared" si="8"/>
        <v>3.6958333333313931</v>
      </c>
      <c r="H293" s="30" t="s">
        <v>2317</v>
      </c>
    </row>
    <row r="294" spans="1:8" ht="16.5">
      <c r="A294" s="282" t="s">
        <v>2262</v>
      </c>
      <c r="B294" s="19" t="s">
        <v>2104</v>
      </c>
      <c r="C294" s="267">
        <v>44123.90347222222</v>
      </c>
      <c r="E294" s="267">
        <v>44127.607638888891</v>
      </c>
      <c r="F294" s="283">
        <f t="shared" si="8"/>
        <v>3.7041666666700621</v>
      </c>
    </row>
    <row r="295" spans="1:8" ht="57">
      <c r="A295" s="282" t="s">
        <v>2134</v>
      </c>
      <c r="B295" s="19" t="s">
        <v>2104</v>
      </c>
      <c r="C295" s="267">
        <v>44123.90902777778</v>
      </c>
      <c r="E295" s="267">
        <v>44127.613194444442</v>
      </c>
      <c r="F295" s="283">
        <f t="shared" si="8"/>
        <v>3.7041666666627862</v>
      </c>
      <c r="H295" s="30" t="s">
        <v>2318</v>
      </c>
    </row>
    <row r="296" spans="1:8" ht="16.5">
      <c r="A296" s="282" t="s">
        <v>2219</v>
      </c>
      <c r="B296" s="19" t="s">
        <v>2104</v>
      </c>
      <c r="C296" s="267">
        <v>44123.909722222219</v>
      </c>
      <c r="E296" s="267">
        <v>44127.631249999999</v>
      </c>
      <c r="F296" s="283">
        <f t="shared" si="8"/>
        <v>3.7215277777795563</v>
      </c>
    </row>
    <row r="297" spans="1:8" ht="16.5">
      <c r="A297" s="282" t="s">
        <v>2107</v>
      </c>
      <c r="B297" s="19" t="s">
        <v>2104</v>
      </c>
      <c r="C297" s="267">
        <v>44124.788888888892</v>
      </c>
      <c r="E297" s="267">
        <v>44127.795138888891</v>
      </c>
      <c r="F297" s="283">
        <f t="shared" ref="F297:F308" si="9">E297-C297</f>
        <v>3.0062499999985448</v>
      </c>
    </row>
    <row r="298" spans="1:8" ht="16.5">
      <c r="A298" s="282" t="s">
        <v>2209</v>
      </c>
      <c r="B298" s="19" t="s">
        <v>2104</v>
      </c>
      <c r="C298" s="267">
        <v>44127.869444444441</v>
      </c>
      <c r="E298" s="267">
        <v>44130.394444444442</v>
      </c>
      <c r="F298" s="283">
        <f t="shared" si="9"/>
        <v>2.5250000000014552</v>
      </c>
    </row>
    <row r="299" spans="1:8" ht="42.75">
      <c r="A299" s="282" t="s">
        <v>2316</v>
      </c>
      <c r="B299" s="19" t="s">
        <v>2104</v>
      </c>
      <c r="C299" s="267">
        <v>44125.806250000001</v>
      </c>
      <c r="E299" s="267">
        <v>44130.426388888889</v>
      </c>
      <c r="F299" s="283">
        <f t="shared" si="9"/>
        <v>4.6201388888875954</v>
      </c>
      <c r="H299" s="30" t="s">
        <v>2317</v>
      </c>
    </row>
    <row r="300" spans="1:8" ht="99.75">
      <c r="A300" s="282" t="s">
        <v>2131</v>
      </c>
      <c r="B300" s="19" t="s">
        <v>2104</v>
      </c>
      <c r="C300" s="267">
        <v>44123.890972222223</v>
      </c>
      <c r="E300" s="267">
        <v>44130.452777777777</v>
      </c>
      <c r="F300" s="283">
        <f t="shared" si="9"/>
        <v>6.5618055555532919</v>
      </c>
      <c r="H300" s="30" t="s">
        <v>2319</v>
      </c>
    </row>
    <row r="301" spans="1:8" ht="16.5">
      <c r="A301" s="282" t="s">
        <v>2320</v>
      </c>
      <c r="B301" s="19" t="s">
        <v>2104</v>
      </c>
      <c r="C301" s="267">
        <v>44124.997916666667</v>
      </c>
      <c r="E301" s="267">
        <v>44130.625</v>
      </c>
      <c r="F301" s="283">
        <f t="shared" si="9"/>
        <v>5.6270833333328483</v>
      </c>
    </row>
    <row r="302" spans="1:8" ht="28.5">
      <c r="A302" s="282" t="s">
        <v>2321</v>
      </c>
      <c r="B302" s="19" t="s">
        <v>2104</v>
      </c>
      <c r="C302" s="267">
        <v>44130.803472222222</v>
      </c>
      <c r="E302" s="267">
        <v>44130.803472222222</v>
      </c>
      <c r="F302" s="283">
        <f t="shared" si="9"/>
        <v>0</v>
      </c>
    </row>
    <row r="303" spans="1:8" ht="16.5">
      <c r="A303" s="282" t="s">
        <v>2158</v>
      </c>
      <c r="B303" s="19" t="s">
        <v>2104</v>
      </c>
      <c r="C303" s="267">
        <v>44127.870833333334</v>
      </c>
      <c r="E303" s="267">
        <v>44131.408333333333</v>
      </c>
      <c r="F303" s="283">
        <f t="shared" si="9"/>
        <v>3.5374999999985448</v>
      </c>
    </row>
    <row r="304" spans="1:8" ht="16.5">
      <c r="A304" s="282" t="s">
        <v>2205</v>
      </c>
      <c r="B304" s="19" t="s">
        <v>2104</v>
      </c>
      <c r="C304" s="267">
        <v>44123.904861111114</v>
      </c>
      <c r="E304" s="267">
        <v>44131.443055555559</v>
      </c>
      <c r="F304" s="283">
        <f t="shared" si="9"/>
        <v>7.5381944444452529</v>
      </c>
    </row>
    <row r="305" spans="1:8" ht="42.75">
      <c r="A305" s="282" t="s">
        <v>2322</v>
      </c>
      <c r="B305" s="19" t="s">
        <v>2104</v>
      </c>
      <c r="C305" s="267">
        <v>44119.621527777781</v>
      </c>
      <c r="E305" s="267">
        <v>44131.753472222219</v>
      </c>
      <c r="F305" s="283">
        <f t="shared" si="9"/>
        <v>12.131944444437977</v>
      </c>
      <c r="H305" s="30" t="s">
        <v>2323</v>
      </c>
    </row>
    <row r="306" spans="1:8" ht="16.5">
      <c r="A306" s="282" t="s">
        <v>2305</v>
      </c>
      <c r="B306" s="19" t="s">
        <v>2104</v>
      </c>
      <c r="C306" s="267">
        <v>44123.902777777781</v>
      </c>
      <c r="E306" s="267">
        <v>44132.438194444447</v>
      </c>
      <c r="F306" s="283">
        <f t="shared" si="9"/>
        <v>8.5354166666656965</v>
      </c>
    </row>
    <row r="307" spans="1:8" ht="16.5">
      <c r="A307" s="282" t="s">
        <v>2324</v>
      </c>
      <c r="B307" s="19" t="s">
        <v>2104</v>
      </c>
      <c r="C307" s="267">
        <v>44106.839583333334</v>
      </c>
      <c r="E307" s="267">
        <v>44132.567361111112</v>
      </c>
      <c r="F307" s="283">
        <f t="shared" si="9"/>
        <v>25.727777777778101</v>
      </c>
    </row>
    <row r="308" spans="1:8" ht="16.5">
      <c r="A308" s="282" t="s">
        <v>2325</v>
      </c>
      <c r="B308" s="19" t="s">
        <v>2104</v>
      </c>
      <c r="C308" s="267">
        <v>44119.606944444444</v>
      </c>
      <c r="E308" s="267">
        <v>44133.477777777778</v>
      </c>
      <c r="F308" s="283">
        <f t="shared" si="9"/>
        <v>13.870833333334303</v>
      </c>
    </row>
    <row r="309" spans="1:8" ht="16.5">
      <c r="A309" s="282" t="s">
        <v>2130</v>
      </c>
      <c r="B309" s="19" t="s">
        <v>2104</v>
      </c>
      <c r="C309" s="267">
        <v>44132.693749999999</v>
      </c>
      <c r="E309" s="267">
        <v>44137.439583333333</v>
      </c>
      <c r="F309" s="283">
        <f t="shared" ref="F309:F321" si="10">E309-C309</f>
        <v>4.7458333333343035</v>
      </c>
    </row>
    <row r="310" spans="1:8" ht="28.5">
      <c r="A310" s="282" t="s">
        <v>2166</v>
      </c>
      <c r="B310" s="19" t="s">
        <v>2104</v>
      </c>
      <c r="C310" s="267">
        <v>44122.71597222222</v>
      </c>
      <c r="E310" s="267">
        <v>44139.556250000001</v>
      </c>
      <c r="F310" s="283">
        <f t="shared" si="10"/>
        <v>16.840277777781012</v>
      </c>
    </row>
    <row r="311" spans="1:8" ht="28.5">
      <c r="A311" s="282" t="s">
        <v>2166</v>
      </c>
      <c r="B311" s="19" t="s">
        <v>2104</v>
      </c>
      <c r="C311" s="267">
        <v>44120.585416666669</v>
      </c>
      <c r="E311" s="267">
        <v>44139.556250000001</v>
      </c>
      <c r="F311" s="283">
        <f t="shared" si="10"/>
        <v>18.970833333332848</v>
      </c>
    </row>
    <row r="312" spans="1:8" ht="16.5">
      <c r="A312" s="282" t="s">
        <v>2326</v>
      </c>
      <c r="B312" s="19" t="s">
        <v>2104</v>
      </c>
      <c r="C312" s="267">
        <v>44138.820138888892</v>
      </c>
      <c r="E312" s="267">
        <v>44139.977777777778</v>
      </c>
      <c r="F312" s="283">
        <f t="shared" si="10"/>
        <v>1.1576388888861402</v>
      </c>
    </row>
    <row r="313" spans="1:8" ht="38.25" customHeight="1">
      <c r="A313" s="282" t="s">
        <v>2327</v>
      </c>
      <c r="B313" s="19" t="s">
        <v>2104</v>
      </c>
      <c r="C313" s="267">
        <v>44099.541666666664</v>
      </c>
      <c r="E313" s="267">
        <v>44140.451388888891</v>
      </c>
      <c r="F313" s="283">
        <f t="shared" si="10"/>
        <v>40.909722222226264</v>
      </c>
      <c r="H313" s="215" t="s">
        <v>2328</v>
      </c>
    </row>
    <row r="314" spans="1:8" ht="16.5">
      <c r="A314" s="282" t="s">
        <v>2107</v>
      </c>
      <c r="B314" s="19" t="s">
        <v>2104</v>
      </c>
      <c r="C314" s="267">
        <v>44138.820833333331</v>
      </c>
      <c r="E314" s="267">
        <v>44140.48541666667</v>
      </c>
      <c r="F314" s="283">
        <f t="shared" si="10"/>
        <v>1.664583333338669</v>
      </c>
    </row>
    <row r="315" spans="1:8" ht="16.5">
      <c r="A315" s="282" t="s">
        <v>2199</v>
      </c>
      <c r="B315" s="19" t="s">
        <v>2104</v>
      </c>
      <c r="C315" s="267">
        <v>44139.80972222222</v>
      </c>
      <c r="E315" s="267">
        <v>44140.960416666669</v>
      </c>
      <c r="F315" s="283">
        <f t="shared" si="10"/>
        <v>1.1506944444481633</v>
      </c>
    </row>
    <row r="316" spans="1:8" ht="16.5">
      <c r="A316" s="282" t="s">
        <v>2329</v>
      </c>
      <c r="B316" s="19" t="s">
        <v>2104</v>
      </c>
      <c r="C316" s="267">
        <v>44139.804861111108</v>
      </c>
      <c r="E316" s="267">
        <v>44141.659722222219</v>
      </c>
      <c r="F316" s="283">
        <f t="shared" si="10"/>
        <v>1.8548611111109494</v>
      </c>
    </row>
    <row r="317" spans="1:8" ht="16.5">
      <c r="A317" s="282" t="s">
        <v>2330</v>
      </c>
      <c r="B317" s="19" t="s">
        <v>2104</v>
      </c>
      <c r="C317" s="267">
        <v>44141.722222222219</v>
      </c>
      <c r="E317" s="267">
        <v>44141.738888888889</v>
      </c>
      <c r="F317" s="283">
        <f t="shared" si="10"/>
        <v>1.6666666670062114E-2</v>
      </c>
      <c r="H317" s="36" t="s">
        <v>2253</v>
      </c>
    </row>
    <row r="318" spans="1:8" ht="16.5">
      <c r="A318" s="282" t="s">
        <v>2212</v>
      </c>
      <c r="B318" s="19" t="s">
        <v>2104</v>
      </c>
      <c r="C318" s="267">
        <v>44141.686111111114</v>
      </c>
      <c r="E318" s="267">
        <v>44141.804166666669</v>
      </c>
      <c r="F318" s="283">
        <f t="shared" si="10"/>
        <v>0.11805555555474712</v>
      </c>
      <c r="H318" s="36" t="s">
        <v>2253</v>
      </c>
    </row>
    <row r="319" spans="1:8" ht="16.5">
      <c r="A319" s="282" t="s">
        <v>2331</v>
      </c>
      <c r="B319" s="19" t="s">
        <v>2104</v>
      </c>
      <c r="C319" s="267">
        <v>44142.775694444441</v>
      </c>
      <c r="E319" s="267">
        <v>44142.789583333331</v>
      </c>
      <c r="F319" s="283">
        <f t="shared" si="10"/>
        <v>1.3888888890505768E-2</v>
      </c>
    </row>
    <row r="320" spans="1:8" ht="16.5">
      <c r="A320" s="282" t="s">
        <v>2209</v>
      </c>
      <c r="B320" s="19" t="s">
        <v>2104</v>
      </c>
      <c r="C320" s="267">
        <v>44141.689583333333</v>
      </c>
      <c r="E320" s="267">
        <v>44144.418749999997</v>
      </c>
      <c r="F320" s="283">
        <f t="shared" si="10"/>
        <v>2.7291666666642413</v>
      </c>
    </row>
    <row r="321" spans="1:6" ht="17.25" thickBot="1">
      <c r="A321" s="282" t="s">
        <v>2332</v>
      </c>
      <c r="B321" s="19" t="s">
        <v>2104</v>
      </c>
      <c r="C321" s="267">
        <v>44122.811805555553</v>
      </c>
      <c r="E321" s="267">
        <v>44144.504166666666</v>
      </c>
      <c r="F321" s="283">
        <f t="shared" si="10"/>
        <v>21.692361111112405</v>
      </c>
    </row>
    <row r="322" spans="1:6" ht="17.25" thickBot="1">
      <c r="A322" s="290" t="s">
        <v>3052</v>
      </c>
      <c r="B322" s="19" t="s">
        <v>2104</v>
      </c>
      <c r="C322" s="267">
        <v>44144.715277777781</v>
      </c>
      <c r="E322" s="267">
        <v>44160.436805555553</v>
      </c>
      <c r="F322" s="283">
        <f t="shared" ref="F322:F361" si="11">E322-C322</f>
        <v>15.72152777777228</v>
      </c>
    </row>
    <row r="323" spans="1:6" ht="17.25" thickBot="1">
      <c r="A323" s="290" t="s">
        <v>2293</v>
      </c>
      <c r="B323" s="19" t="s">
        <v>2104</v>
      </c>
      <c r="C323" s="267">
        <v>44153.677777777775</v>
      </c>
      <c r="E323" s="267">
        <v>44159.449305555558</v>
      </c>
      <c r="F323" s="283">
        <f t="shared" si="11"/>
        <v>5.7715277777824667</v>
      </c>
    </row>
    <row r="324" spans="1:6" ht="17.25" thickBot="1">
      <c r="A324" s="290" t="s">
        <v>3053</v>
      </c>
      <c r="B324" s="19" t="s">
        <v>2104</v>
      </c>
      <c r="C324" s="267">
        <v>44153.663194444445</v>
      </c>
      <c r="E324" s="267">
        <v>44158.426388888889</v>
      </c>
      <c r="F324" s="283">
        <f t="shared" si="11"/>
        <v>4.7631944444437977</v>
      </c>
    </row>
    <row r="325" spans="1:6" ht="17.25" thickBot="1">
      <c r="A325" s="290" t="s">
        <v>3054</v>
      </c>
      <c r="B325" s="19" t="s">
        <v>2104</v>
      </c>
      <c r="C325" s="267">
        <v>44141.694444444445</v>
      </c>
      <c r="E325" s="267">
        <v>44156.624305555553</v>
      </c>
      <c r="F325" s="283">
        <f t="shared" si="11"/>
        <v>14.929861111108039</v>
      </c>
    </row>
    <row r="326" spans="1:6" ht="17.25" thickBot="1">
      <c r="A326" s="290" t="s">
        <v>3055</v>
      </c>
      <c r="B326" s="19" t="s">
        <v>2104</v>
      </c>
      <c r="C326" s="267">
        <v>44100.625</v>
      </c>
      <c r="E326" s="267">
        <v>44155.625694444447</v>
      </c>
      <c r="F326" s="283">
        <f t="shared" si="11"/>
        <v>55.000694444446708</v>
      </c>
    </row>
    <row r="327" spans="1:6" ht="17.25" thickBot="1">
      <c r="A327" s="290" t="s">
        <v>2206</v>
      </c>
      <c r="B327" s="19" t="s">
        <v>2104</v>
      </c>
      <c r="C327" s="267">
        <v>44154.677083333336</v>
      </c>
      <c r="E327" s="267">
        <v>44155.430555555555</v>
      </c>
      <c r="F327" s="283">
        <f t="shared" si="11"/>
        <v>0.75347222221898846</v>
      </c>
    </row>
    <row r="328" spans="1:6" ht="17.25" thickBot="1">
      <c r="A328" s="290" t="s">
        <v>3056</v>
      </c>
      <c r="B328" s="19" t="s">
        <v>2104</v>
      </c>
      <c r="C328" s="267">
        <v>44153.671527777777</v>
      </c>
      <c r="E328" s="267">
        <v>44155.393055555556</v>
      </c>
      <c r="F328" s="283">
        <f t="shared" si="11"/>
        <v>1.7215277777795563</v>
      </c>
    </row>
    <row r="329" spans="1:6" ht="17.25" thickBot="1">
      <c r="A329" s="290" t="s">
        <v>3057</v>
      </c>
      <c r="B329" s="19" t="s">
        <v>2104</v>
      </c>
      <c r="C329" s="267">
        <v>44153.845833333333</v>
      </c>
      <c r="E329" s="267">
        <v>44154.690972222219</v>
      </c>
      <c r="F329" s="283">
        <f t="shared" si="11"/>
        <v>0.84513888888614019</v>
      </c>
    </row>
    <row r="330" spans="1:6" ht="17.25" thickBot="1">
      <c r="A330" s="290" t="s">
        <v>3058</v>
      </c>
      <c r="B330" s="19" t="s">
        <v>2104</v>
      </c>
      <c r="C330" s="267">
        <v>44145.86041666667</v>
      </c>
      <c r="E330" s="267">
        <v>44154.512499999997</v>
      </c>
      <c r="F330" s="283">
        <f t="shared" si="11"/>
        <v>8.6520833333270275</v>
      </c>
    </row>
    <row r="331" spans="1:6" ht="17.25" thickBot="1">
      <c r="A331" s="290" t="s">
        <v>2320</v>
      </c>
      <c r="B331" s="19" t="s">
        <v>2104</v>
      </c>
      <c r="C331" s="267">
        <v>44148.626388888886</v>
      </c>
      <c r="E331" s="267">
        <v>44154.413194444445</v>
      </c>
      <c r="F331" s="283">
        <f t="shared" si="11"/>
        <v>5.7868055555591127</v>
      </c>
    </row>
    <row r="332" spans="1:6" ht="17.25" thickBot="1">
      <c r="A332" s="290" t="s">
        <v>3059</v>
      </c>
      <c r="B332" s="19" t="s">
        <v>2104</v>
      </c>
      <c r="C332" s="267">
        <v>44141.699305555558</v>
      </c>
      <c r="E332" s="267">
        <v>44153.86041666667</v>
      </c>
      <c r="F332" s="283">
        <f t="shared" si="11"/>
        <v>12.161111111112405</v>
      </c>
    </row>
    <row r="333" spans="1:6" ht="17.25" thickBot="1">
      <c r="A333" s="290" t="s">
        <v>3060</v>
      </c>
      <c r="B333" s="19" t="s">
        <v>2104</v>
      </c>
      <c r="C333" s="267">
        <v>44142.747916666667</v>
      </c>
      <c r="E333" s="267">
        <v>44153.703472222223</v>
      </c>
      <c r="F333" s="283">
        <f t="shared" si="11"/>
        <v>10.955555555556202</v>
      </c>
    </row>
    <row r="334" spans="1:6" ht="17.25" thickBot="1">
      <c r="A334" s="290" t="s">
        <v>2216</v>
      </c>
      <c r="B334" s="19" t="s">
        <v>2104</v>
      </c>
      <c r="C334" s="267">
        <v>44149.087500000001</v>
      </c>
      <c r="E334" s="267">
        <v>44153.625694444447</v>
      </c>
      <c r="F334" s="283">
        <f t="shared" si="11"/>
        <v>4.5381944444452529</v>
      </c>
    </row>
    <row r="335" spans="1:6" ht="17.25" thickBot="1">
      <c r="A335" s="290" t="s">
        <v>3061</v>
      </c>
      <c r="B335" s="19" t="s">
        <v>2104</v>
      </c>
      <c r="C335" s="267">
        <v>44151.88958333333</v>
      </c>
      <c r="E335" s="267">
        <v>44153.537499999999</v>
      </c>
      <c r="F335" s="283">
        <f t="shared" si="11"/>
        <v>1.6479166666686069</v>
      </c>
    </row>
    <row r="336" spans="1:6" ht="17.25" thickBot="1">
      <c r="A336" s="290" t="s">
        <v>3062</v>
      </c>
      <c r="B336" s="19" t="s">
        <v>2104</v>
      </c>
      <c r="C336" s="267">
        <v>44148.624305555553</v>
      </c>
      <c r="E336" s="267">
        <v>44153.518750000003</v>
      </c>
      <c r="F336" s="283">
        <f t="shared" si="11"/>
        <v>4.8944444444496185</v>
      </c>
    </row>
    <row r="337" spans="1:8" ht="17.25" thickBot="1">
      <c r="A337" s="290" t="s">
        <v>3063</v>
      </c>
      <c r="B337" s="19" t="s">
        <v>2104</v>
      </c>
      <c r="C337" s="267">
        <v>44141.686805555553</v>
      </c>
      <c r="E337" s="284">
        <v>44152.603472222225</v>
      </c>
      <c r="F337" s="283">
        <f t="shared" si="11"/>
        <v>10.916666666671517</v>
      </c>
    </row>
    <row r="338" spans="1:8" ht="17.25" thickBot="1">
      <c r="A338" s="290" t="s">
        <v>3064</v>
      </c>
      <c r="B338" s="19" t="s">
        <v>2104</v>
      </c>
      <c r="C338" s="267">
        <v>44148.669444444444</v>
      </c>
      <c r="E338" s="267">
        <v>44152.496527777781</v>
      </c>
      <c r="F338" s="283">
        <f t="shared" si="11"/>
        <v>3.8270833333372138</v>
      </c>
    </row>
    <row r="339" spans="1:8" ht="17.25" thickBot="1">
      <c r="A339" s="290" t="s">
        <v>3065</v>
      </c>
      <c r="B339" s="19" t="s">
        <v>2104</v>
      </c>
      <c r="C339" s="267">
        <v>44145.838194444441</v>
      </c>
      <c r="E339" s="267">
        <v>44152.456944444442</v>
      </c>
      <c r="F339" s="283">
        <f t="shared" si="11"/>
        <v>6.6187500000014552</v>
      </c>
    </row>
    <row r="340" spans="1:8" ht="17.25" thickBot="1">
      <c r="A340" s="290" t="s">
        <v>3066</v>
      </c>
      <c r="B340" s="19" t="s">
        <v>2104</v>
      </c>
      <c r="C340" s="267">
        <v>44148.879166666666</v>
      </c>
      <c r="E340" s="267">
        <v>44152.425694444442</v>
      </c>
      <c r="F340" s="283">
        <f t="shared" si="11"/>
        <v>3.546527777776646</v>
      </c>
    </row>
    <row r="341" spans="1:8" ht="17.25" thickBot="1">
      <c r="A341" s="290" t="s">
        <v>3067</v>
      </c>
      <c r="B341" s="19" t="s">
        <v>2104</v>
      </c>
      <c r="C341" s="267">
        <v>44148.645138888889</v>
      </c>
      <c r="E341" s="267">
        <v>44152.424305555556</v>
      </c>
      <c r="F341" s="283">
        <f t="shared" si="11"/>
        <v>3.7791666666671517</v>
      </c>
    </row>
    <row r="342" spans="1:8" ht="17.25" thickBot="1">
      <c r="A342" s="290" t="s">
        <v>3068</v>
      </c>
      <c r="B342" s="19" t="s">
        <v>2104</v>
      </c>
      <c r="C342" s="267">
        <v>44149.318749999999</v>
      </c>
      <c r="E342" s="267">
        <v>44152.381944444445</v>
      </c>
      <c r="F342" s="283">
        <f t="shared" si="11"/>
        <v>3.0631944444467081</v>
      </c>
    </row>
    <row r="343" spans="1:8" ht="17.25" thickBot="1">
      <c r="A343" s="290" t="s">
        <v>3069</v>
      </c>
      <c r="B343" s="19" t="s">
        <v>2104</v>
      </c>
      <c r="C343" s="267">
        <v>44148.621527777781</v>
      </c>
      <c r="E343" s="267">
        <v>44151.762499999997</v>
      </c>
      <c r="F343" s="283">
        <f t="shared" si="11"/>
        <v>3.1409722222160781</v>
      </c>
    </row>
    <row r="344" spans="1:8" ht="17.25" thickBot="1">
      <c r="A344" s="290" t="s">
        <v>1611</v>
      </c>
      <c r="B344" s="19" t="s">
        <v>2104</v>
      </c>
      <c r="C344" s="267">
        <v>44148.634027777778</v>
      </c>
      <c r="E344" s="267">
        <v>44151.605555555558</v>
      </c>
      <c r="F344" s="283">
        <f t="shared" si="11"/>
        <v>2.9715277777795563</v>
      </c>
    </row>
    <row r="345" spans="1:8" ht="17.25" thickBot="1">
      <c r="A345" s="290" t="s">
        <v>3067</v>
      </c>
      <c r="B345" s="19" t="s">
        <v>2104</v>
      </c>
      <c r="C345" s="267">
        <v>44148.627083333333</v>
      </c>
      <c r="E345" s="267">
        <v>44151.527777777781</v>
      </c>
      <c r="F345" s="283">
        <f t="shared" si="11"/>
        <v>2.9006944444481633</v>
      </c>
    </row>
    <row r="346" spans="1:8" ht="17.25" thickBot="1">
      <c r="A346" s="290" t="s">
        <v>3070</v>
      </c>
      <c r="B346" s="19" t="s">
        <v>2104</v>
      </c>
      <c r="C346" s="267">
        <v>44142.777777777781</v>
      </c>
      <c r="E346" s="267">
        <v>44151.513194444444</v>
      </c>
      <c r="F346" s="283">
        <f t="shared" si="11"/>
        <v>8.7354166666627862</v>
      </c>
    </row>
    <row r="347" spans="1:8" ht="17.25" thickBot="1">
      <c r="A347" s="290" t="s">
        <v>3071</v>
      </c>
      <c r="B347" s="19" t="s">
        <v>2104</v>
      </c>
      <c r="C347" s="267">
        <v>44149.090277777781</v>
      </c>
      <c r="E347" s="267">
        <v>44151.491666666669</v>
      </c>
      <c r="F347" s="283">
        <f t="shared" si="11"/>
        <v>2.4013888888875954</v>
      </c>
    </row>
    <row r="348" spans="1:8" ht="17.25" thickBot="1">
      <c r="A348" s="290" t="s">
        <v>2320</v>
      </c>
      <c r="B348" s="19" t="s">
        <v>2104</v>
      </c>
      <c r="C348" s="267">
        <v>44141.695833333331</v>
      </c>
      <c r="E348" s="267">
        <v>44151.433333333334</v>
      </c>
      <c r="F348" s="283">
        <f t="shared" si="11"/>
        <v>9.7375000000029104</v>
      </c>
    </row>
    <row r="349" spans="1:8" ht="17.25" thickBot="1">
      <c r="A349" s="290" t="s">
        <v>3072</v>
      </c>
      <c r="B349" s="19" t="s">
        <v>2104</v>
      </c>
      <c r="C349" s="267">
        <v>44145.863888888889</v>
      </c>
      <c r="E349" s="285">
        <v>44147.457638888889</v>
      </c>
      <c r="F349" s="283">
        <f t="shared" si="11"/>
        <v>1.59375</v>
      </c>
    </row>
    <row r="350" spans="1:8" ht="17.25" thickBot="1">
      <c r="A350" s="290" t="s">
        <v>3056</v>
      </c>
      <c r="B350" s="19" t="s">
        <v>2104</v>
      </c>
      <c r="C350" s="267">
        <v>44145.852777777778</v>
      </c>
      <c r="E350" s="267">
        <v>44147.375</v>
      </c>
      <c r="F350" s="283">
        <f t="shared" si="11"/>
        <v>1.5222222222218988</v>
      </c>
    </row>
    <row r="351" spans="1:8" ht="100.5" thickBot="1">
      <c r="A351" s="290" t="s">
        <v>3073</v>
      </c>
      <c r="B351" s="19" t="s">
        <v>2104</v>
      </c>
      <c r="C351" s="267">
        <v>44141.695833333331</v>
      </c>
      <c r="E351" s="267">
        <v>44146.657638888886</v>
      </c>
      <c r="F351" s="283">
        <f t="shared" si="11"/>
        <v>4.9618055555547471</v>
      </c>
      <c r="H351" s="274" t="s">
        <v>3074</v>
      </c>
    </row>
    <row r="352" spans="1:8" ht="17.25" thickBot="1">
      <c r="A352" s="290" t="s">
        <v>2157</v>
      </c>
      <c r="B352" s="19" t="s">
        <v>2104</v>
      </c>
      <c r="C352" s="267">
        <v>44137.84375</v>
      </c>
      <c r="E352" s="267">
        <v>44146.527777777781</v>
      </c>
      <c r="F352" s="283">
        <f t="shared" si="11"/>
        <v>8.6840277777810115</v>
      </c>
    </row>
    <row r="353" spans="1:6" ht="17.25" thickBot="1">
      <c r="A353" s="290" t="s">
        <v>3075</v>
      </c>
      <c r="B353" s="19" t="s">
        <v>2104</v>
      </c>
      <c r="C353" s="267">
        <v>44141.699305555558</v>
      </c>
      <c r="E353" s="267">
        <v>44146.404861111114</v>
      </c>
      <c r="F353" s="283">
        <f t="shared" si="11"/>
        <v>4.7055555555562023</v>
      </c>
    </row>
    <row r="354" spans="1:6" ht="17.25" thickBot="1">
      <c r="A354" s="290" t="s">
        <v>2297</v>
      </c>
      <c r="B354" s="19" t="s">
        <v>2104</v>
      </c>
      <c r="C354" s="267">
        <v>44144.73541666667</v>
      </c>
      <c r="E354" s="267">
        <v>44146.356944444444</v>
      </c>
      <c r="F354" s="283">
        <f t="shared" si="11"/>
        <v>1.6215277777737356</v>
      </c>
    </row>
    <row r="355" spans="1:6" ht="17.25" thickBot="1">
      <c r="A355" s="290" t="s">
        <v>2136</v>
      </c>
      <c r="B355" s="19" t="s">
        <v>2104</v>
      </c>
      <c r="C355" s="267">
        <v>44141.688888888886</v>
      </c>
      <c r="E355" s="285">
        <v>44145.768750000003</v>
      </c>
      <c r="F355" s="283">
        <f t="shared" si="11"/>
        <v>4.0798611111167702</v>
      </c>
    </row>
    <row r="356" spans="1:6" ht="17.25" thickBot="1">
      <c r="A356" s="290" t="s">
        <v>3076</v>
      </c>
      <c r="B356" s="19" t="s">
        <v>2104</v>
      </c>
      <c r="C356" s="267">
        <v>44141.688194444447</v>
      </c>
      <c r="E356" s="267">
        <v>44145.700694444444</v>
      </c>
      <c r="F356" s="283">
        <f t="shared" si="11"/>
        <v>4.0124999999970896</v>
      </c>
    </row>
    <row r="357" spans="1:6" ht="17.25" thickBot="1">
      <c r="A357" s="290" t="s">
        <v>3077</v>
      </c>
      <c r="B357" s="19" t="s">
        <v>2104</v>
      </c>
      <c r="C357" s="267">
        <v>44144.761111111111</v>
      </c>
      <c r="E357" s="267">
        <v>44145.566666666666</v>
      </c>
      <c r="F357" s="283">
        <f t="shared" si="11"/>
        <v>0.80555555555474712</v>
      </c>
    </row>
    <row r="358" spans="1:6" ht="17.25" thickBot="1">
      <c r="A358" s="290" t="s">
        <v>3078</v>
      </c>
      <c r="B358" s="19" t="s">
        <v>2104</v>
      </c>
      <c r="C358" s="267">
        <v>44142.772916666669</v>
      </c>
      <c r="E358" s="267">
        <v>44145.374305555553</v>
      </c>
      <c r="F358" s="283">
        <f t="shared" si="11"/>
        <v>2.601388888884685</v>
      </c>
    </row>
    <row r="359" spans="1:6" ht="17.25" thickBot="1">
      <c r="A359" s="290" t="s">
        <v>3079</v>
      </c>
      <c r="B359" s="19" t="s">
        <v>2104</v>
      </c>
      <c r="C359" s="267">
        <v>44122.7</v>
      </c>
      <c r="E359" s="267">
        <v>44144.73333333333</v>
      </c>
      <c r="F359" s="283">
        <f t="shared" si="11"/>
        <v>22.033333333332848</v>
      </c>
    </row>
    <row r="360" spans="1:6" ht="17.25" thickBot="1">
      <c r="A360" s="290" t="s">
        <v>3080</v>
      </c>
      <c r="B360" s="19" t="s">
        <v>2104</v>
      </c>
      <c r="C360" s="267">
        <v>44141.690972222219</v>
      </c>
      <c r="E360" s="267">
        <v>44144.567361111112</v>
      </c>
      <c r="F360" s="283">
        <f t="shared" si="11"/>
        <v>2.8763888888934162</v>
      </c>
    </row>
    <row r="361" spans="1:6" ht="17.25" thickBot="1">
      <c r="A361" s="290" t="s">
        <v>3081</v>
      </c>
      <c r="B361" s="19" t="s">
        <v>2104</v>
      </c>
      <c r="C361" s="267">
        <v>44141.709722222222</v>
      </c>
      <c r="E361" s="267">
        <v>44144.538194444445</v>
      </c>
      <c r="F361" s="283">
        <f t="shared" si="11"/>
        <v>2.828472222223354</v>
      </c>
    </row>
    <row r="362" spans="1:6" ht="16.5">
      <c r="A362" s="282" t="s">
        <v>3082</v>
      </c>
      <c r="B362" s="19" t="s">
        <v>2104</v>
      </c>
      <c r="C362" s="267">
        <v>44160.804166666669</v>
      </c>
      <c r="E362" s="267">
        <v>44160.820833333331</v>
      </c>
      <c r="F362" s="283">
        <f t="shared" ref="F362:F425" si="12">E362-C362</f>
        <v>1.6666666662786156E-2</v>
      </c>
    </row>
    <row r="363" spans="1:6" ht="16.5">
      <c r="A363" s="282" t="s">
        <v>3083</v>
      </c>
      <c r="B363" s="19" t="s">
        <v>2104</v>
      </c>
      <c r="C363" s="267">
        <v>44160.662499999999</v>
      </c>
      <c r="E363" s="267">
        <v>44161.462500000001</v>
      </c>
      <c r="F363" s="283">
        <f t="shared" si="12"/>
        <v>0.80000000000291038</v>
      </c>
    </row>
    <row r="364" spans="1:6" ht="16.5">
      <c r="A364" s="282" t="s">
        <v>3084</v>
      </c>
      <c r="B364" s="19" t="s">
        <v>2104</v>
      </c>
      <c r="C364" s="267">
        <v>44161.618055555555</v>
      </c>
      <c r="E364" s="267">
        <v>44161.618055555555</v>
      </c>
      <c r="F364" s="283">
        <f t="shared" si="12"/>
        <v>0</v>
      </c>
    </row>
    <row r="365" spans="1:6" ht="16.5">
      <c r="A365" s="282" t="s">
        <v>3085</v>
      </c>
      <c r="B365" s="19" t="s">
        <v>2104</v>
      </c>
      <c r="C365" s="267">
        <v>44151.541666666664</v>
      </c>
      <c r="E365" s="267">
        <v>44161.796527777777</v>
      </c>
      <c r="F365" s="283">
        <f t="shared" si="12"/>
        <v>10.254861111112405</v>
      </c>
    </row>
    <row r="366" spans="1:6" ht="16.5">
      <c r="A366" s="282" t="s">
        <v>3086</v>
      </c>
      <c r="B366" s="19" t="s">
        <v>2104</v>
      </c>
      <c r="C366" s="267">
        <v>44148.631944444445</v>
      </c>
      <c r="E366" s="267">
        <v>44162.390277777777</v>
      </c>
      <c r="F366" s="283">
        <f t="shared" si="12"/>
        <v>13.758333333331393</v>
      </c>
    </row>
    <row r="367" spans="1:6" ht="28.5">
      <c r="A367" s="282" t="s">
        <v>3087</v>
      </c>
      <c r="B367" s="19" t="s">
        <v>2104</v>
      </c>
      <c r="C367" s="267">
        <v>44160.800000000003</v>
      </c>
      <c r="E367" s="267">
        <v>44162.434027777781</v>
      </c>
      <c r="F367" s="283">
        <f t="shared" si="12"/>
        <v>1.6340277777781012</v>
      </c>
    </row>
    <row r="368" spans="1:6" ht="16.5">
      <c r="A368" s="282" t="s">
        <v>3088</v>
      </c>
      <c r="B368" s="19" t="s">
        <v>2104</v>
      </c>
      <c r="C368" s="267">
        <v>44161.643055555556</v>
      </c>
      <c r="E368" s="267">
        <v>44162.439583333333</v>
      </c>
      <c r="F368" s="283">
        <f t="shared" si="12"/>
        <v>0.79652777777664596</v>
      </c>
    </row>
    <row r="369" spans="1:8" ht="16.5">
      <c r="A369" s="282" t="s">
        <v>3089</v>
      </c>
      <c r="B369" s="19" t="s">
        <v>2104</v>
      </c>
      <c r="C369" s="267">
        <v>44162.659722222219</v>
      </c>
      <c r="E369" s="267">
        <v>2958431.659722222</v>
      </c>
      <c r="F369" s="283">
        <f t="shared" si="12"/>
        <v>2914269</v>
      </c>
    </row>
    <row r="370" spans="1:8" ht="16.5">
      <c r="A370" s="282" t="s">
        <v>3090</v>
      </c>
      <c r="B370" s="19" t="s">
        <v>2104</v>
      </c>
      <c r="C370" s="267">
        <v>44159.709027777775</v>
      </c>
      <c r="E370" s="267">
        <v>44162.730555555558</v>
      </c>
      <c r="F370" s="283">
        <f t="shared" si="12"/>
        <v>3.0215277777824667</v>
      </c>
    </row>
    <row r="371" spans="1:8" ht="16.5">
      <c r="A371" s="282" t="s">
        <v>3091</v>
      </c>
      <c r="B371" s="19" t="s">
        <v>2104</v>
      </c>
      <c r="C371" s="267">
        <v>44161.618750000001</v>
      </c>
      <c r="E371" s="267">
        <v>44165.415277777778</v>
      </c>
      <c r="F371" s="283">
        <f t="shared" si="12"/>
        <v>3.796527777776646</v>
      </c>
    </row>
    <row r="372" spans="1:8" ht="16.5">
      <c r="A372" s="282" t="s">
        <v>3092</v>
      </c>
      <c r="B372" s="19" t="s">
        <v>2104</v>
      </c>
      <c r="C372" s="267">
        <v>44161.62222222222</v>
      </c>
      <c r="E372" s="267">
        <v>44165.426388888889</v>
      </c>
      <c r="F372" s="283">
        <f t="shared" si="12"/>
        <v>3.8041666666686069</v>
      </c>
    </row>
    <row r="373" spans="1:8" ht="16.5">
      <c r="A373" s="282" t="s">
        <v>3093</v>
      </c>
      <c r="B373" s="19" t="s">
        <v>2104</v>
      </c>
      <c r="C373" s="267">
        <v>44123.92083333333</v>
      </c>
      <c r="E373" s="267">
        <v>44165.447222222225</v>
      </c>
      <c r="F373" s="283">
        <f t="shared" si="12"/>
        <v>41.526388888894871</v>
      </c>
    </row>
    <row r="374" spans="1:8" ht="16.5">
      <c r="A374" s="282" t="s">
        <v>3094</v>
      </c>
      <c r="B374" s="19" t="s">
        <v>2104</v>
      </c>
      <c r="C374" s="267">
        <v>44161.616666666669</v>
      </c>
      <c r="E374" s="267">
        <v>44165.580555555556</v>
      </c>
      <c r="F374" s="283">
        <f t="shared" si="12"/>
        <v>3.9638888888875954</v>
      </c>
    </row>
    <row r="375" spans="1:8" ht="16.5">
      <c r="A375" s="282" t="s">
        <v>3095</v>
      </c>
      <c r="B375" s="19" t="s">
        <v>2104</v>
      </c>
      <c r="C375" s="267">
        <v>44148.615277777775</v>
      </c>
      <c r="E375" s="267">
        <v>44165.626388888886</v>
      </c>
      <c r="F375" s="283">
        <f t="shared" si="12"/>
        <v>17.011111111110949</v>
      </c>
    </row>
    <row r="376" spans="1:8" ht="16.5">
      <c r="A376" s="282" t="s">
        <v>3096</v>
      </c>
      <c r="B376" s="19" t="s">
        <v>2104</v>
      </c>
      <c r="C376" s="267">
        <v>44162.678472222222</v>
      </c>
      <c r="E376" s="267">
        <v>44165.681944444441</v>
      </c>
      <c r="F376" s="283">
        <f t="shared" si="12"/>
        <v>3.0034722222189885</v>
      </c>
    </row>
    <row r="377" spans="1:8" ht="16.5">
      <c r="A377" s="282" t="s">
        <v>3097</v>
      </c>
      <c r="B377" s="19" t="s">
        <v>2104</v>
      </c>
      <c r="C377" s="267">
        <v>44161.62222222222</v>
      </c>
      <c r="E377" s="267">
        <v>44165.708333333336</v>
      </c>
      <c r="F377" s="283">
        <f t="shared" si="12"/>
        <v>4.086111111115315</v>
      </c>
    </row>
    <row r="378" spans="1:8" ht="85.5">
      <c r="A378" s="282" t="s">
        <v>3098</v>
      </c>
      <c r="B378" s="19" t="s">
        <v>2104</v>
      </c>
      <c r="C378" s="267">
        <v>44155.785416666666</v>
      </c>
      <c r="E378" s="267">
        <v>44165.75</v>
      </c>
      <c r="F378" s="283">
        <f t="shared" si="12"/>
        <v>9.9645833333343035</v>
      </c>
      <c r="G378" s="195" t="s">
        <v>3100</v>
      </c>
      <c r="H378" s="274" t="s">
        <v>3099</v>
      </c>
    </row>
    <row r="379" spans="1:8" ht="16.5">
      <c r="A379" s="282" t="s">
        <v>3101</v>
      </c>
      <c r="B379" s="19" t="s">
        <v>2104</v>
      </c>
      <c r="C379" s="267">
        <v>44166.578472222223</v>
      </c>
      <c r="E379" s="267">
        <v>44166.646527777775</v>
      </c>
      <c r="F379" s="283">
        <f t="shared" si="12"/>
        <v>6.8055555551836733E-2</v>
      </c>
    </row>
    <row r="380" spans="1:8" ht="16.5">
      <c r="A380" s="282" t="s">
        <v>3102</v>
      </c>
      <c r="B380" s="19" t="s">
        <v>2104</v>
      </c>
      <c r="C380" s="267">
        <v>44139.806944444441</v>
      </c>
      <c r="E380" s="267">
        <v>44166.749305555553</v>
      </c>
      <c r="F380" s="283">
        <f t="shared" si="12"/>
        <v>26.942361111112405</v>
      </c>
    </row>
    <row r="381" spans="1:8" ht="16.5">
      <c r="A381" s="282" t="s">
        <v>3103</v>
      </c>
      <c r="B381" s="19" t="s">
        <v>2104</v>
      </c>
      <c r="C381" s="267">
        <v>44160.79791666667</v>
      </c>
      <c r="E381" s="267">
        <v>44166.8125</v>
      </c>
      <c r="F381" s="283">
        <f t="shared" si="12"/>
        <v>6.0145833333299379</v>
      </c>
    </row>
    <row r="382" spans="1:8" ht="16.5">
      <c r="A382" s="282" t="s">
        <v>3104</v>
      </c>
      <c r="B382" s="19" t="s">
        <v>2104</v>
      </c>
      <c r="C382" s="267">
        <v>44160.586805555555</v>
      </c>
      <c r="E382" s="267">
        <v>44166.88958333333</v>
      </c>
      <c r="F382" s="283">
        <f t="shared" si="12"/>
        <v>6.3027777777751908</v>
      </c>
    </row>
    <row r="383" spans="1:8" ht="16.5">
      <c r="A383" s="282" t="s">
        <v>3105</v>
      </c>
      <c r="B383" s="19" t="s">
        <v>2104</v>
      </c>
      <c r="C383" s="267">
        <v>44166.57708333333</v>
      </c>
      <c r="E383" s="267">
        <v>44167.386805555558</v>
      </c>
      <c r="F383" s="283">
        <f t="shared" si="12"/>
        <v>0.80972222222771961</v>
      </c>
    </row>
    <row r="384" spans="1:8" ht="16.5">
      <c r="A384" s="282" t="s">
        <v>3106</v>
      </c>
      <c r="B384" s="19" t="s">
        <v>2104</v>
      </c>
      <c r="C384" s="267">
        <v>44166.581944444442</v>
      </c>
      <c r="E384" s="267">
        <v>44167.402083333334</v>
      </c>
      <c r="F384" s="283">
        <f t="shared" si="12"/>
        <v>0.82013888889196096</v>
      </c>
    </row>
    <row r="385" spans="1:6" ht="16.5">
      <c r="A385" s="282" t="s">
        <v>3107</v>
      </c>
      <c r="B385" s="19" t="s">
        <v>2104</v>
      </c>
      <c r="C385" s="267">
        <v>44166.577777777777</v>
      </c>
      <c r="E385" s="267">
        <v>44167.402777777781</v>
      </c>
      <c r="F385" s="283">
        <f t="shared" si="12"/>
        <v>0.82500000000436557</v>
      </c>
    </row>
    <row r="386" spans="1:6" ht="16.5">
      <c r="A386" s="282" t="s">
        <v>3108</v>
      </c>
      <c r="B386" s="19" t="s">
        <v>2104</v>
      </c>
      <c r="C386" s="267">
        <v>44162.7</v>
      </c>
      <c r="E386" s="267">
        <v>44167.452777777777</v>
      </c>
      <c r="F386" s="283">
        <f t="shared" si="12"/>
        <v>4.7527777777795563</v>
      </c>
    </row>
    <row r="387" spans="1:6" ht="16.5">
      <c r="A387" s="282" t="s">
        <v>3109</v>
      </c>
      <c r="B387" s="19" t="s">
        <v>2104</v>
      </c>
      <c r="C387" s="267">
        <v>44166.575694444444</v>
      </c>
      <c r="E387" s="267">
        <v>44167.462500000001</v>
      </c>
      <c r="F387" s="283">
        <f t="shared" si="12"/>
        <v>0.8868055555576575</v>
      </c>
    </row>
    <row r="388" spans="1:6" ht="16.5">
      <c r="A388" s="282" t="s">
        <v>3110</v>
      </c>
      <c r="B388" s="19" t="s">
        <v>2104</v>
      </c>
      <c r="C388" s="267">
        <v>44166.518750000003</v>
      </c>
      <c r="E388" s="267">
        <v>44167.473611111112</v>
      </c>
      <c r="F388" s="283">
        <f t="shared" si="12"/>
        <v>0.95486111110949423</v>
      </c>
    </row>
    <row r="389" spans="1:6" ht="16.5">
      <c r="A389" s="282" t="s">
        <v>3111</v>
      </c>
      <c r="B389" s="19" t="s">
        <v>2104</v>
      </c>
      <c r="C389" s="267">
        <v>44166.580555555556</v>
      </c>
      <c r="E389" s="267">
        <v>44167.573611111111</v>
      </c>
      <c r="F389" s="283">
        <f t="shared" si="12"/>
        <v>0.99305555555474712</v>
      </c>
    </row>
    <row r="390" spans="1:6" ht="16.5">
      <c r="A390" s="282" t="s">
        <v>3112</v>
      </c>
      <c r="B390" s="19" t="s">
        <v>2104</v>
      </c>
      <c r="C390" s="267">
        <v>44166.531944444447</v>
      </c>
      <c r="E390" s="267">
        <v>44167.625</v>
      </c>
      <c r="F390" s="283">
        <f t="shared" si="12"/>
        <v>1.0930555555532919</v>
      </c>
    </row>
    <row r="391" spans="1:6" ht="16.5">
      <c r="A391" s="282" t="s">
        <v>3114</v>
      </c>
      <c r="B391" s="19" t="s">
        <v>2104</v>
      </c>
      <c r="C391" s="267">
        <v>44166.521527777775</v>
      </c>
      <c r="E391" s="267">
        <v>44167.743750000001</v>
      </c>
      <c r="F391" s="283">
        <f t="shared" si="12"/>
        <v>1.2222222222262644</v>
      </c>
    </row>
    <row r="392" spans="1:6" ht="16.5">
      <c r="A392" s="282" t="s">
        <v>3115</v>
      </c>
      <c r="B392" s="19" t="s">
        <v>2104</v>
      </c>
      <c r="C392" s="267">
        <v>44165.80972222222</v>
      </c>
      <c r="E392" s="267">
        <v>44168.392361111109</v>
      </c>
      <c r="F392" s="283">
        <f t="shared" si="12"/>
        <v>2.5826388888890506</v>
      </c>
    </row>
    <row r="393" spans="1:6" ht="16.5">
      <c r="A393" s="282" t="s">
        <v>3116</v>
      </c>
      <c r="B393" s="19" t="s">
        <v>2104</v>
      </c>
      <c r="C393" s="267">
        <v>44166.578472222223</v>
      </c>
      <c r="E393" s="267">
        <v>44168.436805555553</v>
      </c>
      <c r="F393" s="283">
        <f t="shared" si="12"/>
        <v>1.8583333333299379</v>
      </c>
    </row>
    <row r="394" spans="1:6" ht="16.5">
      <c r="A394" s="282" t="s">
        <v>3117</v>
      </c>
      <c r="B394" s="19" t="s">
        <v>2104</v>
      </c>
      <c r="C394" s="267">
        <v>44166.576388888891</v>
      </c>
      <c r="E394" s="267">
        <v>44168.501388888886</v>
      </c>
      <c r="F394" s="283">
        <f t="shared" si="12"/>
        <v>1.9249999999956344</v>
      </c>
    </row>
    <row r="395" spans="1:6" ht="16.5">
      <c r="A395" s="282" t="s">
        <v>3118</v>
      </c>
      <c r="B395" s="19" t="s">
        <v>2104</v>
      </c>
      <c r="C395" s="267">
        <v>44162.657638888886</v>
      </c>
      <c r="E395" s="267">
        <v>44168.566666666666</v>
      </c>
      <c r="F395" s="283">
        <f t="shared" si="12"/>
        <v>5.9090277777795563</v>
      </c>
    </row>
    <row r="396" spans="1:6" ht="16.5">
      <c r="A396" s="282" t="s">
        <v>3119</v>
      </c>
      <c r="B396" s="19" t="s">
        <v>2104</v>
      </c>
      <c r="C396" s="267">
        <v>44168.763888888891</v>
      </c>
      <c r="E396" s="267">
        <v>44168.795138888891</v>
      </c>
      <c r="F396" s="283">
        <f t="shared" si="12"/>
        <v>3.125E-2</v>
      </c>
    </row>
    <row r="397" spans="1:6" ht="16.5">
      <c r="A397" s="282" t="s">
        <v>3120</v>
      </c>
      <c r="B397" s="19" t="s">
        <v>2104</v>
      </c>
      <c r="C397" s="267">
        <v>44161.62222222222</v>
      </c>
      <c r="E397" s="267">
        <v>44169.423611111109</v>
      </c>
      <c r="F397" s="283">
        <f t="shared" si="12"/>
        <v>7.8013888888890506</v>
      </c>
    </row>
    <row r="398" spans="1:6" ht="16.5">
      <c r="A398" s="282" t="s">
        <v>3121</v>
      </c>
      <c r="B398" s="19" t="s">
        <v>2104</v>
      </c>
      <c r="C398" s="267">
        <v>44166.532638888886</v>
      </c>
      <c r="E398" s="267">
        <v>44169.472916666666</v>
      </c>
      <c r="F398" s="283">
        <f t="shared" si="12"/>
        <v>2.9402777777795563</v>
      </c>
    </row>
    <row r="399" spans="1:6" ht="16.5">
      <c r="A399" s="31" t="s">
        <v>3122</v>
      </c>
      <c r="B399" s="19" t="s">
        <v>2104</v>
      </c>
      <c r="C399" s="267">
        <v>44167.801388888889</v>
      </c>
      <c r="E399" s="267">
        <v>44169.505555555559</v>
      </c>
      <c r="F399" s="283">
        <f t="shared" si="12"/>
        <v>1.7041666666700621</v>
      </c>
    </row>
    <row r="400" spans="1:6" ht="16.5">
      <c r="A400" s="282" t="s">
        <v>3123</v>
      </c>
      <c r="B400" s="19" t="s">
        <v>2104</v>
      </c>
      <c r="C400" s="267">
        <v>44167.823611111111</v>
      </c>
      <c r="E400" s="267">
        <v>44169.535416666666</v>
      </c>
      <c r="F400" s="283">
        <f t="shared" si="12"/>
        <v>1.7118055555547471</v>
      </c>
    </row>
    <row r="401" spans="1:8" ht="16.5">
      <c r="A401" s="282" t="s">
        <v>3124</v>
      </c>
      <c r="B401" s="19" t="s">
        <v>2104</v>
      </c>
      <c r="C401" s="267">
        <v>44166.539583333331</v>
      </c>
      <c r="E401" s="267">
        <v>44169.587500000001</v>
      </c>
      <c r="F401" s="283">
        <f t="shared" si="12"/>
        <v>3.0479166666700621</v>
      </c>
    </row>
    <row r="402" spans="1:8" ht="16.5">
      <c r="A402" s="282" t="s">
        <v>3125</v>
      </c>
      <c r="B402" s="19" t="s">
        <v>2104</v>
      </c>
      <c r="C402" s="267">
        <v>44166.586111111108</v>
      </c>
      <c r="E402" s="267">
        <v>44169.712500000001</v>
      </c>
      <c r="F402" s="283">
        <f t="shared" si="12"/>
        <v>3.1263888888934162</v>
      </c>
    </row>
    <row r="403" spans="1:8" ht="57">
      <c r="A403" s="282" t="s">
        <v>3126</v>
      </c>
      <c r="B403" s="19" t="s">
        <v>2104</v>
      </c>
      <c r="C403" s="267">
        <v>44166.583333333336</v>
      </c>
      <c r="E403" s="267">
        <v>44169.73333333333</v>
      </c>
      <c r="F403" s="283">
        <f t="shared" si="12"/>
        <v>3.1499999999941792</v>
      </c>
      <c r="H403" s="282" t="s">
        <v>3127</v>
      </c>
    </row>
    <row r="404" spans="1:8" ht="114">
      <c r="A404" s="282" t="s">
        <v>3128</v>
      </c>
      <c r="B404" s="19" t="s">
        <v>2104</v>
      </c>
      <c r="C404" s="267">
        <v>44166.585416666669</v>
      </c>
      <c r="E404" s="267">
        <v>44169.749305555553</v>
      </c>
      <c r="F404" s="283">
        <f t="shared" si="12"/>
        <v>3.163888888884685</v>
      </c>
      <c r="H404" s="282" t="s">
        <v>3129</v>
      </c>
    </row>
    <row r="405" spans="1:8" ht="16.5">
      <c r="A405" s="282" t="s">
        <v>3130</v>
      </c>
      <c r="B405" s="19" t="s">
        <v>2104</v>
      </c>
      <c r="C405" s="267">
        <v>44168.772916666669</v>
      </c>
      <c r="E405" s="267">
        <v>44172.429166666669</v>
      </c>
      <c r="F405" s="283">
        <f t="shared" si="12"/>
        <v>3.65625</v>
      </c>
    </row>
    <row r="406" spans="1:8" ht="16.5">
      <c r="A406" s="282" t="s">
        <v>3119</v>
      </c>
      <c r="B406" s="19" t="s">
        <v>2104</v>
      </c>
      <c r="C406" s="267">
        <v>44100.793749999997</v>
      </c>
      <c r="E406" s="267">
        <v>44172.452777777777</v>
      </c>
      <c r="F406" s="283">
        <f t="shared" si="12"/>
        <v>71.659027777779556</v>
      </c>
      <c r="G406" s="36" t="s">
        <v>3100</v>
      </c>
      <c r="H406" s="215" t="s">
        <v>3131</v>
      </c>
    </row>
    <row r="407" spans="1:8" ht="16.5">
      <c r="A407" s="282" t="s">
        <v>3132</v>
      </c>
      <c r="B407" s="19" t="s">
        <v>2104</v>
      </c>
      <c r="C407" s="267">
        <v>44166.584722222222</v>
      </c>
      <c r="E407" s="267">
        <v>44172.46875</v>
      </c>
      <c r="F407" s="283">
        <f t="shared" si="12"/>
        <v>5.8840277777781012</v>
      </c>
    </row>
    <row r="408" spans="1:8" ht="142.5">
      <c r="A408" s="293" t="s">
        <v>3133</v>
      </c>
      <c r="B408" s="19" t="s">
        <v>2104</v>
      </c>
      <c r="C408" s="267">
        <v>44166.57916666667</v>
      </c>
      <c r="E408" s="267">
        <v>44172.820833333331</v>
      </c>
      <c r="F408" s="283">
        <f t="shared" si="12"/>
        <v>6.241666666661331</v>
      </c>
      <c r="H408" s="282" t="s">
        <v>3134</v>
      </c>
    </row>
    <row r="409" spans="1:8" ht="16.5">
      <c r="A409" s="282" t="s">
        <v>3135</v>
      </c>
      <c r="B409" s="19" t="s">
        <v>2104</v>
      </c>
      <c r="C409" s="267">
        <v>44172.737500000003</v>
      </c>
      <c r="E409" s="267">
        <v>44173.443749999999</v>
      </c>
      <c r="F409" s="283">
        <f t="shared" si="12"/>
        <v>0.70624999999563443</v>
      </c>
    </row>
    <row r="410" spans="1:8" ht="16.5">
      <c r="A410" s="282" t="s">
        <v>3136</v>
      </c>
      <c r="B410" s="19" t="s">
        <v>2104</v>
      </c>
      <c r="C410" s="267">
        <v>44166.574305555558</v>
      </c>
      <c r="E410" s="267">
        <v>44173.446527777778</v>
      </c>
      <c r="F410" s="283">
        <f t="shared" si="12"/>
        <v>6.8722222222204437</v>
      </c>
    </row>
    <row r="411" spans="1:8" ht="16.5">
      <c r="A411" s="282" t="s">
        <v>3137</v>
      </c>
      <c r="B411" s="19" t="s">
        <v>2104</v>
      </c>
      <c r="C411" s="267">
        <v>44169.797222222223</v>
      </c>
      <c r="E411" s="267">
        <v>44173.449305555558</v>
      </c>
      <c r="F411" s="283">
        <f t="shared" si="12"/>
        <v>3.6520833333343035</v>
      </c>
    </row>
    <row r="412" spans="1:8" ht="16.5">
      <c r="A412" s="282" t="s">
        <v>3138</v>
      </c>
      <c r="B412" s="19" t="s">
        <v>2104</v>
      </c>
      <c r="C412" s="267">
        <v>44172.726388888892</v>
      </c>
      <c r="E412" s="267">
        <v>44173.782638888886</v>
      </c>
      <c r="F412" s="283">
        <f t="shared" si="12"/>
        <v>1.0562499999941792</v>
      </c>
    </row>
    <row r="413" spans="1:8" ht="16.5">
      <c r="A413" s="282" t="s">
        <v>3139</v>
      </c>
      <c r="B413" s="19" t="s">
        <v>2104</v>
      </c>
      <c r="C413" s="267">
        <v>44173.77847222222</v>
      </c>
      <c r="E413" s="267">
        <v>44174.379166666666</v>
      </c>
      <c r="F413" s="283">
        <f t="shared" si="12"/>
        <v>0.60069444444525288</v>
      </c>
    </row>
    <row r="414" spans="1:8" ht="16.5">
      <c r="A414" s="282" t="s">
        <v>3140</v>
      </c>
      <c r="B414" s="19" t="s">
        <v>2104</v>
      </c>
      <c r="C414" s="267">
        <v>44173.777083333334</v>
      </c>
      <c r="E414" s="267">
        <v>44174.412499999999</v>
      </c>
      <c r="F414" s="283">
        <f t="shared" si="12"/>
        <v>0.63541666666424135</v>
      </c>
    </row>
    <row r="415" spans="1:8" ht="16.5">
      <c r="A415" s="282" t="s">
        <v>3141</v>
      </c>
      <c r="B415" s="19" t="s">
        <v>2104</v>
      </c>
      <c r="C415" s="267">
        <v>44172.813888888886</v>
      </c>
      <c r="E415" s="267">
        <v>44174.513888888891</v>
      </c>
      <c r="F415" s="283">
        <f t="shared" si="12"/>
        <v>1.7000000000043656</v>
      </c>
    </row>
    <row r="416" spans="1:8" ht="16.5">
      <c r="A416" s="282" t="s">
        <v>3142</v>
      </c>
      <c r="B416" s="19" t="s">
        <v>2104</v>
      </c>
      <c r="C416" s="267">
        <v>44173.758333333331</v>
      </c>
      <c r="E416" s="267">
        <v>44174.554166666669</v>
      </c>
      <c r="F416" s="283">
        <f t="shared" si="12"/>
        <v>0.79583333333721384</v>
      </c>
    </row>
    <row r="417" spans="1:8" ht="16.5">
      <c r="A417" s="282" t="s">
        <v>3143</v>
      </c>
      <c r="B417" s="19" t="s">
        <v>2104</v>
      </c>
      <c r="C417" s="267">
        <v>44174.827777777777</v>
      </c>
      <c r="E417" s="267">
        <v>44175.412499999999</v>
      </c>
      <c r="F417" s="283">
        <f t="shared" si="12"/>
        <v>0.58472222222189885</v>
      </c>
    </row>
    <row r="418" spans="1:8" ht="16.5">
      <c r="A418" s="282" t="s">
        <v>3144</v>
      </c>
      <c r="B418" s="19" t="s">
        <v>2104</v>
      </c>
      <c r="C418" s="267">
        <v>44173.752083333333</v>
      </c>
      <c r="E418" s="267">
        <v>44175.418055555558</v>
      </c>
      <c r="F418" s="283">
        <f t="shared" si="12"/>
        <v>1.6659722222248092</v>
      </c>
    </row>
    <row r="419" spans="1:8" ht="16.5">
      <c r="A419" s="282" t="s">
        <v>3145</v>
      </c>
      <c r="B419" s="19" t="s">
        <v>2104</v>
      </c>
      <c r="C419" s="267">
        <v>44172.740972222222</v>
      </c>
      <c r="E419" s="267">
        <v>44175.477777777778</v>
      </c>
      <c r="F419" s="283">
        <f t="shared" si="12"/>
        <v>2.7368055555562023</v>
      </c>
    </row>
    <row r="420" spans="1:8" ht="16.5">
      <c r="A420" s="282" t="s">
        <v>3146</v>
      </c>
      <c r="B420" s="19" t="s">
        <v>2104</v>
      </c>
      <c r="C420" s="267">
        <v>44173.743055555555</v>
      </c>
      <c r="E420" s="267">
        <v>44175.564583333333</v>
      </c>
      <c r="F420" s="283">
        <f t="shared" si="12"/>
        <v>1.8215277777781012</v>
      </c>
    </row>
    <row r="421" spans="1:8" ht="16.5">
      <c r="A421" s="282" t="s">
        <v>3147</v>
      </c>
      <c r="B421" s="19" t="s">
        <v>2104</v>
      </c>
      <c r="C421" s="267">
        <v>44172.711805555555</v>
      </c>
      <c r="E421" s="267">
        <v>44175.716666666667</v>
      </c>
      <c r="F421" s="283">
        <f t="shared" si="12"/>
        <v>3.0048611111124046</v>
      </c>
    </row>
    <row r="422" spans="1:8" ht="16.5">
      <c r="A422" s="282" t="s">
        <v>3148</v>
      </c>
      <c r="B422" s="19" t="s">
        <v>2104</v>
      </c>
      <c r="C422" s="267">
        <v>44172.722916666666</v>
      </c>
      <c r="E422" s="267">
        <v>44175.730555555558</v>
      </c>
      <c r="F422" s="283">
        <f t="shared" si="12"/>
        <v>3.007638888891961</v>
      </c>
    </row>
    <row r="423" spans="1:8" ht="16.5">
      <c r="A423" s="282" t="s">
        <v>3149</v>
      </c>
      <c r="B423" s="19" t="s">
        <v>2104</v>
      </c>
      <c r="C423" s="267">
        <v>44173.769444444442</v>
      </c>
      <c r="E423" s="267">
        <v>44175.836805555555</v>
      </c>
      <c r="F423" s="283">
        <f t="shared" si="12"/>
        <v>2.0673611111124046</v>
      </c>
    </row>
    <row r="424" spans="1:8" ht="16.5">
      <c r="A424" s="282" t="s">
        <v>3150</v>
      </c>
      <c r="B424" s="19" t="s">
        <v>2104</v>
      </c>
      <c r="C424" s="267">
        <v>44175.722222222219</v>
      </c>
      <c r="E424" s="267">
        <v>44176.381944444445</v>
      </c>
      <c r="F424" s="283">
        <f t="shared" si="12"/>
        <v>0.65972222222626442</v>
      </c>
    </row>
    <row r="425" spans="1:8" ht="71.25">
      <c r="A425" s="282" t="s">
        <v>3151</v>
      </c>
      <c r="B425" s="19" t="s">
        <v>2104</v>
      </c>
      <c r="C425" s="267">
        <v>44175.643750000003</v>
      </c>
      <c r="E425" s="267">
        <v>44176.480555555558</v>
      </c>
      <c r="F425" s="283">
        <f t="shared" si="12"/>
        <v>0.83680555555474712</v>
      </c>
      <c r="H425" s="282" t="s">
        <v>3152</v>
      </c>
    </row>
    <row r="426" spans="1:8" ht="16.5">
      <c r="A426" s="282" t="s">
        <v>3153</v>
      </c>
      <c r="B426" s="19" t="s">
        <v>2104</v>
      </c>
      <c r="C426" s="267">
        <v>44175.847222222219</v>
      </c>
      <c r="E426" s="267">
        <v>44176.500694444447</v>
      </c>
      <c r="F426" s="283">
        <f t="shared" ref="F426:F489" si="13">E426-C426</f>
        <v>0.65347222222771961</v>
      </c>
    </row>
    <row r="427" spans="1:8" ht="16.5">
      <c r="A427" s="282" t="s">
        <v>3154</v>
      </c>
      <c r="B427" s="19" t="s">
        <v>2104</v>
      </c>
      <c r="C427" s="267">
        <v>44175.64166666667</v>
      </c>
      <c r="E427" s="267">
        <v>44176.527777777781</v>
      </c>
      <c r="F427" s="283">
        <f t="shared" si="13"/>
        <v>0.88611111111094942</v>
      </c>
    </row>
    <row r="428" spans="1:8" ht="16.5">
      <c r="A428" s="282" t="s">
        <v>3155</v>
      </c>
      <c r="B428" s="19" t="s">
        <v>2104</v>
      </c>
      <c r="C428" s="267">
        <v>44175.848611111112</v>
      </c>
      <c r="E428" s="267">
        <v>44176.59097222222</v>
      </c>
      <c r="F428" s="283">
        <f t="shared" si="13"/>
        <v>0.74236111110803904</v>
      </c>
    </row>
    <row r="429" spans="1:8" ht="16.5">
      <c r="A429" s="282" t="s">
        <v>3156</v>
      </c>
      <c r="B429" s="19" t="s">
        <v>2104</v>
      </c>
      <c r="C429" s="267">
        <v>44170.550694444442</v>
      </c>
      <c r="E429" s="267">
        <v>44176.613194444442</v>
      </c>
      <c r="F429" s="283">
        <f t="shared" si="13"/>
        <v>6.0625</v>
      </c>
    </row>
    <row r="430" spans="1:8" ht="16.5">
      <c r="A430" s="282" t="s">
        <v>3157</v>
      </c>
      <c r="B430" s="19" t="s">
        <v>2104</v>
      </c>
      <c r="C430" s="267">
        <v>44175.774305555555</v>
      </c>
      <c r="E430" s="267">
        <v>44176.644444444442</v>
      </c>
      <c r="F430" s="283">
        <f t="shared" si="13"/>
        <v>0.87013888888759539</v>
      </c>
    </row>
    <row r="431" spans="1:8" ht="42.75">
      <c r="A431" s="282" t="s">
        <v>3158</v>
      </c>
      <c r="B431" s="19" t="s">
        <v>2104</v>
      </c>
      <c r="C431" s="267">
        <v>44175.638194444444</v>
      </c>
      <c r="E431" s="267">
        <v>44176.669444444444</v>
      </c>
      <c r="F431" s="283">
        <f t="shared" si="13"/>
        <v>1.03125</v>
      </c>
      <c r="H431" s="282" t="s">
        <v>3159</v>
      </c>
    </row>
    <row r="432" spans="1:8" ht="16.5">
      <c r="A432" s="282" t="s">
        <v>3160</v>
      </c>
      <c r="B432" s="19" t="s">
        <v>2104</v>
      </c>
      <c r="C432" s="267">
        <v>44175.638194444444</v>
      </c>
      <c r="E432" s="267">
        <v>44176.6875</v>
      </c>
      <c r="F432" s="283">
        <f t="shared" si="13"/>
        <v>1.0493055555562023</v>
      </c>
    </row>
    <row r="433" spans="1:8" ht="16.5">
      <c r="A433" s="282" t="s">
        <v>3161</v>
      </c>
      <c r="B433" s="19" t="s">
        <v>2104</v>
      </c>
      <c r="C433" s="267">
        <v>44175.750694444447</v>
      </c>
      <c r="E433" s="267">
        <v>44176.702777777777</v>
      </c>
      <c r="F433" s="283">
        <f t="shared" si="13"/>
        <v>0.95208333332993789</v>
      </c>
    </row>
    <row r="434" spans="1:8" ht="16.5">
      <c r="A434" s="282" t="s">
        <v>3162</v>
      </c>
      <c r="B434" s="19" t="s">
        <v>2104</v>
      </c>
      <c r="C434" s="267">
        <v>44175.640972222223</v>
      </c>
      <c r="E434" s="267">
        <v>44176.702777777777</v>
      </c>
      <c r="F434" s="283">
        <f t="shared" si="13"/>
        <v>1.0618055555532919</v>
      </c>
    </row>
    <row r="435" spans="1:8" ht="16.5">
      <c r="A435" s="282" t="s">
        <v>3161</v>
      </c>
      <c r="B435" s="19" t="s">
        <v>2104</v>
      </c>
      <c r="C435" s="267">
        <v>44175.635416666664</v>
      </c>
      <c r="E435" s="267">
        <v>44176.703472222223</v>
      </c>
      <c r="F435" s="283">
        <f t="shared" si="13"/>
        <v>1.0680555555591127</v>
      </c>
    </row>
    <row r="436" spans="1:8" ht="16.5">
      <c r="A436" s="282" t="s">
        <v>3163</v>
      </c>
      <c r="B436" s="19" t="s">
        <v>2104</v>
      </c>
      <c r="C436" s="267">
        <v>44175.75</v>
      </c>
      <c r="E436" s="267">
        <v>44176.802083333336</v>
      </c>
      <c r="F436" s="283">
        <f t="shared" si="13"/>
        <v>1.0520833333357587</v>
      </c>
    </row>
    <row r="437" spans="1:8" ht="16.5">
      <c r="A437" s="282" t="s">
        <v>3164</v>
      </c>
      <c r="B437" s="19" t="s">
        <v>2104</v>
      </c>
      <c r="C437" s="267">
        <v>44173.753472222219</v>
      </c>
      <c r="E437" s="267">
        <v>44176.820138888892</v>
      </c>
      <c r="F437" s="283">
        <f t="shared" si="13"/>
        <v>3.0666666666729725</v>
      </c>
    </row>
    <row r="438" spans="1:8" ht="71.25">
      <c r="A438" s="282" t="s">
        <v>3165</v>
      </c>
      <c r="B438" s="19" t="s">
        <v>2104</v>
      </c>
      <c r="C438" s="267">
        <v>44175.638888888891</v>
      </c>
      <c r="E438" s="267">
        <v>44179.355555555558</v>
      </c>
      <c r="F438" s="283">
        <f t="shared" si="13"/>
        <v>3.7166666666671517</v>
      </c>
      <c r="H438" s="282" t="s">
        <v>3166</v>
      </c>
    </row>
    <row r="439" spans="1:8" ht="85.5">
      <c r="A439" s="282" t="s">
        <v>3167</v>
      </c>
      <c r="B439" s="19" t="s">
        <v>2104</v>
      </c>
      <c r="C439" s="267">
        <v>44174.824305555558</v>
      </c>
      <c r="E439" s="267">
        <v>44179.387499999997</v>
      </c>
      <c r="F439" s="283">
        <f t="shared" si="13"/>
        <v>4.5631944444394321</v>
      </c>
      <c r="H439" s="282" t="s">
        <v>3168</v>
      </c>
    </row>
    <row r="440" spans="1:8" ht="28.5">
      <c r="A440" s="282" t="s">
        <v>3169</v>
      </c>
      <c r="B440" s="19" t="s">
        <v>2104</v>
      </c>
      <c r="C440" s="267">
        <v>44169.800694444442</v>
      </c>
      <c r="E440" s="267">
        <v>44172.70208333333</v>
      </c>
      <c r="F440" s="283">
        <f t="shared" si="13"/>
        <v>2.9013888888875954</v>
      </c>
    </row>
    <row r="441" spans="1:8" ht="16.5">
      <c r="A441" s="282" t="s">
        <v>3170</v>
      </c>
      <c r="B441" s="19" t="s">
        <v>2104</v>
      </c>
      <c r="C441" s="267">
        <v>44175.638888888891</v>
      </c>
      <c r="E441" s="267">
        <v>44179.40347222222</v>
      </c>
      <c r="F441" s="283">
        <f t="shared" si="13"/>
        <v>3.7645833333299379</v>
      </c>
    </row>
    <row r="442" spans="1:8" ht="16.5">
      <c r="A442" s="282" t="s">
        <v>3171</v>
      </c>
      <c r="B442" s="19" t="s">
        <v>2104</v>
      </c>
      <c r="C442" s="267">
        <v>44175.642361111109</v>
      </c>
      <c r="E442" s="267">
        <v>44179.426388888889</v>
      </c>
      <c r="F442" s="283">
        <f t="shared" si="13"/>
        <v>3.7840277777795563</v>
      </c>
    </row>
    <row r="443" spans="1:8" ht="16.5">
      <c r="A443" s="282" t="s">
        <v>3172</v>
      </c>
      <c r="B443" s="19" t="s">
        <v>2104</v>
      </c>
      <c r="C443" s="267">
        <v>44177.859027777777</v>
      </c>
      <c r="E443" s="267">
        <v>44179.426388888889</v>
      </c>
      <c r="F443" s="283">
        <f t="shared" si="13"/>
        <v>1.5673611111124046</v>
      </c>
    </row>
    <row r="444" spans="1:8" ht="16.5">
      <c r="A444" s="282" t="s">
        <v>3112</v>
      </c>
      <c r="B444" s="19" t="s">
        <v>2104</v>
      </c>
      <c r="C444" s="267">
        <v>44177.861111111109</v>
      </c>
      <c r="E444" s="267">
        <v>44179.45416666667</v>
      </c>
      <c r="F444" s="283">
        <f t="shared" si="13"/>
        <v>1.5930555555605679</v>
      </c>
    </row>
    <row r="445" spans="1:8" ht="16.5">
      <c r="A445" s="282" t="s">
        <v>3173</v>
      </c>
      <c r="B445" s="19" t="s">
        <v>2104</v>
      </c>
      <c r="C445" s="267">
        <v>44175.76666666667</v>
      </c>
      <c r="E445" s="267">
        <v>44179.466666666667</v>
      </c>
      <c r="F445" s="283">
        <f t="shared" si="13"/>
        <v>3.6999999999970896</v>
      </c>
    </row>
    <row r="446" spans="1:8" ht="16.5">
      <c r="A446" s="282" t="s">
        <v>3174</v>
      </c>
      <c r="B446" s="19" t="s">
        <v>2104</v>
      </c>
      <c r="C446" s="267">
        <v>44175.767361111109</v>
      </c>
      <c r="E446" s="267">
        <v>44179.494444444441</v>
      </c>
      <c r="F446" s="283">
        <f t="shared" si="13"/>
        <v>3.7270833333313931</v>
      </c>
    </row>
    <row r="447" spans="1:8" ht="16.5">
      <c r="A447" s="282" t="s">
        <v>3175</v>
      </c>
      <c r="B447" s="19" t="s">
        <v>2104</v>
      </c>
      <c r="C447" s="267">
        <v>44173.767361111109</v>
      </c>
      <c r="E447" s="267">
        <v>44179.510416666664</v>
      </c>
      <c r="F447" s="283">
        <f t="shared" si="13"/>
        <v>5.7430555555547471</v>
      </c>
    </row>
    <row r="448" spans="1:8" ht="16.5">
      <c r="A448" s="282" t="s">
        <v>3176</v>
      </c>
      <c r="B448" s="19" t="s">
        <v>2104</v>
      </c>
      <c r="C448" s="267">
        <v>44173.787499999999</v>
      </c>
      <c r="E448" s="267">
        <v>44179.531944444447</v>
      </c>
      <c r="F448" s="283">
        <f t="shared" si="13"/>
        <v>5.7444444444481633</v>
      </c>
    </row>
    <row r="449" spans="1:6" ht="16.5">
      <c r="A449" t="s">
        <v>3177</v>
      </c>
      <c r="B449" s="19" t="s">
        <v>2104</v>
      </c>
      <c r="C449" s="267">
        <v>44177.8</v>
      </c>
      <c r="E449" s="267">
        <v>44179.650694444441</v>
      </c>
      <c r="F449" s="283">
        <f t="shared" si="13"/>
        <v>1.8506944444379769</v>
      </c>
    </row>
    <row r="450" spans="1:6" ht="16.5">
      <c r="A450" s="282" t="s">
        <v>3178</v>
      </c>
      <c r="B450" s="19" t="s">
        <v>2104</v>
      </c>
      <c r="C450" s="267">
        <v>44175.637499999997</v>
      </c>
      <c r="E450" s="267">
        <v>44179.745138888888</v>
      </c>
      <c r="F450" s="283">
        <f t="shared" si="13"/>
        <v>4.1076388888905058</v>
      </c>
    </row>
    <row r="451" spans="1:6" ht="16.5">
      <c r="A451" s="282" t="s">
        <v>3178</v>
      </c>
      <c r="B451" s="19" t="s">
        <v>2104</v>
      </c>
      <c r="C451" s="267">
        <v>44175.717361111114</v>
      </c>
      <c r="E451" s="267">
        <v>44179.746527777781</v>
      </c>
      <c r="F451" s="283">
        <f t="shared" si="13"/>
        <v>4.0291666666671517</v>
      </c>
    </row>
    <row r="452" spans="1:6" ht="16.5">
      <c r="A452" s="282" t="s">
        <v>3179</v>
      </c>
      <c r="B452" s="19" t="s">
        <v>2104</v>
      </c>
      <c r="C452" s="267">
        <v>44175.730555555558</v>
      </c>
      <c r="E452" s="267">
        <v>44180.419444444444</v>
      </c>
      <c r="F452" s="283">
        <f t="shared" si="13"/>
        <v>4.6888888888861402</v>
      </c>
    </row>
    <row r="453" spans="1:6" ht="16.5">
      <c r="A453" s="282" t="s">
        <v>3180</v>
      </c>
      <c r="B453" s="19" t="s">
        <v>2104</v>
      </c>
      <c r="C453" s="267">
        <v>44178.564583333333</v>
      </c>
      <c r="E453" s="267">
        <v>44180.695833333331</v>
      </c>
      <c r="F453" s="283">
        <f t="shared" si="13"/>
        <v>2.1312499999985448</v>
      </c>
    </row>
    <row r="454" spans="1:6" ht="16.5">
      <c r="A454" s="282" t="s">
        <v>3181</v>
      </c>
      <c r="B454" s="19" t="s">
        <v>2104</v>
      </c>
      <c r="C454" s="267">
        <v>44177.869444444441</v>
      </c>
      <c r="E454" s="267">
        <v>44181.425694444442</v>
      </c>
      <c r="F454" s="283">
        <f t="shared" si="13"/>
        <v>3.5562500000014552</v>
      </c>
    </row>
    <row r="455" spans="1:6" ht="28.5">
      <c r="A455" s="282" t="s">
        <v>3182</v>
      </c>
      <c r="B455" s="19" t="s">
        <v>2104</v>
      </c>
      <c r="C455" s="267">
        <v>44180.838888888888</v>
      </c>
      <c r="E455" s="267">
        <v>44181.430555555555</v>
      </c>
      <c r="F455" s="283">
        <f t="shared" si="13"/>
        <v>0.59166666666715173</v>
      </c>
    </row>
    <row r="456" spans="1:6" ht="16.5">
      <c r="A456" s="282" t="s">
        <v>3183</v>
      </c>
      <c r="B456" s="19" t="s">
        <v>2104</v>
      </c>
      <c r="C456" s="267">
        <v>44178.567361111112</v>
      </c>
      <c r="E456" s="267">
        <v>44181.431250000001</v>
      </c>
      <c r="F456" s="283">
        <f t="shared" si="13"/>
        <v>2.8638888888890506</v>
      </c>
    </row>
    <row r="457" spans="1:6" ht="16.5">
      <c r="A457" s="282" t="s">
        <v>3184</v>
      </c>
      <c r="B457" s="19" t="s">
        <v>2104</v>
      </c>
      <c r="C457" s="267">
        <v>44177.861111111109</v>
      </c>
      <c r="E457" s="267">
        <v>44181.539583333331</v>
      </c>
      <c r="F457" s="283">
        <f t="shared" si="13"/>
        <v>3.6784722222218988</v>
      </c>
    </row>
    <row r="458" spans="1:6" ht="16.5">
      <c r="A458" s="282" t="s">
        <v>3124</v>
      </c>
      <c r="B458" s="19" t="s">
        <v>2104</v>
      </c>
      <c r="C458" s="267">
        <v>44178.597916666666</v>
      </c>
      <c r="E458" s="267">
        <v>44181.541666666664</v>
      </c>
      <c r="F458" s="283">
        <f t="shared" si="13"/>
        <v>2.9437499999985448</v>
      </c>
    </row>
    <row r="459" spans="1:6" ht="16.5">
      <c r="A459" s="282" t="s">
        <v>3185</v>
      </c>
      <c r="B459" s="19" t="s">
        <v>2104</v>
      </c>
      <c r="C459" s="267">
        <v>44172.807638888888</v>
      </c>
      <c r="E459" s="267">
        <v>44181.594444444447</v>
      </c>
      <c r="F459" s="283">
        <f t="shared" si="13"/>
        <v>8.7868055555591127</v>
      </c>
    </row>
    <row r="460" spans="1:6" ht="16.5">
      <c r="A460" s="282" t="s">
        <v>3186</v>
      </c>
      <c r="B460" s="19" t="s">
        <v>2104</v>
      </c>
      <c r="C460" s="267">
        <v>44175.731249999997</v>
      </c>
      <c r="E460" s="267">
        <v>44181.695138888892</v>
      </c>
      <c r="F460" s="283">
        <f t="shared" si="13"/>
        <v>5.9638888888948713</v>
      </c>
    </row>
    <row r="461" spans="1:6" ht="16.5">
      <c r="A461" s="282" t="s">
        <v>3187</v>
      </c>
      <c r="B461" s="19" t="s">
        <v>2104</v>
      </c>
      <c r="C461" s="267">
        <v>44181.29791666667</v>
      </c>
      <c r="E461" s="267">
        <v>44182.440972222219</v>
      </c>
      <c r="F461" s="283">
        <f t="shared" si="13"/>
        <v>1.1430555555489263</v>
      </c>
    </row>
    <row r="462" spans="1:6" ht="16.5">
      <c r="A462" s="282" t="s">
        <v>3121</v>
      </c>
      <c r="B462" s="19" t="s">
        <v>2104</v>
      </c>
      <c r="C462" s="267">
        <v>44175.775694444441</v>
      </c>
      <c r="E462" s="267">
        <v>44182.46875</v>
      </c>
      <c r="F462" s="283">
        <f t="shared" si="13"/>
        <v>6.6930555555591127</v>
      </c>
    </row>
    <row r="463" spans="1:6" ht="42.75">
      <c r="A463" s="282" t="s">
        <v>3188</v>
      </c>
      <c r="B463" s="19" t="s">
        <v>2104</v>
      </c>
      <c r="C463" s="267">
        <v>44175.720833333333</v>
      </c>
      <c r="E463" s="267">
        <v>44182.674305555556</v>
      </c>
      <c r="F463" s="283">
        <f t="shared" si="13"/>
        <v>6.953472222223354</v>
      </c>
    </row>
    <row r="464" spans="1:6" ht="16.5">
      <c r="A464" s="282" t="s">
        <v>3189</v>
      </c>
      <c r="B464" s="19" t="s">
        <v>2104</v>
      </c>
      <c r="C464" s="267">
        <v>44182.864583333336</v>
      </c>
      <c r="E464" s="295">
        <v>2958451.8645833335</v>
      </c>
      <c r="F464" s="283">
        <f t="shared" si="13"/>
        <v>2914269</v>
      </c>
    </row>
    <row r="465" spans="1:8" ht="16.5">
      <c r="A465" s="282" t="s">
        <v>3190</v>
      </c>
      <c r="B465" s="19" t="s">
        <v>2104</v>
      </c>
      <c r="C465" s="267">
        <v>44178.605555555558</v>
      </c>
      <c r="E465" s="267">
        <v>44183.40625</v>
      </c>
      <c r="F465" s="283">
        <f t="shared" si="13"/>
        <v>4.8006944444423425</v>
      </c>
    </row>
    <row r="466" spans="1:8" ht="42.75">
      <c r="A466" s="282" t="s">
        <v>3188</v>
      </c>
      <c r="B466" s="19" t="s">
        <v>2104</v>
      </c>
      <c r="C466" s="267">
        <v>44174.827777777777</v>
      </c>
      <c r="E466" s="267">
        <v>44186.479166666664</v>
      </c>
      <c r="F466" s="283">
        <f t="shared" si="13"/>
        <v>11.651388888887595</v>
      </c>
    </row>
    <row r="467" spans="1:8" ht="16.5">
      <c r="A467" s="282" t="s">
        <v>3191</v>
      </c>
      <c r="B467" s="19" t="s">
        <v>2104</v>
      </c>
      <c r="C467" s="267">
        <v>44177.86041666667</v>
      </c>
      <c r="E467" s="267">
        <v>44186.5625</v>
      </c>
      <c r="F467" s="283">
        <f t="shared" si="13"/>
        <v>8.7020833333299379</v>
      </c>
    </row>
    <row r="468" spans="1:8" ht="128.25">
      <c r="A468" s="282" t="s">
        <v>3192</v>
      </c>
      <c r="B468" s="19" t="s">
        <v>2104</v>
      </c>
      <c r="C468" s="267">
        <v>44178.615972222222</v>
      </c>
      <c r="E468" s="267">
        <v>44189.502083333333</v>
      </c>
      <c r="F468" s="283">
        <f t="shared" si="13"/>
        <v>10.886111111110949</v>
      </c>
      <c r="H468" s="282" t="s">
        <v>3193</v>
      </c>
    </row>
    <row r="469" spans="1:8" ht="16.5">
      <c r="A469" s="282" t="s">
        <v>3194</v>
      </c>
      <c r="B469" s="19" t="s">
        <v>2104</v>
      </c>
      <c r="C469" s="267">
        <v>44188.830555555556</v>
      </c>
      <c r="E469" s="267">
        <v>44190.413194444445</v>
      </c>
      <c r="F469" s="283">
        <f t="shared" si="13"/>
        <v>1.5826388888890506</v>
      </c>
    </row>
    <row r="470" spans="1:8" ht="16.5">
      <c r="A470" s="282" t="s">
        <v>3195</v>
      </c>
      <c r="B470" s="19" t="s">
        <v>2104</v>
      </c>
      <c r="C470" s="267">
        <v>44188.82708333333</v>
      </c>
      <c r="E470" s="267">
        <v>44193.447916666664</v>
      </c>
      <c r="F470" s="283">
        <f t="shared" si="13"/>
        <v>4.6208333333343035</v>
      </c>
      <c r="H470" s="215" t="s">
        <v>3196</v>
      </c>
    </row>
    <row r="471" spans="1:8" ht="16.5">
      <c r="A471" s="282" t="s">
        <v>3140</v>
      </c>
      <c r="B471" s="19" t="s">
        <v>2104</v>
      </c>
      <c r="C471" s="267">
        <v>44192.871527777781</v>
      </c>
      <c r="E471" s="267">
        <v>44193.504861111112</v>
      </c>
      <c r="F471" s="283">
        <f t="shared" si="13"/>
        <v>0.63333333333139308</v>
      </c>
    </row>
    <row r="472" spans="1:8" ht="16.5">
      <c r="A472" s="282" t="s">
        <v>3191</v>
      </c>
      <c r="B472" s="19" t="s">
        <v>2104</v>
      </c>
      <c r="C472" s="267">
        <v>44192.868055555555</v>
      </c>
      <c r="E472" s="267">
        <v>44193.533333333333</v>
      </c>
      <c r="F472" s="283">
        <f t="shared" si="13"/>
        <v>0.66527777777810115</v>
      </c>
    </row>
    <row r="473" spans="1:8" ht="16.5">
      <c r="A473" s="282" t="s">
        <v>3191</v>
      </c>
      <c r="B473" s="19" t="s">
        <v>2104</v>
      </c>
      <c r="C473" s="267">
        <v>44190.845833333333</v>
      </c>
      <c r="E473" s="267">
        <v>44193.53402777778</v>
      </c>
      <c r="F473" s="283">
        <f t="shared" si="13"/>
        <v>2.6881944444467081</v>
      </c>
    </row>
    <row r="474" spans="1:8" ht="16.5">
      <c r="A474" s="282" t="s">
        <v>3164</v>
      </c>
      <c r="B474" s="19" t="s">
        <v>2104</v>
      </c>
      <c r="C474" s="267">
        <v>44192.84375</v>
      </c>
      <c r="E474" s="267">
        <v>44194.546527777777</v>
      </c>
      <c r="F474" s="283">
        <f t="shared" si="13"/>
        <v>1.702777777776646</v>
      </c>
    </row>
    <row r="475" spans="1:8" ht="16.5">
      <c r="A475" s="282" t="s">
        <v>3197</v>
      </c>
      <c r="B475" s="19" t="s">
        <v>2104</v>
      </c>
      <c r="C475" s="267">
        <v>44192.880555555559</v>
      </c>
      <c r="E475" s="267">
        <v>44200.439583333333</v>
      </c>
      <c r="F475" s="283">
        <f t="shared" si="13"/>
        <v>7.5590277777737356</v>
      </c>
    </row>
    <row r="476" spans="1:8" ht="16.5">
      <c r="A476" s="282" t="s">
        <v>3198</v>
      </c>
      <c r="B476" s="19" t="s">
        <v>2104</v>
      </c>
      <c r="C476" s="267">
        <v>44192.86041666667</v>
      </c>
      <c r="E476" s="267">
        <v>44200.490972222222</v>
      </c>
      <c r="F476" s="283">
        <f t="shared" si="13"/>
        <v>7.6305555555518367</v>
      </c>
    </row>
    <row r="477" spans="1:8" ht="16.5">
      <c r="A477" s="282" t="s">
        <v>3199</v>
      </c>
      <c r="B477" s="19" t="s">
        <v>2104</v>
      </c>
      <c r="C477" s="267">
        <v>44190.854861111111</v>
      </c>
      <c r="E477" s="267">
        <v>44200.734722222223</v>
      </c>
      <c r="F477" s="283">
        <f t="shared" si="13"/>
        <v>9.8798611111124046</v>
      </c>
    </row>
    <row r="478" spans="1:8" ht="16.5">
      <c r="A478" s="282" t="s">
        <v>3200</v>
      </c>
      <c r="B478" s="19" t="s">
        <v>2104</v>
      </c>
      <c r="C478" s="267">
        <v>44192.849305555559</v>
      </c>
      <c r="E478" s="267">
        <v>44201.532638888886</v>
      </c>
      <c r="F478" s="283">
        <f t="shared" si="13"/>
        <v>8.6833333333270275</v>
      </c>
    </row>
    <row r="479" spans="1:8" ht="16.5">
      <c r="A479" s="282" t="s">
        <v>3201</v>
      </c>
      <c r="B479" s="19" t="s">
        <v>2104</v>
      </c>
      <c r="C479" s="267">
        <v>44188.734722222223</v>
      </c>
      <c r="E479" s="267">
        <v>44201.566666666666</v>
      </c>
      <c r="F479" s="283">
        <f t="shared" si="13"/>
        <v>12.831944444442343</v>
      </c>
    </row>
    <row r="480" spans="1:8" ht="16.5">
      <c r="A480" s="282" t="s">
        <v>3202</v>
      </c>
      <c r="B480" s="19" t="s">
        <v>2104</v>
      </c>
      <c r="C480" s="267">
        <v>44192.883333333331</v>
      </c>
      <c r="E480" s="267">
        <v>44201.633333333331</v>
      </c>
      <c r="F480" s="283">
        <f t="shared" si="13"/>
        <v>8.75</v>
      </c>
    </row>
    <row r="481" spans="1:8" ht="16.5">
      <c r="A481" s="282" t="s">
        <v>3203</v>
      </c>
      <c r="B481" s="19" t="s">
        <v>2104</v>
      </c>
      <c r="C481" s="267">
        <v>44173.75</v>
      </c>
      <c r="E481" s="267">
        <v>44202.629166666666</v>
      </c>
      <c r="F481" s="283">
        <f t="shared" si="13"/>
        <v>28.879166666665697</v>
      </c>
    </row>
    <row r="482" spans="1:8" ht="16.5">
      <c r="A482" s="282" t="s">
        <v>3204</v>
      </c>
      <c r="B482" s="19" t="s">
        <v>2104</v>
      </c>
      <c r="C482" s="267">
        <v>44192.857638888891</v>
      </c>
      <c r="E482" s="267">
        <v>44202.635416666664</v>
      </c>
      <c r="F482" s="283">
        <f t="shared" si="13"/>
        <v>9.7777777777737356</v>
      </c>
    </row>
    <row r="483" spans="1:8" ht="16.5">
      <c r="A483" s="282" t="s">
        <v>3205</v>
      </c>
      <c r="B483" s="19" t="s">
        <v>2104</v>
      </c>
      <c r="C483" s="267">
        <v>44192.882638888892</v>
      </c>
      <c r="E483" s="267">
        <v>44203.919444444444</v>
      </c>
      <c r="F483" s="283">
        <f t="shared" si="13"/>
        <v>11.036805555551837</v>
      </c>
    </row>
    <row r="484" spans="1:8" ht="16.5">
      <c r="A484" s="282" t="s">
        <v>3206</v>
      </c>
      <c r="B484" s="19" t="s">
        <v>2104</v>
      </c>
      <c r="C484" s="267">
        <v>44192.85833333333</v>
      </c>
      <c r="E484" s="267">
        <v>44204.609722222223</v>
      </c>
      <c r="F484" s="283">
        <f t="shared" si="13"/>
        <v>11.751388888893416</v>
      </c>
    </row>
    <row r="485" spans="1:8" ht="16.5">
      <c r="A485" s="282" t="s">
        <v>3207</v>
      </c>
      <c r="B485" s="19" t="s">
        <v>2104</v>
      </c>
      <c r="C485" s="267">
        <v>44192.618055555555</v>
      </c>
      <c r="E485" s="267">
        <v>44216.454861111109</v>
      </c>
      <c r="F485" s="283">
        <f t="shared" si="13"/>
        <v>23.836805555554747</v>
      </c>
    </row>
    <row r="486" spans="1:8" ht="16.5">
      <c r="A486" s="282" t="s">
        <v>3208</v>
      </c>
      <c r="B486" s="19" t="s">
        <v>2104</v>
      </c>
      <c r="C486" s="267">
        <v>44215.820138888892</v>
      </c>
      <c r="E486" s="267">
        <v>44221.411805555559</v>
      </c>
      <c r="F486" s="283">
        <f t="shared" si="13"/>
        <v>5.5916666666671517</v>
      </c>
      <c r="H486" s="215" t="s">
        <v>3209</v>
      </c>
    </row>
    <row r="487" spans="1:8" ht="16.5">
      <c r="A487" s="282" t="s">
        <v>3210</v>
      </c>
      <c r="B487" s="19" t="s">
        <v>2104</v>
      </c>
      <c r="C487" s="267">
        <v>44219.870138888888</v>
      </c>
      <c r="E487" s="267">
        <v>44221.424305555556</v>
      </c>
      <c r="F487" s="283">
        <f t="shared" si="13"/>
        <v>1.5541666666686069</v>
      </c>
    </row>
    <row r="488" spans="1:8" ht="16.5">
      <c r="A488" s="282" t="s">
        <v>3211</v>
      </c>
      <c r="B488" s="19" t="s">
        <v>2104</v>
      </c>
      <c r="C488" s="267">
        <v>44219.862500000003</v>
      </c>
      <c r="E488" s="267">
        <v>44221.499305555553</v>
      </c>
      <c r="F488" s="283">
        <f t="shared" si="13"/>
        <v>1.6368055555503815</v>
      </c>
    </row>
    <row r="489" spans="1:8" ht="16.5">
      <c r="A489" s="282" t="s">
        <v>3212</v>
      </c>
      <c r="B489" s="19" t="s">
        <v>2104</v>
      </c>
      <c r="C489" s="267">
        <v>44219.863888888889</v>
      </c>
      <c r="E489" s="267">
        <v>44221.67291666667</v>
      </c>
      <c r="F489" s="283">
        <f t="shared" si="13"/>
        <v>1.8090277777810115</v>
      </c>
    </row>
    <row r="490" spans="1:8" ht="16.5">
      <c r="A490" s="282" t="s">
        <v>3202</v>
      </c>
      <c r="B490" s="19" t="s">
        <v>2104</v>
      </c>
      <c r="C490" s="267">
        <v>44219.859027777777</v>
      </c>
      <c r="E490" s="267">
        <v>44222.46875</v>
      </c>
      <c r="F490" s="283">
        <f t="shared" ref="F490:F553" si="14">E490-C490</f>
        <v>2.609722222223354</v>
      </c>
    </row>
    <row r="491" spans="1:8" ht="28.5">
      <c r="A491" s="282" t="s">
        <v>3213</v>
      </c>
      <c r="B491" s="19" t="s">
        <v>2104</v>
      </c>
      <c r="C491" s="267">
        <v>44219.859027777777</v>
      </c>
      <c r="E491" s="267">
        <v>44223.539583333331</v>
      </c>
      <c r="F491" s="283">
        <f t="shared" si="14"/>
        <v>3.6805555555547471</v>
      </c>
      <c r="H491" s="282" t="s">
        <v>3214</v>
      </c>
    </row>
    <row r="492" spans="1:8" ht="16.5">
      <c r="A492" s="282" t="s">
        <v>3215</v>
      </c>
      <c r="B492" s="19" t="s">
        <v>2104</v>
      </c>
      <c r="C492" s="267">
        <v>44223.734027777777</v>
      </c>
      <c r="E492" s="267">
        <v>44224.392361111109</v>
      </c>
      <c r="F492" s="283">
        <f t="shared" si="14"/>
        <v>0.65833333333284827</v>
      </c>
    </row>
    <row r="493" spans="1:8" ht="16.5">
      <c r="A493" s="282" t="s">
        <v>3216</v>
      </c>
      <c r="B493" s="19" t="s">
        <v>2104</v>
      </c>
      <c r="C493" s="267">
        <v>44219.861805555556</v>
      </c>
      <c r="E493" s="267">
        <v>44224.456944444442</v>
      </c>
      <c r="F493" s="283">
        <f t="shared" si="14"/>
        <v>4.5951388888861402</v>
      </c>
    </row>
    <row r="494" spans="1:8" ht="16.5">
      <c r="A494" s="282" t="s">
        <v>3176</v>
      </c>
      <c r="B494" s="19" t="s">
        <v>2104</v>
      </c>
      <c r="C494" s="267">
        <v>44219.867361111108</v>
      </c>
      <c r="E494" s="267">
        <v>44224.48333333333</v>
      </c>
      <c r="F494" s="283">
        <f t="shared" si="14"/>
        <v>4.6159722222218988</v>
      </c>
    </row>
    <row r="495" spans="1:8" ht="16.5">
      <c r="A495" s="282" t="s">
        <v>3217</v>
      </c>
      <c r="B495" s="19" t="s">
        <v>2104</v>
      </c>
      <c r="C495" s="267">
        <v>44223.779861111114</v>
      </c>
      <c r="E495" s="267">
        <v>44224.790972222225</v>
      </c>
      <c r="F495" s="283">
        <f t="shared" si="14"/>
        <v>1.0111111111109494</v>
      </c>
    </row>
    <row r="496" spans="1:8" ht="16.5">
      <c r="A496" s="282" t="s">
        <v>3218</v>
      </c>
      <c r="B496" s="19" t="s">
        <v>2104</v>
      </c>
      <c r="C496" s="267">
        <v>44223.785416666666</v>
      </c>
      <c r="E496" s="267">
        <v>44225.439583333333</v>
      </c>
      <c r="F496" s="283">
        <f t="shared" si="14"/>
        <v>1.6541666666671517</v>
      </c>
    </row>
    <row r="497" spans="1:8" ht="16.5">
      <c r="A497" s="282" t="s">
        <v>3219</v>
      </c>
      <c r="B497" s="19" t="s">
        <v>2104</v>
      </c>
      <c r="C497" s="267">
        <v>44223.786805555559</v>
      </c>
      <c r="E497" s="267">
        <v>44228.425694444442</v>
      </c>
      <c r="F497" s="283">
        <f t="shared" si="14"/>
        <v>4.6388888888832298</v>
      </c>
    </row>
    <row r="498" spans="1:8" ht="16.5">
      <c r="A498" s="282" t="s">
        <v>3220</v>
      </c>
      <c r="B498" s="19" t="s">
        <v>2104</v>
      </c>
      <c r="C498" s="267">
        <v>44228.591666666667</v>
      </c>
      <c r="E498" s="267">
        <v>44228.671527777777</v>
      </c>
      <c r="F498" s="283">
        <f t="shared" si="14"/>
        <v>7.9861111109494232E-2</v>
      </c>
    </row>
    <row r="499" spans="1:8" ht="16.5">
      <c r="A499" s="282" t="s">
        <v>3221</v>
      </c>
      <c r="B499" s="19" t="s">
        <v>2104</v>
      </c>
      <c r="C499" s="267">
        <v>44228.590277777781</v>
      </c>
      <c r="E499" s="267">
        <v>44228.714583333334</v>
      </c>
      <c r="F499" s="283">
        <f t="shared" si="14"/>
        <v>0.12430555555329192</v>
      </c>
    </row>
    <row r="500" spans="1:8" ht="16.5">
      <c r="A500" s="282" t="s">
        <v>3222</v>
      </c>
      <c r="B500" s="19" t="s">
        <v>2104</v>
      </c>
      <c r="C500" s="267">
        <v>44225.803472222222</v>
      </c>
      <c r="E500" s="267">
        <v>44228.765972222223</v>
      </c>
      <c r="F500" s="283">
        <f t="shared" si="14"/>
        <v>2.9625000000014552</v>
      </c>
    </row>
    <row r="501" spans="1:8" ht="16.5">
      <c r="A501" s="282" t="s">
        <v>3223</v>
      </c>
      <c r="B501" s="19" t="s">
        <v>2104</v>
      </c>
      <c r="C501" s="267">
        <v>44219.865972222222</v>
      </c>
      <c r="E501" s="267">
        <v>44229.583333333336</v>
      </c>
      <c r="F501" s="283">
        <f t="shared" si="14"/>
        <v>9.7173611111138598</v>
      </c>
    </row>
    <row r="502" spans="1:8" ht="16.5">
      <c r="A502" s="282" t="s">
        <v>3224</v>
      </c>
      <c r="B502" s="19" t="s">
        <v>2104</v>
      </c>
      <c r="C502" s="267">
        <v>44229.845833333333</v>
      </c>
      <c r="E502" s="267">
        <v>44230.446527777778</v>
      </c>
      <c r="F502" s="283">
        <f t="shared" si="14"/>
        <v>0.60069444444525288</v>
      </c>
    </row>
    <row r="503" spans="1:8" ht="16.5">
      <c r="A503" s="282" t="s">
        <v>3225</v>
      </c>
      <c r="B503" s="19" t="s">
        <v>2104</v>
      </c>
      <c r="C503" s="267">
        <v>44225.808333333334</v>
      </c>
      <c r="E503" s="267">
        <v>44231.43472222222</v>
      </c>
      <c r="F503" s="283">
        <f t="shared" si="14"/>
        <v>5.6263888888861402</v>
      </c>
    </row>
    <row r="504" spans="1:8" ht="16.5">
      <c r="A504" s="282" t="s">
        <v>3226</v>
      </c>
      <c r="B504" s="19" t="s">
        <v>2104</v>
      </c>
      <c r="C504" s="267">
        <v>44223.751388888886</v>
      </c>
      <c r="E504" s="267">
        <v>44231.515972222223</v>
      </c>
      <c r="F504" s="283">
        <f t="shared" si="14"/>
        <v>7.7645833333372138</v>
      </c>
    </row>
    <row r="505" spans="1:8" ht="16.5">
      <c r="A505" s="282" t="s">
        <v>3227</v>
      </c>
      <c r="B505" s="19" t="s">
        <v>2104</v>
      </c>
      <c r="C505" s="267">
        <v>44228.589583333334</v>
      </c>
      <c r="E505" s="267">
        <v>44231.597916666666</v>
      </c>
      <c r="F505" s="283">
        <f t="shared" si="14"/>
        <v>3.0083333333313931</v>
      </c>
    </row>
    <row r="506" spans="1:8" ht="16.5">
      <c r="A506" s="282" t="s">
        <v>3228</v>
      </c>
      <c r="B506" s="19" t="s">
        <v>2104</v>
      </c>
      <c r="C506" s="267">
        <v>44224.647222222222</v>
      </c>
      <c r="E506" s="267">
        <v>44231.675694444442</v>
      </c>
      <c r="F506" s="283">
        <f t="shared" si="14"/>
        <v>7.0284722222204437</v>
      </c>
    </row>
    <row r="507" spans="1:8" ht="16.5">
      <c r="A507" s="282" t="s">
        <v>3229</v>
      </c>
      <c r="B507" s="19" t="s">
        <v>2104</v>
      </c>
      <c r="C507" s="267">
        <v>44230.665277777778</v>
      </c>
      <c r="E507" s="267">
        <v>44232.788194444445</v>
      </c>
      <c r="F507" s="283">
        <f t="shared" si="14"/>
        <v>2.1229166666671517</v>
      </c>
    </row>
    <row r="508" spans="1:8" ht="57">
      <c r="A508" s="282" t="s">
        <v>3230</v>
      </c>
      <c r="B508" s="19" t="s">
        <v>2104</v>
      </c>
      <c r="C508" s="267">
        <v>44231.700694444444</v>
      </c>
      <c r="E508" s="267">
        <v>44235.439583333333</v>
      </c>
      <c r="F508" s="283">
        <f t="shared" si="14"/>
        <v>3.7388888888890506</v>
      </c>
      <c r="H508" s="282" t="s">
        <v>3231</v>
      </c>
    </row>
    <row r="509" spans="1:8" ht="16.5">
      <c r="A509" s="282" t="s">
        <v>3232</v>
      </c>
      <c r="B509" s="19" t="s">
        <v>2104</v>
      </c>
      <c r="C509" s="267">
        <v>44232.861111111109</v>
      </c>
      <c r="E509" s="267">
        <v>44235.660416666666</v>
      </c>
      <c r="F509" s="283">
        <f t="shared" si="14"/>
        <v>2.7993055555562023</v>
      </c>
    </row>
    <row r="510" spans="1:8" ht="16.5">
      <c r="A510" s="282" t="s">
        <v>3112</v>
      </c>
      <c r="B510" s="19" t="s">
        <v>2104</v>
      </c>
      <c r="C510" s="267">
        <v>44234.831944444442</v>
      </c>
      <c r="E510" s="267">
        <v>44235.592361111114</v>
      </c>
      <c r="F510" s="283">
        <f t="shared" si="14"/>
        <v>0.76041666667151731</v>
      </c>
    </row>
    <row r="511" spans="1:8" ht="16.5">
      <c r="A511" s="282" t="s">
        <v>3102</v>
      </c>
      <c r="B511" s="19" t="s">
        <v>2104</v>
      </c>
      <c r="C511" s="267">
        <v>44235.791666666664</v>
      </c>
      <c r="E511" s="267">
        <v>44235.814583333333</v>
      </c>
      <c r="F511" s="283">
        <f t="shared" si="14"/>
        <v>2.2916666668606922E-2</v>
      </c>
    </row>
    <row r="512" spans="1:8" ht="16.5">
      <c r="A512" s="282" t="s">
        <v>3233</v>
      </c>
      <c r="B512" s="19" t="s">
        <v>2104</v>
      </c>
      <c r="C512" s="267">
        <v>44232.859722222223</v>
      </c>
      <c r="E512" s="267">
        <v>44236.357638888891</v>
      </c>
      <c r="F512" s="283">
        <f t="shared" si="14"/>
        <v>3.4979166666671517</v>
      </c>
    </row>
    <row r="513" spans="1:6" ht="16.5">
      <c r="A513" s="282" t="s">
        <v>3234</v>
      </c>
      <c r="B513" s="19" t="s">
        <v>2104</v>
      </c>
      <c r="C513" s="267">
        <v>44235.787499999999</v>
      </c>
      <c r="E513" s="267">
        <v>44236.554861111108</v>
      </c>
      <c r="F513" s="283">
        <f t="shared" si="14"/>
        <v>0.76736111110949423</v>
      </c>
    </row>
    <row r="514" spans="1:6" ht="16.5">
      <c r="A514" s="282" t="s">
        <v>3235</v>
      </c>
      <c r="B514" s="19" t="s">
        <v>2104</v>
      </c>
      <c r="C514" s="267">
        <v>44235.790972222225</v>
      </c>
      <c r="E514" s="267">
        <v>44236.59375</v>
      </c>
      <c r="F514" s="283">
        <f t="shared" si="14"/>
        <v>0.80277777777519077</v>
      </c>
    </row>
    <row r="515" spans="1:6" ht="16.5">
      <c r="A515" s="282" t="s">
        <v>3178</v>
      </c>
      <c r="B515" s="19" t="s">
        <v>2104</v>
      </c>
      <c r="C515" s="267">
        <v>44236.737500000003</v>
      </c>
      <c r="E515" s="267">
        <v>44237.40347222222</v>
      </c>
      <c r="F515" s="283">
        <f t="shared" si="14"/>
        <v>0.66597222221753327</v>
      </c>
    </row>
    <row r="516" spans="1:6" ht="16.5">
      <c r="A516" s="282" t="s">
        <v>3236</v>
      </c>
      <c r="B516" s="19" t="s">
        <v>2104</v>
      </c>
      <c r="C516" s="267">
        <v>44233.843055555553</v>
      </c>
      <c r="E516" s="267">
        <v>44237.425694444442</v>
      </c>
      <c r="F516" s="283">
        <f t="shared" si="14"/>
        <v>3.5826388888890506</v>
      </c>
    </row>
    <row r="517" spans="1:6" ht="16.5">
      <c r="A517" s="282" t="s">
        <v>3237</v>
      </c>
      <c r="B517" s="19" t="s">
        <v>2104</v>
      </c>
      <c r="C517" s="267">
        <v>44235.70208333333</v>
      </c>
      <c r="E517" s="267">
        <v>44237.447916666664</v>
      </c>
      <c r="F517" s="283">
        <f t="shared" si="14"/>
        <v>1.7458333333343035</v>
      </c>
    </row>
    <row r="518" spans="1:6" ht="16.5">
      <c r="A518" s="282" t="s">
        <v>3238</v>
      </c>
      <c r="B518" s="19" t="s">
        <v>2104</v>
      </c>
      <c r="C518" s="267">
        <v>44225.806944444441</v>
      </c>
      <c r="E518" s="267">
        <v>44239.527777777781</v>
      </c>
      <c r="F518" s="283">
        <f t="shared" si="14"/>
        <v>13.720833333340124</v>
      </c>
    </row>
    <row r="519" spans="1:6" ht="16.5">
      <c r="A519" s="282" t="s">
        <v>3150</v>
      </c>
      <c r="B519" s="19" t="s">
        <v>2104</v>
      </c>
      <c r="C519" s="267">
        <v>44235.788194444445</v>
      </c>
      <c r="E519" s="267">
        <v>44239.572916666664</v>
      </c>
      <c r="F519" s="283">
        <f t="shared" si="14"/>
        <v>3.7847222222189885</v>
      </c>
    </row>
    <row r="520" spans="1:6" ht="16.5">
      <c r="A520" s="282" t="s">
        <v>3239</v>
      </c>
      <c r="B520" s="19" t="s">
        <v>2104</v>
      </c>
      <c r="C520" s="267">
        <v>44236.736805555556</v>
      </c>
      <c r="E520" s="267">
        <v>44239.654166666667</v>
      </c>
      <c r="F520" s="283">
        <f t="shared" si="14"/>
        <v>2.9173611111109494</v>
      </c>
    </row>
    <row r="521" spans="1:6" ht="16.5">
      <c r="A521" s="282" t="s">
        <v>3240</v>
      </c>
      <c r="B521" s="19" t="s">
        <v>2104</v>
      </c>
      <c r="C521" s="267">
        <v>44236.731944444444</v>
      </c>
      <c r="E521" s="267">
        <v>44239.839583333334</v>
      </c>
      <c r="F521" s="283">
        <f t="shared" si="14"/>
        <v>3.1076388888905058</v>
      </c>
    </row>
    <row r="522" spans="1:6" ht="16.5">
      <c r="A522" s="282" t="s">
        <v>3241</v>
      </c>
      <c r="B522" s="19" t="s">
        <v>2104</v>
      </c>
      <c r="C522" s="267">
        <v>44237.845138888886</v>
      </c>
      <c r="E522" s="267">
        <v>44242.425694444442</v>
      </c>
      <c r="F522" s="283">
        <f t="shared" si="14"/>
        <v>4.5805555555562023</v>
      </c>
    </row>
    <row r="523" spans="1:6" ht="16.5">
      <c r="A523" s="282" t="s">
        <v>3242</v>
      </c>
      <c r="B523" s="19" t="s">
        <v>2104</v>
      </c>
      <c r="C523" s="267">
        <v>44236.732638888891</v>
      </c>
      <c r="E523" s="267">
        <v>44242.609027777777</v>
      </c>
      <c r="F523" s="283">
        <f t="shared" si="14"/>
        <v>5.8763888888861402</v>
      </c>
    </row>
    <row r="524" spans="1:6" ht="16.5">
      <c r="A524" s="282" t="s">
        <v>3243</v>
      </c>
      <c r="B524" s="19" t="s">
        <v>2104</v>
      </c>
      <c r="C524" s="267">
        <v>44236.732638888891</v>
      </c>
      <c r="E524" s="267">
        <v>44242.956944444442</v>
      </c>
      <c r="F524" s="283">
        <f t="shared" si="14"/>
        <v>6.2243055555518367</v>
      </c>
    </row>
    <row r="525" spans="1:6" ht="16.5">
      <c r="A525" s="282" t="s">
        <v>3233</v>
      </c>
      <c r="B525" s="19" t="s">
        <v>2104</v>
      </c>
      <c r="C525" s="267">
        <v>44242.85833333333</v>
      </c>
      <c r="E525" s="267">
        <v>44243.381944444445</v>
      </c>
      <c r="F525" s="283">
        <f t="shared" si="14"/>
        <v>0.523611111115315</v>
      </c>
    </row>
    <row r="526" spans="1:6" ht="16.5">
      <c r="A526" s="282" t="s">
        <v>3244</v>
      </c>
      <c r="B526" s="19" t="s">
        <v>2104</v>
      </c>
      <c r="C526" s="267">
        <v>44242.845138888886</v>
      </c>
      <c r="E526" s="267">
        <v>44243.538888888892</v>
      </c>
      <c r="F526" s="283">
        <f t="shared" si="14"/>
        <v>0.69375000000582077</v>
      </c>
    </row>
    <row r="527" spans="1:6" ht="16.5">
      <c r="A527" s="282" t="s">
        <v>3234</v>
      </c>
      <c r="B527" s="19" t="s">
        <v>2104</v>
      </c>
      <c r="C527" s="267">
        <v>44237.863888888889</v>
      </c>
      <c r="E527" s="267">
        <v>44243.70416666667</v>
      </c>
      <c r="F527" s="283">
        <f t="shared" si="14"/>
        <v>5.8402777777810115</v>
      </c>
    </row>
    <row r="528" spans="1:6" ht="16.5">
      <c r="A528" s="282" t="s">
        <v>3245</v>
      </c>
      <c r="B528" s="19" t="s">
        <v>2104</v>
      </c>
      <c r="C528" s="267">
        <v>44242.849305555559</v>
      </c>
      <c r="E528" s="267">
        <v>44245.65902777778</v>
      </c>
      <c r="F528" s="283">
        <f t="shared" si="14"/>
        <v>2.8097222222204437</v>
      </c>
    </row>
    <row r="529" spans="1:8" ht="16.5">
      <c r="A529" s="282" t="s">
        <v>3246</v>
      </c>
      <c r="B529" s="19" t="s">
        <v>2104</v>
      </c>
      <c r="C529" s="267">
        <v>44230.654166666667</v>
      </c>
      <c r="E529" s="267">
        <v>44246.888888888891</v>
      </c>
      <c r="F529" s="283">
        <f t="shared" si="14"/>
        <v>16.234722222223354</v>
      </c>
      <c r="H529" s="215" t="s">
        <v>3247</v>
      </c>
    </row>
    <row r="530" spans="1:8" ht="16.5">
      <c r="A530" s="282" t="s">
        <v>3248</v>
      </c>
      <c r="B530" s="19" t="s">
        <v>2104</v>
      </c>
      <c r="C530" s="267">
        <v>44249.67083333333</v>
      </c>
      <c r="E530" s="267">
        <v>44251.452777777777</v>
      </c>
      <c r="F530" s="283">
        <f t="shared" si="14"/>
        <v>1.7819444444467081</v>
      </c>
    </row>
    <row r="531" spans="1:8" ht="16.5">
      <c r="A531" s="282" t="s">
        <v>3249</v>
      </c>
      <c r="B531" s="19" t="s">
        <v>2104</v>
      </c>
      <c r="C531" s="267">
        <v>44237.85833333333</v>
      </c>
      <c r="E531" s="267">
        <v>44251.78402777778</v>
      </c>
      <c r="F531" s="283">
        <f t="shared" si="14"/>
        <v>13.925694444449618</v>
      </c>
    </row>
    <row r="532" spans="1:8" ht="16.5">
      <c r="A532" s="282" t="s">
        <v>3250</v>
      </c>
      <c r="B532" s="19" t="s">
        <v>2104</v>
      </c>
      <c r="C532" s="267">
        <v>44244.784722222219</v>
      </c>
      <c r="E532" s="267">
        <v>44252.555555555555</v>
      </c>
      <c r="F532" s="283">
        <f t="shared" si="14"/>
        <v>7.7708333333357587</v>
      </c>
    </row>
    <row r="533" spans="1:8" ht="16.5">
      <c r="A533" s="282" t="s">
        <v>3251</v>
      </c>
      <c r="B533" s="19" t="s">
        <v>2104</v>
      </c>
      <c r="C533" s="267">
        <v>44252.574999999997</v>
      </c>
      <c r="E533" s="267">
        <v>44253.342361111114</v>
      </c>
      <c r="F533" s="283">
        <f t="shared" si="14"/>
        <v>0.76736111111677019</v>
      </c>
    </row>
    <row r="534" spans="1:8" ht="16.5">
      <c r="A534" s="282" t="s">
        <v>3252</v>
      </c>
      <c r="B534" s="19" t="s">
        <v>2104</v>
      </c>
      <c r="C534" s="267">
        <v>44252.839583333334</v>
      </c>
      <c r="E534" s="267">
        <v>44254.61041666667</v>
      </c>
      <c r="F534" s="283">
        <f t="shared" si="14"/>
        <v>1.7708333333357587</v>
      </c>
    </row>
    <row r="535" spans="1:8" ht="16.5">
      <c r="A535" s="282" t="s">
        <v>3253</v>
      </c>
      <c r="B535" s="19" t="s">
        <v>2104</v>
      </c>
      <c r="C535" s="267">
        <v>44246.802777777775</v>
      </c>
      <c r="E535" s="267">
        <v>44255.638194444444</v>
      </c>
      <c r="F535" s="283">
        <f t="shared" si="14"/>
        <v>8.8354166666686069</v>
      </c>
    </row>
    <row r="536" spans="1:8" ht="28.5">
      <c r="A536" s="282" t="s">
        <v>3254</v>
      </c>
      <c r="B536" s="19" t="s">
        <v>2104</v>
      </c>
      <c r="C536" s="267">
        <v>44252.582638888889</v>
      </c>
      <c r="E536" s="267">
        <v>44256.643055555556</v>
      </c>
      <c r="F536" s="283">
        <f t="shared" si="14"/>
        <v>4.0604166666671517</v>
      </c>
      <c r="H536" s="286" t="s">
        <v>3255</v>
      </c>
    </row>
    <row r="537" spans="1:8" ht="16.5">
      <c r="A537" s="282" t="s">
        <v>3256</v>
      </c>
      <c r="B537" s="19" t="s">
        <v>2104</v>
      </c>
      <c r="C537" s="267">
        <v>44252.845833333333</v>
      </c>
      <c r="E537" s="267">
        <v>44256.668749999997</v>
      </c>
      <c r="F537" s="283">
        <f t="shared" si="14"/>
        <v>3.8229166666642413</v>
      </c>
    </row>
    <row r="538" spans="1:8" ht="16.5">
      <c r="A538" s="282" t="s">
        <v>3257</v>
      </c>
      <c r="B538" s="19" t="s">
        <v>2104</v>
      </c>
      <c r="C538" s="267">
        <v>44251.813194444447</v>
      </c>
      <c r="E538" s="267">
        <v>44257.455555555556</v>
      </c>
      <c r="F538" s="283">
        <f t="shared" si="14"/>
        <v>5.6423611111094942</v>
      </c>
    </row>
    <row r="539" spans="1:8" ht="16.5">
      <c r="A539" s="282" t="s">
        <v>3258</v>
      </c>
      <c r="B539" s="19" t="s">
        <v>2104</v>
      </c>
      <c r="C539" s="267">
        <v>44252.845138888886</v>
      </c>
      <c r="E539" s="267">
        <v>44258.409722222219</v>
      </c>
      <c r="F539" s="283">
        <f t="shared" si="14"/>
        <v>5.5645833333328483</v>
      </c>
    </row>
    <row r="540" spans="1:8" ht="16.5">
      <c r="A540" s="282" t="s">
        <v>3259</v>
      </c>
      <c r="B540" s="19" t="s">
        <v>2104</v>
      </c>
      <c r="C540" s="267">
        <v>44253.838888888888</v>
      </c>
      <c r="E540" s="267">
        <v>44258.73541666667</v>
      </c>
      <c r="F540" s="283">
        <f t="shared" si="14"/>
        <v>4.8965277777824667</v>
      </c>
    </row>
    <row r="541" spans="1:8" ht="16.5">
      <c r="A541" s="282" t="s">
        <v>3260</v>
      </c>
      <c r="B541" s="19" t="s">
        <v>2104</v>
      </c>
      <c r="C541" s="267">
        <v>44258.852083333331</v>
      </c>
      <c r="E541" s="267">
        <v>44259.382638888892</v>
      </c>
      <c r="F541" s="283">
        <f t="shared" si="14"/>
        <v>0.53055555556056788</v>
      </c>
    </row>
    <row r="542" spans="1:8" ht="16.5">
      <c r="A542" s="282" t="s">
        <v>3261</v>
      </c>
      <c r="B542" s="19" t="s">
        <v>2104</v>
      </c>
      <c r="C542" s="267">
        <v>44256.683333333334</v>
      </c>
      <c r="E542" s="267">
        <v>44259.697916666664</v>
      </c>
      <c r="F542" s="283">
        <f t="shared" si="14"/>
        <v>3.0145833333299379</v>
      </c>
    </row>
    <row r="543" spans="1:8" ht="16.5">
      <c r="A543" s="282" t="s">
        <v>3259</v>
      </c>
      <c r="B543" s="19" t="s">
        <v>2104</v>
      </c>
      <c r="C543" s="267">
        <v>44256.681944444441</v>
      </c>
      <c r="E543" s="267">
        <v>44259.749305555553</v>
      </c>
      <c r="F543" s="283">
        <f t="shared" si="14"/>
        <v>3.0673611111124046</v>
      </c>
    </row>
    <row r="544" spans="1:8" ht="28.5">
      <c r="A544" s="282" t="s">
        <v>3262</v>
      </c>
      <c r="B544" s="19" t="s">
        <v>2104</v>
      </c>
      <c r="C544" s="267">
        <v>44259.841666666667</v>
      </c>
      <c r="E544" s="267">
        <v>44260.543749999997</v>
      </c>
      <c r="F544" s="283">
        <f t="shared" si="14"/>
        <v>0.70208333332993789</v>
      </c>
    </row>
    <row r="545" spans="1:6" ht="16.5">
      <c r="A545" s="282" t="s">
        <v>3263</v>
      </c>
      <c r="B545" s="19" t="s">
        <v>2104</v>
      </c>
      <c r="C545" s="267">
        <v>44259.868055555555</v>
      </c>
      <c r="E545" s="267">
        <v>44260.768055555556</v>
      </c>
      <c r="F545" s="283">
        <f t="shared" si="14"/>
        <v>0.90000000000145519</v>
      </c>
    </row>
    <row r="546" spans="1:6" ht="16.5">
      <c r="A546" s="282" t="s">
        <v>3264</v>
      </c>
      <c r="B546" s="19" t="s">
        <v>2104</v>
      </c>
      <c r="C546" s="267">
        <v>44259.868055555555</v>
      </c>
      <c r="E546" s="267">
        <v>44263.395833333336</v>
      </c>
      <c r="F546" s="283">
        <f t="shared" si="14"/>
        <v>3.5277777777810115</v>
      </c>
    </row>
    <row r="547" spans="1:6" ht="16.5">
      <c r="A547" s="282" t="s">
        <v>3265</v>
      </c>
      <c r="B547" s="19" t="s">
        <v>2104</v>
      </c>
      <c r="C547" s="267">
        <v>44259.864583333336</v>
      </c>
      <c r="E547" s="267">
        <v>44263.568055555559</v>
      </c>
      <c r="F547" s="283">
        <f t="shared" si="14"/>
        <v>3.703472222223354</v>
      </c>
    </row>
    <row r="548" spans="1:6" ht="16.5">
      <c r="A548" s="282" t="s">
        <v>3266</v>
      </c>
      <c r="B548" s="19" t="s">
        <v>2104</v>
      </c>
      <c r="C548" s="267">
        <v>44261.841666666667</v>
      </c>
      <c r="E548" s="267">
        <v>44264.402083333334</v>
      </c>
      <c r="F548" s="283">
        <f t="shared" si="14"/>
        <v>2.5604166666671517</v>
      </c>
    </row>
    <row r="549" spans="1:6" ht="16.5">
      <c r="A549" s="282" t="s">
        <v>3267</v>
      </c>
      <c r="B549" s="19" t="s">
        <v>2104</v>
      </c>
      <c r="C549" s="267">
        <v>44260.719444444447</v>
      </c>
      <c r="E549" s="267">
        <v>44264.443749999999</v>
      </c>
      <c r="F549" s="283">
        <f t="shared" si="14"/>
        <v>3.7243055555518367</v>
      </c>
    </row>
    <row r="550" spans="1:6" ht="16.5">
      <c r="A550" s="282" t="s">
        <v>3268</v>
      </c>
      <c r="B550" s="19" t="s">
        <v>2104</v>
      </c>
      <c r="C550" s="267">
        <v>44246.801388888889</v>
      </c>
      <c r="E550" s="267">
        <v>44264.782638888886</v>
      </c>
      <c r="F550" s="283">
        <f t="shared" si="14"/>
        <v>17.98124999999709</v>
      </c>
    </row>
    <row r="551" spans="1:6" ht="16.5">
      <c r="A551" s="286" t="s">
        <v>3269</v>
      </c>
      <c r="B551" s="19" t="s">
        <v>2104</v>
      </c>
      <c r="C551" s="267">
        <v>44264.865972222222</v>
      </c>
      <c r="E551" s="267">
        <v>44265.601388888892</v>
      </c>
      <c r="F551" s="283">
        <f t="shared" si="14"/>
        <v>0.73541666667006211</v>
      </c>
    </row>
    <row r="552" spans="1:6" ht="16.5">
      <c r="A552" s="286" t="s">
        <v>3270</v>
      </c>
      <c r="B552" s="19" t="s">
        <v>2104</v>
      </c>
      <c r="C552" s="267">
        <v>44264.84375</v>
      </c>
      <c r="E552" s="267">
        <v>44265.831944444442</v>
      </c>
      <c r="F552" s="283">
        <f t="shared" si="14"/>
        <v>0.9881944444423425</v>
      </c>
    </row>
    <row r="553" spans="1:6" ht="16.5">
      <c r="A553" s="286" t="s">
        <v>3271</v>
      </c>
      <c r="B553" s="19" t="s">
        <v>2104</v>
      </c>
      <c r="C553" s="267">
        <v>44264.865277777775</v>
      </c>
      <c r="E553" s="267">
        <v>44266.407638888886</v>
      </c>
      <c r="F553" s="283">
        <f t="shared" si="14"/>
        <v>1.5423611111109494</v>
      </c>
    </row>
    <row r="554" spans="1:6" ht="16.5">
      <c r="A554" s="286" t="s">
        <v>3272</v>
      </c>
      <c r="B554" s="19" t="s">
        <v>2104</v>
      </c>
      <c r="C554" s="267">
        <v>44264.856249999997</v>
      </c>
      <c r="E554" s="267">
        <v>44266.431250000001</v>
      </c>
      <c r="F554" s="283">
        <f t="shared" ref="F554:F617" si="15">E554-C554</f>
        <v>1.5750000000043656</v>
      </c>
    </row>
    <row r="555" spans="1:6" ht="16.5">
      <c r="A555" s="286" t="s">
        <v>3273</v>
      </c>
      <c r="B555" s="19" t="s">
        <v>2104</v>
      </c>
      <c r="C555" s="267">
        <v>44259.868750000001</v>
      </c>
      <c r="E555" s="267">
        <v>44266.45</v>
      </c>
      <c r="F555" s="283">
        <f t="shared" si="15"/>
        <v>6.5812499999956344</v>
      </c>
    </row>
    <row r="556" spans="1:6" ht="16.5">
      <c r="A556" s="286" t="s">
        <v>3274</v>
      </c>
      <c r="B556" s="19" t="s">
        <v>2104</v>
      </c>
      <c r="C556" s="267">
        <v>44265.770833333336</v>
      </c>
      <c r="E556" s="267">
        <v>44266.486111111109</v>
      </c>
      <c r="F556" s="283">
        <f t="shared" si="15"/>
        <v>0.71527777777373558</v>
      </c>
    </row>
    <row r="557" spans="1:6" ht="16.5">
      <c r="A557" s="286" t="s">
        <v>3275</v>
      </c>
      <c r="B557" s="19" t="s">
        <v>2104</v>
      </c>
      <c r="C557" s="267">
        <v>44264.861111111109</v>
      </c>
      <c r="E557" s="267">
        <v>44266.505555555559</v>
      </c>
      <c r="F557" s="283">
        <f t="shared" si="15"/>
        <v>1.6444444444496185</v>
      </c>
    </row>
    <row r="558" spans="1:6" ht="16.5">
      <c r="A558" s="286" t="s">
        <v>3276</v>
      </c>
      <c r="B558" s="19" t="s">
        <v>2104</v>
      </c>
      <c r="C558" s="267">
        <v>44235.704861111109</v>
      </c>
      <c r="E558" s="267">
        <v>44267.774305555555</v>
      </c>
      <c r="F558" s="283">
        <f t="shared" si="15"/>
        <v>32.069444444445253</v>
      </c>
    </row>
    <row r="559" spans="1:6" ht="16.5">
      <c r="A559" s="286" t="s">
        <v>3277</v>
      </c>
      <c r="B559" s="19" t="s">
        <v>2104</v>
      </c>
      <c r="C559" s="267">
        <v>44268.706250000003</v>
      </c>
      <c r="E559" s="267">
        <v>44270.401388888888</v>
      </c>
      <c r="F559" s="283">
        <f t="shared" si="15"/>
        <v>1.695138888884685</v>
      </c>
    </row>
    <row r="560" spans="1:6" ht="16.5">
      <c r="A560" s="286" t="s">
        <v>3278</v>
      </c>
      <c r="B560" s="19" t="s">
        <v>2104</v>
      </c>
      <c r="C560" s="267">
        <v>44264.859722222223</v>
      </c>
      <c r="E560" s="267">
        <v>44270.425694444442</v>
      </c>
      <c r="F560" s="283">
        <f t="shared" si="15"/>
        <v>5.5659722222189885</v>
      </c>
    </row>
    <row r="561" spans="1:8" ht="16.5">
      <c r="A561" s="286" t="s">
        <v>3279</v>
      </c>
      <c r="B561" s="19" t="s">
        <v>2104</v>
      </c>
      <c r="C561" s="267">
        <v>44264.866666666669</v>
      </c>
      <c r="E561" s="267">
        <v>44270.466666666667</v>
      </c>
      <c r="F561" s="283">
        <f t="shared" si="15"/>
        <v>5.5999999999985448</v>
      </c>
    </row>
    <row r="562" spans="1:8" ht="16.5">
      <c r="A562" s="286" t="s">
        <v>3280</v>
      </c>
      <c r="B562" s="19" t="s">
        <v>2104</v>
      </c>
      <c r="C562" s="267">
        <v>44267.80972222222</v>
      </c>
      <c r="E562" s="267">
        <v>44270.570833333331</v>
      </c>
      <c r="F562" s="283">
        <f t="shared" si="15"/>
        <v>2.7611111111109494</v>
      </c>
    </row>
    <row r="563" spans="1:8" ht="16.5">
      <c r="A563" s="286" t="s">
        <v>3281</v>
      </c>
      <c r="B563" s="19" t="s">
        <v>2104</v>
      </c>
      <c r="C563" s="267">
        <v>44268.589583333334</v>
      </c>
      <c r="E563" s="267">
        <v>44271.393750000003</v>
      </c>
      <c r="F563" s="283">
        <f t="shared" si="15"/>
        <v>2.8041666666686069</v>
      </c>
    </row>
    <row r="564" spans="1:8" ht="16.5">
      <c r="A564" s="286" t="s">
        <v>3282</v>
      </c>
      <c r="B564" s="19" t="s">
        <v>2104</v>
      </c>
      <c r="C564" s="267">
        <v>44268.700694444444</v>
      </c>
      <c r="E564" s="267">
        <v>44271.427777777775</v>
      </c>
      <c r="F564" s="283">
        <f t="shared" si="15"/>
        <v>2.7270833333313931</v>
      </c>
    </row>
    <row r="565" spans="1:8" ht="16.5">
      <c r="A565" s="286" t="s">
        <v>3283</v>
      </c>
      <c r="B565" s="19" t="s">
        <v>2104</v>
      </c>
      <c r="C565" s="267">
        <v>44268.709722222222</v>
      </c>
      <c r="E565" s="267">
        <v>44271.794444444444</v>
      </c>
      <c r="F565" s="283">
        <f t="shared" si="15"/>
        <v>3.0847222222218988</v>
      </c>
    </row>
    <row r="566" spans="1:8" ht="16.5">
      <c r="A566" s="286" t="s">
        <v>3284</v>
      </c>
      <c r="B566" s="19" t="s">
        <v>2104</v>
      </c>
      <c r="C566" s="267">
        <v>44270.862500000003</v>
      </c>
      <c r="E566" s="267">
        <v>44271.8</v>
      </c>
      <c r="F566" s="283">
        <f t="shared" si="15"/>
        <v>0.9375</v>
      </c>
    </row>
    <row r="567" spans="1:8" ht="16.5">
      <c r="A567" s="286" t="s">
        <v>3285</v>
      </c>
      <c r="B567" s="19" t="s">
        <v>2104</v>
      </c>
      <c r="C567" s="267">
        <v>44265.824999999997</v>
      </c>
      <c r="E567" s="267">
        <v>44272.475694444445</v>
      </c>
      <c r="F567" s="283">
        <f t="shared" si="15"/>
        <v>6.6506944444481633</v>
      </c>
      <c r="H567" s="215" t="s">
        <v>3286</v>
      </c>
    </row>
    <row r="568" spans="1:8" ht="16.5">
      <c r="A568" s="286" t="s">
        <v>3287</v>
      </c>
      <c r="B568" s="19" t="s">
        <v>2104</v>
      </c>
      <c r="C568" s="267">
        <v>44270.836805555555</v>
      </c>
      <c r="E568" s="267">
        <v>44273.415277777778</v>
      </c>
      <c r="F568" s="283">
        <f t="shared" si="15"/>
        <v>2.578472222223354</v>
      </c>
    </row>
    <row r="569" spans="1:8" ht="16.5">
      <c r="A569" s="286" t="s">
        <v>3288</v>
      </c>
      <c r="B569" s="19" t="s">
        <v>2104</v>
      </c>
      <c r="C569" s="267">
        <v>44278.804166666669</v>
      </c>
      <c r="E569" s="267">
        <v>44279.427083333336</v>
      </c>
      <c r="F569" s="283">
        <f t="shared" si="15"/>
        <v>0.62291666666715173</v>
      </c>
    </row>
    <row r="570" spans="1:8" ht="16.5">
      <c r="A570" s="286" t="s">
        <v>3275</v>
      </c>
      <c r="B570" s="19" t="s">
        <v>2104</v>
      </c>
      <c r="C570" s="267">
        <v>44278.645138888889</v>
      </c>
      <c r="E570" s="267">
        <v>44279.732638888891</v>
      </c>
      <c r="F570" s="283">
        <f t="shared" si="15"/>
        <v>1.0875000000014552</v>
      </c>
    </row>
    <row r="571" spans="1:8" ht="16.5">
      <c r="A571" s="286" t="s">
        <v>3289</v>
      </c>
      <c r="B571" s="19" t="s">
        <v>2104</v>
      </c>
      <c r="C571" s="267">
        <v>44279.775694444441</v>
      </c>
      <c r="E571" s="267">
        <v>44280.362500000003</v>
      </c>
      <c r="F571" s="283">
        <f t="shared" si="15"/>
        <v>0.58680555556202307</v>
      </c>
    </row>
    <row r="572" spans="1:8" ht="16.5">
      <c r="A572" s="286" t="s">
        <v>3290</v>
      </c>
      <c r="B572" s="19" t="s">
        <v>2104</v>
      </c>
      <c r="C572" s="267">
        <v>44278.263888888891</v>
      </c>
      <c r="E572" s="267">
        <v>44280.59097222222</v>
      </c>
      <c r="F572" s="283">
        <f t="shared" si="15"/>
        <v>2.3270833333299379</v>
      </c>
    </row>
    <row r="573" spans="1:8" ht="16.5">
      <c r="A573" s="286" t="s">
        <v>3291</v>
      </c>
      <c r="B573" s="19" t="s">
        <v>2104</v>
      </c>
      <c r="C573" s="267">
        <v>44280.433333333334</v>
      </c>
      <c r="E573" s="267">
        <v>44280.743750000001</v>
      </c>
      <c r="F573" s="283">
        <f t="shared" si="15"/>
        <v>0.31041666666715173</v>
      </c>
    </row>
    <row r="574" spans="1:8" ht="16.5">
      <c r="A574" s="286" t="s">
        <v>3264</v>
      </c>
      <c r="B574" s="19" t="s">
        <v>2104</v>
      </c>
      <c r="C574" s="267">
        <v>44279.794444444444</v>
      </c>
      <c r="E574" s="267">
        <v>44281.40347222222</v>
      </c>
      <c r="F574" s="283">
        <f t="shared" si="15"/>
        <v>1.609027777776646</v>
      </c>
    </row>
    <row r="575" spans="1:8" ht="16.5">
      <c r="A575" s="286" t="s">
        <v>3292</v>
      </c>
      <c r="B575" s="19" t="s">
        <v>2104</v>
      </c>
      <c r="C575" s="267">
        <v>44280.810416666667</v>
      </c>
      <c r="E575" s="267">
        <v>44281.65</v>
      </c>
      <c r="F575" s="283">
        <f t="shared" si="15"/>
        <v>0.83958333333430346</v>
      </c>
    </row>
    <row r="576" spans="1:8" ht="71.25">
      <c r="A576" s="286" t="s">
        <v>3293</v>
      </c>
      <c r="B576" s="19" t="s">
        <v>2104</v>
      </c>
      <c r="C576" s="267">
        <v>44279.795138888891</v>
      </c>
      <c r="E576" s="267">
        <v>44284.45208333333</v>
      </c>
      <c r="F576" s="283">
        <f t="shared" si="15"/>
        <v>4.6569444444394321</v>
      </c>
      <c r="H576" s="286" t="s">
        <v>3294</v>
      </c>
    </row>
    <row r="577" spans="1:6" ht="16.5">
      <c r="A577" s="286" t="s">
        <v>3295</v>
      </c>
      <c r="B577" s="19" t="s">
        <v>2104</v>
      </c>
      <c r="C577" s="267">
        <v>44280.490277777775</v>
      </c>
      <c r="E577" s="267">
        <v>44284.472222222219</v>
      </c>
      <c r="F577" s="283">
        <f t="shared" si="15"/>
        <v>3.9819444444437977</v>
      </c>
    </row>
    <row r="578" spans="1:6" ht="16.5">
      <c r="A578" s="286" t="s">
        <v>3296</v>
      </c>
      <c r="B578" s="19" t="s">
        <v>2104</v>
      </c>
      <c r="C578" s="267">
        <v>44279.799305555556</v>
      </c>
      <c r="E578" s="267">
        <v>44284.606944444444</v>
      </c>
      <c r="F578" s="283">
        <f t="shared" si="15"/>
        <v>4.8076388888875954</v>
      </c>
    </row>
    <row r="579" spans="1:6" ht="16.5">
      <c r="A579" s="286" t="s">
        <v>3297</v>
      </c>
      <c r="B579" s="19" t="s">
        <v>2104</v>
      </c>
      <c r="C579" s="267">
        <v>44285.010416666664</v>
      </c>
      <c r="E579" s="267">
        <v>44285.292361111111</v>
      </c>
      <c r="F579" s="283">
        <f t="shared" si="15"/>
        <v>0.28194444444670808</v>
      </c>
    </row>
    <row r="580" spans="1:6" ht="16.5">
      <c r="A580" s="286" t="s">
        <v>3298</v>
      </c>
      <c r="B580" s="19" t="s">
        <v>2104</v>
      </c>
      <c r="C580" s="267">
        <v>44280.777083333334</v>
      </c>
      <c r="E580" s="267">
        <v>44285.381944444445</v>
      </c>
      <c r="F580" s="283">
        <f t="shared" si="15"/>
        <v>4.6048611111109494</v>
      </c>
    </row>
    <row r="581" spans="1:6" ht="16.5">
      <c r="A581" s="286" t="s">
        <v>3299</v>
      </c>
      <c r="B581" s="19" t="s">
        <v>2104</v>
      </c>
      <c r="C581" s="267">
        <v>44284.932638888888</v>
      </c>
      <c r="E581" s="267">
        <v>44285.535416666666</v>
      </c>
      <c r="F581" s="283">
        <f t="shared" si="15"/>
        <v>0.60277777777810115</v>
      </c>
    </row>
    <row r="582" spans="1:6" ht="16.5">
      <c r="A582" s="286" t="s">
        <v>3300</v>
      </c>
      <c r="B582" s="19" t="s">
        <v>2104</v>
      </c>
      <c r="C582" s="267">
        <v>44285.027083333334</v>
      </c>
      <c r="E582" s="267">
        <v>44285.715277777781</v>
      </c>
      <c r="F582" s="283">
        <f t="shared" si="15"/>
        <v>0.68819444444670808</v>
      </c>
    </row>
    <row r="583" spans="1:6" ht="16.5">
      <c r="A583" s="286" t="s">
        <v>3301</v>
      </c>
      <c r="B583" s="19" t="s">
        <v>2104</v>
      </c>
      <c r="C583" s="267">
        <v>44285.633333333331</v>
      </c>
      <c r="E583" s="267">
        <v>44285.755555555559</v>
      </c>
      <c r="F583" s="283">
        <f t="shared" si="15"/>
        <v>0.12222222222771961</v>
      </c>
    </row>
    <row r="584" spans="1:6" ht="16.5">
      <c r="A584" s="286" t="s">
        <v>3302</v>
      </c>
      <c r="B584" s="19" t="s">
        <v>2104</v>
      </c>
      <c r="C584" s="267">
        <v>44285.013194444444</v>
      </c>
      <c r="E584" s="267">
        <v>44286.37777777778</v>
      </c>
      <c r="F584" s="283">
        <f t="shared" si="15"/>
        <v>1.3645833333357587</v>
      </c>
    </row>
    <row r="585" spans="1:6" ht="16.5">
      <c r="A585" s="286" t="s">
        <v>3303</v>
      </c>
      <c r="B585" s="19" t="s">
        <v>2104</v>
      </c>
      <c r="C585" s="267">
        <v>44285.009027777778</v>
      </c>
      <c r="E585" s="267">
        <v>44286.670138888891</v>
      </c>
      <c r="F585" s="283">
        <f t="shared" si="15"/>
        <v>1.6611111111124046</v>
      </c>
    </row>
    <row r="586" spans="1:6" ht="16.5">
      <c r="A586" s="286" t="s">
        <v>3304</v>
      </c>
      <c r="B586" s="19" t="s">
        <v>2104</v>
      </c>
      <c r="C586" s="267">
        <v>44285.021527777775</v>
      </c>
      <c r="E586" s="267">
        <v>44288.411111111112</v>
      </c>
      <c r="F586" s="283">
        <f t="shared" si="15"/>
        <v>3.3895833333372138</v>
      </c>
    </row>
    <row r="587" spans="1:6" ht="16.5">
      <c r="A587" s="286" t="s">
        <v>3305</v>
      </c>
      <c r="B587" s="19" t="s">
        <v>2104</v>
      </c>
      <c r="C587" s="267">
        <v>44288.756944444445</v>
      </c>
      <c r="E587" s="267">
        <v>2958192.7569444445</v>
      </c>
      <c r="F587" s="283">
        <f t="shared" si="15"/>
        <v>2913904</v>
      </c>
    </row>
    <row r="588" spans="1:6" ht="16.5">
      <c r="A588" s="286" t="s">
        <v>3306</v>
      </c>
      <c r="B588" s="19" t="s">
        <v>2104</v>
      </c>
      <c r="C588" s="267">
        <v>44288.758333333331</v>
      </c>
      <c r="E588" s="267">
        <v>44288.804861111108</v>
      </c>
      <c r="F588" s="283">
        <f t="shared" si="15"/>
        <v>4.6527777776645962E-2</v>
      </c>
    </row>
    <row r="589" spans="1:6" ht="16.5">
      <c r="A589" s="286" t="s">
        <v>3307</v>
      </c>
      <c r="B589" s="19" t="s">
        <v>2104</v>
      </c>
      <c r="C589" s="267">
        <v>44288.056250000001</v>
      </c>
      <c r="E589" s="267">
        <v>44291.425694444442</v>
      </c>
      <c r="F589" s="283">
        <f t="shared" si="15"/>
        <v>3.3694444444408873</v>
      </c>
    </row>
    <row r="590" spans="1:6" ht="16.5">
      <c r="A590" s="286" t="s">
        <v>3308</v>
      </c>
      <c r="B590" s="19" t="s">
        <v>2104</v>
      </c>
      <c r="C590" s="297">
        <v>44285.631249999999</v>
      </c>
      <c r="E590" s="267">
        <v>44291.575694444444</v>
      </c>
      <c r="F590" s="283">
        <f t="shared" si="15"/>
        <v>5.9444444444452529</v>
      </c>
    </row>
    <row r="591" spans="1:6" ht="42.75">
      <c r="A591" s="286" t="s">
        <v>3309</v>
      </c>
      <c r="B591" s="19" t="s">
        <v>2104</v>
      </c>
      <c r="C591" s="267">
        <v>44288.732638888891</v>
      </c>
      <c r="E591" s="267">
        <v>44291.790277777778</v>
      </c>
      <c r="F591" s="283">
        <f t="shared" si="15"/>
        <v>3.0576388888875954</v>
      </c>
    </row>
    <row r="592" spans="1:6" ht="16.5">
      <c r="A592" s="286" t="s">
        <v>3310</v>
      </c>
      <c r="B592" s="19" t="s">
        <v>2104</v>
      </c>
      <c r="C592" s="267">
        <v>44288.763194444444</v>
      </c>
      <c r="E592" s="267">
        <v>44291.810416666667</v>
      </c>
      <c r="F592" s="283">
        <f t="shared" si="15"/>
        <v>3.047222222223354</v>
      </c>
    </row>
    <row r="593" spans="1:8" ht="16.5">
      <c r="A593" s="286" t="s">
        <v>3311</v>
      </c>
      <c r="B593" s="19" t="s">
        <v>2104</v>
      </c>
      <c r="C593" s="267">
        <v>44288.747916666667</v>
      </c>
      <c r="E593" s="267">
        <v>44292.425694444442</v>
      </c>
      <c r="F593" s="283">
        <f t="shared" si="15"/>
        <v>3.6777777777751908</v>
      </c>
    </row>
    <row r="594" spans="1:8" ht="16.5">
      <c r="A594" s="286" t="s">
        <v>3312</v>
      </c>
      <c r="B594" s="19" t="s">
        <v>2104</v>
      </c>
      <c r="C594" s="267">
        <v>44288.759722222225</v>
      </c>
      <c r="E594" s="267">
        <v>44292.466666666667</v>
      </c>
      <c r="F594" s="283">
        <f t="shared" si="15"/>
        <v>3.7069444444423425</v>
      </c>
    </row>
    <row r="595" spans="1:8" ht="128.25">
      <c r="A595" s="286" t="s">
        <v>3313</v>
      </c>
      <c r="B595" s="19" t="s">
        <v>2104</v>
      </c>
      <c r="C595" s="267">
        <v>44288.76458333333</v>
      </c>
      <c r="E595" s="267">
        <v>44292.481249999997</v>
      </c>
      <c r="F595" s="283">
        <f t="shared" si="15"/>
        <v>3.7166666666671517</v>
      </c>
      <c r="H595" s="286" t="s">
        <v>3314</v>
      </c>
    </row>
    <row r="596" spans="1:8" ht="16.5">
      <c r="A596" s="286" t="s">
        <v>3315</v>
      </c>
      <c r="B596" s="19" t="s">
        <v>2104</v>
      </c>
      <c r="C596" s="267">
        <v>44292.239583333336</v>
      </c>
      <c r="E596" s="267">
        <v>44292.510416666664</v>
      </c>
      <c r="F596" s="283">
        <f t="shared" si="15"/>
        <v>0.27083333332848269</v>
      </c>
    </row>
    <row r="597" spans="1:8" ht="16.5">
      <c r="A597" s="286" t="s">
        <v>3316</v>
      </c>
      <c r="B597" s="19" t="s">
        <v>2104</v>
      </c>
      <c r="C597" s="267">
        <v>44288.761111111111</v>
      </c>
      <c r="E597" s="267">
        <v>44292.638194444444</v>
      </c>
      <c r="F597" s="283">
        <f t="shared" si="15"/>
        <v>3.8770833333328483</v>
      </c>
    </row>
    <row r="598" spans="1:8" ht="16.5">
      <c r="A598" s="286" t="s">
        <v>3284</v>
      </c>
      <c r="B598" s="19" t="s">
        <v>2104</v>
      </c>
      <c r="C598" s="267">
        <v>44292.228472222225</v>
      </c>
      <c r="E598" s="267">
        <v>44293.472916666666</v>
      </c>
      <c r="F598" s="283">
        <f t="shared" si="15"/>
        <v>1.2444444444408873</v>
      </c>
    </row>
    <row r="599" spans="1:8" ht="16.5">
      <c r="A599" s="286" t="s">
        <v>3317</v>
      </c>
      <c r="B599" s="19" t="s">
        <v>2104</v>
      </c>
      <c r="C599" s="267">
        <v>44288.745833333334</v>
      </c>
      <c r="E599" s="267">
        <v>44293.638888888891</v>
      </c>
      <c r="F599" s="283">
        <f t="shared" si="15"/>
        <v>4.8930555555562023</v>
      </c>
    </row>
    <row r="600" spans="1:8" ht="16.5">
      <c r="A600" s="286" t="s">
        <v>3318</v>
      </c>
      <c r="B600" s="19" t="s">
        <v>2104</v>
      </c>
      <c r="C600" s="267">
        <v>44293.295138888891</v>
      </c>
      <c r="E600" s="267">
        <v>44295.427083333336</v>
      </c>
      <c r="F600" s="283">
        <f t="shared" si="15"/>
        <v>2.1319444444452529</v>
      </c>
    </row>
    <row r="601" spans="1:8" ht="16.5">
      <c r="A601" s="286" t="s">
        <v>3319</v>
      </c>
      <c r="B601" s="19" t="s">
        <v>2104</v>
      </c>
      <c r="C601" s="267">
        <v>44300.240972222222</v>
      </c>
      <c r="E601" s="267">
        <v>44307.655555555553</v>
      </c>
      <c r="F601" s="283">
        <f t="shared" si="15"/>
        <v>7.4145833333313931</v>
      </c>
    </row>
    <row r="602" spans="1:8" ht="16.5">
      <c r="A602" s="286" t="s">
        <v>3320</v>
      </c>
      <c r="B602" s="19" t="s">
        <v>2104</v>
      </c>
      <c r="C602" s="267">
        <v>44300.538888888892</v>
      </c>
      <c r="E602" s="267">
        <v>44300.631249999999</v>
      </c>
      <c r="F602" s="283">
        <f t="shared" si="15"/>
        <v>9.2361111106583849E-2</v>
      </c>
    </row>
    <row r="603" spans="1:8" ht="16.5">
      <c r="A603" s="286" t="s">
        <v>3321</v>
      </c>
      <c r="B603" s="19" t="s">
        <v>2104</v>
      </c>
      <c r="C603" s="267">
        <v>44300.25277777778</v>
      </c>
      <c r="E603" s="267">
        <v>44300.698611111111</v>
      </c>
      <c r="F603" s="283">
        <f t="shared" si="15"/>
        <v>0.44583333333139308</v>
      </c>
    </row>
    <row r="604" spans="1:8" ht="16.5">
      <c r="A604" s="286" t="s">
        <v>3322</v>
      </c>
      <c r="B604" s="19" t="s">
        <v>2104</v>
      </c>
      <c r="C604" s="267">
        <v>44300.253472222219</v>
      </c>
      <c r="E604" s="267">
        <v>44302.344444444447</v>
      </c>
      <c r="F604" s="283">
        <f t="shared" si="15"/>
        <v>2.0909722222277196</v>
      </c>
    </row>
    <row r="605" spans="1:8" ht="16.5">
      <c r="A605" s="286" t="s">
        <v>3323</v>
      </c>
      <c r="B605" s="19" t="s">
        <v>2104</v>
      </c>
      <c r="C605" s="267">
        <v>44300.260416666664</v>
      </c>
      <c r="E605" s="267">
        <v>44302.586111111108</v>
      </c>
      <c r="F605" s="283">
        <f t="shared" si="15"/>
        <v>2.3256944444437977</v>
      </c>
    </row>
    <row r="606" spans="1:8" ht="16.5">
      <c r="A606" s="286" t="s">
        <v>3324</v>
      </c>
      <c r="B606" s="19" t="s">
        <v>2104</v>
      </c>
      <c r="C606" s="267">
        <v>44300.252083333333</v>
      </c>
      <c r="E606" s="267">
        <v>44302.661111111112</v>
      </c>
      <c r="F606" s="283">
        <f t="shared" si="15"/>
        <v>2.4090277777795563</v>
      </c>
    </row>
    <row r="607" spans="1:8" ht="16.5">
      <c r="A607" s="286" t="s">
        <v>3325</v>
      </c>
      <c r="B607" s="19" t="s">
        <v>2104</v>
      </c>
      <c r="C607" s="267">
        <v>44303.775694444441</v>
      </c>
      <c r="E607" s="267">
        <v>44307.809027777781</v>
      </c>
      <c r="F607" s="283">
        <f t="shared" si="15"/>
        <v>4.0333333333401242</v>
      </c>
    </row>
    <row r="608" spans="1:8" ht="16.5">
      <c r="A608" s="286" t="s">
        <v>3326</v>
      </c>
      <c r="B608" s="19" t="s">
        <v>2104</v>
      </c>
      <c r="C608" s="267">
        <v>44300.242361111108</v>
      </c>
      <c r="E608" s="267">
        <v>44305.438888888886</v>
      </c>
      <c r="F608" s="283">
        <f t="shared" si="15"/>
        <v>5.1965277777781012</v>
      </c>
    </row>
    <row r="609" spans="1:8" ht="16.5">
      <c r="A609" s="286" t="s">
        <v>3327</v>
      </c>
      <c r="B609" s="19" t="s">
        <v>2104</v>
      </c>
      <c r="C609" s="267">
        <v>44299.824305555558</v>
      </c>
      <c r="E609" s="267">
        <v>44314.510416666664</v>
      </c>
      <c r="F609" s="283">
        <f t="shared" si="15"/>
        <v>14.686111111106584</v>
      </c>
    </row>
    <row r="610" spans="1:8" ht="142.5">
      <c r="A610" s="286" t="s">
        <v>3422</v>
      </c>
      <c r="B610" s="19" t="s">
        <v>2104</v>
      </c>
      <c r="C610" s="267">
        <v>44305.870833333334</v>
      </c>
      <c r="E610" s="267">
        <v>44307.443749999999</v>
      </c>
      <c r="F610" s="283">
        <f t="shared" si="15"/>
        <v>1.5729166666642413</v>
      </c>
      <c r="H610" s="296" t="s">
        <v>3423</v>
      </c>
    </row>
    <row r="611" spans="1:8" ht="16.5">
      <c r="A611" s="286" t="s">
        <v>3424</v>
      </c>
      <c r="B611" s="19" t="s">
        <v>2104</v>
      </c>
      <c r="C611" s="267">
        <v>44305.876388888886</v>
      </c>
      <c r="E611" s="267">
        <v>44307.490277777775</v>
      </c>
      <c r="F611" s="283">
        <f t="shared" si="15"/>
        <v>1.6138888888890506</v>
      </c>
    </row>
    <row r="612" spans="1:8" ht="16.5">
      <c r="A612" s="286" t="s">
        <v>3425</v>
      </c>
      <c r="B612" s="19" t="s">
        <v>2104</v>
      </c>
      <c r="C612" s="267">
        <v>44300.240972222222</v>
      </c>
      <c r="E612" s="267">
        <v>44307.655555555553</v>
      </c>
      <c r="F612" s="283">
        <f t="shared" si="15"/>
        <v>7.4145833333313931</v>
      </c>
    </row>
    <row r="613" spans="1:8" ht="16.5">
      <c r="A613" s="286" t="s">
        <v>3426</v>
      </c>
      <c r="B613" s="19" t="s">
        <v>2104</v>
      </c>
      <c r="C613" s="267">
        <v>44310.569444444445</v>
      </c>
      <c r="E613" s="267">
        <v>44312.351388888892</v>
      </c>
      <c r="F613" s="283">
        <f t="shared" si="15"/>
        <v>1.7819444444467081</v>
      </c>
    </row>
    <row r="614" spans="1:8" ht="16.5">
      <c r="A614" s="286" t="s">
        <v>3427</v>
      </c>
      <c r="B614" s="19" t="s">
        <v>2104</v>
      </c>
      <c r="C614" s="267">
        <v>44310.570138888892</v>
      </c>
      <c r="E614" s="267">
        <v>44312.494444444441</v>
      </c>
      <c r="F614" s="283">
        <f t="shared" si="15"/>
        <v>1.9243055555489263</v>
      </c>
    </row>
    <row r="615" spans="1:8" ht="16.5">
      <c r="A615" s="286" t="s">
        <v>3428</v>
      </c>
      <c r="B615" s="19" t="s">
        <v>2104</v>
      </c>
      <c r="C615" s="267">
        <v>44314.260416666664</v>
      </c>
      <c r="E615" s="267"/>
      <c r="F615" s="283">
        <f t="shared" si="15"/>
        <v>-44314.260416666664</v>
      </c>
    </row>
    <row r="616" spans="1:8" ht="16.5">
      <c r="A616" s="286" t="s">
        <v>3429</v>
      </c>
      <c r="B616" s="19" t="s">
        <v>2104</v>
      </c>
      <c r="C616" s="267">
        <v>44312.684027777781</v>
      </c>
      <c r="E616" s="267">
        <v>44314.427083333336</v>
      </c>
      <c r="F616" s="283">
        <f t="shared" si="15"/>
        <v>1.7430555555547471</v>
      </c>
    </row>
    <row r="617" spans="1:8" ht="42.75">
      <c r="A617" s="286" t="s">
        <v>3430</v>
      </c>
      <c r="B617" s="19" t="s">
        <v>2104</v>
      </c>
      <c r="C617" s="267">
        <v>44313.272222222222</v>
      </c>
      <c r="E617" s="267">
        <v>44314.49722222222</v>
      </c>
      <c r="F617" s="283">
        <f t="shared" si="15"/>
        <v>1.2249999999985448</v>
      </c>
    </row>
    <row r="618" spans="1:8" ht="114">
      <c r="A618" s="286" t="s">
        <v>3431</v>
      </c>
      <c r="B618" s="19" t="s">
        <v>2104</v>
      </c>
      <c r="C618" s="267">
        <v>44299.824305555558</v>
      </c>
      <c r="E618" s="267">
        <v>44314.510416666664</v>
      </c>
      <c r="F618" s="283">
        <f t="shared" ref="F618:F640" si="16">E618-C618</f>
        <v>14.686111111106584</v>
      </c>
      <c r="H618" s="296" t="s">
        <v>3432</v>
      </c>
    </row>
    <row r="619" spans="1:8" ht="16.5">
      <c r="A619" s="286" t="s">
        <v>3433</v>
      </c>
      <c r="B619" s="19" t="s">
        <v>2104</v>
      </c>
      <c r="C619" s="267">
        <v>44314.236805555556</v>
      </c>
      <c r="E619" s="267">
        <v>44316.461111111108</v>
      </c>
      <c r="F619" s="283">
        <f t="shared" si="16"/>
        <v>2.2243055555518367</v>
      </c>
    </row>
    <row r="620" spans="1:8" ht="16.5">
      <c r="A620" s="286" t="s">
        <v>3434</v>
      </c>
      <c r="B620" s="19" t="s">
        <v>2104</v>
      </c>
      <c r="C620" s="267">
        <v>44316.487500000003</v>
      </c>
      <c r="E620" s="267"/>
      <c r="F620" s="283">
        <f t="shared" si="16"/>
        <v>-44316.487500000003</v>
      </c>
    </row>
    <row r="621" spans="1:8" ht="16.5">
      <c r="A621" s="286" t="s">
        <v>3435</v>
      </c>
      <c r="B621" s="19" t="s">
        <v>2104</v>
      </c>
      <c r="C621" s="267">
        <v>44322.224999999999</v>
      </c>
      <c r="E621" s="267"/>
      <c r="F621" s="283">
        <f t="shared" si="16"/>
        <v>-44322.224999999999</v>
      </c>
    </row>
    <row r="622" spans="1:8" ht="16.5">
      <c r="A622" s="286" t="s">
        <v>3436</v>
      </c>
      <c r="B622" s="19" t="s">
        <v>2104</v>
      </c>
      <c r="C622" s="267">
        <v>44313.282638888886</v>
      </c>
      <c r="E622" s="267">
        <v>44322.415277777778</v>
      </c>
      <c r="F622" s="283">
        <f t="shared" si="16"/>
        <v>9.132638888891961</v>
      </c>
    </row>
    <row r="623" spans="1:8" ht="16.5">
      <c r="A623" s="286" t="s">
        <v>3437</v>
      </c>
      <c r="B623" s="19" t="s">
        <v>2104</v>
      </c>
      <c r="C623" s="267">
        <v>44316.612500000003</v>
      </c>
      <c r="E623" s="267">
        <v>44322.474305555559</v>
      </c>
      <c r="F623" s="283">
        <f t="shared" si="16"/>
        <v>5.8618055555562023</v>
      </c>
    </row>
    <row r="624" spans="1:8" ht="16.5">
      <c r="A624" s="286"/>
      <c r="B624" s="19" t="s">
        <v>2104</v>
      </c>
      <c r="C624" s="267"/>
      <c r="E624" s="267"/>
      <c r="F624" s="283">
        <f t="shared" si="16"/>
        <v>0</v>
      </c>
    </row>
    <row r="625" spans="1:6" ht="16.5">
      <c r="A625" s="286"/>
      <c r="B625" s="19" t="s">
        <v>2104</v>
      </c>
      <c r="C625" s="267"/>
      <c r="E625" s="267"/>
      <c r="F625" s="283">
        <f t="shared" si="16"/>
        <v>0</v>
      </c>
    </row>
    <row r="626" spans="1:6" ht="16.5">
      <c r="A626" s="286"/>
      <c r="B626" s="19" t="s">
        <v>2104</v>
      </c>
      <c r="C626" s="267"/>
      <c r="E626" s="267"/>
      <c r="F626" s="283">
        <f t="shared" si="16"/>
        <v>0</v>
      </c>
    </row>
    <row r="627" spans="1:6" ht="16.5">
      <c r="A627" s="286"/>
      <c r="B627" s="19" t="s">
        <v>2104</v>
      </c>
      <c r="C627" s="267"/>
      <c r="E627" s="267"/>
      <c r="F627" s="283">
        <f t="shared" si="16"/>
        <v>0</v>
      </c>
    </row>
    <row r="628" spans="1:6" ht="16.5">
      <c r="A628" s="286"/>
      <c r="B628" s="19" t="s">
        <v>2104</v>
      </c>
      <c r="C628" s="267"/>
      <c r="E628" s="267"/>
      <c r="F628" s="283">
        <f t="shared" si="16"/>
        <v>0</v>
      </c>
    </row>
    <row r="629" spans="1:6" ht="16.5">
      <c r="A629" s="286"/>
      <c r="B629" s="19" t="s">
        <v>2104</v>
      </c>
      <c r="C629" s="267"/>
      <c r="E629" s="267"/>
      <c r="F629" s="283">
        <f t="shared" si="16"/>
        <v>0</v>
      </c>
    </row>
    <row r="630" spans="1:6" ht="16.5">
      <c r="A630" s="286"/>
      <c r="B630" s="19" t="s">
        <v>2104</v>
      </c>
      <c r="C630" s="267"/>
      <c r="E630" s="267"/>
      <c r="F630" s="283">
        <f t="shared" si="16"/>
        <v>0</v>
      </c>
    </row>
    <row r="631" spans="1:6" ht="16.5">
      <c r="A631" s="286"/>
      <c r="B631" s="19" t="s">
        <v>2104</v>
      </c>
      <c r="C631" s="267"/>
      <c r="E631" s="267"/>
      <c r="F631" s="283">
        <f t="shared" si="16"/>
        <v>0</v>
      </c>
    </row>
    <row r="632" spans="1:6" ht="16.5">
      <c r="A632" s="286"/>
      <c r="B632" s="19" t="s">
        <v>2104</v>
      </c>
      <c r="C632" s="267"/>
      <c r="E632" s="267"/>
      <c r="F632" s="283">
        <f t="shared" si="16"/>
        <v>0</v>
      </c>
    </row>
    <row r="633" spans="1:6" ht="16.5">
      <c r="A633" s="286"/>
      <c r="B633" s="19" t="s">
        <v>2104</v>
      </c>
      <c r="C633" s="267"/>
      <c r="E633" s="267"/>
      <c r="F633" s="283">
        <f t="shared" si="16"/>
        <v>0</v>
      </c>
    </row>
    <row r="634" spans="1:6" ht="16.5">
      <c r="A634" s="286"/>
      <c r="B634" s="19" t="s">
        <v>2104</v>
      </c>
      <c r="C634" s="267"/>
      <c r="E634" s="267"/>
      <c r="F634" s="283">
        <f t="shared" si="16"/>
        <v>0</v>
      </c>
    </row>
    <row r="635" spans="1:6" ht="16.5">
      <c r="A635" s="286"/>
      <c r="B635" s="19" t="s">
        <v>2104</v>
      </c>
      <c r="C635" s="267"/>
      <c r="E635" s="267"/>
      <c r="F635" s="283">
        <f t="shared" si="16"/>
        <v>0</v>
      </c>
    </row>
    <row r="636" spans="1:6" ht="16.5">
      <c r="A636" s="286"/>
      <c r="B636" s="19" t="s">
        <v>2104</v>
      </c>
      <c r="C636" s="267"/>
      <c r="E636" s="267"/>
      <c r="F636" s="283">
        <f t="shared" si="16"/>
        <v>0</v>
      </c>
    </row>
    <row r="637" spans="1:6" ht="16.5">
      <c r="A637" s="286"/>
      <c r="B637" s="19" t="s">
        <v>2104</v>
      </c>
      <c r="C637" s="267"/>
      <c r="E637" s="267"/>
      <c r="F637" s="283">
        <f t="shared" si="16"/>
        <v>0</v>
      </c>
    </row>
    <row r="638" spans="1:6" ht="16.5">
      <c r="A638" s="286"/>
      <c r="B638" s="19" t="s">
        <v>2104</v>
      </c>
      <c r="C638" s="267"/>
      <c r="E638" s="267"/>
      <c r="F638" s="283">
        <f t="shared" si="16"/>
        <v>0</v>
      </c>
    </row>
    <row r="639" spans="1:6" ht="16.5">
      <c r="A639" s="286"/>
      <c r="B639" s="19" t="s">
        <v>2104</v>
      </c>
      <c r="C639" s="267"/>
      <c r="E639" s="267"/>
      <c r="F639" s="283">
        <f t="shared" si="16"/>
        <v>0</v>
      </c>
    </row>
    <row r="640" spans="1:6" ht="16.5">
      <c r="A640" s="286"/>
      <c r="B640" s="19" t="s">
        <v>2104</v>
      </c>
      <c r="C640" s="267"/>
      <c r="E640" s="267"/>
      <c r="F640" s="283">
        <f t="shared" si="16"/>
        <v>0</v>
      </c>
    </row>
    <row r="641" spans="1:6" ht="16.5">
      <c r="A641" s="286"/>
      <c r="B641" s="19"/>
      <c r="C641" s="267"/>
      <c r="E641" s="267"/>
      <c r="F641" s="283"/>
    </row>
    <row r="642" spans="1:6" ht="16.5">
      <c r="A642" s="286"/>
      <c r="B642" s="19"/>
      <c r="C642" s="267"/>
      <c r="E642" s="267"/>
      <c r="F642" s="283"/>
    </row>
    <row r="643" spans="1:6" ht="16.5">
      <c r="A643" s="286"/>
      <c r="B643" s="19"/>
      <c r="C643" s="267"/>
      <c r="E643" s="267"/>
      <c r="F643" s="283"/>
    </row>
    <row r="644" spans="1:6" ht="16.5">
      <c r="A644" s="286"/>
      <c r="B644" s="19"/>
      <c r="C644" s="267"/>
      <c r="E644" s="267"/>
      <c r="F644" s="283"/>
    </row>
    <row r="645" spans="1:6" ht="16.5">
      <c r="A645" s="286"/>
      <c r="B645" s="19"/>
      <c r="C645" s="267"/>
      <c r="E645" s="267"/>
      <c r="F645" s="283"/>
    </row>
    <row r="646" spans="1:6" ht="16.5">
      <c r="A646" s="286"/>
      <c r="B646" s="19"/>
      <c r="C646" s="267"/>
      <c r="E646" s="267"/>
      <c r="F646" s="283"/>
    </row>
    <row r="647" spans="1:6" ht="16.5">
      <c r="A647" s="286"/>
      <c r="B647" s="19"/>
      <c r="C647" s="267"/>
      <c r="E647" s="267"/>
      <c r="F647" s="283"/>
    </row>
    <row r="648" spans="1:6" ht="16.5">
      <c r="A648" s="286"/>
      <c r="B648" s="19"/>
      <c r="C648" s="267"/>
      <c r="E648" s="267"/>
      <c r="F648" s="283"/>
    </row>
    <row r="649" spans="1:6" ht="16.5">
      <c r="A649" s="286"/>
      <c r="B649" s="19"/>
      <c r="C649" s="267"/>
      <c r="E649" s="267"/>
      <c r="F649" s="283"/>
    </row>
    <row r="650" spans="1:6" ht="16.5">
      <c r="A650" s="286"/>
      <c r="B650" s="19"/>
      <c r="C650" s="267"/>
      <c r="E650" s="267"/>
      <c r="F650" s="283"/>
    </row>
    <row r="651" spans="1:6" ht="16.5">
      <c r="A651" s="286"/>
      <c r="B651" s="19"/>
      <c r="C651" s="267"/>
      <c r="E651" s="267"/>
      <c r="F651" s="283"/>
    </row>
    <row r="652" spans="1:6" ht="16.5">
      <c r="A652" s="286"/>
      <c r="B652" s="19"/>
      <c r="C652" s="267"/>
      <c r="E652" s="267"/>
      <c r="F652" s="283"/>
    </row>
    <row r="653" spans="1:6" ht="16.5">
      <c r="A653" s="286"/>
      <c r="B653" s="19"/>
      <c r="C653" s="267"/>
      <c r="E653" s="267"/>
      <c r="F653" s="283"/>
    </row>
    <row r="654" spans="1:6" ht="16.5">
      <c r="A654" s="286"/>
      <c r="B654" s="19"/>
      <c r="C654" s="267"/>
      <c r="E654" s="267"/>
      <c r="F654" s="283"/>
    </row>
    <row r="655" spans="1:6" ht="16.5">
      <c r="A655" s="286"/>
      <c r="B655" s="19"/>
      <c r="C655" s="267"/>
      <c r="E655" s="267"/>
      <c r="F655" s="283"/>
    </row>
    <row r="656" spans="1:6" ht="16.5">
      <c r="A656" s="286"/>
      <c r="B656" s="19"/>
      <c r="C656" s="267"/>
      <c r="E656" s="267"/>
      <c r="F656" s="283"/>
    </row>
    <row r="657" spans="1:6" ht="16.5">
      <c r="A657" s="286"/>
      <c r="B657" s="19"/>
      <c r="C657" s="267"/>
      <c r="E657" s="267"/>
      <c r="F657" s="283"/>
    </row>
    <row r="658" spans="1:6" ht="16.5">
      <c r="A658" s="286"/>
      <c r="B658" s="19"/>
      <c r="C658" s="267"/>
      <c r="E658" s="267"/>
      <c r="F658" s="283"/>
    </row>
    <row r="659" spans="1:6" ht="16.5">
      <c r="A659" s="286"/>
      <c r="B659" s="19"/>
      <c r="C659" s="267"/>
      <c r="E659" s="267"/>
      <c r="F659" s="283"/>
    </row>
    <row r="660" spans="1:6" ht="16.5">
      <c r="A660" s="286"/>
      <c r="B660" s="19"/>
      <c r="C660" s="267"/>
      <c r="E660" s="267"/>
      <c r="F660" s="283"/>
    </row>
    <row r="661" spans="1:6" ht="16.5">
      <c r="A661" s="286"/>
      <c r="B661" s="19"/>
      <c r="C661" s="267"/>
      <c r="E661" s="267"/>
      <c r="F661" s="283"/>
    </row>
    <row r="662" spans="1:6" ht="16.5">
      <c r="A662" s="286"/>
      <c r="B662" s="19"/>
      <c r="C662" s="267"/>
      <c r="E662" s="267"/>
      <c r="F662" s="283"/>
    </row>
    <row r="663" spans="1:6" ht="16.5">
      <c r="A663" s="286"/>
      <c r="B663" s="19"/>
      <c r="C663" s="267"/>
      <c r="E663" s="267"/>
      <c r="F663" s="283"/>
    </row>
    <row r="664" spans="1:6" ht="16.5">
      <c r="A664" s="286"/>
      <c r="B664" s="19"/>
      <c r="C664" s="267"/>
      <c r="E664" s="267"/>
      <c r="F664" s="283"/>
    </row>
    <row r="665" spans="1:6" ht="16.5">
      <c r="A665" s="286"/>
      <c r="B665" s="19"/>
      <c r="C665" s="267"/>
      <c r="E665" s="267"/>
      <c r="F665" s="283"/>
    </row>
    <row r="666" spans="1:6" ht="16.5">
      <c r="A666" s="286"/>
      <c r="B666" s="19"/>
      <c r="C666" s="267"/>
      <c r="E666" s="267"/>
      <c r="F666" s="283"/>
    </row>
    <row r="667" spans="1:6" ht="16.5">
      <c r="A667" s="286"/>
      <c r="B667" s="19"/>
      <c r="C667" s="267"/>
      <c r="E667" s="267"/>
      <c r="F667" s="283"/>
    </row>
    <row r="668" spans="1:6" ht="16.5">
      <c r="A668" s="286"/>
      <c r="B668" s="19"/>
      <c r="C668" s="267"/>
      <c r="E668" s="267"/>
      <c r="F668" s="283"/>
    </row>
    <row r="669" spans="1:6" ht="16.5">
      <c r="A669" s="286"/>
      <c r="B669" s="19"/>
      <c r="C669" s="267"/>
      <c r="E669" s="267"/>
      <c r="F669" s="283"/>
    </row>
    <row r="670" spans="1:6" ht="16.5">
      <c r="A670" s="286"/>
      <c r="B670" s="19"/>
      <c r="C670" s="267"/>
      <c r="E670" s="267"/>
      <c r="F670" s="283"/>
    </row>
    <row r="671" spans="1:6" ht="16.5">
      <c r="A671" s="286"/>
      <c r="B671" s="19"/>
      <c r="C671" s="267"/>
      <c r="E671" s="267"/>
      <c r="F671" s="283"/>
    </row>
    <row r="672" spans="1:6" ht="16.5">
      <c r="A672" s="286"/>
      <c r="B672" s="19"/>
      <c r="C672" s="267"/>
      <c r="E672" s="267"/>
      <c r="F672" s="283"/>
    </row>
    <row r="673" spans="1:6" ht="16.5">
      <c r="A673" s="286"/>
      <c r="B673" s="19"/>
      <c r="C673" s="267"/>
      <c r="E673" s="267"/>
      <c r="F673" s="283"/>
    </row>
    <row r="674" spans="1:6" ht="16.5">
      <c r="A674" s="286"/>
      <c r="B674" s="19"/>
      <c r="C674" s="267"/>
      <c r="E674" s="267"/>
      <c r="F674" s="283"/>
    </row>
    <row r="675" spans="1:6" ht="16.5">
      <c r="A675" s="286"/>
      <c r="B675" s="19"/>
      <c r="C675" s="267"/>
      <c r="E675" s="267"/>
      <c r="F675" s="283"/>
    </row>
    <row r="676" spans="1:6" ht="16.5">
      <c r="A676" s="286"/>
      <c r="B676" s="19"/>
      <c r="C676" s="267"/>
      <c r="E676" s="267"/>
      <c r="F676" s="283"/>
    </row>
    <row r="677" spans="1:6" ht="16.5">
      <c r="A677" s="286"/>
      <c r="B677" s="19"/>
      <c r="C677" s="267"/>
      <c r="E677" s="267"/>
      <c r="F677" s="283"/>
    </row>
    <row r="678" spans="1:6" ht="16.5">
      <c r="A678" s="286"/>
      <c r="B678" s="19"/>
      <c r="C678" s="267"/>
      <c r="E678" s="267"/>
      <c r="F678" s="283"/>
    </row>
    <row r="679" spans="1:6" ht="16.5">
      <c r="A679" s="286"/>
      <c r="B679" s="19"/>
      <c r="C679" s="267"/>
      <c r="E679" s="267"/>
      <c r="F679" s="283"/>
    </row>
    <row r="680" spans="1:6" ht="16.5">
      <c r="A680" s="286"/>
      <c r="B680" s="19"/>
      <c r="C680" s="267"/>
      <c r="E680" s="267"/>
      <c r="F680" s="283"/>
    </row>
    <row r="681" spans="1:6" ht="16.5">
      <c r="A681" s="286"/>
      <c r="B681" s="19"/>
      <c r="C681" s="267"/>
      <c r="E681" s="267"/>
      <c r="F681" s="283"/>
    </row>
    <row r="682" spans="1:6" ht="16.5">
      <c r="A682" s="286"/>
      <c r="B682" s="19"/>
      <c r="C682" s="267"/>
      <c r="E682" s="267"/>
      <c r="F682" s="283"/>
    </row>
    <row r="683" spans="1:6" ht="16.5">
      <c r="A683" s="286"/>
      <c r="B683" s="19"/>
      <c r="C683" s="267"/>
      <c r="E683" s="267"/>
      <c r="F683" s="283"/>
    </row>
    <row r="684" spans="1:6" ht="16.5">
      <c r="A684" s="286"/>
      <c r="B684" s="19"/>
      <c r="C684" s="267"/>
      <c r="E684" s="267"/>
      <c r="F684" s="283"/>
    </row>
    <row r="685" spans="1:6" ht="16.5">
      <c r="A685" s="286"/>
      <c r="B685" s="19"/>
      <c r="C685" s="267"/>
      <c r="E685" s="267"/>
      <c r="F685" s="283"/>
    </row>
    <row r="686" spans="1:6" ht="16.5">
      <c r="A686" s="286"/>
      <c r="B686" s="19"/>
      <c r="C686" s="267"/>
      <c r="E686" s="267"/>
      <c r="F686" s="283"/>
    </row>
    <row r="687" spans="1:6" ht="16.5">
      <c r="A687" s="286"/>
      <c r="B687" s="19"/>
      <c r="C687" s="267"/>
      <c r="E687" s="267"/>
      <c r="F687" s="283"/>
    </row>
    <row r="688" spans="1:6" ht="16.5">
      <c r="A688" s="286"/>
      <c r="B688" s="19"/>
      <c r="C688" s="267"/>
      <c r="E688" s="267"/>
      <c r="F688" s="283"/>
    </row>
    <row r="689" spans="1:6" ht="16.5">
      <c r="A689" s="286"/>
      <c r="B689" s="19"/>
      <c r="C689" s="267"/>
      <c r="E689" s="267"/>
      <c r="F689" s="283"/>
    </row>
    <row r="690" spans="1:6" ht="16.5">
      <c r="A690" s="286"/>
      <c r="B690" s="19"/>
      <c r="C690" s="267"/>
      <c r="E690" s="267"/>
      <c r="F690" s="283"/>
    </row>
    <row r="691" spans="1:6" ht="16.5">
      <c r="A691" s="286"/>
      <c r="B691" s="19"/>
      <c r="C691" s="267"/>
      <c r="E691" s="267"/>
      <c r="F691" s="283"/>
    </row>
    <row r="692" spans="1:6" ht="16.5">
      <c r="A692" s="286"/>
      <c r="B692" s="19"/>
      <c r="C692" s="267"/>
      <c r="E692" s="267"/>
      <c r="F692" s="283"/>
    </row>
    <row r="693" spans="1:6" ht="16.5">
      <c r="A693" s="286"/>
      <c r="B693" s="19"/>
      <c r="C693" s="267"/>
      <c r="E693" s="267"/>
      <c r="F693" s="283"/>
    </row>
    <row r="694" spans="1:6" ht="16.5">
      <c r="A694" s="286"/>
      <c r="B694" s="19"/>
      <c r="C694" s="267"/>
      <c r="E694" s="267"/>
      <c r="F694" s="283"/>
    </row>
    <row r="695" spans="1:6" ht="16.5">
      <c r="A695" s="286"/>
      <c r="B695" s="19"/>
      <c r="C695" s="267"/>
      <c r="E695" s="267"/>
      <c r="F695" s="283"/>
    </row>
    <row r="696" spans="1:6" ht="16.5">
      <c r="A696" s="286"/>
      <c r="B696" s="19"/>
      <c r="C696" s="267"/>
      <c r="E696" s="267"/>
      <c r="F696" s="283"/>
    </row>
    <row r="697" spans="1:6" ht="16.5">
      <c r="A697" s="286"/>
      <c r="B697" s="19"/>
      <c r="C697" s="267"/>
      <c r="E697" s="267"/>
      <c r="F697" s="283"/>
    </row>
    <row r="698" spans="1:6" ht="16.5">
      <c r="A698" s="286"/>
      <c r="B698" s="19"/>
      <c r="C698" s="267"/>
      <c r="E698" s="267"/>
      <c r="F698" s="283"/>
    </row>
    <row r="699" spans="1:6" ht="16.5">
      <c r="A699" s="286"/>
      <c r="B699" s="19"/>
      <c r="C699" s="267"/>
      <c r="E699" s="267"/>
      <c r="F699" s="283"/>
    </row>
    <row r="700" spans="1:6" ht="16.5">
      <c r="A700" s="286"/>
      <c r="B700" s="19"/>
      <c r="C700" s="267"/>
      <c r="E700" s="267"/>
      <c r="F700" s="283"/>
    </row>
    <row r="701" spans="1:6" ht="16.5">
      <c r="A701" s="286"/>
      <c r="B701" s="19"/>
      <c r="C701" s="267"/>
      <c r="E701" s="267"/>
      <c r="F701" s="283"/>
    </row>
    <row r="702" spans="1:6" ht="16.5">
      <c r="A702" s="286"/>
      <c r="B702" s="19"/>
      <c r="C702" s="267"/>
      <c r="E702" s="267"/>
      <c r="F702" s="283"/>
    </row>
    <row r="703" spans="1:6" ht="16.5">
      <c r="A703" s="286"/>
      <c r="B703" s="19"/>
      <c r="C703" s="267"/>
      <c r="E703" s="267"/>
      <c r="F703" s="283"/>
    </row>
    <row r="704" spans="1:6" ht="16.5">
      <c r="A704" s="286"/>
      <c r="B704" s="19"/>
      <c r="C704" s="267"/>
      <c r="E704" s="267"/>
      <c r="F704" s="283"/>
    </row>
    <row r="705" spans="1:6" ht="16.5">
      <c r="A705" s="286"/>
      <c r="B705" s="19"/>
      <c r="C705" s="267"/>
      <c r="E705" s="267"/>
      <c r="F705" s="283"/>
    </row>
    <row r="706" spans="1:6" ht="16.5">
      <c r="A706" s="286"/>
      <c r="B706" s="19"/>
      <c r="C706" s="267"/>
      <c r="E706" s="267"/>
      <c r="F706" s="283"/>
    </row>
    <row r="707" spans="1:6" ht="16.5">
      <c r="A707" s="286"/>
      <c r="B707" s="19"/>
      <c r="C707" s="267"/>
      <c r="E707" s="267"/>
      <c r="F707" s="283"/>
    </row>
    <row r="708" spans="1:6" ht="16.5">
      <c r="A708" s="286"/>
      <c r="B708" s="19"/>
      <c r="C708" s="267"/>
      <c r="E708" s="267"/>
      <c r="F708" s="283"/>
    </row>
    <row r="709" spans="1:6" ht="16.5">
      <c r="A709" s="286"/>
      <c r="B709" s="19"/>
      <c r="C709" s="267"/>
      <c r="E709" s="267"/>
      <c r="F709" s="283"/>
    </row>
    <row r="710" spans="1:6" ht="16.5">
      <c r="A710" s="286"/>
      <c r="B710" s="19"/>
      <c r="C710" s="267"/>
      <c r="E710" s="267"/>
      <c r="F710" s="283"/>
    </row>
    <row r="711" spans="1:6" ht="16.5">
      <c r="A711" s="286"/>
      <c r="B711" s="19"/>
      <c r="C711" s="267"/>
      <c r="E711" s="267"/>
      <c r="F711" s="283"/>
    </row>
    <row r="712" spans="1:6" ht="16.5">
      <c r="A712" s="286"/>
      <c r="B712" s="19"/>
      <c r="C712" s="267"/>
      <c r="E712" s="267"/>
      <c r="F712" s="283"/>
    </row>
    <row r="713" spans="1:6" ht="16.5">
      <c r="A713" s="286"/>
      <c r="B713" s="19"/>
      <c r="C713" s="267"/>
      <c r="E713" s="267"/>
      <c r="F713" s="283"/>
    </row>
    <row r="714" spans="1:6" ht="16.5">
      <c r="A714" s="286"/>
      <c r="B714" s="19"/>
      <c r="C714" s="267"/>
      <c r="E714" s="267"/>
      <c r="F714" s="283"/>
    </row>
    <row r="715" spans="1:6" ht="16.5">
      <c r="A715" s="286"/>
      <c r="B715" s="19"/>
      <c r="C715" s="267"/>
      <c r="E715" s="267"/>
      <c r="F715" s="283"/>
    </row>
    <row r="716" spans="1:6" ht="16.5">
      <c r="A716" s="286"/>
      <c r="B716" s="19"/>
      <c r="C716" s="267"/>
      <c r="E716" s="267"/>
      <c r="F716" s="283"/>
    </row>
    <row r="717" spans="1:6" ht="16.5">
      <c r="A717" s="286"/>
      <c r="B717" s="19"/>
      <c r="C717" s="267"/>
      <c r="E717" s="267"/>
      <c r="F717" s="283"/>
    </row>
    <row r="718" spans="1:6" ht="16.5">
      <c r="A718" s="286"/>
      <c r="B718" s="19"/>
      <c r="C718" s="267"/>
      <c r="E718" s="267"/>
      <c r="F718" s="283"/>
    </row>
    <row r="719" spans="1:6" ht="16.5">
      <c r="A719" s="286"/>
      <c r="B719" s="19"/>
      <c r="C719" s="267"/>
      <c r="E719" s="267"/>
      <c r="F719" s="283"/>
    </row>
    <row r="720" spans="1:6" ht="16.5">
      <c r="A720" s="286"/>
      <c r="B720" s="19"/>
      <c r="C720" s="267"/>
      <c r="E720" s="267"/>
      <c r="F720" s="283"/>
    </row>
    <row r="721" spans="1:6" ht="16.5">
      <c r="A721" s="286"/>
      <c r="B721" s="19"/>
      <c r="C721" s="267"/>
      <c r="E721" s="267"/>
      <c r="F721" s="283"/>
    </row>
    <row r="722" spans="1:6" ht="16.5">
      <c r="A722" s="286"/>
      <c r="B722" s="19"/>
      <c r="C722" s="267"/>
      <c r="E722" s="267"/>
      <c r="F722" s="283"/>
    </row>
    <row r="723" spans="1:6" ht="16.5">
      <c r="A723" s="286"/>
      <c r="B723" s="19"/>
      <c r="C723" s="267"/>
      <c r="E723" s="267"/>
      <c r="F723" s="283"/>
    </row>
    <row r="724" spans="1:6" ht="16.5">
      <c r="A724" s="286"/>
      <c r="B724" s="19"/>
      <c r="C724" s="267"/>
      <c r="E724" s="267"/>
      <c r="F724" s="283"/>
    </row>
    <row r="725" spans="1:6" ht="16.5">
      <c r="A725" s="286"/>
      <c r="B725" s="19"/>
      <c r="C725" s="267"/>
      <c r="E725" s="267"/>
      <c r="F725" s="283"/>
    </row>
    <row r="726" spans="1:6" ht="16.5">
      <c r="A726" s="286"/>
      <c r="B726" s="19"/>
      <c r="C726" s="267"/>
      <c r="E726" s="267"/>
      <c r="F726" s="283"/>
    </row>
    <row r="727" spans="1:6" ht="16.5">
      <c r="A727" s="286"/>
      <c r="B727" s="19"/>
      <c r="C727" s="267"/>
      <c r="E727" s="267"/>
      <c r="F727" s="283"/>
    </row>
    <row r="728" spans="1:6" ht="16.5">
      <c r="A728" s="286"/>
      <c r="B728" s="19"/>
      <c r="C728" s="267"/>
      <c r="E728" s="267"/>
      <c r="F728" s="283"/>
    </row>
    <row r="729" spans="1:6" ht="16.5">
      <c r="A729" s="286"/>
      <c r="B729" s="19"/>
      <c r="C729" s="267"/>
      <c r="E729" s="267"/>
      <c r="F729" s="283"/>
    </row>
    <row r="730" spans="1:6" ht="16.5">
      <c r="A730" s="286"/>
      <c r="B730" s="19"/>
      <c r="C730" s="267"/>
      <c r="E730" s="267"/>
      <c r="F730" s="283"/>
    </row>
    <row r="731" spans="1:6" ht="16.5">
      <c r="A731" s="286"/>
      <c r="B731" s="19"/>
      <c r="C731" s="267"/>
      <c r="E731" s="267"/>
      <c r="F731" s="283"/>
    </row>
    <row r="732" spans="1:6" ht="16.5">
      <c r="A732" s="286"/>
      <c r="B732" s="19"/>
      <c r="C732" s="267"/>
      <c r="E732" s="267"/>
      <c r="F732" s="283"/>
    </row>
    <row r="733" spans="1:6" ht="16.5">
      <c r="A733" s="286"/>
      <c r="B733" s="19"/>
      <c r="C733" s="267"/>
      <c r="E733" s="267"/>
      <c r="F733" s="283"/>
    </row>
    <row r="734" spans="1:6" ht="16.5">
      <c r="A734" s="286"/>
      <c r="B734" s="19"/>
      <c r="C734" s="267"/>
      <c r="E734" s="267"/>
      <c r="F734" s="283"/>
    </row>
    <row r="735" spans="1:6" ht="16.5">
      <c r="A735" s="286"/>
      <c r="B735" s="19"/>
      <c r="C735" s="267"/>
      <c r="E735" s="267"/>
      <c r="F735" s="283"/>
    </row>
    <row r="736" spans="1:6" ht="16.5">
      <c r="A736" s="286"/>
      <c r="B736" s="19"/>
      <c r="C736" s="267"/>
      <c r="E736" s="267"/>
      <c r="F736" s="283"/>
    </row>
    <row r="737" spans="1:6" ht="16.5">
      <c r="A737" s="286"/>
      <c r="B737" s="19"/>
      <c r="C737" s="267"/>
      <c r="E737" s="267"/>
      <c r="F737" s="283"/>
    </row>
    <row r="738" spans="1:6" ht="16.5">
      <c r="A738" s="286"/>
      <c r="B738" s="19"/>
      <c r="C738" s="267"/>
      <c r="E738" s="267"/>
      <c r="F738" s="283"/>
    </row>
    <row r="739" spans="1:6" ht="16.5">
      <c r="A739" s="286"/>
      <c r="B739" s="19"/>
      <c r="C739" s="267"/>
      <c r="E739" s="267"/>
      <c r="F739" s="283"/>
    </row>
    <row r="740" spans="1:6" ht="16.5">
      <c r="A740" s="286"/>
      <c r="B740" s="19"/>
      <c r="C740" s="267"/>
      <c r="E740" s="267"/>
      <c r="F740" s="283"/>
    </row>
    <row r="741" spans="1:6" ht="16.5">
      <c r="A741" s="286"/>
      <c r="B741" s="19"/>
      <c r="C741" s="267"/>
      <c r="E741" s="267"/>
      <c r="F741" s="283"/>
    </row>
    <row r="742" spans="1:6" ht="16.5">
      <c r="A742" s="286"/>
      <c r="B742" s="19"/>
      <c r="C742" s="267"/>
      <c r="E742" s="267"/>
      <c r="F742" s="283"/>
    </row>
    <row r="743" spans="1:6" ht="16.5">
      <c r="A743" s="286"/>
      <c r="B743" s="19"/>
      <c r="C743" s="267"/>
      <c r="E743" s="267"/>
      <c r="F743" s="283"/>
    </row>
    <row r="744" spans="1:6" ht="16.5">
      <c r="A744" s="286"/>
      <c r="B744" s="19"/>
      <c r="C744" s="267"/>
      <c r="E744" s="267"/>
      <c r="F744" s="283"/>
    </row>
    <row r="745" spans="1:6" ht="16.5">
      <c r="A745" s="286"/>
      <c r="B745" s="19"/>
      <c r="C745" s="267"/>
      <c r="E745" s="267"/>
      <c r="F745" s="283"/>
    </row>
    <row r="746" spans="1:6" ht="16.5">
      <c r="A746" s="286"/>
      <c r="B746" s="19"/>
      <c r="C746" s="267"/>
      <c r="E746" s="267"/>
      <c r="F746" s="283"/>
    </row>
    <row r="747" spans="1:6" ht="16.5">
      <c r="A747" s="286"/>
      <c r="B747" s="19"/>
      <c r="C747" s="267"/>
      <c r="E747" s="267"/>
      <c r="F747" s="283"/>
    </row>
    <row r="748" spans="1:6" ht="16.5">
      <c r="A748" s="286"/>
      <c r="B748" s="19"/>
      <c r="C748" s="267"/>
      <c r="E748" s="267"/>
      <c r="F748" s="283"/>
    </row>
    <row r="749" spans="1:6" ht="16.5">
      <c r="A749" s="286"/>
      <c r="B749" s="19"/>
      <c r="C749" s="267"/>
      <c r="E749" s="267"/>
      <c r="F749" s="283"/>
    </row>
    <row r="750" spans="1:6" ht="16.5">
      <c r="A750" s="286"/>
      <c r="B750" s="19"/>
      <c r="C750" s="267"/>
      <c r="E750" s="267"/>
      <c r="F750" s="283"/>
    </row>
    <row r="751" spans="1:6" ht="16.5">
      <c r="A751" s="286"/>
      <c r="B751" s="19"/>
      <c r="C751" s="267"/>
      <c r="E751" s="267"/>
      <c r="F751" s="283"/>
    </row>
    <row r="752" spans="1:6" ht="16.5">
      <c r="A752" s="286"/>
      <c r="B752" s="19"/>
      <c r="C752" s="267"/>
      <c r="E752" s="267"/>
      <c r="F752" s="283"/>
    </row>
    <row r="753" spans="1:6" ht="16.5">
      <c r="A753" s="286"/>
      <c r="B753" s="19"/>
      <c r="C753" s="267"/>
      <c r="E753" s="267"/>
      <c r="F753" s="283"/>
    </row>
    <row r="754" spans="1:6" ht="16.5">
      <c r="A754" s="286"/>
      <c r="B754" s="19"/>
      <c r="C754" s="267"/>
      <c r="E754" s="267"/>
      <c r="F754" s="283"/>
    </row>
    <row r="755" spans="1:6" ht="16.5">
      <c r="A755" s="286"/>
      <c r="B755" s="19"/>
      <c r="C755" s="267"/>
      <c r="E755" s="267"/>
      <c r="F755" s="283"/>
    </row>
    <row r="756" spans="1:6" ht="16.5">
      <c r="A756" s="286"/>
      <c r="B756" s="19"/>
      <c r="C756" s="267"/>
      <c r="E756" s="267"/>
      <c r="F756" s="283"/>
    </row>
    <row r="757" spans="1:6" ht="16.5">
      <c r="A757" s="286"/>
      <c r="B757" s="19"/>
      <c r="C757" s="267"/>
      <c r="E757" s="267"/>
      <c r="F757" s="283"/>
    </row>
    <row r="758" spans="1:6" ht="16.5">
      <c r="A758" s="286"/>
      <c r="B758" s="19"/>
      <c r="C758" s="267"/>
      <c r="E758" s="267"/>
      <c r="F758" s="283"/>
    </row>
    <row r="759" spans="1:6" ht="16.5">
      <c r="A759" s="286"/>
      <c r="B759" s="19"/>
      <c r="C759" s="267"/>
      <c r="E759" s="267"/>
      <c r="F759" s="283"/>
    </row>
    <row r="760" spans="1:6" ht="16.5">
      <c r="A760" s="286"/>
      <c r="B760" s="19"/>
      <c r="C760" s="267"/>
      <c r="E760" s="267"/>
      <c r="F760" s="283"/>
    </row>
    <row r="761" spans="1:6" ht="16.5">
      <c r="A761" s="286"/>
      <c r="B761" s="19"/>
      <c r="C761" s="267"/>
      <c r="E761" s="267"/>
      <c r="F761" s="283"/>
    </row>
    <row r="762" spans="1:6" ht="16.5">
      <c r="A762" s="286"/>
      <c r="B762" s="19"/>
      <c r="C762" s="267"/>
      <c r="E762" s="267"/>
      <c r="F762" s="283"/>
    </row>
    <row r="763" spans="1:6" ht="16.5">
      <c r="A763" s="286"/>
      <c r="B763" s="19"/>
      <c r="C763" s="267"/>
      <c r="E763" s="267"/>
      <c r="F763" s="283"/>
    </row>
    <row r="764" spans="1:6" ht="16.5">
      <c r="A764" s="286"/>
      <c r="B764" s="19"/>
      <c r="C764" s="267"/>
      <c r="E764" s="267"/>
      <c r="F764" s="283"/>
    </row>
    <row r="765" spans="1:6" ht="16.5">
      <c r="A765" s="286"/>
      <c r="B765" s="19"/>
      <c r="C765" s="267"/>
      <c r="E765" s="267"/>
      <c r="F765" s="283"/>
    </row>
    <row r="766" spans="1:6" ht="16.5">
      <c r="A766" s="286"/>
      <c r="B766" s="19"/>
      <c r="C766" s="267"/>
      <c r="E766" s="267"/>
      <c r="F766" s="283"/>
    </row>
    <row r="767" spans="1:6" ht="16.5">
      <c r="A767" s="286"/>
      <c r="B767" s="19"/>
      <c r="C767" s="267"/>
      <c r="E767" s="267"/>
      <c r="F767" s="283"/>
    </row>
    <row r="768" spans="1:6" ht="16.5">
      <c r="A768" s="286"/>
      <c r="B768" s="19"/>
      <c r="C768" s="267"/>
      <c r="E768" s="267"/>
      <c r="F768" s="283"/>
    </row>
    <row r="769" spans="1:6" ht="16.5">
      <c r="A769" s="286"/>
      <c r="B769" s="19"/>
      <c r="C769" s="267"/>
      <c r="E769" s="267"/>
      <c r="F769" s="283"/>
    </row>
    <row r="770" spans="1:6" ht="16.5">
      <c r="A770" s="286"/>
      <c r="B770" s="19"/>
      <c r="C770" s="267"/>
      <c r="E770" s="267"/>
      <c r="F770" s="283"/>
    </row>
    <row r="771" spans="1:6" ht="16.5">
      <c r="A771" s="286"/>
      <c r="B771" s="19"/>
      <c r="C771" s="267"/>
      <c r="E771" s="267"/>
      <c r="F771" s="283"/>
    </row>
    <row r="772" spans="1:6" ht="16.5">
      <c r="A772" s="286"/>
      <c r="B772" s="19"/>
      <c r="C772" s="267"/>
      <c r="E772" s="267"/>
      <c r="F772" s="283"/>
    </row>
    <row r="773" spans="1:6" ht="16.5">
      <c r="A773" s="286"/>
      <c r="B773" s="19"/>
      <c r="C773" s="267"/>
      <c r="E773" s="267"/>
      <c r="F773" s="283"/>
    </row>
    <row r="774" spans="1:6" ht="16.5">
      <c r="A774" s="286"/>
      <c r="B774" s="19"/>
      <c r="C774" s="267"/>
      <c r="E774" s="267"/>
      <c r="F774" s="283"/>
    </row>
    <row r="775" spans="1:6" ht="16.5">
      <c r="A775" s="286"/>
      <c r="B775" s="19"/>
      <c r="C775" s="267"/>
      <c r="E775" s="267"/>
      <c r="F775" s="283"/>
    </row>
    <row r="776" spans="1:6" ht="16.5">
      <c r="A776" s="286"/>
      <c r="B776" s="19"/>
      <c r="C776" s="267"/>
      <c r="E776" s="267"/>
      <c r="F776" s="283"/>
    </row>
    <row r="777" spans="1:6" ht="16.5">
      <c r="A777" s="286"/>
      <c r="B777" s="19"/>
      <c r="C777" s="267"/>
      <c r="E777" s="267"/>
      <c r="F777" s="283"/>
    </row>
    <row r="778" spans="1:6" ht="16.5">
      <c r="A778" s="286"/>
      <c r="B778" s="19"/>
      <c r="C778" s="267"/>
      <c r="E778" s="267"/>
      <c r="F778" s="283"/>
    </row>
    <row r="779" spans="1:6" ht="16.5">
      <c r="A779" s="286"/>
      <c r="B779" s="19"/>
      <c r="C779" s="267"/>
      <c r="E779" s="267"/>
      <c r="F779" s="283"/>
    </row>
    <row r="780" spans="1:6" ht="16.5">
      <c r="A780" s="286"/>
      <c r="B780" s="19"/>
      <c r="C780" s="267"/>
      <c r="E780" s="267"/>
      <c r="F780" s="283"/>
    </row>
    <row r="781" spans="1:6" ht="16.5">
      <c r="A781" s="286"/>
      <c r="B781" s="19"/>
      <c r="C781" s="267"/>
      <c r="E781" s="267"/>
      <c r="F781" s="283"/>
    </row>
    <row r="782" spans="1:6" ht="16.5">
      <c r="A782" s="286"/>
      <c r="B782" s="19"/>
      <c r="C782" s="267"/>
      <c r="E782" s="267"/>
      <c r="F782" s="283"/>
    </row>
    <row r="783" spans="1:6" ht="16.5">
      <c r="A783" s="286"/>
      <c r="B783" s="19"/>
      <c r="C783" s="267"/>
      <c r="E783" s="267"/>
      <c r="F783" s="283"/>
    </row>
    <row r="784" spans="1:6" ht="16.5">
      <c r="A784" s="286"/>
      <c r="B784" s="19"/>
      <c r="C784" s="267"/>
      <c r="E784" s="267"/>
      <c r="F784" s="283"/>
    </row>
    <row r="785" spans="1:6" ht="16.5">
      <c r="A785" s="286"/>
      <c r="B785" s="19"/>
      <c r="C785" s="267"/>
      <c r="E785" s="267"/>
      <c r="F785" s="283"/>
    </row>
    <row r="786" spans="1:6" ht="16.5">
      <c r="A786" s="286"/>
      <c r="B786" s="19"/>
      <c r="C786" s="267"/>
      <c r="E786" s="267"/>
      <c r="F786" s="283"/>
    </row>
    <row r="787" spans="1:6" ht="16.5">
      <c r="A787" s="286"/>
      <c r="B787" s="19"/>
      <c r="C787" s="267"/>
      <c r="E787" s="267"/>
      <c r="F787" s="283"/>
    </row>
    <row r="788" spans="1:6" ht="16.5">
      <c r="A788" s="286"/>
      <c r="B788" s="19"/>
      <c r="C788" s="267"/>
      <c r="E788" s="267"/>
      <c r="F788" s="283"/>
    </row>
    <row r="789" spans="1:6" ht="16.5">
      <c r="A789" s="286"/>
      <c r="B789" s="19"/>
      <c r="C789" s="267"/>
      <c r="E789" s="267"/>
      <c r="F789" s="283"/>
    </row>
    <row r="790" spans="1:6" ht="16.5">
      <c r="A790" s="286"/>
      <c r="B790" s="19"/>
      <c r="C790" s="267"/>
      <c r="E790" s="267"/>
      <c r="F790" s="283"/>
    </row>
    <row r="791" spans="1:6" ht="16.5">
      <c r="A791" s="286"/>
      <c r="B791" s="19"/>
      <c r="C791" s="267"/>
      <c r="E791" s="267"/>
      <c r="F791" s="283"/>
    </row>
    <row r="792" spans="1:6" ht="16.5">
      <c r="A792" s="286"/>
      <c r="B792" s="19"/>
      <c r="C792" s="267"/>
      <c r="E792" s="267"/>
      <c r="F792" s="283"/>
    </row>
    <row r="793" spans="1:6" ht="16.5">
      <c r="A793" s="286"/>
      <c r="B793" s="19"/>
      <c r="C793" s="267"/>
      <c r="E793" s="267"/>
      <c r="F793" s="283"/>
    </row>
    <row r="794" spans="1:6" ht="16.5">
      <c r="A794" s="286"/>
      <c r="B794" s="19"/>
      <c r="C794" s="267"/>
      <c r="E794" s="267"/>
      <c r="F794" s="283"/>
    </row>
    <row r="795" spans="1:6" ht="16.5">
      <c r="A795" s="286"/>
      <c r="B795" s="19"/>
      <c r="C795" s="267"/>
      <c r="E795" s="267"/>
      <c r="F795" s="283"/>
    </row>
    <row r="796" spans="1:6" ht="16.5">
      <c r="A796" s="286"/>
      <c r="B796" s="19"/>
      <c r="C796" s="267"/>
      <c r="E796" s="267"/>
      <c r="F796" s="283"/>
    </row>
    <row r="797" spans="1:6" ht="16.5">
      <c r="A797" s="286"/>
      <c r="B797" s="19"/>
      <c r="C797" s="267"/>
      <c r="E797" s="267"/>
      <c r="F797" s="283"/>
    </row>
    <row r="798" spans="1:6" ht="16.5">
      <c r="A798" s="286"/>
      <c r="B798" s="19"/>
      <c r="C798" s="267"/>
      <c r="E798" s="267"/>
      <c r="F798" s="283"/>
    </row>
    <row r="799" spans="1:6" ht="16.5">
      <c r="A799" s="286"/>
      <c r="B799" s="19"/>
      <c r="C799" s="267"/>
      <c r="E799" s="267"/>
      <c r="F799" s="283"/>
    </row>
    <row r="800" spans="1:6" ht="16.5">
      <c r="A800" s="286"/>
      <c r="B800" s="19"/>
      <c r="C800" s="267"/>
      <c r="E800" s="267"/>
      <c r="F800" s="283"/>
    </row>
    <row r="801" spans="1:6" ht="16.5">
      <c r="A801" s="286"/>
      <c r="B801" s="19"/>
      <c r="C801" s="267"/>
      <c r="E801" s="267"/>
      <c r="F801" s="283"/>
    </row>
    <row r="802" spans="1:6" ht="16.5">
      <c r="A802" s="286"/>
      <c r="B802" s="19"/>
      <c r="C802" s="267"/>
      <c r="E802" s="267"/>
      <c r="F802" s="283"/>
    </row>
    <row r="803" spans="1:6" ht="16.5">
      <c r="A803" s="286"/>
      <c r="B803" s="19"/>
      <c r="C803" s="267"/>
      <c r="E803" s="267"/>
      <c r="F803" s="283"/>
    </row>
    <row r="804" spans="1:6" ht="16.5">
      <c r="A804" s="286"/>
      <c r="B804" s="19"/>
      <c r="C804" s="267"/>
      <c r="E804" s="267"/>
      <c r="F804" s="283"/>
    </row>
    <row r="805" spans="1:6" ht="16.5">
      <c r="A805" s="286"/>
      <c r="B805" s="19"/>
      <c r="C805" s="267"/>
      <c r="E805" s="267"/>
      <c r="F805" s="283"/>
    </row>
    <row r="806" spans="1:6" ht="16.5">
      <c r="A806" s="286"/>
      <c r="B806" s="19"/>
      <c r="C806" s="267"/>
      <c r="E806" s="267"/>
      <c r="F806" s="283"/>
    </row>
    <row r="807" spans="1:6" ht="16.5">
      <c r="A807" s="286"/>
      <c r="B807" s="19"/>
      <c r="C807" s="267"/>
      <c r="E807" s="267"/>
      <c r="F807" s="283"/>
    </row>
    <row r="808" spans="1:6" ht="16.5">
      <c r="A808" s="286"/>
      <c r="B808" s="19"/>
      <c r="C808" s="267"/>
      <c r="E808" s="267"/>
      <c r="F808" s="283"/>
    </row>
    <row r="809" spans="1:6" ht="16.5">
      <c r="A809" s="286"/>
      <c r="B809" s="19"/>
      <c r="C809" s="267"/>
      <c r="E809" s="267"/>
      <c r="F809" s="283"/>
    </row>
    <row r="810" spans="1:6" ht="16.5">
      <c r="A810" s="286"/>
      <c r="B810" s="19"/>
      <c r="C810" s="267"/>
      <c r="E810" s="267"/>
      <c r="F810" s="283"/>
    </row>
    <row r="811" spans="1:6" ht="16.5">
      <c r="A811" s="286"/>
      <c r="B811" s="19"/>
      <c r="C811" s="267"/>
      <c r="E811" s="267"/>
      <c r="F811" s="283"/>
    </row>
    <row r="812" spans="1:6" ht="16.5">
      <c r="A812" s="286"/>
      <c r="B812" s="19"/>
      <c r="C812" s="267"/>
      <c r="E812" s="267"/>
      <c r="F812" s="283"/>
    </row>
    <row r="813" spans="1:6" ht="16.5">
      <c r="A813" s="286"/>
      <c r="B813" s="19"/>
      <c r="C813" s="267"/>
      <c r="E813" s="267"/>
      <c r="F813" s="283"/>
    </row>
    <row r="814" spans="1:6" ht="16.5">
      <c r="A814" s="286"/>
      <c r="B814" s="19"/>
      <c r="C814" s="267"/>
      <c r="E814" s="267"/>
      <c r="F814" s="283"/>
    </row>
    <row r="815" spans="1:6" ht="16.5">
      <c r="A815" s="286"/>
      <c r="B815" s="19"/>
      <c r="C815" s="267"/>
      <c r="E815" s="267"/>
      <c r="F815" s="283"/>
    </row>
    <row r="816" spans="1:6" ht="16.5">
      <c r="A816" s="286"/>
      <c r="B816" s="19"/>
      <c r="C816" s="267"/>
      <c r="E816" s="267"/>
      <c r="F816" s="283"/>
    </row>
    <row r="817" spans="1:6" ht="16.5">
      <c r="A817" s="286"/>
      <c r="B817" s="19"/>
      <c r="C817" s="267"/>
      <c r="E817" s="267"/>
      <c r="F817" s="283"/>
    </row>
    <row r="818" spans="1:6" ht="16.5">
      <c r="A818" s="286"/>
      <c r="B818" s="19"/>
      <c r="C818" s="267"/>
      <c r="E818" s="267"/>
      <c r="F818" s="283"/>
    </row>
    <row r="819" spans="1:6" ht="16.5">
      <c r="A819" s="286"/>
      <c r="B819" s="19"/>
      <c r="C819" s="267"/>
      <c r="E819" s="267"/>
      <c r="F819" s="283"/>
    </row>
    <row r="820" spans="1:6" ht="16.5">
      <c r="A820" s="286"/>
      <c r="B820" s="19"/>
      <c r="C820" s="267"/>
      <c r="E820" s="267"/>
      <c r="F820" s="283"/>
    </row>
    <row r="821" spans="1:6" ht="16.5">
      <c r="A821" s="286"/>
      <c r="B821" s="19"/>
      <c r="C821" s="267"/>
      <c r="E821" s="267"/>
      <c r="F821" s="283"/>
    </row>
    <row r="822" spans="1:6" ht="16.5">
      <c r="A822" s="286"/>
      <c r="B822" s="19"/>
      <c r="C822" s="267"/>
      <c r="E822" s="267"/>
      <c r="F822" s="283"/>
    </row>
    <row r="823" spans="1:6" ht="16.5">
      <c r="A823" s="286"/>
      <c r="B823" s="19"/>
      <c r="C823" s="267"/>
      <c r="E823" s="267"/>
      <c r="F823" s="283"/>
    </row>
    <row r="824" spans="1:6" ht="16.5">
      <c r="A824" s="286"/>
      <c r="B824" s="19"/>
      <c r="C824" s="267"/>
      <c r="E824" s="267"/>
      <c r="F824" s="283"/>
    </row>
    <row r="825" spans="1:6" ht="16.5">
      <c r="A825" s="286"/>
      <c r="B825" s="19"/>
      <c r="C825" s="267"/>
      <c r="E825" s="267"/>
      <c r="F825" s="283"/>
    </row>
    <row r="826" spans="1:6" ht="16.5">
      <c r="A826" s="286"/>
      <c r="B826" s="19"/>
      <c r="C826" s="267"/>
      <c r="E826" s="267"/>
      <c r="F826" s="283"/>
    </row>
    <row r="827" spans="1:6" ht="16.5">
      <c r="A827" s="286"/>
      <c r="B827" s="19"/>
      <c r="C827" s="267"/>
      <c r="E827" s="267"/>
      <c r="F827" s="283"/>
    </row>
    <row r="828" spans="1:6" ht="16.5">
      <c r="A828" s="286"/>
      <c r="B828" s="19"/>
      <c r="C828" s="267"/>
      <c r="E828" s="267"/>
      <c r="F828" s="283"/>
    </row>
    <row r="829" spans="1:6" ht="16.5">
      <c r="A829" s="286"/>
      <c r="B829" s="19"/>
      <c r="C829" s="267"/>
      <c r="E829" s="267"/>
      <c r="F829" s="283"/>
    </row>
    <row r="830" spans="1:6" ht="16.5">
      <c r="A830" s="286"/>
      <c r="B830" s="19"/>
      <c r="C830" s="267"/>
      <c r="E830" s="267"/>
      <c r="F830" s="283"/>
    </row>
    <row r="831" spans="1:6" ht="16.5">
      <c r="A831" s="286"/>
      <c r="B831" s="19"/>
      <c r="C831" s="267"/>
      <c r="E831" s="267"/>
      <c r="F831" s="283"/>
    </row>
    <row r="832" spans="1:6" ht="16.5">
      <c r="A832" s="286"/>
      <c r="B832" s="19"/>
      <c r="C832" s="267"/>
      <c r="E832" s="267"/>
      <c r="F832" s="283"/>
    </row>
    <row r="833" spans="1:6" ht="16.5">
      <c r="A833" s="286"/>
      <c r="B833" s="19"/>
      <c r="C833" s="267"/>
      <c r="E833" s="267"/>
      <c r="F833" s="283"/>
    </row>
    <row r="834" spans="1:6" ht="16.5">
      <c r="A834" s="286"/>
      <c r="B834" s="19"/>
      <c r="C834" s="267"/>
      <c r="E834" s="267"/>
      <c r="F834" s="283"/>
    </row>
    <row r="835" spans="1:6" ht="16.5">
      <c r="A835" s="286"/>
      <c r="B835" s="19"/>
      <c r="C835" s="267"/>
      <c r="E835" s="267"/>
      <c r="F835" s="283"/>
    </row>
    <row r="836" spans="1:6" ht="16.5">
      <c r="A836" s="286"/>
      <c r="B836" s="19"/>
      <c r="C836" s="267"/>
      <c r="E836" s="267"/>
      <c r="F836" s="283"/>
    </row>
    <row r="837" spans="1:6" ht="16.5">
      <c r="A837" s="286"/>
      <c r="B837" s="19"/>
      <c r="C837" s="267"/>
      <c r="E837" s="267"/>
      <c r="F837" s="283"/>
    </row>
    <row r="838" spans="1:6" ht="16.5">
      <c r="A838" s="286"/>
      <c r="B838" s="19"/>
      <c r="C838" s="267"/>
      <c r="E838" s="267"/>
      <c r="F838" s="283"/>
    </row>
    <row r="839" spans="1:6" ht="16.5">
      <c r="B839" s="19"/>
      <c r="C839" s="267"/>
      <c r="E839" s="267"/>
      <c r="F839" s="283"/>
    </row>
    <row r="840" spans="1:6" ht="16.5">
      <c r="B840" s="19"/>
      <c r="C840" s="267"/>
      <c r="E840" s="267"/>
      <c r="F840" s="283"/>
    </row>
    <row r="841" spans="1:6" ht="16.5">
      <c r="B841" s="19"/>
      <c r="C841" s="267"/>
      <c r="E841" s="267"/>
      <c r="F841" s="283"/>
    </row>
    <row r="842" spans="1:6" ht="16.5">
      <c r="B842" s="19"/>
      <c r="C842" s="267"/>
      <c r="E842" s="267"/>
      <c r="F842" s="283"/>
    </row>
    <row r="843" spans="1:6" ht="16.5">
      <c r="B843" s="19"/>
      <c r="C843" s="267"/>
      <c r="E843" s="267"/>
      <c r="F843" s="283"/>
    </row>
    <row r="844" spans="1:6" ht="16.5">
      <c r="B844" s="19"/>
      <c r="C844" s="267"/>
      <c r="E844" s="267"/>
      <c r="F844" s="283"/>
    </row>
    <row r="845" spans="1:6" ht="16.5">
      <c r="B845" s="19"/>
      <c r="C845" s="267"/>
      <c r="E845" s="267"/>
      <c r="F845" s="283"/>
    </row>
    <row r="846" spans="1:6" ht="16.5">
      <c r="B846" s="19"/>
      <c r="C846" s="267"/>
      <c r="E846" s="267"/>
      <c r="F846" s="283"/>
    </row>
    <row r="847" spans="1:6" ht="16.5">
      <c r="B847" s="19"/>
      <c r="C847" s="267"/>
      <c r="E847" s="267"/>
      <c r="F847" s="283"/>
    </row>
    <row r="848" spans="1:6" ht="16.5">
      <c r="B848" s="19"/>
      <c r="C848" s="267"/>
      <c r="E848" s="267"/>
      <c r="F848" s="283"/>
    </row>
    <row r="849" spans="2:6" ht="16.5">
      <c r="B849" s="19"/>
      <c r="C849" s="267"/>
      <c r="E849" s="267"/>
      <c r="F849" s="283"/>
    </row>
    <row r="850" spans="2:6" ht="16.5">
      <c r="B850" s="19"/>
      <c r="C850" s="267"/>
      <c r="E850" s="267"/>
      <c r="F850" s="283"/>
    </row>
    <row r="851" spans="2:6" ht="16.5">
      <c r="B851" s="19"/>
      <c r="C851" s="267"/>
      <c r="E851" s="267"/>
      <c r="F851" s="283"/>
    </row>
    <row r="852" spans="2:6" ht="16.5">
      <c r="B852" s="19"/>
      <c r="C852" s="267"/>
      <c r="E852" s="267"/>
      <c r="F852" s="283"/>
    </row>
    <row r="853" spans="2:6" ht="16.5">
      <c r="B853" s="19"/>
      <c r="C853" s="267"/>
      <c r="E853" s="267"/>
      <c r="F853" s="283"/>
    </row>
    <row r="854" spans="2:6" ht="16.5">
      <c r="B854" s="19"/>
      <c r="C854" s="267"/>
      <c r="E854" s="267"/>
      <c r="F854" s="283"/>
    </row>
    <row r="855" spans="2:6" ht="16.5">
      <c r="B855" s="19"/>
      <c r="C855" s="267"/>
      <c r="E855" s="267"/>
      <c r="F855" s="283"/>
    </row>
    <row r="856" spans="2:6" ht="16.5">
      <c r="B856" s="19"/>
      <c r="C856" s="267"/>
      <c r="E856" s="267"/>
      <c r="F856" s="283"/>
    </row>
    <row r="857" spans="2:6" ht="16.5">
      <c r="B857" s="19"/>
      <c r="C857" s="267"/>
      <c r="E857" s="267"/>
      <c r="F857" s="283"/>
    </row>
    <row r="858" spans="2:6" ht="16.5">
      <c r="B858" s="19"/>
      <c r="C858" s="267"/>
      <c r="E858" s="267"/>
      <c r="F858" s="283"/>
    </row>
    <row r="859" spans="2:6" ht="16.5">
      <c r="B859" s="19"/>
      <c r="C859" s="267"/>
      <c r="E859" s="267"/>
      <c r="F859" s="283"/>
    </row>
    <row r="860" spans="2:6" ht="16.5">
      <c r="B860" s="19"/>
      <c r="C860" s="267"/>
      <c r="E860" s="267"/>
      <c r="F860" s="283"/>
    </row>
    <row r="861" spans="2:6" ht="16.5">
      <c r="B861" s="19"/>
      <c r="C861" s="267"/>
      <c r="E861" s="267"/>
      <c r="F861" s="283"/>
    </row>
    <row r="862" spans="2:6" ht="16.5">
      <c r="B862" s="19"/>
      <c r="C862" s="267"/>
      <c r="E862" s="267"/>
      <c r="F862" s="283"/>
    </row>
    <row r="863" spans="2:6" ht="16.5">
      <c r="B863" s="19"/>
      <c r="C863" s="267"/>
      <c r="E863" s="267"/>
      <c r="F863" s="283"/>
    </row>
    <row r="864" spans="2:6" ht="16.5">
      <c r="B864" s="19"/>
      <c r="C864" s="267"/>
      <c r="E864" s="267"/>
      <c r="F864" s="283"/>
    </row>
    <row r="865" spans="2:6" ht="16.5">
      <c r="B865" s="19"/>
      <c r="C865" s="267"/>
      <c r="E865" s="267"/>
      <c r="F865" s="283"/>
    </row>
    <row r="866" spans="2:6" ht="16.5">
      <c r="B866" s="19"/>
      <c r="C866" s="267"/>
      <c r="E866" s="267"/>
      <c r="F866" s="283"/>
    </row>
    <row r="867" spans="2:6" ht="16.5">
      <c r="B867" s="19"/>
      <c r="C867" s="267"/>
      <c r="E867" s="267"/>
      <c r="F867" s="283"/>
    </row>
    <row r="868" spans="2:6" ht="16.5">
      <c r="B868" s="19"/>
      <c r="C868" s="267"/>
      <c r="E868" s="267"/>
      <c r="F868" s="283"/>
    </row>
    <row r="869" spans="2:6" ht="16.5">
      <c r="B869" s="19"/>
      <c r="C869" s="267"/>
      <c r="E869" s="267"/>
      <c r="F869" s="283"/>
    </row>
    <row r="870" spans="2:6" ht="16.5">
      <c r="B870" s="19"/>
      <c r="C870" s="267"/>
      <c r="E870" s="267"/>
      <c r="F870" s="283"/>
    </row>
    <row r="871" spans="2:6" ht="16.5">
      <c r="B871" s="19"/>
      <c r="C871" s="267"/>
      <c r="E871" s="267"/>
      <c r="F871" s="283"/>
    </row>
    <row r="872" spans="2:6" ht="16.5">
      <c r="B872" s="19"/>
      <c r="C872" s="267"/>
      <c r="E872" s="267"/>
      <c r="F872" s="283"/>
    </row>
    <row r="873" spans="2:6" ht="16.5">
      <c r="B873" s="19"/>
      <c r="C873" s="267"/>
      <c r="E873" s="267"/>
      <c r="F873" s="283"/>
    </row>
    <row r="874" spans="2:6" ht="16.5">
      <c r="B874" s="19"/>
      <c r="C874" s="267"/>
      <c r="E874" s="267"/>
      <c r="F874" s="283"/>
    </row>
    <row r="875" spans="2:6" ht="16.5">
      <c r="B875" s="19"/>
      <c r="C875" s="267"/>
      <c r="E875" s="267"/>
      <c r="F875" s="283"/>
    </row>
    <row r="876" spans="2:6" ht="16.5">
      <c r="B876" s="19"/>
      <c r="C876" s="267"/>
      <c r="E876" s="267"/>
      <c r="F876" s="283"/>
    </row>
    <row r="877" spans="2:6" ht="16.5">
      <c r="B877" s="19"/>
      <c r="C877" s="267"/>
      <c r="E877" s="267"/>
      <c r="F877" s="283"/>
    </row>
    <row r="878" spans="2:6" ht="16.5">
      <c r="B878" s="19"/>
      <c r="C878" s="267"/>
      <c r="E878" s="267"/>
      <c r="F878" s="283"/>
    </row>
    <row r="879" spans="2:6" ht="16.5">
      <c r="B879" s="19"/>
      <c r="C879" s="267"/>
      <c r="E879" s="267"/>
      <c r="F879" s="283"/>
    </row>
    <row r="880" spans="2:6" ht="16.5">
      <c r="B880" s="19"/>
      <c r="C880" s="267"/>
      <c r="E880" s="267"/>
      <c r="F880" s="283"/>
    </row>
    <row r="881" spans="1:6" ht="16.5">
      <c r="B881" s="19"/>
      <c r="C881" s="267"/>
      <c r="E881" s="267"/>
      <c r="F881" s="283"/>
    </row>
    <row r="882" spans="1:6" ht="16.5">
      <c r="B882" s="19"/>
      <c r="C882" s="267"/>
      <c r="E882" s="267"/>
      <c r="F882" s="283"/>
    </row>
    <row r="883" spans="1:6" ht="16.5">
      <c r="B883" s="19"/>
      <c r="C883" s="267"/>
      <c r="E883" s="267"/>
      <c r="F883" s="283"/>
    </row>
    <row r="884" spans="1:6" ht="16.5">
      <c r="B884" s="19"/>
      <c r="C884" s="267"/>
      <c r="E884" s="267"/>
      <c r="F884" s="283"/>
    </row>
    <row r="885" spans="1:6" ht="16.5">
      <c r="B885" s="19"/>
      <c r="C885" s="267"/>
      <c r="E885" s="267"/>
      <c r="F885" s="283"/>
    </row>
    <row r="886" spans="1:6" ht="16.5">
      <c r="A886" s="298" t="s">
        <v>3332</v>
      </c>
      <c r="B886" s="19" t="s">
        <v>313</v>
      </c>
      <c r="C886" s="267">
        <v>44316</v>
      </c>
      <c r="E886" s="267"/>
      <c r="F886" s="283"/>
    </row>
    <row r="887" spans="1:6" ht="16.5">
      <c r="A887" s="298" t="s">
        <v>3330</v>
      </c>
      <c r="B887" s="19" t="s">
        <v>313</v>
      </c>
      <c r="C887" s="267">
        <v>44318</v>
      </c>
      <c r="E887" s="267"/>
      <c r="F887" s="283"/>
    </row>
    <row r="888" spans="1:6" ht="16.5">
      <c r="A888" s="298" t="s">
        <v>2926</v>
      </c>
      <c r="B888" s="19" t="s">
        <v>313</v>
      </c>
      <c r="C888" s="267">
        <v>43963</v>
      </c>
      <c r="E888" s="267"/>
      <c r="F888" s="283"/>
    </row>
    <row r="889" spans="1:6" ht="16.5">
      <c r="A889" s="298" t="s">
        <v>2924</v>
      </c>
      <c r="B889" s="19" t="s">
        <v>313</v>
      </c>
      <c r="C889" s="267">
        <v>43988</v>
      </c>
      <c r="E889" s="267"/>
      <c r="F889" s="283"/>
    </row>
    <row r="890" spans="1:6" ht="16.5">
      <c r="A890" s="298" t="s">
        <v>2922</v>
      </c>
      <c r="B890" s="19" t="s">
        <v>313</v>
      </c>
      <c r="C890" s="267">
        <v>44045</v>
      </c>
      <c r="E890" s="267"/>
      <c r="F890" s="283"/>
    </row>
    <row r="891" spans="1:6" ht="28.5">
      <c r="A891" s="298" t="s">
        <v>2901</v>
      </c>
      <c r="B891" s="19" t="s">
        <v>313</v>
      </c>
      <c r="C891" s="267">
        <v>44046</v>
      </c>
      <c r="E891" s="267"/>
      <c r="F891" s="283"/>
    </row>
    <row r="892" spans="1:6" ht="16.5">
      <c r="A892" s="298" t="s">
        <v>2920</v>
      </c>
      <c r="B892" s="19" t="s">
        <v>313</v>
      </c>
      <c r="C892" s="267">
        <v>44047</v>
      </c>
      <c r="E892" s="267"/>
      <c r="F892" s="283"/>
    </row>
    <row r="893" spans="1:6" ht="16.5">
      <c r="A893" s="298" t="s">
        <v>2918</v>
      </c>
      <c r="B893" s="19" t="s">
        <v>313</v>
      </c>
      <c r="C893" s="267">
        <v>44047</v>
      </c>
      <c r="E893" s="267"/>
      <c r="F893" s="283"/>
    </row>
    <row r="894" spans="1:6" ht="16.5">
      <c r="A894" s="298" t="s">
        <v>2916</v>
      </c>
      <c r="B894" s="19" t="s">
        <v>313</v>
      </c>
      <c r="C894" s="267">
        <v>44047</v>
      </c>
      <c r="E894" s="267"/>
      <c r="F894" s="283"/>
    </row>
    <row r="895" spans="1:6" ht="16.5">
      <c r="A895" s="298" t="s">
        <v>2914</v>
      </c>
      <c r="B895" s="19" t="s">
        <v>313</v>
      </c>
      <c r="C895" s="267">
        <v>44047</v>
      </c>
      <c r="E895" s="267"/>
      <c r="F895" s="283"/>
    </row>
    <row r="896" spans="1:6" ht="16.5">
      <c r="A896" s="298" t="s">
        <v>2912</v>
      </c>
      <c r="B896" s="19" t="s">
        <v>313</v>
      </c>
      <c r="C896" s="267">
        <v>44047</v>
      </c>
      <c r="E896" s="267"/>
      <c r="F896" s="283"/>
    </row>
    <row r="897" spans="1:6" ht="16.5">
      <c r="A897" s="298" t="s">
        <v>2815</v>
      </c>
      <c r="B897" s="19" t="s">
        <v>313</v>
      </c>
      <c r="C897" s="267">
        <v>44049</v>
      </c>
      <c r="E897" s="267"/>
      <c r="F897" s="283"/>
    </row>
    <row r="898" spans="1:6" ht="16.5">
      <c r="A898" s="298" t="s">
        <v>2552</v>
      </c>
      <c r="B898" s="19" t="s">
        <v>313</v>
      </c>
      <c r="C898" s="267">
        <v>44049</v>
      </c>
      <c r="E898" s="267"/>
      <c r="F898" s="283"/>
    </row>
    <row r="899" spans="1:6" ht="16.5">
      <c r="A899" s="298" t="s">
        <v>2652</v>
      </c>
      <c r="B899" s="19" t="s">
        <v>313</v>
      </c>
      <c r="C899" s="267">
        <v>44050</v>
      </c>
      <c r="E899" s="267"/>
      <c r="F899" s="283"/>
    </row>
    <row r="900" spans="1:6" ht="28.5">
      <c r="A900" s="298" t="s">
        <v>2909</v>
      </c>
      <c r="B900" s="19" t="s">
        <v>313</v>
      </c>
      <c r="C900" s="267">
        <v>44051</v>
      </c>
      <c r="E900" s="267"/>
      <c r="F900" s="283"/>
    </row>
    <row r="901" spans="1:6" ht="16.5">
      <c r="A901" s="298" t="s">
        <v>2652</v>
      </c>
      <c r="B901" s="19" t="s">
        <v>313</v>
      </c>
      <c r="C901" s="267">
        <v>44051</v>
      </c>
      <c r="E901" s="267"/>
      <c r="F901" s="283"/>
    </row>
    <row r="902" spans="1:6" ht="16.5">
      <c r="A902" s="298" t="s">
        <v>2907</v>
      </c>
      <c r="B902" s="19" t="s">
        <v>313</v>
      </c>
      <c r="C902" s="267">
        <v>44051</v>
      </c>
      <c r="E902" s="267"/>
      <c r="F902" s="283"/>
    </row>
    <row r="903" spans="1:6" ht="16.5">
      <c r="A903" s="298" t="s">
        <v>2905</v>
      </c>
      <c r="B903" s="19" t="s">
        <v>313</v>
      </c>
      <c r="C903" s="267">
        <v>44066</v>
      </c>
      <c r="E903" s="267"/>
      <c r="F903" s="283"/>
    </row>
    <row r="904" spans="1:6" ht="16.5">
      <c r="A904" s="298" t="s">
        <v>2903</v>
      </c>
      <c r="B904" s="19" t="s">
        <v>313</v>
      </c>
      <c r="C904" s="267">
        <v>44072</v>
      </c>
      <c r="E904" s="267"/>
      <c r="F904" s="283"/>
    </row>
    <row r="905" spans="1:6" ht="28.5">
      <c r="A905" s="298" t="s">
        <v>2901</v>
      </c>
      <c r="B905" s="19" t="s">
        <v>313</v>
      </c>
      <c r="C905" s="267">
        <v>44072</v>
      </c>
      <c r="E905" s="267"/>
      <c r="F905" s="283"/>
    </row>
    <row r="906" spans="1:6" ht="16.5">
      <c r="A906" s="298" t="s">
        <v>2619</v>
      </c>
      <c r="B906" s="19" t="s">
        <v>313</v>
      </c>
      <c r="C906" s="267">
        <v>44097</v>
      </c>
      <c r="E906" s="267"/>
      <c r="F906" s="283"/>
    </row>
    <row r="907" spans="1:6" ht="16.5">
      <c r="A907" s="298" t="s">
        <v>2899</v>
      </c>
      <c r="B907" s="19" t="s">
        <v>313</v>
      </c>
      <c r="C907" s="267">
        <v>44097</v>
      </c>
      <c r="E907" s="267"/>
      <c r="F907" s="283"/>
    </row>
    <row r="908" spans="1:6" ht="16.5">
      <c r="A908" s="298" t="s">
        <v>2897</v>
      </c>
      <c r="B908" s="19" t="s">
        <v>313</v>
      </c>
      <c r="C908" s="267">
        <v>44097</v>
      </c>
      <c r="E908" s="267"/>
      <c r="F908" s="283"/>
    </row>
    <row r="909" spans="1:6" ht="16.5">
      <c r="A909" s="298" t="s">
        <v>2895</v>
      </c>
      <c r="B909" s="19" t="s">
        <v>313</v>
      </c>
      <c r="C909" s="267">
        <v>44097</v>
      </c>
      <c r="E909" s="267"/>
      <c r="F909" s="283"/>
    </row>
    <row r="910" spans="1:6" ht="16.5">
      <c r="A910" s="298" t="s">
        <v>2619</v>
      </c>
      <c r="B910" s="19" t="s">
        <v>313</v>
      </c>
      <c r="C910" s="267">
        <v>44097</v>
      </c>
      <c r="E910" s="267"/>
      <c r="F910" s="283"/>
    </row>
    <row r="911" spans="1:6" ht="16.5">
      <c r="A911" s="298" t="s">
        <v>2652</v>
      </c>
      <c r="B911" s="19" t="s">
        <v>313</v>
      </c>
      <c r="C911" s="267">
        <v>44097</v>
      </c>
      <c r="E911" s="267"/>
      <c r="F911" s="283"/>
    </row>
    <row r="912" spans="1:6" ht="16.5">
      <c r="A912" s="298" t="s">
        <v>2891</v>
      </c>
      <c r="B912" s="19" t="s">
        <v>313</v>
      </c>
      <c r="C912" s="267">
        <v>44097</v>
      </c>
      <c r="E912" s="267"/>
      <c r="F912" s="283"/>
    </row>
    <row r="913" spans="1:6" ht="16.5">
      <c r="A913" s="298" t="s">
        <v>2889</v>
      </c>
      <c r="B913" s="19" t="s">
        <v>313</v>
      </c>
      <c r="C913" s="267">
        <v>44097</v>
      </c>
      <c r="E913" s="267"/>
      <c r="F913" s="283"/>
    </row>
    <row r="914" spans="1:6" ht="16.5">
      <c r="A914" s="298" t="s">
        <v>2641</v>
      </c>
      <c r="B914" s="19" t="s">
        <v>313</v>
      </c>
      <c r="C914" s="267">
        <v>44098</v>
      </c>
      <c r="E914" s="267"/>
      <c r="F914" s="283"/>
    </row>
    <row r="915" spans="1:6" ht="16.5">
      <c r="A915" s="298" t="s">
        <v>2603</v>
      </c>
      <c r="B915" s="19" t="s">
        <v>313</v>
      </c>
      <c r="C915" s="267">
        <v>44099</v>
      </c>
      <c r="E915" s="267"/>
      <c r="F915" s="283"/>
    </row>
    <row r="916" spans="1:6" ht="16.5">
      <c r="A916" s="298" t="s">
        <v>2886</v>
      </c>
      <c r="B916" s="19" t="s">
        <v>313</v>
      </c>
      <c r="C916" s="267">
        <v>44099</v>
      </c>
      <c r="E916" s="267"/>
      <c r="F916" s="283"/>
    </row>
    <row r="917" spans="1:6" ht="16.5">
      <c r="A917" s="298" t="s">
        <v>2666</v>
      </c>
      <c r="B917" s="19" t="s">
        <v>313</v>
      </c>
      <c r="C917" s="267">
        <v>44099</v>
      </c>
      <c r="E917" s="267"/>
      <c r="F917" s="283"/>
    </row>
    <row r="918" spans="1:6" ht="16.5">
      <c r="A918" s="298" t="s">
        <v>2719</v>
      </c>
      <c r="B918" s="19" t="s">
        <v>313</v>
      </c>
      <c r="C918" s="267">
        <v>44099</v>
      </c>
      <c r="E918" s="267"/>
      <c r="F918" s="283"/>
    </row>
    <row r="919" spans="1:6" ht="16.5">
      <c r="A919" s="298" t="s">
        <v>2850</v>
      </c>
      <c r="B919" s="19" t="s">
        <v>313</v>
      </c>
      <c r="C919" s="267">
        <v>44101</v>
      </c>
      <c r="E919" s="267"/>
      <c r="F919" s="283"/>
    </row>
    <row r="920" spans="1:6" ht="16.5">
      <c r="A920" s="298" t="s">
        <v>2883</v>
      </c>
      <c r="B920" s="19" t="s">
        <v>313</v>
      </c>
      <c r="C920" s="267">
        <v>44108</v>
      </c>
      <c r="E920" s="267"/>
      <c r="F920" s="283"/>
    </row>
    <row r="921" spans="1:6" ht="16.5">
      <c r="A921" s="298" t="s">
        <v>2765</v>
      </c>
      <c r="B921" s="19" t="s">
        <v>313</v>
      </c>
      <c r="C921" s="267">
        <v>44108</v>
      </c>
      <c r="E921" s="267"/>
      <c r="F921" s="283"/>
    </row>
    <row r="922" spans="1:6" ht="16.5">
      <c r="A922" s="298" t="s">
        <v>2881</v>
      </c>
      <c r="B922" s="19" t="s">
        <v>313</v>
      </c>
      <c r="C922" s="267">
        <v>44108</v>
      </c>
      <c r="E922" s="267"/>
      <c r="F922" s="283"/>
    </row>
    <row r="923" spans="1:6" ht="16.5">
      <c r="A923" s="298" t="s">
        <v>2874</v>
      </c>
      <c r="B923" s="19" t="s">
        <v>313</v>
      </c>
      <c r="C923" s="267">
        <v>44109</v>
      </c>
      <c r="E923" s="267"/>
      <c r="F923" s="283"/>
    </row>
    <row r="924" spans="1:6" ht="16.5">
      <c r="A924" s="298" t="s">
        <v>2879</v>
      </c>
      <c r="B924" s="19" t="s">
        <v>313</v>
      </c>
      <c r="C924" s="267">
        <v>44111</v>
      </c>
      <c r="E924" s="267"/>
      <c r="F924" s="283"/>
    </row>
    <row r="925" spans="1:6" ht="16.5">
      <c r="A925" s="298" t="s">
        <v>2872</v>
      </c>
      <c r="B925" s="19" t="s">
        <v>313</v>
      </c>
      <c r="C925" s="267">
        <v>44113</v>
      </c>
      <c r="E925" s="267"/>
      <c r="F925" s="283"/>
    </row>
    <row r="926" spans="1:6" ht="16.5">
      <c r="A926" s="298" t="s">
        <v>2876</v>
      </c>
      <c r="B926" s="19" t="s">
        <v>313</v>
      </c>
      <c r="C926" s="267">
        <v>44113</v>
      </c>
      <c r="E926" s="267"/>
      <c r="F926" s="283"/>
    </row>
    <row r="927" spans="1:6" ht="16.5">
      <c r="A927" s="298" t="s">
        <v>2874</v>
      </c>
      <c r="B927" s="19" t="s">
        <v>313</v>
      </c>
      <c r="C927" s="267">
        <v>44113</v>
      </c>
      <c r="E927" s="267"/>
      <c r="F927" s="283"/>
    </row>
    <row r="928" spans="1:6" ht="16.5">
      <c r="A928" s="298" t="s">
        <v>2754</v>
      </c>
      <c r="B928" s="19" t="s">
        <v>313</v>
      </c>
      <c r="C928" s="267">
        <v>44113</v>
      </c>
      <c r="E928" s="267"/>
      <c r="F928" s="283"/>
    </row>
    <row r="929" spans="1:6" ht="16.5">
      <c r="A929" s="298" t="s">
        <v>2872</v>
      </c>
      <c r="B929" s="19" t="s">
        <v>313</v>
      </c>
      <c r="C929" s="267">
        <v>44113</v>
      </c>
      <c r="E929" s="267"/>
      <c r="F929" s="283"/>
    </row>
    <row r="930" spans="1:6" ht="16.5">
      <c r="A930" s="298" t="s">
        <v>2870</v>
      </c>
      <c r="B930" s="19" t="s">
        <v>313</v>
      </c>
      <c r="C930" s="267">
        <v>44113</v>
      </c>
      <c r="E930" s="267"/>
      <c r="F930" s="283"/>
    </row>
    <row r="931" spans="1:6" ht="16.5">
      <c r="A931" s="298" t="s">
        <v>2868</v>
      </c>
      <c r="B931" s="19" t="s">
        <v>313</v>
      </c>
      <c r="C931" s="267">
        <v>44113</v>
      </c>
      <c r="E931" s="267"/>
      <c r="F931" s="283"/>
    </row>
    <row r="932" spans="1:6" ht="16.5">
      <c r="A932" s="298" t="s">
        <v>2866</v>
      </c>
      <c r="B932" s="19" t="s">
        <v>313</v>
      </c>
      <c r="C932" s="267">
        <v>44113</v>
      </c>
      <c r="E932" s="267"/>
      <c r="F932" s="283"/>
    </row>
    <row r="933" spans="1:6" ht="16.5">
      <c r="A933" s="298" t="s">
        <v>2864</v>
      </c>
      <c r="B933" s="19" t="s">
        <v>313</v>
      </c>
      <c r="C933" s="267">
        <v>44113</v>
      </c>
      <c r="E933" s="267"/>
      <c r="F933" s="283"/>
    </row>
    <row r="934" spans="1:6" ht="16.5">
      <c r="A934" s="298" t="s">
        <v>2846</v>
      </c>
      <c r="B934" s="19" t="s">
        <v>313</v>
      </c>
      <c r="C934" s="267">
        <v>44113</v>
      </c>
      <c r="E934" s="267"/>
      <c r="F934" s="283"/>
    </row>
    <row r="935" spans="1:6" ht="16.5">
      <c r="A935" s="298" t="s">
        <v>2711</v>
      </c>
      <c r="B935" s="19" t="s">
        <v>313</v>
      </c>
      <c r="C935" s="267">
        <v>44113</v>
      </c>
      <c r="E935" s="267"/>
      <c r="F935" s="283"/>
    </row>
    <row r="936" spans="1:6" ht="16.5">
      <c r="A936" s="298" t="s">
        <v>2861</v>
      </c>
      <c r="B936" s="19" t="s">
        <v>313</v>
      </c>
      <c r="C936" s="267">
        <v>44119</v>
      </c>
      <c r="E936" s="267"/>
      <c r="F936" s="283"/>
    </row>
    <row r="937" spans="1:6" ht="16.5">
      <c r="A937" s="298" t="s">
        <v>2854</v>
      </c>
      <c r="B937" s="19" t="s">
        <v>313</v>
      </c>
      <c r="C937" s="267">
        <v>44119</v>
      </c>
      <c r="E937" s="267"/>
      <c r="F937" s="283"/>
    </row>
    <row r="938" spans="1:6" ht="16.5">
      <c r="A938" s="298" t="s">
        <v>2786</v>
      </c>
      <c r="B938" s="19" t="s">
        <v>313</v>
      </c>
      <c r="C938" s="267">
        <v>44123</v>
      </c>
      <c r="E938" s="267"/>
      <c r="F938" s="283"/>
    </row>
    <row r="939" spans="1:6" ht="16.5">
      <c r="A939" s="298" t="s">
        <v>2786</v>
      </c>
      <c r="B939" s="19" t="s">
        <v>313</v>
      </c>
      <c r="C939" s="267">
        <v>44123</v>
      </c>
      <c r="E939" s="267"/>
      <c r="F939" s="283"/>
    </row>
    <row r="940" spans="1:6" ht="16.5">
      <c r="A940" s="298" t="s">
        <v>2619</v>
      </c>
      <c r="B940" s="19" t="s">
        <v>313</v>
      </c>
      <c r="C940" s="267">
        <v>44123</v>
      </c>
      <c r="E940" s="267"/>
      <c r="F940" s="283"/>
    </row>
    <row r="941" spans="1:6" ht="16.5">
      <c r="A941" s="298" t="s">
        <v>2857</v>
      </c>
      <c r="B941" s="19" t="s">
        <v>313</v>
      </c>
      <c r="C941" s="267">
        <v>44123</v>
      </c>
      <c r="E941" s="267"/>
      <c r="F941" s="283"/>
    </row>
    <row r="942" spans="1:6" ht="16.5">
      <c r="A942" s="298" t="s">
        <v>2852</v>
      </c>
      <c r="B942" s="19" t="s">
        <v>313</v>
      </c>
      <c r="C942" s="267">
        <v>44123</v>
      </c>
      <c r="E942" s="267"/>
      <c r="F942" s="283"/>
    </row>
    <row r="943" spans="1:6" ht="16.5">
      <c r="A943" s="298" t="s">
        <v>2854</v>
      </c>
      <c r="B943" s="19" t="s">
        <v>313</v>
      </c>
      <c r="C943" s="267">
        <v>44123</v>
      </c>
      <c r="E943" s="267"/>
      <c r="F943" s="283"/>
    </row>
    <row r="944" spans="1:6" ht="16.5">
      <c r="A944" s="298" t="s">
        <v>2852</v>
      </c>
      <c r="B944" s="19" t="s">
        <v>313</v>
      </c>
      <c r="C944" s="267">
        <v>44123</v>
      </c>
      <c r="E944" s="267"/>
      <c r="F944" s="283"/>
    </row>
    <row r="945" spans="1:6" ht="16.5">
      <c r="A945" s="298" t="s">
        <v>2850</v>
      </c>
      <c r="B945" s="19" t="s">
        <v>313</v>
      </c>
      <c r="C945" s="267">
        <v>44123</v>
      </c>
      <c r="E945" s="267"/>
      <c r="F945" s="283"/>
    </row>
    <row r="946" spans="1:6" ht="16.5">
      <c r="A946" s="298" t="s">
        <v>2846</v>
      </c>
      <c r="B946" s="19" t="s">
        <v>313</v>
      </c>
      <c r="C946" s="267">
        <v>44123</v>
      </c>
      <c r="E946" s="267"/>
      <c r="F946" s="283"/>
    </row>
    <row r="947" spans="1:6" ht="16.5">
      <c r="A947" s="298" t="s">
        <v>2786</v>
      </c>
      <c r="B947" s="19" t="s">
        <v>313</v>
      </c>
      <c r="C947" s="267">
        <v>44123</v>
      </c>
      <c r="E947" s="267"/>
      <c r="F947" s="283"/>
    </row>
    <row r="948" spans="1:6" ht="16.5">
      <c r="A948" s="298" t="s">
        <v>2846</v>
      </c>
      <c r="B948" s="19" t="s">
        <v>313</v>
      </c>
      <c r="C948" s="267">
        <v>44123</v>
      </c>
      <c r="E948" s="267"/>
      <c r="F948" s="283"/>
    </row>
    <row r="949" spans="1:6" ht="16.5">
      <c r="A949" s="298" t="s">
        <v>2844</v>
      </c>
      <c r="B949" s="19" t="s">
        <v>313</v>
      </c>
      <c r="C949" s="267">
        <v>44123</v>
      </c>
      <c r="E949" s="267"/>
      <c r="F949" s="283"/>
    </row>
    <row r="950" spans="1:6" ht="16.5">
      <c r="A950" s="298" t="s">
        <v>2842</v>
      </c>
      <c r="B950" s="19" t="s">
        <v>313</v>
      </c>
      <c r="C950" s="267">
        <v>44123</v>
      </c>
      <c r="E950" s="267"/>
      <c r="F950" s="283"/>
    </row>
    <row r="951" spans="1:6" ht="16.5">
      <c r="A951" s="298" t="s">
        <v>2840</v>
      </c>
      <c r="B951" s="19" t="s">
        <v>313</v>
      </c>
      <c r="C951" s="267">
        <v>44123</v>
      </c>
      <c r="E951" s="267"/>
      <c r="F951" s="283"/>
    </row>
    <row r="952" spans="1:6" ht="16.5">
      <c r="A952" s="298" t="s">
        <v>2625</v>
      </c>
      <c r="B952" s="19" t="s">
        <v>313</v>
      </c>
      <c r="C952" s="267">
        <v>44123</v>
      </c>
      <c r="E952" s="267"/>
      <c r="F952" s="283"/>
    </row>
    <row r="953" spans="1:6" ht="16.5">
      <c r="A953" s="298" t="s">
        <v>2837</v>
      </c>
      <c r="B953" s="19" t="s">
        <v>313</v>
      </c>
      <c r="C953" s="267">
        <v>44123</v>
      </c>
      <c r="E953" s="267"/>
      <c r="F953" s="283"/>
    </row>
    <row r="954" spans="1:6" ht="16.5">
      <c r="A954" s="298" t="s">
        <v>2832</v>
      </c>
      <c r="B954" s="19" t="s">
        <v>313</v>
      </c>
      <c r="C954" s="267">
        <v>44123</v>
      </c>
      <c r="E954" s="267"/>
      <c r="F954" s="283"/>
    </row>
    <row r="955" spans="1:6" ht="16.5">
      <c r="A955" s="298" t="s">
        <v>2834</v>
      </c>
      <c r="B955" s="19" t="s">
        <v>313</v>
      </c>
      <c r="C955" s="267">
        <v>44123</v>
      </c>
      <c r="E955" s="267"/>
      <c r="F955" s="283"/>
    </row>
    <row r="956" spans="1:6" ht="16.5">
      <c r="A956" s="298" t="s">
        <v>2832</v>
      </c>
      <c r="B956" s="19" t="s">
        <v>313</v>
      </c>
      <c r="C956" s="267">
        <v>44123</v>
      </c>
      <c r="E956" s="267"/>
      <c r="F956" s="283"/>
    </row>
    <row r="957" spans="1:6" ht="28.5">
      <c r="A957" s="298" t="s">
        <v>2830</v>
      </c>
      <c r="B957" s="19" t="s">
        <v>313</v>
      </c>
      <c r="C957" s="267">
        <v>44125</v>
      </c>
      <c r="E957" s="267"/>
      <c r="F957" s="283"/>
    </row>
    <row r="958" spans="1:6" ht="16.5">
      <c r="A958" s="298" t="s">
        <v>2828</v>
      </c>
      <c r="B958" s="19" t="s">
        <v>313</v>
      </c>
      <c r="C958" s="267">
        <v>44125</v>
      </c>
      <c r="E958" s="267"/>
      <c r="F958" s="283"/>
    </row>
    <row r="959" spans="1:6" ht="16.5">
      <c r="A959" s="298" t="s">
        <v>2826</v>
      </c>
      <c r="B959" s="19" t="s">
        <v>313</v>
      </c>
      <c r="C959" s="267">
        <v>44125</v>
      </c>
      <c r="E959" s="267"/>
      <c r="F959" s="283"/>
    </row>
    <row r="960" spans="1:6" ht="16.5">
      <c r="A960" s="298" t="s">
        <v>2809</v>
      </c>
      <c r="B960" s="19" t="s">
        <v>313</v>
      </c>
      <c r="C960" s="267">
        <v>44125</v>
      </c>
      <c r="E960" s="267"/>
      <c r="F960" s="283"/>
    </row>
    <row r="961" spans="1:6" ht="16.5">
      <c r="A961" s="298" t="s">
        <v>2824</v>
      </c>
      <c r="B961" s="19" t="s">
        <v>313</v>
      </c>
      <c r="C961" s="267">
        <v>44125</v>
      </c>
      <c r="E961" s="267"/>
      <c r="F961" s="283"/>
    </row>
    <row r="962" spans="1:6" ht="16.5">
      <c r="A962" s="298" t="s">
        <v>2719</v>
      </c>
      <c r="B962" s="19" t="s">
        <v>313</v>
      </c>
      <c r="C962" s="267">
        <v>44125</v>
      </c>
      <c r="E962" s="267"/>
      <c r="F962" s="283"/>
    </row>
    <row r="963" spans="1:6" ht="28.5">
      <c r="A963" s="298" t="s">
        <v>2822</v>
      </c>
      <c r="B963" s="19" t="s">
        <v>313</v>
      </c>
      <c r="C963" s="267">
        <v>44127</v>
      </c>
      <c r="E963" s="267"/>
      <c r="F963" s="283"/>
    </row>
    <row r="964" spans="1:6" ht="28.5">
      <c r="A964" s="298" t="s">
        <v>2822</v>
      </c>
      <c r="B964" s="19" t="s">
        <v>313</v>
      </c>
      <c r="C964" s="267">
        <v>44127</v>
      </c>
      <c r="E964" s="267"/>
      <c r="F964" s="283"/>
    </row>
    <row r="965" spans="1:6" ht="16.5">
      <c r="A965" s="298" t="s">
        <v>2537</v>
      </c>
      <c r="B965" s="19" t="s">
        <v>313</v>
      </c>
      <c r="C965" s="267">
        <v>44127</v>
      </c>
      <c r="E965" s="267"/>
      <c r="F965" s="283"/>
    </row>
    <row r="966" spans="1:6" ht="16.5">
      <c r="A966" s="298" t="s">
        <v>2819</v>
      </c>
      <c r="B966" s="19" t="s">
        <v>313</v>
      </c>
      <c r="C966" s="267">
        <v>44127</v>
      </c>
      <c r="E966" s="267"/>
      <c r="F966" s="283"/>
    </row>
    <row r="967" spans="1:6" ht="16.5">
      <c r="A967" s="298" t="s">
        <v>2817</v>
      </c>
      <c r="B967" s="19" t="s">
        <v>313</v>
      </c>
      <c r="C967" s="267">
        <v>44127</v>
      </c>
      <c r="E967" s="267"/>
      <c r="F967" s="283"/>
    </row>
    <row r="968" spans="1:6" ht="16.5">
      <c r="A968" s="298" t="s">
        <v>2815</v>
      </c>
      <c r="B968" s="19" t="s">
        <v>313</v>
      </c>
      <c r="C968" s="267">
        <v>44127</v>
      </c>
      <c r="E968" s="267"/>
      <c r="F968" s="283"/>
    </row>
    <row r="969" spans="1:6" ht="28.5">
      <c r="A969" s="298" t="s">
        <v>2813</v>
      </c>
      <c r="B969" s="19" t="s">
        <v>313</v>
      </c>
      <c r="C969" s="267">
        <v>44127</v>
      </c>
      <c r="E969" s="267"/>
      <c r="F969" s="283"/>
    </row>
    <row r="970" spans="1:6" ht="16.5">
      <c r="A970" s="298" t="s">
        <v>2811</v>
      </c>
      <c r="B970" s="19" t="s">
        <v>313</v>
      </c>
      <c r="C970" s="267">
        <v>44127</v>
      </c>
      <c r="E970" s="267"/>
      <c r="F970" s="283"/>
    </row>
    <row r="971" spans="1:6" ht="16.5">
      <c r="A971" s="298" t="s">
        <v>2809</v>
      </c>
      <c r="B971" s="19" t="s">
        <v>313</v>
      </c>
      <c r="C971" s="267">
        <v>44127</v>
      </c>
      <c r="E971" s="267"/>
      <c r="F971" s="283"/>
    </row>
    <row r="972" spans="1:6" ht="16.5">
      <c r="A972" s="298" t="s">
        <v>2670</v>
      </c>
      <c r="B972" s="19" t="s">
        <v>313</v>
      </c>
      <c r="C972" s="267">
        <v>44127</v>
      </c>
      <c r="E972" s="267"/>
      <c r="F972" s="283"/>
    </row>
    <row r="973" spans="1:6" ht="16.5">
      <c r="A973" s="298" t="s">
        <v>2694</v>
      </c>
      <c r="B973" s="19" t="s">
        <v>313</v>
      </c>
      <c r="C973" s="267">
        <v>44127</v>
      </c>
      <c r="E973" s="267"/>
      <c r="F973" s="283"/>
    </row>
    <row r="974" spans="1:6" ht="16.5">
      <c r="A974" s="298" t="s">
        <v>2552</v>
      </c>
      <c r="B974" s="19" t="s">
        <v>313</v>
      </c>
      <c r="C974" s="267">
        <v>44127</v>
      </c>
      <c r="E974" s="267"/>
      <c r="F974" s="283"/>
    </row>
    <row r="975" spans="1:6" ht="16.5">
      <c r="A975" s="298" t="s">
        <v>2806</v>
      </c>
      <c r="B975" s="19" t="s">
        <v>313</v>
      </c>
      <c r="C975" s="267">
        <v>44127</v>
      </c>
      <c r="E975" s="267"/>
      <c r="F975" s="283"/>
    </row>
    <row r="976" spans="1:6" ht="16.5">
      <c r="A976" s="298" t="s">
        <v>2804</v>
      </c>
      <c r="B976" s="19" t="s">
        <v>313</v>
      </c>
      <c r="C976" s="267">
        <v>44137</v>
      </c>
      <c r="E976" s="267"/>
      <c r="F976" s="283"/>
    </row>
    <row r="977" spans="1:6" ht="16.5">
      <c r="A977" s="298" t="s">
        <v>2802</v>
      </c>
      <c r="B977" s="19" t="s">
        <v>313</v>
      </c>
      <c r="C977" s="267">
        <v>44137</v>
      </c>
      <c r="E977" s="267"/>
      <c r="F977" s="283"/>
    </row>
    <row r="978" spans="1:6" ht="16.5">
      <c r="A978" s="298" t="s">
        <v>2800</v>
      </c>
      <c r="B978" s="19" t="s">
        <v>313</v>
      </c>
      <c r="C978" s="267">
        <v>44138</v>
      </c>
      <c r="E978" s="267"/>
      <c r="F978" s="283"/>
    </row>
    <row r="979" spans="1:6" ht="28.5">
      <c r="A979" s="298" t="s">
        <v>2798</v>
      </c>
      <c r="B979" s="19" t="s">
        <v>313</v>
      </c>
      <c r="C979" s="267">
        <v>44140</v>
      </c>
      <c r="E979" s="267"/>
      <c r="F979" s="283"/>
    </row>
    <row r="980" spans="1:6" ht="16.5">
      <c r="A980" s="298" t="s">
        <v>2619</v>
      </c>
      <c r="B980" s="19" t="s">
        <v>313</v>
      </c>
      <c r="C980" s="267">
        <v>44140</v>
      </c>
      <c r="E980" s="267"/>
      <c r="F980" s="283"/>
    </row>
    <row r="981" spans="1:6" ht="28.5">
      <c r="A981" s="298" t="s">
        <v>2796</v>
      </c>
      <c r="B981" s="19" t="s">
        <v>313</v>
      </c>
      <c r="C981" s="267">
        <v>44140</v>
      </c>
      <c r="E981" s="267"/>
      <c r="F981" s="283"/>
    </row>
    <row r="982" spans="1:6" ht="16.5">
      <c r="A982" s="298" t="s">
        <v>2528</v>
      </c>
      <c r="B982" s="19" t="s">
        <v>313</v>
      </c>
      <c r="C982" s="267">
        <v>44141</v>
      </c>
      <c r="E982" s="267"/>
      <c r="F982" s="283"/>
    </row>
    <row r="983" spans="1:6" ht="16.5">
      <c r="A983" s="298" t="s">
        <v>2794</v>
      </c>
      <c r="B983" s="19" t="s">
        <v>313</v>
      </c>
      <c r="C983" s="267">
        <v>44144</v>
      </c>
      <c r="E983" s="267"/>
      <c r="F983" s="283"/>
    </row>
    <row r="984" spans="1:6" ht="16.5">
      <c r="A984" s="298" t="s">
        <v>2705</v>
      </c>
      <c r="B984" s="19" t="s">
        <v>313</v>
      </c>
      <c r="C984" s="267">
        <v>44144</v>
      </c>
      <c r="E984" s="267"/>
      <c r="F984" s="283"/>
    </row>
    <row r="985" spans="1:6" ht="16.5">
      <c r="A985" s="298" t="s">
        <v>2792</v>
      </c>
      <c r="B985" s="19" t="s">
        <v>313</v>
      </c>
      <c r="C985" s="267">
        <v>44148</v>
      </c>
      <c r="E985" s="267"/>
      <c r="F985" s="283"/>
    </row>
    <row r="986" spans="1:6" ht="16.5">
      <c r="A986" s="298" t="s">
        <v>2790</v>
      </c>
      <c r="B986" s="19" t="s">
        <v>313</v>
      </c>
      <c r="C986" s="267">
        <v>44148</v>
      </c>
      <c r="E986" s="267"/>
      <c r="F986" s="283"/>
    </row>
    <row r="987" spans="1:6" ht="16.5">
      <c r="A987" s="298" t="s">
        <v>2788</v>
      </c>
      <c r="B987" s="19" t="s">
        <v>313</v>
      </c>
      <c r="C987" s="267">
        <v>44148</v>
      </c>
      <c r="E987" s="267"/>
      <c r="F987" s="283"/>
    </row>
    <row r="988" spans="1:6" ht="16.5">
      <c r="A988" s="298" t="s">
        <v>2668</v>
      </c>
      <c r="B988" s="19" t="s">
        <v>313</v>
      </c>
      <c r="C988" s="267">
        <v>44148</v>
      </c>
      <c r="E988" s="267"/>
      <c r="F988" s="283"/>
    </row>
    <row r="989" spans="1:6" ht="16.5">
      <c r="A989" s="298" t="s">
        <v>2659</v>
      </c>
      <c r="B989" s="19" t="s">
        <v>313</v>
      </c>
      <c r="C989" s="267">
        <v>44148</v>
      </c>
      <c r="E989" s="267"/>
      <c r="F989" s="283"/>
    </row>
    <row r="990" spans="1:6" ht="16.5">
      <c r="A990" s="298" t="s">
        <v>2786</v>
      </c>
      <c r="B990" s="19" t="s">
        <v>313</v>
      </c>
      <c r="C990" s="267">
        <v>44148</v>
      </c>
      <c r="E990" s="267"/>
      <c r="F990" s="283"/>
    </row>
    <row r="991" spans="1:6" ht="16.5">
      <c r="A991" s="298" t="s">
        <v>2784</v>
      </c>
      <c r="B991" s="19" t="s">
        <v>313</v>
      </c>
      <c r="C991" s="267">
        <v>44154</v>
      </c>
      <c r="E991" s="267"/>
      <c r="F991" s="283"/>
    </row>
    <row r="992" spans="1:6" ht="16.5">
      <c r="A992" s="298" t="s">
        <v>2782</v>
      </c>
      <c r="B992" s="19" t="s">
        <v>313</v>
      </c>
      <c r="C992" s="267">
        <v>44154</v>
      </c>
      <c r="E992" s="267"/>
      <c r="F992" s="283"/>
    </row>
    <row r="993" spans="1:6" ht="16.5">
      <c r="A993" s="298" t="s">
        <v>2539</v>
      </c>
      <c r="B993" s="19" t="s">
        <v>313</v>
      </c>
      <c r="C993" s="267">
        <v>44154</v>
      </c>
      <c r="E993" s="267"/>
      <c r="F993" s="283"/>
    </row>
    <row r="994" spans="1:6" ht="16.5">
      <c r="A994" s="298" t="s">
        <v>2780</v>
      </c>
      <c r="B994" s="19" t="s">
        <v>313</v>
      </c>
      <c r="C994" s="267">
        <v>44154</v>
      </c>
      <c r="E994" s="267"/>
      <c r="F994" s="283"/>
    </row>
    <row r="995" spans="1:6" ht="16.5">
      <c r="A995" s="298" t="s">
        <v>2709</v>
      </c>
      <c r="B995" s="19" t="s">
        <v>313</v>
      </c>
      <c r="C995" s="267">
        <v>44154</v>
      </c>
      <c r="E995" s="267"/>
      <c r="F995" s="283"/>
    </row>
    <row r="996" spans="1:6" ht="16.5">
      <c r="A996" s="298" t="s">
        <v>2591</v>
      </c>
      <c r="B996" s="19" t="s">
        <v>313</v>
      </c>
      <c r="C996" s="267">
        <v>44154</v>
      </c>
      <c r="E996" s="267"/>
      <c r="F996" s="283"/>
    </row>
    <row r="997" spans="1:6" ht="28.5">
      <c r="A997" s="298" t="s">
        <v>2767</v>
      </c>
      <c r="B997" s="19" t="s">
        <v>313</v>
      </c>
      <c r="C997" s="267">
        <v>44154</v>
      </c>
      <c r="E997" s="267"/>
      <c r="F997" s="283"/>
    </row>
    <row r="998" spans="1:6" ht="28.5">
      <c r="A998" s="298" t="s">
        <v>2696</v>
      </c>
      <c r="B998" s="19" t="s">
        <v>313</v>
      </c>
      <c r="C998" s="267">
        <v>44154</v>
      </c>
      <c r="E998" s="267"/>
      <c r="F998" s="283"/>
    </row>
    <row r="999" spans="1:6" ht="16.5">
      <c r="A999" s="298" t="s">
        <v>2778</v>
      </c>
      <c r="B999" s="19" t="s">
        <v>313</v>
      </c>
      <c r="C999" s="267">
        <v>44156</v>
      </c>
      <c r="E999" s="267"/>
      <c r="F999" s="283"/>
    </row>
    <row r="1000" spans="1:6" ht="28.5">
      <c r="A1000" s="298" t="s">
        <v>2748</v>
      </c>
      <c r="B1000" s="19" t="s">
        <v>313</v>
      </c>
      <c r="C1000" s="267">
        <v>44158</v>
      </c>
      <c r="E1000" s="267"/>
      <c r="F1000" s="283"/>
    </row>
    <row r="1001" spans="1:6" ht="16.5">
      <c r="A1001" s="298" t="s">
        <v>2776</v>
      </c>
      <c r="B1001" s="19" t="s">
        <v>313</v>
      </c>
      <c r="C1001" s="267">
        <v>44158</v>
      </c>
      <c r="E1001" s="267"/>
      <c r="F1001" s="283"/>
    </row>
    <row r="1002" spans="1:6" ht="16.5">
      <c r="A1002" s="298" t="s">
        <v>2774</v>
      </c>
      <c r="B1002" s="19" t="s">
        <v>313</v>
      </c>
      <c r="C1002" s="267">
        <v>44158</v>
      </c>
      <c r="E1002" s="267"/>
      <c r="F1002" s="283"/>
    </row>
    <row r="1003" spans="1:6" ht="16.5">
      <c r="A1003" s="298" t="s">
        <v>2772</v>
      </c>
      <c r="B1003" s="19" t="s">
        <v>313</v>
      </c>
      <c r="C1003" s="267">
        <v>44158</v>
      </c>
      <c r="E1003" s="267"/>
      <c r="F1003" s="283"/>
    </row>
    <row r="1004" spans="1:6" ht="16.5">
      <c r="A1004" s="298" t="s">
        <v>2770</v>
      </c>
      <c r="B1004" s="19" t="s">
        <v>313</v>
      </c>
      <c r="C1004" s="267">
        <v>44158</v>
      </c>
      <c r="E1004" s="267"/>
      <c r="F1004" s="283"/>
    </row>
    <row r="1005" spans="1:6" ht="16.5">
      <c r="A1005" s="298" t="s">
        <v>2705</v>
      </c>
      <c r="B1005" s="19" t="s">
        <v>313</v>
      </c>
      <c r="C1005" s="267">
        <v>44158</v>
      </c>
      <c r="E1005" s="267"/>
      <c r="F1005" s="283"/>
    </row>
    <row r="1006" spans="1:6" ht="28.5">
      <c r="A1006" s="298" t="s">
        <v>2767</v>
      </c>
      <c r="B1006" s="19" t="s">
        <v>313</v>
      </c>
      <c r="C1006" s="267">
        <v>44158</v>
      </c>
      <c r="E1006" s="267"/>
      <c r="F1006" s="283"/>
    </row>
    <row r="1007" spans="1:6" ht="16.5">
      <c r="A1007" s="298" t="s">
        <v>2765</v>
      </c>
      <c r="B1007" s="19" t="s">
        <v>313</v>
      </c>
      <c r="C1007" s="267">
        <v>44160</v>
      </c>
      <c r="E1007" s="267"/>
      <c r="F1007" s="283"/>
    </row>
    <row r="1008" spans="1:6" ht="16.5">
      <c r="A1008" s="298" t="s">
        <v>2763</v>
      </c>
      <c r="B1008" s="19" t="s">
        <v>313</v>
      </c>
      <c r="C1008" s="267">
        <v>44160</v>
      </c>
      <c r="E1008" s="267"/>
      <c r="F1008" s="283"/>
    </row>
    <row r="1009" spans="1:6" ht="16.5">
      <c r="A1009" s="298" t="s">
        <v>2654</v>
      </c>
      <c r="B1009" s="19" t="s">
        <v>313</v>
      </c>
      <c r="C1009" s="267">
        <v>44160</v>
      </c>
      <c r="E1009" s="267"/>
      <c r="F1009" s="283"/>
    </row>
    <row r="1010" spans="1:6" ht="28.5">
      <c r="A1010" s="298" t="s">
        <v>2562</v>
      </c>
      <c r="B1010" s="19" t="s">
        <v>313</v>
      </c>
      <c r="C1010" s="267">
        <v>44161</v>
      </c>
      <c r="E1010" s="267"/>
      <c r="F1010" s="283"/>
    </row>
    <row r="1011" spans="1:6" ht="16.5">
      <c r="A1011" s="298" t="s">
        <v>2760</v>
      </c>
      <c r="B1011" s="19" t="s">
        <v>313</v>
      </c>
      <c r="C1011" s="267">
        <v>44165</v>
      </c>
      <c r="E1011" s="267"/>
      <c r="F1011" s="283"/>
    </row>
    <row r="1012" spans="1:6" ht="16.5">
      <c r="A1012" s="298" t="s">
        <v>2758</v>
      </c>
      <c r="B1012" s="19" t="s">
        <v>313</v>
      </c>
      <c r="C1012" s="267">
        <v>44166</v>
      </c>
      <c r="E1012" s="267"/>
      <c r="F1012" s="283"/>
    </row>
    <row r="1013" spans="1:6" ht="16.5">
      <c r="A1013" s="298" t="s">
        <v>2756</v>
      </c>
      <c r="B1013" s="19" t="s">
        <v>313</v>
      </c>
      <c r="C1013" s="267">
        <v>44166</v>
      </c>
      <c r="E1013" s="267"/>
      <c r="F1013" s="283"/>
    </row>
    <row r="1014" spans="1:6" ht="16.5">
      <c r="A1014" s="298" t="s">
        <v>2754</v>
      </c>
      <c r="B1014" s="19" t="s">
        <v>313</v>
      </c>
      <c r="C1014" s="267">
        <v>44166</v>
      </c>
      <c r="E1014" s="267"/>
      <c r="F1014" s="283"/>
    </row>
    <row r="1015" spans="1:6" ht="16.5">
      <c r="A1015" s="298" t="s">
        <v>2619</v>
      </c>
      <c r="B1015" s="19" t="s">
        <v>313</v>
      </c>
      <c r="C1015" s="267">
        <v>44166</v>
      </c>
      <c r="E1015" s="267"/>
      <c r="F1015" s="283"/>
    </row>
    <row r="1016" spans="1:6" ht="28.5">
      <c r="A1016" s="298" t="s">
        <v>2751</v>
      </c>
      <c r="B1016" s="19" t="s">
        <v>313</v>
      </c>
      <c r="C1016" s="267">
        <v>44166</v>
      </c>
      <c r="E1016" s="267"/>
      <c r="F1016" s="283"/>
    </row>
    <row r="1017" spans="1:6" ht="16.5">
      <c r="A1017" s="298" t="s">
        <v>2619</v>
      </c>
      <c r="B1017" s="19" t="s">
        <v>313</v>
      </c>
      <c r="C1017" s="267">
        <v>44166</v>
      </c>
      <c r="E1017" s="267"/>
      <c r="F1017" s="283"/>
    </row>
    <row r="1018" spans="1:6" ht="16.5">
      <c r="A1018" s="298" t="s">
        <v>2729</v>
      </c>
      <c r="B1018" s="19" t="s">
        <v>313</v>
      </c>
      <c r="C1018" s="267">
        <v>44166</v>
      </c>
      <c r="E1018" s="267"/>
      <c r="F1018" s="283"/>
    </row>
    <row r="1019" spans="1:6" ht="28.5">
      <c r="A1019" s="298" t="s">
        <v>2748</v>
      </c>
      <c r="B1019" s="19" t="s">
        <v>313</v>
      </c>
      <c r="C1019" s="267">
        <v>44166</v>
      </c>
      <c r="E1019" s="267"/>
      <c r="F1019" s="283"/>
    </row>
    <row r="1020" spans="1:6" ht="16.5">
      <c r="A1020" s="298" t="s">
        <v>2746</v>
      </c>
      <c r="B1020" s="19" t="s">
        <v>313</v>
      </c>
      <c r="C1020" s="267">
        <v>44166</v>
      </c>
      <c r="E1020" s="267"/>
      <c r="F1020" s="283"/>
    </row>
    <row r="1021" spans="1:6" ht="16.5">
      <c r="A1021" s="298" t="s">
        <v>2744</v>
      </c>
      <c r="B1021" s="19" t="s">
        <v>313</v>
      </c>
      <c r="C1021" s="267">
        <v>44168</v>
      </c>
      <c r="E1021" s="267"/>
      <c r="F1021" s="283"/>
    </row>
    <row r="1022" spans="1:6" ht="16.5">
      <c r="A1022" s="298" t="s">
        <v>2742</v>
      </c>
      <c r="B1022" s="19" t="s">
        <v>313</v>
      </c>
      <c r="C1022" s="267">
        <v>44169</v>
      </c>
      <c r="E1022" s="267"/>
      <c r="F1022" s="283"/>
    </row>
    <row r="1023" spans="1:6" ht="16.5">
      <c r="A1023" s="298" t="s">
        <v>2740</v>
      </c>
      <c r="B1023" s="19" t="s">
        <v>313</v>
      </c>
      <c r="C1023" s="267">
        <v>44170</v>
      </c>
      <c r="E1023" s="267"/>
      <c r="F1023" s="283"/>
    </row>
    <row r="1024" spans="1:6" ht="16.5">
      <c r="A1024" s="298" t="s">
        <v>2738</v>
      </c>
      <c r="B1024" s="19" t="s">
        <v>313</v>
      </c>
      <c r="C1024" s="267">
        <v>44170</v>
      </c>
      <c r="E1024" s="267"/>
      <c r="F1024" s="283"/>
    </row>
    <row r="1025" spans="1:6" ht="16.5">
      <c r="A1025" s="298" t="s">
        <v>2646</v>
      </c>
      <c r="B1025" s="19" t="s">
        <v>313</v>
      </c>
      <c r="C1025" s="267">
        <v>44170</v>
      </c>
      <c r="E1025" s="267"/>
      <c r="F1025" s="283"/>
    </row>
    <row r="1026" spans="1:6" ht="16.5">
      <c r="A1026" s="298" t="s">
        <v>2735</v>
      </c>
      <c r="B1026" s="19" t="s">
        <v>313</v>
      </c>
      <c r="C1026" s="267">
        <v>44170</v>
      </c>
      <c r="E1026" s="267"/>
      <c r="F1026" s="283"/>
    </row>
    <row r="1027" spans="1:6" ht="16.5">
      <c r="A1027" s="298" t="s">
        <v>2733</v>
      </c>
      <c r="B1027" s="19" t="s">
        <v>313</v>
      </c>
      <c r="C1027" s="267">
        <v>44170</v>
      </c>
      <c r="E1027" s="267"/>
      <c r="F1027" s="283"/>
    </row>
    <row r="1028" spans="1:6" ht="16.5">
      <c r="A1028" s="298" t="s">
        <v>2731</v>
      </c>
      <c r="B1028" s="19" t="s">
        <v>313</v>
      </c>
      <c r="C1028" s="267">
        <v>44172</v>
      </c>
      <c r="E1028" s="267"/>
      <c r="F1028" s="283"/>
    </row>
    <row r="1029" spans="1:6" ht="16.5">
      <c r="A1029" s="298" t="s">
        <v>2729</v>
      </c>
      <c r="B1029" s="19" t="s">
        <v>313</v>
      </c>
      <c r="C1029" s="267">
        <v>44172</v>
      </c>
      <c r="E1029" s="267"/>
      <c r="F1029" s="283"/>
    </row>
    <row r="1030" spans="1:6" ht="28.5">
      <c r="A1030" s="298" t="s">
        <v>2727</v>
      </c>
      <c r="B1030" s="19" t="s">
        <v>313</v>
      </c>
      <c r="C1030" s="267">
        <v>44172</v>
      </c>
      <c r="E1030" s="267"/>
      <c r="F1030" s="283"/>
    </row>
    <row r="1031" spans="1:6" ht="16.5">
      <c r="A1031" s="298" t="s">
        <v>2666</v>
      </c>
      <c r="B1031" s="19" t="s">
        <v>313</v>
      </c>
      <c r="C1031" s="267">
        <v>44172</v>
      </c>
      <c r="E1031" s="267"/>
      <c r="F1031" s="283"/>
    </row>
    <row r="1032" spans="1:6" ht="16.5">
      <c r="A1032" s="298" t="s">
        <v>2725</v>
      </c>
      <c r="B1032" s="19" t="s">
        <v>313</v>
      </c>
      <c r="C1032" s="267">
        <v>44172</v>
      </c>
      <c r="E1032" s="267"/>
      <c r="F1032" s="283"/>
    </row>
    <row r="1033" spans="1:6" ht="16.5">
      <c r="A1033" s="298" t="s">
        <v>2723</v>
      </c>
      <c r="B1033" s="19" t="s">
        <v>313</v>
      </c>
      <c r="C1033" s="267">
        <v>44172</v>
      </c>
      <c r="E1033" s="267"/>
      <c r="F1033" s="283"/>
    </row>
    <row r="1034" spans="1:6" ht="16.5">
      <c r="A1034" s="298" t="s">
        <v>2721</v>
      </c>
      <c r="B1034" s="19" t="s">
        <v>313</v>
      </c>
      <c r="C1034" s="267">
        <v>44173</v>
      </c>
      <c r="E1034" s="267"/>
      <c r="F1034" s="283"/>
    </row>
    <row r="1035" spans="1:6" ht="16.5">
      <c r="A1035" s="298" t="s">
        <v>2719</v>
      </c>
      <c r="B1035" s="19" t="s">
        <v>313</v>
      </c>
      <c r="C1035" s="267">
        <v>44173</v>
      </c>
      <c r="E1035" s="267"/>
      <c r="F1035" s="283"/>
    </row>
    <row r="1036" spans="1:6" ht="16.5">
      <c r="A1036" s="298" t="s">
        <v>2717</v>
      </c>
      <c r="B1036" s="19" t="s">
        <v>313</v>
      </c>
      <c r="C1036" s="267">
        <v>44175</v>
      </c>
      <c r="E1036" s="267"/>
      <c r="F1036" s="283"/>
    </row>
    <row r="1037" spans="1:6" ht="16.5">
      <c r="A1037" s="298" t="s">
        <v>2715</v>
      </c>
      <c r="B1037" s="19" t="s">
        <v>313</v>
      </c>
      <c r="C1037" s="267">
        <v>44175</v>
      </c>
      <c r="E1037" s="267"/>
      <c r="F1037" s="283"/>
    </row>
    <row r="1038" spans="1:6" ht="16.5">
      <c r="A1038" s="298" t="s">
        <v>2713</v>
      </c>
      <c r="B1038" s="19" t="s">
        <v>313</v>
      </c>
      <c r="C1038" s="267">
        <v>44175</v>
      </c>
      <c r="E1038" s="267"/>
      <c r="F1038" s="283"/>
    </row>
    <row r="1039" spans="1:6" ht="16.5">
      <c r="A1039" s="298" t="s">
        <v>2674</v>
      </c>
      <c r="B1039" s="19" t="s">
        <v>313</v>
      </c>
      <c r="C1039" s="267">
        <v>44175</v>
      </c>
      <c r="E1039" s="267"/>
      <c r="F1039" s="283"/>
    </row>
    <row r="1040" spans="1:6" ht="16.5">
      <c r="A1040" s="298" t="s">
        <v>2711</v>
      </c>
      <c r="B1040" s="19" t="s">
        <v>313</v>
      </c>
      <c r="C1040" s="267">
        <v>44175</v>
      </c>
      <c r="E1040" s="267"/>
      <c r="F1040" s="283"/>
    </row>
    <row r="1041" spans="1:6" ht="16.5">
      <c r="A1041" s="298" t="s">
        <v>2609</v>
      </c>
      <c r="B1041" s="19" t="s">
        <v>313</v>
      </c>
      <c r="C1041" s="267">
        <v>44175</v>
      </c>
      <c r="E1041" s="267"/>
      <c r="F1041" s="283"/>
    </row>
    <row r="1042" spans="1:6" ht="28.5">
      <c r="A1042" s="298" t="s">
        <v>2672</v>
      </c>
      <c r="B1042" s="19" t="s">
        <v>313</v>
      </c>
      <c r="C1042" s="267">
        <v>44175</v>
      </c>
      <c r="E1042" s="267"/>
      <c r="F1042" s="283"/>
    </row>
    <row r="1043" spans="1:6" ht="16.5">
      <c r="A1043" s="298" t="s">
        <v>2709</v>
      </c>
      <c r="B1043" s="19" t="s">
        <v>313</v>
      </c>
      <c r="C1043" s="267">
        <v>44175</v>
      </c>
      <c r="E1043" s="267"/>
      <c r="F1043" s="283"/>
    </row>
    <row r="1044" spans="1:6" ht="16.5">
      <c r="A1044" s="298" t="s">
        <v>2707</v>
      </c>
      <c r="B1044" s="19" t="s">
        <v>313</v>
      </c>
      <c r="C1044" s="267">
        <v>44175</v>
      </c>
      <c r="E1044" s="267"/>
      <c r="F1044" s="283"/>
    </row>
    <row r="1045" spans="1:6" ht="16.5">
      <c r="A1045" s="298" t="s">
        <v>2705</v>
      </c>
      <c r="B1045" s="19" t="s">
        <v>313</v>
      </c>
      <c r="C1045" s="267">
        <v>44175</v>
      </c>
      <c r="E1045" s="267"/>
      <c r="F1045" s="283"/>
    </row>
    <row r="1046" spans="1:6" ht="16.5">
      <c r="A1046" s="298" t="s">
        <v>2703</v>
      </c>
      <c r="B1046" s="19" t="s">
        <v>313</v>
      </c>
      <c r="C1046" s="267">
        <v>44175</v>
      </c>
      <c r="E1046" s="267"/>
      <c r="F1046" s="283"/>
    </row>
    <row r="1047" spans="1:6" ht="16.5">
      <c r="A1047" s="298" t="s">
        <v>2613</v>
      </c>
      <c r="B1047" s="19" t="s">
        <v>313</v>
      </c>
      <c r="C1047" s="267">
        <v>44182</v>
      </c>
      <c r="E1047" s="267"/>
      <c r="F1047" s="283"/>
    </row>
    <row r="1048" spans="1:6" ht="16.5">
      <c r="A1048" s="298" t="s">
        <v>2701</v>
      </c>
      <c r="B1048" s="19" t="s">
        <v>313</v>
      </c>
      <c r="C1048" s="267">
        <v>44182</v>
      </c>
      <c r="E1048" s="267"/>
      <c r="F1048" s="283"/>
    </row>
    <row r="1049" spans="1:6" ht="16.5">
      <c r="A1049" s="298" t="s">
        <v>2699</v>
      </c>
      <c r="B1049" s="19" t="s">
        <v>313</v>
      </c>
      <c r="C1049" s="267">
        <v>44182</v>
      </c>
      <c r="E1049" s="267"/>
      <c r="F1049" s="283"/>
    </row>
    <row r="1050" spans="1:6" ht="16.5">
      <c r="A1050" s="298" t="s">
        <v>2659</v>
      </c>
      <c r="B1050" s="19" t="s">
        <v>313</v>
      </c>
      <c r="C1050" s="267">
        <v>44182</v>
      </c>
      <c r="E1050" s="267"/>
      <c r="F1050" s="283"/>
    </row>
    <row r="1051" spans="1:6" ht="28.5">
      <c r="A1051" s="298" t="s">
        <v>2696</v>
      </c>
      <c r="B1051" s="19" t="s">
        <v>313</v>
      </c>
      <c r="C1051" s="267">
        <v>44182</v>
      </c>
      <c r="E1051" s="267"/>
      <c r="F1051" s="283"/>
    </row>
    <row r="1052" spans="1:6" ht="16.5">
      <c r="A1052" s="298" t="s">
        <v>2625</v>
      </c>
      <c r="B1052" s="19" t="s">
        <v>313</v>
      </c>
      <c r="C1052" s="267">
        <v>44182</v>
      </c>
      <c r="E1052" s="267"/>
      <c r="F1052" s="283"/>
    </row>
    <row r="1053" spans="1:6" ht="16.5">
      <c r="A1053" s="298" t="s">
        <v>2694</v>
      </c>
      <c r="B1053" s="19" t="s">
        <v>313</v>
      </c>
      <c r="C1053" s="267">
        <v>44185</v>
      </c>
      <c r="E1053" s="267"/>
      <c r="F1053" s="283"/>
    </row>
    <row r="1054" spans="1:6" ht="16.5">
      <c r="A1054" s="298" t="s">
        <v>2554</v>
      </c>
      <c r="B1054" s="19" t="s">
        <v>313</v>
      </c>
      <c r="C1054" s="267">
        <v>44185</v>
      </c>
      <c r="E1054" s="267"/>
      <c r="F1054" s="283"/>
    </row>
    <row r="1055" spans="1:6" ht="16.5">
      <c r="A1055" s="298" t="s">
        <v>2692</v>
      </c>
      <c r="B1055" s="19" t="s">
        <v>313</v>
      </c>
      <c r="C1055" s="267">
        <v>44185</v>
      </c>
      <c r="E1055" s="267"/>
      <c r="F1055" s="283"/>
    </row>
    <row r="1056" spans="1:6" ht="16.5">
      <c r="A1056" s="298" t="s">
        <v>2554</v>
      </c>
      <c r="B1056" s="19" t="s">
        <v>313</v>
      </c>
      <c r="C1056" s="267">
        <v>44186</v>
      </c>
      <c r="E1056" s="267"/>
      <c r="F1056" s="283"/>
    </row>
    <row r="1057" spans="1:6" ht="16.5">
      <c r="A1057" s="298" t="s">
        <v>2690</v>
      </c>
      <c r="B1057" s="19" t="s">
        <v>313</v>
      </c>
      <c r="C1057" s="267">
        <v>44187</v>
      </c>
      <c r="E1057" s="267"/>
      <c r="F1057" s="283"/>
    </row>
    <row r="1058" spans="1:6" ht="16.5">
      <c r="A1058" s="298" t="s">
        <v>2688</v>
      </c>
      <c r="B1058" s="19" t="s">
        <v>313</v>
      </c>
      <c r="C1058" s="267">
        <v>44187</v>
      </c>
      <c r="E1058" s="267"/>
      <c r="F1058" s="283"/>
    </row>
    <row r="1059" spans="1:6" ht="16.5">
      <c r="A1059" s="298" t="s">
        <v>2686</v>
      </c>
      <c r="B1059" s="19" t="s">
        <v>313</v>
      </c>
      <c r="C1059" s="267">
        <v>44187</v>
      </c>
      <c r="E1059" s="267"/>
      <c r="F1059" s="283"/>
    </row>
    <row r="1060" spans="1:6" ht="16.5">
      <c r="A1060" s="298" t="s">
        <v>2684</v>
      </c>
      <c r="B1060" s="19" t="s">
        <v>313</v>
      </c>
      <c r="C1060" s="267">
        <v>44187</v>
      </c>
      <c r="E1060" s="267"/>
      <c r="F1060" s="283"/>
    </row>
    <row r="1061" spans="1:6" ht="16.5">
      <c r="A1061" s="298" t="s">
        <v>2682</v>
      </c>
      <c r="B1061" s="19" t="s">
        <v>313</v>
      </c>
      <c r="C1061" s="267">
        <v>44188</v>
      </c>
      <c r="E1061" s="267"/>
      <c r="F1061" s="283"/>
    </row>
    <row r="1062" spans="1:6" ht="16.5">
      <c r="A1062" s="298" t="s">
        <v>2680</v>
      </c>
      <c r="B1062" s="19" t="s">
        <v>313</v>
      </c>
      <c r="C1062" s="267">
        <v>44198</v>
      </c>
      <c r="E1062" s="267"/>
      <c r="F1062" s="283"/>
    </row>
    <row r="1063" spans="1:6" ht="16.5">
      <c r="A1063" s="298" t="s">
        <v>2678</v>
      </c>
      <c r="B1063" s="19" t="s">
        <v>313</v>
      </c>
      <c r="C1063" s="267">
        <v>44218</v>
      </c>
      <c r="E1063" s="267"/>
      <c r="F1063" s="283"/>
    </row>
    <row r="1064" spans="1:6" ht="16.5">
      <c r="A1064" s="298" t="s">
        <v>2676</v>
      </c>
      <c r="B1064" s="19" t="s">
        <v>313</v>
      </c>
      <c r="C1064" s="267">
        <v>44219</v>
      </c>
      <c r="E1064" s="267"/>
      <c r="F1064" s="283"/>
    </row>
    <row r="1065" spans="1:6" ht="16.5">
      <c r="A1065" s="298" t="s">
        <v>2674</v>
      </c>
      <c r="B1065" s="19" t="s">
        <v>313</v>
      </c>
      <c r="C1065" s="267">
        <v>44219</v>
      </c>
      <c r="E1065" s="267"/>
      <c r="F1065" s="283"/>
    </row>
    <row r="1066" spans="1:6" ht="28.5">
      <c r="A1066" s="298" t="s">
        <v>2672</v>
      </c>
      <c r="B1066" s="19" t="s">
        <v>313</v>
      </c>
      <c r="C1066" s="267">
        <v>44219</v>
      </c>
      <c r="E1066" s="267"/>
      <c r="F1066" s="283"/>
    </row>
    <row r="1067" spans="1:6" ht="16.5">
      <c r="A1067" s="298" t="s">
        <v>2670</v>
      </c>
      <c r="B1067" s="19" t="s">
        <v>313</v>
      </c>
      <c r="C1067" s="267">
        <v>44219</v>
      </c>
      <c r="E1067" s="267"/>
      <c r="F1067" s="283"/>
    </row>
    <row r="1068" spans="1:6" ht="16.5">
      <c r="A1068" s="298" t="s">
        <v>2668</v>
      </c>
      <c r="B1068" s="19" t="s">
        <v>313</v>
      </c>
      <c r="C1068" s="267">
        <v>44222</v>
      </c>
      <c r="E1068" s="267"/>
      <c r="F1068" s="283"/>
    </row>
    <row r="1069" spans="1:6" ht="16.5">
      <c r="A1069" s="298" t="s">
        <v>2574</v>
      </c>
      <c r="B1069" s="19" t="s">
        <v>313</v>
      </c>
      <c r="C1069" s="267">
        <v>44222</v>
      </c>
      <c r="E1069" s="267"/>
      <c r="F1069" s="283"/>
    </row>
    <row r="1070" spans="1:6" ht="16.5">
      <c r="A1070" s="298" t="s">
        <v>2564</v>
      </c>
      <c r="B1070" s="19" t="s">
        <v>313</v>
      </c>
      <c r="C1070" s="267">
        <v>44223</v>
      </c>
      <c r="E1070" s="267"/>
      <c r="F1070" s="283"/>
    </row>
    <row r="1071" spans="1:6" ht="16.5">
      <c r="A1071" s="298" t="s">
        <v>2564</v>
      </c>
      <c r="B1071" s="19" t="s">
        <v>313</v>
      </c>
      <c r="C1071" s="267">
        <v>44224</v>
      </c>
      <c r="E1071" s="267"/>
      <c r="F1071" s="283"/>
    </row>
    <row r="1072" spans="1:6" ht="16.5">
      <c r="A1072" s="298" t="s">
        <v>2558</v>
      </c>
      <c r="B1072" s="19" t="s">
        <v>313</v>
      </c>
      <c r="C1072" s="267">
        <v>44224</v>
      </c>
      <c r="E1072" s="267"/>
      <c r="F1072" s="283"/>
    </row>
    <row r="1073" spans="1:6" ht="16.5">
      <c r="A1073" s="298" t="s">
        <v>2668</v>
      </c>
      <c r="B1073" s="19" t="s">
        <v>313</v>
      </c>
      <c r="C1073" s="267">
        <v>44224</v>
      </c>
      <c r="E1073" s="267"/>
      <c r="F1073" s="283"/>
    </row>
    <row r="1074" spans="1:6" ht="16.5">
      <c r="A1074" s="298" t="s">
        <v>2556</v>
      </c>
      <c r="B1074" s="19" t="s">
        <v>313</v>
      </c>
      <c r="C1074" s="267">
        <v>44224</v>
      </c>
      <c r="E1074" s="267"/>
      <c r="F1074" s="283"/>
    </row>
    <row r="1075" spans="1:6" ht="16.5">
      <c r="A1075" s="298" t="s">
        <v>2564</v>
      </c>
      <c r="B1075" s="19" t="s">
        <v>313</v>
      </c>
      <c r="C1075" s="267">
        <v>44225</v>
      </c>
      <c r="E1075" s="267"/>
      <c r="F1075" s="283"/>
    </row>
    <row r="1076" spans="1:6" ht="16.5">
      <c r="A1076" s="298" t="s">
        <v>2666</v>
      </c>
      <c r="B1076" s="19" t="s">
        <v>313</v>
      </c>
      <c r="C1076" s="267">
        <v>44225</v>
      </c>
      <c r="E1076" s="267"/>
      <c r="F1076" s="283"/>
    </row>
    <row r="1077" spans="1:6" ht="16.5">
      <c r="A1077" s="298" t="s">
        <v>2664</v>
      </c>
      <c r="B1077" s="19" t="s">
        <v>313</v>
      </c>
      <c r="C1077" s="267">
        <v>44225</v>
      </c>
      <c r="E1077" s="267"/>
      <c r="F1077" s="283"/>
    </row>
    <row r="1078" spans="1:6" ht="16.5">
      <c r="A1078" s="298" t="s">
        <v>2582</v>
      </c>
      <c r="B1078" s="19" t="s">
        <v>313</v>
      </c>
      <c r="C1078" s="267">
        <v>44225</v>
      </c>
      <c r="E1078" s="267"/>
      <c r="F1078" s="283"/>
    </row>
    <row r="1079" spans="1:6" ht="16.5">
      <c r="A1079" s="298" t="s">
        <v>2662</v>
      </c>
      <c r="B1079" s="19" t="s">
        <v>313</v>
      </c>
      <c r="C1079" s="267">
        <v>44225</v>
      </c>
      <c r="E1079" s="267"/>
      <c r="F1079" s="283"/>
    </row>
    <row r="1080" spans="1:6" ht="16.5">
      <c r="A1080" s="298" t="s">
        <v>2584</v>
      </c>
      <c r="B1080" s="19" t="s">
        <v>313</v>
      </c>
      <c r="C1080" s="267">
        <v>44226</v>
      </c>
      <c r="E1080" s="267"/>
      <c r="F1080" s="283"/>
    </row>
    <row r="1081" spans="1:6" ht="16.5">
      <c r="A1081" s="298" t="s">
        <v>2554</v>
      </c>
      <c r="B1081" s="19" t="s">
        <v>313</v>
      </c>
      <c r="C1081" s="267">
        <v>44229</v>
      </c>
      <c r="E1081" s="267"/>
      <c r="F1081" s="283"/>
    </row>
    <row r="1082" spans="1:6" ht="16.5">
      <c r="A1082" s="298" t="s">
        <v>2623</v>
      </c>
      <c r="B1082" s="19" t="s">
        <v>313</v>
      </c>
      <c r="C1082" s="267">
        <v>44230</v>
      </c>
      <c r="E1082" s="267"/>
      <c r="F1082" s="283"/>
    </row>
    <row r="1083" spans="1:6" ht="16.5">
      <c r="A1083" s="298" t="s">
        <v>2537</v>
      </c>
      <c r="B1083" s="19" t="s">
        <v>313</v>
      </c>
      <c r="C1083" s="267">
        <v>44233</v>
      </c>
      <c r="E1083" s="267"/>
      <c r="F1083" s="283"/>
    </row>
    <row r="1084" spans="1:6" ht="16.5">
      <c r="A1084" s="298" t="s">
        <v>2659</v>
      </c>
      <c r="B1084" s="19" t="s">
        <v>313</v>
      </c>
      <c r="C1084" s="267">
        <v>44233</v>
      </c>
      <c r="E1084" s="267"/>
      <c r="F1084" s="283"/>
    </row>
    <row r="1085" spans="1:6" ht="28.5">
      <c r="A1085" s="298" t="s">
        <v>2550</v>
      </c>
      <c r="B1085" s="19" t="s">
        <v>313</v>
      </c>
      <c r="C1085" s="267">
        <v>44235</v>
      </c>
      <c r="E1085" s="267"/>
      <c r="F1085" s="283"/>
    </row>
    <row r="1086" spans="1:6" ht="16.5">
      <c r="A1086" s="298" t="s">
        <v>2582</v>
      </c>
      <c r="B1086" s="19" t="s">
        <v>313</v>
      </c>
      <c r="C1086" s="267">
        <v>44235</v>
      </c>
      <c r="E1086" s="267"/>
      <c r="F1086" s="283"/>
    </row>
    <row r="1087" spans="1:6" ht="16.5">
      <c r="A1087" s="298" t="s">
        <v>2654</v>
      </c>
      <c r="B1087" s="19" t="s">
        <v>313</v>
      </c>
      <c r="C1087" s="267">
        <v>44246</v>
      </c>
      <c r="E1087" s="267"/>
      <c r="F1087" s="283"/>
    </row>
    <row r="1088" spans="1:6" ht="16.5">
      <c r="A1088" s="298" t="s">
        <v>2656</v>
      </c>
      <c r="B1088" s="19" t="s">
        <v>313</v>
      </c>
      <c r="C1088" s="267">
        <v>44246</v>
      </c>
      <c r="E1088" s="267"/>
      <c r="F1088" s="283"/>
    </row>
    <row r="1089" spans="1:6" ht="16.5">
      <c r="A1089" s="298" t="s">
        <v>2654</v>
      </c>
      <c r="B1089" s="19" t="s">
        <v>313</v>
      </c>
      <c r="C1089" s="267">
        <v>44246</v>
      </c>
      <c r="E1089" s="267"/>
      <c r="F1089" s="283"/>
    </row>
    <row r="1090" spans="1:6" ht="16.5">
      <c r="A1090" s="298" t="s">
        <v>2652</v>
      </c>
      <c r="B1090" s="19" t="s">
        <v>313</v>
      </c>
      <c r="C1090" s="267">
        <v>44252</v>
      </c>
      <c r="E1090" s="267"/>
      <c r="F1090" s="283"/>
    </row>
    <row r="1091" spans="1:6" ht="16.5">
      <c r="A1091" s="298" t="s">
        <v>2650</v>
      </c>
      <c r="B1091" s="19" t="s">
        <v>313</v>
      </c>
      <c r="C1091" s="267">
        <v>44252</v>
      </c>
      <c r="E1091" s="267"/>
      <c r="F1091" s="283"/>
    </row>
    <row r="1092" spans="1:6" ht="16.5">
      <c r="A1092" s="298" t="s">
        <v>2648</v>
      </c>
      <c r="B1092" s="19" t="s">
        <v>313</v>
      </c>
      <c r="C1092" s="267">
        <v>44252</v>
      </c>
      <c r="E1092" s="267"/>
      <c r="F1092" s="283"/>
    </row>
    <row r="1093" spans="1:6" ht="16.5">
      <c r="A1093" s="298" t="s">
        <v>2646</v>
      </c>
      <c r="B1093" s="19" t="s">
        <v>313</v>
      </c>
      <c r="C1093" s="267">
        <v>44252</v>
      </c>
      <c r="E1093" s="267"/>
      <c r="F1093" s="283"/>
    </row>
    <row r="1094" spans="1:6" ht="16.5">
      <c r="A1094" s="298" t="s">
        <v>2644</v>
      </c>
      <c r="B1094" s="19" t="s">
        <v>313</v>
      </c>
      <c r="C1094" s="267">
        <v>44252</v>
      </c>
      <c r="E1094" s="267"/>
      <c r="F1094" s="283"/>
    </row>
    <row r="1095" spans="1:6" ht="16.5">
      <c r="A1095" s="298" t="s">
        <v>2641</v>
      </c>
      <c r="B1095" s="19" t="s">
        <v>313</v>
      </c>
      <c r="C1095" s="267">
        <v>44252</v>
      </c>
      <c r="E1095" s="267"/>
      <c r="F1095" s="283"/>
    </row>
    <row r="1096" spans="1:6" ht="16.5">
      <c r="A1096" s="298" t="s">
        <v>2631</v>
      </c>
      <c r="B1096" s="19" t="s">
        <v>313</v>
      </c>
      <c r="C1096" s="267">
        <v>44252</v>
      </c>
      <c r="E1096" s="267"/>
      <c r="F1096" s="283"/>
    </row>
    <row r="1097" spans="1:6" ht="16.5">
      <c r="A1097" s="298" t="s">
        <v>2635</v>
      </c>
      <c r="B1097" s="19" t="s">
        <v>313</v>
      </c>
      <c r="C1097" s="267">
        <v>44253</v>
      </c>
      <c r="E1097" s="267"/>
      <c r="F1097" s="283"/>
    </row>
    <row r="1098" spans="1:6" ht="16.5">
      <c r="A1098" s="298" t="s">
        <v>2564</v>
      </c>
      <c r="B1098" s="19" t="s">
        <v>313</v>
      </c>
      <c r="C1098" s="267">
        <v>44253</v>
      </c>
      <c r="E1098" s="267"/>
      <c r="F1098" s="283"/>
    </row>
    <row r="1099" spans="1:6" ht="16.5">
      <c r="A1099" s="298" t="s">
        <v>2641</v>
      </c>
      <c r="B1099" s="19" t="s">
        <v>313</v>
      </c>
      <c r="C1099" s="267">
        <v>44253</v>
      </c>
      <c r="E1099" s="267"/>
      <c r="F1099" s="283"/>
    </row>
    <row r="1100" spans="1:6" ht="16.5">
      <c r="A1100" s="298" t="s">
        <v>2639</v>
      </c>
      <c r="B1100" s="19" t="s">
        <v>313</v>
      </c>
      <c r="C1100" s="267">
        <v>44253</v>
      </c>
      <c r="E1100" s="267"/>
      <c r="F1100" s="283"/>
    </row>
    <row r="1101" spans="1:6" ht="16.5">
      <c r="A1101" s="298" t="s">
        <v>2637</v>
      </c>
      <c r="B1101" s="19" t="s">
        <v>313</v>
      </c>
      <c r="C1101" s="267">
        <v>44253</v>
      </c>
      <c r="E1101" s="267"/>
      <c r="F1101" s="283"/>
    </row>
    <row r="1102" spans="1:6" ht="16.5">
      <c r="A1102" s="298" t="s">
        <v>2631</v>
      </c>
      <c r="B1102" s="19" t="s">
        <v>313</v>
      </c>
      <c r="C1102" s="267">
        <v>44253</v>
      </c>
      <c r="E1102" s="267"/>
      <c r="F1102" s="283"/>
    </row>
    <row r="1103" spans="1:6" ht="16.5">
      <c r="A1103" s="298" t="s">
        <v>2635</v>
      </c>
      <c r="B1103" s="19" t="s">
        <v>313</v>
      </c>
      <c r="C1103" s="267">
        <v>44254</v>
      </c>
      <c r="E1103" s="267"/>
      <c r="F1103" s="283"/>
    </row>
    <row r="1104" spans="1:6" ht="16.5">
      <c r="A1104" s="298" t="s">
        <v>2633</v>
      </c>
      <c r="B1104" s="19" t="s">
        <v>313</v>
      </c>
      <c r="C1104" s="267">
        <v>44254</v>
      </c>
      <c r="E1104" s="267"/>
      <c r="F1104" s="283"/>
    </row>
    <row r="1105" spans="1:6" ht="16.5">
      <c r="A1105" s="298" t="s">
        <v>2631</v>
      </c>
      <c r="B1105" s="19" t="s">
        <v>313</v>
      </c>
      <c r="C1105" s="267">
        <v>44254</v>
      </c>
      <c r="E1105" s="267"/>
      <c r="F1105" s="283"/>
    </row>
    <row r="1106" spans="1:6" ht="16.5">
      <c r="A1106" s="298" t="s">
        <v>2558</v>
      </c>
      <c r="B1106" s="19" t="s">
        <v>313</v>
      </c>
      <c r="C1106" s="267">
        <v>44254</v>
      </c>
      <c r="E1106" s="267"/>
      <c r="F1106" s="283"/>
    </row>
    <row r="1107" spans="1:6" ht="16.5">
      <c r="A1107" s="298" t="s">
        <v>2623</v>
      </c>
      <c r="B1107" s="19" t="s">
        <v>313</v>
      </c>
      <c r="C1107" s="267">
        <v>44254</v>
      </c>
      <c r="E1107" s="267"/>
      <c r="F1107" s="283"/>
    </row>
    <row r="1108" spans="1:6" ht="16.5">
      <c r="A1108" s="298" t="s">
        <v>2629</v>
      </c>
      <c r="B1108" s="19" t="s">
        <v>313</v>
      </c>
      <c r="C1108" s="267">
        <v>44254</v>
      </c>
      <c r="E1108" s="267"/>
      <c r="F1108" s="283"/>
    </row>
    <row r="1109" spans="1:6" ht="16.5">
      <c r="A1109" s="298" t="s">
        <v>2627</v>
      </c>
      <c r="B1109" s="19" t="s">
        <v>313</v>
      </c>
      <c r="C1109" s="267">
        <v>44254</v>
      </c>
      <c r="E1109" s="267"/>
      <c r="F1109" s="283"/>
    </row>
    <row r="1110" spans="1:6" ht="16.5">
      <c r="A1110" s="298" t="s">
        <v>2526</v>
      </c>
      <c r="B1110" s="19" t="s">
        <v>313</v>
      </c>
      <c r="C1110" s="267">
        <v>44256</v>
      </c>
      <c r="E1110" s="267"/>
      <c r="F1110" s="283"/>
    </row>
    <row r="1111" spans="1:6" ht="16.5">
      <c r="A1111" s="298" t="s">
        <v>2625</v>
      </c>
      <c r="B1111" s="19" t="s">
        <v>313</v>
      </c>
      <c r="C1111" s="267">
        <v>44258</v>
      </c>
      <c r="E1111" s="267"/>
      <c r="F1111" s="283"/>
    </row>
    <row r="1112" spans="1:6" ht="16.5">
      <c r="A1112" s="298" t="s">
        <v>2623</v>
      </c>
      <c r="B1112" s="19" t="s">
        <v>313</v>
      </c>
      <c r="C1112" s="267">
        <v>44258</v>
      </c>
      <c r="E1112" s="267"/>
      <c r="F1112" s="283"/>
    </row>
    <row r="1113" spans="1:6" ht="16.5">
      <c r="A1113" s="298" t="s">
        <v>2621</v>
      </c>
      <c r="B1113" s="19" t="s">
        <v>313</v>
      </c>
      <c r="C1113" s="267">
        <v>44259</v>
      </c>
      <c r="E1113" s="267"/>
      <c r="F1113" s="283"/>
    </row>
    <row r="1114" spans="1:6" ht="16.5">
      <c r="A1114" s="298" t="s">
        <v>2619</v>
      </c>
      <c r="B1114" s="19" t="s">
        <v>313</v>
      </c>
      <c r="C1114" s="267">
        <v>44259</v>
      </c>
      <c r="E1114" s="267"/>
      <c r="F1114" s="283"/>
    </row>
    <row r="1115" spans="1:6" ht="16.5">
      <c r="A1115" s="298" t="s">
        <v>2617</v>
      </c>
      <c r="B1115" s="19" t="s">
        <v>313</v>
      </c>
      <c r="C1115" s="267">
        <v>44260</v>
      </c>
      <c r="E1115" s="267"/>
      <c r="F1115" s="283"/>
    </row>
    <row r="1116" spans="1:6" ht="28.5">
      <c r="A1116" s="298" t="s">
        <v>2550</v>
      </c>
      <c r="B1116" s="19" t="s">
        <v>313</v>
      </c>
      <c r="C1116" s="267">
        <v>44264</v>
      </c>
      <c r="E1116" s="267"/>
      <c r="F1116" s="283"/>
    </row>
    <row r="1117" spans="1:6" ht="28.5">
      <c r="A1117" s="298" t="s">
        <v>2615</v>
      </c>
      <c r="B1117" s="19" t="s">
        <v>313</v>
      </c>
      <c r="C1117" s="267">
        <v>44264</v>
      </c>
      <c r="E1117" s="267"/>
      <c r="F1117" s="283"/>
    </row>
    <row r="1118" spans="1:6" ht="16.5">
      <c r="A1118" s="298" t="s">
        <v>2611</v>
      </c>
      <c r="B1118" s="19" t="s">
        <v>313</v>
      </c>
      <c r="C1118" s="267">
        <v>44264</v>
      </c>
      <c r="E1118" s="267"/>
      <c r="F1118" s="283"/>
    </row>
    <row r="1119" spans="1:6" ht="16.5">
      <c r="A1119" s="298" t="s">
        <v>2603</v>
      </c>
      <c r="B1119" s="19" t="s">
        <v>313</v>
      </c>
      <c r="C1119" s="267">
        <v>44265</v>
      </c>
      <c r="E1119" s="267"/>
      <c r="F1119" s="283"/>
    </row>
    <row r="1120" spans="1:6" ht="28.5">
      <c r="A1120" s="298" t="s">
        <v>2597</v>
      </c>
      <c r="B1120" s="19" t="s">
        <v>313</v>
      </c>
      <c r="C1120" s="267">
        <v>44267</v>
      </c>
      <c r="E1120" s="267"/>
      <c r="F1120" s="283"/>
    </row>
    <row r="1121" spans="1:6" ht="16.5">
      <c r="A1121" s="298" t="s">
        <v>2593</v>
      </c>
      <c r="B1121" s="19" t="s">
        <v>313</v>
      </c>
      <c r="C1121" s="267">
        <v>44267</v>
      </c>
      <c r="E1121" s="267"/>
      <c r="F1121" s="283"/>
    </row>
    <row r="1122" spans="1:6" ht="16.5">
      <c r="A1122" s="298" t="s">
        <v>2591</v>
      </c>
      <c r="B1122" s="19" t="s">
        <v>313</v>
      </c>
      <c r="C1122" s="267">
        <v>44268</v>
      </c>
      <c r="E1122" s="267"/>
      <c r="F1122" s="283"/>
    </row>
    <row r="1123" spans="1:6" ht="16.5">
      <c r="A1123" s="298" t="s">
        <v>2589</v>
      </c>
      <c r="B1123" s="19" t="s">
        <v>313</v>
      </c>
      <c r="C1123" s="267">
        <v>44268</v>
      </c>
      <c r="E1123" s="267"/>
      <c r="F1123" s="283"/>
    </row>
    <row r="1124" spans="1:6" ht="16.5">
      <c r="A1124" s="298" t="s">
        <v>2539</v>
      </c>
      <c r="B1124" s="19" t="s">
        <v>313</v>
      </c>
      <c r="C1124" s="267">
        <v>44268</v>
      </c>
      <c r="E1124" s="267"/>
      <c r="F1124" s="283"/>
    </row>
    <row r="1125" spans="1:6" ht="16.5">
      <c r="A1125" s="298" t="s">
        <v>2582</v>
      </c>
      <c r="B1125" s="19" t="s">
        <v>313</v>
      </c>
      <c r="C1125" s="267">
        <v>44269</v>
      </c>
      <c r="E1125" s="267"/>
      <c r="F1125" s="283"/>
    </row>
    <row r="1126" spans="1:6" ht="16.5">
      <c r="A1126" s="298" t="s">
        <v>2578</v>
      </c>
      <c r="B1126" s="19" t="s">
        <v>313</v>
      </c>
      <c r="C1126" s="267">
        <v>44271</v>
      </c>
      <c r="E1126" s="267"/>
      <c r="F1126" s="283"/>
    </row>
    <row r="1127" spans="1:6" ht="16.5">
      <c r="A1127" s="298" t="s">
        <v>2576</v>
      </c>
      <c r="B1127" s="19" t="s">
        <v>313</v>
      </c>
      <c r="C1127" s="267">
        <v>44277</v>
      </c>
      <c r="E1127" s="267"/>
      <c r="F1127" s="283"/>
    </row>
    <row r="1128" spans="1:6" ht="16.5">
      <c r="A1128" s="298" t="s">
        <v>2574</v>
      </c>
      <c r="B1128" s="19" t="s">
        <v>313</v>
      </c>
      <c r="C1128" s="267">
        <v>44277</v>
      </c>
      <c r="E1128" s="267"/>
      <c r="F1128" s="283"/>
    </row>
    <row r="1129" spans="1:6" ht="16.5">
      <c r="A1129" s="298" t="s">
        <v>2572</v>
      </c>
      <c r="B1129" s="19" t="s">
        <v>313</v>
      </c>
      <c r="C1129" s="267">
        <v>44277</v>
      </c>
      <c r="E1129" s="267"/>
      <c r="F1129" s="283"/>
    </row>
    <row r="1130" spans="1:6" ht="16.5">
      <c r="A1130" s="298" t="s">
        <v>2568</v>
      </c>
      <c r="B1130" s="19" t="s">
        <v>313</v>
      </c>
      <c r="C1130" s="267">
        <v>44278</v>
      </c>
      <c r="E1130" s="267"/>
      <c r="F1130" s="283"/>
    </row>
    <row r="1131" spans="1:6" ht="16.5">
      <c r="A1131" s="298" t="s">
        <v>2570</v>
      </c>
      <c r="B1131" s="19" t="s">
        <v>313</v>
      </c>
      <c r="C1131" s="267">
        <v>44279</v>
      </c>
      <c r="E1131" s="267"/>
      <c r="F1131" s="283"/>
    </row>
    <row r="1132" spans="1:6" ht="16.5">
      <c r="A1132" s="298" t="s">
        <v>2568</v>
      </c>
      <c r="B1132" s="19" t="s">
        <v>313</v>
      </c>
      <c r="C1132" s="267">
        <v>44279</v>
      </c>
      <c r="E1132" s="267"/>
      <c r="F1132" s="283"/>
    </row>
    <row r="1133" spans="1:6" ht="16.5">
      <c r="A1133" s="298" t="s">
        <v>2566</v>
      </c>
      <c r="B1133" s="19" t="s">
        <v>313</v>
      </c>
      <c r="C1133" s="267">
        <v>44280</v>
      </c>
      <c r="E1133" s="267"/>
      <c r="F1133" s="283"/>
    </row>
    <row r="1134" spans="1:6" ht="16.5">
      <c r="A1134" s="298" t="s">
        <v>2564</v>
      </c>
      <c r="B1134" s="19" t="s">
        <v>313</v>
      </c>
      <c r="C1134" s="267">
        <v>44280</v>
      </c>
      <c r="E1134" s="267"/>
      <c r="F1134" s="283"/>
    </row>
    <row r="1135" spans="1:6" ht="28.5">
      <c r="A1135" s="298" t="s">
        <v>2562</v>
      </c>
      <c r="B1135" s="19" t="s">
        <v>313</v>
      </c>
      <c r="C1135" s="267">
        <v>44280</v>
      </c>
      <c r="E1135" s="267"/>
      <c r="F1135" s="283"/>
    </row>
    <row r="1136" spans="1:6" ht="16.5">
      <c r="A1136" s="298" t="s">
        <v>2560</v>
      </c>
      <c r="B1136" s="19" t="s">
        <v>313</v>
      </c>
      <c r="C1136" s="267">
        <v>44280</v>
      </c>
      <c r="E1136" s="267"/>
      <c r="F1136" s="283"/>
    </row>
    <row r="1137" spans="1:6" ht="16.5">
      <c r="A1137" s="298" t="s">
        <v>2558</v>
      </c>
      <c r="B1137" s="19" t="s">
        <v>313</v>
      </c>
      <c r="C1137" s="267">
        <v>44280</v>
      </c>
      <c r="E1137" s="267"/>
      <c r="F1137" s="283"/>
    </row>
    <row r="1138" spans="1:6" ht="16.5">
      <c r="A1138" s="298" t="s">
        <v>2556</v>
      </c>
      <c r="B1138" s="19" t="s">
        <v>313</v>
      </c>
      <c r="C1138" s="267">
        <v>44280</v>
      </c>
      <c r="E1138" s="267"/>
      <c r="F1138" s="283"/>
    </row>
    <row r="1139" spans="1:6" ht="16.5">
      <c r="A1139" s="298" t="s">
        <v>2554</v>
      </c>
      <c r="B1139" s="19" t="s">
        <v>313</v>
      </c>
      <c r="C1139" s="267">
        <v>44280</v>
      </c>
      <c r="E1139" s="267"/>
      <c r="F1139" s="283"/>
    </row>
    <row r="1140" spans="1:6" ht="16.5">
      <c r="A1140" s="298" t="s">
        <v>2552</v>
      </c>
      <c r="B1140" s="19" t="s">
        <v>313</v>
      </c>
      <c r="C1140" s="267">
        <v>44280</v>
      </c>
      <c r="E1140" s="267"/>
      <c r="F1140" s="283"/>
    </row>
    <row r="1141" spans="1:6" ht="28.5">
      <c r="A1141" s="298" t="s">
        <v>2550</v>
      </c>
      <c r="B1141" s="19" t="s">
        <v>313</v>
      </c>
      <c r="C1141" s="267">
        <v>44280</v>
      </c>
      <c r="E1141" s="267"/>
      <c r="F1141" s="283"/>
    </row>
    <row r="1142" spans="1:6" ht="28.5">
      <c r="A1142" s="298" t="s">
        <v>2547</v>
      </c>
      <c r="B1142" s="19" t="s">
        <v>313</v>
      </c>
      <c r="C1142" s="267">
        <v>44280</v>
      </c>
      <c r="E1142" s="267"/>
      <c r="F1142" s="283"/>
    </row>
    <row r="1143" spans="1:6" ht="28.5">
      <c r="A1143" s="298" t="s">
        <v>2547</v>
      </c>
      <c r="B1143" s="19" t="s">
        <v>313</v>
      </c>
      <c r="C1143" s="267">
        <v>44280</v>
      </c>
      <c r="E1143" s="267"/>
      <c r="F1143" s="283"/>
    </row>
    <row r="1144" spans="1:6" ht="16.5">
      <c r="A1144" s="298" t="s">
        <v>2545</v>
      </c>
      <c r="B1144" s="19" t="s">
        <v>313</v>
      </c>
      <c r="C1144" s="267">
        <v>44280</v>
      </c>
      <c r="E1144" s="267"/>
      <c r="F1144" s="283"/>
    </row>
    <row r="1145" spans="1:6" ht="16.5">
      <c r="A1145" s="298" t="s">
        <v>2543</v>
      </c>
      <c r="B1145" s="19" t="s">
        <v>313</v>
      </c>
      <c r="C1145" s="267">
        <v>44280</v>
      </c>
      <c r="E1145" s="267"/>
      <c r="F1145" s="283"/>
    </row>
    <row r="1146" spans="1:6" ht="28.5">
      <c r="A1146" s="298" t="s">
        <v>2541</v>
      </c>
      <c r="B1146" s="19" t="s">
        <v>313</v>
      </c>
      <c r="C1146" s="267">
        <v>44280</v>
      </c>
      <c r="E1146" s="267"/>
      <c r="F1146" s="283"/>
    </row>
    <row r="1147" spans="1:6" ht="16.5">
      <c r="A1147" s="298" t="s">
        <v>2539</v>
      </c>
      <c r="B1147" s="19" t="s">
        <v>313</v>
      </c>
      <c r="C1147" s="267">
        <v>44280</v>
      </c>
      <c r="E1147" s="267"/>
      <c r="F1147" s="283"/>
    </row>
    <row r="1148" spans="1:6" ht="16.5">
      <c r="A1148" s="298" t="s">
        <v>2537</v>
      </c>
      <c r="B1148" s="19" t="s">
        <v>313</v>
      </c>
      <c r="C1148" s="267">
        <v>44280</v>
      </c>
      <c r="E1148" s="267"/>
      <c r="F1148" s="283"/>
    </row>
    <row r="1149" spans="1:6" ht="16.5">
      <c r="A1149" s="298" t="s">
        <v>2535</v>
      </c>
      <c r="B1149" s="19" t="s">
        <v>313</v>
      </c>
      <c r="C1149" s="267">
        <v>44280</v>
      </c>
      <c r="E1149" s="267"/>
      <c r="F1149" s="283"/>
    </row>
    <row r="1150" spans="1:6" ht="16.5">
      <c r="A1150" s="298" t="s">
        <v>2532</v>
      </c>
      <c r="B1150" s="19" t="s">
        <v>313</v>
      </c>
      <c r="C1150" s="267">
        <v>44280</v>
      </c>
      <c r="E1150" s="267"/>
      <c r="F1150" s="283"/>
    </row>
    <row r="1151" spans="1:6" ht="16.5">
      <c r="A1151" s="298" t="s">
        <v>2526</v>
      </c>
      <c r="B1151" s="19" t="s">
        <v>313</v>
      </c>
      <c r="C1151" s="267">
        <v>44280</v>
      </c>
      <c r="E1151" s="267"/>
      <c r="F1151" s="283"/>
    </row>
    <row r="1152" spans="1:6" ht="16.5">
      <c r="A1152" s="298" t="s">
        <v>2556</v>
      </c>
      <c r="B1152" s="19" t="s">
        <v>313</v>
      </c>
      <c r="C1152" s="267">
        <v>44282</v>
      </c>
      <c r="E1152" s="267"/>
      <c r="F1152" s="283"/>
    </row>
    <row r="1153" spans="1:6" ht="16.5">
      <c r="A1153" s="298" t="s">
        <v>3355</v>
      </c>
      <c r="B1153" s="19" t="s">
        <v>313</v>
      </c>
      <c r="C1153" s="267">
        <v>44282</v>
      </c>
      <c r="E1153" s="267"/>
      <c r="F1153" s="283"/>
    </row>
    <row r="1154" spans="1:6" ht="16.5">
      <c r="A1154" s="298" t="s">
        <v>3420</v>
      </c>
      <c r="B1154" s="19" t="s">
        <v>313</v>
      </c>
      <c r="C1154" s="267">
        <v>44282</v>
      </c>
      <c r="E1154" s="267"/>
      <c r="F1154" s="283"/>
    </row>
    <row r="1155" spans="1:6" ht="16.5">
      <c r="A1155" s="298" t="s">
        <v>3418</v>
      </c>
      <c r="B1155" s="19" t="s">
        <v>313</v>
      </c>
      <c r="C1155" s="267">
        <v>44282</v>
      </c>
      <c r="E1155" s="267"/>
      <c r="F1155" s="283"/>
    </row>
    <row r="1156" spans="1:6" ht="16.5">
      <c r="A1156" s="298" t="s">
        <v>3416</v>
      </c>
      <c r="B1156" s="19" t="s">
        <v>313</v>
      </c>
      <c r="C1156" s="267">
        <v>44282</v>
      </c>
      <c r="E1156" s="267"/>
      <c r="F1156" s="283"/>
    </row>
    <row r="1157" spans="1:6" ht="16.5">
      <c r="A1157" s="298" t="s">
        <v>3414</v>
      </c>
      <c r="B1157" s="19" t="s">
        <v>313</v>
      </c>
      <c r="C1157" s="267">
        <v>44282</v>
      </c>
      <c r="E1157" s="267"/>
      <c r="F1157" s="283"/>
    </row>
    <row r="1158" spans="1:6" ht="28.5">
      <c r="A1158" s="298" t="s">
        <v>2672</v>
      </c>
      <c r="B1158" s="19" t="s">
        <v>313</v>
      </c>
      <c r="C1158" s="267">
        <v>44282</v>
      </c>
      <c r="E1158" s="267"/>
      <c r="F1158" s="283"/>
    </row>
    <row r="1159" spans="1:6" ht="16.5">
      <c r="A1159" s="298" t="s">
        <v>3411</v>
      </c>
      <c r="B1159" s="19" t="s">
        <v>313</v>
      </c>
      <c r="C1159" s="267">
        <v>44282</v>
      </c>
      <c r="E1159" s="267"/>
      <c r="F1159" s="283"/>
    </row>
    <row r="1160" spans="1:6" ht="16.5">
      <c r="A1160" s="298" t="s">
        <v>3409</v>
      </c>
      <c r="B1160" s="19" t="s">
        <v>313</v>
      </c>
      <c r="C1160" s="267">
        <v>44282</v>
      </c>
      <c r="E1160" s="267"/>
      <c r="F1160" s="283"/>
    </row>
    <row r="1161" spans="1:6" ht="16.5">
      <c r="A1161" s="298" t="s">
        <v>2619</v>
      </c>
      <c r="B1161" s="19" t="s">
        <v>313</v>
      </c>
      <c r="C1161" s="267">
        <v>44282</v>
      </c>
      <c r="E1161" s="267"/>
      <c r="F1161" s="283"/>
    </row>
    <row r="1162" spans="1:6" ht="16.5">
      <c r="A1162" s="298" t="s">
        <v>3407</v>
      </c>
      <c r="B1162" s="19" t="s">
        <v>313</v>
      </c>
      <c r="C1162" s="267">
        <v>44284</v>
      </c>
      <c r="E1162" s="267"/>
      <c r="F1162" s="283"/>
    </row>
    <row r="1163" spans="1:6" ht="16.5">
      <c r="A1163" s="298" t="s">
        <v>3405</v>
      </c>
      <c r="B1163" s="19" t="s">
        <v>313</v>
      </c>
      <c r="C1163" s="267">
        <v>44284</v>
      </c>
      <c r="E1163" s="267"/>
      <c r="F1163" s="283"/>
    </row>
    <row r="1164" spans="1:6" ht="16.5">
      <c r="A1164" s="298" t="s">
        <v>3374</v>
      </c>
      <c r="B1164" s="19" t="s">
        <v>313</v>
      </c>
      <c r="C1164" s="267">
        <v>44284</v>
      </c>
      <c r="E1164" s="267"/>
      <c r="F1164" s="283"/>
    </row>
    <row r="1165" spans="1:6" ht="16.5">
      <c r="A1165" s="298" t="s">
        <v>2530</v>
      </c>
      <c r="B1165" s="19" t="s">
        <v>313</v>
      </c>
      <c r="C1165" s="267">
        <v>44284</v>
      </c>
      <c r="E1165" s="267"/>
      <c r="F1165" s="283"/>
    </row>
    <row r="1166" spans="1:6" ht="16.5">
      <c r="A1166" s="298" t="s">
        <v>2754</v>
      </c>
      <c r="B1166" s="19" t="s">
        <v>313</v>
      </c>
      <c r="C1166" s="267">
        <v>44284</v>
      </c>
      <c r="E1166" s="267"/>
      <c r="F1166" s="283"/>
    </row>
    <row r="1167" spans="1:6" ht="16.5">
      <c r="A1167" s="298" t="s">
        <v>3400</v>
      </c>
      <c r="B1167" s="19" t="s">
        <v>313</v>
      </c>
      <c r="C1167" s="267">
        <v>44284</v>
      </c>
      <c r="E1167" s="267"/>
      <c r="F1167" s="283"/>
    </row>
    <row r="1168" spans="1:6" ht="16.5">
      <c r="A1168" s="298" t="s">
        <v>3400</v>
      </c>
      <c r="B1168" s="19" t="s">
        <v>313</v>
      </c>
      <c r="C1168" s="267">
        <v>44284</v>
      </c>
      <c r="E1168" s="267"/>
      <c r="F1168" s="283"/>
    </row>
    <row r="1169" spans="1:6" ht="16.5">
      <c r="A1169" s="298" t="s">
        <v>3398</v>
      </c>
      <c r="B1169" s="19" t="s">
        <v>313</v>
      </c>
      <c r="C1169" s="267">
        <v>44292</v>
      </c>
      <c r="E1169" s="267"/>
      <c r="F1169" s="283"/>
    </row>
    <row r="1170" spans="1:6" ht="16.5">
      <c r="A1170" s="298" t="s">
        <v>2824</v>
      </c>
      <c r="B1170" s="19" t="s">
        <v>313</v>
      </c>
      <c r="C1170" s="267">
        <v>44292</v>
      </c>
      <c r="E1170" s="267"/>
      <c r="F1170" s="283"/>
    </row>
    <row r="1171" spans="1:6" ht="16.5">
      <c r="A1171" s="298" t="s">
        <v>3395</v>
      </c>
      <c r="B1171" s="19" t="s">
        <v>313</v>
      </c>
      <c r="C1171" s="267">
        <v>44292</v>
      </c>
      <c r="E1171" s="267"/>
      <c r="F1171" s="283"/>
    </row>
    <row r="1172" spans="1:6" ht="16.5">
      <c r="A1172" s="298" t="s">
        <v>3393</v>
      </c>
      <c r="B1172" s="19" t="s">
        <v>313</v>
      </c>
      <c r="C1172" s="267">
        <v>44292</v>
      </c>
      <c r="E1172" s="267"/>
      <c r="F1172" s="283"/>
    </row>
    <row r="1173" spans="1:6" ht="16.5">
      <c r="A1173" s="298" t="s">
        <v>3391</v>
      </c>
      <c r="B1173" s="19" t="s">
        <v>313</v>
      </c>
      <c r="C1173" s="267">
        <v>44293</v>
      </c>
      <c r="E1173" s="267"/>
      <c r="F1173" s="283"/>
    </row>
    <row r="1174" spans="1:6" ht="16.5">
      <c r="A1174" s="298" t="s">
        <v>3389</v>
      </c>
      <c r="B1174" s="19" t="s">
        <v>313</v>
      </c>
      <c r="C1174" s="267">
        <v>44293</v>
      </c>
      <c r="E1174" s="267"/>
      <c r="F1174" s="283"/>
    </row>
    <row r="1175" spans="1:6" ht="16.5">
      <c r="A1175" s="298" t="s">
        <v>2635</v>
      </c>
      <c r="B1175" s="19" t="s">
        <v>313</v>
      </c>
      <c r="C1175" s="267">
        <v>44293</v>
      </c>
      <c r="E1175" s="267"/>
      <c r="F1175" s="283"/>
    </row>
    <row r="1176" spans="1:6" ht="16.5">
      <c r="A1176" s="298" t="s">
        <v>3386</v>
      </c>
      <c r="B1176" s="19" t="s">
        <v>313</v>
      </c>
      <c r="C1176" s="267">
        <v>44293</v>
      </c>
      <c r="E1176" s="267"/>
      <c r="F1176" s="283"/>
    </row>
    <row r="1177" spans="1:6" ht="16.5">
      <c r="A1177" s="298" t="s">
        <v>2611</v>
      </c>
      <c r="B1177" s="19" t="s">
        <v>313</v>
      </c>
      <c r="C1177" s="267">
        <v>44293</v>
      </c>
      <c r="E1177" s="267"/>
      <c r="F1177" s="283"/>
    </row>
    <row r="1178" spans="1:6" ht="16.5">
      <c r="A1178" s="298" t="s">
        <v>2603</v>
      </c>
      <c r="B1178" s="19" t="s">
        <v>313</v>
      </c>
      <c r="C1178" s="267">
        <v>44293</v>
      </c>
      <c r="E1178" s="267"/>
      <c r="F1178" s="283"/>
    </row>
    <row r="1179" spans="1:6" ht="16.5">
      <c r="A1179" s="298" t="s">
        <v>3383</v>
      </c>
      <c r="B1179" s="19" t="s">
        <v>313</v>
      </c>
      <c r="C1179" s="267">
        <v>44293</v>
      </c>
      <c r="E1179" s="267"/>
      <c r="F1179" s="283"/>
    </row>
    <row r="1180" spans="1:6" ht="16.5">
      <c r="A1180" s="298" t="s">
        <v>3381</v>
      </c>
      <c r="B1180" s="19" t="s">
        <v>313</v>
      </c>
      <c r="C1180" s="267">
        <v>44293</v>
      </c>
      <c r="E1180" s="267"/>
      <c r="F1180" s="283"/>
    </row>
    <row r="1181" spans="1:6" ht="16.5">
      <c r="A1181" s="298" t="s">
        <v>3379</v>
      </c>
      <c r="B1181" s="19" t="s">
        <v>313</v>
      </c>
      <c r="C1181" s="267">
        <v>44293</v>
      </c>
      <c r="E1181" s="267"/>
      <c r="F1181" s="283"/>
    </row>
    <row r="1182" spans="1:6" ht="16.5">
      <c r="A1182" s="298" t="s">
        <v>2666</v>
      </c>
      <c r="B1182" s="19" t="s">
        <v>313</v>
      </c>
      <c r="C1182" s="267">
        <v>44293</v>
      </c>
      <c r="E1182" s="267"/>
      <c r="F1182" s="283"/>
    </row>
    <row r="1183" spans="1:6" ht="16.5">
      <c r="A1183" s="298" t="s">
        <v>3376</v>
      </c>
      <c r="B1183" s="19" t="s">
        <v>313</v>
      </c>
      <c r="C1183" s="267">
        <v>44293</v>
      </c>
      <c r="E1183" s="267"/>
      <c r="F1183" s="283"/>
    </row>
    <row r="1184" spans="1:6" ht="16.5">
      <c r="A1184" s="298" t="s">
        <v>3374</v>
      </c>
      <c r="B1184" s="19" t="s">
        <v>313</v>
      </c>
      <c r="C1184" s="267">
        <v>44293</v>
      </c>
      <c r="E1184" s="267"/>
      <c r="F1184" s="283"/>
    </row>
    <row r="1185" spans="1:6" ht="16.5">
      <c r="A1185" s="298" t="s">
        <v>2578</v>
      </c>
      <c r="B1185" s="19" t="s">
        <v>313</v>
      </c>
      <c r="C1185" s="267">
        <v>44293</v>
      </c>
      <c r="E1185" s="267"/>
      <c r="F1185" s="283"/>
    </row>
    <row r="1186" spans="1:6" ht="16.5">
      <c r="A1186" s="298" t="s">
        <v>3371</v>
      </c>
      <c r="B1186" s="19" t="s">
        <v>313</v>
      </c>
      <c r="C1186" s="267">
        <v>44293</v>
      </c>
      <c r="E1186" s="267"/>
      <c r="F1186" s="283"/>
    </row>
    <row r="1187" spans="1:6" ht="16.5">
      <c r="A1187" s="298" t="s">
        <v>3340</v>
      </c>
      <c r="B1187" s="19" t="s">
        <v>313</v>
      </c>
      <c r="C1187" s="267">
        <v>44293</v>
      </c>
      <c r="E1187" s="267"/>
      <c r="F1187" s="283"/>
    </row>
    <row r="1188" spans="1:6" ht="28.5">
      <c r="A1188" s="298" t="s">
        <v>2597</v>
      </c>
      <c r="B1188" s="19" t="s">
        <v>313</v>
      </c>
      <c r="C1188" s="267">
        <v>44293</v>
      </c>
      <c r="E1188" s="267"/>
      <c r="F1188" s="283"/>
    </row>
    <row r="1189" spans="1:6" ht="16.5">
      <c r="A1189" s="298" t="s">
        <v>3368</v>
      </c>
      <c r="B1189" s="19" t="s">
        <v>313</v>
      </c>
      <c r="C1189" s="267">
        <v>44293</v>
      </c>
      <c r="E1189" s="267"/>
      <c r="F1189" s="283"/>
    </row>
    <row r="1190" spans="1:6" ht="16.5">
      <c r="A1190" s="298" t="s">
        <v>3366</v>
      </c>
      <c r="B1190" s="19" t="s">
        <v>313</v>
      </c>
      <c r="C1190" s="267">
        <v>44301</v>
      </c>
      <c r="E1190" s="267"/>
      <c r="F1190" s="283"/>
    </row>
    <row r="1191" spans="1:6" ht="16.5">
      <c r="A1191" s="298" t="s">
        <v>2576</v>
      </c>
      <c r="B1191" s="19" t="s">
        <v>313</v>
      </c>
      <c r="C1191" s="267">
        <v>44304</v>
      </c>
      <c r="E1191" s="267"/>
      <c r="F1191" s="283"/>
    </row>
    <row r="1192" spans="1:6" ht="16.5">
      <c r="A1192" s="298" t="s">
        <v>3364</v>
      </c>
      <c r="B1192" s="19" t="s">
        <v>313</v>
      </c>
      <c r="C1192" s="267">
        <v>44305</v>
      </c>
      <c r="E1192" s="267"/>
      <c r="F1192" s="283"/>
    </row>
    <row r="1193" spans="1:6" ht="16.5">
      <c r="A1193" s="298" t="s">
        <v>3362</v>
      </c>
      <c r="B1193" s="19" t="s">
        <v>313</v>
      </c>
      <c r="C1193" s="267">
        <v>44305</v>
      </c>
      <c r="E1193" s="267"/>
      <c r="F1193" s="283"/>
    </row>
    <row r="1194" spans="1:6" ht="16.5">
      <c r="A1194" s="298" t="s">
        <v>3360</v>
      </c>
      <c r="B1194" s="19" t="s">
        <v>313</v>
      </c>
      <c r="C1194" s="267">
        <v>44305</v>
      </c>
      <c r="E1194" s="267"/>
      <c r="F1194" s="283"/>
    </row>
    <row r="1195" spans="1:6" ht="16.5">
      <c r="A1195" s="298" t="s">
        <v>2589</v>
      </c>
      <c r="B1195" s="19" t="s">
        <v>313</v>
      </c>
      <c r="C1195" s="267">
        <v>44305</v>
      </c>
      <c r="E1195" s="267"/>
      <c r="F1195" s="283"/>
    </row>
    <row r="1196" spans="1:6" ht="28.5">
      <c r="A1196" s="298" t="s">
        <v>3358</v>
      </c>
      <c r="B1196" s="19" t="s">
        <v>313</v>
      </c>
      <c r="C1196" s="267">
        <v>44305</v>
      </c>
      <c r="E1196" s="267"/>
      <c r="F1196" s="283"/>
    </row>
    <row r="1197" spans="1:6" ht="16.5">
      <c r="A1197" s="298" t="s">
        <v>2595</v>
      </c>
      <c r="B1197" s="19" t="s">
        <v>313</v>
      </c>
      <c r="C1197" s="267">
        <v>44305</v>
      </c>
      <c r="E1197" s="267"/>
      <c r="F1197" s="283"/>
    </row>
    <row r="1198" spans="1:6" ht="28.5">
      <c r="A1198" s="298" t="s">
        <v>3342</v>
      </c>
      <c r="B1198" s="19" t="s">
        <v>313</v>
      </c>
      <c r="C1198" s="267">
        <v>44305</v>
      </c>
      <c r="E1198" s="267"/>
      <c r="F1198" s="283"/>
    </row>
    <row r="1199" spans="1:6" ht="16.5">
      <c r="A1199" s="298" t="s">
        <v>2619</v>
      </c>
      <c r="B1199" s="19" t="s">
        <v>313</v>
      </c>
      <c r="C1199" s="267">
        <v>44305</v>
      </c>
      <c r="E1199" s="267"/>
      <c r="F1199" s="283"/>
    </row>
    <row r="1200" spans="1:6" ht="16.5">
      <c r="A1200" s="298" t="s">
        <v>3355</v>
      </c>
      <c r="B1200" s="19" t="s">
        <v>313</v>
      </c>
      <c r="C1200" s="267">
        <v>44305</v>
      </c>
      <c r="E1200" s="267"/>
      <c r="F1200" s="283"/>
    </row>
    <row r="1201" spans="1:6" ht="16.5">
      <c r="A1201" s="298" t="s">
        <v>2644</v>
      </c>
      <c r="B1201" s="19" t="s">
        <v>313</v>
      </c>
      <c r="C1201" s="267">
        <v>44305</v>
      </c>
      <c r="E1201" s="267"/>
      <c r="F1201" s="283"/>
    </row>
    <row r="1202" spans="1:6" ht="16.5">
      <c r="A1202" s="298" t="s">
        <v>3353</v>
      </c>
      <c r="B1202" s="19" t="s">
        <v>313</v>
      </c>
      <c r="C1202" s="267">
        <v>44305</v>
      </c>
      <c r="E1202" s="267"/>
      <c r="F1202" s="283"/>
    </row>
    <row r="1203" spans="1:6" ht="16.5">
      <c r="A1203" s="298" t="s">
        <v>3351</v>
      </c>
      <c r="B1203" s="19" t="s">
        <v>313</v>
      </c>
      <c r="C1203" s="267">
        <v>44305</v>
      </c>
      <c r="E1203" s="267"/>
      <c r="F1203" s="283"/>
    </row>
    <row r="1204" spans="1:6" ht="16.5">
      <c r="A1204" s="298" t="s">
        <v>3349</v>
      </c>
      <c r="B1204" s="19" t="s">
        <v>313</v>
      </c>
      <c r="C1204" s="267">
        <v>44307</v>
      </c>
      <c r="E1204" s="267"/>
      <c r="F1204" s="283"/>
    </row>
    <row r="1205" spans="1:6" ht="16.5">
      <c r="A1205" s="298" t="s">
        <v>2572</v>
      </c>
      <c r="B1205" s="19" t="s">
        <v>313</v>
      </c>
      <c r="C1205" s="267">
        <v>44307</v>
      </c>
      <c r="E1205" s="267"/>
      <c r="F1205" s="283"/>
    </row>
    <row r="1206" spans="1:6" ht="16.5">
      <c r="A1206" s="298" t="s">
        <v>3346</v>
      </c>
      <c r="B1206" s="19" t="s">
        <v>313</v>
      </c>
      <c r="C1206" s="267">
        <v>44308</v>
      </c>
      <c r="E1206" s="267"/>
      <c r="F1206" s="283"/>
    </row>
    <row r="1207" spans="1:6" ht="16.5">
      <c r="A1207" s="298" t="s">
        <v>3344</v>
      </c>
      <c r="B1207" s="19" t="s">
        <v>313</v>
      </c>
      <c r="C1207" s="267">
        <v>44312</v>
      </c>
      <c r="E1207" s="267"/>
      <c r="F1207" s="283"/>
    </row>
    <row r="1208" spans="1:6" ht="28.5">
      <c r="A1208" s="298" t="s">
        <v>3342</v>
      </c>
      <c r="B1208" s="19" t="s">
        <v>313</v>
      </c>
      <c r="C1208" s="267">
        <v>44312</v>
      </c>
      <c r="E1208" s="267"/>
      <c r="F1208" s="283"/>
    </row>
    <row r="1209" spans="1:6" ht="16.5">
      <c r="A1209" s="298" t="s">
        <v>3340</v>
      </c>
      <c r="B1209" s="19" t="s">
        <v>313</v>
      </c>
      <c r="C1209" s="267">
        <v>44312</v>
      </c>
      <c r="E1209" s="267"/>
      <c r="F1209" s="283"/>
    </row>
    <row r="1210" spans="1:6" ht="16.5">
      <c r="A1210" s="298" t="s">
        <v>3338</v>
      </c>
      <c r="B1210" s="19" t="s">
        <v>313</v>
      </c>
      <c r="C1210" s="267">
        <v>44312</v>
      </c>
      <c r="E1210" s="267"/>
      <c r="F1210" s="283"/>
    </row>
    <row r="1211" spans="1:6" ht="16.5">
      <c r="A1211" s="298" t="s">
        <v>3336</v>
      </c>
      <c r="B1211" s="19" t="s">
        <v>313</v>
      </c>
      <c r="C1211" s="267">
        <v>44312</v>
      </c>
      <c r="E1211" s="267"/>
      <c r="F1211" s="283"/>
    </row>
    <row r="1212" spans="1:6" ht="16.5">
      <c r="A1212" s="298" t="s">
        <v>2659</v>
      </c>
      <c r="B1212" s="19" t="s">
        <v>313</v>
      </c>
      <c r="C1212" s="267">
        <v>44314</v>
      </c>
      <c r="E1212" s="267"/>
      <c r="F1212" s="283"/>
    </row>
    <row r="1213" spans="1:6" ht="28.5">
      <c r="A1213" s="298" t="s">
        <v>3335</v>
      </c>
      <c r="B1213" s="19" t="s">
        <v>313</v>
      </c>
      <c r="C1213" s="267">
        <v>44314</v>
      </c>
      <c r="E1213" s="267"/>
      <c r="F1213" s="283"/>
    </row>
    <row r="1214" spans="1:6" ht="16.5">
      <c r="A1214" s="298" t="s">
        <v>2772</v>
      </c>
      <c r="B1214" s="19" t="s">
        <v>313</v>
      </c>
      <c r="C1214" s="267">
        <v>44314</v>
      </c>
      <c r="E1214" s="267"/>
      <c r="F1214" s="283"/>
    </row>
    <row r="1215" spans="1:6" ht="16.5">
      <c r="A1215" s="298" t="s">
        <v>3332</v>
      </c>
      <c r="B1215" s="19" t="s">
        <v>313</v>
      </c>
      <c r="C1215" s="267">
        <v>44316</v>
      </c>
      <c r="E1215" s="267"/>
      <c r="F1215" s="283"/>
    </row>
    <row r="1216" spans="1:6" ht="16.5">
      <c r="A1216" s="298" t="s">
        <v>3330</v>
      </c>
      <c r="B1216" s="19" t="s">
        <v>313</v>
      </c>
      <c r="C1216" s="267">
        <v>44318</v>
      </c>
      <c r="E1216" s="267"/>
      <c r="F1216" s="283"/>
    </row>
    <row r="1217" spans="1:6" ht="16.5">
      <c r="A1217" s="298" t="s">
        <v>2772</v>
      </c>
      <c r="B1217" s="19" t="s">
        <v>313</v>
      </c>
      <c r="C1217" s="267">
        <v>44314</v>
      </c>
      <c r="E1217" s="267"/>
      <c r="F1217" s="283"/>
    </row>
    <row r="1218" spans="1:6" ht="16.5">
      <c r="A1218" s="282">
        <v>2</v>
      </c>
      <c r="B1218" s="19"/>
      <c r="C1218" s="267"/>
      <c r="E1218" s="267"/>
      <c r="F1218" s="283"/>
    </row>
    <row r="1219" spans="1:6" ht="16.5">
      <c r="B1219" s="19"/>
      <c r="C1219" s="267"/>
      <c r="E1219" s="267"/>
      <c r="F1219" s="283"/>
    </row>
    <row r="1220" spans="1:6" ht="16.5">
      <c r="B1220" s="19"/>
      <c r="C1220" s="267"/>
      <c r="E1220" s="267"/>
      <c r="F1220" s="283"/>
    </row>
    <row r="1221" spans="1:6" ht="16.5">
      <c r="B1221" s="19"/>
      <c r="C1221" s="267"/>
      <c r="E1221" s="267"/>
      <c r="F1221" s="283"/>
    </row>
    <row r="1222" spans="1:6" ht="16.5">
      <c r="B1222" s="19"/>
      <c r="C1222" s="267"/>
      <c r="E1222" s="267"/>
      <c r="F1222" s="283"/>
    </row>
    <row r="1223" spans="1:6" ht="16.5">
      <c r="B1223" s="19"/>
      <c r="C1223" s="267"/>
      <c r="E1223" s="267"/>
      <c r="F1223" s="283"/>
    </row>
    <row r="1224" spans="1:6" ht="16.5">
      <c r="B1224" s="19"/>
      <c r="C1224" s="267"/>
      <c r="E1224" s="267"/>
      <c r="F1224" s="283"/>
    </row>
    <row r="1225" spans="1:6" ht="16.5">
      <c r="B1225" s="19"/>
      <c r="C1225" s="267"/>
      <c r="E1225" s="267"/>
      <c r="F1225" s="283"/>
    </row>
    <row r="1226" spans="1:6" ht="16.5">
      <c r="B1226" s="19"/>
      <c r="C1226" s="267"/>
      <c r="E1226" s="267"/>
      <c r="F1226" s="283"/>
    </row>
    <row r="1227" spans="1:6" ht="16.5">
      <c r="B1227" s="19"/>
      <c r="C1227" s="267"/>
      <c r="E1227" s="267"/>
      <c r="F1227" s="283"/>
    </row>
    <row r="1228" spans="1:6" ht="16.5">
      <c r="B1228" s="19"/>
      <c r="C1228" s="267"/>
      <c r="E1228" s="267"/>
      <c r="F1228" s="283"/>
    </row>
    <row r="1229" spans="1:6" ht="16.5">
      <c r="B1229" s="19"/>
      <c r="C1229" s="267"/>
      <c r="E1229" s="267"/>
      <c r="F1229" s="283"/>
    </row>
    <row r="1230" spans="1:6" ht="16.5">
      <c r="B1230" s="19"/>
      <c r="C1230" s="267"/>
      <c r="E1230" s="267"/>
      <c r="F1230" s="283"/>
    </row>
    <row r="1231" spans="1:6" ht="16.5">
      <c r="B1231" s="19"/>
      <c r="C1231" s="267"/>
      <c r="E1231" s="267"/>
      <c r="F1231" s="283"/>
    </row>
    <row r="1232" spans="1:6" ht="16.5">
      <c r="B1232" s="19"/>
      <c r="C1232" s="267"/>
      <c r="E1232" s="267"/>
      <c r="F1232" s="283"/>
    </row>
    <row r="1233" spans="2:6" ht="16.5">
      <c r="B1233" s="19"/>
      <c r="C1233" s="267"/>
      <c r="E1233" s="267"/>
      <c r="F1233" s="283"/>
    </row>
    <row r="1234" spans="2:6" ht="16.5">
      <c r="B1234" s="19"/>
      <c r="C1234" s="267"/>
      <c r="E1234" s="267"/>
      <c r="F1234" s="283"/>
    </row>
    <row r="1235" spans="2:6" ht="16.5">
      <c r="B1235" s="19"/>
      <c r="C1235" s="267"/>
      <c r="E1235" s="267"/>
      <c r="F1235" s="283"/>
    </row>
    <row r="1236" spans="2:6" ht="16.5">
      <c r="B1236" s="19"/>
      <c r="C1236" s="267"/>
      <c r="E1236" s="267"/>
      <c r="F1236" s="283"/>
    </row>
    <row r="1237" spans="2:6" ht="16.5">
      <c r="B1237" s="19"/>
      <c r="C1237" s="267"/>
      <c r="E1237" s="267"/>
      <c r="F1237" s="283"/>
    </row>
    <row r="1238" spans="2:6" ht="16.5">
      <c r="B1238" s="19"/>
      <c r="C1238" s="267"/>
      <c r="E1238" s="267"/>
      <c r="F1238" s="283"/>
    </row>
    <row r="1239" spans="2:6" ht="16.5">
      <c r="B1239" s="19"/>
      <c r="C1239" s="267"/>
      <c r="E1239" s="267"/>
      <c r="F1239" s="283"/>
    </row>
    <row r="1240" spans="2:6" ht="16.5">
      <c r="B1240" s="19"/>
      <c r="C1240" s="267"/>
      <c r="E1240" s="267"/>
      <c r="F1240" s="283"/>
    </row>
    <row r="1241" spans="2:6" ht="16.5">
      <c r="B1241" s="19"/>
      <c r="C1241" s="267"/>
      <c r="E1241" s="267"/>
      <c r="F1241" s="283"/>
    </row>
    <row r="1242" spans="2:6" ht="16.5">
      <c r="B1242" s="19"/>
      <c r="C1242" s="267"/>
      <c r="E1242" s="267"/>
      <c r="F1242" s="283"/>
    </row>
    <row r="1243" spans="2:6" ht="16.5">
      <c r="B1243" s="19"/>
      <c r="C1243" s="267"/>
      <c r="E1243" s="267"/>
      <c r="F1243" s="283"/>
    </row>
    <row r="1244" spans="2:6" ht="16.5">
      <c r="B1244" s="19"/>
      <c r="C1244" s="267"/>
      <c r="E1244" s="267"/>
      <c r="F1244" s="283"/>
    </row>
    <row r="1245" spans="2:6" ht="16.5">
      <c r="B1245" s="19"/>
      <c r="C1245" s="267"/>
      <c r="E1245" s="267"/>
      <c r="F1245" s="283"/>
    </row>
    <row r="1246" spans="2:6" ht="16.5">
      <c r="B1246" s="19"/>
      <c r="C1246" s="267"/>
      <c r="E1246" s="267"/>
      <c r="F1246" s="283"/>
    </row>
    <row r="1247" spans="2:6" ht="16.5">
      <c r="B1247" s="19"/>
      <c r="C1247" s="267"/>
      <c r="E1247" s="267"/>
      <c r="F1247" s="283"/>
    </row>
    <row r="1248" spans="2:6" ht="16.5">
      <c r="B1248" s="19"/>
      <c r="C1248" s="267"/>
      <c r="E1248" s="267"/>
      <c r="F1248" s="283"/>
    </row>
    <row r="1249" spans="2:6" ht="16.5">
      <c r="B1249" s="19"/>
      <c r="C1249" s="267"/>
      <c r="E1249" s="267"/>
      <c r="F1249" s="283"/>
    </row>
    <row r="1250" spans="2:6" ht="16.5">
      <c r="B1250" s="19"/>
      <c r="C1250" s="267"/>
      <c r="E1250" s="267"/>
      <c r="F1250" s="283"/>
    </row>
    <row r="1251" spans="2:6" ht="16.5">
      <c r="B1251" s="19"/>
      <c r="C1251" s="267"/>
      <c r="E1251" s="267"/>
      <c r="F1251" s="283"/>
    </row>
    <row r="1252" spans="2:6" ht="16.5">
      <c r="B1252" s="19"/>
      <c r="C1252" s="267"/>
      <c r="E1252" s="267"/>
      <c r="F1252" s="283"/>
    </row>
    <row r="1253" spans="2:6" ht="16.5">
      <c r="B1253" s="19"/>
      <c r="C1253" s="267"/>
      <c r="E1253" s="267"/>
      <c r="F1253" s="283"/>
    </row>
    <row r="1254" spans="2:6" ht="16.5">
      <c r="B1254" s="19"/>
      <c r="C1254" s="267"/>
      <c r="E1254" s="267"/>
      <c r="F1254" s="283"/>
    </row>
    <row r="1255" spans="2:6" ht="16.5">
      <c r="B1255" s="19"/>
      <c r="C1255" s="267"/>
      <c r="E1255" s="267"/>
      <c r="F1255" s="283"/>
    </row>
    <row r="1256" spans="2:6" ht="16.5">
      <c r="B1256" s="19"/>
      <c r="C1256" s="267"/>
      <c r="E1256" s="267"/>
      <c r="F1256" s="283"/>
    </row>
    <row r="1257" spans="2:6" ht="16.5">
      <c r="B1257" s="19"/>
      <c r="C1257" s="267"/>
      <c r="E1257" s="267"/>
      <c r="F1257" s="283"/>
    </row>
    <row r="1258" spans="2:6" ht="16.5">
      <c r="B1258" s="19"/>
      <c r="C1258" s="267"/>
      <c r="E1258" s="267"/>
      <c r="F1258" s="283"/>
    </row>
    <row r="1259" spans="2:6" ht="16.5">
      <c r="B1259" s="19"/>
      <c r="C1259" s="267"/>
      <c r="E1259" s="267"/>
      <c r="F1259" s="283"/>
    </row>
    <row r="1260" spans="2:6" ht="16.5">
      <c r="B1260" s="19"/>
      <c r="C1260" s="267"/>
      <c r="E1260" s="267"/>
      <c r="F1260" s="283"/>
    </row>
    <row r="1261" spans="2:6" ht="16.5">
      <c r="B1261" s="19"/>
      <c r="C1261" s="267"/>
      <c r="E1261" s="267"/>
      <c r="F1261" s="283"/>
    </row>
    <row r="1262" spans="2:6" ht="16.5">
      <c r="B1262" s="19"/>
      <c r="C1262" s="267"/>
      <c r="E1262" s="267"/>
      <c r="F1262" s="283"/>
    </row>
    <row r="1263" spans="2:6" ht="16.5">
      <c r="B1263" s="19"/>
      <c r="E1263" s="267"/>
    </row>
    <row r="1268" spans="1:11">
      <c r="A1268" s="294" t="s">
        <v>10</v>
      </c>
      <c r="B1268" s="266"/>
      <c r="C1268" s="266"/>
      <c r="D1268" s="266"/>
      <c r="E1268" s="266"/>
      <c r="F1268" s="266"/>
      <c r="G1268" s="266"/>
      <c r="H1268" s="266"/>
      <c r="I1268" s="266"/>
      <c r="J1268" s="266"/>
      <c r="K1268" s="266"/>
    </row>
  </sheetData>
  <autoFilter ref="A1:K1" xr:uid="{78BF2BD3-D887-4187-ACF3-09553769CD4A}">
    <sortState xmlns:xlrd2="http://schemas.microsoft.com/office/spreadsheetml/2017/richdata2" ref="A2:K198">
      <sortCondition ref="C1"/>
    </sortState>
  </autoFilter>
  <phoneticPr fontId="3"/>
  <pageMargins left="0.7" right="0.7" top="0.75" bottom="0.75" header="0.3" footer="0.3"/>
  <pageSetup paperSize="9" orientation="portrait" horizontalDpi="4294967293" verticalDpi="4294967293"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E4BD26-2DD0-41D3-9F42-613C93CF59CE}">
  <sheetPr codeName="Sheet13"/>
  <dimension ref="A1:A3001"/>
  <sheetViews>
    <sheetView topLeftCell="A1837" workbookViewId="0">
      <selection activeCell="A1858" sqref="A1858"/>
    </sheetView>
  </sheetViews>
  <sheetFormatPr defaultRowHeight="13.5"/>
  <cols>
    <col min="1" max="16384" width="9" style="299"/>
  </cols>
  <sheetData>
    <row r="1" spans="1:1" ht="14.25">
      <c r="A1" s="301" t="s">
        <v>2333</v>
      </c>
    </row>
    <row r="2" spans="1:1" ht="14.25">
      <c r="A2" s="301"/>
    </row>
    <row r="3" spans="1:1" ht="14.25">
      <c r="A3" s="301" t="s">
        <v>2341</v>
      </c>
    </row>
    <row r="4" spans="1:1" ht="14.25">
      <c r="A4" s="302"/>
    </row>
    <row r="5" spans="1:1" ht="16.5">
      <c r="A5" s="302" t="s">
        <v>3443</v>
      </c>
    </row>
    <row r="6" spans="1:1" ht="14.25">
      <c r="A6" s="302"/>
    </row>
    <row r="7" spans="1:1" ht="14.25">
      <c r="A7" s="302" t="s">
        <v>2342</v>
      </c>
    </row>
    <row r="8" spans="1:1" ht="14.25">
      <c r="A8" s="302"/>
    </row>
    <row r="9" spans="1:1" ht="14.25">
      <c r="A9" s="302" t="s">
        <v>3444</v>
      </c>
    </row>
    <row r="10" spans="1:1" ht="14.25">
      <c r="A10" s="302"/>
    </row>
    <row r="11" spans="1:1" ht="14.25">
      <c r="A11" s="301" t="s">
        <v>2333</v>
      </c>
    </row>
    <row r="12" spans="1:1" ht="14.25">
      <c r="A12" s="302"/>
    </row>
    <row r="13" spans="1:1" ht="16.5">
      <c r="A13" s="302" t="s">
        <v>3445</v>
      </c>
    </row>
    <row r="14" spans="1:1" ht="14.25">
      <c r="A14" s="302"/>
    </row>
    <row r="15" spans="1:1" ht="14.25">
      <c r="A15" s="302" t="s">
        <v>2334</v>
      </c>
    </row>
    <row r="16" spans="1:1" ht="14.25">
      <c r="A16" s="302"/>
    </row>
    <row r="17" spans="1:1" ht="14.25">
      <c r="A17" s="302" t="s">
        <v>3446</v>
      </c>
    </row>
    <row r="18" spans="1:1" ht="14.25">
      <c r="A18" s="302"/>
    </row>
    <row r="19" spans="1:1" ht="14.25">
      <c r="A19" s="301" t="s">
        <v>2333</v>
      </c>
    </row>
    <row r="20" spans="1:1" ht="14.25">
      <c r="A20" s="301"/>
    </row>
    <row r="21" spans="1:1" ht="14.25">
      <c r="A21" s="301" t="s">
        <v>2341</v>
      </c>
    </row>
    <row r="22" spans="1:1" ht="14.25">
      <c r="A22" s="302"/>
    </row>
    <row r="23" spans="1:1" ht="16.5">
      <c r="A23" s="302" t="s">
        <v>3447</v>
      </c>
    </row>
    <row r="24" spans="1:1" ht="14.25">
      <c r="A24" s="302"/>
    </row>
    <row r="25" spans="1:1" ht="14.25">
      <c r="A25" s="302" t="s">
        <v>2342</v>
      </c>
    </row>
    <row r="26" spans="1:1" ht="14.25">
      <c r="A26" s="302"/>
    </row>
    <row r="27" spans="1:1" ht="14.25">
      <c r="A27" s="302" t="s">
        <v>3446</v>
      </c>
    </row>
    <row r="28" spans="1:1" ht="14.25">
      <c r="A28" s="302"/>
    </row>
    <row r="29" spans="1:1" ht="14.25">
      <c r="A29" s="301" t="s">
        <v>2333</v>
      </c>
    </row>
    <row r="30" spans="1:1" ht="14.25">
      <c r="A30" s="302"/>
    </row>
    <row r="31" spans="1:1" ht="14.25">
      <c r="A31" s="302" t="s">
        <v>3438</v>
      </c>
    </row>
    <row r="32" spans="1:1" ht="14.25">
      <c r="A32" s="302"/>
    </row>
    <row r="33" spans="1:1" ht="14.25">
      <c r="A33" s="302" t="s">
        <v>2334</v>
      </c>
    </row>
    <row r="34" spans="1:1" ht="14.25">
      <c r="A34" s="302"/>
    </row>
    <row r="35" spans="1:1" ht="14.25">
      <c r="A35" s="302" t="s">
        <v>3448</v>
      </c>
    </row>
    <row r="36" spans="1:1" ht="14.25">
      <c r="A36" s="302"/>
    </row>
    <row r="37" spans="1:1" ht="14.25">
      <c r="A37" s="301" t="s">
        <v>2333</v>
      </c>
    </row>
    <row r="38" spans="1:1" ht="14.25">
      <c r="A38" s="301"/>
    </row>
    <row r="39" spans="1:1" ht="14.25">
      <c r="A39" s="301" t="s">
        <v>2341</v>
      </c>
    </row>
    <row r="40" spans="1:1" ht="14.25">
      <c r="A40" s="302"/>
    </row>
    <row r="41" spans="1:1" ht="16.5">
      <c r="A41" s="302" t="s">
        <v>3449</v>
      </c>
    </row>
    <row r="42" spans="1:1" ht="14.25">
      <c r="A42" s="302"/>
    </row>
    <row r="43" spans="1:1" ht="14.25">
      <c r="A43" s="302" t="s">
        <v>2342</v>
      </c>
    </row>
    <row r="44" spans="1:1" ht="14.25">
      <c r="A44" s="302"/>
    </row>
    <row r="45" spans="1:1" ht="14.25">
      <c r="A45" s="302" t="s">
        <v>3448</v>
      </c>
    </row>
    <row r="46" spans="1:1" ht="14.25">
      <c r="A46" s="302"/>
    </row>
    <row r="47" spans="1:1" ht="14.25">
      <c r="A47" s="301" t="s">
        <v>2333</v>
      </c>
    </row>
    <row r="48" spans="1:1" ht="14.25">
      <c r="A48" s="302"/>
    </row>
    <row r="49" spans="1:1" ht="16.5">
      <c r="A49" s="302" t="s">
        <v>3450</v>
      </c>
    </row>
    <row r="50" spans="1:1" ht="14.25">
      <c r="A50" s="302"/>
    </row>
    <row r="51" spans="1:1" ht="14.25">
      <c r="A51" s="302" t="s">
        <v>2339</v>
      </c>
    </row>
    <row r="52" spans="1:1" ht="14.25">
      <c r="A52" s="302"/>
    </row>
    <row r="53" spans="1:1" ht="14.25">
      <c r="A53" s="302" t="s">
        <v>3448</v>
      </c>
    </row>
    <row r="54" spans="1:1" ht="14.25">
      <c r="A54" s="302"/>
    </row>
    <row r="55" spans="1:1" ht="14.25">
      <c r="A55" s="301" t="s">
        <v>2333</v>
      </c>
    </row>
    <row r="56" spans="1:1" ht="14.25">
      <c r="A56" s="302"/>
    </row>
    <row r="57" spans="1:1" ht="16.5">
      <c r="A57" s="302" t="s">
        <v>3451</v>
      </c>
    </row>
    <row r="58" spans="1:1" ht="14.25">
      <c r="A58" s="302"/>
    </row>
    <row r="59" spans="1:1" ht="14.25">
      <c r="A59" s="302" t="s">
        <v>2334</v>
      </c>
    </row>
    <row r="60" spans="1:1" ht="14.25">
      <c r="A60" s="302"/>
    </row>
    <row r="61" spans="1:1" ht="14.25">
      <c r="A61" s="302" t="s">
        <v>3448</v>
      </c>
    </row>
    <row r="62" spans="1:1" ht="14.25">
      <c r="A62" s="302"/>
    </row>
    <row r="63" spans="1:1" ht="14.25">
      <c r="A63" s="301" t="s">
        <v>2333</v>
      </c>
    </row>
    <row r="64" spans="1:1" ht="14.25">
      <c r="A64" s="302"/>
    </row>
    <row r="65" spans="1:1" ht="16.5">
      <c r="A65" s="302" t="s">
        <v>3452</v>
      </c>
    </row>
    <row r="66" spans="1:1" ht="14.25">
      <c r="A66" s="302"/>
    </row>
    <row r="67" spans="1:1" ht="14.25">
      <c r="A67" s="302" t="s">
        <v>2339</v>
      </c>
    </row>
    <row r="68" spans="1:1" ht="14.25">
      <c r="A68" s="302"/>
    </row>
    <row r="69" spans="1:1" ht="14.25">
      <c r="A69" s="302" t="s">
        <v>3453</v>
      </c>
    </row>
    <row r="70" spans="1:1" ht="14.25">
      <c r="A70" s="302"/>
    </row>
    <row r="71" spans="1:1" ht="14.25">
      <c r="A71" s="301" t="s">
        <v>2333</v>
      </c>
    </row>
    <row r="72" spans="1:1" ht="14.25">
      <c r="A72" s="301"/>
    </row>
    <row r="73" spans="1:1" ht="14.25">
      <c r="A73" s="301" t="s">
        <v>2341</v>
      </c>
    </row>
    <row r="74" spans="1:1" ht="14.25">
      <c r="A74" s="302"/>
    </row>
    <row r="75" spans="1:1" ht="14.25">
      <c r="A75" s="302" t="s">
        <v>3439</v>
      </c>
    </row>
    <row r="76" spans="1:1" ht="14.25">
      <c r="A76" s="302"/>
    </row>
    <row r="77" spans="1:1" ht="14.25">
      <c r="A77" s="302" t="s">
        <v>2342</v>
      </c>
    </row>
    <row r="78" spans="1:1" ht="14.25">
      <c r="A78" s="302"/>
    </row>
    <row r="79" spans="1:1" ht="14.25">
      <c r="A79" s="302" t="s">
        <v>3454</v>
      </c>
    </row>
    <row r="80" spans="1:1" ht="14.25">
      <c r="A80" s="302"/>
    </row>
    <row r="81" spans="1:1" ht="14.25">
      <c r="A81" s="301" t="s">
        <v>2333</v>
      </c>
    </row>
    <row r="82" spans="1:1" ht="14.25">
      <c r="A82" s="302"/>
    </row>
    <row r="83" spans="1:1" ht="16.5">
      <c r="A83" s="302" t="s">
        <v>3455</v>
      </c>
    </row>
    <row r="84" spans="1:1" ht="14.25">
      <c r="A84" s="302"/>
    </row>
    <row r="85" spans="1:1" ht="14.25">
      <c r="A85" s="302" t="s">
        <v>2339</v>
      </c>
    </row>
    <row r="86" spans="1:1" ht="14.25">
      <c r="A86" s="302"/>
    </row>
    <row r="87" spans="1:1" ht="14.25">
      <c r="A87" s="302" t="s">
        <v>3454</v>
      </c>
    </row>
    <row r="88" spans="1:1" ht="14.25">
      <c r="A88" s="302"/>
    </row>
    <row r="89" spans="1:1" ht="14.25">
      <c r="A89" s="301" t="s">
        <v>2333</v>
      </c>
    </row>
    <row r="90" spans="1:1" ht="14.25">
      <c r="A90" s="302"/>
    </row>
    <row r="91" spans="1:1" ht="16.5">
      <c r="A91" s="302" t="s">
        <v>3456</v>
      </c>
    </row>
    <row r="92" spans="1:1" ht="14.25">
      <c r="A92" s="302"/>
    </row>
    <row r="93" spans="1:1" ht="14.25">
      <c r="A93" s="302" t="s">
        <v>2339</v>
      </c>
    </row>
    <row r="94" spans="1:1" ht="14.25">
      <c r="A94" s="302"/>
    </row>
    <row r="95" spans="1:1" ht="14.25">
      <c r="A95" s="302" t="s">
        <v>3454</v>
      </c>
    </row>
    <row r="96" spans="1:1" ht="14.25">
      <c r="A96" s="302"/>
    </row>
    <row r="97" spans="1:1" ht="14.25">
      <c r="A97" s="301" t="s">
        <v>2333</v>
      </c>
    </row>
    <row r="98" spans="1:1" ht="14.25">
      <c r="A98" s="302"/>
    </row>
    <row r="99" spans="1:1" ht="16.5">
      <c r="A99" s="302" t="s">
        <v>3457</v>
      </c>
    </row>
    <row r="100" spans="1:1" ht="14.25">
      <c r="A100" s="302"/>
    </row>
    <row r="101" spans="1:1" ht="14.25">
      <c r="A101" s="302" t="s">
        <v>2334</v>
      </c>
    </row>
    <row r="102" spans="1:1" ht="14.25">
      <c r="A102" s="302"/>
    </row>
    <row r="103" spans="1:1" ht="14.25">
      <c r="A103" s="302" t="s">
        <v>3458</v>
      </c>
    </row>
    <row r="104" spans="1:1" ht="14.25">
      <c r="A104" s="302"/>
    </row>
    <row r="105" spans="1:1" ht="14.25">
      <c r="A105" s="301" t="s">
        <v>2333</v>
      </c>
    </row>
    <row r="106" spans="1:1" ht="14.25">
      <c r="A106" s="302"/>
    </row>
    <row r="107" spans="1:1" ht="16.5">
      <c r="A107" s="302" t="s">
        <v>3459</v>
      </c>
    </row>
    <row r="108" spans="1:1" ht="14.25">
      <c r="A108" s="302"/>
    </row>
    <row r="109" spans="1:1" ht="14.25">
      <c r="A109" s="302" t="s">
        <v>2334</v>
      </c>
    </row>
    <row r="110" spans="1:1" ht="14.25">
      <c r="A110" s="302"/>
    </row>
    <row r="111" spans="1:1" ht="14.25">
      <c r="A111" s="302" t="s">
        <v>3458</v>
      </c>
    </row>
    <row r="112" spans="1:1" ht="14.25">
      <c r="A112" s="302"/>
    </row>
    <row r="113" spans="1:1" ht="14.25">
      <c r="A113" s="301" t="s">
        <v>2333</v>
      </c>
    </row>
    <row r="114" spans="1:1" ht="14.25">
      <c r="A114" s="302"/>
    </row>
    <row r="115" spans="1:1" ht="16.5">
      <c r="A115" s="302" t="s">
        <v>3460</v>
      </c>
    </row>
    <row r="116" spans="1:1" ht="14.25">
      <c r="A116" s="302"/>
    </row>
    <row r="117" spans="1:1" ht="14.25">
      <c r="A117" s="302" t="s">
        <v>2334</v>
      </c>
    </row>
    <row r="118" spans="1:1" ht="14.25">
      <c r="A118" s="302"/>
    </row>
    <row r="119" spans="1:1" ht="14.25">
      <c r="A119" s="302" t="s">
        <v>3458</v>
      </c>
    </row>
    <row r="120" spans="1:1" ht="14.25">
      <c r="A120" s="302"/>
    </row>
    <row r="121" spans="1:1" ht="14.25">
      <c r="A121" s="301" t="s">
        <v>2333</v>
      </c>
    </row>
    <row r="122" spans="1:1" ht="14.25">
      <c r="A122" s="302"/>
    </row>
    <row r="123" spans="1:1" ht="14.25">
      <c r="A123" s="302" t="s">
        <v>3440</v>
      </c>
    </row>
    <row r="124" spans="1:1" ht="14.25">
      <c r="A124" s="302"/>
    </row>
    <row r="125" spans="1:1" ht="14.25">
      <c r="A125" s="302" t="s">
        <v>2334</v>
      </c>
    </row>
    <row r="126" spans="1:1" ht="14.25">
      <c r="A126" s="302"/>
    </row>
    <row r="127" spans="1:1" ht="14.25">
      <c r="A127" s="302" t="s">
        <v>3458</v>
      </c>
    </row>
    <row r="128" spans="1:1" ht="14.25">
      <c r="A128" s="302"/>
    </row>
    <row r="129" spans="1:1" ht="14.25">
      <c r="A129" s="301" t="s">
        <v>2333</v>
      </c>
    </row>
    <row r="130" spans="1:1" ht="14.25">
      <c r="A130" s="302"/>
    </row>
    <row r="131" spans="1:1" ht="16.5">
      <c r="A131" s="302" t="s">
        <v>3461</v>
      </c>
    </row>
    <row r="132" spans="1:1" ht="14.25">
      <c r="A132" s="302"/>
    </row>
    <row r="133" spans="1:1" ht="14.25">
      <c r="A133" s="302" t="s">
        <v>2334</v>
      </c>
    </row>
    <row r="134" spans="1:1" ht="14.25">
      <c r="A134" s="302"/>
    </row>
    <row r="135" spans="1:1" ht="14.25">
      <c r="A135" s="302" t="s">
        <v>3458</v>
      </c>
    </row>
    <row r="136" spans="1:1" ht="14.25">
      <c r="A136" s="302"/>
    </row>
    <row r="137" spans="1:1" ht="14.25">
      <c r="A137" s="301" t="s">
        <v>2333</v>
      </c>
    </row>
    <row r="138" spans="1:1" ht="14.25">
      <c r="A138" s="301"/>
    </row>
    <row r="139" spans="1:1" ht="14.25">
      <c r="A139" s="301" t="s">
        <v>2341</v>
      </c>
    </row>
    <row r="140" spans="1:1" ht="14.25">
      <c r="A140" s="302"/>
    </row>
    <row r="141" spans="1:1" ht="16.5">
      <c r="A141" s="302" t="s">
        <v>3462</v>
      </c>
    </row>
    <row r="142" spans="1:1" ht="14.25">
      <c r="A142" s="302"/>
    </row>
    <row r="143" spans="1:1" ht="14.25">
      <c r="A143" s="302" t="s">
        <v>2342</v>
      </c>
    </row>
    <row r="144" spans="1:1" ht="14.25">
      <c r="A144" s="302"/>
    </row>
    <row r="145" spans="1:1" ht="14.25">
      <c r="A145" s="302" t="s">
        <v>3458</v>
      </c>
    </row>
    <row r="146" spans="1:1" ht="14.25">
      <c r="A146" s="302"/>
    </row>
    <row r="147" spans="1:1" ht="14.25">
      <c r="A147" s="301" t="s">
        <v>2333</v>
      </c>
    </row>
    <row r="148" spans="1:1" ht="14.25">
      <c r="A148" s="302"/>
    </row>
    <row r="149" spans="1:1" ht="16.5">
      <c r="A149" s="302" t="s">
        <v>3463</v>
      </c>
    </row>
    <row r="150" spans="1:1" ht="14.25">
      <c r="A150" s="302"/>
    </row>
    <row r="151" spans="1:1" ht="14.25">
      <c r="A151" s="302" t="s">
        <v>2334</v>
      </c>
    </row>
    <row r="152" spans="1:1" ht="14.25">
      <c r="A152" s="302"/>
    </row>
    <row r="153" spans="1:1" ht="14.25">
      <c r="A153" s="302" t="s">
        <v>3458</v>
      </c>
    </row>
    <row r="154" spans="1:1" ht="14.25">
      <c r="A154" s="302"/>
    </row>
    <row r="155" spans="1:1" ht="14.25">
      <c r="A155" s="301" t="s">
        <v>2333</v>
      </c>
    </row>
    <row r="156" spans="1:1" ht="14.25">
      <c r="A156" s="302"/>
    </row>
    <row r="157" spans="1:1" ht="16.5">
      <c r="A157" s="302" t="s">
        <v>3464</v>
      </c>
    </row>
    <row r="158" spans="1:1" ht="14.25">
      <c r="A158" s="302"/>
    </row>
    <row r="159" spans="1:1" ht="14.25">
      <c r="A159" s="302" t="s">
        <v>2334</v>
      </c>
    </row>
    <row r="160" spans="1:1" ht="14.25">
      <c r="A160" s="302"/>
    </row>
    <row r="161" spans="1:1" ht="14.25">
      <c r="A161" s="302" t="s">
        <v>3458</v>
      </c>
    </row>
    <row r="162" spans="1:1" ht="14.25">
      <c r="A162" s="302"/>
    </row>
    <row r="163" spans="1:1" ht="14.25">
      <c r="A163" s="301" t="s">
        <v>2333</v>
      </c>
    </row>
    <row r="164" spans="1:1" ht="14.25">
      <c r="A164" s="302"/>
    </row>
    <row r="165" spans="1:1" ht="16.5">
      <c r="A165" s="302" t="s">
        <v>3465</v>
      </c>
    </row>
    <row r="166" spans="1:1" ht="14.25">
      <c r="A166" s="302"/>
    </row>
    <row r="167" spans="1:1" ht="14.25">
      <c r="A167" s="302" t="s">
        <v>2334</v>
      </c>
    </row>
    <row r="168" spans="1:1" ht="14.25">
      <c r="A168" s="302"/>
    </row>
    <row r="169" spans="1:1" ht="14.25">
      <c r="A169" s="302" t="s">
        <v>3458</v>
      </c>
    </row>
    <row r="170" spans="1:1" ht="14.25">
      <c r="A170" s="302"/>
    </row>
    <row r="171" spans="1:1" ht="14.25">
      <c r="A171" s="301" t="s">
        <v>2333</v>
      </c>
    </row>
    <row r="172" spans="1:1" ht="14.25">
      <c r="A172" s="302"/>
    </row>
    <row r="173" spans="1:1" ht="16.5">
      <c r="A173" s="302" t="s">
        <v>3466</v>
      </c>
    </row>
    <row r="174" spans="1:1" ht="14.25">
      <c r="A174" s="302"/>
    </row>
    <row r="175" spans="1:1" ht="14.25">
      <c r="A175" s="302" t="s">
        <v>2334</v>
      </c>
    </row>
    <row r="176" spans="1:1" ht="14.25">
      <c r="A176" s="302"/>
    </row>
    <row r="177" spans="1:1" ht="14.25">
      <c r="A177" s="302" t="s">
        <v>3458</v>
      </c>
    </row>
    <row r="178" spans="1:1" ht="14.25">
      <c r="A178" s="302"/>
    </row>
    <row r="179" spans="1:1" ht="14.25">
      <c r="A179" s="301" t="s">
        <v>2333</v>
      </c>
    </row>
    <row r="180" spans="1:1" ht="14.25">
      <c r="A180" s="302"/>
    </row>
    <row r="181" spans="1:1" ht="16.5">
      <c r="A181" s="302" t="s">
        <v>3467</v>
      </c>
    </row>
    <row r="182" spans="1:1" ht="14.25">
      <c r="A182" s="302"/>
    </row>
    <row r="183" spans="1:1" ht="14.25">
      <c r="A183" s="302" t="s">
        <v>2334</v>
      </c>
    </row>
    <row r="184" spans="1:1" ht="14.25">
      <c r="A184" s="302"/>
    </row>
    <row r="185" spans="1:1" ht="14.25">
      <c r="A185" s="302" t="s">
        <v>3458</v>
      </c>
    </row>
    <row r="186" spans="1:1" ht="14.25">
      <c r="A186" s="302"/>
    </row>
    <row r="187" spans="1:1" ht="14.25">
      <c r="A187" s="301" t="s">
        <v>2333</v>
      </c>
    </row>
    <row r="188" spans="1:1" ht="14.25">
      <c r="A188" s="302"/>
    </row>
    <row r="189" spans="1:1" ht="16.5">
      <c r="A189" s="302" t="s">
        <v>3468</v>
      </c>
    </row>
    <row r="190" spans="1:1" ht="14.25">
      <c r="A190" s="302"/>
    </row>
    <row r="191" spans="1:1" ht="14.25">
      <c r="A191" s="302" t="s">
        <v>2334</v>
      </c>
    </row>
    <row r="192" spans="1:1" ht="14.25">
      <c r="A192" s="302"/>
    </row>
    <row r="193" spans="1:1" ht="14.25">
      <c r="A193" s="302" t="s">
        <v>3458</v>
      </c>
    </row>
    <row r="194" spans="1:1" ht="14.25">
      <c r="A194" s="302"/>
    </row>
    <row r="195" spans="1:1" ht="14.25">
      <c r="A195" s="301" t="s">
        <v>2333</v>
      </c>
    </row>
    <row r="196" spans="1:1" ht="14.25">
      <c r="A196" s="302"/>
    </row>
    <row r="197" spans="1:1" ht="16.5">
      <c r="A197" s="302" t="s">
        <v>3469</v>
      </c>
    </row>
    <row r="198" spans="1:1" ht="14.25">
      <c r="A198" s="302"/>
    </row>
    <row r="199" spans="1:1" ht="14.25">
      <c r="A199" s="302" t="s">
        <v>2334</v>
      </c>
    </row>
    <row r="200" spans="1:1" ht="14.25">
      <c r="A200" s="302"/>
    </row>
    <row r="201" spans="1:1" ht="14.25">
      <c r="A201" s="302" t="s">
        <v>3458</v>
      </c>
    </row>
    <row r="202" spans="1:1" ht="14.25">
      <c r="A202" s="302"/>
    </row>
    <row r="203" spans="1:1" ht="14.25">
      <c r="A203" s="301" t="s">
        <v>2333</v>
      </c>
    </row>
    <row r="204" spans="1:1" ht="14.25">
      <c r="A204" s="302"/>
    </row>
    <row r="205" spans="1:1" ht="16.5">
      <c r="A205" s="302" t="s">
        <v>3470</v>
      </c>
    </row>
    <row r="206" spans="1:1" ht="14.25">
      <c r="A206" s="302"/>
    </row>
    <row r="207" spans="1:1" ht="14.25">
      <c r="A207" s="302" t="s">
        <v>2334</v>
      </c>
    </row>
    <row r="208" spans="1:1" ht="14.25">
      <c r="A208" s="302"/>
    </row>
    <row r="209" spans="1:1" ht="14.25">
      <c r="A209" s="302" t="s">
        <v>3471</v>
      </c>
    </row>
    <row r="210" spans="1:1" ht="14.25">
      <c r="A210" s="302"/>
    </row>
    <row r="211" spans="1:1" ht="14.25">
      <c r="A211" s="301" t="s">
        <v>2333</v>
      </c>
    </row>
    <row r="212" spans="1:1" ht="14.25">
      <c r="A212" s="302"/>
    </row>
    <row r="213" spans="1:1" ht="16.5">
      <c r="A213" s="302" t="s">
        <v>3470</v>
      </c>
    </row>
    <row r="214" spans="1:1" ht="14.25">
      <c r="A214" s="302"/>
    </row>
    <row r="215" spans="1:1" ht="14.25">
      <c r="A215" s="302" t="s">
        <v>2334</v>
      </c>
    </row>
    <row r="216" spans="1:1" ht="14.25">
      <c r="A216" s="302"/>
    </row>
    <row r="217" spans="1:1" ht="14.25">
      <c r="A217" s="302" t="s">
        <v>3471</v>
      </c>
    </row>
    <row r="218" spans="1:1" ht="14.25">
      <c r="A218" s="302"/>
    </row>
    <row r="219" spans="1:1" ht="14.25">
      <c r="A219" s="301" t="s">
        <v>2333</v>
      </c>
    </row>
    <row r="220" spans="1:1" ht="14.25">
      <c r="A220" s="302"/>
    </row>
    <row r="221" spans="1:1" ht="16.5">
      <c r="A221" s="302" t="s">
        <v>3472</v>
      </c>
    </row>
    <row r="222" spans="1:1" ht="14.25">
      <c r="A222" s="302"/>
    </row>
    <row r="223" spans="1:1" ht="14.25">
      <c r="A223" s="302" t="s">
        <v>2334</v>
      </c>
    </row>
    <row r="224" spans="1:1" ht="14.25">
      <c r="A224" s="302"/>
    </row>
    <row r="225" spans="1:1" ht="14.25">
      <c r="A225" s="302" t="s">
        <v>3471</v>
      </c>
    </row>
    <row r="226" spans="1:1" ht="14.25">
      <c r="A226" s="302"/>
    </row>
    <row r="227" spans="1:1" ht="14.25">
      <c r="A227" s="301" t="s">
        <v>2333</v>
      </c>
    </row>
    <row r="228" spans="1:1" ht="14.25">
      <c r="A228" s="302"/>
    </row>
    <row r="229" spans="1:1" ht="16.5">
      <c r="A229" s="302" t="s">
        <v>3473</v>
      </c>
    </row>
    <row r="230" spans="1:1" ht="14.25">
      <c r="A230" s="302"/>
    </row>
    <row r="231" spans="1:1" ht="14.25">
      <c r="A231" s="302" t="s">
        <v>2334</v>
      </c>
    </row>
    <row r="232" spans="1:1" ht="14.25">
      <c r="A232" s="302"/>
    </row>
    <row r="233" spans="1:1" ht="14.25">
      <c r="A233" s="302" t="s">
        <v>3471</v>
      </c>
    </row>
    <row r="234" spans="1:1" ht="14.25">
      <c r="A234" s="302"/>
    </row>
    <row r="235" spans="1:1" ht="14.25">
      <c r="A235" s="301" t="s">
        <v>2333</v>
      </c>
    </row>
    <row r="236" spans="1:1" ht="14.25">
      <c r="A236" s="302"/>
    </row>
    <row r="237" spans="1:1" ht="16.5">
      <c r="A237" s="302" t="s">
        <v>3474</v>
      </c>
    </row>
    <row r="238" spans="1:1" ht="14.25">
      <c r="A238" s="302"/>
    </row>
    <row r="239" spans="1:1" ht="14.25">
      <c r="A239" s="302" t="s">
        <v>2334</v>
      </c>
    </row>
    <row r="240" spans="1:1" ht="14.25">
      <c r="A240" s="302"/>
    </row>
    <row r="241" spans="1:1" ht="14.25">
      <c r="A241" s="302" t="s">
        <v>3471</v>
      </c>
    </row>
    <row r="242" spans="1:1" ht="14.25">
      <c r="A242" s="302"/>
    </row>
    <row r="243" spans="1:1" ht="14.25">
      <c r="A243" s="301" t="s">
        <v>2333</v>
      </c>
    </row>
    <row r="244" spans="1:1" ht="14.25">
      <c r="A244" s="302"/>
    </row>
    <row r="245" spans="1:1" ht="16.5">
      <c r="A245" s="302" t="s">
        <v>3475</v>
      </c>
    </row>
    <row r="246" spans="1:1" ht="14.25">
      <c r="A246" s="302"/>
    </row>
    <row r="247" spans="1:1" ht="14.25">
      <c r="A247" s="302" t="s">
        <v>2334</v>
      </c>
    </row>
    <row r="248" spans="1:1" ht="14.25">
      <c r="A248" s="302"/>
    </row>
    <row r="249" spans="1:1" ht="14.25">
      <c r="A249" s="302" t="s">
        <v>3471</v>
      </c>
    </row>
    <row r="250" spans="1:1" ht="14.25">
      <c r="A250" s="302"/>
    </row>
    <row r="251" spans="1:1" ht="14.25">
      <c r="A251" s="301" t="s">
        <v>2333</v>
      </c>
    </row>
    <row r="252" spans="1:1" ht="14.25">
      <c r="A252" s="302"/>
    </row>
    <row r="253" spans="1:1" ht="16.5">
      <c r="A253" s="302" t="s">
        <v>3476</v>
      </c>
    </row>
    <row r="254" spans="1:1" ht="14.25">
      <c r="A254" s="302"/>
    </row>
    <row r="255" spans="1:1" ht="14.25">
      <c r="A255" s="302" t="s">
        <v>2334</v>
      </c>
    </row>
    <row r="256" spans="1:1" ht="14.25">
      <c r="A256" s="302"/>
    </row>
    <row r="257" spans="1:1" ht="14.25">
      <c r="A257" s="302" t="s">
        <v>3471</v>
      </c>
    </row>
    <row r="258" spans="1:1" ht="14.25">
      <c r="A258" s="302"/>
    </row>
    <row r="259" spans="1:1" ht="14.25">
      <c r="A259" s="301" t="s">
        <v>2333</v>
      </c>
    </row>
    <row r="260" spans="1:1" ht="14.25">
      <c r="A260" s="302"/>
    </row>
    <row r="261" spans="1:1" ht="16.5">
      <c r="A261" s="302" t="s">
        <v>3477</v>
      </c>
    </row>
    <row r="262" spans="1:1" ht="14.25">
      <c r="A262" s="302"/>
    </row>
    <row r="263" spans="1:1" ht="14.25">
      <c r="A263" s="302" t="s">
        <v>2334</v>
      </c>
    </row>
    <row r="264" spans="1:1" ht="14.25">
      <c r="A264" s="302"/>
    </row>
    <row r="265" spans="1:1" ht="14.25">
      <c r="A265" s="302" t="s">
        <v>3471</v>
      </c>
    </row>
    <row r="266" spans="1:1" ht="14.25">
      <c r="A266" s="302"/>
    </row>
    <row r="267" spans="1:1" ht="14.25">
      <c r="A267" s="301" t="s">
        <v>2333</v>
      </c>
    </row>
    <row r="268" spans="1:1" ht="14.25">
      <c r="A268" s="302"/>
    </row>
    <row r="269" spans="1:1" ht="16.5">
      <c r="A269" s="302" t="s">
        <v>3478</v>
      </c>
    </row>
    <row r="270" spans="1:1" ht="14.25">
      <c r="A270" s="302"/>
    </row>
    <row r="271" spans="1:1" ht="14.25">
      <c r="A271" s="302" t="s">
        <v>2334</v>
      </c>
    </row>
    <row r="272" spans="1:1" ht="14.25">
      <c r="A272" s="302"/>
    </row>
    <row r="273" spans="1:1" ht="14.25">
      <c r="A273" s="302" t="s">
        <v>3471</v>
      </c>
    </row>
    <row r="274" spans="1:1" ht="14.25">
      <c r="A274" s="302"/>
    </row>
    <row r="275" spans="1:1" ht="14.25">
      <c r="A275" s="301" t="s">
        <v>2333</v>
      </c>
    </row>
    <row r="276" spans="1:1" ht="14.25">
      <c r="A276" s="301"/>
    </row>
    <row r="277" spans="1:1" ht="14.25">
      <c r="A277" s="301" t="s">
        <v>2341</v>
      </c>
    </row>
    <row r="278" spans="1:1" ht="14.25">
      <c r="A278" s="302"/>
    </row>
    <row r="279" spans="1:1" ht="16.5">
      <c r="A279" s="302" t="s">
        <v>3479</v>
      </c>
    </row>
    <row r="280" spans="1:1" ht="14.25">
      <c r="A280" s="302"/>
    </row>
    <row r="281" spans="1:1" ht="14.25">
      <c r="A281" s="302" t="s">
        <v>2342</v>
      </c>
    </row>
    <row r="282" spans="1:1" ht="14.25">
      <c r="A282" s="302"/>
    </row>
    <row r="283" spans="1:1" ht="14.25">
      <c r="A283" s="302" t="s">
        <v>3471</v>
      </c>
    </row>
    <row r="284" spans="1:1" ht="14.25">
      <c r="A284" s="302"/>
    </row>
    <row r="285" spans="1:1" ht="14.25">
      <c r="A285" s="301" t="s">
        <v>2333</v>
      </c>
    </row>
    <row r="286" spans="1:1" ht="14.25">
      <c r="A286" s="302"/>
    </row>
    <row r="287" spans="1:1" ht="16.5">
      <c r="A287" s="302" t="s">
        <v>3451</v>
      </c>
    </row>
    <row r="288" spans="1:1" ht="14.25">
      <c r="A288" s="302"/>
    </row>
    <row r="289" spans="1:1" ht="14.25">
      <c r="A289" s="302" t="s">
        <v>2334</v>
      </c>
    </row>
    <row r="290" spans="1:1" ht="14.25">
      <c r="A290" s="302"/>
    </row>
    <row r="291" spans="1:1" ht="14.25">
      <c r="A291" s="302" t="s">
        <v>3471</v>
      </c>
    </row>
    <row r="292" spans="1:1" ht="14.25">
      <c r="A292" s="302"/>
    </row>
    <row r="293" spans="1:1" ht="14.25">
      <c r="A293" s="301" t="s">
        <v>2333</v>
      </c>
    </row>
    <row r="294" spans="1:1" ht="14.25">
      <c r="A294" s="302"/>
    </row>
    <row r="295" spans="1:1" ht="16.5">
      <c r="A295" s="302" t="s">
        <v>3480</v>
      </c>
    </row>
    <row r="296" spans="1:1" ht="14.25">
      <c r="A296" s="302"/>
    </row>
    <row r="297" spans="1:1" ht="14.25">
      <c r="A297" s="302" t="s">
        <v>2334</v>
      </c>
    </row>
    <row r="298" spans="1:1" ht="14.25">
      <c r="A298" s="302"/>
    </row>
    <row r="299" spans="1:1" ht="14.25">
      <c r="A299" s="302" t="s">
        <v>3481</v>
      </c>
    </row>
    <row r="300" spans="1:1" ht="14.25">
      <c r="A300" s="302"/>
    </row>
    <row r="301" spans="1:1" ht="14.25">
      <c r="A301" s="301" t="s">
        <v>2333</v>
      </c>
    </row>
    <row r="302" spans="1:1" ht="14.25">
      <c r="A302" s="302"/>
    </row>
    <row r="303" spans="1:1" ht="16.5">
      <c r="A303" s="302" t="s">
        <v>3478</v>
      </c>
    </row>
    <row r="304" spans="1:1" ht="14.25">
      <c r="A304" s="302"/>
    </row>
    <row r="305" spans="1:1" ht="14.25">
      <c r="A305" s="302" t="s">
        <v>2334</v>
      </c>
    </row>
    <row r="306" spans="1:1" ht="14.25">
      <c r="A306" s="302"/>
    </row>
    <row r="307" spans="1:1" ht="14.25">
      <c r="A307" s="302" t="s">
        <v>3481</v>
      </c>
    </row>
    <row r="308" spans="1:1" ht="14.25">
      <c r="A308" s="302"/>
    </row>
    <row r="309" spans="1:1" ht="14.25">
      <c r="A309" s="301" t="s">
        <v>2333</v>
      </c>
    </row>
    <row r="310" spans="1:1" ht="14.25">
      <c r="A310" s="301"/>
    </row>
    <row r="311" spans="1:1" ht="14.25">
      <c r="A311" s="301" t="s">
        <v>2341</v>
      </c>
    </row>
    <row r="312" spans="1:1" ht="14.25">
      <c r="A312" s="302"/>
    </row>
    <row r="313" spans="1:1" ht="16.5">
      <c r="A313" s="302" t="s">
        <v>3482</v>
      </c>
    </row>
    <row r="314" spans="1:1" ht="14.25">
      <c r="A314" s="302"/>
    </row>
    <row r="315" spans="1:1" ht="14.25">
      <c r="A315" s="302" t="s">
        <v>2342</v>
      </c>
    </row>
    <row r="316" spans="1:1" ht="14.25">
      <c r="A316" s="302"/>
    </row>
    <row r="317" spans="1:1" ht="14.25">
      <c r="A317" s="302" t="s">
        <v>3483</v>
      </c>
    </row>
    <row r="318" spans="1:1" ht="14.25">
      <c r="A318" s="302"/>
    </row>
    <row r="319" spans="1:1" ht="14.25">
      <c r="A319" s="301" t="s">
        <v>2333</v>
      </c>
    </row>
    <row r="320" spans="1:1" ht="14.25">
      <c r="A320" s="301"/>
    </row>
    <row r="321" spans="1:1" ht="14.25">
      <c r="A321" s="301" t="s">
        <v>2341</v>
      </c>
    </row>
    <row r="322" spans="1:1" ht="14.25">
      <c r="A322" s="302"/>
    </row>
    <row r="323" spans="1:1" ht="16.5">
      <c r="A323" s="302" t="s">
        <v>3484</v>
      </c>
    </row>
    <row r="324" spans="1:1" ht="14.25">
      <c r="A324" s="302"/>
    </row>
    <row r="325" spans="1:1" ht="14.25">
      <c r="A325" s="302" t="s">
        <v>2342</v>
      </c>
    </row>
    <row r="326" spans="1:1" ht="14.25">
      <c r="A326" s="302"/>
    </row>
    <row r="327" spans="1:1" ht="14.25">
      <c r="A327" s="302" t="s">
        <v>3485</v>
      </c>
    </row>
    <row r="328" spans="1:1" ht="14.25">
      <c r="A328" s="302"/>
    </row>
    <row r="329" spans="1:1" ht="14.25">
      <c r="A329" s="301" t="s">
        <v>2333</v>
      </c>
    </row>
    <row r="330" spans="1:1" ht="14.25">
      <c r="A330" s="302"/>
    </row>
    <row r="331" spans="1:1" ht="16.5">
      <c r="A331" s="302" t="s">
        <v>3486</v>
      </c>
    </row>
    <row r="332" spans="1:1" ht="14.25">
      <c r="A332" s="302"/>
    </row>
    <row r="333" spans="1:1" ht="14.25">
      <c r="A333" s="302" t="s">
        <v>2339</v>
      </c>
    </row>
    <row r="334" spans="1:1" ht="14.25">
      <c r="A334" s="302"/>
    </row>
    <row r="335" spans="1:1" ht="14.25">
      <c r="A335" s="302" t="s">
        <v>3485</v>
      </c>
    </row>
    <row r="336" spans="1:1" ht="14.25">
      <c r="A336" s="302"/>
    </row>
    <row r="337" spans="1:1" ht="14.25">
      <c r="A337" s="301" t="s">
        <v>2333</v>
      </c>
    </row>
    <row r="338" spans="1:1" ht="14.25">
      <c r="A338" s="301"/>
    </row>
    <row r="339" spans="1:1" ht="14.25">
      <c r="A339" s="301" t="s">
        <v>2341</v>
      </c>
    </row>
    <row r="340" spans="1:1" ht="14.25">
      <c r="A340" s="302"/>
    </row>
    <row r="341" spans="1:1" ht="16.5">
      <c r="A341" s="302" t="s">
        <v>3487</v>
      </c>
    </row>
    <row r="342" spans="1:1" ht="14.25">
      <c r="A342" s="302"/>
    </row>
    <row r="343" spans="1:1" ht="14.25">
      <c r="A343" s="302" t="s">
        <v>2342</v>
      </c>
    </row>
    <row r="344" spans="1:1" ht="14.25">
      <c r="A344" s="302"/>
    </row>
    <row r="345" spans="1:1" ht="14.25">
      <c r="A345" s="302" t="s">
        <v>3488</v>
      </c>
    </row>
    <row r="346" spans="1:1" ht="14.25">
      <c r="A346" s="302"/>
    </row>
    <row r="347" spans="1:1" ht="14.25">
      <c r="A347" s="301" t="s">
        <v>2333</v>
      </c>
    </row>
    <row r="348" spans="1:1" ht="14.25">
      <c r="A348" s="301"/>
    </row>
    <row r="349" spans="1:1" ht="14.25">
      <c r="A349" s="301" t="s">
        <v>2341</v>
      </c>
    </row>
    <row r="350" spans="1:1" ht="14.25">
      <c r="A350" s="302"/>
    </row>
    <row r="351" spans="1:1" ht="16.5">
      <c r="A351" s="302" t="s">
        <v>3489</v>
      </c>
    </row>
    <row r="352" spans="1:1" ht="14.25">
      <c r="A352" s="302"/>
    </row>
    <row r="353" spans="1:1" ht="14.25">
      <c r="A353" s="302" t="s">
        <v>2342</v>
      </c>
    </row>
    <row r="354" spans="1:1" ht="14.25">
      <c r="A354" s="302"/>
    </row>
    <row r="355" spans="1:1" ht="14.25">
      <c r="A355" s="302" t="s">
        <v>3488</v>
      </c>
    </row>
    <row r="356" spans="1:1" ht="14.25">
      <c r="A356" s="302"/>
    </row>
    <row r="357" spans="1:1" ht="14.25">
      <c r="A357" s="301" t="s">
        <v>2333</v>
      </c>
    </row>
    <row r="358" spans="1:1" ht="14.25">
      <c r="A358" s="301"/>
    </row>
    <row r="359" spans="1:1" ht="14.25">
      <c r="A359" s="301" t="s">
        <v>2341</v>
      </c>
    </row>
    <row r="360" spans="1:1" ht="14.25">
      <c r="A360" s="302"/>
    </row>
    <row r="361" spans="1:1" ht="16.5">
      <c r="A361" s="302" t="s">
        <v>3490</v>
      </c>
    </row>
    <row r="362" spans="1:1" ht="14.25">
      <c r="A362" s="302"/>
    </row>
    <row r="363" spans="1:1" ht="14.25">
      <c r="A363" s="302" t="s">
        <v>2342</v>
      </c>
    </row>
    <row r="364" spans="1:1" ht="14.25">
      <c r="A364" s="302"/>
    </row>
    <row r="365" spans="1:1" ht="14.25">
      <c r="A365" s="302" t="s">
        <v>3488</v>
      </c>
    </row>
    <row r="366" spans="1:1" ht="14.25">
      <c r="A366" s="302"/>
    </row>
    <row r="367" spans="1:1" ht="14.25">
      <c r="A367" s="301" t="s">
        <v>2333</v>
      </c>
    </row>
    <row r="368" spans="1:1" ht="14.25">
      <c r="A368" s="301"/>
    </row>
    <row r="369" spans="1:1" ht="14.25">
      <c r="A369" s="301" t="s">
        <v>2341</v>
      </c>
    </row>
    <row r="370" spans="1:1" ht="14.25">
      <c r="A370" s="302"/>
    </row>
    <row r="371" spans="1:1" ht="14.25">
      <c r="A371" s="302" t="s">
        <v>3441</v>
      </c>
    </row>
    <row r="372" spans="1:1" ht="14.25">
      <c r="A372" s="302"/>
    </row>
    <row r="373" spans="1:1" ht="14.25">
      <c r="A373" s="302" t="s">
        <v>2342</v>
      </c>
    </row>
    <row r="374" spans="1:1" ht="14.25">
      <c r="A374" s="302"/>
    </row>
    <row r="375" spans="1:1" ht="14.25">
      <c r="A375" s="302" t="s">
        <v>3488</v>
      </c>
    </row>
    <row r="376" spans="1:1" ht="14.25">
      <c r="A376" s="302"/>
    </row>
    <row r="377" spans="1:1" ht="14.25">
      <c r="A377" s="301" t="s">
        <v>2333</v>
      </c>
    </row>
    <row r="378" spans="1:1" ht="14.25">
      <c r="A378" s="301"/>
    </row>
    <row r="379" spans="1:1" ht="14.25">
      <c r="A379" s="301" t="s">
        <v>2341</v>
      </c>
    </row>
    <row r="380" spans="1:1" ht="14.25">
      <c r="A380" s="302"/>
    </row>
    <row r="381" spans="1:1" ht="16.5">
      <c r="A381" s="302" t="s">
        <v>3491</v>
      </c>
    </row>
    <row r="382" spans="1:1" ht="14.25">
      <c r="A382" s="302"/>
    </row>
    <row r="383" spans="1:1" ht="14.25">
      <c r="A383" s="302" t="s">
        <v>2342</v>
      </c>
    </row>
    <row r="384" spans="1:1" ht="14.25">
      <c r="A384" s="302"/>
    </row>
    <row r="385" spans="1:1" ht="14.25">
      <c r="A385" s="302" t="s">
        <v>3492</v>
      </c>
    </row>
    <row r="386" spans="1:1" ht="14.25">
      <c r="A386" s="302"/>
    </row>
    <row r="387" spans="1:1" ht="14.25">
      <c r="A387" s="301" t="s">
        <v>2333</v>
      </c>
    </row>
    <row r="388" spans="1:1" ht="14.25">
      <c r="A388" s="302"/>
    </row>
    <row r="389" spans="1:1" ht="16.5">
      <c r="A389" s="302" t="s">
        <v>3493</v>
      </c>
    </row>
    <row r="390" spans="1:1" ht="14.25">
      <c r="A390" s="302"/>
    </row>
    <row r="391" spans="1:1" ht="14.25">
      <c r="A391" s="302" t="s">
        <v>2339</v>
      </c>
    </row>
    <row r="392" spans="1:1" ht="14.25">
      <c r="A392" s="302"/>
    </row>
    <row r="393" spans="1:1" ht="14.25">
      <c r="A393" s="302" t="s">
        <v>3492</v>
      </c>
    </row>
    <row r="394" spans="1:1" ht="14.25">
      <c r="A394" s="302"/>
    </row>
    <row r="395" spans="1:1" ht="14.25">
      <c r="A395" s="301" t="s">
        <v>2333</v>
      </c>
    </row>
    <row r="396" spans="1:1" ht="14.25">
      <c r="A396" s="301"/>
    </row>
    <row r="397" spans="1:1" ht="14.25">
      <c r="A397" s="301" t="s">
        <v>2341</v>
      </c>
    </row>
    <row r="398" spans="1:1" ht="14.25">
      <c r="A398" s="302"/>
    </row>
    <row r="399" spans="1:1" ht="16.5">
      <c r="A399" s="302" t="s">
        <v>3494</v>
      </c>
    </row>
    <row r="400" spans="1:1" ht="14.25">
      <c r="A400" s="302"/>
    </row>
    <row r="401" spans="1:1" ht="14.25">
      <c r="A401" s="302" t="s">
        <v>2342</v>
      </c>
    </row>
    <row r="402" spans="1:1" ht="14.25">
      <c r="A402" s="302"/>
    </row>
    <row r="403" spans="1:1" ht="14.25">
      <c r="A403" s="302" t="s">
        <v>3492</v>
      </c>
    </row>
    <row r="404" spans="1:1" ht="14.25">
      <c r="A404" s="302"/>
    </row>
    <row r="405" spans="1:1" ht="14.25">
      <c r="A405" s="301" t="s">
        <v>2333</v>
      </c>
    </row>
    <row r="406" spans="1:1" ht="14.25">
      <c r="A406" s="301"/>
    </row>
    <row r="407" spans="1:1" ht="14.25">
      <c r="A407" s="301" t="s">
        <v>2341</v>
      </c>
    </row>
    <row r="408" spans="1:1" ht="14.25">
      <c r="A408" s="302"/>
    </row>
    <row r="409" spans="1:1" ht="16.5">
      <c r="A409" s="302" t="s">
        <v>3495</v>
      </c>
    </row>
    <row r="410" spans="1:1" ht="14.25">
      <c r="A410" s="302"/>
    </row>
    <row r="411" spans="1:1" ht="14.25">
      <c r="A411" s="302" t="s">
        <v>2342</v>
      </c>
    </row>
    <row r="412" spans="1:1" ht="14.25">
      <c r="A412" s="302"/>
    </row>
    <row r="413" spans="1:1" ht="14.25">
      <c r="A413" s="302" t="s">
        <v>3492</v>
      </c>
    </row>
    <row r="414" spans="1:1" ht="14.25">
      <c r="A414" s="302"/>
    </row>
    <row r="415" spans="1:1" ht="14.25">
      <c r="A415" s="301" t="s">
        <v>2333</v>
      </c>
    </row>
    <row r="416" spans="1:1" ht="14.25">
      <c r="A416" s="301"/>
    </row>
    <row r="417" spans="1:1" ht="14.25">
      <c r="A417" s="301" t="s">
        <v>2341</v>
      </c>
    </row>
    <row r="418" spans="1:1" ht="14.25">
      <c r="A418" s="302"/>
    </row>
    <row r="419" spans="1:1" ht="16.5">
      <c r="A419" s="302" t="s">
        <v>3496</v>
      </c>
    </row>
    <row r="420" spans="1:1" ht="14.25">
      <c r="A420" s="302"/>
    </row>
    <row r="421" spans="1:1" ht="14.25">
      <c r="A421" s="302" t="s">
        <v>2342</v>
      </c>
    </row>
    <row r="422" spans="1:1" ht="14.25">
      <c r="A422" s="302"/>
    </row>
    <row r="423" spans="1:1" ht="14.25">
      <c r="A423" s="302" t="s">
        <v>3492</v>
      </c>
    </row>
    <row r="424" spans="1:1" ht="14.25">
      <c r="A424" s="302"/>
    </row>
    <row r="425" spans="1:1" ht="14.25">
      <c r="A425" s="301" t="s">
        <v>2333</v>
      </c>
    </row>
    <row r="426" spans="1:1" ht="14.25">
      <c r="A426" s="301"/>
    </row>
    <row r="427" spans="1:1" ht="14.25">
      <c r="A427" s="301" t="s">
        <v>2341</v>
      </c>
    </row>
    <row r="428" spans="1:1" ht="14.25">
      <c r="A428" s="302"/>
    </row>
    <row r="429" spans="1:1" ht="16.5">
      <c r="A429" s="302" t="s">
        <v>3497</v>
      </c>
    </row>
    <row r="430" spans="1:1" ht="14.25">
      <c r="A430" s="302"/>
    </row>
    <row r="431" spans="1:1" ht="14.25">
      <c r="A431" s="302" t="s">
        <v>2342</v>
      </c>
    </row>
    <row r="432" spans="1:1" ht="14.25">
      <c r="A432" s="302"/>
    </row>
    <row r="433" spans="1:1" ht="14.25">
      <c r="A433" s="302" t="s">
        <v>3492</v>
      </c>
    </row>
    <row r="434" spans="1:1" ht="14.25">
      <c r="A434" s="302"/>
    </row>
    <row r="435" spans="1:1" ht="14.25">
      <c r="A435" s="301" t="s">
        <v>2333</v>
      </c>
    </row>
    <row r="436" spans="1:1" ht="14.25">
      <c r="A436" s="301"/>
    </row>
    <row r="437" spans="1:1" ht="14.25">
      <c r="A437" s="301" t="s">
        <v>2341</v>
      </c>
    </row>
    <row r="438" spans="1:1" ht="14.25">
      <c r="A438" s="302"/>
    </row>
    <row r="439" spans="1:1" ht="16.5">
      <c r="A439" s="302" t="s">
        <v>3498</v>
      </c>
    </row>
    <row r="440" spans="1:1" ht="14.25">
      <c r="A440" s="302"/>
    </row>
    <row r="441" spans="1:1" ht="14.25">
      <c r="A441" s="302" t="s">
        <v>2342</v>
      </c>
    </row>
    <row r="442" spans="1:1" ht="14.25">
      <c r="A442" s="302"/>
    </row>
    <row r="443" spans="1:1" ht="14.25">
      <c r="A443" s="302" t="s">
        <v>3492</v>
      </c>
    </row>
    <row r="444" spans="1:1" ht="14.25">
      <c r="A444" s="302"/>
    </row>
    <row r="445" spans="1:1" ht="14.25">
      <c r="A445" s="301" t="s">
        <v>2333</v>
      </c>
    </row>
    <row r="446" spans="1:1" ht="14.25">
      <c r="A446" s="302"/>
    </row>
    <row r="447" spans="1:1" ht="16.5">
      <c r="A447" s="302" t="s">
        <v>3499</v>
      </c>
    </row>
    <row r="448" spans="1:1" ht="14.25">
      <c r="A448" s="302"/>
    </row>
    <row r="449" spans="1:1" ht="14.25">
      <c r="A449" s="302" t="s">
        <v>2334</v>
      </c>
    </row>
    <row r="450" spans="1:1" ht="14.25">
      <c r="A450" s="302"/>
    </row>
    <row r="451" spans="1:1" ht="14.25">
      <c r="A451" s="302" t="s">
        <v>3500</v>
      </c>
    </row>
    <row r="452" spans="1:1" ht="14.25">
      <c r="A452" s="302"/>
    </row>
    <row r="453" spans="1:1" ht="14.25">
      <c r="A453" s="301" t="s">
        <v>2333</v>
      </c>
    </row>
    <row r="454" spans="1:1" ht="14.25">
      <c r="A454" s="301"/>
    </row>
    <row r="455" spans="1:1" ht="14.25">
      <c r="A455" s="301" t="s">
        <v>2341</v>
      </c>
    </row>
    <row r="456" spans="1:1" ht="14.25">
      <c r="A456" s="302"/>
    </row>
    <row r="457" spans="1:1" ht="16.5">
      <c r="A457" s="302" t="s">
        <v>3501</v>
      </c>
    </row>
    <row r="458" spans="1:1" ht="14.25">
      <c r="A458" s="302"/>
    </row>
    <row r="459" spans="1:1" ht="14.25">
      <c r="A459" s="302" t="s">
        <v>2342</v>
      </c>
    </row>
    <row r="460" spans="1:1" ht="14.25">
      <c r="A460" s="302"/>
    </row>
    <row r="461" spans="1:1" ht="14.25">
      <c r="A461" s="302" t="s">
        <v>3500</v>
      </c>
    </row>
    <row r="462" spans="1:1" ht="14.25">
      <c r="A462" s="302"/>
    </row>
    <row r="463" spans="1:1" ht="14.25">
      <c r="A463" s="301" t="s">
        <v>2333</v>
      </c>
    </row>
    <row r="464" spans="1:1" ht="14.25">
      <c r="A464" s="302"/>
    </row>
    <row r="465" spans="1:1" ht="16.5">
      <c r="A465" s="302" t="s">
        <v>3502</v>
      </c>
    </row>
    <row r="466" spans="1:1" ht="14.25">
      <c r="A466" s="302"/>
    </row>
    <row r="467" spans="1:1" ht="14.25">
      <c r="A467" s="302" t="s">
        <v>2339</v>
      </c>
    </row>
    <row r="468" spans="1:1" ht="14.25">
      <c r="A468" s="302"/>
    </row>
    <row r="469" spans="1:1" ht="14.25">
      <c r="A469" s="302" t="s">
        <v>3503</v>
      </c>
    </row>
    <row r="470" spans="1:1" ht="14.25">
      <c r="A470" s="302"/>
    </row>
    <row r="471" spans="1:1" ht="14.25">
      <c r="A471" s="301" t="s">
        <v>2333</v>
      </c>
    </row>
    <row r="472" spans="1:1" ht="14.25">
      <c r="A472" s="301"/>
    </row>
    <row r="473" spans="1:1" ht="14.25">
      <c r="A473" s="301" t="s">
        <v>2341</v>
      </c>
    </row>
    <row r="474" spans="1:1" ht="14.25">
      <c r="A474" s="302"/>
    </row>
    <row r="475" spans="1:1" ht="16.5">
      <c r="A475" s="302" t="s">
        <v>3504</v>
      </c>
    </row>
    <row r="476" spans="1:1" ht="14.25">
      <c r="A476" s="302"/>
    </row>
    <row r="477" spans="1:1" ht="14.25">
      <c r="A477" s="302" t="s">
        <v>2342</v>
      </c>
    </row>
    <row r="478" spans="1:1" ht="14.25">
      <c r="A478" s="302"/>
    </row>
    <row r="479" spans="1:1" ht="14.25">
      <c r="A479" s="302" t="s">
        <v>3503</v>
      </c>
    </row>
    <row r="480" spans="1:1" ht="14.25">
      <c r="A480" s="302"/>
    </row>
    <row r="481" spans="1:1" ht="14.25">
      <c r="A481" s="301" t="s">
        <v>2333</v>
      </c>
    </row>
    <row r="482" spans="1:1" ht="14.25">
      <c r="A482" s="302"/>
    </row>
    <row r="483" spans="1:1" ht="16.5">
      <c r="A483" s="302" t="s">
        <v>3505</v>
      </c>
    </row>
    <row r="484" spans="1:1" ht="14.25">
      <c r="A484" s="302"/>
    </row>
    <row r="485" spans="1:1" ht="14.25">
      <c r="A485" s="302" t="s">
        <v>2334</v>
      </c>
    </row>
    <row r="486" spans="1:1" ht="14.25">
      <c r="A486" s="302"/>
    </row>
    <row r="487" spans="1:1" ht="14.25">
      <c r="A487" s="302" t="s">
        <v>3503</v>
      </c>
    </row>
    <row r="488" spans="1:1" ht="14.25">
      <c r="A488" s="302"/>
    </row>
    <row r="489" spans="1:1" ht="14.25">
      <c r="A489" s="301" t="s">
        <v>2333</v>
      </c>
    </row>
    <row r="490" spans="1:1" ht="14.25">
      <c r="A490" s="301"/>
    </row>
    <row r="491" spans="1:1" ht="14.25">
      <c r="A491" s="301" t="s">
        <v>2341</v>
      </c>
    </row>
    <row r="492" spans="1:1" ht="14.25">
      <c r="A492" s="302"/>
    </row>
    <row r="493" spans="1:1" ht="16.5">
      <c r="A493" s="302" t="s">
        <v>3506</v>
      </c>
    </row>
    <row r="494" spans="1:1" ht="14.25">
      <c r="A494" s="302"/>
    </row>
    <row r="495" spans="1:1" ht="14.25">
      <c r="A495" s="302" t="s">
        <v>2342</v>
      </c>
    </row>
    <row r="496" spans="1:1" ht="14.25">
      <c r="A496" s="302"/>
    </row>
    <row r="497" spans="1:1" ht="14.25">
      <c r="A497" s="302" t="s">
        <v>3507</v>
      </c>
    </row>
    <row r="498" spans="1:1" ht="14.25">
      <c r="A498" s="302"/>
    </row>
    <row r="499" spans="1:1" ht="14.25">
      <c r="A499" s="301" t="s">
        <v>2333</v>
      </c>
    </row>
    <row r="500" spans="1:1" ht="14.25">
      <c r="A500" s="302"/>
    </row>
    <row r="501" spans="1:1" ht="16.5">
      <c r="A501" s="302" t="s">
        <v>3508</v>
      </c>
    </row>
    <row r="502" spans="1:1" ht="14.25">
      <c r="A502" s="302"/>
    </row>
    <row r="503" spans="1:1" ht="14.25">
      <c r="A503" s="302" t="s">
        <v>2334</v>
      </c>
    </row>
    <row r="504" spans="1:1" ht="14.25">
      <c r="A504" s="302"/>
    </row>
    <row r="505" spans="1:1" ht="14.25">
      <c r="A505" s="302" t="s">
        <v>3507</v>
      </c>
    </row>
    <row r="506" spans="1:1" ht="14.25">
      <c r="A506" s="302"/>
    </row>
    <row r="507" spans="1:1" ht="14.25">
      <c r="A507" s="301" t="s">
        <v>2333</v>
      </c>
    </row>
    <row r="508" spans="1:1" ht="14.25">
      <c r="A508" s="302"/>
    </row>
    <row r="509" spans="1:1" ht="16.5">
      <c r="A509" s="302" t="s">
        <v>3509</v>
      </c>
    </row>
    <row r="510" spans="1:1" ht="14.25">
      <c r="A510" s="302"/>
    </row>
    <row r="511" spans="1:1" ht="14.25">
      <c r="A511" s="302" t="s">
        <v>2334</v>
      </c>
    </row>
    <row r="512" spans="1:1" ht="14.25">
      <c r="A512" s="302"/>
    </row>
    <row r="513" spans="1:1" ht="14.25">
      <c r="A513" s="302" t="s">
        <v>3507</v>
      </c>
    </row>
    <row r="514" spans="1:1" ht="14.25">
      <c r="A514" s="302"/>
    </row>
    <row r="515" spans="1:1" ht="14.25">
      <c r="A515" s="301" t="s">
        <v>2333</v>
      </c>
    </row>
    <row r="516" spans="1:1" ht="14.25">
      <c r="A516" s="302"/>
    </row>
    <row r="517" spans="1:1" ht="16.5">
      <c r="A517" s="302" t="s">
        <v>3510</v>
      </c>
    </row>
    <row r="518" spans="1:1" ht="14.25">
      <c r="A518" s="302"/>
    </row>
    <row r="519" spans="1:1" ht="14.25">
      <c r="A519" s="302" t="s">
        <v>2334</v>
      </c>
    </row>
    <row r="520" spans="1:1" ht="14.25">
      <c r="A520" s="302"/>
    </row>
    <row r="521" spans="1:1" ht="14.25">
      <c r="A521" s="302" t="s">
        <v>3507</v>
      </c>
    </row>
    <row r="522" spans="1:1" ht="14.25">
      <c r="A522" s="302"/>
    </row>
    <row r="523" spans="1:1" ht="14.25">
      <c r="A523" s="301" t="s">
        <v>2333</v>
      </c>
    </row>
    <row r="524" spans="1:1" ht="14.25">
      <c r="A524" s="302"/>
    </row>
    <row r="525" spans="1:1" ht="16.5">
      <c r="A525" s="302" t="s">
        <v>3511</v>
      </c>
    </row>
    <row r="526" spans="1:1" ht="14.25">
      <c r="A526" s="302"/>
    </row>
    <row r="527" spans="1:1" ht="14.25">
      <c r="A527" s="302" t="s">
        <v>2334</v>
      </c>
    </row>
    <row r="528" spans="1:1" ht="14.25">
      <c r="A528" s="302"/>
    </row>
    <row r="529" spans="1:1" ht="14.25">
      <c r="A529" s="302" t="s">
        <v>3507</v>
      </c>
    </row>
    <row r="530" spans="1:1" ht="14.25">
      <c r="A530" s="302"/>
    </row>
    <row r="531" spans="1:1" ht="14.25">
      <c r="A531" s="301" t="s">
        <v>2333</v>
      </c>
    </row>
    <row r="532" spans="1:1" ht="14.25">
      <c r="A532" s="302"/>
    </row>
    <row r="533" spans="1:1" ht="16.5">
      <c r="A533" s="302" t="s">
        <v>3512</v>
      </c>
    </row>
    <row r="534" spans="1:1" ht="14.25">
      <c r="A534" s="302"/>
    </row>
    <row r="535" spans="1:1" ht="14.25">
      <c r="A535" s="302" t="s">
        <v>2334</v>
      </c>
    </row>
    <row r="536" spans="1:1" ht="14.25">
      <c r="A536" s="302"/>
    </row>
    <row r="537" spans="1:1" ht="14.25">
      <c r="A537" s="302" t="s">
        <v>3507</v>
      </c>
    </row>
    <row r="538" spans="1:1" ht="14.25">
      <c r="A538" s="302"/>
    </row>
    <row r="539" spans="1:1" ht="14.25">
      <c r="A539" s="301" t="s">
        <v>2333</v>
      </c>
    </row>
    <row r="540" spans="1:1" ht="14.25">
      <c r="A540" s="302"/>
    </row>
    <row r="541" spans="1:1" ht="16.5">
      <c r="A541" s="302" t="s">
        <v>3513</v>
      </c>
    </row>
    <row r="542" spans="1:1" ht="14.25">
      <c r="A542" s="302"/>
    </row>
    <row r="543" spans="1:1" ht="14.25">
      <c r="A543" s="302" t="s">
        <v>2334</v>
      </c>
    </row>
    <row r="544" spans="1:1" ht="14.25">
      <c r="A544" s="302"/>
    </row>
    <row r="545" spans="1:1" ht="14.25">
      <c r="A545" s="302" t="s">
        <v>3507</v>
      </c>
    </row>
    <row r="546" spans="1:1" ht="14.25">
      <c r="A546" s="302"/>
    </row>
    <row r="547" spans="1:1" ht="14.25">
      <c r="A547" s="301" t="s">
        <v>2333</v>
      </c>
    </row>
    <row r="548" spans="1:1" ht="14.25">
      <c r="A548" s="302"/>
    </row>
    <row r="549" spans="1:1" ht="16.5">
      <c r="A549" s="302" t="s">
        <v>3514</v>
      </c>
    </row>
    <row r="550" spans="1:1" ht="14.25">
      <c r="A550" s="302"/>
    </row>
    <row r="551" spans="1:1" ht="14.25">
      <c r="A551" s="302" t="s">
        <v>2334</v>
      </c>
    </row>
    <row r="552" spans="1:1" ht="14.25">
      <c r="A552" s="302"/>
    </row>
    <row r="553" spans="1:1" ht="14.25">
      <c r="A553" s="302" t="s">
        <v>3507</v>
      </c>
    </row>
    <row r="554" spans="1:1" ht="14.25">
      <c r="A554" s="302"/>
    </row>
    <row r="555" spans="1:1" ht="14.25">
      <c r="A555" s="301" t="s">
        <v>2333</v>
      </c>
    </row>
    <row r="556" spans="1:1" ht="14.25">
      <c r="A556" s="301"/>
    </row>
    <row r="557" spans="1:1" ht="14.25">
      <c r="A557" s="301" t="s">
        <v>2341</v>
      </c>
    </row>
    <row r="558" spans="1:1" ht="14.25">
      <c r="A558" s="302"/>
    </row>
    <row r="559" spans="1:1" ht="16.5">
      <c r="A559" s="302" t="s">
        <v>3515</v>
      </c>
    </row>
    <row r="560" spans="1:1" ht="14.25">
      <c r="A560" s="302"/>
    </row>
    <row r="561" spans="1:1" ht="14.25">
      <c r="A561" s="302" t="s">
        <v>2342</v>
      </c>
    </row>
    <row r="562" spans="1:1" ht="14.25">
      <c r="A562" s="302"/>
    </row>
    <row r="563" spans="1:1" ht="14.25">
      <c r="A563" s="302" t="s">
        <v>3507</v>
      </c>
    </row>
    <row r="564" spans="1:1" ht="14.25">
      <c r="A564" s="302"/>
    </row>
    <row r="565" spans="1:1" ht="14.25">
      <c r="A565" s="301" t="s">
        <v>2333</v>
      </c>
    </row>
    <row r="566" spans="1:1" ht="14.25">
      <c r="A566" s="302"/>
    </row>
    <row r="567" spans="1:1" ht="16.5">
      <c r="A567" s="302" t="s">
        <v>3516</v>
      </c>
    </row>
    <row r="568" spans="1:1" ht="14.25">
      <c r="A568" s="302"/>
    </row>
    <row r="569" spans="1:1" ht="14.25">
      <c r="A569" s="302" t="s">
        <v>2334</v>
      </c>
    </row>
    <row r="570" spans="1:1" ht="14.25">
      <c r="A570" s="302"/>
    </row>
    <row r="571" spans="1:1" ht="14.25">
      <c r="A571" s="302" t="s">
        <v>3507</v>
      </c>
    </row>
    <row r="572" spans="1:1" ht="14.25">
      <c r="A572" s="302"/>
    </row>
    <row r="573" spans="1:1" ht="14.25">
      <c r="A573" s="301" t="s">
        <v>2333</v>
      </c>
    </row>
    <row r="574" spans="1:1" ht="14.25">
      <c r="A574" s="302"/>
    </row>
    <row r="575" spans="1:1" ht="16.5">
      <c r="A575" s="302" t="s">
        <v>3517</v>
      </c>
    </row>
    <row r="576" spans="1:1" ht="14.25">
      <c r="A576" s="302"/>
    </row>
    <row r="577" spans="1:1" ht="14.25">
      <c r="A577" s="302" t="s">
        <v>2334</v>
      </c>
    </row>
    <row r="578" spans="1:1" ht="14.25">
      <c r="A578" s="302"/>
    </row>
    <row r="579" spans="1:1" ht="14.25">
      <c r="A579" s="302" t="s">
        <v>3507</v>
      </c>
    </row>
    <row r="580" spans="1:1" ht="14.25">
      <c r="A580" s="302"/>
    </row>
    <row r="581" spans="1:1" ht="14.25">
      <c r="A581" s="301" t="s">
        <v>2333</v>
      </c>
    </row>
    <row r="582" spans="1:1" ht="14.25">
      <c r="A582" s="302"/>
    </row>
    <row r="583" spans="1:1" ht="16.5">
      <c r="A583" s="302" t="s">
        <v>3518</v>
      </c>
    </row>
    <row r="584" spans="1:1" ht="14.25">
      <c r="A584" s="302"/>
    </row>
    <row r="585" spans="1:1" ht="14.25">
      <c r="A585" s="302" t="s">
        <v>2334</v>
      </c>
    </row>
    <row r="586" spans="1:1" ht="14.25">
      <c r="A586" s="302"/>
    </row>
    <row r="587" spans="1:1" ht="14.25">
      <c r="A587" s="302" t="s">
        <v>3507</v>
      </c>
    </row>
    <row r="588" spans="1:1" ht="14.25">
      <c r="A588" s="302"/>
    </row>
    <row r="589" spans="1:1" ht="14.25">
      <c r="A589" s="301" t="s">
        <v>2333</v>
      </c>
    </row>
    <row r="590" spans="1:1" ht="14.25">
      <c r="A590" s="302"/>
    </row>
    <row r="591" spans="1:1" ht="16.5">
      <c r="A591" s="302" t="s">
        <v>3519</v>
      </c>
    </row>
    <row r="592" spans="1:1" ht="14.25">
      <c r="A592" s="302"/>
    </row>
    <row r="593" spans="1:1" ht="14.25">
      <c r="A593" s="302" t="s">
        <v>2334</v>
      </c>
    </row>
    <row r="594" spans="1:1" ht="14.25">
      <c r="A594" s="302"/>
    </row>
    <row r="595" spans="1:1" ht="14.25">
      <c r="A595" s="302" t="s">
        <v>3507</v>
      </c>
    </row>
    <row r="596" spans="1:1" ht="14.25">
      <c r="A596" s="302"/>
    </row>
    <row r="597" spans="1:1" ht="14.25">
      <c r="A597" s="301" t="s">
        <v>2333</v>
      </c>
    </row>
    <row r="598" spans="1:1" ht="14.25">
      <c r="A598" s="302"/>
    </row>
    <row r="599" spans="1:1" ht="16.5">
      <c r="A599" s="302" t="s">
        <v>3520</v>
      </c>
    </row>
    <row r="600" spans="1:1" ht="14.25">
      <c r="A600" s="302"/>
    </row>
    <row r="601" spans="1:1" ht="14.25">
      <c r="A601" s="302" t="s">
        <v>2334</v>
      </c>
    </row>
    <row r="602" spans="1:1" ht="14.25">
      <c r="A602" s="302"/>
    </row>
    <row r="603" spans="1:1" ht="14.25">
      <c r="A603" s="302" t="s">
        <v>3507</v>
      </c>
    </row>
    <row r="604" spans="1:1" ht="14.25">
      <c r="A604" s="302"/>
    </row>
    <row r="605" spans="1:1" ht="14.25">
      <c r="A605" s="301" t="s">
        <v>2333</v>
      </c>
    </row>
    <row r="606" spans="1:1" ht="14.25">
      <c r="A606" s="302"/>
    </row>
    <row r="607" spans="1:1" ht="16.5">
      <c r="A607" s="302" t="s">
        <v>3521</v>
      </c>
    </row>
    <row r="608" spans="1:1" ht="14.25">
      <c r="A608" s="302"/>
    </row>
    <row r="609" spans="1:1" ht="14.25">
      <c r="A609" s="302" t="s">
        <v>2339</v>
      </c>
    </row>
    <row r="610" spans="1:1" ht="14.25">
      <c r="A610" s="302"/>
    </row>
    <row r="611" spans="1:1" ht="14.25">
      <c r="A611" s="302" t="s">
        <v>3507</v>
      </c>
    </row>
    <row r="612" spans="1:1" ht="14.25">
      <c r="A612" s="302"/>
    </row>
    <row r="613" spans="1:1" ht="14.25">
      <c r="A613" s="301" t="s">
        <v>2333</v>
      </c>
    </row>
    <row r="614" spans="1:1" ht="14.25">
      <c r="A614" s="302"/>
    </row>
    <row r="615" spans="1:1" ht="16.5">
      <c r="A615" s="302" t="s">
        <v>3522</v>
      </c>
    </row>
    <row r="616" spans="1:1" ht="14.25">
      <c r="A616" s="302"/>
    </row>
    <row r="617" spans="1:1" ht="14.25">
      <c r="A617" s="302" t="s">
        <v>2339</v>
      </c>
    </row>
    <row r="618" spans="1:1" ht="14.25">
      <c r="A618" s="302"/>
    </row>
    <row r="619" spans="1:1" ht="14.25">
      <c r="A619" s="302" t="s">
        <v>3507</v>
      </c>
    </row>
    <row r="620" spans="1:1" ht="14.25">
      <c r="A620" s="302"/>
    </row>
    <row r="621" spans="1:1" ht="14.25">
      <c r="A621" s="301" t="s">
        <v>2333</v>
      </c>
    </row>
    <row r="622" spans="1:1" ht="14.25">
      <c r="A622" s="302"/>
    </row>
    <row r="623" spans="1:1" ht="16.5">
      <c r="A623" s="302" t="s">
        <v>3523</v>
      </c>
    </row>
    <row r="624" spans="1:1" ht="14.25">
      <c r="A624" s="302"/>
    </row>
    <row r="625" spans="1:1" ht="14.25">
      <c r="A625" s="302" t="s">
        <v>2339</v>
      </c>
    </row>
    <row r="626" spans="1:1" ht="14.25">
      <c r="A626" s="302"/>
    </row>
    <row r="627" spans="1:1" ht="14.25">
      <c r="A627" s="302" t="s">
        <v>3524</v>
      </c>
    </row>
    <row r="628" spans="1:1" ht="14.25">
      <c r="A628" s="302"/>
    </row>
    <row r="629" spans="1:1" ht="14.25">
      <c r="A629" s="301" t="s">
        <v>2333</v>
      </c>
    </row>
    <row r="630" spans="1:1" ht="14.25">
      <c r="A630" s="302"/>
    </row>
    <row r="631" spans="1:1" ht="16.5">
      <c r="A631" s="302" t="s">
        <v>3525</v>
      </c>
    </row>
    <row r="632" spans="1:1" ht="14.25">
      <c r="A632" s="302"/>
    </row>
    <row r="633" spans="1:1" ht="14.25">
      <c r="A633" s="302" t="s">
        <v>2334</v>
      </c>
    </row>
    <row r="634" spans="1:1" ht="14.25">
      <c r="A634" s="302"/>
    </row>
    <row r="635" spans="1:1" ht="14.25">
      <c r="A635" s="302" t="s">
        <v>3526</v>
      </c>
    </row>
    <row r="636" spans="1:1" ht="14.25">
      <c r="A636" s="302"/>
    </row>
    <row r="637" spans="1:1" ht="14.25">
      <c r="A637" s="301" t="s">
        <v>2333</v>
      </c>
    </row>
    <row r="638" spans="1:1" ht="14.25">
      <c r="A638" s="302"/>
    </row>
    <row r="639" spans="1:1" ht="16.5">
      <c r="A639" s="302" t="s">
        <v>3527</v>
      </c>
    </row>
    <row r="640" spans="1:1" ht="14.25">
      <c r="A640" s="302"/>
    </row>
    <row r="641" spans="1:1" ht="14.25">
      <c r="A641" s="302" t="s">
        <v>2334</v>
      </c>
    </row>
    <row r="642" spans="1:1" ht="14.25">
      <c r="A642" s="302"/>
    </row>
    <row r="643" spans="1:1" ht="14.25">
      <c r="A643" s="302" t="s">
        <v>3526</v>
      </c>
    </row>
    <row r="644" spans="1:1" ht="14.25">
      <c r="A644" s="302"/>
    </row>
    <row r="645" spans="1:1" ht="14.25">
      <c r="A645" s="301" t="s">
        <v>2333</v>
      </c>
    </row>
    <row r="646" spans="1:1" ht="14.25">
      <c r="A646" s="301"/>
    </row>
    <row r="647" spans="1:1" ht="14.25">
      <c r="A647" s="301" t="s">
        <v>2341</v>
      </c>
    </row>
    <row r="648" spans="1:1" ht="14.25">
      <c r="A648" s="302"/>
    </row>
    <row r="649" spans="1:1" ht="16.5">
      <c r="A649" s="302" t="s">
        <v>3528</v>
      </c>
    </row>
    <row r="650" spans="1:1" ht="14.25">
      <c r="A650" s="302"/>
    </row>
    <row r="651" spans="1:1" ht="14.25">
      <c r="A651" s="302" t="s">
        <v>2342</v>
      </c>
    </row>
    <row r="652" spans="1:1" ht="14.25">
      <c r="A652" s="302"/>
    </row>
    <row r="653" spans="1:1" ht="14.25">
      <c r="A653" s="302" t="s">
        <v>3526</v>
      </c>
    </row>
    <row r="654" spans="1:1" ht="14.25">
      <c r="A654" s="302"/>
    </row>
    <row r="655" spans="1:1" ht="14.25">
      <c r="A655" s="301" t="s">
        <v>2333</v>
      </c>
    </row>
    <row r="656" spans="1:1" ht="14.25">
      <c r="A656" s="302"/>
    </row>
    <row r="657" spans="1:1" ht="16.5">
      <c r="A657" s="302" t="s">
        <v>3529</v>
      </c>
    </row>
    <row r="658" spans="1:1" ht="14.25">
      <c r="A658" s="302"/>
    </row>
    <row r="659" spans="1:1" ht="14.25">
      <c r="A659" s="302" t="s">
        <v>2334</v>
      </c>
    </row>
    <row r="660" spans="1:1" ht="14.25">
      <c r="A660" s="302"/>
    </row>
    <row r="661" spans="1:1" ht="14.25">
      <c r="A661" s="302" t="s">
        <v>3526</v>
      </c>
    </row>
    <row r="662" spans="1:1" ht="14.25">
      <c r="A662" s="302"/>
    </row>
    <row r="663" spans="1:1" ht="14.25">
      <c r="A663" s="301" t="s">
        <v>2333</v>
      </c>
    </row>
    <row r="664" spans="1:1" ht="14.25">
      <c r="A664" s="302"/>
    </row>
    <row r="665" spans="1:1" ht="16.5">
      <c r="A665" s="302" t="s">
        <v>3530</v>
      </c>
    </row>
    <row r="666" spans="1:1" ht="14.25">
      <c r="A666" s="302"/>
    </row>
    <row r="667" spans="1:1" ht="14.25">
      <c r="A667" s="302" t="s">
        <v>2334</v>
      </c>
    </row>
    <row r="668" spans="1:1" ht="14.25">
      <c r="A668" s="302"/>
    </row>
    <row r="669" spans="1:1" ht="14.25">
      <c r="A669" s="302" t="s">
        <v>3526</v>
      </c>
    </row>
    <row r="670" spans="1:1" ht="14.25">
      <c r="A670" s="302"/>
    </row>
    <row r="671" spans="1:1" ht="14.25">
      <c r="A671" s="301" t="s">
        <v>2333</v>
      </c>
    </row>
    <row r="672" spans="1:1" ht="14.25">
      <c r="A672" s="301"/>
    </row>
    <row r="673" spans="1:1" ht="14.25">
      <c r="A673" s="301" t="s">
        <v>2341</v>
      </c>
    </row>
    <row r="674" spans="1:1" ht="14.25">
      <c r="A674" s="302"/>
    </row>
    <row r="675" spans="1:1" ht="16.5">
      <c r="A675" s="302" t="s">
        <v>3531</v>
      </c>
    </row>
    <row r="676" spans="1:1" ht="14.25">
      <c r="A676" s="302"/>
    </row>
    <row r="677" spans="1:1" ht="14.25">
      <c r="A677" s="302" t="s">
        <v>2342</v>
      </c>
    </row>
    <row r="678" spans="1:1" ht="14.25">
      <c r="A678" s="302"/>
    </row>
    <row r="679" spans="1:1" ht="14.25">
      <c r="A679" s="302" t="s">
        <v>3532</v>
      </c>
    </row>
    <row r="680" spans="1:1" ht="14.25">
      <c r="A680" s="302"/>
    </row>
    <row r="681" spans="1:1" ht="14.25">
      <c r="A681" s="301" t="s">
        <v>2333</v>
      </c>
    </row>
    <row r="682" spans="1:1" ht="14.25">
      <c r="A682" s="301"/>
    </row>
    <row r="683" spans="1:1" ht="14.25">
      <c r="A683" s="301" t="s">
        <v>2341</v>
      </c>
    </row>
    <row r="684" spans="1:1" ht="14.25">
      <c r="A684" s="302"/>
    </row>
    <row r="685" spans="1:1" ht="16.5">
      <c r="A685" s="302" t="s">
        <v>3533</v>
      </c>
    </row>
    <row r="686" spans="1:1" ht="14.25">
      <c r="A686" s="302"/>
    </row>
    <row r="687" spans="1:1" ht="14.25">
      <c r="A687" s="302" t="s">
        <v>2342</v>
      </c>
    </row>
    <row r="688" spans="1:1" ht="14.25">
      <c r="A688" s="302"/>
    </row>
    <row r="689" spans="1:1" ht="14.25">
      <c r="A689" s="302" t="s">
        <v>3532</v>
      </c>
    </row>
    <row r="690" spans="1:1" ht="14.25">
      <c r="A690" s="302"/>
    </row>
    <row r="691" spans="1:1" ht="14.25">
      <c r="A691" s="301" t="s">
        <v>2333</v>
      </c>
    </row>
    <row r="692" spans="1:1" ht="14.25">
      <c r="A692" s="301"/>
    </row>
    <row r="693" spans="1:1" ht="14.25">
      <c r="A693" s="301" t="s">
        <v>2341</v>
      </c>
    </row>
    <row r="694" spans="1:1" ht="14.25">
      <c r="A694" s="302"/>
    </row>
    <row r="695" spans="1:1" ht="16.5">
      <c r="A695" s="302" t="s">
        <v>3534</v>
      </c>
    </row>
    <row r="696" spans="1:1" ht="14.25">
      <c r="A696" s="302"/>
    </row>
    <row r="697" spans="1:1" ht="14.25">
      <c r="A697" s="302" t="s">
        <v>2342</v>
      </c>
    </row>
    <row r="698" spans="1:1" ht="14.25">
      <c r="A698" s="302"/>
    </row>
    <row r="699" spans="1:1" ht="14.25">
      <c r="A699" s="302" t="s">
        <v>3532</v>
      </c>
    </row>
    <row r="700" spans="1:1" ht="14.25">
      <c r="A700" s="302"/>
    </row>
    <row r="701" spans="1:1" ht="14.25">
      <c r="A701" s="301" t="s">
        <v>2333</v>
      </c>
    </row>
    <row r="702" spans="1:1" ht="14.25">
      <c r="A702" s="301"/>
    </row>
    <row r="703" spans="1:1" ht="14.25">
      <c r="A703" s="301" t="s">
        <v>2341</v>
      </c>
    </row>
    <row r="704" spans="1:1" ht="14.25">
      <c r="A704" s="302"/>
    </row>
    <row r="705" spans="1:1" ht="16.5">
      <c r="A705" s="302" t="s">
        <v>3535</v>
      </c>
    </row>
    <row r="706" spans="1:1" ht="14.25">
      <c r="A706" s="302"/>
    </row>
    <row r="707" spans="1:1" ht="14.25">
      <c r="A707" s="302" t="s">
        <v>2342</v>
      </c>
    </row>
    <row r="708" spans="1:1" ht="14.25">
      <c r="A708" s="302"/>
    </row>
    <row r="709" spans="1:1" ht="14.25">
      <c r="A709" s="302" t="s">
        <v>3532</v>
      </c>
    </row>
    <row r="710" spans="1:1" ht="14.25">
      <c r="A710" s="302"/>
    </row>
    <row r="711" spans="1:1" ht="14.25">
      <c r="A711" s="301" t="s">
        <v>2333</v>
      </c>
    </row>
    <row r="712" spans="1:1" ht="14.25">
      <c r="A712" s="302"/>
    </row>
    <row r="713" spans="1:1" ht="16.5">
      <c r="A713" s="302" t="s">
        <v>3536</v>
      </c>
    </row>
    <row r="714" spans="1:1" ht="14.25">
      <c r="A714" s="302"/>
    </row>
    <row r="715" spans="1:1" ht="14.25">
      <c r="A715" s="302" t="s">
        <v>2342</v>
      </c>
    </row>
    <row r="716" spans="1:1" ht="14.25">
      <c r="A716" s="302"/>
    </row>
    <row r="717" spans="1:1" ht="14.25">
      <c r="A717" s="302" t="s">
        <v>3537</v>
      </c>
    </row>
    <row r="718" spans="1:1" ht="14.25">
      <c r="A718" s="302"/>
    </row>
    <row r="719" spans="1:1" ht="14.25">
      <c r="A719" s="301" t="s">
        <v>2333</v>
      </c>
    </row>
    <row r="720" spans="1:1" ht="14.25">
      <c r="A720" s="301"/>
    </row>
    <row r="721" spans="1:1" ht="14.25">
      <c r="A721" s="301" t="s">
        <v>2341</v>
      </c>
    </row>
    <row r="722" spans="1:1" ht="14.25">
      <c r="A722" s="302"/>
    </row>
    <row r="723" spans="1:1" ht="16.5">
      <c r="A723" s="302" t="s">
        <v>3538</v>
      </c>
    </row>
    <row r="724" spans="1:1" ht="14.25">
      <c r="A724" s="302"/>
    </row>
    <row r="725" spans="1:1" ht="14.25">
      <c r="A725" s="302" t="s">
        <v>2342</v>
      </c>
    </row>
    <row r="726" spans="1:1" ht="14.25">
      <c r="A726" s="302"/>
    </row>
    <row r="727" spans="1:1" ht="14.25">
      <c r="A727" s="302" t="s">
        <v>3537</v>
      </c>
    </row>
    <row r="728" spans="1:1" ht="14.25">
      <c r="A728" s="302"/>
    </row>
    <row r="729" spans="1:1" ht="14.25">
      <c r="A729" s="301" t="s">
        <v>2333</v>
      </c>
    </row>
    <row r="730" spans="1:1" ht="14.25">
      <c r="A730" s="301"/>
    </row>
    <row r="731" spans="1:1" ht="14.25">
      <c r="A731" s="301" t="s">
        <v>2341</v>
      </c>
    </row>
    <row r="732" spans="1:1" ht="14.25">
      <c r="A732" s="302"/>
    </row>
    <row r="733" spans="1:1" ht="16.5">
      <c r="A733" s="302" t="s">
        <v>3539</v>
      </c>
    </row>
    <row r="734" spans="1:1" ht="14.25">
      <c r="A734" s="302"/>
    </row>
    <row r="735" spans="1:1" ht="14.25">
      <c r="A735" s="302" t="s">
        <v>2342</v>
      </c>
    </row>
    <row r="736" spans="1:1" ht="14.25">
      <c r="A736" s="302"/>
    </row>
    <row r="737" spans="1:1" ht="14.25">
      <c r="A737" s="302" t="s">
        <v>3537</v>
      </c>
    </row>
    <row r="738" spans="1:1" ht="14.25">
      <c r="A738" s="302"/>
    </row>
    <row r="739" spans="1:1" ht="14.25">
      <c r="A739" s="301" t="s">
        <v>2333</v>
      </c>
    </row>
    <row r="740" spans="1:1" ht="14.25">
      <c r="A740" s="301"/>
    </row>
    <row r="741" spans="1:1" ht="14.25">
      <c r="A741" s="301" t="s">
        <v>2341</v>
      </c>
    </row>
    <row r="742" spans="1:1" ht="14.25">
      <c r="A742" s="302"/>
    </row>
    <row r="743" spans="1:1" ht="16.5">
      <c r="A743" s="302" t="s">
        <v>3540</v>
      </c>
    </row>
    <row r="744" spans="1:1" ht="14.25">
      <c r="A744" s="302"/>
    </row>
    <row r="745" spans="1:1" ht="14.25">
      <c r="A745" s="302" t="s">
        <v>2342</v>
      </c>
    </row>
    <row r="746" spans="1:1" ht="14.25">
      <c r="A746" s="302"/>
    </row>
    <row r="747" spans="1:1" ht="14.25">
      <c r="A747" s="302" t="s">
        <v>3537</v>
      </c>
    </row>
    <row r="748" spans="1:1" ht="14.25">
      <c r="A748" s="302"/>
    </row>
    <row r="749" spans="1:1" ht="14.25">
      <c r="A749" s="301" t="s">
        <v>2333</v>
      </c>
    </row>
    <row r="750" spans="1:1" ht="14.25">
      <c r="A750" s="301"/>
    </row>
    <row r="751" spans="1:1" ht="14.25">
      <c r="A751" s="301" t="s">
        <v>2341</v>
      </c>
    </row>
    <row r="752" spans="1:1" ht="14.25">
      <c r="A752" s="302"/>
    </row>
    <row r="753" spans="1:1" ht="16.5">
      <c r="A753" s="302" t="s">
        <v>3541</v>
      </c>
    </row>
    <row r="754" spans="1:1" ht="14.25">
      <c r="A754" s="302"/>
    </row>
    <row r="755" spans="1:1" ht="14.25">
      <c r="A755" s="302" t="s">
        <v>2342</v>
      </c>
    </row>
    <row r="756" spans="1:1" ht="14.25">
      <c r="A756" s="302"/>
    </row>
    <row r="757" spans="1:1" ht="14.25">
      <c r="A757" s="302" t="s">
        <v>3537</v>
      </c>
    </row>
    <row r="758" spans="1:1" ht="14.25">
      <c r="A758" s="302"/>
    </row>
    <row r="759" spans="1:1" ht="14.25">
      <c r="A759" s="301" t="s">
        <v>2333</v>
      </c>
    </row>
    <row r="760" spans="1:1" ht="14.25">
      <c r="A760" s="301"/>
    </row>
    <row r="761" spans="1:1" ht="14.25">
      <c r="A761" s="301" t="s">
        <v>2341</v>
      </c>
    </row>
    <row r="762" spans="1:1" ht="14.25">
      <c r="A762" s="302"/>
    </row>
    <row r="763" spans="1:1" ht="16.5">
      <c r="A763" s="302" t="s">
        <v>3542</v>
      </c>
    </row>
    <row r="764" spans="1:1" ht="14.25">
      <c r="A764" s="302"/>
    </row>
    <row r="765" spans="1:1" ht="14.25">
      <c r="A765" s="302" t="s">
        <v>2342</v>
      </c>
    </row>
    <row r="766" spans="1:1" ht="14.25">
      <c r="A766" s="302"/>
    </row>
    <row r="767" spans="1:1" ht="14.25">
      <c r="A767" s="302" t="s">
        <v>3537</v>
      </c>
    </row>
    <row r="768" spans="1:1" ht="14.25">
      <c r="A768" s="302"/>
    </row>
    <row r="769" spans="1:1" ht="14.25">
      <c r="A769" s="301" t="s">
        <v>2333</v>
      </c>
    </row>
    <row r="770" spans="1:1" ht="14.25">
      <c r="A770" s="301"/>
    </row>
    <row r="771" spans="1:1" ht="14.25">
      <c r="A771" s="301" t="s">
        <v>2341</v>
      </c>
    </row>
    <row r="772" spans="1:1" ht="14.25">
      <c r="A772" s="302"/>
    </row>
    <row r="773" spans="1:1" ht="16.5">
      <c r="A773" s="302" t="s">
        <v>3543</v>
      </c>
    </row>
    <row r="774" spans="1:1" ht="14.25">
      <c r="A774" s="302"/>
    </row>
    <row r="775" spans="1:1" ht="14.25">
      <c r="A775" s="302" t="s">
        <v>2342</v>
      </c>
    </row>
    <row r="776" spans="1:1" ht="14.25">
      <c r="A776" s="302"/>
    </row>
    <row r="777" spans="1:1" ht="14.25">
      <c r="A777" s="302" t="s">
        <v>3537</v>
      </c>
    </row>
    <row r="778" spans="1:1" ht="14.25">
      <c r="A778" s="302"/>
    </row>
    <row r="779" spans="1:1" ht="14.25">
      <c r="A779" s="301" t="s">
        <v>2333</v>
      </c>
    </row>
    <row r="780" spans="1:1" ht="14.25">
      <c r="A780" s="302"/>
    </row>
    <row r="781" spans="1:1" ht="16.5">
      <c r="A781" s="302" t="s">
        <v>3544</v>
      </c>
    </row>
    <row r="782" spans="1:1" ht="14.25">
      <c r="A782" s="302"/>
    </row>
    <row r="783" spans="1:1" ht="14.25">
      <c r="A783" s="302" t="s">
        <v>2339</v>
      </c>
    </row>
    <row r="784" spans="1:1" ht="14.25">
      <c r="A784" s="302"/>
    </row>
    <row r="785" spans="1:1" ht="14.25">
      <c r="A785" s="302" t="s">
        <v>3545</v>
      </c>
    </row>
    <row r="786" spans="1:1" ht="14.25">
      <c r="A786" s="302"/>
    </row>
    <row r="787" spans="1:1" ht="14.25">
      <c r="A787" s="301" t="s">
        <v>2333</v>
      </c>
    </row>
    <row r="788" spans="1:1" ht="14.25">
      <c r="A788" s="302"/>
    </row>
    <row r="789" spans="1:1" ht="16.5">
      <c r="A789" s="302" t="s">
        <v>3546</v>
      </c>
    </row>
    <row r="790" spans="1:1" ht="14.25">
      <c r="A790" s="302"/>
    </row>
    <row r="791" spans="1:1" ht="14.25">
      <c r="A791" s="302" t="s">
        <v>2342</v>
      </c>
    </row>
    <row r="792" spans="1:1" ht="14.25">
      <c r="A792" s="302"/>
    </row>
    <row r="793" spans="1:1" ht="14.25">
      <c r="A793" s="302" t="s">
        <v>3545</v>
      </c>
    </row>
    <row r="794" spans="1:1" ht="14.25">
      <c r="A794" s="302"/>
    </row>
    <row r="795" spans="1:1" ht="14.25">
      <c r="A795" s="301" t="s">
        <v>2333</v>
      </c>
    </row>
    <row r="796" spans="1:1" ht="14.25">
      <c r="A796" s="301"/>
    </row>
    <row r="797" spans="1:1" ht="14.25">
      <c r="A797" s="301" t="s">
        <v>2341</v>
      </c>
    </row>
    <row r="798" spans="1:1" ht="14.25">
      <c r="A798" s="302"/>
    </row>
    <row r="799" spans="1:1" ht="16.5">
      <c r="A799" s="302" t="s">
        <v>3547</v>
      </c>
    </row>
    <row r="800" spans="1:1" ht="14.25">
      <c r="A800" s="302"/>
    </row>
    <row r="801" spans="1:1" ht="14.25">
      <c r="A801" s="302" t="s">
        <v>2342</v>
      </c>
    </row>
    <row r="802" spans="1:1" ht="14.25">
      <c r="A802" s="302"/>
    </row>
    <row r="803" spans="1:1" ht="14.25">
      <c r="A803" s="302" t="s">
        <v>3545</v>
      </c>
    </row>
    <row r="804" spans="1:1" ht="14.25">
      <c r="A804" s="302"/>
    </row>
    <row r="805" spans="1:1" ht="14.25">
      <c r="A805" s="301" t="s">
        <v>2333</v>
      </c>
    </row>
    <row r="806" spans="1:1" ht="14.25">
      <c r="A806" s="302"/>
    </row>
    <row r="807" spans="1:1" ht="16.5">
      <c r="A807" s="302" t="s">
        <v>3548</v>
      </c>
    </row>
    <row r="808" spans="1:1" ht="14.25">
      <c r="A808" s="302"/>
    </row>
    <row r="809" spans="1:1" ht="14.25">
      <c r="A809" s="302" t="s">
        <v>2339</v>
      </c>
    </row>
    <row r="810" spans="1:1" ht="14.25">
      <c r="A810" s="302"/>
    </row>
    <row r="811" spans="1:1" ht="14.25">
      <c r="A811" s="302" t="s">
        <v>3545</v>
      </c>
    </row>
    <row r="812" spans="1:1" ht="14.25">
      <c r="A812" s="302"/>
    </row>
    <row r="813" spans="1:1" ht="14.25">
      <c r="A813" s="301" t="s">
        <v>2333</v>
      </c>
    </row>
    <row r="814" spans="1:1" ht="14.25">
      <c r="A814" s="301"/>
    </row>
    <row r="815" spans="1:1" ht="14.25">
      <c r="A815" s="301" t="s">
        <v>2341</v>
      </c>
    </row>
    <row r="816" spans="1:1" ht="14.25">
      <c r="A816" s="302"/>
    </row>
    <row r="817" spans="1:1" ht="16.5">
      <c r="A817" s="302" t="s">
        <v>3549</v>
      </c>
    </row>
    <row r="818" spans="1:1" ht="14.25">
      <c r="A818" s="302"/>
    </row>
    <row r="819" spans="1:1" ht="14.25">
      <c r="A819" s="302" t="s">
        <v>2342</v>
      </c>
    </row>
    <row r="820" spans="1:1" ht="14.25">
      <c r="A820" s="302"/>
    </row>
    <row r="821" spans="1:1" ht="14.25">
      <c r="A821" s="302" t="s">
        <v>3550</v>
      </c>
    </row>
    <row r="822" spans="1:1" ht="14.25">
      <c r="A822" s="302"/>
    </row>
    <row r="823" spans="1:1" ht="14.25">
      <c r="A823" s="301" t="s">
        <v>2333</v>
      </c>
    </row>
    <row r="824" spans="1:1" ht="14.25">
      <c r="A824" s="301"/>
    </row>
    <row r="825" spans="1:1" ht="14.25">
      <c r="A825" s="301" t="s">
        <v>2341</v>
      </c>
    </row>
    <row r="826" spans="1:1" ht="14.25">
      <c r="A826" s="302"/>
    </row>
    <row r="827" spans="1:1" ht="16.5">
      <c r="A827" s="302" t="s">
        <v>3551</v>
      </c>
    </row>
    <row r="828" spans="1:1" ht="14.25">
      <c r="A828" s="302"/>
    </row>
    <row r="829" spans="1:1" ht="14.25">
      <c r="A829" s="302" t="s">
        <v>2342</v>
      </c>
    </row>
    <row r="830" spans="1:1" ht="14.25">
      <c r="A830" s="302"/>
    </row>
    <row r="831" spans="1:1" ht="14.25">
      <c r="A831" s="302" t="s">
        <v>3550</v>
      </c>
    </row>
    <row r="832" spans="1:1" ht="14.25">
      <c r="A832" s="302"/>
    </row>
    <row r="833" spans="1:1" ht="14.25">
      <c r="A833" s="301" t="s">
        <v>2333</v>
      </c>
    </row>
    <row r="834" spans="1:1" ht="14.25">
      <c r="A834" s="301"/>
    </row>
    <row r="835" spans="1:1" ht="14.25">
      <c r="A835" s="301" t="s">
        <v>2341</v>
      </c>
    </row>
    <row r="836" spans="1:1" ht="14.25">
      <c r="A836" s="302"/>
    </row>
    <row r="837" spans="1:1" ht="16.5">
      <c r="A837" s="302" t="s">
        <v>3552</v>
      </c>
    </row>
    <row r="838" spans="1:1" ht="14.25">
      <c r="A838" s="302"/>
    </row>
    <row r="839" spans="1:1" ht="14.25">
      <c r="A839" s="302" t="s">
        <v>2342</v>
      </c>
    </row>
    <row r="840" spans="1:1" ht="14.25">
      <c r="A840" s="302"/>
    </row>
    <row r="841" spans="1:1" ht="14.25">
      <c r="A841" s="302" t="s">
        <v>3550</v>
      </c>
    </row>
    <row r="842" spans="1:1" ht="14.25">
      <c r="A842" s="302"/>
    </row>
    <row r="843" spans="1:1" ht="14.25">
      <c r="A843" s="301" t="s">
        <v>2333</v>
      </c>
    </row>
    <row r="844" spans="1:1" ht="14.25">
      <c r="A844" s="301"/>
    </row>
    <row r="845" spans="1:1" ht="14.25">
      <c r="A845" s="301" t="s">
        <v>2341</v>
      </c>
    </row>
    <row r="846" spans="1:1" ht="14.25">
      <c r="A846" s="302"/>
    </row>
    <row r="847" spans="1:1" ht="16.5">
      <c r="A847" s="302" t="s">
        <v>3553</v>
      </c>
    </row>
    <row r="848" spans="1:1" ht="14.25">
      <c r="A848" s="302"/>
    </row>
    <row r="849" spans="1:1" ht="14.25">
      <c r="A849" s="302" t="s">
        <v>2342</v>
      </c>
    </row>
    <row r="850" spans="1:1" ht="14.25">
      <c r="A850" s="302"/>
    </row>
    <row r="851" spans="1:1" ht="14.25">
      <c r="A851" s="302" t="s">
        <v>3550</v>
      </c>
    </row>
    <row r="852" spans="1:1" ht="14.25">
      <c r="A852" s="302"/>
    </row>
    <row r="853" spans="1:1" ht="14.25">
      <c r="A853" s="301" t="s">
        <v>2333</v>
      </c>
    </row>
    <row r="854" spans="1:1" ht="14.25">
      <c r="A854" s="301"/>
    </row>
    <row r="855" spans="1:1" ht="14.25">
      <c r="A855" s="301" t="s">
        <v>2341</v>
      </c>
    </row>
    <row r="856" spans="1:1" ht="14.25">
      <c r="A856" s="302"/>
    </row>
    <row r="857" spans="1:1" ht="16.5">
      <c r="A857" s="302" t="s">
        <v>3554</v>
      </c>
    </row>
    <row r="858" spans="1:1" ht="14.25">
      <c r="A858" s="302"/>
    </row>
    <row r="859" spans="1:1" ht="14.25">
      <c r="A859" s="302" t="s">
        <v>2342</v>
      </c>
    </row>
    <row r="860" spans="1:1" ht="14.25">
      <c r="A860" s="302"/>
    </row>
    <row r="861" spans="1:1" ht="14.25">
      <c r="A861" s="302" t="s">
        <v>3555</v>
      </c>
    </row>
    <row r="862" spans="1:1" ht="14.25">
      <c r="A862" s="302"/>
    </row>
    <row r="863" spans="1:1" ht="14.25">
      <c r="A863" s="301" t="s">
        <v>2333</v>
      </c>
    </row>
    <row r="864" spans="1:1" ht="14.25">
      <c r="A864" s="302"/>
    </row>
    <row r="865" spans="1:1" ht="16.5">
      <c r="A865" s="302" t="s">
        <v>3556</v>
      </c>
    </row>
    <row r="866" spans="1:1" ht="14.25">
      <c r="A866" s="302"/>
    </row>
    <row r="867" spans="1:1" ht="14.25">
      <c r="A867" s="302" t="s">
        <v>2334</v>
      </c>
    </row>
    <row r="868" spans="1:1" ht="14.25">
      <c r="A868" s="302"/>
    </row>
    <row r="869" spans="1:1" ht="14.25">
      <c r="A869" s="302" t="s">
        <v>3555</v>
      </c>
    </row>
    <row r="870" spans="1:1" ht="14.25">
      <c r="A870" s="302"/>
    </row>
    <row r="871" spans="1:1" ht="14.25">
      <c r="A871" s="301" t="s">
        <v>2333</v>
      </c>
    </row>
    <row r="872" spans="1:1" ht="14.25">
      <c r="A872" s="302"/>
    </row>
    <row r="873" spans="1:1" ht="16.5">
      <c r="A873" s="302" t="s">
        <v>3557</v>
      </c>
    </row>
    <row r="874" spans="1:1" ht="14.25">
      <c r="A874" s="302"/>
    </row>
    <row r="875" spans="1:1" ht="14.25">
      <c r="A875" s="302" t="s">
        <v>2334</v>
      </c>
    </row>
    <row r="876" spans="1:1" ht="14.25">
      <c r="A876" s="302"/>
    </row>
    <row r="877" spans="1:1" ht="14.25">
      <c r="A877" s="302" t="s">
        <v>3555</v>
      </c>
    </row>
    <row r="878" spans="1:1" ht="14.25">
      <c r="A878" s="302"/>
    </row>
    <row r="879" spans="1:1" ht="14.25">
      <c r="A879" s="301" t="s">
        <v>2333</v>
      </c>
    </row>
    <row r="880" spans="1:1" ht="14.25">
      <c r="A880" s="302"/>
    </row>
    <row r="881" spans="1:1" ht="16.5">
      <c r="A881" s="302" t="s">
        <v>3558</v>
      </c>
    </row>
    <row r="882" spans="1:1" ht="14.25">
      <c r="A882" s="302"/>
    </row>
    <row r="883" spans="1:1" ht="14.25">
      <c r="A883" s="302" t="s">
        <v>2339</v>
      </c>
    </row>
    <row r="884" spans="1:1" ht="14.25">
      <c r="A884" s="302"/>
    </row>
    <row r="885" spans="1:1" ht="14.25">
      <c r="A885" s="302" t="s">
        <v>3559</v>
      </c>
    </row>
    <row r="886" spans="1:1" ht="14.25">
      <c r="A886" s="302"/>
    </row>
    <row r="887" spans="1:1" ht="14.25">
      <c r="A887" s="301" t="s">
        <v>2333</v>
      </c>
    </row>
    <row r="888" spans="1:1" ht="14.25">
      <c r="A888" s="301"/>
    </row>
    <row r="889" spans="1:1" ht="14.25">
      <c r="A889" s="301" t="s">
        <v>2341</v>
      </c>
    </row>
    <row r="890" spans="1:1" ht="14.25">
      <c r="A890" s="302"/>
    </row>
    <row r="891" spans="1:1" ht="16.5">
      <c r="A891" s="302" t="s">
        <v>3560</v>
      </c>
    </row>
    <row r="892" spans="1:1" ht="14.25">
      <c r="A892" s="302"/>
    </row>
    <row r="893" spans="1:1" ht="14.25">
      <c r="A893" s="302" t="s">
        <v>2342</v>
      </c>
    </row>
    <row r="894" spans="1:1" ht="14.25">
      <c r="A894" s="302"/>
    </row>
    <row r="895" spans="1:1" ht="14.25">
      <c r="A895" s="302" t="s">
        <v>3561</v>
      </c>
    </row>
    <row r="896" spans="1:1" ht="14.25">
      <c r="A896" s="302"/>
    </row>
    <row r="897" spans="1:1" ht="14.25">
      <c r="A897" s="301" t="s">
        <v>2333</v>
      </c>
    </row>
    <row r="898" spans="1:1" ht="14.25">
      <c r="A898" s="301"/>
    </row>
    <row r="899" spans="1:1" ht="14.25">
      <c r="A899" s="301" t="s">
        <v>2341</v>
      </c>
    </row>
    <row r="900" spans="1:1" ht="14.25">
      <c r="A900" s="302"/>
    </row>
    <row r="901" spans="1:1" ht="16.5">
      <c r="A901" s="302" t="s">
        <v>3562</v>
      </c>
    </row>
    <row r="902" spans="1:1" ht="14.25">
      <c r="A902" s="302"/>
    </row>
    <row r="903" spans="1:1" ht="14.25">
      <c r="A903" s="302" t="s">
        <v>2342</v>
      </c>
    </row>
    <row r="904" spans="1:1" ht="14.25">
      <c r="A904" s="302"/>
    </row>
    <row r="905" spans="1:1" ht="14.25">
      <c r="A905" s="302" t="s">
        <v>3561</v>
      </c>
    </row>
    <row r="906" spans="1:1" ht="14.25">
      <c r="A906" s="302"/>
    </row>
    <row r="907" spans="1:1" ht="14.25">
      <c r="A907" s="301" t="s">
        <v>2333</v>
      </c>
    </row>
    <row r="908" spans="1:1" ht="14.25">
      <c r="A908" s="301"/>
    </row>
    <row r="909" spans="1:1" ht="14.25">
      <c r="A909" s="301" t="s">
        <v>2341</v>
      </c>
    </row>
    <row r="910" spans="1:1" ht="14.25">
      <c r="A910" s="302"/>
    </row>
    <row r="911" spans="1:1" ht="16.5">
      <c r="A911" s="302" t="s">
        <v>3563</v>
      </c>
    </row>
    <row r="912" spans="1:1" ht="14.25">
      <c r="A912" s="302"/>
    </row>
    <row r="913" spans="1:1" ht="14.25">
      <c r="A913" s="302" t="s">
        <v>2342</v>
      </c>
    </row>
    <row r="914" spans="1:1" ht="14.25">
      <c r="A914" s="302"/>
    </row>
    <row r="915" spans="1:1" ht="14.25">
      <c r="A915" s="302" t="s">
        <v>3561</v>
      </c>
    </row>
    <row r="916" spans="1:1" ht="14.25">
      <c r="A916" s="302"/>
    </row>
    <row r="917" spans="1:1" ht="14.25">
      <c r="A917" s="301" t="s">
        <v>2333</v>
      </c>
    </row>
    <row r="918" spans="1:1" ht="14.25">
      <c r="A918" s="302"/>
    </row>
    <row r="919" spans="1:1" ht="16.5">
      <c r="A919" s="302" t="s">
        <v>3564</v>
      </c>
    </row>
    <row r="920" spans="1:1" ht="14.25">
      <c r="A920" s="302"/>
    </row>
    <row r="921" spans="1:1" ht="14.25">
      <c r="A921" s="302" t="s">
        <v>2339</v>
      </c>
    </row>
    <row r="922" spans="1:1" ht="14.25">
      <c r="A922" s="302"/>
    </row>
    <row r="923" spans="1:1" ht="14.25">
      <c r="A923" s="302" t="s">
        <v>3561</v>
      </c>
    </row>
    <row r="924" spans="1:1" ht="14.25">
      <c r="A924" s="302"/>
    </row>
    <row r="925" spans="1:1" ht="14.25">
      <c r="A925" s="301" t="s">
        <v>2333</v>
      </c>
    </row>
    <row r="926" spans="1:1" ht="14.25">
      <c r="A926" s="302"/>
    </row>
    <row r="927" spans="1:1" ht="16.5">
      <c r="A927" s="302" t="s">
        <v>3565</v>
      </c>
    </row>
    <row r="928" spans="1:1" ht="14.25">
      <c r="A928" s="302"/>
    </row>
    <row r="929" spans="1:1" ht="14.25">
      <c r="A929" s="302" t="s">
        <v>2339</v>
      </c>
    </row>
    <row r="930" spans="1:1" ht="14.25">
      <c r="A930" s="302"/>
    </row>
    <row r="931" spans="1:1" ht="14.25">
      <c r="A931" s="302" t="s">
        <v>3561</v>
      </c>
    </row>
    <row r="932" spans="1:1" ht="14.25">
      <c r="A932" s="302"/>
    </row>
    <row r="933" spans="1:1" ht="14.25">
      <c r="A933" s="301" t="s">
        <v>2333</v>
      </c>
    </row>
    <row r="934" spans="1:1" ht="14.25">
      <c r="A934" s="302"/>
    </row>
    <row r="935" spans="1:1" ht="16.5">
      <c r="A935" s="302" t="s">
        <v>3566</v>
      </c>
    </row>
    <row r="936" spans="1:1" ht="14.25">
      <c r="A936" s="302"/>
    </row>
    <row r="937" spans="1:1" ht="14.25">
      <c r="A937" s="302" t="s">
        <v>2342</v>
      </c>
    </row>
    <row r="938" spans="1:1" ht="14.25">
      <c r="A938" s="302"/>
    </row>
    <row r="939" spans="1:1" ht="14.25">
      <c r="A939" s="302" t="s">
        <v>2335</v>
      </c>
    </row>
    <row r="940" spans="1:1" ht="14.25">
      <c r="A940" s="302"/>
    </row>
    <row r="941" spans="1:1" ht="14.25">
      <c r="A941" s="301" t="s">
        <v>2333</v>
      </c>
    </row>
    <row r="942" spans="1:1" ht="14.25">
      <c r="A942" s="301"/>
    </row>
    <row r="943" spans="1:1" ht="14.25">
      <c r="A943" s="301" t="s">
        <v>2341</v>
      </c>
    </row>
    <row r="944" spans="1:1" ht="14.25">
      <c r="A944" s="302"/>
    </row>
    <row r="945" spans="1:1" ht="14.25">
      <c r="A945" s="302" t="s">
        <v>3442</v>
      </c>
    </row>
    <row r="946" spans="1:1" ht="14.25">
      <c r="A946" s="302"/>
    </row>
    <row r="947" spans="1:1" ht="14.25">
      <c r="A947" s="302" t="s">
        <v>2342</v>
      </c>
    </row>
    <row r="948" spans="1:1" ht="14.25">
      <c r="A948" s="302"/>
    </row>
    <row r="949" spans="1:1" ht="14.25">
      <c r="A949" s="302" t="s">
        <v>2335</v>
      </c>
    </row>
    <row r="950" spans="1:1" ht="14.25">
      <c r="A950" s="302"/>
    </row>
    <row r="951" spans="1:1" ht="14.25">
      <c r="A951" s="301" t="s">
        <v>2333</v>
      </c>
    </row>
    <row r="952" spans="1:1" ht="14.25">
      <c r="A952" s="301"/>
    </row>
    <row r="953" spans="1:1" ht="14.25">
      <c r="A953" s="301" t="s">
        <v>2341</v>
      </c>
    </row>
    <row r="954" spans="1:1" ht="14.25">
      <c r="A954" s="302"/>
    </row>
    <row r="955" spans="1:1" ht="16.5">
      <c r="A955" s="302" t="s">
        <v>3567</v>
      </c>
    </row>
    <row r="956" spans="1:1" ht="14.25">
      <c r="A956" s="302"/>
    </row>
    <row r="957" spans="1:1" ht="14.25">
      <c r="A957" s="302" t="s">
        <v>2342</v>
      </c>
    </row>
    <row r="961" spans="1:1" ht="16.5">
      <c r="A961" s="303" t="s">
        <v>3568</v>
      </c>
    </row>
    <row r="963" spans="1:1">
      <c r="A963" s="299" t="s">
        <v>2334</v>
      </c>
    </row>
    <row r="965" spans="1:1">
      <c r="A965" s="299" t="s">
        <v>2335</v>
      </c>
    </row>
    <row r="967" spans="1:1">
      <c r="A967" s="300" t="s">
        <v>2333</v>
      </c>
    </row>
    <row r="969" spans="1:1" ht="16.5">
      <c r="A969" s="303" t="s">
        <v>3569</v>
      </c>
    </row>
    <row r="971" spans="1:1">
      <c r="A971" s="299" t="s">
        <v>2334</v>
      </c>
    </row>
    <row r="973" spans="1:1">
      <c r="A973" s="299" t="s">
        <v>2335</v>
      </c>
    </row>
    <row r="975" spans="1:1">
      <c r="A975" s="300" t="s">
        <v>2333</v>
      </c>
    </row>
    <row r="977" spans="1:1" ht="16.5">
      <c r="A977" s="303" t="s">
        <v>3570</v>
      </c>
    </row>
    <row r="979" spans="1:1">
      <c r="A979" s="299" t="s">
        <v>2334</v>
      </c>
    </row>
    <row r="981" spans="1:1">
      <c r="A981" s="299" t="s">
        <v>2335</v>
      </c>
    </row>
    <row r="983" spans="1:1">
      <c r="A983" s="300" t="s">
        <v>2333</v>
      </c>
    </row>
    <row r="985" spans="1:1" ht="16.5">
      <c r="A985" s="303" t="s">
        <v>3570</v>
      </c>
    </row>
    <row r="987" spans="1:1">
      <c r="A987" s="299" t="s">
        <v>2334</v>
      </c>
    </row>
    <row r="989" spans="1:1">
      <c r="A989" s="299" t="s">
        <v>2335</v>
      </c>
    </row>
    <row r="991" spans="1:1">
      <c r="A991" s="300" t="s">
        <v>2333</v>
      </c>
    </row>
    <row r="993" spans="1:1" ht="16.5">
      <c r="A993" s="303" t="s">
        <v>3571</v>
      </c>
    </row>
    <row r="995" spans="1:1">
      <c r="A995" s="299" t="s">
        <v>2334</v>
      </c>
    </row>
    <row r="997" spans="1:1">
      <c r="A997" s="299" t="s">
        <v>2335</v>
      </c>
    </row>
    <row r="999" spans="1:1">
      <c r="A999" s="300" t="s">
        <v>2333</v>
      </c>
    </row>
    <row r="1001" spans="1:1" ht="16.5">
      <c r="A1001" s="303" t="s">
        <v>3572</v>
      </c>
    </row>
    <row r="1003" spans="1:1">
      <c r="A1003" s="299" t="s">
        <v>2334</v>
      </c>
    </row>
    <row r="1005" spans="1:1">
      <c r="A1005" s="299" t="s">
        <v>2335</v>
      </c>
    </row>
    <row r="1007" spans="1:1">
      <c r="A1007" s="300" t="s">
        <v>2333</v>
      </c>
    </row>
    <row r="1009" spans="1:1" ht="16.5">
      <c r="A1009" s="303" t="s">
        <v>3573</v>
      </c>
    </row>
    <row r="1011" spans="1:1">
      <c r="A1011" s="299" t="s">
        <v>2334</v>
      </c>
    </row>
    <row r="1013" spans="1:1">
      <c r="A1013" s="299" t="s">
        <v>2335</v>
      </c>
    </row>
    <row r="1015" spans="1:1">
      <c r="A1015" s="300" t="s">
        <v>2333</v>
      </c>
    </row>
    <row r="1017" spans="1:1" ht="16.5">
      <c r="A1017" s="303" t="s">
        <v>3574</v>
      </c>
    </row>
    <row r="1019" spans="1:1">
      <c r="A1019" s="299" t="s">
        <v>2334</v>
      </c>
    </row>
    <row r="1021" spans="1:1">
      <c r="A1021" s="299" t="s">
        <v>2335</v>
      </c>
    </row>
    <row r="1023" spans="1:1">
      <c r="A1023" s="300" t="s">
        <v>2333</v>
      </c>
    </row>
    <row r="1025" spans="1:1" ht="16.5">
      <c r="A1025" s="303" t="s">
        <v>3575</v>
      </c>
    </row>
    <row r="1027" spans="1:1">
      <c r="A1027" s="299" t="s">
        <v>2334</v>
      </c>
    </row>
    <row r="1029" spans="1:1">
      <c r="A1029" s="299" t="s">
        <v>2335</v>
      </c>
    </row>
    <row r="1031" spans="1:1">
      <c r="A1031" s="300" t="s">
        <v>2333</v>
      </c>
    </row>
    <row r="1033" spans="1:1" ht="16.5">
      <c r="A1033" s="303" t="s">
        <v>3576</v>
      </c>
    </row>
    <row r="1035" spans="1:1">
      <c r="A1035" s="299" t="s">
        <v>2334</v>
      </c>
    </row>
    <row r="1037" spans="1:1">
      <c r="A1037" s="299" t="s">
        <v>2335</v>
      </c>
    </row>
    <row r="1039" spans="1:1">
      <c r="A1039" s="300" t="s">
        <v>2333</v>
      </c>
    </row>
    <row r="1041" spans="1:1" ht="16.5">
      <c r="A1041" s="303" t="s">
        <v>3577</v>
      </c>
    </row>
    <row r="1043" spans="1:1">
      <c r="A1043" s="299" t="s">
        <v>2334</v>
      </c>
    </row>
    <row r="1045" spans="1:1">
      <c r="A1045" s="299" t="s">
        <v>2335</v>
      </c>
    </row>
    <row r="1047" spans="1:1">
      <c r="A1047" s="300" t="s">
        <v>2333</v>
      </c>
    </row>
    <row r="1049" spans="1:1" ht="16.5">
      <c r="A1049" s="303" t="s">
        <v>3578</v>
      </c>
    </row>
    <row r="1051" spans="1:1">
      <c r="A1051" s="299" t="s">
        <v>2334</v>
      </c>
    </row>
    <row r="1053" spans="1:1">
      <c r="A1053" s="299" t="s">
        <v>2335</v>
      </c>
    </row>
    <row r="1055" spans="1:1">
      <c r="A1055" s="300" t="s">
        <v>2333</v>
      </c>
    </row>
    <row r="1057" spans="1:1" ht="16.5">
      <c r="A1057" s="303" t="s">
        <v>3579</v>
      </c>
    </row>
    <row r="1059" spans="1:1">
      <c r="A1059" s="299" t="s">
        <v>2334</v>
      </c>
    </row>
    <row r="1061" spans="1:1">
      <c r="A1061" s="299" t="s">
        <v>2335</v>
      </c>
    </row>
    <row r="1063" spans="1:1">
      <c r="A1063" s="300" t="s">
        <v>2333</v>
      </c>
    </row>
    <row r="1065" spans="1:1" ht="16.5">
      <c r="A1065" s="303" t="s">
        <v>3580</v>
      </c>
    </row>
    <row r="1067" spans="1:1">
      <c r="A1067" s="299" t="s">
        <v>2334</v>
      </c>
    </row>
    <row r="1069" spans="1:1">
      <c r="A1069" s="299" t="s">
        <v>2335</v>
      </c>
    </row>
    <row r="1071" spans="1:1">
      <c r="A1071" s="300" t="s">
        <v>2333</v>
      </c>
    </row>
    <row r="1073" spans="1:1" ht="16.5">
      <c r="A1073" s="303" t="s">
        <v>3581</v>
      </c>
    </row>
    <row r="1075" spans="1:1">
      <c r="A1075" s="299" t="s">
        <v>2334</v>
      </c>
    </row>
    <row r="1077" spans="1:1">
      <c r="A1077" s="299" t="s">
        <v>2335</v>
      </c>
    </row>
    <row r="1079" spans="1:1">
      <c r="A1079" s="300" t="s">
        <v>2333</v>
      </c>
    </row>
    <row r="1081" spans="1:1" ht="16.5">
      <c r="A1081" s="303" t="s">
        <v>3582</v>
      </c>
    </row>
    <row r="1083" spans="1:1">
      <c r="A1083" s="299" t="s">
        <v>2334</v>
      </c>
    </row>
    <row r="1085" spans="1:1">
      <c r="A1085" s="299" t="s">
        <v>2335</v>
      </c>
    </row>
    <row r="1087" spans="1:1">
      <c r="A1087" s="300" t="s">
        <v>2333</v>
      </c>
    </row>
    <row r="1089" spans="1:1" ht="16.5">
      <c r="A1089" s="303" t="s">
        <v>3583</v>
      </c>
    </row>
    <row r="1091" spans="1:1">
      <c r="A1091" s="299" t="s">
        <v>2334</v>
      </c>
    </row>
    <row r="1093" spans="1:1">
      <c r="A1093" s="299" t="s">
        <v>2335</v>
      </c>
    </row>
    <row r="1095" spans="1:1">
      <c r="A1095" s="300" t="s">
        <v>2333</v>
      </c>
    </row>
    <row r="1097" spans="1:1" ht="16.5">
      <c r="A1097" s="303" t="s">
        <v>3584</v>
      </c>
    </row>
    <row r="1099" spans="1:1">
      <c r="A1099" s="299" t="s">
        <v>2334</v>
      </c>
    </row>
    <row r="1101" spans="1:1">
      <c r="A1101" s="299" t="s">
        <v>2335</v>
      </c>
    </row>
    <row r="1103" spans="1:1">
      <c r="A1103" s="300" t="s">
        <v>2333</v>
      </c>
    </row>
    <row r="1105" spans="1:1" ht="16.5">
      <c r="A1105" s="303" t="s">
        <v>3585</v>
      </c>
    </row>
    <row r="1107" spans="1:1">
      <c r="A1107" s="299" t="s">
        <v>2334</v>
      </c>
    </row>
    <row r="1109" spans="1:1">
      <c r="A1109" s="299" t="s">
        <v>2335</v>
      </c>
    </row>
    <row r="1111" spans="1:1">
      <c r="A1111" s="300" t="s">
        <v>2333</v>
      </c>
    </row>
    <row r="1113" spans="1:1" ht="16.5">
      <c r="A1113" s="303" t="s">
        <v>3586</v>
      </c>
    </row>
    <row r="1115" spans="1:1">
      <c r="A1115" s="299" t="s">
        <v>2334</v>
      </c>
    </row>
    <row r="1117" spans="1:1">
      <c r="A1117" s="299" t="s">
        <v>2335</v>
      </c>
    </row>
    <row r="1119" spans="1:1">
      <c r="A1119" s="300" t="s">
        <v>2333</v>
      </c>
    </row>
    <row r="1121" spans="1:1" ht="16.5">
      <c r="A1121" s="303" t="s">
        <v>3587</v>
      </c>
    </row>
    <row r="1123" spans="1:1">
      <c r="A1123" s="299" t="s">
        <v>2334</v>
      </c>
    </row>
    <row r="1125" spans="1:1">
      <c r="A1125" s="299" t="s">
        <v>2335</v>
      </c>
    </row>
    <row r="1127" spans="1:1">
      <c r="A1127" s="300" t="s">
        <v>2333</v>
      </c>
    </row>
    <row r="1129" spans="1:1" ht="16.5">
      <c r="A1129" s="303" t="s">
        <v>3588</v>
      </c>
    </row>
    <row r="1131" spans="1:1">
      <c r="A1131" s="299" t="s">
        <v>2334</v>
      </c>
    </row>
    <row r="1133" spans="1:1">
      <c r="A1133" s="299" t="s">
        <v>2335</v>
      </c>
    </row>
    <row r="1135" spans="1:1">
      <c r="A1135" s="300" t="s">
        <v>2333</v>
      </c>
    </row>
    <row r="1137" spans="1:1" ht="16.5">
      <c r="A1137" s="303" t="s">
        <v>3589</v>
      </c>
    </row>
    <row r="1139" spans="1:1">
      <c r="A1139" s="299" t="s">
        <v>2334</v>
      </c>
    </row>
    <row r="1141" spans="1:1">
      <c r="A1141" s="299" t="s">
        <v>2335</v>
      </c>
    </row>
    <row r="1143" spans="1:1">
      <c r="A1143" s="300" t="s">
        <v>2333</v>
      </c>
    </row>
    <row r="1145" spans="1:1" ht="16.5">
      <c r="A1145" s="303" t="s">
        <v>3590</v>
      </c>
    </row>
    <row r="1147" spans="1:1">
      <c r="A1147" s="299" t="s">
        <v>2334</v>
      </c>
    </row>
    <row r="1149" spans="1:1">
      <c r="A1149" s="299" t="s">
        <v>2335</v>
      </c>
    </row>
    <row r="1151" spans="1:1">
      <c r="A1151" s="300" t="s">
        <v>2333</v>
      </c>
    </row>
    <row r="1153" spans="1:1" ht="16.5">
      <c r="A1153" s="303" t="s">
        <v>3591</v>
      </c>
    </row>
    <row r="1155" spans="1:1">
      <c r="A1155" s="299" t="s">
        <v>2334</v>
      </c>
    </row>
    <row r="1157" spans="1:1">
      <c r="A1157" s="299" t="s">
        <v>2335</v>
      </c>
    </row>
    <row r="1159" spans="1:1">
      <c r="A1159" s="300" t="s">
        <v>2333</v>
      </c>
    </row>
    <row r="1161" spans="1:1" ht="16.5">
      <c r="A1161" s="303" t="s">
        <v>3592</v>
      </c>
    </row>
    <row r="1163" spans="1:1">
      <c r="A1163" s="299" t="s">
        <v>2334</v>
      </c>
    </row>
    <row r="1165" spans="1:1">
      <c r="A1165" s="299" t="s">
        <v>2335</v>
      </c>
    </row>
    <row r="1167" spans="1:1">
      <c r="A1167" s="300" t="s">
        <v>2333</v>
      </c>
    </row>
    <row r="1169" spans="1:1" ht="16.5">
      <c r="A1169" s="303" t="s">
        <v>3593</v>
      </c>
    </row>
    <row r="1171" spans="1:1">
      <c r="A1171" s="299" t="s">
        <v>2334</v>
      </c>
    </row>
    <row r="1173" spans="1:1">
      <c r="A1173" s="299" t="s">
        <v>2335</v>
      </c>
    </row>
    <row r="1175" spans="1:1">
      <c r="A1175" s="300" t="s">
        <v>2333</v>
      </c>
    </row>
    <row r="1177" spans="1:1" ht="16.5">
      <c r="A1177" s="303" t="s">
        <v>3594</v>
      </c>
    </row>
    <row r="1179" spans="1:1">
      <c r="A1179" s="299" t="s">
        <v>2334</v>
      </c>
    </row>
    <row r="1181" spans="1:1">
      <c r="A1181" s="299" t="s">
        <v>2335</v>
      </c>
    </row>
    <row r="1183" spans="1:1">
      <c r="A1183" s="300" t="s">
        <v>2333</v>
      </c>
    </row>
    <row r="1185" spans="1:1" ht="16.5">
      <c r="A1185" s="303" t="s">
        <v>3595</v>
      </c>
    </row>
    <row r="1187" spans="1:1">
      <c r="A1187" s="299" t="s">
        <v>2334</v>
      </c>
    </row>
    <row r="1189" spans="1:1">
      <c r="A1189" s="299" t="s">
        <v>2335</v>
      </c>
    </row>
    <row r="1191" spans="1:1">
      <c r="A1191" s="300" t="s">
        <v>2333</v>
      </c>
    </row>
    <row r="1193" spans="1:1" ht="16.5">
      <c r="A1193" s="303" t="s">
        <v>3596</v>
      </c>
    </row>
    <row r="1195" spans="1:1">
      <c r="A1195" s="299" t="s">
        <v>2334</v>
      </c>
    </row>
    <row r="1197" spans="1:1">
      <c r="A1197" s="299" t="s">
        <v>2336</v>
      </c>
    </row>
    <row r="1199" spans="1:1">
      <c r="A1199" s="300" t="s">
        <v>2333</v>
      </c>
    </row>
    <row r="1201" spans="1:1" ht="16.5">
      <c r="A1201" s="303" t="s">
        <v>3597</v>
      </c>
    </row>
    <row r="1203" spans="1:1">
      <c r="A1203" s="299" t="s">
        <v>2334</v>
      </c>
    </row>
    <row r="1205" spans="1:1">
      <c r="A1205" s="299" t="s">
        <v>2336</v>
      </c>
    </row>
    <row r="1207" spans="1:1">
      <c r="A1207" s="300" t="s">
        <v>2333</v>
      </c>
    </row>
    <row r="1209" spans="1:1" ht="16.5">
      <c r="A1209" s="303" t="s">
        <v>3598</v>
      </c>
    </row>
    <row r="1211" spans="1:1">
      <c r="A1211" s="299" t="s">
        <v>2334</v>
      </c>
    </row>
    <row r="1213" spans="1:1">
      <c r="A1213" s="299" t="s">
        <v>2337</v>
      </c>
    </row>
    <row r="1215" spans="1:1">
      <c r="A1215" s="300" t="s">
        <v>2333</v>
      </c>
    </row>
    <row r="1217" spans="1:1" ht="16.5">
      <c r="A1217" s="303" t="s">
        <v>3599</v>
      </c>
    </row>
    <row r="1219" spans="1:1">
      <c r="A1219" s="299" t="s">
        <v>2334</v>
      </c>
    </row>
    <row r="1221" spans="1:1">
      <c r="A1221" s="299" t="s">
        <v>2337</v>
      </c>
    </row>
    <row r="1223" spans="1:1">
      <c r="A1223" s="300" t="s">
        <v>2333</v>
      </c>
    </row>
    <row r="1225" spans="1:1" ht="16.5">
      <c r="A1225" s="303" t="s">
        <v>3599</v>
      </c>
    </row>
    <row r="1227" spans="1:1">
      <c r="A1227" s="299" t="s">
        <v>2334</v>
      </c>
    </row>
    <row r="1229" spans="1:1">
      <c r="A1229" s="299" t="s">
        <v>2337</v>
      </c>
    </row>
    <row r="1231" spans="1:1">
      <c r="A1231" s="300" t="s">
        <v>2333</v>
      </c>
    </row>
    <row r="1233" spans="1:1" ht="16.5">
      <c r="A1233" s="303" t="s">
        <v>3600</v>
      </c>
    </row>
    <row r="1235" spans="1:1">
      <c r="A1235" s="299" t="s">
        <v>2334</v>
      </c>
    </row>
    <row r="1237" spans="1:1">
      <c r="A1237" s="299" t="s">
        <v>2337</v>
      </c>
    </row>
    <row r="1239" spans="1:1">
      <c r="A1239" s="300" t="s">
        <v>2333</v>
      </c>
    </row>
    <row r="1241" spans="1:1" ht="16.5">
      <c r="A1241" s="303" t="s">
        <v>3601</v>
      </c>
    </row>
    <row r="1243" spans="1:1">
      <c r="A1243" s="299" t="s">
        <v>2334</v>
      </c>
    </row>
    <row r="1245" spans="1:1">
      <c r="A1245" s="299" t="s">
        <v>2337</v>
      </c>
    </row>
    <row r="1247" spans="1:1">
      <c r="A1247" s="300" t="s">
        <v>2333</v>
      </c>
    </row>
    <row r="1249" spans="1:1" ht="16.5">
      <c r="A1249" s="303" t="s">
        <v>3597</v>
      </c>
    </row>
    <row r="1251" spans="1:1">
      <c r="A1251" s="299" t="s">
        <v>2334</v>
      </c>
    </row>
    <row r="1253" spans="1:1">
      <c r="A1253" s="299" t="s">
        <v>2337</v>
      </c>
    </row>
    <row r="1255" spans="1:1">
      <c r="A1255" s="300" t="s">
        <v>2333</v>
      </c>
    </row>
    <row r="1257" spans="1:1" ht="16.5">
      <c r="A1257" s="303" t="s">
        <v>3602</v>
      </c>
    </row>
    <row r="1259" spans="1:1">
      <c r="A1259" s="299" t="s">
        <v>2334</v>
      </c>
    </row>
    <row r="1261" spans="1:1">
      <c r="A1261" s="299" t="s">
        <v>2337</v>
      </c>
    </row>
    <row r="1263" spans="1:1">
      <c r="A1263" s="300" t="s">
        <v>2333</v>
      </c>
    </row>
    <row r="1265" spans="1:1" ht="16.5">
      <c r="A1265" s="303" t="s">
        <v>3603</v>
      </c>
    </row>
    <row r="1267" spans="1:1">
      <c r="A1267" s="299" t="s">
        <v>2334</v>
      </c>
    </row>
    <row r="1269" spans="1:1">
      <c r="A1269" s="299" t="s">
        <v>2337</v>
      </c>
    </row>
    <row r="1271" spans="1:1">
      <c r="A1271" s="300" t="s">
        <v>2333</v>
      </c>
    </row>
    <row r="1273" spans="1:1" ht="16.5">
      <c r="A1273" s="303" t="s">
        <v>3604</v>
      </c>
    </row>
    <row r="1275" spans="1:1">
      <c r="A1275" s="299" t="s">
        <v>2339</v>
      </c>
    </row>
    <row r="1277" spans="1:1">
      <c r="A1277" s="299" t="s">
        <v>2337</v>
      </c>
    </row>
    <row r="1279" spans="1:1">
      <c r="A1279" s="300" t="s">
        <v>2333</v>
      </c>
    </row>
    <row r="1281" spans="1:1" ht="16.5">
      <c r="A1281" s="303" t="s">
        <v>3605</v>
      </c>
    </row>
    <row r="1283" spans="1:1">
      <c r="A1283" s="299" t="s">
        <v>2339</v>
      </c>
    </row>
    <row r="1285" spans="1:1">
      <c r="A1285" s="299" t="s">
        <v>2337</v>
      </c>
    </row>
    <row r="1287" spans="1:1">
      <c r="A1287" s="300" t="s">
        <v>2333</v>
      </c>
    </row>
    <row r="1289" spans="1:1" ht="16.5">
      <c r="A1289" s="303" t="s">
        <v>3606</v>
      </c>
    </row>
    <row r="1291" spans="1:1">
      <c r="A1291" s="299" t="s">
        <v>2339</v>
      </c>
    </row>
    <row r="1293" spans="1:1">
      <c r="A1293" s="299" t="s">
        <v>2337</v>
      </c>
    </row>
    <row r="1295" spans="1:1">
      <c r="A1295" s="300" t="s">
        <v>2333</v>
      </c>
    </row>
    <row r="1297" spans="1:1" ht="16.5">
      <c r="A1297" s="303" t="s">
        <v>3607</v>
      </c>
    </row>
    <row r="1299" spans="1:1">
      <c r="A1299" s="299" t="s">
        <v>2339</v>
      </c>
    </row>
    <row r="1301" spans="1:1">
      <c r="A1301" s="299" t="s">
        <v>2337</v>
      </c>
    </row>
    <row r="1303" spans="1:1">
      <c r="A1303" s="300" t="s">
        <v>2333</v>
      </c>
    </row>
    <row r="1305" spans="1:1" ht="16.5">
      <c r="A1305" s="303" t="s">
        <v>3608</v>
      </c>
    </row>
    <row r="1307" spans="1:1">
      <c r="A1307" s="299" t="s">
        <v>2334</v>
      </c>
    </row>
    <row r="1309" spans="1:1">
      <c r="A1309" s="299" t="s">
        <v>2340</v>
      </c>
    </row>
    <row r="1311" spans="1:1">
      <c r="A1311" s="300" t="s">
        <v>2333</v>
      </c>
    </row>
    <row r="1313" spans="1:1" ht="16.5">
      <c r="A1313" s="303" t="s">
        <v>3609</v>
      </c>
    </row>
    <row r="1315" spans="1:1">
      <c r="A1315" s="299" t="s">
        <v>2334</v>
      </c>
    </row>
    <row r="1317" spans="1:1">
      <c r="A1317" s="299" t="s">
        <v>2340</v>
      </c>
    </row>
    <row r="1319" spans="1:1">
      <c r="A1319" s="300" t="s">
        <v>2333</v>
      </c>
    </row>
    <row r="1321" spans="1:1" ht="16.5">
      <c r="A1321" s="303" t="s">
        <v>3610</v>
      </c>
    </row>
    <row r="1323" spans="1:1">
      <c r="A1323" s="299" t="s">
        <v>2334</v>
      </c>
    </row>
    <row r="1325" spans="1:1">
      <c r="A1325" s="299" t="s">
        <v>2340</v>
      </c>
    </row>
    <row r="1327" spans="1:1">
      <c r="A1327" s="300" t="s">
        <v>2333</v>
      </c>
    </row>
    <row r="1329" spans="1:1" ht="16.5">
      <c r="A1329" s="303" t="s">
        <v>3611</v>
      </c>
    </row>
    <row r="1331" spans="1:1">
      <c r="A1331" s="299" t="s">
        <v>2334</v>
      </c>
    </row>
    <row r="1333" spans="1:1">
      <c r="A1333" s="299" t="s">
        <v>2340</v>
      </c>
    </row>
    <row r="1335" spans="1:1">
      <c r="A1335" s="300" t="s">
        <v>2333</v>
      </c>
    </row>
    <row r="1337" spans="1:1" ht="16.5">
      <c r="A1337" s="303" t="s">
        <v>3612</v>
      </c>
    </row>
    <row r="1339" spans="1:1">
      <c r="A1339" s="299" t="s">
        <v>2334</v>
      </c>
    </row>
    <row r="1341" spans="1:1">
      <c r="A1341" s="299" t="s">
        <v>2340</v>
      </c>
    </row>
    <row r="1343" spans="1:1">
      <c r="A1343" s="300" t="s">
        <v>2333</v>
      </c>
    </row>
    <row r="1345" spans="1:1" ht="16.5">
      <c r="A1345" s="303" t="s">
        <v>3613</v>
      </c>
    </row>
    <row r="1347" spans="1:1">
      <c r="A1347" s="299" t="s">
        <v>2334</v>
      </c>
    </row>
    <row r="1349" spans="1:1">
      <c r="A1349" s="299" t="s">
        <v>2340</v>
      </c>
    </row>
    <row r="1351" spans="1:1">
      <c r="A1351" s="300" t="s">
        <v>2333</v>
      </c>
    </row>
    <row r="1352" spans="1:1">
      <c r="A1352" s="300"/>
    </row>
    <row r="1353" spans="1:1">
      <c r="A1353" s="300" t="s">
        <v>2341</v>
      </c>
    </row>
    <row r="1355" spans="1:1" ht="16.5">
      <c r="A1355" s="303" t="s">
        <v>3614</v>
      </c>
    </row>
    <row r="1357" spans="1:1">
      <c r="A1357" s="299" t="s">
        <v>2342</v>
      </c>
    </row>
    <row r="1359" spans="1:1">
      <c r="A1359" s="299" t="s">
        <v>2343</v>
      </c>
    </row>
    <row r="1361" spans="1:1">
      <c r="A1361" s="300" t="s">
        <v>2333</v>
      </c>
    </row>
    <row r="1363" spans="1:1" ht="16.5">
      <c r="A1363" s="303" t="s">
        <v>3615</v>
      </c>
    </row>
    <row r="1365" spans="1:1">
      <c r="A1365" s="299" t="s">
        <v>2334</v>
      </c>
    </row>
    <row r="1367" spans="1:1">
      <c r="A1367" s="299" t="s">
        <v>2344</v>
      </c>
    </row>
    <row r="1369" spans="1:1">
      <c r="A1369" s="300" t="s">
        <v>2333</v>
      </c>
    </row>
    <row r="1371" spans="1:1" ht="16.5">
      <c r="A1371" s="303" t="s">
        <v>3616</v>
      </c>
    </row>
    <row r="1373" spans="1:1">
      <c r="A1373" s="299" t="s">
        <v>2334</v>
      </c>
    </row>
    <row r="1375" spans="1:1">
      <c r="A1375" s="299" t="s">
        <v>2344</v>
      </c>
    </row>
    <row r="1377" spans="1:1">
      <c r="A1377" s="300" t="s">
        <v>2333</v>
      </c>
    </row>
    <row r="1379" spans="1:1" ht="16.5">
      <c r="A1379" s="303" t="s">
        <v>3617</v>
      </c>
    </row>
    <row r="1381" spans="1:1">
      <c r="A1381" s="299" t="s">
        <v>2334</v>
      </c>
    </row>
    <row r="1383" spans="1:1">
      <c r="A1383" s="299" t="s">
        <v>2344</v>
      </c>
    </row>
    <row r="1385" spans="1:1">
      <c r="A1385" s="300" t="s">
        <v>2333</v>
      </c>
    </row>
    <row r="1387" spans="1:1" ht="16.5">
      <c r="A1387" s="303" t="s">
        <v>3618</v>
      </c>
    </row>
    <row r="1389" spans="1:1">
      <c r="A1389" s="299" t="s">
        <v>2334</v>
      </c>
    </row>
    <row r="1391" spans="1:1">
      <c r="A1391" s="299" t="s">
        <v>2344</v>
      </c>
    </row>
    <row r="1393" spans="1:1">
      <c r="A1393" s="300" t="s">
        <v>2333</v>
      </c>
    </row>
    <row r="1395" spans="1:1" ht="16.5">
      <c r="A1395" s="303" t="s">
        <v>3619</v>
      </c>
    </row>
    <row r="1397" spans="1:1">
      <c r="A1397" s="299" t="s">
        <v>2334</v>
      </c>
    </row>
    <row r="1399" spans="1:1">
      <c r="A1399" s="299" t="s">
        <v>2344</v>
      </c>
    </row>
    <row r="1401" spans="1:1">
      <c r="A1401" s="300" t="s">
        <v>2333</v>
      </c>
    </row>
    <row r="1403" spans="1:1" ht="16.5">
      <c r="A1403" s="303" t="s">
        <v>3620</v>
      </c>
    </row>
    <row r="1405" spans="1:1">
      <c r="A1405" s="299" t="s">
        <v>2334</v>
      </c>
    </row>
    <row r="1407" spans="1:1">
      <c r="A1407" s="299" t="s">
        <v>2344</v>
      </c>
    </row>
    <row r="1409" spans="1:1">
      <c r="A1409" s="300" t="s">
        <v>2333</v>
      </c>
    </row>
    <row r="1411" spans="1:1" ht="16.5">
      <c r="A1411" s="303" t="s">
        <v>3621</v>
      </c>
    </row>
    <row r="1413" spans="1:1">
      <c r="A1413" s="299" t="s">
        <v>2334</v>
      </c>
    </row>
    <row r="1415" spans="1:1">
      <c r="A1415" s="299" t="s">
        <v>2344</v>
      </c>
    </row>
    <row r="1417" spans="1:1">
      <c r="A1417" s="300" t="s">
        <v>2333</v>
      </c>
    </row>
    <row r="1418" spans="1:1">
      <c r="A1418" s="300"/>
    </row>
    <row r="1419" spans="1:1">
      <c r="A1419" s="300" t="s">
        <v>2341</v>
      </c>
    </row>
    <row r="1421" spans="1:1" ht="16.5">
      <c r="A1421" s="303" t="s">
        <v>3622</v>
      </c>
    </row>
    <row r="1423" spans="1:1">
      <c r="A1423" s="299" t="s">
        <v>2342</v>
      </c>
    </row>
    <row r="1425" spans="1:1">
      <c r="A1425" s="299" t="s">
        <v>2344</v>
      </c>
    </row>
    <row r="1427" spans="1:1">
      <c r="A1427" s="300" t="s">
        <v>2333</v>
      </c>
    </row>
    <row r="1428" spans="1:1">
      <c r="A1428" s="300"/>
    </row>
    <row r="1429" spans="1:1">
      <c r="A1429" s="300" t="s">
        <v>2341</v>
      </c>
    </row>
    <row r="1431" spans="1:1" ht="16.5">
      <c r="A1431" s="303" t="s">
        <v>3623</v>
      </c>
    </row>
    <row r="1433" spans="1:1">
      <c r="A1433" s="299" t="s">
        <v>2342</v>
      </c>
    </row>
    <row r="1435" spans="1:1">
      <c r="A1435" s="299" t="s">
        <v>2344</v>
      </c>
    </row>
    <row r="1437" spans="1:1">
      <c r="A1437" s="300" t="s">
        <v>2333</v>
      </c>
    </row>
    <row r="1438" spans="1:1">
      <c r="A1438" s="300"/>
    </row>
    <row r="1439" spans="1:1">
      <c r="A1439" s="300" t="s">
        <v>2341</v>
      </c>
    </row>
    <row r="1441" spans="1:1" ht="16.5">
      <c r="A1441" s="303" t="s">
        <v>3624</v>
      </c>
    </row>
    <row r="1443" spans="1:1">
      <c r="A1443" s="299" t="s">
        <v>2342</v>
      </c>
    </row>
    <row r="1445" spans="1:1">
      <c r="A1445" s="299" t="s">
        <v>2345</v>
      </c>
    </row>
    <row r="1447" spans="1:1">
      <c r="A1447" s="300" t="s">
        <v>2333</v>
      </c>
    </row>
    <row r="1448" spans="1:1">
      <c r="A1448" s="300"/>
    </row>
    <row r="1449" spans="1:1">
      <c r="A1449" s="300" t="s">
        <v>2341</v>
      </c>
    </row>
    <row r="1451" spans="1:1" ht="16.5">
      <c r="A1451" s="303" t="s">
        <v>3625</v>
      </c>
    </row>
    <row r="1453" spans="1:1">
      <c r="A1453" s="299" t="s">
        <v>2342</v>
      </c>
    </row>
    <row r="1455" spans="1:1">
      <c r="A1455" s="299" t="s">
        <v>2345</v>
      </c>
    </row>
    <row r="1457" spans="1:1">
      <c r="A1457" s="300" t="s">
        <v>2333</v>
      </c>
    </row>
    <row r="1459" spans="1:1" ht="16.5">
      <c r="A1459" s="303" t="s">
        <v>3626</v>
      </c>
    </row>
    <row r="1461" spans="1:1">
      <c r="A1461" s="299" t="s">
        <v>2334</v>
      </c>
    </row>
    <row r="1463" spans="1:1">
      <c r="A1463" s="299" t="s">
        <v>2345</v>
      </c>
    </row>
    <row r="1465" spans="1:1">
      <c r="A1465" s="300" t="s">
        <v>2333</v>
      </c>
    </row>
    <row r="1467" spans="1:1" ht="16.5">
      <c r="A1467" s="303" t="s">
        <v>3627</v>
      </c>
    </row>
    <row r="1469" spans="1:1">
      <c r="A1469" s="299" t="s">
        <v>2334</v>
      </c>
    </row>
    <row r="1471" spans="1:1">
      <c r="A1471" s="299" t="s">
        <v>2346</v>
      </c>
    </row>
    <row r="1473" spans="1:1">
      <c r="A1473" s="300" t="s">
        <v>2333</v>
      </c>
    </row>
    <row r="1475" spans="1:1" ht="16.5">
      <c r="A1475" s="303" t="s">
        <v>3628</v>
      </c>
    </row>
    <row r="1477" spans="1:1">
      <c r="A1477" s="299" t="s">
        <v>2334</v>
      </c>
    </row>
    <row r="1479" spans="1:1">
      <c r="A1479" s="299" t="s">
        <v>2346</v>
      </c>
    </row>
    <row r="1481" spans="1:1">
      <c r="A1481" s="300" t="s">
        <v>2333</v>
      </c>
    </row>
    <row r="1483" spans="1:1" ht="16.5">
      <c r="A1483" s="303" t="s">
        <v>3629</v>
      </c>
    </row>
    <row r="1485" spans="1:1">
      <c r="A1485" s="299" t="s">
        <v>2334</v>
      </c>
    </row>
    <row r="1487" spans="1:1">
      <c r="A1487" s="299" t="s">
        <v>2346</v>
      </c>
    </row>
    <row r="1489" spans="1:1">
      <c r="A1489" s="300" t="s">
        <v>2333</v>
      </c>
    </row>
    <row r="1491" spans="1:1" ht="16.5">
      <c r="A1491" s="303" t="s">
        <v>3630</v>
      </c>
    </row>
    <row r="1493" spans="1:1">
      <c r="A1493" s="299" t="s">
        <v>2334</v>
      </c>
    </row>
    <row r="1495" spans="1:1">
      <c r="A1495" s="299" t="s">
        <v>2346</v>
      </c>
    </row>
    <row r="1497" spans="1:1">
      <c r="A1497" s="300" t="s">
        <v>2333</v>
      </c>
    </row>
    <row r="1499" spans="1:1" ht="16.5">
      <c r="A1499" s="303" t="s">
        <v>3631</v>
      </c>
    </row>
    <row r="1501" spans="1:1">
      <c r="A1501" s="299" t="s">
        <v>2334</v>
      </c>
    </row>
    <row r="1503" spans="1:1">
      <c r="A1503" s="299" t="s">
        <v>2346</v>
      </c>
    </row>
    <row r="1505" spans="1:1">
      <c r="A1505" s="300" t="s">
        <v>2333</v>
      </c>
    </row>
    <row r="1507" spans="1:1" ht="16.5">
      <c r="A1507" s="303" t="s">
        <v>3632</v>
      </c>
    </row>
    <row r="1509" spans="1:1">
      <c r="A1509" s="299" t="s">
        <v>2342</v>
      </c>
    </row>
    <row r="1511" spans="1:1">
      <c r="A1511" s="299" t="s">
        <v>2346</v>
      </c>
    </row>
    <row r="1513" spans="1:1">
      <c r="A1513" s="300" t="s">
        <v>2333</v>
      </c>
    </row>
    <row r="1514" spans="1:1">
      <c r="A1514" s="300"/>
    </row>
    <row r="1515" spans="1:1">
      <c r="A1515" s="300" t="s">
        <v>2341</v>
      </c>
    </row>
    <row r="1517" spans="1:1" ht="16.5">
      <c r="A1517" s="303" t="s">
        <v>3633</v>
      </c>
    </row>
    <row r="1519" spans="1:1">
      <c r="A1519" s="299" t="s">
        <v>2342</v>
      </c>
    </row>
    <row r="1521" spans="1:1">
      <c r="A1521" s="299" t="s">
        <v>2346</v>
      </c>
    </row>
    <row r="1523" spans="1:1">
      <c r="A1523" s="300" t="s">
        <v>2333</v>
      </c>
    </row>
    <row r="1524" spans="1:1">
      <c r="A1524" s="300"/>
    </row>
    <row r="1525" spans="1:1">
      <c r="A1525" s="300" t="s">
        <v>2341</v>
      </c>
    </row>
    <row r="1527" spans="1:1" ht="16.5">
      <c r="A1527" s="303" t="s">
        <v>3634</v>
      </c>
    </row>
    <row r="1529" spans="1:1">
      <c r="A1529" s="299" t="s">
        <v>2342</v>
      </c>
    </row>
    <row r="1531" spans="1:1">
      <c r="A1531" s="299" t="s">
        <v>2346</v>
      </c>
    </row>
    <row r="1533" spans="1:1">
      <c r="A1533" s="300" t="s">
        <v>2333</v>
      </c>
    </row>
    <row r="1534" spans="1:1">
      <c r="A1534" s="300"/>
    </row>
    <row r="1535" spans="1:1">
      <c r="A1535" s="300" t="s">
        <v>2341</v>
      </c>
    </row>
    <row r="1537" spans="1:1" ht="16.5">
      <c r="A1537" s="303" t="s">
        <v>3635</v>
      </c>
    </row>
    <row r="1539" spans="1:1">
      <c r="A1539" s="299" t="s">
        <v>2342</v>
      </c>
    </row>
    <row r="1541" spans="1:1">
      <c r="A1541" s="299" t="s">
        <v>2347</v>
      </c>
    </row>
    <row r="1543" spans="1:1">
      <c r="A1543" s="300" t="s">
        <v>2333</v>
      </c>
    </row>
    <row r="1545" spans="1:1" ht="16.5">
      <c r="A1545" s="303" t="s">
        <v>3636</v>
      </c>
    </row>
    <row r="1547" spans="1:1">
      <c r="A1547" s="299" t="s">
        <v>2339</v>
      </c>
    </row>
    <row r="1549" spans="1:1">
      <c r="A1549" s="299" t="s">
        <v>2347</v>
      </c>
    </row>
    <row r="1551" spans="1:1">
      <c r="A1551" s="300" t="s">
        <v>2333</v>
      </c>
    </row>
    <row r="1553" spans="1:1" ht="16.5">
      <c r="A1553" s="303" t="s">
        <v>3637</v>
      </c>
    </row>
    <row r="1555" spans="1:1">
      <c r="A1555" s="299" t="s">
        <v>2339</v>
      </c>
    </row>
    <row r="1557" spans="1:1">
      <c r="A1557" s="299" t="s">
        <v>2348</v>
      </c>
    </row>
    <row r="1559" spans="1:1">
      <c r="A1559" s="300" t="s">
        <v>2333</v>
      </c>
    </row>
    <row r="1561" spans="1:1" ht="16.5">
      <c r="A1561" s="303" t="s">
        <v>3638</v>
      </c>
    </row>
    <row r="1563" spans="1:1">
      <c r="A1563" s="299" t="s">
        <v>2334</v>
      </c>
    </row>
    <row r="1565" spans="1:1">
      <c r="A1565" s="299" t="s">
        <v>2349</v>
      </c>
    </row>
    <row r="1567" spans="1:1">
      <c r="A1567" s="300" t="s">
        <v>2333</v>
      </c>
    </row>
    <row r="1569" spans="1:1" ht="16.5">
      <c r="A1569" s="303" t="s">
        <v>3639</v>
      </c>
    </row>
    <row r="1571" spans="1:1">
      <c r="A1571" s="299" t="s">
        <v>2334</v>
      </c>
    </row>
    <row r="1573" spans="1:1">
      <c r="A1573" s="299" t="s">
        <v>2349</v>
      </c>
    </row>
    <row r="1575" spans="1:1">
      <c r="A1575" s="300" t="s">
        <v>2333</v>
      </c>
    </row>
    <row r="1577" spans="1:1" ht="16.5">
      <c r="A1577" s="303" t="s">
        <v>3640</v>
      </c>
    </row>
    <row r="1579" spans="1:1">
      <c r="A1579" s="299" t="s">
        <v>2334</v>
      </c>
    </row>
    <row r="1581" spans="1:1">
      <c r="A1581" s="299" t="s">
        <v>2349</v>
      </c>
    </row>
    <row r="1583" spans="1:1">
      <c r="A1583" s="300" t="s">
        <v>2333</v>
      </c>
    </row>
    <row r="1584" spans="1:1">
      <c r="A1584" s="300"/>
    </row>
    <row r="1585" spans="1:1">
      <c r="A1585" s="300" t="s">
        <v>2341</v>
      </c>
    </row>
    <row r="1587" spans="1:1" ht="16.5">
      <c r="A1587" s="303" t="s">
        <v>3641</v>
      </c>
    </row>
    <row r="1589" spans="1:1">
      <c r="A1589" s="299" t="s">
        <v>2342</v>
      </c>
    </row>
    <row r="1591" spans="1:1">
      <c r="A1591" s="299" t="s">
        <v>2349</v>
      </c>
    </row>
    <row r="1593" spans="1:1">
      <c r="A1593" s="300" t="s">
        <v>2333</v>
      </c>
    </row>
    <row r="1595" spans="1:1" ht="16.5">
      <c r="A1595" s="303" t="s">
        <v>3642</v>
      </c>
    </row>
    <row r="1597" spans="1:1">
      <c r="A1597" s="299" t="s">
        <v>2339</v>
      </c>
    </row>
    <row r="1599" spans="1:1">
      <c r="A1599" s="299" t="s">
        <v>2350</v>
      </c>
    </row>
    <row r="1601" spans="1:1">
      <c r="A1601" s="300" t="s">
        <v>2333</v>
      </c>
    </row>
    <row r="1603" spans="1:1" ht="16.5">
      <c r="A1603" s="303" t="s">
        <v>3643</v>
      </c>
    </row>
    <row r="1605" spans="1:1">
      <c r="A1605" s="299" t="s">
        <v>2339</v>
      </c>
    </row>
    <row r="1607" spans="1:1">
      <c r="A1607" s="299" t="s">
        <v>2351</v>
      </c>
    </row>
    <row r="1609" spans="1:1">
      <c r="A1609" s="300" t="s">
        <v>2333</v>
      </c>
    </row>
    <row r="1611" spans="1:1" ht="16.5">
      <c r="A1611" s="303" t="s">
        <v>3644</v>
      </c>
    </row>
    <row r="1613" spans="1:1">
      <c r="A1613" s="299" t="s">
        <v>2334</v>
      </c>
    </row>
    <row r="1615" spans="1:1">
      <c r="A1615" s="299" t="s">
        <v>2352</v>
      </c>
    </row>
    <row r="1617" spans="1:1">
      <c r="A1617" s="300" t="s">
        <v>2333</v>
      </c>
    </row>
    <row r="1619" spans="1:1" ht="16.5">
      <c r="A1619" s="303" t="s">
        <v>3645</v>
      </c>
    </row>
    <row r="1621" spans="1:1">
      <c r="A1621" s="299" t="s">
        <v>2334</v>
      </c>
    </row>
    <row r="1623" spans="1:1">
      <c r="A1623" s="299" t="s">
        <v>2352</v>
      </c>
    </row>
    <row r="1625" spans="1:1">
      <c r="A1625" s="300" t="s">
        <v>2333</v>
      </c>
    </row>
    <row r="1627" spans="1:1" ht="16.5">
      <c r="A1627" s="303" t="s">
        <v>3646</v>
      </c>
    </row>
    <row r="1629" spans="1:1">
      <c r="A1629" s="299" t="s">
        <v>2334</v>
      </c>
    </row>
    <row r="1631" spans="1:1">
      <c r="A1631" s="299" t="s">
        <v>2352</v>
      </c>
    </row>
    <row r="1633" spans="1:1">
      <c r="A1633" s="300" t="s">
        <v>2333</v>
      </c>
    </row>
    <row r="1634" spans="1:1">
      <c r="A1634" s="300"/>
    </row>
    <row r="1635" spans="1:1">
      <c r="A1635" s="300" t="s">
        <v>2341</v>
      </c>
    </row>
    <row r="1637" spans="1:1">
      <c r="A1637" s="303" t="s">
        <v>2354</v>
      </c>
    </row>
    <row r="1639" spans="1:1">
      <c r="A1639" s="299" t="s">
        <v>2342</v>
      </c>
    </row>
    <row r="1641" spans="1:1">
      <c r="A1641" s="299" t="s">
        <v>2355</v>
      </c>
    </row>
    <row r="1643" spans="1:1">
      <c r="A1643" s="300" t="s">
        <v>2333</v>
      </c>
    </row>
    <row r="1645" spans="1:1" ht="16.5">
      <c r="A1645" s="303" t="s">
        <v>3647</v>
      </c>
    </row>
    <row r="1647" spans="1:1">
      <c r="A1647" s="299" t="s">
        <v>2339</v>
      </c>
    </row>
    <row r="1649" spans="1:1">
      <c r="A1649" s="299" t="s">
        <v>2356</v>
      </c>
    </row>
    <row r="1651" spans="1:1">
      <c r="A1651" s="300" t="s">
        <v>2333</v>
      </c>
    </row>
    <row r="1652" spans="1:1">
      <c r="A1652" s="300"/>
    </row>
    <row r="1653" spans="1:1">
      <c r="A1653" s="300" t="s">
        <v>2341</v>
      </c>
    </row>
    <row r="1655" spans="1:1" ht="16.5">
      <c r="A1655" s="303" t="s">
        <v>3648</v>
      </c>
    </row>
    <row r="1657" spans="1:1">
      <c r="A1657" s="299" t="s">
        <v>2342</v>
      </c>
    </row>
    <row r="1659" spans="1:1">
      <c r="A1659" s="299" t="s">
        <v>2357</v>
      </c>
    </row>
    <row r="1661" spans="1:1">
      <c r="A1661" s="300" t="s">
        <v>2333</v>
      </c>
    </row>
    <row r="1663" spans="1:1" ht="16.5">
      <c r="A1663" s="303" t="s">
        <v>3649</v>
      </c>
    </row>
    <row r="1665" spans="1:1">
      <c r="A1665" s="299" t="s">
        <v>2339</v>
      </c>
    </row>
    <row r="1667" spans="1:1">
      <c r="A1667" s="299" t="s">
        <v>2357</v>
      </c>
    </row>
    <row r="1669" spans="1:1">
      <c r="A1669" s="300" t="s">
        <v>2333</v>
      </c>
    </row>
    <row r="1671" spans="1:1" ht="16.5">
      <c r="A1671" s="303" t="s">
        <v>3650</v>
      </c>
    </row>
    <row r="1673" spans="1:1">
      <c r="A1673" s="299" t="s">
        <v>2339</v>
      </c>
    </row>
    <row r="1675" spans="1:1">
      <c r="A1675" s="299" t="s">
        <v>2358</v>
      </c>
    </row>
    <row r="1677" spans="1:1">
      <c r="A1677" s="300" t="s">
        <v>2333</v>
      </c>
    </row>
    <row r="1679" spans="1:1" ht="16.5">
      <c r="A1679" s="303" t="s">
        <v>3651</v>
      </c>
    </row>
    <row r="1681" spans="1:1">
      <c r="A1681" s="299" t="s">
        <v>2339</v>
      </c>
    </row>
    <row r="1683" spans="1:1">
      <c r="A1683" s="299" t="s">
        <v>2358</v>
      </c>
    </row>
    <row r="1685" spans="1:1">
      <c r="A1685" s="300" t="s">
        <v>2333</v>
      </c>
    </row>
    <row r="1686" spans="1:1">
      <c r="A1686" s="300"/>
    </row>
    <row r="1687" spans="1:1">
      <c r="A1687" s="300" t="s">
        <v>2341</v>
      </c>
    </row>
    <row r="1689" spans="1:1" ht="16.5">
      <c r="A1689" s="303" t="s">
        <v>3652</v>
      </c>
    </row>
    <row r="1691" spans="1:1">
      <c r="A1691" s="299" t="s">
        <v>2342</v>
      </c>
    </row>
    <row r="1693" spans="1:1">
      <c r="A1693" s="299" t="s">
        <v>2359</v>
      </c>
    </row>
    <row r="1695" spans="1:1">
      <c r="A1695" s="300" t="s">
        <v>2333</v>
      </c>
    </row>
    <row r="1696" spans="1:1">
      <c r="A1696" s="300"/>
    </row>
    <row r="1697" spans="1:1">
      <c r="A1697" s="300" t="s">
        <v>2341</v>
      </c>
    </row>
    <row r="1699" spans="1:1" ht="16.5">
      <c r="A1699" s="303" t="s">
        <v>3653</v>
      </c>
    </row>
    <row r="1701" spans="1:1">
      <c r="A1701" s="299" t="s">
        <v>2342</v>
      </c>
    </row>
    <row r="1703" spans="1:1">
      <c r="A1703" s="299" t="s">
        <v>2360</v>
      </c>
    </row>
    <row r="1705" spans="1:1">
      <c r="A1705" s="300" t="s">
        <v>2333</v>
      </c>
    </row>
    <row r="1706" spans="1:1">
      <c r="A1706" s="300"/>
    </row>
    <row r="1707" spans="1:1">
      <c r="A1707" s="300" t="s">
        <v>2341</v>
      </c>
    </row>
    <row r="1709" spans="1:1" ht="16.5">
      <c r="A1709" s="303" t="s">
        <v>3654</v>
      </c>
    </row>
    <row r="1711" spans="1:1">
      <c r="A1711" s="299" t="s">
        <v>2342</v>
      </c>
    </row>
    <row r="1713" spans="1:1">
      <c r="A1713" s="299" t="s">
        <v>2360</v>
      </c>
    </row>
    <row r="1715" spans="1:1">
      <c r="A1715" s="300" t="s">
        <v>2333</v>
      </c>
    </row>
    <row r="1716" spans="1:1">
      <c r="A1716" s="300"/>
    </row>
    <row r="1717" spans="1:1">
      <c r="A1717" s="300" t="s">
        <v>2341</v>
      </c>
    </row>
    <row r="1719" spans="1:1" ht="16.5">
      <c r="A1719" s="303" t="s">
        <v>3655</v>
      </c>
    </row>
    <row r="1721" spans="1:1">
      <c r="A1721" s="299" t="s">
        <v>2342</v>
      </c>
    </row>
    <row r="1723" spans="1:1">
      <c r="A1723" s="299" t="s">
        <v>2360</v>
      </c>
    </row>
    <row r="1725" spans="1:1">
      <c r="A1725" s="300" t="s">
        <v>2333</v>
      </c>
    </row>
    <row r="1727" spans="1:1" ht="16.5">
      <c r="A1727" s="303" t="s">
        <v>3656</v>
      </c>
    </row>
    <row r="1729" spans="1:1">
      <c r="A1729" s="299" t="s">
        <v>2339</v>
      </c>
    </row>
    <row r="1731" spans="1:1">
      <c r="A1731" s="299" t="s">
        <v>2360</v>
      </c>
    </row>
    <row r="1733" spans="1:1">
      <c r="A1733" s="300" t="s">
        <v>2333</v>
      </c>
    </row>
    <row r="1735" spans="1:1" ht="16.5">
      <c r="A1735" s="303" t="s">
        <v>3657</v>
      </c>
    </row>
    <row r="1737" spans="1:1">
      <c r="A1737" s="299" t="s">
        <v>2339</v>
      </c>
    </row>
    <row r="1739" spans="1:1">
      <c r="A1739" s="299" t="s">
        <v>2360</v>
      </c>
    </row>
    <row r="1741" spans="1:1">
      <c r="A1741" s="300" t="s">
        <v>2333</v>
      </c>
    </row>
    <row r="1743" spans="1:1" ht="16.5">
      <c r="A1743" s="303" t="s">
        <v>3658</v>
      </c>
    </row>
    <row r="1745" spans="1:1">
      <c r="A1745" s="299" t="s">
        <v>2339</v>
      </c>
    </row>
    <row r="1747" spans="1:1">
      <c r="A1747" s="299" t="s">
        <v>2361</v>
      </c>
    </row>
    <row r="1749" spans="1:1">
      <c r="A1749" s="300" t="s">
        <v>2333</v>
      </c>
    </row>
    <row r="1750" spans="1:1">
      <c r="A1750" s="300"/>
    </row>
    <row r="1751" spans="1:1">
      <c r="A1751" s="300" t="s">
        <v>2341</v>
      </c>
    </row>
    <row r="1753" spans="1:1" ht="16.5">
      <c r="A1753" s="303" t="s">
        <v>3659</v>
      </c>
    </row>
    <row r="1755" spans="1:1">
      <c r="A1755" s="299" t="s">
        <v>2342</v>
      </c>
    </row>
    <row r="1757" spans="1:1">
      <c r="A1757" s="299" t="s">
        <v>2362</v>
      </c>
    </row>
    <row r="1759" spans="1:1">
      <c r="A1759" s="300" t="s">
        <v>2333</v>
      </c>
    </row>
    <row r="1761" spans="1:1" ht="16.5">
      <c r="A1761" s="303" t="s">
        <v>3660</v>
      </c>
    </row>
    <row r="1763" spans="1:1">
      <c r="A1763" s="299" t="s">
        <v>2339</v>
      </c>
    </row>
    <row r="1765" spans="1:1">
      <c r="A1765" s="299" t="s">
        <v>2363</v>
      </c>
    </row>
    <row r="1767" spans="1:1">
      <c r="A1767" s="300" t="s">
        <v>2333</v>
      </c>
    </row>
    <row r="1769" spans="1:1" ht="16.5">
      <c r="A1769" s="303" t="s">
        <v>3661</v>
      </c>
    </row>
    <row r="1771" spans="1:1">
      <c r="A1771" s="299" t="s">
        <v>2339</v>
      </c>
    </row>
    <row r="1773" spans="1:1">
      <c r="A1773" s="299" t="s">
        <v>2364</v>
      </c>
    </row>
    <row r="1775" spans="1:1">
      <c r="A1775" s="300" t="s">
        <v>2333</v>
      </c>
    </row>
    <row r="1776" spans="1:1">
      <c r="A1776" s="300"/>
    </row>
    <row r="1777" spans="1:1">
      <c r="A1777" s="300" t="s">
        <v>2341</v>
      </c>
    </row>
    <row r="1779" spans="1:1" ht="16.5">
      <c r="A1779" s="303" t="s">
        <v>3662</v>
      </c>
    </row>
    <row r="1781" spans="1:1">
      <c r="A1781" s="299" t="s">
        <v>2342</v>
      </c>
    </row>
    <row r="1783" spans="1:1">
      <c r="A1783" s="299" t="s">
        <v>2365</v>
      </c>
    </row>
    <row r="1785" spans="1:1">
      <c r="A1785" s="300" t="s">
        <v>2333</v>
      </c>
    </row>
    <row r="1786" spans="1:1">
      <c r="A1786" s="300"/>
    </row>
    <row r="1787" spans="1:1">
      <c r="A1787" s="300" t="s">
        <v>2341</v>
      </c>
    </row>
    <row r="1789" spans="1:1" ht="16.5">
      <c r="A1789" s="303" t="s">
        <v>3663</v>
      </c>
    </row>
    <row r="1791" spans="1:1">
      <c r="A1791" s="299" t="s">
        <v>2342</v>
      </c>
    </row>
    <row r="1793" spans="1:1">
      <c r="A1793" s="299" t="s">
        <v>2365</v>
      </c>
    </row>
    <row r="1795" spans="1:1">
      <c r="A1795" s="300" t="s">
        <v>2333</v>
      </c>
    </row>
    <row r="1796" spans="1:1">
      <c r="A1796" s="300"/>
    </row>
    <row r="1797" spans="1:1">
      <c r="A1797" s="300" t="s">
        <v>2341</v>
      </c>
    </row>
    <row r="1799" spans="1:1" ht="16.5">
      <c r="A1799" s="303" t="s">
        <v>3664</v>
      </c>
    </row>
    <row r="1801" spans="1:1">
      <c r="A1801" s="299" t="s">
        <v>2342</v>
      </c>
    </row>
    <row r="1803" spans="1:1">
      <c r="A1803" s="299" t="s">
        <v>2365</v>
      </c>
    </row>
    <row r="1805" spans="1:1">
      <c r="A1805" s="300" t="s">
        <v>2333</v>
      </c>
    </row>
    <row r="1806" spans="1:1">
      <c r="A1806" s="300"/>
    </row>
    <row r="1807" spans="1:1">
      <c r="A1807" s="300" t="s">
        <v>2341</v>
      </c>
    </row>
    <row r="1809" spans="1:1" ht="16.5">
      <c r="A1809" s="303" t="s">
        <v>3665</v>
      </c>
    </row>
    <row r="1811" spans="1:1">
      <c r="A1811" s="299" t="s">
        <v>2342</v>
      </c>
    </row>
    <row r="1813" spans="1:1">
      <c r="A1813" s="299" t="s">
        <v>2365</v>
      </c>
    </row>
    <row r="1815" spans="1:1">
      <c r="A1815" s="300" t="s">
        <v>2333</v>
      </c>
    </row>
    <row r="1816" spans="1:1">
      <c r="A1816" s="300"/>
    </row>
    <row r="1817" spans="1:1">
      <c r="A1817" s="300" t="s">
        <v>2341</v>
      </c>
    </row>
    <row r="1819" spans="1:1" ht="16.5">
      <c r="A1819" s="303" t="s">
        <v>3666</v>
      </c>
    </row>
    <row r="1820" spans="1:1" ht="16.5">
      <c r="A1820" s="304" t="s">
        <v>3667</v>
      </c>
    </row>
    <row r="1821" spans="1:1">
      <c r="A1821" s="299" t="s">
        <v>2342</v>
      </c>
    </row>
    <row r="1823" spans="1:1">
      <c r="A1823" s="299" t="s">
        <v>2365</v>
      </c>
    </row>
    <row r="1825" spans="1:1">
      <c r="A1825" s="300" t="s">
        <v>2333</v>
      </c>
    </row>
    <row r="1827" spans="1:1" ht="16.5">
      <c r="A1827" s="303" t="s">
        <v>3668</v>
      </c>
    </row>
    <row r="1829" spans="1:1">
      <c r="A1829" s="299" t="s">
        <v>2334</v>
      </c>
    </row>
    <row r="1831" spans="1:1">
      <c r="A1831" s="299" t="s">
        <v>2365</v>
      </c>
    </row>
    <row r="1833" spans="1:1">
      <c r="A1833" s="300" t="s">
        <v>2333</v>
      </c>
    </row>
    <row r="1834" spans="1:1">
      <c r="A1834" s="300"/>
    </row>
    <row r="1835" spans="1:1">
      <c r="A1835" s="300" t="s">
        <v>2341</v>
      </c>
    </row>
    <row r="1837" spans="1:1" ht="16.5">
      <c r="A1837" s="303" t="s">
        <v>3665</v>
      </c>
    </row>
    <row r="1839" spans="1:1">
      <c r="A1839" s="299" t="s">
        <v>2342</v>
      </c>
    </row>
    <row r="1841" spans="1:1">
      <c r="A1841" s="299" t="s">
        <v>2365</v>
      </c>
    </row>
    <row r="1843" spans="1:1">
      <c r="A1843" s="300" t="s">
        <v>2333</v>
      </c>
    </row>
    <row r="1844" spans="1:1">
      <c r="A1844" s="300"/>
    </row>
    <row r="1845" spans="1:1">
      <c r="A1845" s="300" t="s">
        <v>2341</v>
      </c>
    </row>
    <row r="1847" spans="1:1" ht="16.5">
      <c r="A1847" s="303" t="s">
        <v>3669</v>
      </c>
    </row>
    <row r="1849" spans="1:1">
      <c r="A1849" s="299" t="s">
        <v>2342</v>
      </c>
    </row>
    <row r="1851" spans="1:1">
      <c r="A1851" s="299" t="s">
        <v>2367</v>
      </c>
    </row>
    <row r="1853" spans="1:1">
      <c r="A1853" s="300" t="s">
        <v>2333</v>
      </c>
    </row>
    <row r="1854" spans="1:1">
      <c r="A1854" s="300"/>
    </row>
    <row r="1855" spans="1:1">
      <c r="A1855" s="300" t="s">
        <v>2341</v>
      </c>
    </row>
    <row r="1857" spans="1:1" ht="16.5">
      <c r="A1857" s="303" t="s">
        <v>3670</v>
      </c>
    </row>
    <row r="1859" spans="1:1">
      <c r="A1859" s="299" t="s">
        <v>2342</v>
      </c>
    </row>
    <row r="1861" spans="1:1">
      <c r="A1861" s="299" t="s">
        <v>2367</v>
      </c>
    </row>
    <row r="1863" spans="1:1">
      <c r="A1863" s="300" t="s">
        <v>2333</v>
      </c>
    </row>
    <row r="1865" spans="1:1">
      <c r="A1865" s="303" t="s">
        <v>2368</v>
      </c>
    </row>
    <row r="1867" spans="1:1">
      <c r="A1867" s="299" t="s">
        <v>2339</v>
      </c>
    </row>
    <row r="1869" spans="1:1">
      <c r="A1869" s="299" t="s">
        <v>2367</v>
      </c>
    </row>
    <row r="1871" spans="1:1">
      <c r="A1871" s="300" t="s">
        <v>2333</v>
      </c>
    </row>
    <row r="1872" spans="1:1">
      <c r="A1872" s="300"/>
    </row>
    <row r="1873" spans="1:1">
      <c r="A1873" s="300" t="s">
        <v>2341</v>
      </c>
    </row>
    <row r="1875" spans="1:1">
      <c r="A1875" s="303" t="s">
        <v>2369</v>
      </c>
    </row>
    <row r="1877" spans="1:1">
      <c r="A1877" s="299" t="s">
        <v>2342</v>
      </c>
    </row>
    <row r="1879" spans="1:1">
      <c r="A1879" s="299" t="s">
        <v>2370</v>
      </c>
    </row>
    <row r="1881" spans="1:1">
      <c r="A1881" s="300" t="s">
        <v>2333</v>
      </c>
    </row>
    <row r="1882" spans="1:1">
      <c r="A1882" s="300"/>
    </row>
    <row r="1883" spans="1:1">
      <c r="A1883" s="300" t="s">
        <v>2341</v>
      </c>
    </row>
    <row r="1885" spans="1:1">
      <c r="A1885" s="303" t="s">
        <v>2371</v>
      </c>
    </row>
    <row r="1887" spans="1:1">
      <c r="A1887" s="299" t="s">
        <v>2342</v>
      </c>
    </row>
    <row r="1889" spans="1:1">
      <c r="A1889" s="299" t="s">
        <v>2370</v>
      </c>
    </row>
    <row r="1891" spans="1:1">
      <c r="A1891" s="300" t="s">
        <v>2333</v>
      </c>
    </row>
    <row r="1892" spans="1:1">
      <c r="A1892" s="300"/>
    </row>
    <row r="1893" spans="1:1">
      <c r="A1893" s="300" t="s">
        <v>2341</v>
      </c>
    </row>
    <row r="1895" spans="1:1">
      <c r="A1895" s="303" t="s">
        <v>2372</v>
      </c>
    </row>
    <row r="1897" spans="1:1">
      <c r="A1897" s="299" t="s">
        <v>2342</v>
      </c>
    </row>
    <row r="1899" spans="1:1">
      <c r="A1899" s="299" t="s">
        <v>2373</v>
      </c>
    </row>
    <row r="1901" spans="1:1">
      <c r="A1901" s="300" t="s">
        <v>2333</v>
      </c>
    </row>
    <row r="1902" spans="1:1">
      <c r="A1902" s="300"/>
    </row>
    <row r="1903" spans="1:1">
      <c r="A1903" s="300" t="s">
        <v>2341</v>
      </c>
    </row>
    <row r="1905" spans="1:1">
      <c r="A1905" s="303" t="s">
        <v>2372</v>
      </c>
    </row>
    <row r="1907" spans="1:1">
      <c r="A1907" s="299" t="s">
        <v>2342</v>
      </c>
    </row>
    <row r="1909" spans="1:1">
      <c r="A1909" s="299" t="s">
        <v>2373</v>
      </c>
    </row>
    <row r="1911" spans="1:1">
      <c r="A1911" s="300" t="s">
        <v>2333</v>
      </c>
    </row>
    <row r="1913" spans="1:1">
      <c r="A1913" s="303" t="s">
        <v>2374</v>
      </c>
    </row>
    <row r="1915" spans="1:1">
      <c r="A1915" s="299" t="s">
        <v>2339</v>
      </c>
    </row>
    <row r="1917" spans="1:1">
      <c r="A1917" s="299" t="s">
        <v>2375</v>
      </c>
    </row>
    <row r="1919" spans="1:1">
      <c r="A1919" s="300" t="s">
        <v>2333</v>
      </c>
    </row>
    <row r="1921" spans="1:1">
      <c r="A1921" s="303" t="s">
        <v>2376</v>
      </c>
    </row>
    <row r="1923" spans="1:1">
      <c r="A1923" s="299" t="s">
        <v>2339</v>
      </c>
    </row>
    <row r="1925" spans="1:1">
      <c r="A1925" s="299" t="s">
        <v>2375</v>
      </c>
    </row>
    <row r="1927" spans="1:1">
      <c r="A1927" s="300" t="s">
        <v>2333</v>
      </c>
    </row>
    <row r="1929" spans="1:1">
      <c r="A1929" s="303" t="s">
        <v>2377</v>
      </c>
    </row>
    <row r="1931" spans="1:1">
      <c r="A1931" s="299" t="s">
        <v>2339</v>
      </c>
    </row>
    <row r="1933" spans="1:1">
      <c r="A1933" s="299" t="s">
        <v>2375</v>
      </c>
    </row>
    <row r="1935" spans="1:1">
      <c r="A1935" s="300" t="s">
        <v>2333</v>
      </c>
    </row>
    <row r="1937" spans="1:1">
      <c r="A1937" s="303" t="s">
        <v>2378</v>
      </c>
    </row>
    <row r="1939" spans="1:1">
      <c r="A1939" s="299" t="s">
        <v>2339</v>
      </c>
    </row>
    <row r="1941" spans="1:1">
      <c r="A1941" s="299" t="s">
        <v>2375</v>
      </c>
    </row>
    <row r="1943" spans="1:1">
      <c r="A1943" s="300" t="s">
        <v>2333</v>
      </c>
    </row>
    <row r="1945" spans="1:1">
      <c r="A1945" s="303" t="s">
        <v>2379</v>
      </c>
    </row>
    <row r="1947" spans="1:1">
      <c r="A1947" s="299" t="s">
        <v>2339</v>
      </c>
    </row>
    <row r="1949" spans="1:1">
      <c r="A1949" s="299" t="s">
        <v>2375</v>
      </c>
    </row>
    <row r="1951" spans="1:1">
      <c r="A1951" s="300" t="s">
        <v>2333</v>
      </c>
    </row>
    <row r="1952" spans="1:1">
      <c r="A1952" s="300"/>
    </row>
    <row r="1953" spans="1:1">
      <c r="A1953" s="300" t="s">
        <v>2341</v>
      </c>
    </row>
    <row r="1955" spans="1:1">
      <c r="A1955" s="303" t="s">
        <v>2380</v>
      </c>
    </row>
    <row r="1957" spans="1:1">
      <c r="A1957" s="299" t="s">
        <v>2342</v>
      </c>
    </row>
    <row r="1959" spans="1:1">
      <c r="A1959" s="299" t="s">
        <v>2381</v>
      </c>
    </row>
    <row r="1961" spans="1:1">
      <c r="A1961" s="300" t="s">
        <v>2333</v>
      </c>
    </row>
    <row r="1962" spans="1:1">
      <c r="A1962" s="300"/>
    </row>
    <row r="1963" spans="1:1">
      <c r="A1963" s="300" t="s">
        <v>2341</v>
      </c>
    </row>
    <row r="1965" spans="1:1">
      <c r="A1965" s="303" t="s">
        <v>2382</v>
      </c>
    </row>
    <row r="1967" spans="1:1">
      <c r="A1967" s="299" t="s">
        <v>2342</v>
      </c>
    </row>
    <row r="1969" spans="1:1">
      <c r="A1969" s="299" t="s">
        <v>2381</v>
      </c>
    </row>
    <row r="1971" spans="1:1">
      <c r="A1971" s="300" t="s">
        <v>2333</v>
      </c>
    </row>
    <row r="1972" spans="1:1">
      <c r="A1972" s="300"/>
    </row>
    <row r="1973" spans="1:1">
      <c r="A1973" s="300" t="s">
        <v>2341</v>
      </c>
    </row>
    <row r="1975" spans="1:1">
      <c r="A1975" s="303" t="s">
        <v>2383</v>
      </c>
    </row>
    <row r="1977" spans="1:1">
      <c r="A1977" s="299" t="s">
        <v>2342</v>
      </c>
    </row>
    <row r="1979" spans="1:1">
      <c r="A1979" s="299" t="s">
        <v>2381</v>
      </c>
    </row>
    <row r="1981" spans="1:1">
      <c r="A1981" s="300" t="s">
        <v>2333</v>
      </c>
    </row>
    <row r="1982" spans="1:1">
      <c r="A1982" s="300"/>
    </row>
    <row r="1983" spans="1:1">
      <c r="A1983" s="300" t="s">
        <v>2341</v>
      </c>
    </row>
    <row r="1985" spans="1:1">
      <c r="A1985" s="303" t="s">
        <v>2384</v>
      </c>
    </row>
    <row r="1987" spans="1:1">
      <c r="A1987" s="299" t="s">
        <v>2342</v>
      </c>
    </row>
    <row r="1989" spans="1:1">
      <c r="A1989" s="299" t="s">
        <v>2381</v>
      </c>
    </row>
    <row r="1991" spans="1:1">
      <c r="A1991" s="300" t="s">
        <v>2333</v>
      </c>
    </row>
    <row r="1992" spans="1:1">
      <c r="A1992" s="300"/>
    </row>
    <row r="1993" spans="1:1">
      <c r="A1993" s="300" t="s">
        <v>2341</v>
      </c>
    </row>
    <row r="1995" spans="1:1">
      <c r="A1995" s="303" t="s">
        <v>2385</v>
      </c>
    </row>
    <row r="1997" spans="1:1">
      <c r="A1997" s="299" t="s">
        <v>2342</v>
      </c>
    </row>
    <row r="1999" spans="1:1">
      <c r="A1999" s="299" t="s">
        <v>2381</v>
      </c>
    </row>
    <row r="2001" spans="1:1">
      <c r="A2001" s="300" t="s">
        <v>2333</v>
      </c>
    </row>
    <row r="2003" spans="1:1">
      <c r="A2003" s="303" t="s">
        <v>2386</v>
      </c>
    </row>
    <row r="2005" spans="1:1">
      <c r="A2005" s="299" t="s">
        <v>2339</v>
      </c>
    </row>
    <row r="2007" spans="1:1">
      <c r="A2007" s="299" t="s">
        <v>2381</v>
      </c>
    </row>
    <row r="2009" spans="1:1">
      <c r="A2009" s="300" t="s">
        <v>2333</v>
      </c>
    </row>
    <row r="2011" spans="1:1">
      <c r="A2011" s="303" t="s">
        <v>2387</v>
      </c>
    </row>
    <row r="2013" spans="1:1">
      <c r="A2013" s="299" t="s">
        <v>2339</v>
      </c>
    </row>
    <row r="2015" spans="1:1">
      <c r="A2015" s="299" t="s">
        <v>2381</v>
      </c>
    </row>
    <row r="2017" spans="1:1">
      <c r="A2017" s="300" t="s">
        <v>2333</v>
      </c>
    </row>
    <row r="2019" spans="1:1">
      <c r="A2019" s="303" t="s">
        <v>2388</v>
      </c>
    </row>
    <row r="2021" spans="1:1">
      <c r="A2021" s="299" t="s">
        <v>2339</v>
      </c>
    </row>
    <row r="2023" spans="1:1">
      <c r="A2023" s="299" t="s">
        <v>2381</v>
      </c>
    </row>
    <row r="2025" spans="1:1">
      <c r="A2025" s="300" t="s">
        <v>2333</v>
      </c>
    </row>
    <row r="2027" spans="1:1">
      <c r="A2027" s="303" t="s">
        <v>2389</v>
      </c>
    </row>
    <row r="2029" spans="1:1">
      <c r="A2029" s="299" t="s">
        <v>2339</v>
      </c>
    </row>
    <row r="2031" spans="1:1">
      <c r="A2031" s="299" t="s">
        <v>2390</v>
      </c>
    </row>
    <row r="2033" spans="1:1">
      <c r="A2033" s="300" t="s">
        <v>2333</v>
      </c>
    </row>
    <row r="2035" spans="1:1">
      <c r="A2035" s="303" t="s">
        <v>2391</v>
      </c>
    </row>
    <row r="2037" spans="1:1">
      <c r="A2037" s="299" t="s">
        <v>2339</v>
      </c>
    </row>
    <row r="2039" spans="1:1">
      <c r="A2039" s="299" t="s">
        <v>2392</v>
      </c>
    </row>
    <row r="2041" spans="1:1">
      <c r="A2041" s="300" t="s">
        <v>2333</v>
      </c>
    </row>
    <row r="2043" spans="1:1">
      <c r="A2043" s="303" t="s">
        <v>2393</v>
      </c>
    </row>
    <row r="2045" spans="1:1">
      <c r="A2045" s="299" t="s">
        <v>2339</v>
      </c>
    </row>
    <row r="2047" spans="1:1">
      <c r="A2047" s="299" t="s">
        <v>2392</v>
      </c>
    </row>
    <row r="2049" spans="1:1">
      <c r="A2049" s="300" t="s">
        <v>2333</v>
      </c>
    </row>
    <row r="2051" spans="1:1">
      <c r="A2051" s="303" t="s">
        <v>2394</v>
      </c>
    </row>
    <row r="2053" spans="1:1">
      <c r="A2053" s="299" t="s">
        <v>2339</v>
      </c>
    </row>
    <row r="2055" spans="1:1">
      <c r="A2055" s="299" t="s">
        <v>2392</v>
      </c>
    </row>
    <row r="2057" spans="1:1">
      <c r="A2057" s="300" t="s">
        <v>2333</v>
      </c>
    </row>
    <row r="2059" spans="1:1">
      <c r="A2059" s="303" t="s">
        <v>2395</v>
      </c>
    </row>
    <row r="2061" spans="1:1">
      <c r="A2061" s="299" t="s">
        <v>2339</v>
      </c>
    </row>
    <row r="2063" spans="1:1">
      <c r="A2063" s="299" t="s">
        <v>2392</v>
      </c>
    </row>
    <row r="2065" spans="1:1">
      <c r="A2065" s="300" t="s">
        <v>2333</v>
      </c>
    </row>
    <row r="2067" spans="1:1">
      <c r="A2067" s="303" t="s">
        <v>2396</v>
      </c>
    </row>
    <row r="2069" spans="1:1">
      <c r="A2069" s="299" t="s">
        <v>2339</v>
      </c>
    </row>
    <row r="2071" spans="1:1">
      <c r="A2071" s="299" t="s">
        <v>2397</v>
      </c>
    </row>
    <row r="2073" spans="1:1">
      <c r="A2073" s="300" t="s">
        <v>2333</v>
      </c>
    </row>
    <row r="2075" spans="1:1">
      <c r="A2075" s="303" t="s">
        <v>2338</v>
      </c>
    </row>
    <row r="2077" spans="1:1">
      <c r="A2077" s="299" t="s">
        <v>2334</v>
      </c>
    </row>
    <row r="2079" spans="1:1">
      <c r="A2079" s="299" t="s">
        <v>2398</v>
      </c>
    </row>
    <row r="2081" spans="1:1">
      <c r="A2081" s="300" t="s">
        <v>2333</v>
      </c>
    </row>
    <row r="2083" spans="1:1">
      <c r="A2083" s="303" t="s">
        <v>2399</v>
      </c>
    </row>
    <row r="2085" spans="1:1">
      <c r="A2085" s="299" t="s">
        <v>2339</v>
      </c>
    </row>
    <row r="2087" spans="1:1">
      <c r="A2087" s="299" t="s">
        <v>2398</v>
      </c>
    </row>
    <row r="2089" spans="1:1">
      <c r="A2089" s="300" t="s">
        <v>2333</v>
      </c>
    </row>
    <row r="2090" spans="1:1">
      <c r="A2090" s="300"/>
    </row>
    <row r="2091" spans="1:1">
      <c r="A2091" s="300" t="s">
        <v>2341</v>
      </c>
    </row>
    <row r="2093" spans="1:1">
      <c r="A2093" s="303" t="s">
        <v>2400</v>
      </c>
    </row>
    <row r="2095" spans="1:1">
      <c r="A2095" s="299" t="s">
        <v>2342</v>
      </c>
    </row>
    <row r="2097" spans="1:1">
      <c r="A2097" s="299" t="s">
        <v>2401</v>
      </c>
    </row>
    <row r="2099" spans="1:1">
      <c r="A2099" s="300" t="s">
        <v>2333</v>
      </c>
    </row>
    <row r="2101" spans="1:1">
      <c r="A2101" s="303" t="s">
        <v>2402</v>
      </c>
    </row>
    <row r="2103" spans="1:1">
      <c r="A2103" s="299" t="s">
        <v>2339</v>
      </c>
    </row>
    <row r="2105" spans="1:1">
      <c r="A2105" s="299" t="s">
        <v>2401</v>
      </c>
    </row>
    <row r="2107" spans="1:1">
      <c r="A2107" s="300" t="s">
        <v>2333</v>
      </c>
    </row>
    <row r="2109" spans="1:1">
      <c r="A2109" s="303" t="s">
        <v>2403</v>
      </c>
    </row>
    <row r="2111" spans="1:1">
      <c r="A2111" s="299" t="s">
        <v>2339</v>
      </c>
    </row>
    <row r="2113" spans="1:1">
      <c r="A2113" s="299" t="s">
        <v>2404</v>
      </c>
    </row>
    <row r="2115" spans="1:1">
      <c r="A2115" s="300" t="s">
        <v>2333</v>
      </c>
    </row>
    <row r="2117" spans="1:1">
      <c r="A2117" s="303" t="s">
        <v>2405</v>
      </c>
    </row>
    <row r="2119" spans="1:1">
      <c r="A2119" s="299" t="s">
        <v>2339</v>
      </c>
    </row>
    <row r="2121" spans="1:1">
      <c r="A2121" s="299" t="s">
        <v>2406</v>
      </c>
    </row>
    <row r="2123" spans="1:1">
      <c r="A2123" s="300" t="s">
        <v>2333</v>
      </c>
    </row>
    <row r="2125" spans="1:1">
      <c r="A2125" s="303" t="s">
        <v>2407</v>
      </c>
    </row>
    <row r="2127" spans="1:1">
      <c r="A2127" s="299" t="s">
        <v>2334</v>
      </c>
    </row>
    <row r="2129" spans="1:1">
      <c r="A2129" s="299" t="s">
        <v>2408</v>
      </c>
    </row>
    <row r="2131" spans="1:1">
      <c r="A2131" s="300" t="s">
        <v>2333</v>
      </c>
    </row>
    <row r="2133" spans="1:1">
      <c r="A2133" s="303" t="s">
        <v>2409</v>
      </c>
    </row>
    <row r="2135" spans="1:1">
      <c r="A2135" s="299" t="s">
        <v>2334</v>
      </c>
    </row>
    <row r="2137" spans="1:1">
      <c r="A2137" s="299" t="s">
        <v>2408</v>
      </c>
    </row>
    <row r="2139" spans="1:1">
      <c r="A2139" s="300" t="s">
        <v>2333</v>
      </c>
    </row>
    <row r="2141" spans="1:1">
      <c r="A2141" s="303" t="s">
        <v>2410</v>
      </c>
    </row>
    <row r="2143" spans="1:1">
      <c r="A2143" s="299" t="s">
        <v>2334</v>
      </c>
    </row>
    <row r="2145" spans="1:1">
      <c r="A2145" s="299" t="s">
        <v>2408</v>
      </c>
    </row>
    <row r="2147" spans="1:1">
      <c r="A2147" s="300" t="s">
        <v>2333</v>
      </c>
    </row>
    <row r="2149" spans="1:1">
      <c r="A2149" s="303" t="s">
        <v>2411</v>
      </c>
    </row>
    <row r="2151" spans="1:1">
      <c r="A2151" s="299" t="s">
        <v>2339</v>
      </c>
    </row>
    <row r="2153" spans="1:1">
      <c r="A2153" s="299" t="s">
        <v>2408</v>
      </c>
    </row>
    <row r="2155" spans="1:1">
      <c r="A2155" s="300" t="s">
        <v>2333</v>
      </c>
    </row>
    <row r="2157" spans="1:1">
      <c r="A2157" s="303" t="s">
        <v>2412</v>
      </c>
    </row>
    <row r="2159" spans="1:1">
      <c r="A2159" s="299" t="s">
        <v>2339</v>
      </c>
    </row>
    <row r="2161" spans="1:1">
      <c r="A2161" s="299" t="s">
        <v>2413</v>
      </c>
    </row>
    <row r="2163" spans="1:1">
      <c r="A2163" s="300" t="s">
        <v>2333</v>
      </c>
    </row>
    <row r="2165" spans="1:1">
      <c r="A2165" s="303" t="s">
        <v>2414</v>
      </c>
    </row>
    <row r="2167" spans="1:1">
      <c r="A2167" s="299" t="s">
        <v>2339</v>
      </c>
    </row>
    <row r="2169" spans="1:1">
      <c r="A2169" s="299" t="s">
        <v>2413</v>
      </c>
    </row>
    <row r="2171" spans="1:1">
      <c r="A2171" s="300" t="s">
        <v>2333</v>
      </c>
    </row>
    <row r="2173" spans="1:1">
      <c r="A2173" s="303" t="s">
        <v>2395</v>
      </c>
    </row>
    <row r="2175" spans="1:1">
      <c r="A2175" s="299" t="s">
        <v>2339</v>
      </c>
    </row>
    <row r="2177" spans="1:1">
      <c r="A2177" s="299" t="s">
        <v>2415</v>
      </c>
    </row>
    <row r="2179" spans="1:1">
      <c r="A2179" s="300" t="s">
        <v>2333</v>
      </c>
    </row>
    <row r="2181" spans="1:1">
      <c r="A2181" s="303" t="s">
        <v>2416</v>
      </c>
    </row>
    <row r="2183" spans="1:1">
      <c r="A2183" s="299" t="s">
        <v>2339</v>
      </c>
    </row>
    <row r="2185" spans="1:1">
      <c r="A2185" s="299" t="s">
        <v>2415</v>
      </c>
    </row>
    <row r="2187" spans="1:1">
      <c r="A2187" s="300" t="s">
        <v>2333</v>
      </c>
    </row>
    <row r="2189" spans="1:1">
      <c r="A2189" s="303" t="s">
        <v>2417</v>
      </c>
    </row>
    <row r="2191" spans="1:1">
      <c r="A2191" s="299" t="s">
        <v>2339</v>
      </c>
    </row>
    <row r="2193" spans="1:1">
      <c r="A2193" s="299" t="s">
        <v>2415</v>
      </c>
    </row>
    <row r="2195" spans="1:1">
      <c r="A2195" s="300" t="s">
        <v>2333</v>
      </c>
    </row>
    <row r="2197" spans="1:1">
      <c r="A2197" s="303" t="s">
        <v>2418</v>
      </c>
    </row>
    <row r="2199" spans="1:1">
      <c r="A2199" s="299" t="s">
        <v>2339</v>
      </c>
    </row>
    <row r="2201" spans="1:1">
      <c r="A2201" s="299" t="s">
        <v>2415</v>
      </c>
    </row>
    <row r="2203" spans="1:1">
      <c r="A2203" s="300" t="s">
        <v>2333</v>
      </c>
    </row>
    <row r="2205" spans="1:1">
      <c r="A2205" s="303" t="s">
        <v>2419</v>
      </c>
    </row>
    <row r="2207" spans="1:1">
      <c r="A2207" s="299" t="s">
        <v>2339</v>
      </c>
    </row>
    <row r="2209" spans="1:1">
      <c r="A2209" s="299" t="s">
        <v>2415</v>
      </c>
    </row>
    <row r="2211" spans="1:1">
      <c r="A2211" s="300" t="s">
        <v>2333</v>
      </c>
    </row>
    <row r="2212" spans="1:1">
      <c r="A2212" s="300"/>
    </row>
    <row r="2213" spans="1:1">
      <c r="A2213" s="300" t="s">
        <v>2341</v>
      </c>
    </row>
    <row r="2215" spans="1:1">
      <c r="A2215" s="303" t="s">
        <v>2420</v>
      </c>
    </row>
    <row r="2217" spans="1:1">
      <c r="A2217" s="299" t="s">
        <v>2342</v>
      </c>
    </row>
    <row r="2219" spans="1:1">
      <c r="A2219" s="299" t="s">
        <v>2421</v>
      </c>
    </row>
    <row r="2221" spans="1:1">
      <c r="A2221" s="300" t="s">
        <v>2333</v>
      </c>
    </row>
    <row r="2222" spans="1:1">
      <c r="A2222" s="300"/>
    </row>
    <row r="2223" spans="1:1">
      <c r="A2223" s="300" t="s">
        <v>2341</v>
      </c>
    </row>
    <row r="2225" spans="1:1">
      <c r="A2225" s="303" t="s">
        <v>2422</v>
      </c>
    </row>
    <row r="2227" spans="1:1">
      <c r="A2227" s="299" t="s">
        <v>2342</v>
      </c>
    </row>
    <row r="2229" spans="1:1">
      <c r="A2229" s="299" t="s">
        <v>2423</v>
      </c>
    </row>
    <row r="2231" spans="1:1">
      <c r="A2231" s="300" t="s">
        <v>2333</v>
      </c>
    </row>
    <row r="2232" spans="1:1">
      <c r="A2232" s="300"/>
    </row>
    <row r="2233" spans="1:1">
      <c r="A2233" s="300" t="s">
        <v>2341</v>
      </c>
    </row>
    <row r="2235" spans="1:1">
      <c r="A2235" s="303" t="s">
        <v>2424</v>
      </c>
    </row>
    <row r="2237" spans="1:1">
      <c r="A2237" s="299" t="s">
        <v>2342</v>
      </c>
    </row>
    <row r="2239" spans="1:1">
      <c r="A2239" s="299" t="s">
        <v>2425</v>
      </c>
    </row>
    <row r="2241" spans="1:1">
      <c r="A2241" s="300" t="s">
        <v>2333</v>
      </c>
    </row>
    <row r="2243" spans="1:1">
      <c r="A2243" s="303" t="s">
        <v>2426</v>
      </c>
    </row>
    <row r="2245" spans="1:1">
      <c r="A2245" s="299" t="s">
        <v>2342</v>
      </c>
    </row>
    <row r="2247" spans="1:1">
      <c r="A2247" s="299" t="s">
        <v>2427</v>
      </c>
    </row>
    <row r="2249" spans="1:1">
      <c r="A2249" s="300" t="s">
        <v>2333</v>
      </c>
    </row>
    <row r="2251" spans="1:1">
      <c r="A2251" s="303" t="s">
        <v>2428</v>
      </c>
    </row>
    <row r="2253" spans="1:1">
      <c r="A2253" s="299" t="s">
        <v>2334</v>
      </c>
    </row>
    <row r="2255" spans="1:1">
      <c r="A2255" s="299" t="s">
        <v>2427</v>
      </c>
    </row>
    <row r="2257" spans="1:1">
      <c r="A2257" s="300" t="s">
        <v>2333</v>
      </c>
    </row>
    <row r="2259" spans="1:1">
      <c r="A2259" s="303" t="s">
        <v>2429</v>
      </c>
    </row>
    <row r="2261" spans="1:1">
      <c r="A2261" s="299" t="s">
        <v>2334</v>
      </c>
    </row>
    <row r="2263" spans="1:1">
      <c r="A2263" s="299" t="s">
        <v>2427</v>
      </c>
    </row>
    <row r="2265" spans="1:1">
      <c r="A2265" s="300" t="s">
        <v>2333</v>
      </c>
    </row>
    <row r="2267" spans="1:1">
      <c r="A2267" s="303" t="s">
        <v>2430</v>
      </c>
    </row>
    <row r="2269" spans="1:1">
      <c r="A2269" s="299" t="s">
        <v>2334</v>
      </c>
    </row>
    <row r="2271" spans="1:1">
      <c r="A2271" s="299" t="s">
        <v>2431</v>
      </c>
    </row>
    <row r="2273" spans="1:1">
      <c r="A2273" s="300" t="s">
        <v>2333</v>
      </c>
    </row>
    <row r="2275" spans="1:1">
      <c r="A2275" s="303" t="s">
        <v>2432</v>
      </c>
    </row>
    <row r="2277" spans="1:1">
      <c r="A2277" s="299" t="s">
        <v>2334</v>
      </c>
    </row>
    <row r="2279" spans="1:1">
      <c r="A2279" s="299" t="s">
        <v>2431</v>
      </c>
    </row>
    <row r="2281" spans="1:1">
      <c r="A2281" s="300" t="s">
        <v>2333</v>
      </c>
    </row>
    <row r="2283" spans="1:1">
      <c r="A2283" s="303" t="s">
        <v>2433</v>
      </c>
    </row>
    <row r="2285" spans="1:1">
      <c r="A2285" s="299" t="s">
        <v>2334</v>
      </c>
    </row>
    <row r="2287" spans="1:1">
      <c r="A2287" s="299" t="s">
        <v>2431</v>
      </c>
    </row>
    <row r="2289" spans="1:1">
      <c r="A2289" s="300" t="s">
        <v>2333</v>
      </c>
    </row>
    <row r="2291" spans="1:1">
      <c r="A2291" s="303" t="s">
        <v>2434</v>
      </c>
    </row>
    <row r="2293" spans="1:1">
      <c r="A2293" s="299" t="s">
        <v>2334</v>
      </c>
    </row>
    <row r="2295" spans="1:1">
      <c r="A2295" s="299" t="s">
        <v>2435</v>
      </c>
    </row>
    <row r="2297" spans="1:1">
      <c r="A2297" s="300" t="s">
        <v>2333</v>
      </c>
    </row>
    <row r="2299" spans="1:1">
      <c r="A2299" s="303" t="s">
        <v>2436</v>
      </c>
    </row>
    <row r="2301" spans="1:1">
      <c r="A2301" s="299" t="s">
        <v>2334</v>
      </c>
    </row>
    <row r="2303" spans="1:1">
      <c r="A2303" s="299" t="s">
        <v>2435</v>
      </c>
    </row>
    <row r="2305" spans="1:1">
      <c r="A2305" s="300" t="s">
        <v>2333</v>
      </c>
    </row>
    <row r="2307" spans="1:1">
      <c r="A2307" s="303" t="s">
        <v>2437</v>
      </c>
    </row>
    <row r="2309" spans="1:1">
      <c r="A2309" s="299" t="s">
        <v>2334</v>
      </c>
    </row>
    <row r="2311" spans="1:1">
      <c r="A2311" s="299" t="s">
        <v>2435</v>
      </c>
    </row>
    <row r="2313" spans="1:1">
      <c r="A2313" s="300" t="s">
        <v>2333</v>
      </c>
    </row>
    <row r="2314" spans="1:1">
      <c r="A2314" s="300"/>
    </row>
    <row r="2315" spans="1:1">
      <c r="A2315" s="300" t="s">
        <v>2341</v>
      </c>
    </row>
    <row r="2317" spans="1:1">
      <c r="A2317" s="303" t="s">
        <v>2438</v>
      </c>
    </row>
    <row r="2319" spans="1:1">
      <c r="A2319" s="299" t="s">
        <v>2342</v>
      </c>
    </row>
    <row r="2321" spans="1:1">
      <c r="A2321" s="299" t="s">
        <v>2439</v>
      </c>
    </row>
    <row r="2323" spans="1:1">
      <c r="A2323" s="300" t="s">
        <v>2333</v>
      </c>
    </row>
    <row r="2324" spans="1:1">
      <c r="A2324" s="300"/>
    </row>
    <row r="2325" spans="1:1">
      <c r="A2325" s="300" t="s">
        <v>2341</v>
      </c>
    </row>
    <row r="2327" spans="1:1">
      <c r="A2327" s="303" t="s">
        <v>2440</v>
      </c>
    </row>
    <row r="2329" spans="1:1">
      <c r="A2329" s="299" t="s">
        <v>2342</v>
      </c>
    </row>
    <row r="2331" spans="1:1">
      <c r="A2331" s="299" t="s">
        <v>2439</v>
      </c>
    </row>
    <row r="2333" spans="1:1">
      <c r="A2333" s="300" t="s">
        <v>2333</v>
      </c>
    </row>
    <row r="2334" spans="1:1">
      <c r="A2334" s="300"/>
    </row>
    <row r="2335" spans="1:1">
      <c r="A2335" s="300" t="s">
        <v>2341</v>
      </c>
    </row>
    <row r="2337" spans="1:1">
      <c r="A2337" s="303" t="s">
        <v>2441</v>
      </c>
    </row>
    <row r="2339" spans="1:1">
      <c r="A2339" s="299" t="s">
        <v>2342</v>
      </c>
    </row>
    <row r="2341" spans="1:1">
      <c r="A2341" s="299" t="s">
        <v>2439</v>
      </c>
    </row>
    <row r="2343" spans="1:1">
      <c r="A2343" s="300" t="s">
        <v>2333</v>
      </c>
    </row>
    <row r="2344" spans="1:1">
      <c r="A2344" s="300"/>
    </row>
    <row r="2345" spans="1:1">
      <c r="A2345" s="300" t="s">
        <v>2341</v>
      </c>
    </row>
    <row r="2347" spans="1:1">
      <c r="A2347" s="303" t="s">
        <v>2442</v>
      </c>
    </row>
    <row r="2349" spans="1:1">
      <c r="A2349" s="299" t="s">
        <v>2342</v>
      </c>
    </row>
    <row r="2351" spans="1:1">
      <c r="A2351" s="299" t="s">
        <v>2443</v>
      </c>
    </row>
    <row r="2353" spans="1:1">
      <c r="A2353" s="300" t="s">
        <v>2333</v>
      </c>
    </row>
    <row r="2355" spans="1:1">
      <c r="A2355" s="303" t="s">
        <v>2444</v>
      </c>
    </row>
    <row r="2357" spans="1:1">
      <c r="A2357" s="299" t="s">
        <v>2334</v>
      </c>
    </row>
    <row r="2359" spans="1:1">
      <c r="A2359" s="299" t="s">
        <v>2445</v>
      </c>
    </row>
    <row r="2361" spans="1:1">
      <c r="A2361" s="300" t="s">
        <v>2333</v>
      </c>
    </row>
    <row r="2363" spans="1:1">
      <c r="A2363" s="303" t="s">
        <v>2446</v>
      </c>
    </row>
    <row r="2365" spans="1:1">
      <c r="A2365" s="299" t="s">
        <v>2334</v>
      </c>
    </row>
    <row r="2367" spans="1:1">
      <c r="A2367" s="299" t="s">
        <v>2445</v>
      </c>
    </row>
    <row r="2369" spans="1:1">
      <c r="A2369" s="300" t="s">
        <v>2333</v>
      </c>
    </row>
    <row r="2371" spans="1:1">
      <c r="A2371" s="303" t="s">
        <v>2447</v>
      </c>
    </row>
    <row r="2373" spans="1:1">
      <c r="A2373" s="299" t="s">
        <v>2334</v>
      </c>
    </row>
    <row r="2375" spans="1:1">
      <c r="A2375" s="299" t="s">
        <v>2445</v>
      </c>
    </row>
    <row r="2377" spans="1:1">
      <c r="A2377" s="300" t="s">
        <v>2333</v>
      </c>
    </row>
    <row r="2378" spans="1:1">
      <c r="A2378" s="300"/>
    </row>
    <row r="2379" spans="1:1">
      <c r="A2379" s="300" t="s">
        <v>2341</v>
      </c>
    </row>
    <row r="2381" spans="1:1">
      <c r="A2381" s="303" t="s">
        <v>2448</v>
      </c>
    </row>
    <row r="2383" spans="1:1">
      <c r="A2383" s="299" t="s">
        <v>2342</v>
      </c>
    </row>
    <row r="2385" spans="1:1">
      <c r="A2385" s="299" t="s">
        <v>2445</v>
      </c>
    </row>
    <row r="2387" spans="1:1">
      <c r="A2387" s="300" t="s">
        <v>2333</v>
      </c>
    </row>
    <row r="2388" spans="1:1">
      <c r="A2388" s="300"/>
    </row>
    <row r="2389" spans="1:1">
      <c r="A2389" s="300" t="s">
        <v>2341</v>
      </c>
    </row>
    <row r="2391" spans="1:1">
      <c r="A2391" s="303" t="s">
        <v>2449</v>
      </c>
    </row>
    <row r="2393" spans="1:1">
      <c r="A2393" s="299" t="s">
        <v>2342</v>
      </c>
    </row>
    <row r="2395" spans="1:1">
      <c r="A2395" s="299" t="s">
        <v>2450</v>
      </c>
    </row>
    <row r="2397" spans="1:1">
      <c r="A2397" s="300" t="s">
        <v>2333</v>
      </c>
    </row>
    <row r="2399" spans="1:1">
      <c r="A2399" s="303" t="s">
        <v>2451</v>
      </c>
    </row>
    <row r="2401" spans="1:1">
      <c r="A2401" s="299" t="s">
        <v>2334</v>
      </c>
    </row>
    <row r="2403" spans="1:1">
      <c r="A2403" s="299" t="s">
        <v>2452</v>
      </c>
    </row>
    <row r="2405" spans="1:1">
      <c r="A2405" s="300" t="s">
        <v>2333</v>
      </c>
    </row>
    <row r="2407" spans="1:1">
      <c r="A2407" s="303" t="s">
        <v>2453</v>
      </c>
    </row>
    <row r="2409" spans="1:1">
      <c r="A2409" s="299" t="s">
        <v>2334</v>
      </c>
    </row>
    <row r="2411" spans="1:1">
      <c r="A2411" s="299" t="s">
        <v>2452</v>
      </c>
    </row>
    <row r="2413" spans="1:1">
      <c r="A2413" s="300" t="s">
        <v>2333</v>
      </c>
    </row>
    <row r="2415" spans="1:1">
      <c r="A2415" s="303" t="s">
        <v>2454</v>
      </c>
    </row>
    <row r="2417" spans="1:1">
      <c r="A2417" s="299" t="s">
        <v>2334</v>
      </c>
    </row>
    <row r="2419" spans="1:1">
      <c r="A2419" s="299" t="s">
        <v>2452</v>
      </c>
    </row>
    <row r="2421" spans="1:1">
      <c r="A2421" s="300" t="s">
        <v>2333</v>
      </c>
    </row>
    <row r="2423" spans="1:1">
      <c r="A2423" s="303" t="s">
        <v>2455</v>
      </c>
    </row>
    <row r="2425" spans="1:1">
      <c r="A2425" s="299" t="s">
        <v>2334</v>
      </c>
    </row>
    <row r="2427" spans="1:1">
      <c r="A2427" s="299" t="s">
        <v>2452</v>
      </c>
    </row>
    <row r="2429" spans="1:1">
      <c r="A2429" s="300" t="s">
        <v>2333</v>
      </c>
    </row>
    <row r="2430" spans="1:1">
      <c r="A2430" s="300"/>
    </row>
    <row r="2431" spans="1:1">
      <c r="A2431" s="300" t="s">
        <v>2341</v>
      </c>
    </row>
    <row r="2433" spans="1:1">
      <c r="A2433" s="303" t="s">
        <v>2366</v>
      </c>
    </row>
    <row r="2435" spans="1:1">
      <c r="A2435" s="299" t="s">
        <v>2342</v>
      </c>
    </row>
    <row r="2437" spans="1:1">
      <c r="A2437" s="299" t="s">
        <v>2452</v>
      </c>
    </row>
    <row r="2439" spans="1:1">
      <c r="A2439" s="300" t="s">
        <v>2333</v>
      </c>
    </row>
    <row r="2441" spans="1:1">
      <c r="A2441" s="303" t="s">
        <v>2456</v>
      </c>
    </row>
    <row r="2443" spans="1:1">
      <c r="A2443" s="299" t="s">
        <v>2334</v>
      </c>
    </row>
    <row r="2445" spans="1:1">
      <c r="A2445" s="299" t="s">
        <v>2452</v>
      </c>
    </row>
    <row r="2447" spans="1:1">
      <c r="A2447" s="300" t="s">
        <v>2333</v>
      </c>
    </row>
    <row r="2449" spans="1:1">
      <c r="A2449" s="303" t="s">
        <v>2457</v>
      </c>
    </row>
    <row r="2451" spans="1:1">
      <c r="A2451" s="299" t="s">
        <v>2334</v>
      </c>
    </row>
    <row r="2453" spans="1:1">
      <c r="A2453" s="299" t="s">
        <v>2452</v>
      </c>
    </row>
    <row r="2455" spans="1:1">
      <c r="A2455" s="300" t="s">
        <v>2333</v>
      </c>
    </row>
    <row r="2457" spans="1:1">
      <c r="A2457" s="303" t="s">
        <v>2458</v>
      </c>
    </row>
    <row r="2459" spans="1:1">
      <c r="A2459" s="299" t="s">
        <v>2334</v>
      </c>
    </row>
    <row r="2461" spans="1:1">
      <c r="A2461" s="299" t="s">
        <v>2452</v>
      </c>
    </row>
    <row r="2463" spans="1:1">
      <c r="A2463" s="300" t="s">
        <v>2333</v>
      </c>
    </row>
    <row r="2465" spans="1:1">
      <c r="A2465" s="303" t="s">
        <v>2459</v>
      </c>
    </row>
    <row r="2467" spans="1:1">
      <c r="A2467" s="299" t="s">
        <v>2334</v>
      </c>
    </row>
    <row r="2469" spans="1:1">
      <c r="A2469" s="299" t="s">
        <v>2452</v>
      </c>
    </row>
    <row r="2471" spans="1:1">
      <c r="A2471" s="300" t="s">
        <v>2333</v>
      </c>
    </row>
    <row r="2472" spans="1:1">
      <c r="A2472" s="300"/>
    </row>
    <row r="2473" spans="1:1">
      <c r="A2473" s="300" t="s">
        <v>2341</v>
      </c>
    </row>
    <row r="2475" spans="1:1">
      <c r="A2475" s="303" t="s">
        <v>2460</v>
      </c>
    </row>
    <row r="2477" spans="1:1">
      <c r="A2477" s="299" t="s">
        <v>2342</v>
      </c>
    </row>
    <row r="2479" spans="1:1">
      <c r="A2479" s="299" t="s">
        <v>2452</v>
      </c>
    </row>
    <row r="2481" spans="1:1">
      <c r="A2481" s="300" t="s">
        <v>2333</v>
      </c>
    </row>
    <row r="2482" spans="1:1">
      <c r="A2482" s="300"/>
    </row>
    <row r="2483" spans="1:1">
      <c r="A2483" s="300" t="s">
        <v>2341</v>
      </c>
    </row>
    <row r="2485" spans="1:1">
      <c r="A2485" s="303" t="s">
        <v>2461</v>
      </c>
    </row>
    <row r="2487" spans="1:1">
      <c r="A2487" s="299" t="s">
        <v>2342</v>
      </c>
    </row>
    <row r="2489" spans="1:1">
      <c r="A2489" s="299" t="s">
        <v>2452</v>
      </c>
    </row>
    <row r="2491" spans="1:1">
      <c r="A2491" s="300" t="s">
        <v>2333</v>
      </c>
    </row>
    <row r="2492" spans="1:1">
      <c r="A2492" s="300"/>
    </row>
    <row r="2493" spans="1:1">
      <c r="A2493" s="300" t="s">
        <v>2341</v>
      </c>
    </row>
    <row r="2495" spans="1:1">
      <c r="A2495" s="303" t="s">
        <v>2462</v>
      </c>
    </row>
    <row r="2497" spans="1:1">
      <c r="A2497" s="299" t="s">
        <v>2342</v>
      </c>
    </row>
    <row r="2499" spans="1:1">
      <c r="A2499" s="299" t="s">
        <v>2463</v>
      </c>
    </row>
    <row r="2501" spans="1:1">
      <c r="A2501" s="300" t="s">
        <v>2333</v>
      </c>
    </row>
    <row r="2502" spans="1:1">
      <c r="A2502" s="300"/>
    </row>
    <row r="2503" spans="1:1">
      <c r="A2503" s="300" t="s">
        <v>2341</v>
      </c>
    </row>
    <row r="2505" spans="1:1">
      <c r="A2505" s="303" t="s">
        <v>2462</v>
      </c>
    </row>
    <row r="2507" spans="1:1">
      <c r="A2507" s="299" t="s">
        <v>2342</v>
      </c>
    </row>
    <row r="2509" spans="1:1">
      <c r="A2509" s="299" t="s">
        <v>2463</v>
      </c>
    </row>
    <row r="2511" spans="1:1">
      <c r="A2511" s="300" t="s">
        <v>2333</v>
      </c>
    </row>
    <row r="2512" spans="1:1">
      <c r="A2512" s="300"/>
    </row>
    <row r="2513" spans="1:1">
      <c r="A2513" s="300" t="s">
        <v>2341</v>
      </c>
    </row>
    <row r="2515" spans="1:1">
      <c r="A2515" s="303" t="s">
        <v>2464</v>
      </c>
    </row>
    <row r="2517" spans="1:1">
      <c r="A2517" s="299" t="s">
        <v>2342</v>
      </c>
    </row>
    <row r="2519" spans="1:1">
      <c r="A2519" s="299" t="s">
        <v>2463</v>
      </c>
    </row>
    <row r="2521" spans="1:1">
      <c r="A2521" s="300" t="s">
        <v>2333</v>
      </c>
    </row>
    <row r="2522" spans="1:1">
      <c r="A2522" s="300"/>
    </row>
    <row r="2523" spans="1:1">
      <c r="A2523" s="300" t="s">
        <v>2341</v>
      </c>
    </row>
    <row r="2525" spans="1:1">
      <c r="A2525" s="303" t="s">
        <v>2465</v>
      </c>
    </row>
    <row r="2527" spans="1:1">
      <c r="A2527" s="299" t="s">
        <v>2342</v>
      </c>
    </row>
    <row r="2529" spans="1:1">
      <c r="A2529" s="299" t="s">
        <v>2463</v>
      </c>
    </row>
    <row r="2531" spans="1:1">
      <c r="A2531" s="300" t="s">
        <v>2333</v>
      </c>
    </row>
    <row r="2532" spans="1:1">
      <c r="A2532" s="300"/>
    </row>
    <row r="2533" spans="1:1">
      <c r="A2533" s="300" t="s">
        <v>2341</v>
      </c>
    </row>
    <row r="2535" spans="1:1">
      <c r="A2535" s="303" t="s">
        <v>2466</v>
      </c>
    </row>
    <row r="2537" spans="1:1">
      <c r="A2537" s="299" t="s">
        <v>2342</v>
      </c>
    </row>
    <row r="2539" spans="1:1">
      <c r="A2539" s="299" t="s">
        <v>2463</v>
      </c>
    </row>
    <row r="2541" spans="1:1">
      <c r="A2541" s="300" t="s">
        <v>2333</v>
      </c>
    </row>
    <row r="2542" spans="1:1">
      <c r="A2542" s="300"/>
    </row>
    <row r="2543" spans="1:1">
      <c r="A2543" s="300" t="s">
        <v>2341</v>
      </c>
    </row>
    <row r="2545" spans="1:1">
      <c r="A2545" s="303" t="s">
        <v>2467</v>
      </c>
    </row>
    <row r="2547" spans="1:1">
      <c r="A2547" s="299" t="s">
        <v>2342</v>
      </c>
    </row>
    <row r="2549" spans="1:1">
      <c r="A2549" s="299" t="s">
        <v>2463</v>
      </c>
    </row>
    <row r="2551" spans="1:1">
      <c r="A2551" s="300" t="s">
        <v>2333</v>
      </c>
    </row>
    <row r="2552" spans="1:1">
      <c r="A2552" s="300"/>
    </row>
    <row r="2553" spans="1:1">
      <c r="A2553" s="300" t="s">
        <v>2341</v>
      </c>
    </row>
    <row r="2555" spans="1:1">
      <c r="A2555" s="303" t="s">
        <v>2468</v>
      </c>
    </row>
    <row r="2557" spans="1:1">
      <c r="A2557" s="299" t="s">
        <v>2342</v>
      </c>
    </row>
    <row r="2559" spans="1:1">
      <c r="A2559" s="299" t="s">
        <v>2463</v>
      </c>
    </row>
    <row r="2561" spans="1:1">
      <c r="A2561" s="300" t="s">
        <v>2333</v>
      </c>
    </row>
    <row r="2562" spans="1:1">
      <c r="A2562" s="300"/>
    </row>
    <row r="2563" spans="1:1">
      <c r="A2563" s="300" t="s">
        <v>2341</v>
      </c>
    </row>
    <row r="2565" spans="1:1">
      <c r="A2565" s="303" t="s">
        <v>2469</v>
      </c>
    </row>
    <row r="2567" spans="1:1">
      <c r="A2567" s="299" t="s">
        <v>2342</v>
      </c>
    </row>
    <row r="2569" spans="1:1">
      <c r="A2569" s="299" t="s">
        <v>2463</v>
      </c>
    </row>
    <row r="2571" spans="1:1">
      <c r="A2571" s="300" t="s">
        <v>2333</v>
      </c>
    </row>
    <row r="2573" spans="1:1">
      <c r="A2573" s="303" t="s">
        <v>2470</v>
      </c>
    </row>
    <row r="2575" spans="1:1">
      <c r="A2575" s="299" t="s">
        <v>2342</v>
      </c>
    </row>
    <row r="2577" spans="1:1">
      <c r="A2577" s="299" t="s">
        <v>2463</v>
      </c>
    </row>
    <row r="2579" spans="1:1">
      <c r="A2579" s="300" t="s">
        <v>2333</v>
      </c>
    </row>
    <row r="2580" spans="1:1">
      <c r="A2580" s="300"/>
    </row>
    <row r="2581" spans="1:1">
      <c r="A2581" s="300" t="s">
        <v>2341</v>
      </c>
    </row>
    <row r="2583" spans="1:1">
      <c r="A2583" s="303" t="s">
        <v>2471</v>
      </c>
    </row>
    <row r="2585" spans="1:1">
      <c r="A2585" s="299" t="s">
        <v>2342</v>
      </c>
    </row>
    <row r="2587" spans="1:1">
      <c r="A2587" s="299" t="s">
        <v>2472</v>
      </c>
    </row>
    <row r="2589" spans="1:1">
      <c r="A2589" s="300" t="s">
        <v>2333</v>
      </c>
    </row>
    <row r="2590" spans="1:1">
      <c r="A2590" s="300"/>
    </row>
    <row r="2591" spans="1:1">
      <c r="A2591" s="300" t="s">
        <v>2341</v>
      </c>
    </row>
    <row r="2593" spans="1:1">
      <c r="A2593" s="303" t="s">
        <v>2473</v>
      </c>
    </row>
    <row r="2595" spans="1:1">
      <c r="A2595" s="299" t="s">
        <v>2342</v>
      </c>
    </row>
    <row r="2597" spans="1:1">
      <c r="A2597" s="299" t="s">
        <v>2472</v>
      </c>
    </row>
    <row r="2599" spans="1:1">
      <c r="A2599" s="300" t="s">
        <v>2333</v>
      </c>
    </row>
    <row r="2600" spans="1:1">
      <c r="A2600" s="300"/>
    </row>
    <row r="2601" spans="1:1">
      <c r="A2601" s="300" t="s">
        <v>2341</v>
      </c>
    </row>
    <row r="2603" spans="1:1">
      <c r="A2603" s="303" t="s">
        <v>2474</v>
      </c>
    </row>
    <row r="2605" spans="1:1">
      <c r="A2605" s="299" t="s">
        <v>2342</v>
      </c>
    </row>
    <row r="2607" spans="1:1">
      <c r="A2607" s="299" t="s">
        <v>2472</v>
      </c>
    </row>
    <row r="2609" spans="1:1">
      <c r="A2609" s="300" t="s">
        <v>2333</v>
      </c>
    </row>
    <row r="2610" spans="1:1">
      <c r="A2610" s="300"/>
    </row>
    <row r="2611" spans="1:1">
      <c r="A2611" s="300" t="s">
        <v>2341</v>
      </c>
    </row>
    <row r="2613" spans="1:1">
      <c r="A2613" s="303" t="s">
        <v>2475</v>
      </c>
    </row>
    <row r="2615" spans="1:1">
      <c r="A2615" s="299" t="s">
        <v>2342</v>
      </c>
    </row>
    <row r="2617" spans="1:1">
      <c r="A2617" s="299" t="s">
        <v>2472</v>
      </c>
    </row>
    <row r="2619" spans="1:1">
      <c r="A2619" s="300" t="s">
        <v>2333</v>
      </c>
    </row>
    <row r="2620" spans="1:1">
      <c r="A2620" s="300"/>
    </row>
    <row r="2621" spans="1:1">
      <c r="A2621" s="300" t="s">
        <v>2341</v>
      </c>
    </row>
    <row r="2623" spans="1:1">
      <c r="A2623" s="303" t="s">
        <v>2476</v>
      </c>
    </row>
    <row r="2625" spans="1:1">
      <c r="A2625" s="299" t="s">
        <v>2342</v>
      </c>
    </row>
    <row r="2627" spans="1:1">
      <c r="A2627" s="299" t="s">
        <v>2472</v>
      </c>
    </row>
    <row r="2629" spans="1:1">
      <c r="A2629" s="300" t="s">
        <v>2333</v>
      </c>
    </row>
    <row r="2630" spans="1:1">
      <c r="A2630" s="300"/>
    </row>
    <row r="2631" spans="1:1">
      <c r="A2631" s="300" t="s">
        <v>2341</v>
      </c>
    </row>
    <row r="2633" spans="1:1">
      <c r="A2633" s="303" t="s">
        <v>2477</v>
      </c>
    </row>
    <row r="2635" spans="1:1">
      <c r="A2635" s="299" t="s">
        <v>2342</v>
      </c>
    </row>
    <row r="2637" spans="1:1">
      <c r="A2637" s="299" t="s">
        <v>2472</v>
      </c>
    </row>
    <row r="2639" spans="1:1">
      <c r="A2639" s="300" t="s">
        <v>2333</v>
      </c>
    </row>
    <row r="2640" spans="1:1">
      <c r="A2640" s="300"/>
    </row>
    <row r="2641" spans="1:1">
      <c r="A2641" s="300" t="s">
        <v>2341</v>
      </c>
    </row>
    <row r="2643" spans="1:1">
      <c r="A2643" s="303" t="s">
        <v>2478</v>
      </c>
    </row>
    <row r="2645" spans="1:1">
      <c r="A2645" s="299" t="s">
        <v>2342</v>
      </c>
    </row>
    <row r="2647" spans="1:1">
      <c r="A2647" s="299" t="s">
        <v>2479</v>
      </c>
    </row>
    <row r="2649" spans="1:1">
      <c r="A2649" s="300" t="s">
        <v>2333</v>
      </c>
    </row>
    <row r="2650" spans="1:1">
      <c r="A2650" s="300"/>
    </row>
    <row r="2651" spans="1:1">
      <c r="A2651" s="300" t="s">
        <v>2341</v>
      </c>
    </row>
    <row r="2653" spans="1:1">
      <c r="A2653" s="303" t="s">
        <v>2480</v>
      </c>
    </row>
    <row r="2655" spans="1:1">
      <c r="A2655" s="299" t="s">
        <v>2342</v>
      </c>
    </row>
    <row r="2657" spans="1:1">
      <c r="A2657" s="299" t="s">
        <v>2479</v>
      </c>
    </row>
    <row r="2659" spans="1:1">
      <c r="A2659" s="300" t="s">
        <v>2333</v>
      </c>
    </row>
    <row r="2660" spans="1:1">
      <c r="A2660" s="300"/>
    </row>
    <row r="2661" spans="1:1">
      <c r="A2661" s="300" t="s">
        <v>2341</v>
      </c>
    </row>
    <row r="2663" spans="1:1">
      <c r="A2663" s="303" t="s">
        <v>2481</v>
      </c>
    </row>
    <row r="2665" spans="1:1">
      <c r="A2665" s="299" t="s">
        <v>2342</v>
      </c>
    </row>
    <row r="2667" spans="1:1">
      <c r="A2667" s="299" t="s">
        <v>2482</v>
      </c>
    </row>
    <row r="2669" spans="1:1">
      <c r="A2669" s="300" t="s">
        <v>2333</v>
      </c>
    </row>
    <row r="2670" spans="1:1">
      <c r="A2670" s="300"/>
    </row>
    <row r="2671" spans="1:1">
      <c r="A2671" s="300" t="s">
        <v>2341</v>
      </c>
    </row>
    <row r="2673" spans="1:1">
      <c r="A2673" s="303" t="s">
        <v>2483</v>
      </c>
    </row>
    <row r="2675" spans="1:1">
      <c r="A2675" s="299" t="s">
        <v>2342</v>
      </c>
    </row>
    <row r="2677" spans="1:1">
      <c r="A2677" s="299" t="s">
        <v>2482</v>
      </c>
    </row>
    <row r="2679" spans="1:1">
      <c r="A2679" s="300" t="s">
        <v>2333</v>
      </c>
    </row>
    <row r="2680" spans="1:1">
      <c r="A2680" s="300"/>
    </row>
    <row r="2681" spans="1:1">
      <c r="A2681" s="300" t="s">
        <v>2341</v>
      </c>
    </row>
    <row r="2683" spans="1:1">
      <c r="A2683" s="303" t="s">
        <v>2484</v>
      </c>
    </row>
    <row r="2685" spans="1:1">
      <c r="A2685" s="299" t="s">
        <v>2342</v>
      </c>
    </row>
    <row r="2687" spans="1:1">
      <c r="A2687" s="299" t="s">
        <v>2482</v>
      </c>
    </row>
    <row r="2689" spans="1:1">
      <c r="A2689" s="300" t="s">
        <v>2333</v>
      </c>
    </row>
    <row r="2690" spans="1:1">
      <c r="A2690" s="300"/>
    </row>
    <row r="2691" spans="1:1">
      <c r="A2691" s="300" t="s">
        <v>2341</v>
      </c>
    </row>
    <row r="2693" spans="1:1">
      <c r="A2693" s="303" t="s">
        <v>2485</v>
      </c>
    </row>
    <row r="2695" spans="1:1">
      <c r="A2695" s="299" t="s">
        <v>2342</v>
      </c>
    </row>
    <row r="2697" spans="1:1">
      <c r="A2697" s="299" t="s">
        <v>2482</v>
      </c>
    </row>
    <row r="2699" spans="1:1">
      <c r="A2699" s="300" t="s">
        <v>2333</v>
      </c>
    </row>
    <row r="2700" spans="1:1">
      <c r="A2700" s="300"/>
    </row>
    <row r="2701" spans="1:1">
      <c r="A2701" s="300" t="s">
        <v>2341</v>
      </c>
    </row>
    <row r="2703" spans="1:1">
      <c r="A2703" s="303" t="s">
        <v>2486</v>
      </c>
    </row>
    <row r="2705" spans="1:1">
      <c r="A2705" s="299" t="s">
        <v>2342</v>
      </c>
    </row>
    <row r="2707" spans="1:1">
      <c r="A2707" s="299" t="s">
        <v>2482</v>
      </c>
    </row>
    <row r="2709" spans="1:1">
      <c r="A2709" s="300" t="s">
        <v>2333</v>
      </c>
    </row>
    <row r="2710" spans="1:1">
      <c r="A2710" s="300"/>
    </row>
    <row r="2711" spans="1:1">
      <c r="A2711" s="300" t="s">
        <v>2341</v>
      </c>
    </row>
    <row r="2713" spans="1:1">
      <c r="A2713" s="303" t="s">
        <v>2487</v>
      </c>
    </row>
    <row r="2715" spans="1:1">
      <c r="A2715" s="299" t="s">
        <v>2342</v>
      </c>
    </row>
    <row r="2717" spans="1:1">
      <c r="A2717" s="299" t="s">
        <v>2482</v>
      </c>
    </row>
    <row r="2719" spans="1:1">
      <c r="A2719" s="300" t="s">
        <v>2333</v>
      </c>
    </row>
    <row r="2720" spans="1:1">
      <c r="A2720" s="300"/>
    </row>
    <row r="2721" spans="1:1">
      <c r="A2721" s="300" t="s">
        <v>2341</v>
      </c>
    </row>
    <row r="2723" spans="1:1">
      <c r="A2723" s="303" t="s">
        <v>2488</v>
      </c>
    </row>
    <row r="2725" spans="1:1">
      <c r="A2725" s="299" t="s">
        <v>2342</v>
      </c>
    </row>
    <row r="2727" spans="1:1">
      <c r="A2727" s="299" t="s">
        <v>2489</v>
      </c>
    </row>
    <row r="2729" spans="1:1">
      <c r="A2729" s="300" t="s">
        <v>2333</v>
      </c>
    </row>
    <row r="2731" spans="1:1">
      <c r="A2731" s="303" t="s">
        <v>2490</v>
      </c>
    </row>
    <row r="2733" spans="1:1">
      <c r="A2733" s="299" t="s">
        <v>2342</v>
      </c>
    </row>
    <row r="2735" spans="1:1">
      <c r="A2735" s="299" t="s">
        <v>2491</v>
      </c>
    </row>
    <row r="2737" spans="1:1">
      <c r="A2737" s="300" t="s">
        <v>2333</v>
      </c>
    </row>
    <row r="2738" spans="1:1">
      <c r="A2738" s="300"/>
    </row>
    <row r="2739" spans="1:1">
      <c r="A2739" s="300" t="s">
        <v>2341</v>
      </c>
    </row>
    <row r="2741" spans="1:1">
      <c r="A2741" s="303" t="s">
        <v>2492</v>
      </c>
    </row>
    <row r="2743" spans="1:1">
      <c r="A2743" s="299" t="s">
        <v>2342</v>
      </c>
    </row>
    <row r="2745" spans="1:1">
      <c r="A2745" s="299" t="s">
        <v>2491</v>
      </c>
    </row>
    <row r="2747" spans="1:1">
      <c r="A2747" s="300" t="s">
        <v>2333</v>
      </c>
    </row>
    <row r="2748" spans="1:1">
      <c r="A2748" s="300"/>
    </row>
    <row r="2749" spans="1:1">
      <c r="A2749" s="300" t="s">
        <v>2341</v>
      </c>
    </row>
    <row r="2751" spans="1:1">
      <c r="A2751" s="303" t="s">
        <v>2493</v>
      </c>
    </row>
    <row r="2753" spans="1:1">
      <c r="A2753" s="299" t="s">
        <v>2342</v>
      </c>
    </row>
    <row r="2755" spans="1:1">
      <c r="A2755" s="299" t="s">
        <v>2494</v>
      </c>
    </row>
    <row r="2757" spans="1:1">
      <c r="A2757" s="300" t="s">
        <v>2333</v>
      </c>
    </row>
    <row r="2758" spans="1:1">
      <c r="A2758" s="300"/>
    </row>
    <row r="2759" spans="1:1">
      <c r="A2759" s="300" t="s">
        <v>2341</v>
      </c>
    </row>
    <row r="2761" spans="1:1">
      <c r="A2761" s="303" t="s">
        <v>2495</v>
      </c>
    </row>
    <row r="2763" spans="1:1">
      <c r="A2763" s="299" t="s">
        <v>2342</v>
      </c>
    </row>
    <row r="2765" spans="1:1">
      <c r="A2765" s="299" t="s">
        <v>2494</v>
      </c>
    </row>
    <row r="2767" spans="1:1">
      <c r="A2767" s="300" t="s">
        <v>2333</v>
      </c>
    </row>
    <row r="2769" spans="1:1">
      <c r="A2769" s="303" t="s">
        <v>2496</v>
      </c>
    </row>
    <row r="2771" spans="1:1">
      <c r="A2771" s="299" t="s">
        <v>2342</v>
      </c>
    </row>
    <row r="2773" spans="1:1">
      <c r="A2773" s="299" t="s">
        <v>2497</v>
      </c>
    </row>
    <row r="2775" spans="1:1">
      <c r="A2775" s="300" t="s">
        <v>2333</v>
      </c>
    </row>
    <row r="2776" spans="1:1">
      <c r="A2776" s="300"/>
    </row>
    <row r="2777" spans="1:1">
      <c r="A2777" s="300" t="s">
        <v>2341</v>
      </c>
    </row>
    <row r="2779" spans="1:1">
      <c r="A2779" s="303" t="s">
        <v>2498</v>
      </c>
    </row>
    <row r="2781" spans="1:1">
      <c r="A2781" s="299" t="s">
        <v>2342</v>
      </c>
    </row>
    <row r="2783" spans="1:1">
      <c r="A2783" s="299" t="s">
        <v>2497</v>
      </c>
    </row>
    <row r="2785" spans="1:1">
      <c r="A2785" s="300" t="s">
        <v>2333</v>
      </c>
    </row>
    <row r="2786" spans="1:1">
      <c r="A2786" s="300"/>
    </row>
    <row r="2787" spans="1:1">
      <c r="A2787" s="300" t="s">
        <v>2341</v>
      </c>
    </row>
    <row r="2789" spans="1:1">
      <c r="A2789" s="303" t="s">
        <v>2499</v>
      </c>
    </row>
    <row r="2791" spans="1:1">
      <c r="A2791" s="299" t="s">
        <v>2342</v>
      </c>
    </row>
    <row r="2793" spans="1:1">
      <c r="A2793" s="299" t="s">
        <v>2500</v>
      </c>
    </row>
    <row r="2795" spans="1:1">
      <c r="A2795" s="300" t="s">
        <v>2333</v>
      </c>
    </row>
    <row r="2797" spans="1:1">
      <c r="A2797" s="303" t="s">
        <v>2501</v>
      </c>
    </row>
    <row r="2799" spans="1:1">
      <c r="A2799" s="299" t="s">
        <v>2342</v>
      </c>
    </row>
    <row r="2801" spans="1:1">
      <c r="A2801" s="299" t="s">
        <v>2502</v>
      </c>
    </row>
    <row r="2803" spans="1:1">
      <c r="A2803" s="300" t="s">
        <v>2333</v>
      </c>
    </row>
    <row r="2804" spans="1:1">
      <c r="A2804" s="300"/>
    </row>
    <row r="2805" spans="1:1">
      <c r="A2805" s="300" t="s">
        <v>2341</v>
      </c>
    </row>
    <row r="2807" spans="1:1">
      <c r="A2807" s="303" t="s">
        <v>2503</v>
      </c>
    </row>
    <row r="2809" spans="1:1">
      <c r="A2809" s="299" t="s">
        <v>2342</v>
      </c>
    </row>
    <row r="2811" spans="1:1">
      <c r="A2811" s="299" t="s">
        <v>2502</v>
      </c>
    </row>
    <row r="2813" spans="1:1">
      <c r="A2813" s="300" t="s">
        <v>2333</v>
      </c>
    </row>
    <row r="2814" spans="1:1">
      <c r="A2814" s="300"/>
    </row>
    <row r="2815" spans="1:1">
      <c r="A2815" s="300" t="s">
        <v>2341</v>
      </c>
    </row>
    <row r="2817" spans="1:1">
      <c r="A2817" s="303" t="s">
        <v>2504</v>
      </c>
    </row>
    <row r="2819" spans="1:1">
      <c r="A2819" s="299" t="s">
        <v>2342</v>
      </c>
    </row>
    <row r="2821" spans="1:1">
      <c r="A2821" s="299" t="s">
        <v>2502</v>
      </c>
    </row>
    <row r="2823" spans="1:1">
      <c r="A2823" s="300" t="s">
        <v>2333</v>
      </c>
    </row>
    <row r="2824" spans="1:1">
      <c r="A2824" s="300"/>
    </row>
    <row r="2825" spans="1:1">
      <c r="A2825" s="300" t="s">
        <v>2341</v>
      </c>
    </row>
    <row r="2827" spans="1:1">
      <c r="A2827" s="303" t="s">
        <v>2505</v>
      </c>
    </row>
    <row r="2829" spans="1:1">
      <c r="A2829" s="299" t="s">
        <v>2342</v>
      </c>
    </row>
    <row r="2831" spans="1:1">
      <c r="A2831" s="299" t="s">
        <v>2502</v>
      </c>
    </row>
    <row r="2833" spans="1:1">
      <c r="A2833" s="300" t="s">
        <v>2333</v>
      </c>
    </row>
    <row r="2834" spans="1:1">
      <c r="A2834" s="300"/>
    </row>
    <row r="2835" spans="1:1">
      <c r="A2835" s="300" t="s">
        <v>2341</v>
      </c>
    </row>
    <row r="2837" spans="1:1">
      <c r="A2837" s="303" t="s">
        <v>2506</v>
      </c>
    </row>
    <row r="2839" spans="1:1">
      <c r="A2839" s="299" t="s">
        <v>2342</v>
      </c>
    </row>
    <row r="2841" spans="1:1">
      <c r="A2841" s="299" t="s">
        <v>2502</v>
      </c>
    </row>
    <row r="2843" spans="1:1">
      <c r="A2843" s="300" t="s">
        <v>2333</v>
      </c>
    </row>
    <row r="2844" spans="1:1">
      <c r="A2844" s="300"/>
    </row>
    <row r="2845" spans="1:1">
      <c r="A2845" s="300" t="s">
        <v>2341</v>
      </c>
    </row>
    <row r="2847" spans="1:1">
      <c r="A2847" s="303" t="s">
        <v>2507</v>
      </c>
    </row>
    <row r="2849" spans="1:1">
      <c r="A2849" s="299" t="s">
        <v>2342</v>
      </c>
    </row>
    <row r="2851" spans="1:1">
      <c r="A2851" s="299" t="s">
        <v>2502</v>
      </c>
    </row>
    <row r="2853" spans="1:1">
      <c r="A2853" s="300" t="s">
        <v>2333</v>
      </c>
    </row>
    <row r="2854" spans="1:1">
      <c r="A2854" s="300"/>
    </row>
    <row r="2855" spans="1:1">
      <c r="A2855" s="300" t="s">
        <v>2341</v>
      </c>
    </row>
    <row r="2857" spans="1:1">
      <c r="A2857" s="303" t="s">
        <v>2508</v>
      </c>
    </row>
    <row r="2859" spans="1:1">
      <c r="A2859" s="299" t="s">
        <v>2342</v>
      </c>
    </row>
    <row r="2861" spans="1:1">
      <c r="A2861" s="299" t="s">
        <v>2502</v>
      </c>
    </row>
    <row r="2863" spans="1:1">
      <c r="A2863" s="300" t="s">
        <v>2333</v>
      </c>
    </row>
    <row r="2864" spans="1:1">
      <c r="A2864" s="300"/>
    </row>
    <row r="2865" spans="1:1">
      <c r="A2865" s="300" t="s">
        <v>2341</v>
      </c>
    </row>
    <row r="2867" spans="1:1">
      <c r="A2867" s="303" t="s">
        <v>2476</v>
      </c>
    </row>
    <row r="2869" spans="1:1">
      <c r="A2869" s="299" t="s">
        <v>2342</v>
      </c>
    </row>
    <row r="2871" spans="1:1">
      <c r="A2871" s="299" t="s">
        <v>2502</v>
      </c>
    </row>
    <row r="2873" spans="1:1">
      <c r="A2873" s="300" t="s">
        <v>2333</v>
      </c>
    </row>
    <row r="2874" spans="1:1">
      <c r="A2874" s="300"/>
    </row>
    <row r="2875" spans="1:1">
      <c r="A2875" s="300" t="s">
        <v>2341</v>
      </c>
    </row>
    <row r="2877" spans="1:1">
      <c r="A2877" s="303" t="s">
        <v>2509</v>
      </c>
    </row>
    <row r="2879" spans="1:1">
      <c r="A2879" s="299" t="s">
        <v>2342</v>
      </c>
    </row>
    <row r="2881" spans="1:1">
      <c r="A2881" s="299" t="s">
        <v>2502</v>
      </c>
    </row>
    <row r="2883" spans="1:1">
      <c r="A2883" s="300" t="s">
        <v>2333</v>
      </c>
    </row>
    <row r="2884" spans="1:1">
      <c r="A2884" s="300"/>
    </row>
    <row r="2885" spans="1:1">
      <c r="A2885" s="300" t="s">
        <v>2341</v>
      </c>
    </row>
    <row r="2887" spans="1:1">
      <c r="A2887" s="303" t="s">
        <v>2510</v>
      </c>
    </row>
    <row r="2889" spans="1:1">
      <c r="A2889" s="299" t="s">
        <v>2342</v>
      </c>
    </row>
    <row r="2891" spans="1:1">
      <c r="A2891" s="299" t="s">
        <v>2511</v>
      </c>
    </row>
    <row r="2893" spans="1:1">
      <c r="A2893" s="300" t="s">
        <v>2333</v>
      </c>
    </row>
    <row r="2894" spans="1:1">
      <c r="A2894" s="300"/>
    </row>
    <row r="2895" spans="1:1">
      <c r="A2895" s="300" t="s">
        <v>2341</v>
      </c>
    </row>
    <row r="2897" spans="1:1">
      <c r="A2897" s="303" t="s">
        <v>2512</v>
      </c>
    </row>
    <row r="2899" spans="1:1">
      <c r="A2899" s="299" t="s">
        <v>2342</v>
      </c>
    </row>
    <row r="2901" spans="1:1">
      <c r="A2901" s="299" t="s">
        <v>2511</v>
      </c>
    </row>
    <row r="2903" spans="1:1">
      <c r="A2903" s="300" t="s">
        <v>2333</v>
      </c>
    </row>
    <row r="2904" spans="1:1">
      <c r="A2904" s="300"/>
    </row>
    <row r="2905" spans="1:1">
      <c r="A2905" s="300" t="s">
        <v>2341</v>
      </c>
    </row>
    <row r="2907" spans="1:1">
      <c r="A2907" s="303" t="s">
        <v>2503</v>
      </c>
    </row>
    <row r="2909" spans="1:1">
      <c r="A2909" s="299" t="s">
        <v>2342</v>
      </c>
    </row>
    <row r="2911" spans="1:1">
      <c r="A2911" s="299" t="s">
        <v>2513</v>
      </c>
    </row>
    <row r="2913" spans="1:1">
      <c r="A2913" s="300" t="s">
        <v>2333</v>
      </c>
    </row>
    <row r="2914" spans="1:1">
      <c r="A2914" s="300"/>
    </row>
    <row r="2915" spans="1:1">
      <c r="A2915" s="300" t="s">
        <v>2341</v>
      </c>
    </row>
    <row r="2917" spans="1:1">
      <c r="A2917" s="303" t="s">
        <v>2471</v>
      </c>
    </row>
    <row r="2919" spans="1:1">
      <c r="A2919" s="299" t="s">
        <v>2342</v>
      </c>
    </row>
    <row r="2921" spans="1:1">
      <c r="A2921" s="299" t="s">
        <v>2513</v>
      </c>
    </row>
    <row r="2923" spans="1:1">
      <c r="A2923" s="300" t="s">
        <v>2333</v>
      </c>
    </row>
    <row r="2924" spans="1:1">
      <c r="A2924" s="300"/>
    </row>
    <row r="2925" spans="1:1">
      <c r="A2925" s="300" t="s">
        <v>2341</v>
      </c>
    </row>
    <row r="2927" spans="1:1">
      <c r="A2927" s="303" t="s">
        <v>2514</v>
      </c>
    </row>
    <row r="2929" spans="1:1">
      <c r="A2929" s="299" t="s">
        <v>2342</v>
      </c>
    </row>
    <row r="2931" spans="1:1">
      <c r="A2931" s="299" t="s">
        <v>2513</v>
      </c>
    </row>
    <row r="2933" spans="1:1">
      <c r="A2933" s="300" t="s">
        <v>2333</v>
      </c>
    </row>
    <row r="2934" spans="1:1">
      <c r="A2934" s="300"/>
    </row>
    <row r="2935" spans="1:1">
      <c r="A2935" s="300" t="s">
        <v>2341</v>
      </c>
    </row>
    <row r="2937" spans="1:1">
      <c r="A2937" s="303" t="s">
        <v>2515</v>
      </c>
    </row>
    <row r="2939" spans="1:1">
      <c r="A2939" s="299" t="s">
        <v>2342</v>
      </c>
    </row>
    <row r="2941" spans="1:1">
      <c r="A2941" s="299" t="s">
        <v>2516</v>
      </c>
    </row>
    <row r="2943" spans="1:1">
      <c r="A2943" s="300" t="s">
        <v>2333</v>
      </c>
    </row>
    <row r="2945" spans="1:1">
      <c r="A2945" s="303" t="s">
        <v>2517</v>
      </c>
    </row>
    <row r="2947" spans="1:1">
      <c r="A2947" s="299" t="s">
        <v>2342</v>
      </c>
    </row>
    <row r="2949" spans="1:1">
      <c r="A2949" s="299" t="s">
        <v>2516</v>
      </c>
    </row>
    <row r="2951" spans="1:1">
      <c r="A2951" s="300" t="s">
        <v>2333</v>
      </c>
    </row>
    <row r="2953" spans="1:1">
      <c r="A2953" s="303" t="s">
        <v>2518</v>
      </c>
    </row>
    <row r="2955" spans="1:1">
      <c r="A2955" s="299" t="s">
        <v>2334</v>
      </c>
    </row>
    <row r="2957" spans="1:1">
      <c r="A2957" s="299" t="s">
        <v>2519</v>
      </c>
    </row>
    <row r="2959" spans="1:1">
      <c r="A2959" s="300" t="s">
        <v>2333</v>
      </c>
    </row>
    <row r="2961" spans="1:1">
      <c r="A2961" s="303" t="s">
        <v>2458</v>
      </c>
    </row>
    <row r="2963" spans="1:1">
      <c r="A2963" s="299" t="s">
        <v>2334</v>
      </c>
    </row>
    <row r="2965" spans="1:1">
      <c r="A2965" s="299" t="s">
        <v>2519</v>
      </c>
    </row>
    <row r="2967" spans="1:1">
      <c r="A2967" s="300" t="s">
        <v>2333</v>
      </c>
    </row>
    <row r="2969" spans="1:1">
      <c r="A2969" s="303" t="s">
        <v>2430</v>
      </c>
    </row>
    <row r="2971" spans="1:1">
      <c r="A2971" s="299" t="s">
        <v>2334</v>
      </c>
    </row>
    <row r="2973" spans="1:1">
      <c r="A2973" s="299" t="s">
        <v>2520</v>
      </c>
    </row>
    <row r="2975" spans="1:1">
      <c r="A2975" s="300" t="s">
        <v>2333</v>
      </c>
    </row>
    <row r="2977" spans="1:1">
      <c r="A2977" s="303" t="s">
        <v>2518</v>
      </c>
    </row>
    <row r="2979" spans="1:1">
      <c r="A2979" s="299" t="s">
        <v>2334</v>
      </c>
    </row>
    <row r="2981" spans="1:1">
      <c r="A2981" s="299" t="s">
        <v>2520</v>
      </c>
    </row>
    <row r="2983" spans="1:1">
      <c r="A2983" s="300" t="s">
        <v>2333</v>
      </c>
    </row>
    <row r="2985" spans="1:1">
      <c r="A2985" s="303" t="s">
        <v>2521</v>
      </c>
    </row>
    <row r="2987" spans="1:1">
      <c r="A2987" s="299" t="s">
        <v>2334</v>
      </c>
    </row>
    <row r="2989" spans="1:1">
      <c r="A2989" s="299" t="s">
        <v>2522</v>
      </c>
    </row>
    <row r="2991" spans="1:1">
      <c r="A2991" s="300" t="s">
        <v>2333</v>
      </c>
    </row>
    <row r="2993" spans="1:1">
      <c r="A2993" s="303" t="s">
        <v>2353</v>
      </c>
    </row>
    <row r="2995" spans="1:1">
      <c r="A2995" s="299" t="s">
        <v>2334</v>
      </c>
    </row>
    <row r="2997" spans="1:1">
      <c r="A2997" s="299" t="s">
        <v>2523</v>
      </c>
    </row>
    <row r="2999" spans="1:1">
      <c r="A2999" s="300" t="s">
        <v>2333</v>
      </c>
    </row>
    <row r="3001" spans="1:1">
      <c r="A3001" s="303" t="s">
        <v>2524</v>
      </c>
    </row>
  </sheetData>
  <phoneticPr fontId="3"/>
  <pageMargins left="0.7" right="0.7" top="0.75" bottom="0.75" header="0.3" footer="0.3"/>
  <pageSetup paperSize="9" orientation="portrait" horizontalDpi="1200" verticalDpi="1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750499-572E-4869-AEF3-58C30457CBF3}">
  <sheetPr codeName="TypeE"/>
  <dimension ref="A1:D1357"/>
  <sheetViews>
    <sheetView workbookViewId="0">
      <selection activeCell="D6" sqref="D6:D8"/>
    </sheetView>
  </sheetViews>
  <sheetFormatPr defaultRowHeight="14.25"/>
  <cols>
    <col min="2" max="2" width="11.25" customWidth="1"/>
    <col min="3" max="3" width="66.625" customWidth="1"/>
  </cols>
  <sheetData>
    <row r="1" spans="1:4">
      <c r="A1" s="305" t="s">
        <v>2525</v>
      </c>
      <c r="B1" s="306">
        <v>44318</v>
      </c>
      <c r="C1" s="275" t="s">
        <v>3328</v>
      </c>
      <c r="D1" s="305"/>
    </row>
    <row r="2" spans="1:4" ht="28.5">
      <c r="A2" s="305"/>
      <c r="B2" s="306"/>
      <c r="C2" s="296" t="s">
        <v>3329</v>
      </c>
      <c r="D2" s="305"/>
    </row>
    <row r="3" spans="1:4">
      <c r="A3" s="305"/>
      <c r="B3" s="306"/>
      <c r="C3" s="296"/>
      <c r="D3" s="305"/>
    </row>
    <row r="4" spans="1:4">
      <c r="A4" s="305"/>
      <c r="B4" s="306"/>
      <c r="C4" s="276" t="s">
        <v>2534</v>
      </c>
      <c r="D4" s="305"/>
    </row>
    <row r="5" spans="1:4">
      <c r="A5" s="305"/>
      <c r="B5" s="306"/>
      <c r="C5" s="296"/>
      <c r="D5" s="305"/>
    </row>
    <row r="6" spans="1:4">
      <c r="A6" s="305" t="s">
        <v>2525</v>
      </c>
      <c r="B6" s="306">
        <v>44318</v>
      </c>
      <c r="C6" s="275" t="s">
        <v>3330</v>
      </c>
      <c r="D6" s="305"/>
    </row>
    <row r="7" spans="1:4" ht="28.5">
      <c r="A7" s="305"/>
      <c r="B7" s="306"/>
      <c r="C7" s="296" t="s">
        <v>3331</v>
      </c>
      <c r="D7" s="305"/>
    </row>
    <row r="8" spans="1:4">
      <c r="A8" s="305"/>
      <c r="B8" s="306"/>
      <c r="C8" s="296"/>
      <c r="D8" s="305"/>
    </row>
    <row r="9" spans="1:4">
      <c r="A9" s="305"/>
      <c r="B9" s="306">
        <v>44316</v>
      </c>
      <c r="C9" s="275" t="s">
        <v>3332</v>
      </c>
      <c r="D9" s="305"/>
    </row>
    <row r="10" spans="1:4" ht="28.5">
      <c r="A10" s="305"/>
      <c r="B10" s="306"/>
      <c r="C10" s="296" t="s">
        <v>3333</v>
      </c>
      <c r="D10" s="305"/>
    </row>
    <row r="11" spans="1:4">
      <c r="A11" s="305"/>
      <c r="B11" s="306"/>
      <c r="C11" s="296"/>
      <c r="D11" s="305"/>
    </row>
    <row r="12" spans="1:4">
      <c r="A12" s="305" t="s">
        <v>2525</v>
      </c>
      <c r="B12" s="306">
        <v>44314</v>
      </c>
      <c r="C12" s="275" t="s">
        <v>2772</v>
      </c>
      <c r="D12" s="305"/>
    </row>
    <row r="13" spans="1:4" ht="28.5">
      <c r="A13" s="305"/>
      <c r="B13" s="306"/>
      <c r="C13" s="296" t="s">
        <v>3334</v>
      </c>
      <c r="D13" s="305"/>
    </row>
    <row r="14" spans="1:4">
      <c r="A14" s="305"/>
      <c r="B14" s="306"/>
      <c r="C14" s="296"/>
      <c r="D14" s="305"/>
    </row>
    <row r="15" spans="1:4" ht="28.5">
      <c r="A15" s="305" t="s">
        <v>2525</v>
      </c>
      <c r="B15" s="306">
        <v>44314</v>
      </c>
      <c r="C15" s="275" t="s">
        <v>3335</v>
      </c>
      <c r="D15" s="305"/>
    </row>
    <row r="16" spans="1:4" ht="28.5">
      <c r="A16" s="305"/>
      <c r="B16" s="306"/>
      <c r="C16" s="296" t="s">
        <v>2553</v>
      </c>
      <c r="D16" s="305"/>
    </row>
    <row r="17" spans="1:4">
      <c r="A17" s="305"/>
      <c r="B17" s="306"/>
      <c r="C17" s="296"/>
      <c r="D17" s="305"/>
    </row>
    <row r="18" spans="1:4">
      <c r="A18" s="305"/>
      <c r="B18" s="306"/>
      <c r="C18" s="276" t="s">
        <v>2534</v>
      </c>
      <c r="D18" s="305"/>
    </row>
    <row r="19" spans="1:4">
      <c r="A19" s="305"/>
      <c r="B19" s="306"/>
      <c r="C19" s="296"/>
      <c r="D19" s="305"/>
    </row>
    <row r="20" spans="1:4">
      <c r="A20" s="305" t="s">
        <v>2525</v>
      </c>
      <c r="B20" s="306">
        <v>44314</v>
      </c>
      <c r="C20" s="275" t="s">
        <v>2659</v>
      </c>
      <c r="D20" s="305"/>
    </row>
    <row r="21" spans="1:4" ht="28.5">
      <c r="A21" s="305"/>
      <c r="B21" s="306"/>
      <c r="C21" s="296" t="s">
        <v>2698</v>
      </c>
      <c r="D21" s="305"/>
    </row>
    <row r="22" spans="1:4">
      <c r="A22" s="305"/>
      <c r="B22" s="306"/>
      <c r="C22" s="296"/>
      <c r="D22" s="305"/>
    </row>
    <row r="23" spans="1:4">
      <c r="A23" s="305"/>
      <c r="B23" s="306">
        <v>44312</v>
      </c>
      <c r="C23" s="275" t="s">
        <v>3336</v>
      </c>
      <c r="D23" s="305"/>
    </row>
    <row r="24" spans="1:4" ht="28.5">
      <c r="A24" s="305"/>
      <c r="B24" s="306"/>
      <c r="C24" s="296" t="s">
        <v>3337</v>
      </c>
      <c r="D24" s="305"/>
    </row>
    <row r="25" spans="1:4">
      <c r="A25" s="305"/>
      <c r="B25" s="306"/>
      <c r="C25" s="296"/>
      <c r="D25" s="305"/>
    </row>
    <row r="26" spans="1:4">
      <c r="A26" s="305" t="s">
        <v>2525</v>
      </c>
      <c r="B26" s="306">
        <v>44312</v>
      </c>
      <c r="C26" s="275" t="s">
        <v>3338</v>
      </c>
      <c r="D26" s="305"/>
    </row>
    <row r="27" spans="1:4" ht="28.5">
      <c r="A27" s="305"/>
      <c r="B27" s="306"/>
      <c r="C27" s="296" t="s">
        <v>3339</v>
      </c>
      <c r="D27" s="305"/>
    </row>
    <row r="28" spans="1:4">
      <c r="A28" s="305"/>
      <c r="B28" s="306"/>
      <c r="C28" s="296"/>
      <c r="D28" s="305"/>
    </row>
    <row r="29" spans="1:4">
      <c r="A29" s="305"/>
      <c r="B29" s="306">
        <v>44312</v>
      </c>
      <c r="C29" s="275" t="s">
        <v>3340</v>
      </c>
      <c r="D29" s="305"/>
    </row>
    <row r="30" spans="1:4" ht="28.5">
      <c r="A30" s="305"/>
      <c r="B30" s="306"/>
      <c r="C30" s="296" t="s">
        <v>3341</v>
      </c>
      <c r="D30" s="305"/>
    </row>
    <row r="31" spans="1:4">
      <c r="A31" s="305"/>
      <c r="B31" s="306"/>
      <c r="C31" s="296"/>
      <c r="D31" s="305"/>
    </row>
    <row r="32" spans="1:4">
      <c r="A32" s="305"/>
      <c r="B32" s="306"/>
      <c r="C32" s="276" t="s">
        <v>2534</v>
      </c>
      <c r="D32" s="305"/>
    </row>
    <row r="33" spans="1:4">
      <c r="A33" s="305"/>
      <c r="B33" s="306"/>
      <c r="C33" s="296"/>
      <c r="D33" s="305"/>
    </row>
    <row r="34" spans="1:4">
      <c r="A34" s="305" t="s">
        <v>2525</v>
      </c>
      <c r="B34" s="306">
        <v>44312</v>
      </c>
      <c r="C34" s="275" t="s">
        <v>3342</v>
      </c>
      <c r="D34" s="305"/>
    </row>
    <row r="35" spans="1:4" ht="28.5">
      <c r="A35" s="305"/>
      <c r="B35" s="306"/>
      <c r="C35" s="296" t="s">
        <v>3343</v>
      </c>
      <c r="D35" s="305"/>
    </row>
    <row r="36" spans="1:4">
      <c r="A36" s="305"/>
      <c r="B36" s="306"/>
      <c r="C36" s="296"/>
      <c r="D36" s="305"/>
    </row>
    <row r="37" spans="1:4">
      <c r="A37" s="305"/>
      <c r="B37" s="306"/>
      <c r="C37" s="276" t="s">
        <v>2534</v>
      </c>
      <c r="D37" s="305"/>
    </row>
    <row r="38" spans="1:4">
      <c r="A38" s="305"/>
      <c r="B38" s="306"/>
      <c r="C38" s="296"/>
      <c r="D38" s="305"/>
    </row>
    <row r="39" spans="1:4">
      <c r="A39" s="305"/>
      <c r="B39" s="306">
        <v>44312</v>
      </c>
      <c r="C39" s="275" t="s">
        <v>3344</v>
      </c>
      <c r="D39" s="305"/>
    </row>
    <row r="40" spans="1:4" ht="28.5">
      <c r="A40" s="305"/>
      <c r="B40" s="306"/>
      <c r="C40" s="296" t="s">
        <v>3345</v>
      </c>
      <c r="D40" s="305"/>
    </row>
    <row r="41" spans="1:4">
      <c r="A41" s="305"/>
      <c r="B41" s="306"/>
      <c r="C41" s="296"/>
      <c r="D41" s="305"/>
    </row>
    <row r="42" spans="1:4">
      <c r="A42" s="305" t="s">
        <v>2525</v>
      </c>
      <c r="B42" s="306">
        <v>44308</v>
      </c>
      <c r="C42" s="275" t="s">
        <v>3346</v>
      </c>
      <c r="D42" s="305"/>
    </row>
    <row r="43" spans="1:4" ht="28.5">
      <c r="A43" s="305"/>
      <c r="B43" s="306"/>
      <c r="C43" s="296" t="s">
        <v>3347</v>
      </c>
      <c r="D43" s="305"/>
    </row>
    <row r="44" spans="1:4">
      <c r="A44" s="305"/>
      <c r="B44" s="306"/>
      <c r="C44" s="296"/>
      <c r="D44" s="305"/>
    </row>
    <row r="45" spans="1:4">
      <c r="A45" s="305" t="s">
        <v>2525</v>
      </c>
      <c r="B45" s="306">
        <v>44307</v>
      </c>
      <c r="C45" s="275" t="s">
        <v>2572</v>
      </c>
      <c r="D45" s="305"/>
    </row>
    <row r="46" spans="1:4" ht="28.5">
      <c r="A46" s="305"/>
      <c r="B46" s="306"/>
      <c r="C46" s="296" t="s">
        <v>3348</v>
      </c>
      <c r="D46" s="305"/>
    </row>
    <row r="47" spans="1:4">
      <c r="A47" s="305"/>
      <c r="B47" s="306"/>
      <c r="C47" s="296"/>
      <c r="D47" s="305"/>
    </row>
    <row r="48" spans="1:4">
      <c r="A48" s="305"/>
      <c r="B48" s="306">
        <v>44307</v>
      </c>
      <c r="C48" s="275" t="s">
        <v>3349</v>
      </c>
      <c r="D48" s="305"/>
    </row>
    <row r="49" spans="1:4" ht="28.5">
      <c r="A49" s="305"/>
      <c r="B49" s="306"/>
      <c r="C49" s="296" t="s">
        <v>3350</v>
      </c>
      <c r="D49" s="305"/>
    </row>
    <row r="50" spans="1:4">
      <c r="A50" s="305"/>
      <c r="B50" s="306"/>
      <c r="C50" s="296"/>
      <c r="D50" s="305"/>
    </row>
    <row r="51" spans="1:4">
      <c r="A51" s="305" t="s">
        <v>2525</v>
      </c>
      <c r="B51" s="306">
        <v>44305</v>
      </c>
      <c r="C51" s="275" t="s">
        <v>3351</v>
      </c>
      <c r="D51" s="305"/>
    </row>
    <row r="52" spans="1:4" ht="28.5">
      <c r="A52" s="305"/>
      <c r="B52" s="306"/>
      <c r="C52" s="296" t="s">
        <v>3352</v>
      </c>
      <c r="D52" s="305"/>
    </row>
    <row r="53" spans="1:4">
      <c r="A53" s="305"/>
      <c r="B53" s="306"/>
      <c r="C53" s="296"/>
      <c r="D53" s="305"/>
    </row>
    <row r="54" spans="1:4">
      <c r="A54" s="305" t="s">
        <v>2525</v>
      </c>
      <c r="B54" s="306">
        <v>44305</v>
      </c>
      <c r="C54" s="275" t="s">
        <v>3353</v>
      </c>
      <c r="D54" s="305"/>
    </row>
    <row r="55" spans="1:4" ht="28.5">
      <c r="A55" s="305"/>
      <c r="B55" s="306"/>
      <c r="C55" s="296" t="s">
        <v>3354</v>
      </c>
      <c r="D55" s="305"/>
    </row>
    <row r="56" spans="1:4">
      <c r="A56" s="305"/>
      <c r="B56" s="306"/>
      <c r="C56" s="296"/>
      <c r="D56" s="305"/>
    </row>
    <row r="57" spans="1:4">
      <c r="A57" s="305"/>
      <c r="B57" s="306"/>
      <c r="C57" s="276" t="s">
        <v>2534</v>
      </c>
      <c r="D57" s="305"/>
    </row>
    <row r="58" spans="1:4">
      <c r="A58" s="305"/>
      <c r="B58" s="306"/>
      <c r="C58" s="296"/>
      <c r="D58" s="305"/>
    </row>
    <row r="59" spans="1:4">
      <c r="A59" s="305" t="s">
        <v>2525</v>
      </c>
      <c r="B59" s="306">
        <v>44305</v>
      </c>
      <c r="C59" s="275" t="s">
        <v>2644</v>
      </c>
      <c r="D59" s="305"/>
    </row>
    <row r="60" spans="1:4" ht="28.5">
      <c r="A60" s="305"/>
      <c r="B60" s="306"/>
      <c r="C60" s="296" t="s">
        <v>2645</v>
      </c>
      <c r="D60" s="305"/>
    </row>
    <row r="61" spans="1:4">
      <c r="A61" s="305"/>
      <c r="B61" s="306"/>
      <c r="C61" s="296"/>
      <c r="D61" s="305"/>
    </row>
    <row r="62" spans="1:4">
      <c r="A62" s="305" t="s">
        <v>2525</v>
      </c>
      <c r="B62" s="306">
        <v>44305</v>
      </c>
      <c r="C62" s="275" t="s">
        <v>3355</v>
      </c>
      <c r="D62" s="305"/>
    </row>
    <row r="63" spans="1:4" ht="28.5">
      <c r="A63" s="305"/>
      <c r="B63" s="306"/>
      <c r="C63" s="296" t="s">
        <v>3356</v>
      </c>
      <c r="D63" s="305"/>
    </row>
    <row r="64" spans="1:4">
      <c r="A64" s="305"/>
      <c r="B64" s="306"/>
      <c r="C64" s="296"/>
      <c r="D64" s="305"/>
    </row>
    <row r="65" spans="1:4">
      <c r="A65" s="305"/>
      <c r="B65" s="306">
        <v>44305</v>
      </c>
      <c r="C65" s="275" t="s">
        <v>2619</v>
      </c>
      <c r="D65" s="305"/>
    </row>
    <row r="66" spans="1:4" ht="28.5">
      <c r="A66" s="305"/>
      <c r="B66" s="306"/>
      <c r="C66" s="296" t="s">
        <v>3357</v>
      </c>
      <c r="D66" s="305"/>
    </row>
    <row r="67" spans="1:4">
      <c r="A67" s="305"/>
      <c r="B67" s="306"/>
      <c r="C67" s="296"/>
      <c r="D67" s="305"/>
    </row>
    <row r="68" spans="1:4">
      <c r="A68" s="305" t="s">
        <v>2525</v>
      </c>
      <c r="B68" s="306">
        <v>44305</v>
      </c>
      <c r="C68" s="275" t="s">
        <v>3342</v>
      </c>
      <c r="D68" s="305"/>
    </row>
    <row r="69" spans="1:4" ht="28.5">
      <c r="A69" s="305"/>
      <c r="B69" s="306"/>
      <c r="C69" s="296" t="s">
        <v>3343</v>
      </c>
      <c r="D69" s="305"/>
    </row>
    <row r="70" spans="1:4">
      <c r="A70" s="305"/>
      <c r="B70" s="306"/>
      <c r="C70" s="296"/>
      <c r="D70" s="305"/>
    </row>
    <row r="71" spans="1:4">
      <c r="A71" s="305"/>
      <c r="B71" s="306"/>
      <c r="C71" s="276" t="s">
        <v>2534</v>
      </c>
      <c r="D71" s="305"/>
    </row>
    <row r="72" spans="1:4">
      <c r="A72" s="305"/>
      <c r="B72" s="306"/>
      <c r="C72" s="296"/>
      <c r="D72" s="305"/>
    </row>
    <row r="73" spans="1:4">
      <c r="A73" s="305"/>
      <c r="B73" s="306">
        <v>44305</v>
      </c>
      <c r="C73" s="275" t="s">
        <v>2595</v>
      </c>
      <c r="D73" s="305"/>
    </row>
    <row r="74" spans="1:4">
      <c r="A74" s="305"/>
      <c r="B74" s="306"/>
      <c r="C74" s="296" t="s">
        <v>2596</v>
      </c>
      <c r="D74" s="305"/>
    </row>
    <row r="75" spans="1:4">
      <c r="A75" s="305"/>
      <c r="B75" s="306"/>
      <c r="C75" s="296"/>
      <c r="D75" s="305"/>
    </row>
    <row r="76" spans="1:4">
      <c r="A76" s="305" t="s">
        <v>2525</v>
      </c>
      <c r="B76" s="306">
        <v>44305</v>
      </c>
      <c r="C76" s="275" t="s">
        <v>3358</v>
      </c>
      <c r="D76" s="305"/>
    </row>
    <row r="77" spans="1:4" ht="28.5">
      <c r="A77" s="305"/>
      <c r="B77" s="306"/>
      <c r="C77" s="296" t="s">
        <v>3359</v>
      </c>
      <c r="D77" s="305"/>
    </row>
    <row r="78" spans="1:4">
      <c r="A78" s="305"/>
      <c r="B78" s="306"/>
      <c r="C78" s="296"/>
      <c r="D78" s="305"/>
    </row>
    <row r="79" spans="1:4">
      <c r="A79" s="305"/>
      <c r="B79" s="306"/>
      <c r="C79" s="276" t="s">
        <v>2534</v>
      </c>
      <c r="D79" s="305"/>
    </row>
    <row r="80" spans="1:4">
      <c r="A80" s="305"/>
      <c r="B80" s="306"/>
      <c r="C80" s="296"/>
      <c r="D80" s="305"/>
    </row>
    <row r="81" spans="1:4">
      <c r="A81" s="305" t="s">
        <v>2525</v>
      </c>
      <c r="B81" s="306">
        <v>44305</v>
      </c>
      <c r="C81" s="275" t="s">
        <v>2589</v>
      </c>
      <c r="D81" s="305"/>
    </row>
    <row r="82" spans="1:4" ht="28.5">
      <c r="A82" s="305"/>
      <c r="B82" s="306"/>
      <c r="C82" s="296" t="s">
        <v>2590</v>
      </c>
      <c r="D82" s="305"/>
    </row>
    <row r="83" spans="1:4">
      <c r="A83" s="305"/>
      <c r="B83" s="306"/>
      <c r="C83" s="296"/>
      <c r="D83" s="305"/>
    </row>
    <row r="84" spans="1:4">
      <c r="A84" s="305" t="s">
        <v>2525</v>
      </c>
      <c r="B84" s="306">
        <v>44305</v>
      </c>
      <c r="C84" s="275" t="s">
        <v>3360</v>
      </c>
      <c r="D84" s="305"/>
    </row>
    <row r="85" spans="1:4" ht="28.5">
      <c r="A85" s="305"/>
      <c r="B85" s="306"/>
      <c r="C85" s="296" t="s">
        <v>3361</v>
      </c>
      <c r="D85" s="305"/>
    </row>
    <row r="86" spans="1:4">
      <c r="A86" s="305"/>
      <c r="B86" s="306"/>
      <c r="C86" s="296"/>
      <c r="D86" s="305"/>
    </row>
    <row r="87" spans="1:4">
      <c r="A87" s="305"/>
      <c r="B87" s="306"/>
      <c r="C87" s="276" t="s">
        <v>2534</v>
      </c>
      <c r="D87" s="305"/>
    </row>
    <row r="88" spans="1:4">
      <c r="A88" s="305"/>
      <c r="B88" s="306"/>
      <c r="C88" s="296"/>
      <c r="D88" s="305"/>
    </row>
    <row r="89" spans="1:4">
      <c r="A89" s="305" t="s">
        <v>2525</v>
      </c>
      <c r="B89" s="306">
        <v>44305</v>
      </c>
      <c r="C89" s="275" t="s">
        <v>3362</v>
      </c>
      <c r="D89" s="305"/>
    </row>
    <row r="90" spans="1:4" ht="28.5">
      <c r="A90" s="305"/>
      <c r="B90" s="306"/>
      <c r="C90" s="296" t="s">
        <v>3363</v>
      </c>
      <c r="D90" s="305"/>
    </row>
    <row r="91" spans="1:4">
      <c r="A91" s="305"/>
      <c r="B91" s="306"/>
      <c r="C91" s="296"/>
      <c r="D91" s="305"/>
    </row>
    <row r="92" spans="1:4">
      <c r="A92" s="305" t="s">
        <v>2525</v>
      </c>
      <c r="B92" s="306">
        <v>44305</v>
      </c>
      <c r="C92" s="275" t="s">
        <v>3364</v>
      </c>
      <c r="D92" s="305"/>
    </row>
    <row r="93" spans="1:4" ht="28.5">
      <c r="A93" s="305"/>
      <c r="B93" s="306"/>
      <c r="C93" s="296" t="s">
        <v>3365</v>
      </c>
      <c r="D93" s="305"/>
    </row>
    <row r="94" spans="1:4">
      <c r="A94" s="305"/>
      <c r="B94" s="306"/>
      <c r="C94" s="296"/>
      <c r="D94" s="305"/>
    </row>
    <row r="95" spans="1:4">
      <c r="A95" s="305"/>
      <c r="B95" s="306"/>
      <c r="C95" s="276" t="s">
        <v>2534</v>
      </c>
      <c r="D95" s="305"/>
    </row>
    <row r="96" spans="1:4">
      <c r="A96" s="305"/>
      <c r="B96" s="306"/>
      <c r="C96" s="296"/>
      <c r="D96" s="305"/>
    </row>
    <row r="97" spans="1:4">
      <c r="A97" s="305" t="s">
        <v>2525</v>
      </c>
      <c r="B97" s="306">
        <v>44305</v>
      </c>
      <c r="C97" s="275" t="s">
        <v>2574</v>
      </c>
      <c r="D97" s="305"/>
    </row>
    <row r="98" spans="1:4" ht="28.5">
      <c r="A98" s="305"/>
      <c r="B98" s="306"/>
      <c r="C98" s="296" t="s">
        <v>2575</v>
      </c>
      <c r="D98" s="305"/>
    </row>
    <row r="99" spans="1:4">
      <c r="A99" s="305"/>
      <c r="B99" s="306"/>
      <c r="C99" s="296"/>
      <c r="D99" s="305"/>
    </row>
    <row r="100" spans="1:4">
      <c r="A100" s="305"/>
      <c r="B100" s="306"/>
      <c r="C100" s="276" t="s">
        <v>2534</v>
      </c>
      <c r="D100" s="305"/>
    </row>
    <row r="101" spans="1:4">
      <c r="A101" s="305"/>
      <c r="B101" s="306"/>
      <c r="C101" s="296"/>
      <c r="D101" s="305"/>
    </row>
    <row r="102" spans="1:4">
      <c r="A102" s="305" t="s">
        <v>2525</v>
      </c>
      <c r="B102" s="306">
        <v>44304</v>
      </c>
      <c r="C102" s="275" t="s">
        <v>2576</v>
      </c>
      <c r="D102" s="305"/>
    </row>
    <row r="103" spans="1:4" ht="28.5">
      <c r="A103" s="305"/>
      <c r="B103" s="306"/>
      <c r="C103" s="296" t="s">
        <v>2577</v>
      </c>
      <c r="D103" s="305"/>
    </row>
    <row r="104" spans="1:4">
      <c r="A104" s="305"/>
      <c r="B104" s="306"/>
      <c r="C104" s="296"/>
      <c r="D104" s="305"/>
    </row>
    <row r="105" spans="1:4">
      <c r="A105" s="305" t="s">
        <v>2525</v>
      </c>
      <c r="B105" s="306">
        <v>44301</v>
      </c>
      <c r="C105" s="275" t="s">
        <v>3366</v>
      </c>
      <c r="D105" s="305"/>
    </row>
    <row r="106" spans="1:4" ht="28.5">
      <c r="A106" s="305"/>
      <c r="B106" s="306"/>
      <c r="C106" s="296" t="s">
        <v>3367</v>
      </c>
      <c r="D106" s="305"/>
    </row>
    <row r="107" spans="1:4">
      <c r="A107" s="305"/>
      <c r="B107" s="306"/>
      <c r="C107" s="296"/>
      <c r="D107" s="305"/>
    </row>
    <row r="108" spans="1:4">
      <c r="A108" s="305"/>
      <c r="B108" s="306"/>
      <c r="C108" s="276" t="s">
        <v>2534</v>
      </c>
      <c r="D108" s="305"/>
    </row>
    <row r="109" spans="1:4">
      <c r="A109" s="305"/>
      <c r="B109" s="306"/>
      <c r="C109" s="296"/>
      <c r="D109" s="305"/>
    </row>
    <row r="110" spans="1:4">
      <c r="A110" s="305" t="s">
        <v>2525</v>
      </c>
      <c r="B110" s="306">
        <v>44293</v>
      </c>
      <c r="C110" s="275" t="s">
        <v>3368</v>
      </c>
      <c r="D110" s="305"/>
    </row>
    <row r="111" spans="1:4" ht="28.5">
      <c r="A111" s="305"/>
      <c r="B111" s="306"/>
      <c r="C111" s="296" t="s">
        <v>3369</v>
      </c>
      <c r="D111" s="305"/>
    </row>
    <row r="112" spans="1:4">
      <c r="A112" s="305"/>
      <c r="B112" s="306"/>
      <c r="C112" s="296"/>
      <c r="D112" s="305"/>
    </row>
    <row r="113" spans="1:4">
      <c r="A113" s="305" t="s">
        <v>2525</v>
      </c>
      <c r="B113" s="306">
        <v>44293</v>
      </c>
      <c r="C113" s="275" t="s">
        <v>2597</v>
      </c>
      <c r="D113" s="305"/>
    </row>
    <row r="114" spans="1:4" ht="28.5">
      <c r="A114" s="305"/>
      <c r="B114" s="306"/>
      <c r="C114" s="296" t="s">
        <v>3370</v>
      </c>
      <c r="D114" s="305"/>
    </row>
    <row r="115" spans="1:4">
      <c r="A115" s="305"/>
      <c r="B115" s="306"/>
      <c r="C115" s="296"/>
      <c r="D115" s="305"/>
    </row>
    <row r="116" spans="1:4">
      <c r="A116" s="305"/>
      <c r="B116" s="306"/>
      <c r="C116" s="276" t="s">
        <v>2534</v>
      </c>
      <c r="D116" s="305"/>
    </row>
    <row r="117" spans="1:4">
      <c r="A117" s="305"/>
      <c r="B117" s="306"/>
      <c r="C117" s="296"/>
      <c r="D117" s="305"/>
    </row>
    <row r="118" spans="1:4">
      <c r="A118" s="305" t="s">
        <v>2525</v>
      </c>
      <c r="B118" s="306">
        <v>44293</v>
      </c>
      <c r="C118" s="275" t="s">
        <v>3340</v>
      </c>
      <c r="D118" s="305"/>
    </row>
    <row r="119" spans="1:4" ht="28.5">
      <c r="A119" s="305"/>
      <c r="B119" s="306"/>
      <c r="C119" s="296" t="s">
        <v>3341</v>
      </c>
      <c r="D119" s="305"/>
    </row>
    <row r="120" spans="1:4">
      <c r="A120" s="305"/>
      <c r="B120" s="306"/>
      <c r="C120" s="296"/>
      <c r="D120" s="305"/>
    </row>
    <row r="121" spans="1:4">
      <c r="A121" s="305"/>
      <c r="B121" s="306"/>
      <c r="C121" s="276" t="s">
        <v>2534</v>
      </c>
      <c r="D121" s="305"/>
    </row>
    <row r="122" spans="1:4">
      <c r="A122" s="305"/>
      <c r="B122" s="306"/>
      <c r="C122" s="296"/>
      <c r="D122" s="305"/>
    </row>
    <row r="123" spans="1:4">
      <c r="A123" s="305" t="s">
        <v>2525</v>
      </c>
      <c r="B123" s="306">
        <v>44293</v>
      </c>
      <c r="C123" s="275" t="s">
        <v>3371</v>
      </c>
      <c r="D123" s="305"/>
    </row>
    <row r="124" spans="1:4" ht="28.5">
      <c r="A124" s="305"/>
      <c r="B124" s="306"/>
      <c r="C124" s="296" t="s">
        <v>3372</v>
      </c>
      <c r="D124" s="305"/>
    </row>
    <row r="125" spans="1:4">
      <c r="A125" s="305"/>
      <c r="B125" s="306"/>
      <c r="C125" s="296"/>
      <c r="D125" s="305"/>
    </row>
    <row r="126" spans="1:4">
      <c r="A126" s="305"/>
      <c r="B126" s="306"/>
      <c r="C126" s="276" t="s">
        <v>2534</v>
      </c>
      <c r="D126" s="305"/>
    </row>
    <row r="127" spans="1:4">
      <c r="A127" s="305"/>
      <c r="B127" s="306"/>
      <c r="C127" s="296"/>
      <c r="D127" s="305"/>
    </row>
    <row r="128" spans="1:4">
      <c r="A128" s="305" t="s">
        <v>2525</v>
      </c>
      <c r="B128" s="306">
        <v>44293</v>
      </c>
      <c r="C128" s="275" t="s">
        <v>2578</v>
      </c>
      <c r="D128" s="305"/>
    </row>
    <row r="129" spans="1:4" ht="28.5">
      <c r="A129" s="305"/>
      <c r="B129" s="306"/>
      <c r="C129" s="296" t="s">
        <v>3373</v>
      </c>
      <c r="D129" s="305"/>
    </row>
    <row r="130" spans="1:4">
      <c r="A130" s="305"/>
      <c r="B130" s="306"/>
      <c r="C130" s="296"/>
      <c r="D130" s="305"/>
    </row>
    <row r="131" spans="1:4">
      <c r="A131" s="305"/>
      <c r="B131" s="306"/>
      <c r="C131" s="276" t="s">
        <v>2534</v>
      </c>
      <c r="D131" s="305"/>
    </row>
    <row r="132" spans="1:4">
      <c r="A132" s="305"/>
      <c r="B132" s="306"/>
      <c r="C132" s="296"/>
      <c r="D132" s="305"/>
    </row>
    <row r="133" spans="1:4">
      <c r="A133" s="305" t="s">
        <v>2525</v>
      </c>
      <c r="B133" s="306">
        <v>44293</v>
      </c>
      <c r="C133" s="275" t="s">
        <v>3374</v>
      </c>
      <c r="D133" s="305"/>
    </row>
    <row r="134" spans="1:4" ht="28.5">
      <c r="A134" s="305"/>
      <c r="B134" s="306"/>
      <c r="C134" s="296" t="s">
        <v>3375</v>
      </c>
      <c r="D134" s="305"/>
    </row>
    <row r="135" spans="1:4">
      <c r="A135" s="305"/>
      <c r="B135" s="306"/>
      <c r="C135" s="296"/>
      <c r="D135" s="305"/>
    </row>
    <row r="136" spans="1:4">
      <c r="A136" s="305"/>
      <c r="B136" s="306"/>
      <c r="C136" s="276" t="s">
        <v>2534</v>
      </c>
      <c r="D136" s="305"/>
    </row>
    <row r="137" spans="1:4">
      <c r="A137" s="305"/>
      <c r="B137" s="306"/>
      <c r="C137" s="296"/>
      <c r="D137" s="305"/>
    </row>
    <row r="138" spans="1:4">
      <c r="A138" s="305" t="s">
        <v>2525</v>
      </c>
      <c r="B138" s="306">
        <v>44293</v>
      </c>
      <c r="C138" s="275" t="s">
        <v>3376</v>
      </c>
      <c r="D138" s="305"/>
    </row>
    <row r="139" spans="1:4" ht="28.5">
      <c r="A139" s="305"/>
      <c r="B139" s="306"/>
      <c r="C139" s="296" t="s">
        <v>3377</v>
      </c>
      <c r="D139" s="305"/>
    </row>
    <row r="140" spans="1:4">
      <c r="A140" s="305"/>
      <c r="B140" s="306"/>
      <c r="C140" s="296"/>
      <c r="D140" s="305"/>
    </row>
    <row r="141" spans="1:4">
      <c r="A141" s="305"/>
      <c r="B141" s="306"/>
      <c r="C141" s="276" t="s">
        <v>2534</v>
      </c>
      <c r="D141" s="305"/>
    </row>
    <row r="142" spans="1:4">
      <c r="A142" s="305"/>
      <c r="B142" s="306"/>
      <c r="C142" s="296"/>
      <c r="D142" s="305"/>
    </row>
    <row r="143" spans="1:4">
      <c r="A143" s="305" t="s">
        <v>2525</v>
      </c>
      <c r="B143" s="306">
        <v>44293</v>
      </c>
      <c r="C143" s="275" t="s">
        <v>2666</v>
      </c>
      <c r="D143" s="305"/>
    </row>
    <row r="144" spans="1:4" ht="28.5">
      <c r="A144" s="305"/>
      <c r="B144" s="306"/>
      <c r="C144" s="296" t="s">
        <v>3378</v>
      </c>
      <c r="D144" s="305"/>
    </row>
    <row r="145" spans="1:4">
      <c r="A145" s="305"/>
      <c r="B145" s="306"/>
      <c r="C145" s="296"/>
      <c r="D145" s="305"/>
    </row>
    <row r="146" spans="1:4">
      <c r="A146" s="305" t="s">
        <v>2525</v>
      </c>
      <c r="B146" s="306">
        <v>44293</v>
      </c>
      <c r="C146" s="275" t="s">
        <v>3379</v>
      </c>
      <c r="D146" s="305"/>
    </row>
    <row r="147" spans="1:4" ht="28.5">
      <c r="A147" s="305"/>
      <c r="B147" s="306"/>
      <c r="C147" s="296" t="s">
        <v>3380</v>
      </c>
      <c r="D147" s="305"/>
    </row>
    <row r="148" spans="1:4">
      <c r="A148" s="305"/>
      <c r="B148" s="306"/>
      <c r="C148" s="296"/>
      <c r="D148" s="305"/>
    </row>
    <row r="149" spans="1:4">
      <c r="A149" s="305" t="s">
        <v>2525</v>
      </c>
      <c r="B149" s="306">
        <v>44293</v>
      </c>
      <c r="C149" s="275" t="s">
        <v>3381</v>
      </c>
      <c r="D149" s="305"/>
    </row>
    <row r="150" spans="1:4" ht="28.5">
      <c r="A150" s="305"/>
      <c r="B150" s="306"/>
      <c r="C150" s="296" t="s">
        <v>3382</v>
      </c>
      <c r="D150" s="305"/>
    </row>
    <row r="151" spans="1:4">
      <c r="A151" s="305"/>
      <c r="B151" s="306"/>
      <c r="C151" s="296"/>
      <c r="D151" s="305"/>
    </row>
    <row r="152" spans="1:4">
      <c r="A152" s="305"/>
      <c r="B152" s="306"/>
      <c r="C152" s="276" t="s">
        <v>2534</v>
      </c>
      <c r="D152" s="305"/>
    </row>
    <row r="153" spans="1:4">
      <c r="A153" s="305"/>
      <c r="B153" s="306"/>
      <c r="C153" s="296"/>
      <c r="D153" s="305"/>
    </row>
    <row r="154" spans="1:4">
      <c r="A154" s="305" t="s">
        <v>2525</v>
      </c>
      <c r="B154" s="306">
        <v>44293</v>
      </c>
      <c r="C154" s="275" t="s">
        <v>3383</v>
      </c>
      <c r="D154" s="305"/>
    </row>
    <row r="155" spans="1:4" ht="28.5">
      <c r="A155" s="305"/>
      <c r="B155" s="306"/>
      <c r="C155" s="296" t="s">
        <v>3384</v>
      </c>
      <c r="D155" s="305"/>
    </row>
    <row r="156" spans="1:4">
      <c r="A156" s="305"/>
      <c r="B156" s="306"/>
      <c r="C156" s="296"/>
      <c r="D156" s="305"/>
    </row>
    <row r="157" spans="1:4">
      <c r="A157" s="305"/>
      <c r="B157" s="306">
        <v>44293</v>
      </c>
      <c r="C157" s="275" t="s">
        <v>2603</v>
      </c>
      <c r="D157" s="305"/>
    </row>
    <row r="158" spans="1:4" ht="28.5">
      <c r="A158" s="305"/>
      <c r="B158" s="306"/>
      <c r="C158" s="296" t="s">
        <v>2604</v>
      </c>
      <c r="D158" s="305"/>
    </row>
    <row r="159" spans="1:4">
      <c r="A159" s="305"/>
      <c r="B159" s="306"/>
      <c r="C159" s="296"/>
      <c r="D159" s="305"/>
    </row>
    <row r="160" spans="1:4">
      <c r="A160" s="305"/>
      <c r="B160" s="306"/>
      <c r="C160" s="276" t="s">
        <v>2534</v>
      </c>
      <c r="D160" s="305"/>
    </row>
    <row r="161" spans="1:4">
      <c r="A161" s="305"/>
      <c r="B161" s="306"/>
      <c r="C161" s="296"/>
      <c r="D161" s="305"/>
    </row>
    <row r="162" spans="1:4">
      <c r="A162" s="305"/>
      <c r="B162" s="306">
        <v>44293</v>
      </c>
      <c r="C162" s="275" t="s">
        <v>2611</v>
      </c>
      <c r="D162" s="305"/>
    </row>
    <row r="163" spans="1:4">
      <c r="A163" s="305"/>
      <c r="B163" s="306"/>
      <c r="C163" s="296" t="s">
        <v>3385</v>
      </c>
      <c r="D163" s="305"/>
    </row>
    <row r="164" spans="1:4">
      <c r="A164" s="305"/>
      <c r="B164" s="306"/>
      <c r="C164" s="296"/>
      <c r="D164" s="305"/>
    </row>
    <row r="165" spans="1:4">
      <c r="A165" s="305" t="s">
        <v>2525</v>
      </c>
      <c r="B165" s="306">
        <v>44293</v>
      </c>
      <c r="C165" s="275" t="s">
        <v>3386</v>
      </c>
      <c r="D165" s="305"/>
    </row>
    <row r="166" spans="1:4" ht="28.5">
      <c r="A166" s="305"/>
      <c r="B166" s="306"/>
      <c r="C166" s="296" t="s">
        <v>3387</v>
      </c>
      <c r="D166" s="305"/>
    </row>
    <row r="167" spans="1:4">
      <c r="A167" s="305"/>
      <c r="B167" s="306"/>
      <c r="C167" s="296"/>
      <c r="D167" s="305"/>
    </row>
    <row r="168" spans="1:4">
      <c r="A168" s="305" t="s">
        <v>2525</v>
      </c>
      <c r="B168" s="306">
        <v>44293</v>
      </c>
      <c r="C168" s="275" t="s">
        <v>2635</v>
      </c>
      <c r="D168" s="305"/>
    </row>
    <row r="169" spans="1:4" ht="28.5">
      <c r="A169" s="305"/>
      <c r="B169" s="306"/>
      <c r="C169" s="296" t="s">
        <v>3388</v>
      </c>
      <c r="D169" s="305"/>
    </row>
    <row r="170" spans="1:4">
      <c r="A170" s="305"/>
      <c r="B170" s="306"/>
      <c r="C170" s="296"/>
      <c r="D170" s="305"/>
    </row>
    <row r="171" spans="1:4">
      <c r="A171" s="305"/>
      <c r="B171" s="306"/>
      <c r="C171" s="276" t="s">
        <v>2534</v>
      </c>
      <c r="D171" s="305"/>
    </row>
    <row r="172" spans="1:4">
      <c r="A172" s="305"/>
      <c r="B172" s="306"/>
      <c r="C172" s="296"/>
      <c r="D172" s="305"/>
    </row>
    <row r="173" spans="1:4">
      <c r="A173" s="305" t="s">
        <v>2525</v>
      </c>
      <c r="B173" s="306">
        <v>44293</v>
      </c>
      <c r="C173" s="275" t="s">
        <v>3389</v>
      </c>
      <c r="D173" s="305"/>
    </row>
    <row r="174" spans="1:4" ht="28.5">
      <c r="A174" s="305"/>
      <c r="B174" s="306"/>
      <c r="C174" s="296" t="s">
        <v>3390</v>
      </c>
      <c r="D174" s="305"/>
    </row>
    <row r="175" spans="1:4">
      <c r="A175" s="305"/>
      <c r="B175" s="306"/>
      <c r="C175" s="296"/>
      <c r="D175" s="305"/>
    </row>
    <row r="176" spans="1:4">
      <c r="A176" s="305" t="s">
        <v>2525</v>
      </c>
      <c r="B176" s="306">
        <v>44293</v>
      </c>
      <c r="C176" s="275" t="s">
        <v>3391</v>
      </c>
      <c r="D176" s="305"/>
    </row>
    <row r="177" spans="1:4" ht="28.5">
      <c r="A177" s="305"/>
      <c r="B177" s="306"/>
      <c r="C177" s="296" t="s">
        <v>3392</v>
      </c>
      <c r="D177" s="305"/>
    </row>
    <row r="178" spans="1:4">
      <c r="A178" s="305"/>
      <c r="B178" s="306"/>
      <c r="C178" s="296"/>
      <c r="D178" s="305"/>
    </row>
    <row r="179" spans="1:4">
      <c r="A179" s="305"/>
      <c r="B179" s="306"/>
      <c r="C179" s="276" t="s">
        <v>2534</v>
      </c>
      <c r="D179" s="305"/>
    </row>
    <row r="180" spans="1:4">
      <c r="A180" s="305"/>
      <c r="B180" s="306"/>
      <c r="C180" s="296"/>
      <c r="D180" s="305"/>
    </row>
    <row r="181" spans="1:4">
      <c r="A181" s="305" t="s">
        <v>2525</v>
      </c>
      <c r="B181" s="306">
        <v>44292</v>
      </c>
      <c r="C181" s="275" t="s">
        <v>3393</v>
      </c>
      <c r="D181" s="305"/>
    </row>
    <row r="182" spans="1:4" ht="28.5">
      <c r="A182" s="305"/>
      <c r="B182" s="306"/>
      <c r="C182" s="296" t="s">
        <v>3394</v>
      </c>
      <c r="D182" s="305"/>
    </row>
    <row r="183" spans="1:4">
      <c r="A183" s="305"/>
      <c r="B183" s="306"/>
      <c r="C183" s="296"/>
      <c r="D183" s="305"/>
    </row>
    <row r="184" spans="1:4">
      <c r="A184" s="305" t="s">
        <v>2525</v>
      </c>
      <c r="B184" s="306">
        <v>44292</v>
      </c>
      <c r="C184" s="275" t="s">
        <v>3395</v>
      </c>
      <c r="D184" s="305"/>
    </row>
    <row r="185" spans="1:4" ht="28.5">
      <c r="A185" s="305"/>
      <c r="B185" s="306"/>
      <c r="C185" s="296" t="s">
        <v>3396</v>
      </c>
      <c r="D185" s="305"/>
    </row>
    <row r="186" spans="1:4">
      <c r="A186" s="305"/>
      <c r="B186" s="306"/>
      <c r="C186" s="296"/>
      <c r="D186" s="305"/>
    </row>
    <row r="187" spans="1:4">
      <c r="A187" s="305"/>
      <c r="B187" s="306"/>
      <c r="C187" s="276" t="s">
        <v>2534</v>
      </c>
      <c r="D187" s="305"/>
    </row>
    <row r="188" spans="1:4">
      <c r="A188" s="305"/>
      <c r="B188" s="306"/>
      <c r="C188" s="296"/>
      <c r="D188" s="305"/>
    </row>
    <row r="189" spans="1:4">
      <c r="A189" s="305" t="s">
        <v>2525</v>
      </c>
      <c r="B189" s="306">
        <v>44292</v>
      </c>
      <c r="C189" s="275" t="s">
        <v>2824</v>
      </c>
      <c r="D189" s="305"/>
    </row>
    <row r="190" spans="1:4" ht="28.5">
      <c r="A190" s="305"/>
      <c r="B190" s="306"/>
      <c r="C190" s="296" t="s">
        <v>3397</v>
      </c>
      <c r="D190" s="305"/>
    </row>
    <row r="191" spans="1:4">
      <c r="A191" s="305"/>
      <c r="B191" s="306"/>
      <c r="C191" s="296"/>
      <c r="D191" s="305"/>
    </row>
    <row r="192" spans="1:4">
      <c r="A192" s="305" t="s">
        <v>2525</v>
      </c>
      <c r="B192" s="306">
        <v>44292</v>
      </c>
      <c r="C192" s="275" t="s">
        <v>3398</v>
      </c>
      <c r="D192" s="305"/>
    </row>
    <row r="193" spans="1:4" ht="28.5">
      <c r="A193" s="305"/>
      <c r="B193" s="306"/>
      <c r="C193" s="296" t="s">
        <v>3399</v>
      </c>
      <c r="D193" s="305"/>
    </row>
    <row r="194" spans="1:4">
      <c r="A194" s="305"/>
      <c r="B194" s="306"/>
      <c r="C194" s="296"/>
      <c r="D194" s="305"/>
    </row>
    <row r="195" spans="1:4">
      <c r="A195" s="305" t="s">
        <v>2525</v>
      </c>
      <c r="B195" s="306">
        <v>44284</v>
      </c>
      <c r="C195" s="275" t="s">
        <v>3400</v>
      </c>
      <c r="D195" s="305"/>
    </row>
    <row r="196" spans="1:4" ht="28.5">
      <c r="A196" s="305"/>
      <c r="B196" s="306"/>
      <c r="C196" s="296" t="s">
        <v>3401</v>
      </c>
      <c r="D196" s="305"/>
    </row>
    <row r="197" spans="1:4">
      <c r="A197" s="305"/>
      <c r="B197" s="306"/>
      <c r="C197" s="296"/>
      <c r="D197" s="305"/>
    </row>
    <row r="198" spans="1:4">
      <c r="A198" s="305"/>
      <c r="B198" s="306"/>
      <c r="C198" s="276" t="s">
        <v>2534</v>
      </c>
      <c r="D198" s="305"/>
    </row>
    <row r="199" spans="1:4">
      <c r="A199" s="305"/>
      <c r="B199" s="306"/>
      <c r="C199" s="296"/>
      <c r="D199" s="305"/>
    </row>
    <row r="200" spans="1:4">
      <c r="A200" s="305" t="s">
        <v>2525</v>
      </c>
      <c r="B200" s="306">
        <v>44284</v>
      </c>
      <c r="C200" s="275" t="s">
        <v>3400</v>
      </c>
      <c r="D200" s="305"/>
    </row>
    <row r="201" spans="1:4" ht="28.5">
      <c r="A201" s="305"/>
      <c r="B201" s="306"/>
      <c r="C201" s="296" t="s">
        <v>3402</v>
      </c>
      <c r="D201" s="305"/>
    </row>
    <row r="202" spans="1:4">
      <c r="A202" s="305"/>
      <c r="B202" s="306"/>
      <c r="C202" s="296"/>
      <c r="D202" s="305"/>
    </row>
    <row r="203" spans="1:4">
      <c r="A203" s="305"/>
      <c r="B203" s="306"/>
      <c r="C203" s="276" t="s">
        <v>2534</v>
      </c>
      <c r="D203" s="305"/>
    </row>
    <row r="204" spans="1:4">
      <c r="A204" s="305"/>
      <c r="B204" s="306"/>
      <c r="C204" s="296"/>
      <c r="D204" s="305"/>
    </row>
    <row r="205" spans="1:4">
      <c r="A205" s="305"/>
      <c r="B205" s="306">
        <v>44284</v>
      </c>
      <c r="C205" s="275" t="s">
        <v>2754</v>
      </c>
      <c r="D205" s="305"/>
    </row>
    <row r="206" spans="1:4" ht="28.5">
      <c r="A206" s="305"/>
      <c r="B206" s="306"/>
      <c r="C206" s="296" t="s">
        <v>2755</v>
      </c>
      <c r="D206" s="305"/>
    </row>
    <row r="207" spans="1:4">
      <c r="A207" s="305"/>
      <c r="B207" s="306"/>
      <c r="C207" s="296"/>
      <c r="D207" s="305"/>
    </row>
    <row r="208" spans="1:4">
      <c r="A208" s="305" t="s">
        <v>2525</v>
      </c>
      <c r="B208" s="306">
        <v>44284</v>
      </c>
      <c r="C208" s="275" t="s">
        <v>2530</v>
      </c>
      <c r="D208" s="305"/>
    </row>
    <row r="209" spans="1:4" ht="28.5">
      <c r="A209" s="305"/>
      <c r="B209" s="306"/>
      <c r="C209" s="296" t="s">
        <v>3403</v>
      </c>
      <c r="D209" s="305"/>
    </row>
    <row r="210" spans="1:4">
      <c r="A210" s="305"/>
      <c r="B210" s="306"/>
      <c r="C210" s="296"/>
      <c r="D210" s="305"/>
    </row>
    <row r="211" spans="1:4">
      <c r="A211" s="305" t="s">
        <v>2525</v>
      </c>
      <c r="B211" s="306">
        <v>44284</v>
      </c>
      <c r="C211" s="275" t="s">
        <v>3374</v>
      </c>
      <c r="D211" s="305"/>
    </row>
    <row r="212" spans="1:4" ht="28.5">
      <c r="A212" s="305"/>
      <c r="B212" s="306"/>
      <c r="C212" s="296" t="s">
        <v>3404</v>
      </c>
      <c r="D212" s="305"/>
    </row>
    <row r="213" spans="1:4">
      <c r="A213" s="305"/>
      <c r="B213" s="306"/>
      <c r="C213" s="296"/>
      <c r="D213" s="305"/>
    </row>
    <row r="214" spans="1:4">
      <c r="A214" s="305"/>
      <c r="B214" s="306"/>
      <c r="C214" s="276" t="s">
        <v>2534</v>
      </c>
      <c r="D214" s="305"/>
    </row>
    <row r="215" spans="1:4">
      <c r="A215" s="305"/>
      <c r="B215" s="306"/>
      <c r="C215" s="296"/>
      <c r="D215" s="305"/>
    </row>
    <row r="216" spans="1:4">
      <c r="A216" s="305" t="s">
        <v>2525</v>
      </c>
      <c r="B216" s="306">
        <v>44284</v>
      </c>
      <c r="C216" s="275" t="s">
        <v>3405</v>
      </c>
      <c r="D216" s="305"/>
    </row>
    <row r="217" spans="1:4" ht="28.5">
      <c r="A217" s="305"/>
      <c r="B217" s="306"/>
      <c r="C217" s="296" t="s">
        <v>3406</v>
      </c>
      <c r="D217" s="305"/>
    </row>
    <row r="218" spans="1:4">
      <c r="A218" s="305"/>
      <c r="B218" s="306"/>
      <c r="C218" s="296"/>
      <c r="D218" s="305"/>
    </row>
    <row r="219" spans="1:4">
      <c r="A219" s="305"/>
      <c r="B219" s="306"/>
      <c r="C219" s="276" t="s">
        <v>2534</v>
      </c>
      <c r="D219" s="305"/>
    </row>
    <row r="220" spans="1:4">
      <c r="A220" s="305"/>
      <c r="B220" s="306"/>
      <c r="C220" s="296"/>
      <c r="D220" s="305"/>
    </row>
    <row r="221" spans="1:4">
      <c r="A221" s="305" t="s">
        <v>2525</v>
      </c>
      <c r="B221" s="306">
        <v>44284</v>
      </c>
      <c r="C221" s="275" t="s">
        <v>3407</v>
      </c>
      <c r="D221" s="305"/>
    </row>
    <row r="222" spans="1:4" ht="28.5">
      <c r="A222" s="305"/>
      <c r="B222" s="306"/>
      <c r="C222" s="296" t="s">
        <v>3408</v>
      </c>
      <c r="D222" s="305"/>
    </row>
    <row r="223" spans="1:4">
      <c r="A223" s="305"/>
      <c r="B223" s="306"/>
      <c r="C223" s="296"/>
      <c r="D223" s="305"/>
    </row>
    <row r="224" spans="1:4">
      <c r="A224" s="305"/>
      <c r="B224" s="306"/>
      <c r="C224" s="276" t="s">
        <v>2534</v>
      </c>
      <c r="D224" s="305"/>
    </row>
    <row r="225" spans="1:4">
      <c r="A225" s="305"/>
      <c r="B225" s="306"/>
      <c r="C225" s="296"/>
      <c r="D225" s="305"/>
    </row>
    <row r="226" spans="1:4">
      <c r="A226" s="305"/>
      <c r="B226" s="306">
        <v>44282</v>
      </c>
      <c r="C226" s="275" t="s">
        <v>2619</v>
      </c>
      <c r="D226" s="305"/>
    </row>
    <row r="227" spans="1:4" ht="28.5">
      <c r="A227" s="305"/>
      <c r="B227" s="306"/>
      <c r="C227" s="296" t="s">
        <v>3357</v>
      </c>
      <c r="D227" s="305"/>
    </row>
    <row r="228" spans="1:4">
      <c r="A228" s="305"/>
      <c r="B228" s="306"/>
      <c r="C228" s="296"/>
      <c r="D228" s="305"/>
    </row>
    <row r="229" spans="1:4">
      <c r="A229" s="305" t="s">
        <v>2525</v>
      </c>
      <c r="B229" s="306">
        <v>44282</v>
      </c>
      <c r="C229" s="275" t="s">
        <v>3409</v>
      </c>
      <c r="D229" s="305"/>
    </row>
    <row r="230" spans="1:4">
      <c r="A230" s="305"/>
      <c r="B230" s="306"/>
      <c r="C230" s="296" t="s">
        <v>3410</v>
      </c>
      <c r="D230" s="305"/>
    </row>
    <row r="231" spans="1:4">
      <c r="A231" s="305"/>
      <c r="B231" s="306"/>
      <c r="C231" s="296"/>
      <c r="D231" s="305"/>
    </row>
    <row r="232" spans="1:4">
      <c r="A232" s="305" t="s">
        <v>2525</v>
      </c>
      <c r="B232" s="306">
        <v>44282</v>
      </c>
      <c r="C232" s="275" t="s">
        <v>3411</v>
      </c>
      <c r="D232" s="305"/>
    </row>
    <row r="233" spans="1:4" ht="28.5">
      <c r="A233" s="305"/>
      <c r="B233" s="306"/>
      <c r="C233" s="296" t="s">
        <v>3412</v>
      </c>
      <c r="D233" s="305"/>
    </row>
    <row r="234" spans="1:4">
      <c r="A234" s="305"/>
      <c r="B234" s="306"/>
      <c r="C234" s="296"/>
      <c r="D234" s="305"/>
    </row>
    <row r="235" spans="1:4">
      <c r="A235" s="305" t="s">
        <v>2525</v>
      </c>
      <c r="B235" s="306">
        <v>44282</v>
      </c>
      <c r="C235" s="275" t="s">
        <v>2672</v>
      </c>
      <c r="D235" s="305"/>
    </row>
    <row r="236" spans="1:4" ht="28.5">
      <c r="A236" s="305"/>
      <c r="B236" s="306"/>
      <c r="C236" s="296" t="s">
        <v>3413</v>
      </c>
      <c r="D236" s="305"/>
    </row>
    <row r="237" spans="1:4">
      <c r="A237" s="305"/>
      <c r="B237" s="306"/>
      <c r="C237" s="296"/>
      <c r="D237" s="305"/>
    </row>
    <row r="238" spans="1:4">
      <c r="A238" s="305"/>
      <c r="B238" s="306"/>
      <c r="C238" s="276" t="s">
        <v>2534</v>
      </c>
      <c r="D238" s="305"/>
    </row>
    <row r="239" spans="1:4">
      <c r="A239" s="305"/>
      <c r="B239" s="306"/>
      <c r="C239" s="296"/>
      <c r="D239" s="305"/>
    </row>
    <row r="240" spans="1:4">
      <c r="A240" s="305" t="s">
        <v>2525</v>
      </c>
      <c r="B240" s="306">
        <v>44282</v>
      </c>
      <c r="C240" s="275" t="s">
        <v>3414</v>
      </c>
      <c r="D240" s="305"/>
    </row>
    <row r="241" spans="1:4" ht="28.5">
      <c r="A241" s="305"/>
      <c r="B241" s="306"/>
      <c r="C241" s="296" t="s">
        <v>3415</v>
      </c>
      <c r="D241" s="305"/>
    </row>
    <row r="242" spans="1:4">
      <c r="A242" s="305"/>
      <c r="B242" s="306"/>
      <c r="C242" s="296"/>
      <c r="D242" s="305"/>
    </row>
    <row r="243" spans="1:4">
      <c r="A243" s="305"/>
      <c r="B243" s="306"/>
      <c r="C243" s="276" t="s">
        <v>2534</v>
      </c>
      <c r="D243" s="305"/>
    </row>
    <row r="244" spans="1:4">
      <c r="A244" s="305"/>
      <c r="B244" s="306"/>
      <c r="C244" s="296"/>
      <c r="D244" s="305"/>
    </row>
    <row r="245" spans="1:4">
      <c r="A245" s="305" t="s">
        <v>2525</v>
      </c>
      <c r="B245" s="306">
        <v>44282</v>
      </c>
      <c r="C245" s="275" t="s">
        <v>3416</v>
      </c>
      <c r="D245" s="305"/>
    </row>
    <row r="246" spans="1:4" ht="28.5">
      <c r="A246" s="305"/>
      <c r="B246" s="306"/>
      <c r="C246" s="296" t="s">
        <v>3417</v>
      </c>
      <c r="D246" s="305"/>
    </row>
    <row r="247" spans="1:4">
      <c r="A247" s="305"/>
      <c r="B247" s="306"/>
      <c r="C247" s="296"/>
      <c r="D247" s="305"/>
    </row>
    <row r="248" spans="1:4">
      <c r="A248" s="305"/>
      <c r="B248" s="306"/>
      <c r="C248" s="276" t="s">
        <v>2534</v>
      </c>
      <c r="D248" s="305"/>
    </row>
    <row r="249" spans="1:4">
      <c r="A249" s="305"/>
      <c r="B249" s="306"/>
      <c r="C249" s="296"/>
      <c r="D249" s="305"/>
    </row>
    <row r="250" spans="1:4">
      <c r="A250" s="305" t="s">
        <v>2525</v>
      </c>
      <c r="B250" s="306">
        <v>44282</v>
      </c>
      <c r="C250" s="275" t="s">
        <v>3418</v>
      </c>
      <c r="D250" s="305"/>
    </row>
    <row r="251" spans="1:4" ht="28.5">
      <c r="A251" s="305"/>
      <c r="B251" s="306"/>
      <c r="C251" s="296" t="s">
        <v>3419</v>
      </c>
      <c r="D251" s="305"/>
    </row>
    <row r="252" spans="1:4">
      <c r="A252" s="305"/>
      <c r="B252" s="306"/>
      <c r="C252" s="296"/>
      <c r="D252" s="305"/>
    </row>
    <row r="253" spans="1:4">
      <c r="A253" s="305"/>
      <c r="B253" s="306"/>
      <c r="C253" s="276" t="s">
        <v>2534</v>
      </c>
      <c r="D253" s="305"/>
    </row>
    <row r="254" spans="1:4">
      <c r="A254" s="305"/>
      <c r="B254" s="306"/>
      <c r="C254" s="296"/>
      <c r="D254" s="305"/>
    </row>
    <row r="255" spans="1:4">
      <c r="A255" s="305" t="s">
        <v>2525</v>
      </c>
      <c r="B255" s="306">
        <v>44282</v>
      </c>
      <c r="C255" s="275" t="s">
        <v>3420</v>
      </c>
      <c r="D255" s="305"/>
    </row>
    <row r="256" spans="1:4" ht="28.5">
      <c r="A256" s="305"/>
      <c r="B256" s="306"/>
      <c r="C256" s="296" t="s">
        <v>3421</v>
      </c>
      <c r="D256" s="305"/>
    </row>
    <row r="257" spans="1:4">
      <c r="A257" s="305"/>
      <c r="B257" s="306"/>
      <c r="C257" s="296"/>
      <c r="D257" s="305"/>
    </row>
    <row r="258" spans="1:4">
      <c r="A258" s="305" t="s">
        <v>2525</v>
      </c>
      <c r="B258" s="306">
        <v>44282</v>
      </c>
      <c r="C258" s="275" t="s">
        <v>3355</v>
      </c>
      <c r="D258" s="305"/>
    </row>
    <row r="259" spans="1:4" ht="28.5">
      <c r="A259" s="305"/>
      <c r="B259" s="306"/>
      <c r="C259" s="296" t="s">
        <v>3356</v>
      </c>
      <c r="D259" s="305"/>
    </row>
    <row r="260" spans="1:4">
      <c r="A260" s="305"/>
      <c r="B260" s="306"/>
      <c r="C260" s="296"/>
      <c r="D260" s="305"/>
    </row>
    <row r="261" spans="1:4">
      <c r="A261" s="305" t="s">
        <v>2525</v>
      </c>
      <c r="B261" s="306">
        <v>44282</v>
      </c>
      <c r="C261" s="275" t="s">
        <v>2556</v>
      </c>
      <c r="D261" s="305"/>
    </row>
    <row r="262" spans="1:4" ht="28.5">
      <c r="A262" s="305"/>
      <c r="B262" s="306"/>
      <c r="C262" s="296" t="s">
        <v>2557</v>
      </c>
      <c r="D262" s="305"/>
    </row>
    <row r="263" spans="1:4">
      <c r="A263" s="305"/>
      <c r="B263" s="306"/>
      <c r="C263" s="296"/>
      <c r="D263" s="305"/>
    </row>
    <row r="264" spans="1:4">
      <c r="A264" s="305"/>
      <c r="B264" s="306"/>
      <c r="C264" s="276" t="s">
        <v>2534</v>
      </c>
      <c r="D264" s="305"/>
    </row>
    <row r="265" spans="1:4">
      <c r="A265" s="305"/>
      <c r="B265" s="306"/>
      <c r="C265" s="296"/>
      <c r="D265" s="305"/>
    </row>
    <row r="266" spans="1:4">
      <c r="A266" s="305" t="s">
        <v>2525</v>
      </c>
      <c r="B266" s="306">
        <v>44280</v>
      </c>
      <c r="C266" s="275" t="s">
        <v>2526</v>
      </c>
      <c r="D266" s="305"/>
    </row>
    <row r="267" spans="1:4" ht="28.5">
      <c r="A267" s="305"/>
      <c r="B267" s="306"/>
      <c r="C267" s="30" t="s">
        <v>2527</v>
      </c>
      <c r="D267" s="305"/>
    </row>
    <row r="268" spans="1:4">
      <c r="A268" s="305"/>
      <c r="B268" s="306"/>
      <c r="C268" s="30"/>
      <c r="D268" s="305"/>
    </row>
    <row r="269" spans="1:4">
      <c r="A269" s="305" t="s">
        <v>2525</v>
      </c>
      <c r="B269" s="306">
        <v>44280</v>
      </c>
      <c r="C269" s="275" t="s">
        <v>2528</v>
      </c>
      <c r="D269" s="305"/>
    </row>
    <row r="270" spans="1:4" ht="28.5">
      <c r="A270" s="305"/>
      <c r="B270" s="306"/>
      <c r="C270" s="30" t="s">
        <v>2529</v>
      </c>
      <c r="D270" s="305"/>
    </row>
    <row r="271" spans="1:4">
      <c r="A271" s="305"/>
      <c r="B271" s="306"/>
      <c r="C271" s="30"/>
      <c r="D271" s="305"/>
    </row>
    <row r="272" spans="1:4">
      <c r="A272" s="305" t="s">
        <v>2525</v>
      </c>
      <c r="B272" s="306">
        <v>44280</v>
      </c>
      <c r="C272" s="275" t="s">
        <v>2530</v>
      </c>
      <c r="D272" s="305"/>
    </row>
    <row r="273" spans="1:4" ht="28.5">
      <c r="A273" s="305"/>
      <c r="B273" s="306"/>
      <c r="C273" s="30" t="s">
        <v>2531</v>
      </c>
      <c r="D273" s="305"/>
    </row>
    <row r="274" spans="1:4">
      <c r="A274" s="305"/>
      <c r="B274" s="306"/>
      <c r="C274" s="30"/>
      <c r="D274" s="305"/>
    </row>
    <row r="275" spans="1:4">
      <c r="A275" s="305" t="s">
        <v>2525</v>
      </c>
      <c r="B275" s="306">
        <v>44280</v>
      </c>
      <c r="C275" s="275" t="s">
        <v>2532</v>
      </c>
      <c r="D275" s="305"/>
    </row>
    <row r="276" spans="1:4" ht="28.5">
      <c r="A276" s="305"/>
      <c r="B276" s="306"/>
      <c r="C276" s="30" t="s">
        <v>2533</v>
      </c>
      <c r="D276" s="305"/>
    </row>
    <row r="277" spans="1:4">
      <c r="A277" s="305"/>
      <c r="B277" s="306"/>
      <c r="C277" s="30"/>
      <c r="D277" s="305"/>
    </row>
    <row r="278" spans="1:4">
      <c r="A278" s="305"/>
      <c r="B278" s="306"/>
      <c r="C278" s="276" t="s">
        <v>2534</v>
      </c>
      <c r="D278" s="305"/>
    </row>
    <row r="279" spans="1:4">
      <c r="A279" s="305"/>
      <c r="B279" s="306"/>
      <c r="C279" s="30"/>
      <c r="D279" s="305"/>
    </row>
    <row r="280" spans="1:4">
      <c r="A280" s="305" t="s">
        <v>2525</v>
      </c>
      <c r="B280" s="306">
        <v>44280</v>
      </c>
      <c r="C280" s="275" t="s">
        <v>2535</v>
      </c>
      <c r="D280" s="305"/>
    </row>
    <row r="281" spans="1:4" ht="28.5">
      <c r="A281" s="305"/>
      <c r="B281" s="306"/>
      <c r="C281" s="30" t="s">
        <v>2536</v>
      </c>
      <c r="D281" s="305"/>
    </row>
    <row r="282" spans="1:4">
      <c r="A282" s="305"/>
      <c r="B282" s="306"/>
      <c r="C282" s="30"/>
      <c r="D282" s="305"/>
    </row>
    <row r="283" spans="1:4">
      <c r="A283" s="305" t="s">
        <v>2525</v>
      </c>
      <c r="B283" s="306">
        <v>44280</v>
      </c>
      <c r="C283" s="275" t="s">
        <v>2537</v>
      </c>
      <c r="D283" s="305"/>
    </row>
    <row r="284" spans="1:4" ht="28.5">
      <c r="A284" s="305"/>
      <c r="B284" s="306"/>
      <c r="C284" s="30" t="s">
        <v>2538</v>
      </c>
      <c r="D284" s="305"/>
    </row>
    <row r="285" spans="1:4">
      <c r="A285" s="305"/>
      <c r="B285" s="306"/>
      <c r="C285" s="30"/>
      <c r="D285" s="305"/>
    </row>
    <row r="286" spans="1:4">
      <c r="A286" s="305"/>
      <c r="B286" s="306"/>
      <c r="C286" s="276" t="s">
        <v>2534</v>
      </c>
      <c r="D286" s="305"/>
    </row>
    <row r="287" spans="1:4">
      <c r="A287" s="305"/>
      <c r="B287" s="306"/>
      <c r="C287" s="30"/>
      <c r="D287" s="305"/>
    </row>
    <row r="288" spans="1:4">
      <c r="A288" s="305"/>
      <c r="B288" s="306">
        <v>44280</v>
      </c>
      <c r="C288" s="275" t="s">
        <v>2539</v>
      </c>
      <c r="D288" s="305"/>
    </row>
    <row r="289" spans="1:4" ht="28.5">
      <c r="A289" s="305"/>
      <c r="B289" s="306"/>
      <c r="C289" s="30" t="s">
        <v>2540</v>
      </c>
      <c r="D289" s="305"/>
    </row>
    <row r="290" spans="1:4">
      <c r="A290" s="305"/>
      <c r="B290" s="306"/>
      <c r="C290" s="30"/>
      <c r="D290" s="305"/>
    </row>
    <row r="291" spans="1:4">
      <c r="A291" s="305" t="s">
        <v>2525</v>
      </c>
      <c r="B291" s="306">
        <v>44280</v>
      </c>
      <c r="C291" s="275" t="s">
        <v>2541</v>
      </c>
      <c r="D291" s="305"/>
    </row>
    <row r="292" spans="1:4" ht="28.5">
      <c r="A292" s="305"/>
      <c r="B292" s="306"/>
      <c r="C292" s="30" t="s">
        <v>2542</v>
      </c>
      <c r="D292" s="305"/>
    </row>
    <row r="293" spans="1:4">
      <c r="A293" s="305"/>
      <c r="B293" s="306"/>
      <c r="C293" s="30"/>
      <c r="D293" s="305"/>
    </row>
    <row r="294" spans="1:4">
      <c r="A294" s="305" t="s">
        <v>2525</v>
      </c>
      <c r="B294" s="306">
        <v>44280</v>
      </c>
      <c r="C294" s="275" t="s">
        <v>2543</v>
      </c>
      <c r="D294" s="305"/>
    </row>
    <row r="295" spans="1:4" ht="28.5">
      <c r="A295" s="305"/>
      <c r="B295" s="306"/>
      <c r="C295" s="30" t="s">
        <v>2544</v>
      </c>
      <c r="D295" s="305"/>
    </row>
    <row r="296" spans="1:4">
      <c r="A296" s="305"/>
      <c r="B296" s="306"/>
      <c r="C296" s="30"/>
      <c r="D296" s="305"/>
    </row>
    <row r="297" spans="1:4">
      <c r="A297" s="305"/>
      <c r="B297" s="306"/>
      <c r="C297" s="276" t="s">
        <v>2534</v>
      </c>
      <c r="D297" s="305"/>
    </row>
    <row r="298" spans="1:4">
      <c r="A298" s="305"/>
      <c r="B298" s="306"/>
      <c r="C298" s="30"/>
      <c r="D298" s="305"/>
    </row>
    <row r="299" spans="1:4">
      <c r="A299" s="305" t="s">
        <v>2525</v>
      </c>
      <c r="B299" s="306">
        <v>44280</v>
      </c>
      <c r="C299" s="275" t="s">
        <v>2545</v>
      </c>
      <c r="D299" s="305"/>
    </row>
    <row r="300" spans="1:4" ht="28.5">
      <c r="A300" s="305"/>
      <c r="B300" s="306"/>
      <c r="C300" s="30" t="s">
        <v>2546</v>
      </c>
      <c r="D300" s="305"/>
    </row>
    <row r="301" spans="1:4">
      <c r="A301" s="305"/>
      <c r="B301" s="306"/>
      <c r="C301" s="30"/>
      <c r="D301" s="305"/>
    </row>
    <row r="302" spans="1:4">
      <c r="A302" s="305" t="s">
        <v>2525</v>
      </c>
      <c r="B302" s="306">
        <v>44280</v>
      </c>
      <c r="C302" s="275" t="s">
        <v>2547</v>
      </c>
      <c r="D302" s="305"/>
    </row>
    <row r="303" spans="1:4" ht="28.5">
      <c r="A303" s="305"/>
      <c r="B303" s="306"/>
      <c r="C303" s="30" t="s">
        <v>2548</v>
      </c>
      <c r="D303" s="305"/>
    </row>
    <row r="304" spans="1:4">
      <c r="A304" s="305"/>
      <c r="B304" s="306"/>
      <c r="C304" s="30"/>
      <c r="D304" s="305"/>
    </row>
    <row r="305" spans="1:4">
      <c r="A305" s="305" t="s">
        <v>2525</v>
      </c>
      <c r="B305" s="306">
        <v>44280</v>
      </c>
      <c r="C305" s="275" t="s">
        <v>2547</v>
      </c>
      <c r="D305" s="305"/>
    </row>
    <row r="306" spans="1:4" ht="28.5">
      <c r="A306" s="305"/>
      <c r="B306" s="306"/>
      <c r="C306" s="30" t="s">
        <v>2549</v>
      </c>
      <c r="D306" s="305"/>
    </row>
    <row r="307" spans="1:4">
      <c r="A307" s="305"/>
      <c r="B307" s="306"/>
      <c r="C307" s="30"/>
      <c r="D307" s="305"/>
    </row>
    <row r="308" spans="1:4">
      <c r="A308" s="305" t="s">
        <v>2525</v>
      </c>
      <c r="B308" s="306">
        <v>44280</v>
      </c>
      <c r="C308" s="275" t="s">
        <v>2550</v>
      </c>
      <c r="D308" s="305"/>
    </row>
    <row r="309" spans="1:4" ht="28.5">
      <c r="A309" s="305"/>
      <c r="B309" s="306"/>
      <c r="C309" s="30" t="s">
        <v>2551</v>
      </c>
      <c r="D309" s="305"/>
    </row>
    <row r="310" spans="1:4">
      <c r="A310" s="305"/>
      <c r="B310" s="306"/>
      <c r="C310" s="30"/>
      <c r="D310" s="305"/>
    </row>
    <row r="311" spans="1:4">
      <c r="A311" s="305"/>
      <c r="B311" s="306"/>
      <c r="C311" s="276" t="s">
        <v>2534</v>
      </c>
      <c r="D311" s="305"/>
    </row>
    <row r="312" spans="1:4">
      <c r="A312" s="305"/>
      <c r="B312" s="306"/>
      <c r="C312" s="30"/>
      <c r="D312" s="305"/>
    </row>
    <row r="313" spans="1:4">
      <c r="A313" s="305" t="s">
        <v>2525</v>
      </c>
      <c r="B313" s="306">
        <v>44280</v>
      </c>
      <c r="C313" s="275" t="s">
        <v>2552</v>
      </c>
      <c r="D313" s="305"/>
    </row>
    <row r="314" spans="1:4" ht="28.5">
      <c r="A314" s="305"/>
      <c r="B314" s="306"/>
      <c r="C314" s="30" t="s">
        <v>2553</v>
      </c>
      <c r="D314" s="305"/>
    </row>
    <row r="315" spans="1:4">
      <c r="A315" s="305"/>
      <c r="B315" s="306"/>
      <c r="C315" s="30"/>
      <c r="D315" s="305"/>
    </row>
    <row r="316" spans="1:4">
      <c r="A316" s="305"/>
      <c r="B316" s="306"/>
      <c r="C316" s="276" t="s">
        <v>2534</v>
      </c>
      <c r="D316" s="305"/>
    </row>
    <row r="317" spans="1:4">
      <c r="A317" s="305"/>
      <c r="B317" s="306"/>
      <c r="C317" s="30"/>
      <c r="D317" s="305"/>
    </row>
    <row r="318" spans="1:4">
      <c r="A318" s="305" t="s">
        <v>2525</v>
      </c>
      <c r="B318" s="306">
        <v>44280</v>
      </c>
      <c r="C318" s="275" t="s">
        <v>2554</v>
      </c>
      <c r="D318" s="305"/>
    </row>
    <row r="319" spans="1:4" ht="28.5">
      <c r="A319" s="305"/>
      <c r="B319" s="306"/>
      <c r="C319" s="30" t="s">
        <v>2555</v>
      </c>
      <c r="D319" s="305"/>
    </row>
    <row r="320" spans="1:4">
      <c r="A320" s="305"/>
      <c r="B320" s="306"/>
      <c r="C320" s="30"/>
      <c r="D320" s="305"/>
    </row>
    <row r="321" spans="1:4">
      <c r="A321" s="305"/>
      <c r="B321" s="306"/>
      <c r="C321" s="276" t="s">
        <v>2534</v>
      </c>
      <c r="D321" s="305"/>
    </row>
    <row r="322" spans="1:4">
      <c r="A322" s="305"/>
      <c r="B322" s="306"/>
      <c r="C322" s="30"/>
      <c r="D322" s="305"/>
    </row>
    <row r="323" spans="1:4">
      <c r="A323" s="305" t="s">
        <v>2525</v>
      </c>
      <c r="B323" s="306">
        <v>44280</v>
      </c>
      <c r="C323" s="275" t="s">
        <v>2556</v>
      </c>
      <c r="D323" s="305"/>
    </row>
    <row r="324" spans="1:4" ht="28.5">
      <c r="A324" s="305"/>
      <c r="B324" s="306"/>
      <c r="C324" s="30" t="s">
        <v>2557</v>
      </c>
      <c r="D324" s="305"/>
    </row>
    <row r="325" spans="1:4">
      <c r="A325" s="305"/>
      <c r="B325" s="306"/>
      <c r="C325" s="30"/>
      <c r="D325" s="305"/>
    </row>
    <row r="326" spans="1:4">
      <c r="A326" s="305"/>
      <c r="B326" s="306"/>
      <c r="C326" s="276" t="s">
        <v>2534</v>
      </c>
      <c r="D326" s="305"/>
    </row>
    <row r="327" spans="1:4">
      <c r="A327" s="305"/>
      <c r="B327" s="306"/>
      <c r="C327" s="30"/>
      <c r="D327" s="305"/>
    </row>
    <row r="328" spans="1:4">
      <c r="A328" s="305" t="s">
        <v>2525</v>
      </c>
      <c r="B328" s="306">
        <v>44280</v>
      </c>
      <c r="C328" s="275" t="s">
        <v>2558</v>
      </c>
      <c r="D328" s="305"/>
    </row>
    <row r="329" spans="1:4" ht="28.5">
      <c r="A329" s="305"/>
      <c r="B329" s="306"/>
      <c r="C329" s="30" t="s">
        <v>2559</v>
      </c>
      <c r="D329" s="305"/>
    </row>
    <row r="330" spans="1:4">
      <c r="A330" s="305"/>
      <c r="B330" s="306"/>
      <c r="C330" s="30"/>
      <c r="D330" s="305"/>
    </row>
    <row r="331" spans="1:4">
      <c r="A331" s="305"/>
      <c r="B331" s="306"/>
      <c r="C331" s="276" t="s">
        <v>2534</v>
      </c>
      <c r="D331" s="305"/>
    </row>
    <row r="332" spans="1:4">
      <c r="A332" s="305"/>
      <c r="B332" s="306"/>
      <c r="C332" s="30"/>
      <c r="D332" s="305"/>
    </row>
    <row r="333" spans="1:4">
      <c r="A333" s="305" t="s">
        <v>2525</v>
      </c>
      <c r="B333" s="306">
        <v>44280</v>
      </c>
      <c r="C333" s="275" t="s">
        <v>2560</v>
      </c>
      <c r="D333" s="305"/>
    </row>
    <row r="334" spans="1:4" ht="28.5">
      <c r="A334" s="305"/>
      <c r="B334" s="306"/>
      <c r="C334" s="30" t="s">
        <v>2561</v>
      </c>
      <c r="D334" s="305"/>
    </row>
    <row r="335" spans="1:4">
      <c r="A335" s="305"/>
      <c r="B335" s="306"/>
      <c r="C335" s="30"/>
      <c r="D335" s="305"/>
    </row>
    <row r="336" spans="1:4">
      <c r="A336" s="305"/>
      <c r="B336" s="306"/>
      <c r="C336" s="276" t="s">
        <v>2534</v>
      </c>
      <c r="D336" s="305"/>
    </row>
    <row r="337" spans="1:4">
      <c r="A337" s="305"/>
      <c r="B337" s="306"/>
      <c r="C337" s="30"/>
      <c r="D337" s="305"/>
    </row>
    <row r="338" spans="1:4">
      <c r="A338" s="305" t="s">
        <v>2525</v>
      </c>
      <c r="B338" s="306">
        <v>44280</v>
      </c>
      <c r="C338" s="275" t="s">
        <v>2562</v>
      </c>
      <c r="D338" s="305"/>
    </row>
    <row r="339" spans="1:4" ht="28.5">
      <c r="A339" s="305"/>
      <c r="B339" s="306"/>
      <c r="C339" s="30" t="s">
        <v>2563</v>
      </c>
      <c r="D339" s="305"/>
    </row>
    <row r="340" spans="1:4">
      <c r="A340" s="305"/>
      <c r="B340" s="306"/>
      <c r="C340" s="30"/>
      <c r="D340" s="305"/>
    </row>
    <row r="341" spans="1:4">
      <c r="A341" s="305"/>
      <c r="B341" s="306"/>
      <c r="C341" s="276" t="s">
        <v>2534</v>
      </c>
      <c r="D341" s="305"/>
    </row>
    <row r="342" spans="1:4">
      <c r="A342" s="305"/>
      <c r="B342" s="306"/>
      <c r="C342" s="30"/>
      <c r="D342" s="305"/>
    </row>
    <row r="343" spans="1:4">
      <c r="A343" s="305" t="s">
        <v>2525</v>
      </c>
      <c r="B343" s="306">
        <v>44280</v>
      </c>
      <c r="C343" s="275" t="s">
        <v>2564</v>
      </c>
    </row>
    <row r="344" spans="1:4" ht="28.5">
      <c r="A344" s="305"/>
      <c r="B344" s="306"/>
      <c r="C344" s="30" t="s">
        <v>2565</v>
      </c>
    </row>
    <row r="345" spans="1:4">
      <c r="A345" s="305"/>
      <c r="B345" s="306"/>
      <c r="C345" s="30"/>
    </row>
    <row r="346" spans="1:4">
      <c r="A346" s="305" t="s">
        <v>2525</v>
      </c>
      <c r="B346" s="306">
        <v>44280</v>
      </c>
      <c r="C346" s="275" t="s">
        <v>2566</v>
      </c>
      <c r="D346" s="305"/>
    </row>
    <row r="347" spans="1:4" ht="28.5">
      <c r="A347" s="305"/>
      <c r="B347" s="306"/>
      <c r="C347" s="30" t="s">
        <v>2567</v>
      </c>
      <c r="D347" s="305"/>
    </row>
    <row r="348" spans="1:4">
      <c r="A348" s="305"/>
      <c r="B348" s="306"/>
      <c r="C348" s="30"/>
      <c r="D348" s="305"/>
    </row>
    <row r="349" spans="1:4">
      <c r="A349" s="305"/>
      <c r="B349" s="306"/>
      <c r="C349" s="276" t="s">
        <v>2534</v>
      </c>
      <c r="D349" s="305"/>
    </row>
    <row r="350" spans="1:4">
      <c r="A350" s="305"/>
      <c r="B350" s="306"/>
      <c r="C350" s="30"/>
      <c r="D350" s="305"/>
    </row>
    <row r="351" spans="1:4">
      <c r="A351" s="305" t="s">
        <v>2525</v>
      </c>
      <c r="B351" s="306">
        <v>44279</v>
      </c>
      <c r="C351" s="275" t="s">
        <v>2568</v>
      </c>
      <c r="D351" s="305"/>
    </row>
    <row r="352" spans="1:4" ht="28.5">
      <c r="A352" s="305"/>
      <c r="B352" s="306"/>
      <c r="C352" s="30" t="s">
        <v>2569</v>
      </c>
      <c r="D352" s="305"/>
    </row>
    <row r="353" spans="1:4">
      <c r="A353" s="305"/>
      <c r="B353" s="306"/>
      <c r="C353" s="30"/>
      <c r="D353" s="305"/>
    </row>
    <row r="354" spans="1:4">
      <c r="A354" s="305" t="s">
        <v>2525</v>
      </c>
      <c r="B354" s="306">
        <v>44279</v>
      </c>
      <c r="C354" s="275" t="s">
        <v>2570</v>
      </c>
      <c r="D354" s="305"/>
    </row>
    <row r="355" spans="1:4" ht="28.5">
      <c r="A355" s="305"/>
      <c r="B355" s="306"/>
      <c r="C355" s="30" t="s">
        <v>2571</v>
      </c>
      <c r="D355" s="305"/>
    </row>
    <row r="356" spans="1:4">
      <c r="A356" s="305"/>
      <c r="B356" s="306"/>
      <c r="C356" s="30"/>
      <c r="D356" s="305"/>
    </row>
    <row r="357" spans="1:4">
      <c r="A357" s="305"/>
      <c r="B357" s="306"/>
      <c r="C357" s="276" t="s">
        <v>2534</v>
      </c>
      <c r="D357" s="305"/>
    </row>
    <row r="358" spans="1:4">
      <c r="A358" s="305"/>
      <c r="B358" s="306"/>
      <c r="C358" s="30"/>
      <c r="D358" s="305"/>
    </row>
    <row r="359" spans="1:4">
      <c r="A359" s="305" t="s">
        <v>2525</v>
      </c>
      <c r="B359" s="306">
        <v>44278</v>
      </c>
      <c r="C359" s="275" t="s">
        <v>2568</v>
      </c>
      <c r="D359" s="305"/>
    </row>
    <row r="360" spans="1:4" ht="28.5">
      <c r="A360" s="305"/>
      <c r="B360" s="306"/>
      <c r="C360" s="30" t="s">
        <v>2569</v>
      </c>
      <c r="D360" s="305"/>
    </row>
    <row r="361" spans="1:4">
      <c r="A361" s="305"/>
      <c r="B361" s="306"/>
      <c r="C361" s="30"/>
      <c r="D361" s="305"/>
    </row>
    <row r="362" spans="1:4">
      <c r="A362" s="305" t="s">
        <v>2525</v>
      </c>
      <c r="B362" s="306">
        <v>44277</v>
      </c>
      <c r="C362" s="275" t="s">
        <v>2572</v>
      </c>
      <c r="D362" s="305"/>
    </row>
    <row r="363" spans="1:4" ht="28.5">
      <c r="A363" s="305"/>
      <c r="B363" s="306"/>
      <c r="C363" s="30" t="s">
        <v>2573</v>
      </c>
      <c r="D363" s="305"/>
    </row>
    <row r="364" spans="1:4">
      <c r="A364" s="305"/>
      <c r="B364" s="306"/>
      <c r="C364" s="30"/>
      <c r="D364" s="305"/>
    </row>
    <row r="365" spans="1:4">
      <c r="A365" s="305" t="s">
        <v>2525</v>
      </c>
      <c r="B365" s="306">
        <v>44277</v>
      </c>
      <c r="C365" s="275" t="s">
        <v>2574</v>
      </c>
      <c r="D365" s="305"/>
    </row>
    <row r="366" spans="1:4" ht="28.5">
      <c r="A366" s="305"/>
      <c r="B366" s="306"/>
      <c r="C366" s="30" t="s">
        <v>2575</v>
      </c>
      <c r="D366" s="305"/>
    </row>
    <row r="367" spans="1:4">
      <c r="A367" s="305"/>
      <c r="B367" s="306"/>
      <c r="C367" s="30"/>
      <c r="D367" s="305"/>
    </row>
    <row r="368" spans="1:4">
      <c r="A368" s="305"/>
      <c r="B368" s="306"/>
      <c r="C368" s="276" t="s">
        <v>2534</v>
      </c>
      <c r="D368" s="305"/>
    </row>
    <row r="369" spans="1:4">
      <c r="A369" s="305"/>
      <c r="B369" s="306"/>
      <c r="C369" s="30"/>
      <c r="D369" s="305"/>
    </row>
    <row r="370" spans="1:4">
      <c r="A370" s="305" t="s">
        <v>2525</v>
      </c>
      <c r="B370" s="306">
        <v>44277</v>
      </c>
      <c r="C370" s="275" t="s">
        <v>2576</v>
      </c>
      <c r="D370" s="305"/>
    </row>
    <row r="371" spans="1:4" ht="28.5">
      <c r="A371" s="305"/>
      <c r="B371" s="306"/>
      <c r="C371" s="30" t="s">
        <v>2577</v>
      </c>
      <c r="D371" s="305"/>
    </row>
    <row r="372" spans="1:4">
      <c r="A372" s="305"/>
      <c r="B372" s="306"/>
      <c r="C372" s="30"/>
      <c r="D372" s="305"/>
    </row>
    <row r="373" spans="1:4">
      <c r="A373" s="305" t="s">
        <v>2525</v>
      </c>
      <c r="B373" s="306">
        <v>44271</v>
      </c>
      <c r="C373" s="275" t="s">
        <v>2578</v>
      </c>
      <c r="D373" s="305"/>
    </row>
    <row r="374" spans="1:4" ht="28.5">
      <c r="A374" s="305"/>
      <c r="B374" s="306"/>
      <c r="C374" s="30" t="s">
        <v>2579</v>
      </c>
      <c r="D374" s="305"/>
    </row>
    <row r="375" spans="1:4">
      <c r="A375" s="305"/>
      <c r="B375" s="306"/>
      <c r="C375" s="30"/>
      <c r="D375" s="305"/>
    </row>
    <row r="376" spans="1:4">
      <c r="A376" s="305"/>
      <c r="B376" s="306"/>
      <c r="C376" s="276" t="s">
        <v>2534</v>
      </c>
      <c r="D376" s="305"/>
    </row>
    <row r="377" spans="1:4">
      <c r="A377" s="305"/>
      <c r="B377" s="306"/>
      <c r="C377" s="30"/>
      <c r="D377" s="305"/>
    </row>
    <row r="378" spans="1:4">
      <c r="A378" s="305" t="s">
        <v>2525</v>
      </c>
      <c r="B378" s="306">
        <v>44271</v>
      </c>
      <c r="C378" s="275" t="s">
        <v>2580</v>
      </c>
      <c r="D378" s="305"/>
    </row>
    <row r="379" spans="1:4" ht="28.5">
      <c r="A379" s="305"/>
      <c r="B379" s="306"/>
      <c r="C379" s="30" t="s">
        <v>2581</v>
      </c>
      <c r="D379" s="305"/>
    </row>
    <row r="380" spans="1:4">
      <c r="A380" s="305"/>
      <c r="B380" s="306"/>
      <c r="C380" s="30"/>
      <c r="D380" s="305"/>
    </row>
    <row r="381" spans="1:4">
      <c r="A381" s="305"/>
      <c r="B381" s="306"/>
      <c r="C381" s="276" t="s">
        <v>2534</v>
      </c>
      <c r="D381" s="305"/>
    </row>
    <row r="382" spans="1:4">
      <c r="A382" s="305"/>
      <c r="B382" s="306"/>
      <c r="C382" s="30"/>
      <c r="D382" s="305"/>
    </row>
    <row r="383" spans="1:4">
      <c r="A383" s="305" t="s">
        <v>2525</v>
      </c>
      <c r="B383" s="306">
        <v>44269</v>
      </c>
      <c r="C383" s="275" t="s">
        <v>2582</v>
      </c>
      <c r="D383" s="305"/>
    </row>
    <row r="384" spans="1:4" ht="28.5">
      <c r="A384" s="305"/>
      <c r="B384" s="306"/>
      <c r="C384" s="30" t="s">
        <v>2583</v>
      </c>
      <c r="D384" s="305"/>
    </row>
    <row r="385" spans="1:4">
      <c r="A385" s="305"/>
      <c r="B385" s="306"/>
      <c r="C385" s="30"/>
      <c r="D385" s="305"/>
    </row>
    <row r="386" spans="1:4">
      <c r="A386" s="305" t="s">
        <v>2525</v>
      </c>
      <c r="B386" s="306">
        <v>44269</v>
      </c>
      <c r="C386" s="275" t="s">
        <v>2584</v>
      </c>
      <c r="D386" s="305"/>
    </row>
    <row r="387" spans="1:4" ht="28.5">
      <c r="A387" s="305"/>
      <c r="B387" s="306"/>
      <c r="C387" s="30" t="s">
        <v>2585</v>
      </c>
      <c r="D387" s="305"/>
    </row>
    <row r="388" spans="1:4">
      <c r="A388" s="305"/>
      <c r="B388" s="306"/>
      <c r="C388" s="30"/>
      <c r="D388" s="305"/>
    </row>
    <row r="389" spans="1:4">
      <c r="A389" s="305"/>
      <c r="B389" s="306"/>
      <c r="C389" s="276" t="s">
        <v>2534</v>
      </c>
      <c r="D389" s="305"/>
    </row>
    <row r="390" spans="1:4">
      <c r="A390" s="305"/>
      <c r="B390" s="306"/>
      <c r="C390" s="30"/>
      <c r="D390" s="305"/>
    </row>
    <row r="391" spans="1:4">
      <c r="A391" s="305" t="s">
        <v>2525</v>
      </c>
      <c r="B391" s="306">
        <v>44268</v>
      </c>
      <c r="C391" s="275" t="s">
        <v>2539</v>
      </c>
      <c r="D391" s="305"/>
    </row>
    <row r="392" spans="1:4" ht="28.5">
      <c r="A392" s="305"/>
      <c r="B392" s="306"/>
      <c r="C392" s="30" t="s">
        <v>2586</v>
      </c>
      <c r="D392" s="305"/>
    </row>
    <row r="393" spans="1:4">
      <c r="A393" s="305"/>
      <c r="B393" s="306"/>
      <c r="C393" s="30"/>
      <c r="D393" s="305"/>
    </row>
    <row r="394" spans="1:4">
      <c r="A394" s="305" t="s">
        <v>2525</v>
      </c>
      <c r="B394" s="306">
        <v>44268</v>
      </c>
      <c r="C394" s="275" t="s">
        <v>2587</v>
      </c>
      <c r="D394" s="305"/>
    </row>
    <row r="395" spans="1:4" ht="28.5">
      <c r="A395" s="305"/>
      <c r="B395" s="306"/>
      <c r="C395" s="30" t="s">
        <v>2588</v>
      </c>
      <c r="D395" s="305"/>
    </row>
    <row r="396" spans="1:4">
      <c r="A396" s="305"/>
      <c r="B396" s="306"/>
      <c r="C396" s="30"/>
      <c r="D396" s="305"/>
    </row>
    <row r="397" spans="1:4">
      <c r="A397" s="305" t="s">
        <v>2525</v>
      </c>
      <c r="B397" s="306">
        <v>44268</v>
      </c>
      <c r="C397" s="275" t="s">
        <v>2589</v>
      </c>
      <c r="D397" s="305"/>
    </row>
    <row r="398" spans="1:4" ht="28.5">
      <c r="A398" s="305"/>
      <c r="B398" s="306"/>
      <c r="C398" s="30" t="s">
        <v>2590</v>
      </c>
      <c r="D398" s="305"/>
    </row>
    <row r="399" spans="1:4">
      <c r="A399" s="305"/>
      <c r="B399" s="306"/>
      <c r="C399" s="30"/>
      <c r="D399" s="305"/>
    </row>
    <row r="400" spans="1:4">
      <c r="A400" s="305" t="s">
        <v>2525</v>
      </c>
      <c r="B400" s="306">
        <v>44268</v>
      </c>
      <c r="C400" s="275" t="s">
        <v>2552</v>
      </c>
      <c r="D400" s="305"/>
    </row>
    <row r="401" spans="1:4" ht="28.5">
      <c r="A401" s="305"/>
      <c r="B401" s="306"/>
      <c r="C401" s="30" t="s">
        <v>2553</v>
      </c>
      <c r="D401" s="305"/>
    </row>
    <row r="402" spans="1:4">
      <c r="A402" s="305"/>
      <c r="B402" s="306"/>
      <c r="C402" s="30"/>
      <c r="D402" s="305"/>
    </row>
    <row r="403" spans="1:4">
      <c r="A403" s="305"/>
      <c r="B403" s="306"/>
      <c r="C403" s="276" t="s">
        <v>2534</v>
      </c>
      <c r="D403" s="305"/>
    </row>
    <row r="404" spans="1:4">
      <c r="A404" s="305"/>
      <c r="B404" s="306"/>
      <c r="C404" s="30"/>
      <c r="D404" s="305"/>
    </row>
    <row r="405" spans="1:4">
      <c r="A405" s="305"/>
      <c r="B405" s="306">
        <v>44268</v>
      </c>
      <c r="C405" s="275" t="s">
        <v>2591</v>
      </c>
      <c r="D405" s="305"/>
    </row>
    <row r="406" spans="1:4" ht="28.5">
      <c r="A406" s="305"/>
      <c r="B406" s="306"/>
      <c r="C406" s="30" t="s">
        <v>2592</v>
      </c>
      <c r="D406" s="305"/>
    </row>
    <row r="407" spans="1:4">
      <c r="A407" s="305"/>
      <c r="B407" s="306"/>
      <c r="C407" s="30"/>
      <c r="D407" s="305"/>
    </row>
    <row r="408" spans="1:4">
      <c r="A408" s="305"/>
      <c r="B408" s="306"/>
      <c r="C408" s="276" t="s">
        <v>2534</v>
      </c>
      <c r="D408" s="305"/>
    </row>
    <row r="409" spans="1:4">
      <c r="A409" s="305"/>
      <c r="B409" s="306"/>
      <c r="C409" s="30"/>
      <c r="D409" s="305"/>
    </row>
    <row r="410" spans="1:4">
      <c r="A410" s="305" t="s">
        <v>2525</v>
      </c>
      <c r="B410" s="306">
        <v>44267</v>
      </c>
      <c r="C410" s="275" t="s">
        <v>2593</v>
      </c>
      <c r="D410" s="305"/>
    </row>
    <row r="411" spans="1:4" ht="28.5">
      <c r="A411" s="305"/>
      <c r="B411" s="306"/>
      <c r="C411" s="30" t="s">
        <v>2594</v>
      </c>
      <c r="D411" s="305"/>
    </row>
    <row r="412" spans="1:4">
      <c r="A412" s="305"/>
      <c r="B412" s="306"/>
      <c r="C412" s="30"/>
      <c r="D412" s="305"/>
    </row>
    <row r="413" spans="1:4">
      <c r="A413" s="305"/>
      <c r="B413" s="306"/>
      <c r="C413" s="276" t="s">
        <v>2534</v>
      </c>
      <c r="D413" s="305"/>
    </row>
    <row r="414" spans="1:4">
      <c r="A414" s="305"/>
      <c r="B414" s="306"/>
      <c r="C414" s="30"/>
      <c r="D414" s="305"/>
    </row>
    <row r="415" spans="1:4">
      <c r="A415" s="305" t="s">
        <v>2525</v>
      </c>
      <c r="B415" s="306">
        <v>44267</v>
      </c>
      <c r="C415" s="275" t="s">
        <v>2595</v>
      </c>
      <c r="D415" s="305"/>
    </row>
    <row r="416" spans="1:4">
      <c r="A416" s="305"/>
      <c r="B416" s="306"/>
      <c r="C416" s="30" t="s">
        <v>2596</v>
      </c>
      <c r="D416" s="305"/>
    </row>
    <row r="417" spans="1:4">
      <c r="A417" s="305"/>
      <c r="B417" s="306"/>
      <c r="C417" s="30"/>
      <c r="D417" s="305"/>
    </row>
    <row r="418" spans="1:4">
      <c r="A418" s="305" t="s">
        <v>2525</v>
      </c>
      <c r="B418" s="306">
        <v>44267</v>
      </c>
      <c r="C418" s="275" t="s">
        <v>2597</v>
      </c>
      <c r="D418" s="305"/>
    </row>
    <row r="419" spans="1:4" ht="28.5">
      <c r="A419" s="305"/>
      <c r="B419" s="306"/>
      <c r="C419" s="30" t="s">
        <v>2598</v>
      </c>
      <c r="D419" s="305"/>
    </row>
    <row r="420" spans="1:4">
      <c r="A420" s="305"/>
      <c r="B420" s="306"/>
      <c r="C420" s="30"/>
      <c r="D420" s="305"/>
    </row>
    <row r="421" spans="1:4">
      <c r="A421" s="305"/>
      <c r="B421" s="306"/>
      <c r="C421" s="276" t="s">
        <v>2534</v>
      </c>
      <c r="D421" s="305"/>
    </row>
    <row r="422" spans="1:4">
      <c r="A422" s="305"/>
      <c r="B422" s="306"/>
      <c r="C422" s="30"/>
      <c r="D422" s="305"/>
    </row>
    <row r="423" spans="1:4">
      <c r="A423" s="305" t="s">
        <v>2525</v>
      </c>
      <c r="B423" s="306">
        <v>44266</v>
      </c>
      <c r="C423" s="275" t="s">
        <v>2554</v>
      </c>
    </row>
    <row r="424" spans="1:4" ht="28.5">
      <c r="A424" s="305"/>
      <c r="B424" s="306"/>
      <c r="C424" s="30" t="s">
        <v>2555</v>
      </c>
    </row>
    <row r="425" spans="1:4">
      <c r="A425" s="305"/>
      <c r="B425" s="306"/>
      <c r="C425" s="30"/>
    </row>
    <row r="426" spans="1:4">
      <c r="A426" s="305"/>
      <c r="B426" s="306"/>
      <c r="C426" s="276" t="s">
        <v>2534</v>
      </c>
    </row>
    <row r="427" spans="1:4">
      <c r="A427" s="305"/>
      <c r="B427" s="306"/>
      <c r="C427" s="30"/>
    </row>
    <row r="428" spans="1:4">
      <c r="A428" s="305" t="s">
        <v>2525</v>
      </c>
      <c r="B428" s="306">
        <v>44266</v>
      </c>
      <c r="C428" s="275" t="s">
        <v>2599</v>
      </c>
      <c r="D428" s="305"/>
    </row>
    <row r="429" spans="1:4" ht="28.5">
      <c r="A429" s="305"/>
      <c r="B429" s="306"/>
      <c r="C429" s="30" t="s">
        <v>2600</v>
      </c>
      <c r="D429" s="305"/>
    </row>
    <row r="430" spans="1:4">
      <c r="A430" s="305"/>
      <c r="B430" s="306"/>
      <c r="C430" s="30"/>
      <c r="D430" s="305"/>
    </row>
    <row r="431" spans="1:4">
      <c r="A431" s="305" t="s">
        <v>2525</v>
      </c>
      <c r="B431" s="306">
        <v>44266</v>
      </c>
      <c r="C431" s="275" t="s">
        <v>2601</v>
      </c>
      <c r="D431" s="305"/>
    </row>
    <row r="432" spans="1:4" ht="28.5">
      <c r="A432" s="305"/>
      <c r="B432" s="306"/>
      <c r="C432" s="30" t="s">
        <v>2602</v>
      </c>
      <c r="D432" s="305"/>
    </row>
    <row r="433" spans="1:4">
      <c r="A433" s="305"/>
      <c r="B433" s="306"/>
      <c r="C433" s="30"/>
      <c r="D433" s="305"/>
    </row>
    <row r="434" spans="1:4">
      <c r="A434" s="305"/>
      <c r="B434" s="306"/>
      <c r="C434" s="276" t="s">
        <v>2534</v>
      </c>
      <c r="D434" s="305"/>
    </row>
    <row r="435" spans="1:4">
      <c r="A435" s="305"/>
      <c r="B435" s="306"/>
      <c r="C435" s="30"/>
      <c r="D435" s="305"/>
    </row>
    <row r="436" spans="1:4">
      <c r="A436" s="305"/>
      <c r="B436" s="306">
        <v>44265</v>
      </c>
      <c r="C436" s="275" t="s">
        <v>2603</v>
      </c>
      <c r="D436" s="305"/>
    </row>
    <row r="437" spans="1:4" ht="28.5">
      <c r="A437" s="305"/>
      <c r="B437" s="306"/>
      <c r="C437" s="30" t="s">
        <v>2604</v>
      </c>
      <c r="D437" s="305"/>
    </row>
    <row r="438" spans="1:4">
      <c r="A438" s="305"/>
      <c r="B438" s="306"/>
      <c r="C438" s="30"/>
      <c r="D438" s="305"/>
    </row>
    <row r="439" spans="1:4">
      <c r="A439" s="305"/>
      <c r="B439" s="306"/>
      <c r="C439" s="276" t="s">
        <v>2534</v>
      </c>
      <c r="D439" s="305"/>
    </row>
    <row r="440" spans="1:4">
      <c r="A440" s="305"/>
      <c r="B440" s="306"/>
      <c r="C440" s="30"/>
      <c r="D440" s="305"/>
    </row>
    <row r="441" spans="1:4">
      <c r="A441" s="305" t="s">
        <v>2525</v>
      </c>
      <c r="B441" s="306">
        <v>44265</v>
      </c>
      <c r="C441" s="275" t="s">
        <v>2605</v>
      </c>
      <c r="D441" s="305"/>
    </row>
    <row r="442" spans="1:4" ht="28.5">
      <c r="A442" s="305"/>
      <c r="B442" s="306"/>
      <c r="C442" s="30" t="s">
        <v>2606</v>
      </c>
      <c r="D442" s="305"/>
    </row>
    <row r="443" spans="1:4">
      <c r="A443" s="305"/>
      <c r="B443" s="306"/>
      <c r="C443" s="30"/>
      <c r="D443" s="305"/>
    </row>
    <row r="444" spans="1:4">
      <c r="A444" s="305" t="s">
        <v>2525</v>
      </c>
      <c r="B444" s="306">
        <v>44265</v>
      </c>
      <c r="C444" s="275" t="s">
        <v>2607</v>
      </c>
      <c r="D444" s="305"/>
    </row>
    <row r="445" spans="1:4" ht="28.5">
      <c r="A445" s="305"/>
      <c r="B445" s="306"/>
      <c r="C445" s="30" t="s">
        <v>2608</v>
      </c>
      <c r="D445" s="305"/>
    </row>
    <row r="446" spans="1:4">
      <c r="A446" s="305"/>
      <c r="B446" s="306"/>
      <c r="C446" s="30"/>
      <c r="D446" s="305"/>
    </row>
    <row r="447" spans="1:4">
      <c r="A447" s="305"/>
      <c r="B447" s="306"/>
      <c r="C447" s="276" t="s">
        <v>2534</v>
      </c>
      <c r="D447" s="305"/>
    </row>
    <row r="448" spans="1:4">
      <c r="A448" s="305"/>
      <c r="B448" s="306"/>
      <c r="C448" s="30"/>
      <c r="D448" s="305"/>
    </row>
    <row r="449" spans="1:4">
      <c r="A449" s="305" t="s">
        <v>2525</v>
      </c>
      <c r="B449" s="306">
        <v>44264</v>
      </c>
      <c r="C449" s="275" t="s">
        <v>2609</v>
      </c>
      <c r="D449" s="305"/>
    </row>
    <row r="450" spans="1:4" ht="28.5">
      <c r="A450" s="305"/>
      <c r="B450" s="306"/>
      <c r="C450" s="30" t="s">
        <v>2610</v>
      </c>
      <c r="D450" s="305"/>
    </row>
    <row r="451" spans="1:4">
      <c r="A451" s="305"/>
      <c r="B451" s="306"/>
      <c r="C451" s="30"/>
      <c r="D451" s="305"/>
    </row>
    <row r="452" spans="1:4">
      <c r="A452" s="305"/>
      <c r="B452" s="306"/>
      <c r="C452" s="276" t="s">
        <v>2534</v>
      </c>
      <c r="D452" s="305"/>
    </row>
    <row r="453" spans="1:4">
      <c r="A453" s="305"/>
      <c r="B453" s="306"/>
      <c r="C453" s="30"/>
      <c r="D453" s="305"/>
    </row>
    <row r="454" spans="1:4">
      <c r="A454" s="305" t="s">
        <v>2525</v>
      </c>
      <c r="B454" s="306">
        <v>44264</v>
      </c>
      <c r="C454" s="275" t="s">
        <v>2611</v>
      </c>
      <c r="D454" s="305"/>
    </row>
    <row r="455" spans="1:4" ht="28.5">
      <c r="A455" s="305"/>
      <c r="B455" s="306"/>
      <c r="C455" s="30" t="s">
        <v>2612</v>
      </c>
      <c r="D455" s="305"/>
    </row>
    <row r="456" spans="1:4">
      <c r="A456" s="305"/>
      <c r="B456" s="306"/>
      <c r="C456" s="30"/>
      <c r="D456" s="305"/>
    </row>
    <row r="457" spans="1:4">
      <c r="A457" s="305" t="s">
        <v>2525</v>
      </c>
      <c r="B457" s="306">
        <v>44264</v>
      </c>
      <c r="C457" s="275" t="s">
        <v>2613</v>
      </c>
      <c r="D457" s="305"/>
    </row>
    <row r="458" spans="1:4" ht="28.5">
      <c r="A458" s="305"/>
      <c r="B458" s="306"/>
      <c r="C458" s="30" t="s">
        <v>2614</v>
      </c>
      <c r="D458" s="305"/>
    </row>
    <row r="459" spans="1:4">
      <c r="A459" s="305"/>
      <c r="B459" s="306"/>
      <c r="C459" s="30"/>
      <c r="D459" s="305"/>
    </row>
    <row r="460" spans="1:4">
      <c r="A460" s="305"/>
      <c r="B460" s="306"/>
      <c r="C460" s="276" t="s">
        <v>2534</v>
      </c>
      <c r="D460" s="305"/>
    </row>
    <row r="461" spans="1:4">
      <c r="A461" s="305"/>
      <c r="B461" s="306"/>
      <c r="C461" s="30"/>
      <c r="D461" s="305"/>
    </row>
    <row r="462" spans="1:4">
      <c r="A462" s="305" t="s">
        <v>2525</v>
      </c>
      <c r="B462" s="306">
        <v>44264</v>
      </c>
      <c r="C462" s="275" t="s">
        <v>2615</v>
      </c>
      <c r="D462" s="305"/>
    </row>
    <row r="463" spans="1:4" ht="28.5">
      <c r="A463" s="305"/>
      <c r="B463" s="306"/>
      <c r="C463" s="30" t="s">
        <v>2616</v>
      </c>
      <c r="D463" s="305"/>
    </row>
    <row r="464" spans="1:4">
      <c r="A464" s="305"/>
      <c r="B464" s="306"/>
      <c r="C464" s="30"/>
      <c r="D464" s="305"/>
    </row>
    <row r="465" spans="1:4">
      <c r="A465" s="305" t="s">
        <v>2525</v>
      </c>
      <c r="B465" s="306">
        <v>44264</v>
      </c>
      <c r="C465" s="275" t="s">
        <v>2550</v>
      </c>
      <c r="D465" s="305"/>
    </row>
    <row r="466" spans="1:4" ht="28.5">
      <c r="A466" s="305"/>
      <c r="B466" s="306"/>
      <c r="C466" s="30" t="s">
        <v>2551</v>
      </c>
      <c r="D466" s="305"/>
    </row>
    <row r="467" spans="1:4">
      <c r="A467" s="305"/>
      <c r="B467" s="306"/>
      <c r="C467" s="30"/>
      <c r="D467" s="305"/>
    </row>
    <row r="468" spans="1:4">
      <c r="A468" s="305"/>
      <c r="B468" s="306"/>
      <c r="C468" s="276" t="s">
        <v>2534</v>
      </c>
      <c r="D468" s="305"/>
    </row>
    <row r="469" spans="1:4">
      <c r="A469" s="305"/>
      <c r="B469" s="306"/>
      <c r="C469" s="30"/>
      <c r="D469" s="305"/>
    </row>
    <row r="470" spans="1:4">
      <c r="A470" s="305" t="s">
        <v>2525</v>
      </c>
      <c r="B470" s="306">
        <v>44260</v>
      </c>
      <c r="C470" s="275" t="s">
        <v>2617</v>
      </c>
      <c r="D470" s="305"/>
    </row>
    <row r="471" spans="1:4" ht="28.5">
      <c r="A471" s="305"/>
      <c r="B471" s="306"/>
      <c r="C471" s="30" t="s">
        <v>2618</v>
      </c>
      <c r="D471" s="305"/>
    </row>
    <row r="472" spans="1:4">
      <c r="A472" s="305"/>
      <c r="B472" s="306"/>
      <c r="C472" s="30"/>
      <c r="D472" s="305"/>
    </row>
    <row r="473" spans="1:4">
      <c r="A473" s="305"/>
      <c r="B473" s="306">
        <v>44259</v>
      </c>
      <c r="C473" s="275" t="s">
        <v>2619</v>
      </c>
      <c r="D473" s="305"/>
    </row>
    <row r="474" spans="1:4" ht="28.5">
      <c r="A474" s="305"/>
      <c r="B474" s="306"/>
      <c r="C474" s="30" t="s">
        <v>2620</v>
      </c>
      <c r="D474" s="305"/>
    </row>
    <row r="475" spans="1:4">
      <c r="A475" s="305"/>
      <c r="B475" s="306"/>
      <c r="C475" s="30"/>
      <c r="D475" s="305"/>
    </row>
    <row r="476" spans="1:4">
      <c r="A476" s="305" t="s">
        <v>2525</v>
      </c>
      <c r="B476" s="306">
        <v>44259</v>
      </c>
      <c r="C476" s="275" t="s">
        <v>2621</v>
      </c>
      <c r="D476" s="305"/>
    </row>
    <row r="477" spans="1:4" ht="28.5">
      <c r="A477" s="305"/>
      <c r="B477" s="306"/>
      <c r="C477" s="30" t="s">
        <v>2622</v>
      </c>
      <c r="D477" s="305"/>
    </row>
    <row r="478" spans="1:4">
      <c r="A478" s="305"/>
      <c r="B478" s="306"/>
      <c r="C478" s="30"/>
      <c r="D478" s="305"/>
    </row>
    <row r="479" spans="1:4">
      <c r="A479" s="305"/>
      <c r="B479" s="306"/>
      <c r="C479" s="276" t="s">
        <v>2534</v>
      </c>
      <c r="D479" s="305"/>
    </row>
    <row r="480" spans="1:4">
      <c r="A480" s="305"/>
      <c r="B480" s="306"/>
      <c r="C480" s="30"/>
      <c r="D480" s="305"/>
    </row>
    <row r="481" spans="1:4">
      <c r="A481" s="305" t="s">
        <v>2525</v>
      </c>
      <c r="B481" s="306">
        <v>44258</v>
      </c>
      <c r="C481" s="275" t="s">
        <v>2623</v>
      </c>
      <c r="D481" s="305"/>
    </row>
    <row r="482" spans="1:4" ht="28.5">
      <c r="A482" s="305"/>
      <c r="B482" s="306"/>
      <c r="C482" s="30" t="s">
        <v>2624</v>
      </c>
      <c r="D482" s="305"/>
    </row>
    <row r="483" spans="1:4">
      <c r="A483" s="305"/>
      <c r="B483" s="306"/>
      <c r="C483" s="30"/>
      <c r="D483" s="305"/>
    </row>
    <row r="484" spans="1:4">
      <c r="A484" s="305" t="s">
        <v>2525</v>
      </c>
      <c r="B484" s="306">
        <v>44258</v>
      </c>
      <c r="C484" s="275" t="s">
        <v>2625</v>
      </c>
      <c r="D484" s="305"/>
    </row>
    <row r="485" spans="1:4" ht="28.5">
      <c r="A485" s="305"/>
      <c r="B485" s="306"/>
      <c r="C485" s="30" t="s">
        <v>2626</v>
      </c>
      <c r="D485" s="305"/>
    </row>
    <row r="486" spans="1:4">
      <c r="A486" s="305"/>
      <c r="B486" s="306"/>
      <c r="C486" s="30"/>
      <c r="D486" s="305"/>
    </row>
    <row r="487" spans="1:4">
      <c r="A487" s="305" t="s">
        <v>2525</v>
      </c>
      <c r="B487" s="306">
        <v>44256</v>
      </c>
      <c r="C487" s="275" t="s">
        <v>2526</v>
      </c>
      <c r="D487" s="305"/>
    </row>
    <row r="488" spans="1:4" ht="28.5">
      <c r="A488" s="305"/>
      <c r="B488" s="306"/>
      <c r="C488" s="30" t="s">
        <v>2527</v>
      </c>
      <c r="D488" s="305"/>
    </row>
    <row r="489" spans="1:4">
      <c r="A489" s="305"/>
      <c r="B489" s="306"/>
      <c r="C489" s="30"/>
      <c r="D489" s="305"/>
    </row>
    <row r="490" spans="1:4">
      <c r="A490" s="305" t="s">
        <v>2525</v>
      </c>
      <c r="B490" s="306">
        <v>44254</v>
      </c>
      <c r="C490" s="275" t="s">
        <v>2627</v>
      </c>
      <c r="D490" s="305"/>
    </row>
    <row r="491" spans="1:4" ht="28.5">
      <c r="A491" s="305"/>
      <c r="B491" s="306"/>
      <c r="C491" s="30" t="s">
        <v>2628</v>
      </c>
      <c r="D491" s="305"/>
    </row>
    <row r="492" spans="1:4">
      <c r="A492" s="305"/>
      <c r="B492" s="306"/>
      <c r="C492" s="30"/>
      <c r="D492" s="305"/>
    </row>
    <row r="493" spans="1:4">
      <c r="A493" s="305"/>
      <c r="B493" s="306">
        <v>44254</v>
      </c>
      <c r="C493" s="275" t="s">
        <v>2629</v>
      </c>
      <c r="D493" s="305"/>
    </row>
    <row r="494" spans="1:4" ht="28.5">
      <c r="A494" s="305"/>
      <c r="B494" s="306"/>
      <c r="C494" s="30" t="s">
        <v>2630</v>
      </c>
      <c r="D494" s="305"/>
    </row>
    <row r="495" spans="1:4">
      <c r="A495" s="305"/>
      <c r="B495" s="306"/>
      <c r="C495" s="30"/>
      <c r="D495" s="305"/>
    </row>
    <row r="496" spans="1:4">
      <c r="A496" s="305" t="s">
        <v>2525</v>
      </c>
      <c r="B496" s="306">
        <v>44254</v>
      </c>
      <c r="C496" s="275" t="s">
        <v>2623</v>
      </c>
      <c r="D496" s="305"/>
    </row>
    <row r="497" spans="1:4" ht="28.5">
      <c r="A497" s="305"/>
      <c r="B497" s="306"/>
      <c r="C497" s="30" t="s">
        <v>2624</v>
      </c>
      <c r="D497" s="305"/>
    </row>
    <row r="498" spans="1:4">
      <c r="A498" s="305"/>
      <c r="B498" s="306"/>
      <c r="C498" s="30"/>
      <c r="D498" s="305"/>
    </row>
    <row r="499" spans="1:4">
      <c r="A499" s="305" t="s">
        <v>2525</v>
      </c>
      <c r="B499" s="306">
        <v>44254</v>
      </c>
      <c r="C499" s="275" t="s">
        <v>2558</v>
      </c>
    </row>
    <row r="500" spans="1:4" ht="28.5">
      <c r="A500" s="305"/>
      <c r="B500" s="306"/>
      <c r="C500" s="30" t="s">
        <v>2559</v>
      </c>
    </row>
    <row r="501" spans="1:4">
      <c r="A501" s="305"/>
      <c r="B501" s="306"/>
      <c r="C501" s="30"/>
    </row>
    <row r="502" spans="1:4">
      <c r="A502" s="305"/>
      <c r="B502" s="306"/>
      <c r="C502" s="276" t="s">
        <v>2534</v>
      </c>
    </row>
    <row r="503" spans="1:4">
      <c r="A503" s="305"/>
      <c r="B503" s="306"/>
      <c r="C503" s="30"/>
    </row>
    <row r="504" spans="1:4">
      <c r="A504" s="305" t="s">
        <v>2525</v>
      </c>
      <c r="B504" s="306">
        <v>44254</v>
      </c>
      <c r="C504" s="275" t="s">
        <v>2631</v>
      </c>
      <c r="D504" s="305"/>
    </row>
    <row r="505" spans="1:4" ht="28.5">
      <c r="A505" s="305"/>
      <c r="B505" s="306"/>
      <c r="C505" s="30" t="s">
        <v>2632</v>
      </c>
      <c r="D505" s="305"/>
    </row>
    <row r="506" spans="1:4">
      <c r="A506" s="305"/>
      <c r="B506" s="306"/>
      <c r="C506" s="30"/>
      <c r="D506" s="305"/>
    </row>
    <row r="507" spans="1:4">
      <c r="A507" s="305" t="s">
        <v>2525</v>
      </c>
      <c r="B507" s="306">
        <v>44254</v>
      </c>
      <c r="C507" s="275" t="s">
        <v>2633</v>
      </c>
      <c r="D507" s="305"/>
    </row>
    <row r="508" spans="1:4" ht="28.5">
      <c r="A508" s="305"/>
      <c r="B508" s="306"/>
      <c r="C508" s="30" t="s">
        <v>2634</v>
      </c>
      <c r="D508" s="305"/>
    </row>
    <row r="509" spans="1:4">
      <c r="A509" s="305"/>
      <c r="B509" s="306"/>
      <c r="C509" s="30"/>
      <c r="D509" s="305"/>
    </row>
    <row r="510" spans="1:4">
      <c r="A510" s="305"/>
      <c r="B510" s="306"/>
      <c r="C510" s="276" t="s">
        <v>2534</v>
      </c>
      <c r="D510" s="305"/>
    </row>
    <row r="511" spans="1:4">
      <c r="A511" s="305"/>
      <c r="B511" s="306"/>
      <c r="C511" s="30"/>
      <c r="D511" s="305"/>
    </row>
    <row r="512" spans="1:4">
      <c r="A512" s="305" t="s">
        <v>2525</v>
      </c>
      <c r="B512" s="306">
        <v>44254</v>
      </c>
      <c r="C512" s="275" t="s">
        <v>2635</v>
      </c>
      <c r="D512" s="305"/>
    </row>
    <row r="513" spans="1:4" ht="28.5">
      <c r="A513" s="305"/>
      <c r="B513" s="306"/>
      <c r="C513" s="30" t="s">
        <v>2636</v>
      </c>
      <c r="D513" s="305"/>
    </row>
    <row r="514" spans="1:4">
      <c r="A514" s="305"/>
      <c r="B514" s="306"/>
      <c r="C514" s="30"/>
      <c r="D514" s="305"/>
    </row>
    <row r="515" spans="1:4">
      <c r="A515" s="305"/>
      <c r="B515" s="306"/>
      <c r="C515" s="276" t="s">
        <v>2534</v>
      </c>
      <c r="D515" s="305"/>
    </row>
    <row r="516" spans="1:4">
      <c r="A516" s="305"/>
      <c r="B516" s="306"/>
      <c r="C516" s="30"/>
      <c r="D516" s="305"/>
    </row>
    <row r="517" spans="1:4">
      <c r="A517" s="305" t="s">
        <v>2525</v>
      </c>
      <c r="B517" s="306">
        <v>44253</v>
      </c>
      <c r="C517" s="275" t="s">
        <v>2631</v>
      </c>
      <c r="D517" s="305"/>
    </row>
    <row r="518" spans="1:4" ht="28.5">
      <c r="A518" s="305"/>
      <c r="B518" s="306"/>
      <c r="C518" s="30" t="s">
        <v>2632</v>
      </c>
      <c r="D518" s="305"/>
    </row>
    <row r="519" spans="1:4">
      <c r="A519" s="305"/>
      <c r="B519" s="306"/>
      <c r="C519" s="30"/>
      <c r="D519" s="305"/>
    </row>
    <row r="520" spans="1:4">
      <c r="A520" s="305" t="s">
        <v>2525</v>
      </c>
      <c r="B520" s="306">
        <v>44253</v>
      </c>
      <c r="C520" s="275" t="s">
        <v>2637</v>
      </c>
      <c r="D520" s="305"/>
    </row>
    <row r="521" spans="1:4" ht="28.5">
      <c r="A521" s="305"/>
      <c r="B521" s="306"/>
      <c r="C521" s="30" t="s">
        <v>2638</v>
      </c>
      <c r="D521" s="305"/>
    </row>
    <row r="522" spans="1:4">
      <c r="A522" s="305"/>
      <c r="B522" s="306"/>
      <c r="C522" s="30"/>
      <c r="D522" s="305"/>
    </row>
    <row r="523" spans="1:4">
      <c r="A523" s="305" t="s">
        <v>2525</v>
      </c>
      <c r="B523" s="306">
        <v>44253</v>
      </c>
      <c r="C523" s="275" t="s">
        <v>2639</v>
      </c>
      <c r="D523" s="305"/>
    </row>
    <row r="524" spans="1:4">
      <c r="A524" s="305"/>
      <c r="B524" s="306"/>
      <c r="C524" s="30" t="s">
        <v>2640</v>
      </c>
      <c r="D524" s="305"/>
    </row>
    <row r="525" spans="1:4">
      <c r="A525" s="305"/>
      <c r="B525" s="306"/>
      <c r="C525" s="30"/>
      <c r="D525" s="305"/>
    </row>
    <row r="526" spans="1:4">
      <c r="A526" s="305" t="s">
        <v>2525</v>
      </c>
      <c r="B526" s="306">
        <v>44253</v>
      </c>
      <c r="C526" s="275" t="s">
        <v>2641</v>
      </c>
      <c r="D526" s="305"/>
    </row>
    <row r="527" spans="1:4" ht="28.5">
      <c r="A527" s="305"/>
      <c r="B527" s="306"/>
      <c r="C527" s="30" t="s">
        <v>2642</v>
      </c>
      <c r="D527" s="305"/>
    </row>
    <row r="528" spans="1:4">
      <c r="A528" s="305"/>
      <c r="B528" s="306"/>
      <c r="C528" s="30"/>
      <c r="D528" s="305"/>
    </row>
    <row r="529" spans="1:4">
      <c r="A529" s="305"/>
      <c r="B529" s="306"/>
      <c r="C529" s="276" t="s">
        <v>2534</v>
      </c>
      <c r="D529" s="305"/>
    </row>
    <row r="530" spans="1:4">
      <c r="A530" s="305"/>
      <c r="B530" s="306"/>
      <c r="C530" s="30"/>
      <c r="D530" s="305"/>
    </row>
    <row r="531" spans="1:4">
      <c r="A531" s="305" t="s">
        <v>2525</v>
      </c>
      <c r="B531" s="306">
        <v>44253</v>
      </c>
      <c r="C531" s="275" t="s">
        <v>2564</v>
      </c>
      <c r="D531" s="305"/>
    </row>
    <row r="532" spans="1:4" ht="28.5">
      <c r="A532" s="305"/>
      <c r="B532" s="306"/>
      <c r="C532" s="30" t="s">
        <v>2565</v>
      </c>
      <c r="D532" s="305"/>
    </row>
    <row r="533" spans="1:4">
      <c r="A533" s="305"/>
      <c r="B533" s="306"/>
      <c r="C533" s="30"/>
      <c r="D533" s="305"/>
    </row>
    <row r="534" spans="1:4">
      <c r="A534" s="305" t="s">
        <v>2525</v>
      </c>
      <c r="B534" s="306">
        <v>44253</v>
      </c>
      <c r="C534" s="275" t="s">
        <v>2635</v>
      </c>
      <c r="D534" s="305"/>
    </row>
    <row r="535" spans="1:4" ht="28.5">
      <c r="A535" s="305"/>
      <c r="B535" s="306"/>
      <c r="C535" s="30" t="s">
        <v>2636</v>
      </c>
      <c r="D535" s="305"/>
    </row>
    <row r="536" spans="1:4">
      <c r="A536" s="305"/>
      <c r="B536" s="306"/>
      <c r="C536" s="30"/>
      <c r="D536" s="305"/>
    </row>
    <row r="537" spans="1:4">
      <c r="A537" s="305"/>
      <c r="B537" s="306"/>
      <c r="C537" s="276" t="s">
        <v>2534</v>
      </c>
      <c r="D537" s="305"/>
    </row>
    <row r="538" spans="1:4">
      <c r="A538" s="305"/>
      <c r="B538" s="306"/>
      <c r="C538" s="30"/>
      <c r="D538" s="305"/>
    </row>
    <row r="539" spans="1:4">
      <c r="A539" s="305" t="s">
        <v>2525</v>
      </c>
      <c r="B539" s="306">
        <v>44252</v>
      </c>
      <c r="C539" s="275" t="s">
        <v>2631</v>
      </c>
      <c r="D539" s="305"/>
    </row>
    <row r="540" spans="1:4" ht="28.5">
      <c r="A540" s="305"/>
      <c r="B540" s="306"/>
      <c r="C540" s="30" t="s">
        <v>2632</v>
      </c>
      <c r="D540" s="305"/>
    </row>
    <row r="541" spans="1:4">
      <c r="A541" s="305"/>
      <c r="B541" s="306"/>
      <c r="C541" s="30"/>
      <c r="D541" s="305"/>
    </row>
    <row r="542" spans="1:4">
      <c r="A542" s="305" t="s">
        <v>2525</v>
      </c>
      <c r="B542" s="306">
        <v>44252</v>
      </c>
      <c r="C542" s="275" t="s">
        <v>2641</v>
      </c>
      <c r="D542" s="305"/>
    </row>
    <row r="543" spans="1:4" ht="28.5">
      <c r="A543" s="305"/>
      <c r="B543" s="306"/>
      <c r="C543" s="30" t="s">
        <v>2643</v>
      </c>
      <c r="D543" s="305"/>
    </row>
    <row r="544" spans="1:4">
      <c r="A544" s="305"/>
      <c r="B544" s="306"/>
      <c r="C544" s="30"/>
      <c r="D544" s="305"/>
    </row>
    <row r="545" spans="1:4">
      <c r="A545" s="305"/>
      <c r="B545" s="306"/>
      <c r="C545" s="276" t="s">
        <v>2534</v>
      </c>
      <c r="D545" s="305"/>
    </row>
    <row r="546" spans="1:4">
      <c r="A546" s="305"/>
      <c r="B546" s="306"/>
      <c r="C546" s="30"/>
      <c r="D546" s="305"/>
    </row>
    <row r="547" spans="1:4">
      <c r="A547" s="305" t="s">
        <v>2525</v>
      </c>
      <c r="B547" s="306">
        <v>44252</v>
      </c>
      <c r="C547" s="275" t="s">
        <v>2644</v>
      </c>
      <c r="D547" s="305"/>
    </row>
    <row r="548" spans="1:4" ht="28.5">
      <c r="A548" s="305"/>
      <c r="B548" s="306"/>
      <c r="C548" s="30" t="s">
        <v>2645</v>
      </c>
      <c r="D548" s="305"/>
    </row>
    <row r="549" spans="1:4">
      <c r="A549" s="305"/>
      <c r="B549" s="306"/>
      <c r="C549" s="30"/>
      <c r="D549" s="305"/>
    </row>
    <row r="550" spans="1:4">
      <c r="A550" s="305"/>
      <c r="B550" s="306">
        <v>44252</v>
      </c>
      <c r="C550" s="275" t="s">
        <v>2646</v>
      </c>
      <c r="D550" s="305"/>
    </row>
    <row r="551" spans="1:4" ht="28.5">
      <c r="A551" s="305"/>
      <c r="B551" s="306"/>
      <c r="C551" s="30" t="s">
        <v>2647</v>
      </c>
      <c r="D551" s="305"/>
    </row>
    <row r="552" spans="1:4">
      <c r="A552" s="305"/>
      <c r="B552" s="306"/>
      <c r="C552" s="30"/>
      <c r="D552" s="305"/>
    </row>
    <row r="553" spans="1:4">
      <c r="A553" s="305"/>
      <c r="B553" s="306"/>
      <c r="C553" s="276" t="s">
        <v>2534</v>
      </c>
      <c r="D553" s="305"/>
    </row>
    <row r="554" spans="1:4">
      <c r="A554" s="305"/>
      <c r="B554" s="306"/>
      <c r="C554" s="30"/>
      <c r="D554" s="305"/>
    </row>
    <row r="555" spans="1:4">
      <c r="A555" s="305" t="s">
        <v>2525</v>
      </c>
      <c r="B555" s="306">
        <v>44252</v>
      </c>
      <c r="C555" s="275" t="s">
        <v>2648</v>
      </c>
      <c r="D555" s="305"/>
    </row>
    <row r="556" spans="1:4" ht="28.5">
      <c r="A556" s="305"/>
      <c r="B556" s="306"/>
      <c r="C556" s="30" t="s">
        <v>2649</v>
      </c>
      <c r="D556" s="305"/>
    </row>
    <row r="557" spans="1:4">
      <c r="A557" s="305"/>
      <c r="B557" s="306"/>
      <c r="C557" s="30"/>
      <c r="D557" s="305"/>
    </row>
    <row r="558" spans="1:4">
      <c r="A558" s="305"/>
      <c r="B558" s="306"/>
      <c r="C558" s="276" t="s">
        <v>2534</v>
      </c>
      <c r="D558" s="305"/>
    </row>
    <row r="559" spans="1:4">
      <c r="A559" s="305"/>
      <c r="B559" s="306"/>
      <c r="C559" s="30"/>
      <c r="D559" s="305"/>
    </row>
    <row r="560" spans="1:4">
      <c r="A560" s="305" t="s">
        <v>2525</v>
      </c>
      <c r="B560" s="306">
        <v>44252</v>
      </c>
      <c r="C560" s="275" t="s">
        <v>2650</v>
      </c>
      <c r="D560" s="305"/>
    </row>
    <row r="561" spans="1:4" ht="28.5">
      <c r="A561" s="305"/>
      <c r="B561" s="306"/>
      <c r="C561" s="30" t="s">
        <v>2651</v>
      </c>
      <c r="D561" s="305"/>
    </row>
    <row r="562" spans="1:4">
      <c r="A562" s="305"/>
      <c r="B562" s="306"/>
      <c r="C562" s="30"/>
      <c r="D562" s="305"/>
    </row>
    <row r="563" spans="1:4">
      <c r="A563" s="305" t="s">
        <v>2525</v>
      </c>
      <c r="B563" s="306">
        <v>44252</v>
      </c>
      <c r="C563" s="275" t="s">
        <v>2652</v>
      </c>
      <c r="D563" s="305"/>
    </row>
    <row r="564" spans="1:4" ht="28.5">
      <c r="A564" s="305"/>
      <c r="B564" s="306"/>
      <c r="C564" s="30" t="s">
        <v>2653</v>
      </c>
      <c r="D564" s="305"/>
    </row>
    <row r="565" spans="1:4">
      <c r="A565" s="305"/>
      <c r="B565" s="306"/>
      <c r="C565" s="30"/>
      <c r="D565" s="305"/>
    </row>
    <row r="566" spans="1:4">
      <c r="A566" s="305" t="s">
        <v>2525</v>
      </c>
      <c r="B566" s="306">
        <v>44246</v>
      </c>
      <c r="C566" s="275" t="s">
        <v>2654</v>
      </c>
      <c r="D566" s="305"/>
    </row>
    <row r="567" spans="1:4" ht="28.5">
      <c r="A567" s="305"/>
      <c r="B567" s="306"/>
      <c r="C567" s="30" t="s">
        <v>2655</v>
      </c>
      <c r="D567" s="305"/>
    </row>
    <row r="568" spans="1:4">
      <c r="A568" s="305"/>
      <c r="B568" s="306"/>
      <c r="C568" s="30"/>
      <c r="D568" s="305"/>
    </row>
    <row r="569" spans="1:4">
      <c r="A569" s="305"/>
      <c r="B569" s="306"/>
      <c r="C569" s="276" t="s">
        <v>2534</v>
      </c>
      <c r="D569" s="305"/>
    </row>
    <row r="570" spans="1:4">
      <c r="A570" s="305"/>
      <c r="B570" s="306"/>
      <c r="C570" s="30"/>
      <c r="D570" s="305"/>
    </row>
    <row r="571" spans="1:4">
      <c r="A571" s="305" t="s">
        <v>2525</v>
      </c>
      <c r="B571" s="306">
        <v>44246</v>
      </c>
      <c r="C571" s="275" t="s">
        <v>2656</v>
      </c>
      <c r="D571" s="305"/>
    </row>
    <row r="572" spans="1:4" ht="28.5">
      <c r="A572" s="305"/>
      <c r="B572" s="306"/>
      <c r="C572" s="30" t="s">
        <v>2657</v>
      </c>
      <c r="D572" s="305"/>
    </row>
    <row r="573" spans="1:4">
      <c r="A573" s="305"/>
      <c r="B573" s="306"/>
      <c r="C573" s="30"/>
      <c r="D573" s="305"/>
    </row>
    <row r="574" spans="1:4">
      <c r="A574" s="305" t="s">
        <v>2525</v>
      </c>
      <c r="B574" s="306">
        <v>44246</v>
      </c>
      <c r="C574" s="275" t="s">
        <v>2654</v>
      </c>
      <c r="D574" s="305"/>
    </row>
    <row r="575" spans="1:4" ht="28.5">
      <c r="A575" s="305"/>
      <c r="B575" s="306"/>
      <c r="C575" s="30" t="s">
        <v>2658</v>
      </c>
      <c r="D575" s="305"/>
    </row>
    <row r="576" spans="1:4">
      <c r="A576" s="305"/>
      <c r="B576" s="306"/>
      <c r="C576" s="30"/>
      <c r="D576" s="305"/>
    </row>
    <row r="577" spans="1:4">
      <c r="A577" s="305"/>
      <c r="B577" s="306"/>
      <c r="C577" s="276" t="s">
        <v>2534</v>
      </c>
      <c r="D577" s="305"/>
    </row>
    <row r="578" spans="1:4">
      <c r="A578" s="305"/>
      <c r="B578" s="306"/>
      <c r="C578" s="30"/>
      <c r="D578" s="305"/>
    </row>
    <row r="579" spans="1:4">
      <c r="A579" s="305" t="s">
        <v>2525</v>
      </c>
      <c r="B579" s="306">
        <v>44235</v>
      </c>
      <c r="C579" s="275" t="s">
        <v>2582</v>
      </c>
    </row>
    <row r="580" spans="1:4" ht="28.5">
      <c r="A580" s="305"/>
      <c r="B580" s="306"/>
      <c r="C580" s="30" t="s">
        <v>2583</v>
      </c>
    </row>
    <row r="581" spans="1:4">
      <c r="A581" s="305"/>
      <c r="B581" s="306"/>
      <c r="C581" s="30"/>
    </row>
    <row r="582" spans="1:4">
      <c r="A582" s="305" t="s">
        <v>2525</v>
      </c>
      <c r="B582" s="306">
        <v>44235</v>
      </c>
      <c r="C582" s="275" t="s">
        <v>2550</v>
      </c>
      <c r="D582" s="305"/>
    </row>
    <row r="583" spans="1:4" ht="28.5">
      <c r="A583" s="305"/>
      <c r="B583" s="306"/>
      <c r="C583" s="30" t="s">
        <v>2551</v>
      </c>
      <c r="D583" s="305"/>
    </row>
    <row r="584" spans="1:4">
      <c r="A584" s="305"/>
      <c r="B584" s="306"/>
      <c r="C584" s="30"/>
      <c r="D584" s="305"/>
    </row>
    <row r="585" spans="1:4">
      <c r="A585" s="305"/>
      <c r="B585" s="306"/>
      <c r="C585" s="276" t="s">
        <v>2534</v>
      </c>
      <c r="D585" s="305"/>
    </row>
    <row r="586" spans="1:4">
      <c r="A586" s="305"/>
      <c r="B586" s="306"/>
      <c r="C586" s="30"/>
      <c r="D586" s="305"/>
    </row>
    <row r="587" spans="1:4">
      <c r="A587" s="305" t="s">
        <v>2525</v>
      </c>
      <c r="B587" s="306">
        <v>44233</v>
      </c>
      <c r="C587" s="275" t="s">
        <v>2659</v>
      </c>
      <c r="D587" s="305"/>
    </row>
    <row r="588" spans="1:4" ht="28.5">
      <c r="A588" s="305"/>
      <c r="B588" s="306"/>
      <c r="C588" s="30" t="s">
        <v>2660</v>
      </c>
      <c r="D588" s="305"/>
    </row>
    <row r="589" spans="1:4">
      <c r="A589" s="305"/>
      <c r="B589" s="306"/>
      <c r="C589" s="30"/>
      <c r="D589" s="305"/>
    </row>
    <row r="590" spans="1:4">
      <c r="A590" s="305" t="s">
        <v>2525</v>
      </c>
      <c r="B590" s="306">
        <v>44233</v>
      </c>
      <c r="C590" s="275" t="s">
        <v>2537</v>
      </c>
      <c r="D590" s="305"/>
    </row>
    <row r="591" spans="1:4" ht="28.5">
      <c r="A591" s="305"/>
      <c r="B591" s="306"/>
      <c r="C591" s="30" t="s">
        <v>2538</v>
      </c>
      <c r="D591" s="305"/>
    </row>
    <row r="592" spans="1:4">
      <c r="A592" s="305"/>
      <c r="B592" s="306"/>
      <c r="C592" s="30"/>
      <c r="D592" s="305"/>
    </row>
    <row r="593" spans="1:4">
      <c r="A593" s="305"/>
      <c r="B593" s="306"/>
      <c r="C593" s="276" t="s">
        <v>2534</v>
      </c>
      <c r="D593" s="305"/>
    </row>
    <row r="594" spans="1:4">
      <c r="A594" s="305"/>
      <c r="B594" s="306"/>
      <c r="C594" s="30"/>
      <c r="D594" s="305"/>
    </row>
    <row r="595" spans="1:4">
      <c r="A595" s="305" t="s">
        <v>2525</v>
      </c>
      <c r="B595" s="306">
        <v>44230</v>
      </c>
      <c r="C595" s="275" t="s">
        <v>2623</v>
      </c>
      <c r="D595" s="305"/>
    </row>
    <row r="596" spans="1:4" ht="28.5">
      <c r="A596" s="305"/>
      <c r="B596" s="306"/>
      <c r="C596" s="30" t="s">
        <v>2624</v>
      </c>
      <c r="D596" s="305"/>
    </row>
    <row r="597" spans="1:4">
      <c r="A597" s="305"/>
      <c r="B597" s="306"/>
      <c r="C597" s="30"/>
      <c r="D597" s="305"/>
    </row>
    <row r="598" spans="1:4">
      <c r="A598" s="305" t="s">
        <v>2525</v>
      </c>
      <c r="B598" s="306">
        <v>44229</v>
      </c>
      <c r="C598" s="275" t="s">
        <v>2554</v>
      </c>
      <c r="D598" s="305"/>
    </row>
    <row r="599" spans="1:4" ht="28.5">
      <c r="A599" s="305"/>
      <c r="B599" s="306"/>
      <c r="C599" s="30" t="s">
        <v>2555</v>
      </c>
      <c r="D599" s="305"/>
    </row>
    <row r="600" spans="1:4">
      <c r="A600" s="305"/>
      <c r="B600" s="306"/>
      <c r="C600" s="30"/>
      <c r="D600" s="305"/>
    </row>
    <row r="601" spans="1:4">
      <c r="A601" s="305"/>
      <c r="B601" s="306"/>
      <c r="C601" s="276" t="s">
        <v>2534</v>
      </c>
      <c r="D601" s="305"/>
    </row>
    <row r="602" spans="1:4">
      <c r="A602" s="305"/>
      <c r="B602" s="306"/>
      <c r="C602" s="30"/>
      <c r="D602" s="305"/>
    </row>
    <row r="603" spans="1:4">
      <c r="A603" s="305" t="s">
        <v>2525</v>
      </c>
      <c r="B603" s="306">
        <v>44226</v>
      </c>
      <c r="C603" s="275" t="s">
        <v>2584</v>
      </c>
      <c r="D603" s="305"/>
    </row>
    <row r="604" spans="1:4" ht="28.5">
      <c r="A604" s="305"/>
      <c r="B604" s="306"/>
      <c r="C604" s="30" t="s">
        <v>2661</v>
      </c>
      <c r="D604" s="305"/>
    </row>
    <row r="605" spans="1:4">
      <c r="A605" s="305"/>
      <c r="B605" s="306"/>
      <c r="C605" s="30"/>
      <c r="D605" s="305"/>
    </row>
    <row r="606" spans="1:4">
      <c r="A606" s="305"/>
      <c r="B606" s="306"/>
      <c r="C606" s="276" t="s">
        <v>2534</v>
      </c>
      <c r="D606" s="305"/>
    </row>
    <row r="607" spans="1:4">
      <c r="A607" s="305"/>
      <c r="B607" s="306"/>
      <c r="C607" s="30"/>
      <c r="D607" s="305"/>
    </row>
    <row r="608" spans="1:4">
      <c r="A608" s="305" t="s">
        <v>2525</v>
      </c>
      <c r="B608" s="306">
        <v>44225</v>
      </c>
      <c r="C608" s="275" t="s">
        <v>2662</v>
      </c>
      <c r="D608" s="305"/>
    </row>
    <row r="609" spans="1:4" ht="28.5">
      <c r="A609" s="305"/>
      <c r="B609" s="306"/>
      <c r="C609" s="30" t="s">
        <v>2663</v>
      </c>
      <c r="D609" s="305"/>
    </row>
    <row r="610" spans="1:4">
      <c r="A610" s="305"/>
      <c r="B610" s="306"/>
      <c r="C610" s="30"/>
      <c r="D610" s="305"/>
    </row>
    <row r="611" spans="1:4">
      <c r="A611" s="305" t="s">
        <v>2525</v>
      </c>
      <c r="B611" s="306">
        <v>44225</v>
      </c>
      <c r="C611" s="275" t="s">
        <v>2582</v>
      </c>
      <c r="D611" s="305"/>
    </row>
    <row r="612" spans="1:4" ht="28.5">
      <c r="A612" s="305"/>
      <c r="B612" s="306"/>
      <c r="C612" s="30" t="s">
        <v>2583</v>
      </c>
      <c r="D612" s="305"/>
    </row>
    <row r="613" spans="1:4">
      <c r="A613" s="305"/>
      <c r="B613" s="306"/>
      <c r="C613" s="30"/>
      <c r="D613" s="305"/>
    </row>
    <row r="614" spans="1:4">
      <c r="A614" s="305" t="s">
        <v>2525</v>
      </c>
      <c r="B614" s="306">
        <v>44225</v>
      </c>
      <c r="C614" s="275" t="s">
        <v>2664</v>
      </c>
      <c r="D614" s="305"/>
    </row>
    <row r="615" spans="1:4" ht="28.5">
      <c r="A615" s="305"/>
      <c r="B615" s="306"/>
      <c r="C615" s="30" t="s">
        <v>2665</v>
      </c>
      <c r="D615" s="305"/>
    </row>
    <row r="616" spans="1:4">
      <c r="A616" s="305"/>
      <c r="B616" s="306"/>
      <c r="C616" s="30"/>
      <c r="D616" s="305"/>
    </row>
    <row r="617" spans="1:4">
      <c r="A617" s="305"/>
      <c r="B617" s="306"/>
      <c r="C617" s="276" t="s">
        <v>2534</v>
      </c>
      <c r="D617" s="305"/>
    </row>
    <row r="618" spans="1:4">
      <c r="A618" s="305"/>
      <c r="B618" s="306"/>
      <c r="C618" s="30"/>
      <c r="D618" s="305"/>
    </row>
    <row r="619" spans="1:4">
      <c r="A619" s="305" t="s">
        <v>2525</v>
      </c>
      <c r="B619" s="306">
        <v>44225</v>
      </c>
      <c r="C619" s="275" t="s">
        <v>2666</v>
      </c>
      <c r="D619" s="305"/>
    </row>
    <row r="620" spans="1:4" ht="28.5">
      <c r="A620" s="305"/>
      <c r="B620" s="306"/>
      <c r="C620" s="30" t="s">
        <v>2667</v>
      </c>
      <c r="D620" s="305"/>
    </row>
    <row r="621" spans="1:4">
      <c r="A621" s="305"/>
      <c r="B621" s="306"/>
      <c r="C621" s="30"/>
      <c r="D621" s="305"/>
    </row>
    <row r="622" spans="1:4">
      <c r="A622" s="305"/>
      <c r="B622" s="306"/>
      <c r="C622" s="276" t="s">
        <v>2534</v>
      </c>
      <c r="D622" s="305"/>
    </row>
    <row r="623" spans="1:4">
      <c r="A623" s="305"/>
      <c r="B623" s="306"/>
      <c r="C623" s="30"/>
      <c r="D623" s="305"/>
    </row>
    <row r="624" spans="1:4">
      <c r="A624" s="305" t="s">
        <v>2525</v>
      </c>
      <c r="B624" s="306">
        <v>44225</v>
      </c>
      <c r="C624" s="275" t="s">
        <v>2564</v>
      </c>
      <c r="D624" s="305"/>
    </row>
    <row r="625" spans="1:4" ht="28.5">
      <c r="A625" s="305"/>
      <c r="B625" s="306"/>
      <c r="C625" s="30" t="s">
        <v>2565</v>
      </c>
      <c r="D625" s="305"/>
    </row>
    <row r="626" spans="1:4">
      <c r="A626" s="305"/>
      <c r="B626" s="306"/>
      <c r="C626" s="30"/>
      <c r="D626" s="305"/>
    </row>
    <row r="627" spans="1:4">
      <c r="A627" s="305" t="s">
        <v>2525</v>
      </c>
      <c r="B627" s="306">
        <v>44224</v>
      </c>
      <c r="C627" s="275" t="s">
        <v>2556</v>
      </c>
      <c r="D627" s="305"/>
    </row>
    <row r="628" spans="1:4" ht="28.5">
      <c r="A628" s="305"/>
      <c r="B628" s="306"/>
      <c r="C628" s="30" t="s">
        <v>2557</v>
      </c>
      <c r="D628" s="305"/>
    </row>
    <row r="629" spans="1:4">
      <c r="A629" s="305"/>
      <c r="B629" s="306"/>
      <c r="C629" s="30"/>
      <c r="D629" s="305"/>
    </row>
    <row r="630" spans="1:4">
      <c r="A630" s="305"/>
      <c r="B630" s="306"/>
      <c r="C630" s="276" t="s">
        <v>2534</v>
      </c>
      <c r="D630" s="305"/>
    </row>
    <row r="631" spans="1:4">
      <c r="A631" s="305"/>
      <c r="B631" s="306"/>
      <c r="C631" s="30"/>
      <c r="D631" s="305"/>
    </row>
    <row r="632" spans="1:4">
      <c r="A632" s="305" t="s">
        <v>2525</v>
      </c>
      <c r="B632" s="306">
        <v>44224</v>
      </c>
      <c r="C632" s="275" t="s">
        <v>2668</v>
      </c>
      <c r="D632" s="305"/>
    </row>
    <row r="633" spans="1:4" ht="28.5">
      <c r="A633" s="305"/>
      <c r="B633" s="306"/>
      <c r="C633" s="30" t="s">
        <v>2669</v>
      </c>
      <c r="D633" s="305"/>
    </row>
    <row r="634" spans="1:4">
      <c r="A634" s="305"/>
      <c r="B634" s="306"/>
      <c r="C634" s="30"/>
      <c r="D634" s="305"/>
    </row>
    <row r="635" spans="1:4">
      <c r="A635" s="305"/>
      <c r="B635" s="306"/>
      <c r="C635" s="276" t="s">
        <v>2534</v>
      </c>
      <c r="D635" s="305"/>
    </row>
    <row r="636" spans="1:4">
      <c r="A636" s="305"/>
      <c r="B636" s="306"/>
      <c r="C636" s="30"/>
      <c r="D636" s="305"/>
    </row>
    <row r="637" spans="1:4">
      <c r="A637" s="305" t="s">
        <v>2525</v>
      </c>
      <c r="B637" s="306">
        <v>44224</v>
      </c>
      <c r="C637" s="275" t="s">
        <v>2558</v>
      </c>
      <c r="D637" s="305"/>
    </row>
    <row r="638" spans="1:4" ht="28.5">
      <c r="A638" s="305"/>
      <c r="B638" s="306"/>
      <c r="C638" s="30" t="s">
        <v>2559</v>
      </c>
      <c r="D638" s="305"/>
    </row>
    <row r="639" spans="1:4">
      <c r="A639" s="305"/>
      <c r="B639" s="306"/>
      <c r="C639" s="30"/>
      <c r="D639" s="305"/>
    </row>
    <row r="640" spans="1:4">
      <c r="A640" s="305"/>
      <c r="B640" s="306"/>
      <c r="C640" s="276" t="s">
        <v>2534</v>
      </c>
      <c r="D640" s="305"/>
    </row>
    <row r="641" spans="1:4">
      <c r="A641" s="305"/>
      <c r="B641" s="306"/>
      <c r="C641" s="30"/>
      <c r="D641" s="305"/>
    </row>
    <row r="642" spans="1:4">
      <c r="A642" s="305" t="s">
        <v>2525</v>
      </c>
      <c r="B642" s="306">
        <v>44224</v>
      </c>
      <c r="C642" s="275" t="s">
        <v>2564</v>
      </c>
      <c r="D642" s="305"/>
    </row>
    <row r="643" spans="1:4" ht="28.5">
      <c r="A643" s="305"/>
      <c r="B643" s="306"/>
      <c r="C643" s="30" t="s">
        <v>2565</v>
      </c>
      <c r="D643" s="305"/>
    </row>
    <row r="644" spans="1:4">
      <c r="A644" s="305"/>
      <c r="B644" s="306"/>
      <c r="C644" s="30"/>
      <c r="D644" s="305"/>
    </row>
    <row r="645" spans="1:4">
      <c r="A645" s="305" t="s">
        <v>2525</v>
      </c>
      <c r="B645" s="306">
        <v>44223</v>
      </c>
      <c r="C645" s="275" t="s">
        <v>2564</v>
      </c>
      <c r="D645" s="305"/>
    </row>
    <row r="646" spans="1:4" ht="28.5">
      <c r="A646" s="305"/>
      <c r="B646" s="306"/>
      <c r="C646" s="30" t="s">
        <v>2565</v>
      </c>
      <c r="D646" s="305"/>
    </row>
    <row r="647" spans="1:4">
      <c r="A647" s="305"/>
      <c r="B647" s="306"/>
      <c r="C647" s="30"/>
      <c r="D647" s="305"/>
    </row>
    <row r="648" spans="1:4">
      <c r="A648" s="305"/>
      <c r="B648" s="306">
        <v>44222</v>
      </c>
      <c r="C648" s="275" t="s">
        <v>2574</v>
      </c>
      <c r="D648" s="305"/>
    </row>
    <row r="649" spans="1:4" ht="28.5">
      <c r="A649" s="305"/>
      <c r="B649" s="306"/>
      <c r="C649" s="30" t="s">
        <v>2575</v>
      </c>
      <c r="D649" s="305"/>
    </row>
    <row r="650" spans="1:4">
      <c r="A650" s="305"/>
      <c r="B650" s="306"/>
      <c r="C650" s="30"/>
      <c r="D650" s="305"/>
    </row>
    <row r="651" spans="1:4">
      <c r="A651" s="305"/>
      <c r="B651" s="306"/>
      <c r="C651" s="276" t="s">
        <v>2534</v>
      </c>
      <c r="D651" s="305"/>
    </row>
    <row r="652" spans="1:4">
      <c r="A652" s="305"/>
      <c r="B652" s="306"/>
      <c r="C652" s="30"/>
      <c r="D652" s="305"/>
    </row>
    <row r="653" spans="1:4">
      <c r="A653" s="305" t="s">
        <v>2525</v>
      </c>
      <c r="B653" s="306">
        <v>44222</v>
      </c>
      <c r="C653" s="275" t="s">
        <v>2668</v>
      </c>
      <c r="D653" s="305"/>
    </row>
    <row r="654" spans="1:4" ht="28.5">
      <c r="A654" s="305"/>
      <c r="B654" s="306"/>
      <c r="C654" s="30" t="s">
        <v>2669</v>
      </c>
      <c r="D654" s="305"/>
    </row>
    <row r="655" spans="1:4">
      <c r="A655" s="305"/>
      <c r="B655" s="306"/>
      <c r="C655" s="30"/>
      <c r="D655" s="305"/>
    </row>
    <row r="656" spans="1:4">
      <c r="A656" s="305"/>
      <c r="B656" s="306"/>
      <c r="C656" s="276" t="s">
        <v>2534</v>
      </c>
      <c r="D656" s="305"/>
    </row>
    <row r="657" spans="1:4">
      <c r="A657" s="305"/>
      <c r="B657" s="306"/>
      <c r="C657" s="30"/>
      <c r="D657" s="305"/>
    </row>
    <row r="658" spans="1:4">
      <c r="A658" s="305" t="s">
        <v>2525</v>
      </c>
      <c r="B658" s="306">
        <v>44219</v>
      </c>
      <c r="C658" s="275" t="s">
        <v>2670</v>
      </c>
      <c r="D658" s="305"/>
    </row>
    <row r="659" spans="1:4">
      <c r="A659" s="305"/>
      <c r="B659" s="306"/>
      <c r="C659" s="30" t="s">
        <v>2671</v>
      </c>
      <c r="D659" s="305"/>
    </row>
    <row r="660" spans="1:4">
      <c r="A660" s="305"/>
      <c r="B660" s="306"/>
      <c r="C660" s="30"/>
      <c r="D660" s="305"/>
    </row>
    <row r="661" spans="1:4">
      <c r="A661" s="305" t="s">
        <v>2525</v>
      </c>
      <c r="B661" s="306">
        <v>44219</v>
      </c>
      <c r="C661" s="275" t="s">
        <v>2672</v>
      </c>
    </row>
    <row r="662" spans="1:4" ht="28.5">
      <c r="A662" s="305"/>
      <c r="B662" s="306"/>
      <c r="C662" s="30" t="s">
        <v>2673</v>
      </c>
    </row>
    <row r="663" spans="1:4">
      <c r="A663" s="305"/>
      <c r="B663" s="306"/>
      <c r="C663" s="30"/>
    </row>
    <row r="664" spans="1:4">
      <c r="A664" s="305"/>
      <c r="B664" s="306"/>
      <c r="C664" s="276" t="s">
        <v>2534</v>
      </c>
    </row>
    <row r="665" spans="1:4">
      <c r="A665" s="305"/>
      <c r="B665" s="306"/>
      <c r="C665" s="30"/>
    </row>
    <row r="666" spans="1:4">
      <c r="A666" s="305" t="s">
        <v>2525</v>
      </c>
      <c r="B666" s="306">
        <v>44219</v>
      </c>
      <c r="C666" s="275" t="s">
        <v>2674</v>
      </c>
      <c r="D666" s="305"/>
    </row>
    <row r="667" spans="1:4" ht="28.5">
      <c r="A667" s="305"/>
      <c r="B667" s="306"/>
      <c r="C667" s="30" t="s">
        <v>2675</v>
      </c>
      <c r="D667" s="305"/>
    </row>
    <row r="668" spans="1:4">
      <c r="A668" s="305"/>
      <c r="B668" s="306"/>
      <c r="C668" s="30"/>
      <c r="D668" s="305"/>
    </row>
    <row r="669" spans="1:4">
      <c r="A669" s="305" t="s">
        <v>2525</v>
      </c>
      <c r="B669" s="306">
        <v>44219</v>
      </c>
      <c r="C669" s="275" t="s">
        <v>2676</v>
      </c>
      <c r="D669" s="305"/>
    </row>
    <row r="670" spans="1:4" ht="28.5">
      <c r="A670" s="305"/>
      <c r="B670" s="306"/>
      <c r="C670" s="30" t="s">
        <v>2677</v>
      </c>
      <c r="D670" s="305"/>
    </row>
    <row r="671" spans="1:4">
      <c r="A671" s="305"/>
      <c r="B671" s="306"/>
      <c r="C671" s="30"/>
      <c r="D671" s="305"/>
    </row>
    <row r="672" spans="1:4">
      <c r="A672" s="305"/>
      <c r="B672" s="306"/>
      <c r="C672" s="276" t="s">
        <v>2534</v>
      </c>
      <c r="D672" s="305"/>
    </row>
    <row r="673" spans="1:4">
      <c r="A673" s="305"/>
      <c r="B673" s="306"/>
      <c r="C673" s="30"/>
      <c r="D673" s="305"/>
    </row>
    <row r="674" spans="1:4">
      <c r="A674" s="305" t="s">
        <v>2525</v>
      </c>
      <c r="B674" s="306">
        <v>44218</v>
      </c>
      <c r="C674" s="275" t="s">
        <v>2678</v>
      </c>
      <c r="D674" s="305"/>
    </row>
    <row r="675" spans="1:4" ht="28.5">
      <c r="A675" s="305"/>
      <c r="B675" s="306"/>
      <c r="C675" s="30" t="s">
        <v>2679</v>
      </c>
      <c r="D675" s="305"/>
    </row>
    <row r="676" spans="1:4">
      <c r="A676" s="305"/>
      <c r="B676" s="306"/>
      <c r="C676" s="30"/>
      <c r="D676" s="305"/>
    </row>
    <row r="677" spans="1:4">
      <c r="A677" s="305" t="s">
        <v>2525</v>
      </c>
      <c r="B677" s="306">
        <v>44198</v>
      </c>
      <c r="C677" s="275" t="s">
        <v>2680</v>
      </c>
      <c r="D677" s="305"/>
    </row>
    <row r="678" spans="1:4" ht="28.5">
      <c r="A678" s="305"/>
      <c r="B678" s="306"/>
      <c r="C678" s="30" t="s">
        <v>2681</v>
      </c>
      <c r="D678" s="305"/>
    </row>
    <row r="679" spans="1:4">
      <c r="A679" s="305"/>
      <c r="B679" s="306"/>
      <c r="C679" s="30"/>
      <c r="D679" s="305"/>
    </row>
    <row r="680" spans="1:4">
      <c r="A680" s="305"/>
      <c r="B680" s="306"/>
      <c r="C680" s="276" t="s">
        <v>2534</v>
      </c>
      <c r="D680" s="305"/>
    </row>
    <row r="681" spans="1:4">
      <c r="A681" s="305"/>
      <c r="B681" s="306"/>
      <c r="C681" s="30"/>
      <c r="D681" s="305"/>
    </row>
    <row r="682" spans="1:4">
      <c r="A682" s="305" t="s">
        <v>2525</v>
      </c>
      <c r="B682" s="306">
        <v>44188</v>
      </c>
      <c r="C682" s="275" t="s">
        <v>2682</v>
      </c>
      <c r="D682" s="305"/>
    </row>
    <row r="683" spans="1:4" ht="28.5">
      <c r="A683" s="305"/>
      <c r="B683" s="306"/>
      <c r="C683" s="30" t="s">
        <v>2683</v>
      </c>
      <c r="D683" s="305"/>
    </row>
    <row r="684" spans="1:4">
      <c r="A684" s="305"/>
      <c r="B684" s="306"/>
      <c r="C684" s="30"/>
      <c r="D684" s="305"/>
    </row>
    <row r="685" spans="1:4">
      <c r="A685" s="305"/>
      <c r="B685" s="306"/>
      <c r="C685" s="276" t="s">
        <v>2534</v>
      </c>
      <c r="D685" s="305"/>
    </row>
    <row r="686" spans="1:4">
      <c r="A686" s="305"/>
      <c r="B686" s="306"/>
      <c r="C686" s="30"/>
      <c r="D686" s="305"/>
    </row>
    <row r="687" spans="1:4">
      <c r="A687" s="305" t="s">
        <v>2525</v>
      </c>
      <c r="B687" s="306">
        <v>44187</v>
      </c>
      <c r="C687" s="275" t="s">
        <v>2684</v>
      </c>
      <c r="D687" s="305"/>
    </row>
    <row r="688" spans="1:4" ht="28.5">
      <c r="A688" s="305"/>
      <c r="B688" s="306"/>
      <c r="C688" s="30" t="s">
        <v>2685</v>
      </c>
      <c r="D688" s="305"/>
    </row>
    <row r="689" spans="1:4">
      <c r="A689" s="305"/>
      <c r="B689" s="306"/>
      <c r="C689" s="30"/>
      <c r="D689" s="305"/>
    </row>
    <row r="690" spans="1:4">
      <c r="A690" s="305" t="s">
        <v>2525</v>
      </c>
      <c r="B690" s="306">
        <v>44187</v>
      </c>
      <c r="C690" s="275" t="s">
        <v>2686</v>
      </c>
      <c r="D690" s="305"/>
    </row>
    <row r="691" spans="1:4" ht="28.5">
      <c r="A691" s="305"/>
      <c r="B691" s="306"/>
      <c r="C691" s="30" t="s">
        <v>2687</v>
      </c>
      <c r="D691" s="305"/>
    </row>
    <row r="692" spans="1:4">
      <c r="A692" s="305"/>
      <c r="B692" s="306"/>
      <c r="C692" s="30"/>
      <c r="D692" s="305"/>
    </row>
    <row r="693" spans="1:4">
      <c r="A693" s="305"/>
      <c r="B693" s="306"/>
      <c r="C693" s="276" t="s">
        <v>2534</v>
      </c>
      <c r="D693" s="305"/>
    </row>
    <row r="694" spans="1:4">
      <c r="A694" s="305"/>
      <c r="B694" s="306"/>
      <c r="C694" s="30"/>
      <c r="D694" s="305"/>
    </row>
    <row r="695" spans="1:4">
      <c r="A695" s="305" t="s">
        <v>2525</v>
      </c>
      <c r="B695" s="306">
        <v>44187</v>
      </c>
      <c r="C695" s="275" t="s">
        <v>2688</v>
      </c>
      <c r="D695" s="305"/>
    </row>
    <row r="696" spans="1:4" ht="28.5">
      <c r="A696" s="305"/>
      <c r="B696" s="306"/>
      <c r="C696" s="30" t="s">
        <v>2689</v>
      </c>
      <c r="D696" s="305"/>
    </row>
    <row r="697" spans="1:4">
      <c r="A697" s="305"/>
      <c r="B697" s="306"/>
      <c r="C697" s="30"/>
      <c r="D697" s="305"/>
    </row>
    <row r="698" spans="1:4">
      <c r="A698" s="305"/>
      <c r="B698" s="306"/>
      <c r="C698" s="276" t="s">
        <v>2534</v>
      </c>
      <c r="D698" s="305"/>
    </row>
    <row r="699" spans="1:4">
      <c r="A699" s="305"/>
      <c r="B699" s="306"/>
      <c r="C699" s="30"/>
      <c r="D699" s="305"/>
    </row>
    <row r="700" spans="1:4">
      <c r="A700" s="305" t="s">
        <v>2525</v>
      </c>
      <c r="B700" s="306">
        <v>44187</v>
      </c>
      <c r="C700" s="275" t="s">
        <v>2690</v>
      </c>
      <c r="D700" s="305"/>
    </row>
    <row r="701" spans="1:4" ht="28.5">
      <c r="A701" s="305"/>
      <c r="B701" s="306"/>
      <c r="C701" s="30" t="s">
        <v>2691</v>
      </c>
      <c r="D701" s="305"/>
    </row>
    <row r="702" spans="1:4">
      <c r="A702" s="305"/>
      <c r="B702" s="306"/>
      <c r="C702" s="30"/>
      <c r="D702" s="305"/>
    </row>
    <row r="703" spans="1:4">
      <c r="A703" s="305" t="s">
        <v>2525</v>
      </c>
      <c r="B703" s="306">
        <v>44186</v>
      </c>
      <c r="C703" s="275" t="s">
        <v>2554</v>
      </c>
      <c r="D703" s="305"/>
    </row>
    <row r="704" spans="1:4" ht="28.5">
      <c r="A704" s="305"/>
      <c r="B704" s="306"/>
      <c r="C704" s="30" t="s">
        <v>2555</v>
      </c>
      <c r="D704" s="305"/>
    </row>
    <row r="705" spans="1:4">
      <c r="A705" s="305"/>
      <c r="B705" s="306"/>
      <c r="C705" s="30"/>
      <c r="D705" s="305"/>
    </row>
    <row r="706" spans="1:4">
      <c r="A706" s="305"/>
      <c r="B706" s="306"/>
      <c r="C706" s="276" t="s">
        <v>2534</v>
      </c>
      <c r="D706" s="305"/>
    </row>
    <row r="707" spans="1:4">
      <c r="A707" s="305"/>
      <c r="B707" s="306"/>
      <c r="C707" s="30"/>
      <c r="D707" s="305"/>
    </row>
    <row r="708" spans="1:4">
      <c r="A708" s="305" t="s">
        <v>2525</v>
      </c>
      <c r="B708" s="306">
        <v>44185</v>
      </c>
      <c r="C708" s="275" t="s">
        <v>2692</v>
      </c>
      <c r="D708" s="305"/>
    </row>
    <row r="709" spans="1:4" ht="28.5">
      <c r="A709" s="305"/>
      <c r="B709" s="306"/>
      <c r="C709" s="30" t="s">
        <v>2693</v>
      </c>
      <c r="D709" s="305"/>
    </row>
    <row r="710" spans="1:4">
      <c r="A710" s="305"/>
      <c r="B710" s="306"/>
      <c r="C710" s="30"/>
      <c r="D710" s="305"/>
    </row>
    <row r="711" spans="1:4">
      <c r="A711" s="305" t="s">
        <v>2525</v>
      </c>
      <c r="B711" s="306">
        <v>44185</v>
      </c>
      <c r="C711" s="275" t="s">
        <v>2554</v>
      </c>
      <c r="D711" s="305"/>
    </row>
    <row r="712" spans="1:4" ht="28.5">
      <c r="A712" s="305"/>
      <c r="B712" s="306"/>
      <c r="C712" s="30" t="s">
        <v>2555</v>
      </c>
      <c r="D712" s="305"/>
    </row>
    <row r="713" spans="1:4">
      <c r="A713" s="305"/>
      <c r="B713" s="306"/>
      <c r="C713" s="30"/>
      <c r="D713" s="305"/>
    </row>
    <row r="714" spans="1:4">
      <c r="A714" s="305"/>
      <c r="B714" s="306"/>
      <c r="C714" s="276" t="s">
        <v>2534</v>
      </c>
      <c r="D714" s="305"/>
    </row>
    <row r="715" spans="1:4">
      <c r="A715" s="305"/>
      <c r="B715" s="306"/>
      <c r="C715" s="30"/>
      <c r="D715" s="305"/>
    </row>
    <row r="716" spans="1:4">
      <c r="A716" s="305" t="s">
        <v>2525</v>
      </c>
      <c r="B716" s="306">
        <v>44185</v>
      </c>
      <c r="C716" s="275" t="s">
        <v>2694</v>
      </c>
      <c r="D716" s="305"/>
    </row>
    <row r="717" spans="1:4" ht="28.5">
      <c r="A717" s="305"/>
      <c r="B717" s="306"/>
      <c r="C717" s="30" t="s">
        <v>2695</v>
      </c>
      <c r="D717" s="305"/>
    </row>
    <row r="718" spans="1:4">
      <c r="A718" s="305"/>
      <c r="B718" s="306"/>
      <c r="C718" s="30"/>
      <c r="D718" s="305"/>
    </row>
    <row r="719" spans="1:4">
      <c r="A719" s="305" t="s">
        <v>2525</v>
      </c>
      <c r="B719" s="306">
        <v>44182</v>
      </c>
      <c r="C719" s="275" t="s">
        <v>2625</v>
      </c>
      <c r="D719" s="305"/>
    </row>
    <row r="720" spans="1:4" ht="28.5">
      <c r="A720" s="305"/>
      <c r="B720" s="306"/>
      <c r="C720" s="30" t="s">
        <v>2626</v>
      </c>
      <c r="D720" s="305"/>
    </row>
    <row r="721" spans="1:4">
      <c r="A721" s="305"/>
      <c r="B721" s="306"/>
      <c r="C721" s="30"/>
      <c r="D721" s="305"/>
    </row>
    <row r="722" spans="1:4">
      <c r="A722" s="305" t="s">
        <v>2525</v>
      </c>
      <c r="B722" s="306">
        <v>44182</v>
      </c>
      <c r="C722" s="275" t="s">
        <v>2696</v>
      </c>
      <c r="D722" s="305"/>
    </row>
    <row r="723" spans="1:4" ht="28.5">
      <c r="A723" s="305"/>
      <c r="B723" s="306"/>
      <c r="C723" s="30" t="s">
        <v>2697</v>
      </c>
      <c r="D723" s="305"/>
    </row>
    <row r="724" spans="1:4">
      <c r="A724" s="305"/>
      <c r="B724" s="306"/>
      <c r="C724" s="30"/>
      <c r="D724" s="305"/>
    </row>
    <row r="725" spans="1:4">
      <c r="A725" s="305" t="s">
        <v>2525</v>
      </c>
      <c r="B725" s="306">
        <v>44182</v>
      </c>
      <c r="C725" s="275" t="s">
        <v>2659</v>
      </c>
      <c r="D725" s="305"/>
    </row>
    <row r="726" spans="1:4" ht="28.5">
      <c r="A726" s="305"/>
      <c r="B726" s="306"/>
      <c r="C726" s="30" t="s">
        <v>2698</v>
      </c>
      <c r="D726" s="305"/>
    </row>
    <row r="727" spans="1:4">
      <c r="A727" s="305"/>
      <c r="B727" s="306"/>
      <c r="C727" s="30"/>
      <c r="D727" s="305"/>
    </row>
    <row r="728" spans="1:4">
      <c r="A728" s="305" t="s">
        <v>2525</v>
      </c>
      <c r="B728" s="306">
        <v>44182</v>
      </c>
      <c r="C728" s="275" t="s">
        <v>2699</v>
      </c>
      <c r="D728" s="305"/>
    </row>
    <row r="729" spans="1:4" ht="28.5">
      <c r="A729" s="305"/>
      <c r="B729" s="306"/>
      <c r="C729" s="30" t="s">
        <v>2700</v>
      </c>
      <c r="D729" s="305"/>
    </row>
    <row r="730" spans="1:4">
      <c r="A730" s="305"/>
      <c r="B730" s="306"/>
      <c r="C730" s="30"/>
      <c r="D730" s="305"/>
    </row>
    <row r="731" spans="1:4">
      <c r="A731" s="305" t="s">
        <v>2525</v>
      </c>
      <c r="B731" s="306">
        <v>44182</v>
      </c>
      <c r="C731" s="275" t="s">
        <v>2701</v>
      </c>
      <c r="D731" s="305"/>
    </row>
    <row r="732" spans="1:4" ht="28.5">
      <c r="A732" s="305"/>
      <c r="B732" s="306"/>
      <c r="C732" s="30" t="s">
        <v>2702</v>
      </c>
      <c r="D732" s="305"/>
    </row>
    <row r="733" spans="1:4">
      <c r="A733" s="305"/>
      <c r="B733" s="306"/>
      <c r="C733" s="30"/>
      <c r="D733" s="305"/>
    </row>
    <row r="734" spans="1:4">
      <c r="A734" s="305" t="s">
        <v>2525</v>
      </c>
      <c r="B734" s="306">
        <v>44182</v>
      </c>
      <c r="C734" s="275" t="s">
        <v>2613</v>
      </c>
      <c r="D734" s="305"/>
    </row>
    <row r="735" spans="1:4" ht="28.5">
      <c r="A735" s="305"/>
      <c r="B735" s="306"/>
      <c r="C735" s="30" t="s">
        <v>2614</v>
      </c>
      <c r="D735" s="305"/>
    </row>
    <row r="736" spans="1:4">
      <c r="A736" s="305"/>
      <c r="B736" s="306"/>
      <c r="C736" s="30"/>
      <c r="D736" s="305"/>
    </row>
    <row r="737" spans="1:4">
      <c r="A737" s="305"/>
      <c r="B737" s="306"/>
      <c r="C737" s="276" t="s">
        <v>2534</v>
      </c>
      <c r="D737" s="305"/>
    </row>
    <row r="738" spans="1:4">
      <c r="A738" s="305"/>
      <c r="B738" s="306"/>
      <c r="C738" s="30"/>
      <c r="D738" s="305"/>
    </row>
    <row r="739" spans="1:4">
      <c r="A739" s="305" t="s">
        <v>2525</v>
      </c>
      <c r="B739" s="306">
        <v>44175</v>
      </c>
      <c r="C739" s="275" t="s">
        <v>2703</v>
      </c>
    </row>
    <row r="740" spans="1:4" ht="28.5">
      <c r="A740" s="305"/>
      <c r="B740" s="306"/>
      <c r="C740" s="30" t="s">
        <v>2704</v>
      </c>
    </row>
    <row r="741" spans="1:4">
      <c r="A741" s="305"/>
      <c r="B741" s="306"/>
      <c r="C741" s="30"/>
    </row>
    <row r="742" spans="1:4">
      <c r="A742" s="305"/>
      <c r="B742" s="306"/>
      <c r="C742" s="276" t="s">
        <v>2534</v>
      </c>
    </row>
    <row r="743" spans="1:4">
      <c r="A743" s="305"/>
      <c r="B743" s="306"/>
      <c r="C743" s="30"/>
    </row>
    <row r="744" spans="1:4">
      <c r="A744" s="305" t="s">
        <v>2525</v>
      </c>
      <c r="B744" s="306">
        <v>44175</v>
      </c>
      <c r="C744" s="275" t="s">
        <v>2705</v>
      </c>
      <c r="D744" s="305"/>
    </row>
    <row r="745" spans="1:4" ht="28.5">
      <c r="A745" s="305"/>
      <c r="B745" s="306"/>
      <c r="C745" s="30" t="s">
        <v>2706</v>
      </c>
      <c r="D745" s="305"/>
    </row>
    <row r="746" spans="1:4">
      <c r="A746" s="305"/>
      <c r="B746" s="306"/>
      <c r="C746" s="30"/>
      <c r="D746" s="305"/>
    </row>
    <row r="747" spans="1:4">
      <c r="A747" s="305" t="s">
        <v>2525</v>
      </c>
      <c r="B747" s="306">
        <v>44175</v>
      </c>
      <c r="C747" s="275" t="s">
        <v>2707</v>
      </c>
      <c r="D747" s="305"/>
    </row>
    <row r="748" spans="1:4" ht="28.5">
      <c r="A748" s="305"/>
      <c r="B748" s="306"/>
      <c r="C748" s="30" t="s">
        <v>2708</v>
      </c>
      <c r="D748" s="305"/>
    </row>
    <row r="749" spans="1:4">
      <c r="A749" s="305"/>
      <c r="B749" s="306"/>
      <c r="C749" s="30"/>
      <c r="D749" s="305"/>
    </row>
    <row r="750" spans="1:4">
      <c r="A750" s="305" t="s">
        <v>2525</v>
      </c>
      <c r="B750" s="306">
        <v>44175</v>
      </c>
      <c r="C750" s="275" t="s">
        <v>2709</v>
      </c>
      <c r="D750" s="305"/>
    </row>
    <row r="751" spans="1:4" ht="28.5">
      <c r="A751" s="305"/>
      <c r="B751" s="306"/>
      <c r="C751" s="30" t="s">
        <v>2710</v>
      </c>
      <c r="D751" s="305"/>
    </row>
    <row r="752" spans="1:4">
      <c r="A752" s="305"/>
      <c r="B752" s="306"/>
      <c r="C752" s="30"/>
      <c r="D752" s="305"/>
    </row>
    <row r="753" spans="1:4">
      <c r="A753" s="305"/>
      <c r="B753" s="306"/>
      <c r="C753" s="276" t="s">
        <v>2534</v>
      </c>
      <c r="D753" s="305"/>
    </row>
    <row r="754" spans="1:4">
      <c r="A754" s="305"/>
      <c r="B754" s="306"/>
      <c r="C754" s="30"/>
      <c r="D754" s="305"/>
    </row>
    <row r="755" spans="1:4">
      <c r="A755" s="305" t="s">
        <v>2525</v>
      </c>
      <c r="B755" s="306">
        <v>44175</v>
      </c>
      <c r="C755" s="275" t="s">
        <v>2672</v>
      </c>
      <c r="D755" s="305"/>
    </row>
    <row r="756" spans="1:4" ht="28.5">
      <c r="A756" s="305"/>
      <c r="B756" s="306"/>
      <c r="C756" s="30" t="s">
        <v>2673</v>
      </c>
      <c r="D756" s="305"/>
    </row>
    <row r="757" spans="1:4">
      <c r="A757" s="305"/>
      <c r="B757" s="306"/>
      <c r="C757" s="30"/>
      <c r="D757" s="305"/>
    </row>
    <row r="758" spans="1:4">
      <c r="A758" s="305"/>
      <c r="B758" s="306"/>
      <c r="C758" s="276" t="s">
        <v>2534</v>
      </c>
      <c r="D758" s="305"/>
    </row>
    <row r="759" spans="1:4">
      <c r="A759" s="305"/>
      <c r="B759" s="306"/>
      <c r="C759" s="30"/>
      <c r="D759" s="305"/>
    </row>
    <row r="760" spans="1:4">
      <c r="A760" s="305" t="s">
        <v>2525</v>
      </c>
      <c r="B760" s="306">
        <v>44175</v>
      </c>
      <c r="C760" s="275" t="s">
        <v>2609</v>
      </c>
      <c r="D760" s="305"/>
    </row>
    <row r="761" spans="1:4" ht="28.5">
      <c r="A761" s="305"/>
      <c r="B761" s="306"/>
      <c r="C761" s="30" t="s">
        <v>2610</v>
      </c>
      <c r="D761" s="305"/>
    </row>
    <row r="762" spans="1:4">
      <c r="A762" s="305"/>
      <c r="B762" s="306"/>
      <c r="C762" s="30"/>
      <c r="D762" s="305"/>
    </row>
    <row r="763" spans="1:4">
      <c r="A763" s="305"/>
      <c r="B763" s="306"/>
      <c r="C763" s="276" t="s">
        <v>2534</v>
      </c>
      <c r="D763" s="305"/>
    </row>
    <row r="764" spans="1:4">
      <c r="A764" s="305"/>
      <c r="B764" s="306"/>
      <c r="C764" s="30"/>
      <c r="D764" s="305"/>
    </row>
    <row r="765" spans="1:4">
      <c r="A765" s="305" t="s">
        <v>2525</v>
      </c>
      <c r="B765" s="306">
        <v>44175</v>
      </c>
      <c r="C765" s="275" t="s">
        <v>2711</v>
      </c>
      <c r="D765" s="305"/>
    </row>
    <row r="766" spans="1:4" ht="28.5">
      <c r="A766" s="305"/>
      <c r="B766" s="306"/>
      <c r="C766" s="30" t="s">
        <v>2712</v>
      </c>
      <c r="D766" s="305"/>
    </row>
    <row r="767" spans="1:4">
      <c r="A767" s="305"/>
      <c r="B767" s="306"/>
      <c r="C767" s="30"/>
      <c r="D767" s="305"/>
    </row>
    <row r="768" spans="1:4">
      <c r="A768" s="305"/>
      <c r="B768" s="306"/>
      <c r="C768" s="276" t="s">
        <v>2534</v>
      </c>
      <c r="D768" s="305"/>
    </row>
    <row r="769" spans="1:4">
      <c r="A769" s="305"/>
      <c r="B769" s="306"/>
      <c r="C769" s="30"/>
      <c r="D769" s="305"/>
    </row>
    <row r="770" spans="1:4">
      <c r="A770" s="305" t="s">
        <v>2525</v>
      </c>
      <c r="B770" s="306">
        <v>44175</v>
      </c>
      <c r="C770" s="275" t="s">
        <v>2674</v>
      </c>
      <c r="D770" s="305"/>
    </row>
    <row r="771" spans="1:4" ht="28.5">
      <c r="A771" s="305"/>
      <c r="B771" s="306"/>
      <c r="C771" s="30" t="s">
        <v>2675</v>
      </c>
      <c r="D771" s="305"/>
    </row>
    <row r="772" spans="1:4">
      <c r="A772" s="305"/>
      <c r="B772" s="306"/>
      <c r="C772" s="30"/>
      <c r="D772" s="305"/>
    </row>
    <row r="773" spans="1:4">
      <c r="A773" s="305" t="s">
        <v>2525</v>
      </c>
      <c r="B773" s="306">
        <v>44175</v>
      </c>
      <c r="C773" s="275" t="s">
        <v>2713</v>
      </c>
      <c r="D773" s="305"/>
    </row>
    <row r="774" spans="1:4" ht="28.5">
      <c r="A774" s="305"/>
      <c r="B774" s="306"/>
      <c r="C774" s="30" t="s">
        <v>2714</v>
      </c>
      <c r="D774" s="305"/>
    </row>
    <row r="775" spans="1:4">
      <c r="A775" s="305"/>
      <c r="B775" s="306"/>
      <c r="C775" s="30"/>
      <c r="D775" s="305"/>
    </row>
    <row r="776" spans="1:4">
      <c r="A776" s="305" t="s">
        <v>2525</v>
      </c>
      <c r="B776" s="306">
        <v>44175</v>
      </c>
      <c r="C776" s="275" t="s">
        <v>2715</v>
      </c>
      <c r="D776" s="305"/>
    </row>
    <row r="777" spans="1:4" ht="28.5">
      <c r="A777" s="305"/>
      <c r="B777" s="306"/>
      <c r="C777" s="30" t="s">
        <v>2716</v>
      </c>
      <c r="D777" s="305"/>
    </row>
    <row r="778" spans="1:4">
      <c r="A778" s="305"/>
      <c r="B778" s="306"/>
      <c r="C778" s="30"/>
      <c r="D778" s="305"/>
    </row>
    <row r="779" spans="1:4">
      <c r="A779" s="305" t="s">
        <v>2525</v>
      </c>
      <c r="B779" s="306">
        <v>44175</v>
      </c>
      <c r="C779" s="275" t="s">
        <v>2717</v>
      </c>
      <c r="D779" s="305"/>
    </row>
    <row r="780" spans="1:4" ht="28.5">
      <c r="A780" s="305"/>
      <c r="B780" s="306"/>
      <c r="C780" s="30" t="s">
        <v>2718</v>
      </c>
      <c r="D780" s="305"/>
    </row>
    <row r="781" spans="1:4">
      <c r="A781" s="305"/>
      <c r="B781" s="306"/>
      <c r="C781" s="30"/>
      <c r="D781" s="305"/>
    </row>
    <row r="782" spans="1:4">
      <c r="A782" s="305" t="s">
        <v>2525</v>
      </c>
      <c r="B782" s="306">
        <v>44173</v>
      </c>
      <c r="C782" s="275" t="s">
        <v>2719</v>
      </c>
      <c r="D782" s="305"/>
    </row>
    <row r="783" spans="1:4" ht="28.5">
      <c r="A783" s="305"/>
      <c r="B783" s="306"/>
      <c r="C783" s="30" t="s">
        <v>2720</v>
      </c>
      <c r="D783" s="305"/>
    </row>
    <row r="784" spans="1:4">
      <c r="A784" s="305"/>
      <c r="B784" s="306"/>
      <c r="C784" s="30"/>
      <c r="D784" s="305"/>
    </row>
    <row r="785" spans="1:4">
      <c r="A785" s="305"/>
      <c r="B785" s="306"/>
      <c r="C785" s="276" t="s">
        <v>2534</v>
      </c>
      <c r="D785" s="305"/>
    </row>
    <row r="786" spans="1:4">
      <c r="A786" s="305"/>
      <c r="B786" s="306"/>
      <c r="C786" s="30"/>
      <c r="D786" s="305"/>
    </row>
    <row r="787" spans="1:4">
      <c r="A787" s="305" t="s">
        <v>2525</v>
      </c>
      <c r="B787" s="306">
        <v>44173</v>
      </c>
      <c r="C787" s="275" t="s">
        <v>2721</v>
      </c>
      <c r="D787" s="305"/>
    </row>
    <row r="788" spans="1:4" ht="28.5">
      <c r="A788" s="305"/>
      <c r="B788" s="306"/>
      <c r="C788" s="30" t="s">
        <v>2722</v>
      </c>
      <c r="D788" s="305"/>
    </row>
    <row r="789" spans="1:4">
      <c r="A789" s="305"/>
      <c r="B789" s="306"/>
      <c r="C789" s="30"/>
      <c r="D789" s="305"/>
    </row>
    <row r="790" spans="1:4">
      <c r="A790" s="305"/>
      <c r="B790" s="306"/>
      <c r="C790" s="276" t="s">
        <v>2534</v>
      </c>
      <c r="D790" s="305"/>
    </row>
    <row r="791" spans="1:4">
      <c r="A791" s="305"/>
      <c r="B791" s="306"/>
      <c r="C791" s="30"/>
      <c r="D791" s="305"/>
    </row>
    <row r="792" spans="1:4">
      <c r="A792" s="305" t="s">
        <v>2525</v>
      </c>
      <c r="B792" s="306">
        <v>44172</v>
      </c>
      <c r="C792" s="275" t="s">
        <v>2723</v>
      </c>
      <c r="D792" s="305"/>
    </row>
    <row r="793" spans="1:4" ht="28.5">
      <c r="A793" s="305"/>
      <c r="B793" s="306"/>
      <c r="C793" s="30" t="s">
        <v>2724</v>
      </c>
      <c r="D793" s="305"/>
    </row>
    <row r="794" spans="1:4">
      <c r="A794" s="305"/>
      <c r="B794" s="306"/>
      <c r="C794" s="30"/>
      <c r="D794" s="305"/>
    </row>
    <row r="795" spans="1:4">
      <c r="A795" s="305" t="s">
        <v>2525</v>
      </c>
      <c r="B795" s="306">
        <v>44172</v>
      </c>
      <c r="C795" s="275" t="s">
        <v>2725</v>
      </c>
      <c r="D795" s="305"/>
    </row>
    <row r="796" spans="1:4" ht="28.5">
      <c r="A796" s="305"/>
      <c r="B796" s="306"/>
      <c r="C796" s="30" t="s">
        <v>2726</v>
      </c>
      <c r="D796" s="305"/>
    </row>
    <row r="797" spans="1:4">
      <c r="A797" s="305"/>
      <c r="B797" s="306"/>
      <c r="C797" s="30"/>
      <c r="D797" s="305"/>
    </row>
    <row r="798" spans="1:4">
      <c r="A798" s="305"/>
      <c r="B798" s="306"/>
      <c r="C798" s="276" t="s">
        <v>2534</v>
      </c>
      <c r="D798" s="305"/>
    </row>
    <row r="799" spans="1:4">
      <c r="A799" s="305"/>
      <c r="B799" s="306"/>
      <c r="C799" s="30"/>
      <c r="D799" s="305"/>
    </row>
    <row r="800" spans="1:4">
      <c r="A800" s="305" t="s">
        <v>2525</v>
      </c>
      <c r="B800" s="306">
        <v>44172</v>
      </c>
      <c r="C800" s="275" t="s">
        <v>2666</v>
      </c>
      <c r="D800" s="305"/>
    </row>
    <row r="801" spans="1:4" ht="28.5">
      <c r="A801" s="305"/>
      <c r="B801" s="306"/>
      <c r="C801" s="30" t="s">
        <v>2667</v>
      </c>
      <c r="D801" s="305"/>
    </row>
    <row r="802" spans="1:4">
      <c r="A802" s="305"/>
      <c r="B802" s="306"/>
      <c r="C802" s="30"/>
      <c r="D802" s="305"/>
    </row>
    <row r="803" spans="1:4">
      <c r="A803" s="305"/>
      <c r="B803" s="306"/>
      <c r="C803" s="276" t="s">
        <v>2534</v>
      </c>
      <c r="D803" s="305"/>
    </row>
    <row r="804" spans="1:4">
      <c r="A804" s="305"/>
      <c r="B804" s="306"/>
      <c r="C804" s="30"/>
      <c r="D804" s="305"/>
    </row>
    <row r="805" spans="1:4">
      <c r="A805" s="305" t="s">
        <v>2525</v>
      </c>
      <c r="B805" s="306">
        <v>44172</v>
      </c>
      <c r="C805" s="275" t="s">
        <v>2727</v>
      </c>
      <c r="D805" s="305"/>
    </row>
    <row r="806" spans="1:4" ht="28.5">
      <c r="A806" s="305"/>
      <c r="B806" s="306"/>
      <c r="C806" s="30" t="s">
        <v>2728</v>
      </c>
      <c r="D806" s="305"/>
    </row>
    <row r="807" spans="1:4">
      <c r="A807" s="305"/>
      <c r="B807" s="306"/>
      <c r="C807" s="30"/>
      <c r="D807" s="305"/>
    </row>
    <row r="808" spans="1:4">
      <c r="A808" s="305" t="s">
        <v>2525</v>
      </c>
      <c r="B808" s="306">
        <v>44172</v>
      </c>
      <c r="C808" s="275" t="s">
        <v>2729</v>
      </c>
      <c r="D808" s="305"/>
    </row>
    <row r="809" spans="1:4" ht="28.5">
      <c r="A809" s="305"/>
      <c r="B809" s="306"/>
      <c r="C809" s="30" t="s">
        <v>2730</v>
      </c>
      <c r="D809" s="305"/>
    </row>
    <row r="810" spans="1:4">
      <c r="A810" s="305"/>
      <c r="B810" s="306"/>
      <c r="C810" s="30"/>
      <c r="D810" s="305"/>
    </row>
    <row r="811" spans="1:4">
      <c r="A811" s="305"/>
      <c r="B811" s="306"/>
      <c r="C811" s="276" t="s">
        <v>2534</v>
      </c>
      <c r="D811" s="305"/>
    </row>
    <row r="812" spans="1:4">
      <c r="A812" s="305"/>
      <c r="B812" s="306"/>
      <c r="C812" s="30"/>
      <c r="D812" s="305"/>
    </row>
    <row r="813" spans="1:4">
      <c r="A813" s="305"/>
      <c r="B813" s="306">
        <v>44172</v>
      </c>
      <c r="C813" s="275" t="s">
        <v>2731</v>
      </c>
      <c r="D813" s="305"/>
    </row>
    <row r="814" spans="1:4" ht="28.5">
      <c r="A814" s="305"/>
      <c r="B814" s="306"/>
      <c r="C814" s="30" t="s">
        <v>2732</v>
      </c>
      <c r="D814" s="305"/>
    </row>
    <row r="815" spans="1:4">
      <c r="A815" s="305"/>
      <c r="B815" s="306"/>
      <c r="C815" s="30"/>
      <c r="D815" s="305"/>
    </row>
    <row r="816" spans="1:4">
      <c r="A816" s="305" t="s">
        <v>2525</v>
      </c>
      <c r="B816" s="306">
        <v>44170</v>
      </c>
      <c r="C816" s="275" t="s">
        <v>2733</v>
      </c>
      <c r="D816" s="305"/>
    </row>
    <row r="817" spans="1:4" ht="28.5">
      <c r="A817" s="305"/>
      <c r="B817" s="306"/>
      <c r="C817" s="30" t="s">
        <v>2734</v>
      </c>
      <c r="D817" s="305"/>
    </row>
    <row r="818" spans="1:4">
      <c r="A818" s="305"/>
      <c r="B818" s="306"/>
      <c r="C818" s="30"/>
      <c r="D818" s="305"/>
    </row>
    <row r="819" spans="1:4">
      <c r="A819" s="305"/>
      <c r="B819" s="306"/>
      <c r="C819" s="276" t="s">
        <v>2534</v>
      </c>
      <c r="D819" s="305"/>
    </row>
    <row r="820" spans="1:4">
      <c r="A820" s="305"/>
      <c r="B820" s="306"/>
      <c r="C820" s="30"/>
      <c r="D820" s="305"/>
    </row>
    <row r="821" spans="1:4">
      <c r="A821" s="305"/>
      <c r="B821" s="306">
        <v>44170</v>
      </c>
      <c r="C821" s="275" t="s">
        <v>2735</v>
      </c>
    </row>
    <row r="822" spans="1:4" ht="28.5">
      <c r="A822" s="305"/>
      <c r="B822" s="306"/>
      <c r="C822" s="30" t="s">
        <v>2736</v>
      </c>
    </row>
    <row r="823" spans="1:4">
      <c r="A823" s="305"/>
      <c r="B823" s="306"/>
      <c r="C823" s="30"/>
    </row>
    <row r="824" spans="1:4">
      <c r="A824" s="305" t="s">
        <v>2525</v>
      </c>
      <c r="B824" s="306">
        <v>44170</v>
      </c>
      <c r="C824" s="275" t="s">
        <v>2646</v>
      </c>
      <c r="D824" s="305"/>
    </row>
    <row r="825" spans="1:4" ht="28.5">
      <c r="A825" s="305"/>
      <c r="B825" s="306"/>
      <c r="C825" s="30" t="s">
        <v>2737</v>
      </c>
      <c r="D825" s="305"/>
    </row>
    <row r="826" spans="1:4">
      <c r="A826" s="305"/>
      <c r="B826" s="306"/>
      <c r="C826" s="30"/>
      <c r="D826" s="305"/>
    </row>
    <row r="827" spans="1:4">
      <c r="A827" s="305"/>
      <c r="B827" s="306"/>
      <c r="C827" s="276" t="s">
        <v>2534</v>
      </c>
      <c r="D827" s="305"/>
    </row>
    <row r="828" spans="1:4">
      <c r="A828" s="305"/>
      <c r="B828" s="306"/>
      <c r="C828" s="30"/>
      <c r="D828" s="305"/>
    </row>
    <row r="829" spans="1:4">
      <c r="A829" s="305" t="s">
        <v>2525</v>
      </c>
      <c r="B829" s="306">
        <v>44170</v>
      </c>
      <c r="C829" s="275" t="s">
        <v>2738</v>
      </c>
      <c r="D829" s="305"/>
    </row>
    <row r="830" spans="1:4" ht="28.5">
      <c r="A830" s="305"/>
      <c r="B830" s="306"/>
      <c r="C830" s="30" t="s">
        <v>2739</v>
      </c>
      <c r="D830" s="305"/>
    </row>
    <row r="831" spans="1:4">
      <c r="A831" s="305"/>
      <c r="B831" s="306"/>
      <c r="C831" s="30"/>
      <c r="D831" s="305"/>
    </row>
    <row r="832" spans="1:4">
      <c r="A832" s="305" t="s">
        <v>2525</v>
      </c>
      <c r="B832" s="306">
        <v>44170</v>
      </c>
      <c r="C832" s="275" t="s">
        <v>2740</v>
      </c>
      <c r="D832" s="305"/>
    </row>
    <row r="833" spans="1:4" ht="28.5">
      <c r="A833" s="305"/>
      <c r="B833" s="306"/>
      <c r="C833" s="30" t="s">
        <v>2741</v>
      </c>
      <c r="D833" s="305"/>
    </row>
    <row r="834" spans="1:4">
      <c r="A834" s="305"/>
      <c r="B834" s="306"/>
      <c r="C834" s="30"/>
      <c r="D834" s="305"/>
    </row>
    <row r="835" spans="1:4">
      <c r="A835" s="305" t="s">
        <v>2525</v>
      </c>
      <c r="B835" s="306">
        <v>44169</v>
      </c>
      <c r="C835" s="275" t="s">
        <v>2742</v>
      </c>
      <c r="D835" s="305"/>
    </row>
    <row r="836" spans="1:4" ht="28.5">
      <c r="A836" s="305"/>
      <c r="B836" s="306"/>
      <c r="C836" s="30" t="s">
        <v>2743</v>
      </c>
      <c r="D836" s="305"/>
    </row>
    <row r="837" spans="1:4">
      <c r="A837" s="305"/>
      <c r="B837" s="306"/>
      <c r="C837" s="30"/>
      <c r="D837" s="305"/>
    </row>
    <row r="838" spans="1:4">
      <c r="A838" s="305"/>
      <c r="B838" s="306"/>
      <c r="C838" s="276" t="s">
        <v>2534</v>
      </c>
      <c r="D838" s="305"/>
    </row>
    <row r="839" spans="1:4">
      <c r="A839" s="305"/>
      <c r="B839" s="306"/>
      <c r="C839" s="30"/>
      <c r="D839" s="305"/>
    </row>
    <row r="840" spans="1:4">
      <c r="A840" s="305" t="s">
        <v>2525</v>
      </c>
      <c r="B840" s="306">
        <v>44168</v>
      </c>
      <c r="C840" s="275" t="s">
        <v>2744</v>
      </c>
      <c r="D840" s="305"/>
    </row>
    <row r="841" spans="1:4" ht="28.5">
      <c r="A841" s="305"/>
      <c r="B841" s="306"/>
      <c r="C841" s="30" t="s">
        <v>2745</v>
      </c>
      <c r="D841" s="305"/>
    </row>
    <row r="842" spans="1:4">
      <c r="A842" s="305"/>
      <c r="B842" s="306"/>
      <c r="C842" s="30"/>
      <c r="D842" s="305"/>
    </row>
    <row r="843" spans="1:4">
      <c r="A843" s="305" t="s">
        <v>2525</v>
      </c>
      <c r="B843" s="306">
        <v>44166</v>
      </c>
      <c r="C843" s="275" t="s">
        <v>2746</v>
      </c>
      <c r="D843" s="305"/>
    </row>
    <row r="844" spans="1:4" ht="28.5">
      <c r="A844" s="305"/>
      <c r="B844" s="306"/>
      <c r="C844" s="30" t="s">
        <v>2747</v>
      </c>
      <c r="D844" s="305"/>
    </row>
    <row r="845" spans="1:4">
      <c r="A845" s="305"/>
      <c r="B845" s="306"/>
      <c r="C845" s="30"/>
      <c r="D845" s="305"/>
    </row>
    <row r="846" spans="1:4" ht="28.5">
      <c r="A846" s="305" t="s">
        <v>2525</v>
      </c>
      <c r="B846" s="306">
        <v>44166</v>
      </c>
      <c r="C846" s="275" t="s">
        <v>2748</v>
      </c>
      <c r="D846" s="305"/>
    </row>
    <row r="847" spans="1:4" ht="28.5">
      <c r="A847" s="305"/>
      <c r="B847" s="306"/>
      <c r="C847" s="30" t="s">
        <v>2749</v>
      </c>
      <c r="D847" s="305"/>
    </row>
    <row r="848" spans="1:4">
      <c r="A848" s="305"/>
      <c r="B848" s="306"/>
      <c r="C848" s="30"/>
      <c r="D848" s="305"/>
    </row>
    <row r="849" spans="1:4">
      <c r="A849" s="305"/>
      <c r="B849" s="306"/>
      <c r="C849" s="276" t="s">
        <v>2534</v>
      </c>
      <c r="D849" s="305"/>
    </row>
    <row r="850" spans="1:4">
      <c r="A850" s="305"/>
      <c r="B850" s="306"/>
      <c r="C850" s="30"/>
      <c r="D850" s="305"/>
    </row>
    <row r="851" spans="1:4">
      <c r="A851" s="305" t="s">
        <v>2525</v>
      </c>
      <c r="B851" s="306">
        <v>44166</v>
      </c>
      <c r="C851" s="275" t="s">
        <v>2729</v>
      </c>
      <c r="D851" s="305"/>
    </row>
    <row r="852" spans="1:4" ht="28.5">
      <c r="A852" s="305"/>
      <c r="B852" s="306"/>
      <c r="C852" s="30" t="s">
        <v>2730</v>
      </c>
      <c r="D852" s="305"/>
    </row>
    <row r="853" spans="1:4">
      <c r="A853" s="305"/>
      <c r="B853" s="306"/>
      <c r="C853" s="30"/>
      <c r="D853" s="305"/>
    </row>
    <row r="854" spans="1:4">
      <c r="A854" s="305"/>
      <c r="B854" s="306"/>
      <c r="C854" s="276" t="s">
        <v>2534</v>
      </c>
      <c r="D854" s="305"/>
    </row>
    <row r="855" spans="1:4">
      <c r="A855" s="305"/>
      <c r="B855" s="306"/>
      <c r="C855" s="30"/>
      <c r="D855" s="305"/>
    </row>
    <row r="856" spans="1:4">
      <c r="A856" s="305"/>
      <c r="B856" s="306">
        <v>44166</v>
      </c>
      <c r="C856" s="275" t="s">
        <v>2619</v>
      </c>
      <c r="D856" s="305"/>
    </row>
    <row r="857" spans="1:4" ht="28.5">
      <c r="A857" s="305"/>
      <c r="B857" s="306"/>
      <c r="C857" s="30" t="s">
        <v>2750</v>
      </c>
      <c r="D857" s="305"/>
    </row>
    <row r="858" spans="1:4">
      <c r="A858" s="305"/>
      <c r="B858" s="306"/>
      <c r="C858" s="30"/>
      <c r="D858" s="305"/>
    </row>
    <row r="859" spans="1:4">
      <c r="A859" s="305" t="s">
        <v>2525</v>
      </c>
      <c r="B859" s="306">
        <v>44166</v>
      </c>
      <c r="C859" s="275" t="s">
        <v>2751</v>
      </c>
      <c r="D859" s="305"/>
    </row>
    <row r="860" spans="1:4" ht="28.5">
      <c r="A860" s="305"/>
      <c r="B860" s="306"/>
      <c r="C860" s="30" t="s">
        <v>2752</v>
      </c>
      <c r="D860" s="305"/>
    </row>
    <row r="861" spans="1:4">
      <c r="A861" s="305"/>
      <c r="B861" s="306"/>
      <c r="C861" s="30"/>
      <c r="D861" s="305"/>
    </row>
    <row r="862" spans="1:4">
      <c r="A862" s="305"/>
      <c r="B862" s="306">
        <v>44166</v>
      </c>
      <c r="C862" s="275" t="s">
        <v>2619</v>
      </c>
      <c r="D862" s="305"/>
    </row>
    <row r="863" spans="1:4" ht="28.5">
      <c r="A863" s="305"/>
      <c r="B863" s="306"/>
      <c r="C863" s="30" t="s">
        <v>2753</v>
      </c>
      <c r="D863" s="305"/>
    </row>
    <row r="864" spans="1:4">
      <c r="A864" s="305"/>
      <c r="B864" s="306"/>
      <c r="C864" s="30"/>
      <c r="D864" s="305"/>
    </row>
    <row r="865" spans="1:4">
      <c r="A865" s="305"/>
      <c r="B865" s="306">
        <v>44166</v>
      </c>
      <c r="C865" s="275" t="s">
        <v>2754</v>
      </c>
      <c r="D865" s="305"/>
    </row>
    <row r="866" spans="1:4" ht="28.5">
      <c r="A866" s="305"/>
      <c r="B866" s="306"/>
      <c r="C866" s="30" t="s">
        <v>2755</v>
      </c>
      <c r="D866" s="305"/>
    </row>
    <row r="867" spans="1:4">
      <c r="A867" s="305"/>
      <c r="B867" s="306"/>
      <c r="C867" s="30"/>
      <c r="D867" s="305"/>
    </row>
    <row r="868" spans="1:4">
      <c r="A868" s="305" t="s">
        <v>2525</v>
      </c>
      <c r="B868" s="306">
        <v>44166</v>
      </c>
      <c r="C868" s="275" t="s">
        <v>2756</v>
      </c>
      <c r="D868" s="305"/>
    </row>
    <row r="869" spans="1:4" ht="28.5">
      <c r="A869" s="305"/>
      <c r="B869" s="306"/>
      <c r="C869" s="30" t="s">
        <v>2757</v>
      </c>
      <c r="D869" s="305"/>
    </row>
    <row r="870" spans="1:4">
      <c r="A870" s="305"/>
      <c r="B870" s="306"/>
      <c r="C870" s="30"/>
      <c r="D870" s="305"/>
    </row>
    <row r="871" spans="1:4">
      <c r="A871" s="305"/>
      <c r="B871" s="306"/>
      <c r="C871" s="276" t="s">
        <v>2534</v>
      </c>
      <c r="D871" s="305"/>
    </row>
    <row r="872" spans="1:4">
      <c r="A872" s="305"/>
      <c r="B872" s="306"/>
      <c r="C872" s="30"/>
      <c r="D872" s="305"/>
    </row>
    <row r="873" spans="1:4">
      <c r="A873" s="305" t="s">
        <v>2525</v>
      </c>
      <c r="B873" s="306">
        <v>44166</v>
      </c>
      <c r="C873" s="275" t="s">
        <v>2758</v>
      </c>
      <c r="D873" s="305"/>
    </row>
    <row r="874" spans="1:4" ht="28.5">
      <c r="A874" s="305"/>
      <c r="B874" s="306"/>
      <c r="C874" s="30" t="s">
        <v>2759</v>
      </c>
      <c r="D874" s="305"/>
    </row>
    <row r="875" spans="1:4">
      <c r="A875" s="305"/>
      <c r="B875" s="306"/>
      <c r="C875" s="30"/>
      <c r="D875" s="305"/>
    </row>
    <row r="876" spans="1:4">
      <c r="A876" s="305" t="s">
        <v>2525</v>
      </c>
      <c r="B876" s="306">
        <v>44165</v>
      </c>
      <c r="C876" s="275" t="s">
        <v>2760</v>
      </c>
      <c r="D876" s="305"/>
    </row>
    <row r="877" spans="1:4" ht="28.5">
      <c r="A877" s="305"/>
      <c r="B877" s="306"/>
      <c r="C877" s="30" t="s">
        <v>2761</v>
      </c>
      <c r="D877" s="305"/>
    </row>
    <row r="878" spans="1:4">
      <c r="A878" s="305"/>
      <c r="B878" s="306"/>
      <c r="C878" s="30"/>
      <c r="D878" s="305"/>
    </row>
    <row r="879" spans="1:4">
      <c r="A879" s="305"/>
      <c r="B879" s="306"/>
      <c r="C879" s="276" t="s">
        <v>2534</v>
      </c>
      <c r="D879" s="305"/>
    </row>
    <row r="880" spans="1:4">
      <c r="A880" s="305"/>
      <c r="B880" s="306"/>
      <c r="C880" s="30"/>
      <c r="D880" s="305"/>
    </row>
    <row r="881" spans="1:4">
      <c r="A881" s="305" t="s">
        <v>2525</v>
      </c>
      <c r="B881" s="306">
        <v>44161</v>
      </c>
      <c r="C881" s="275" t="s">
        <v>2562</v>
      </c>
      <c r="D881" s="305"/>
    </row>
    <row r="882" spans="1:4" ht="28.5">
      <c r="A882" s="305"/>
      <c r="B882" s="306"/>
      <c r="C882" s="30" t="s">
        <v>2563</v>
      </c>
      <c r="D882" s="305"/>
    </row>
    <row r="883" spans="1:4">
      <c r="A883" s="305"/>
      <c r="B883" s="306"/>
      <c r="C883" s="30"/>
      <c r="D883" s="305"/>
    </row>
    <row r="884" spans="1:4">
      <c r="A884" s="305"/>
      <c r="B884" s="306"/>
      <c r="C884" s="276" t="s">
        <v>2534</v>
      </c>
      <c r="D884" s="305"/>
    </row>
    <row r="885" spans="1:4">
      <c r="A885" s="305"/>
      <c r="B885" s="306"/>
      <c r="C885" s="30"/>
      <c r="D885" s="305"/>
    </row>
    <row r="886" spans="1:4">
      <c r="A886" s="305" t="s">
        <v>2525</v>
      </c>
      <c r="B886" s="306">
        <v>44160</v>
      </c>
      <c r="C886" s="275" t="s">
        <v>2654</v>
      </c>
      <c r="D886" s="305"/>
    </row>
    <row r="887" spans="1:4" ht="28.5">
      <c r="A887" s="305"/>
      <c r="B887" s="306"/>
      <c r="C887" s="30" t="s">
        <v>2762</v>
      </c>
      <c r="D887" s="305"/>
    </row>
    <row r="888" spans="1:4">
      <c r="A888" s="305"/>
      <c r="B888" s="306"/>
      <c r="C888" s="30"/>
      <c r="D888" s="305"/>
    </row>
    <row r="889" spans="1:4">
      <c r="A889" s="305"/>
      <c r="B889" s="306"/>
      <c r="C889" s="276" t="s">
        <v>2534</v>
      </c>
      <c r="D889" s="305"/>
    </row>
    <row r="890" spans="1:4">
      <c r="A890" s="305"/>
      <c r="B890" s="306"/>
      <c r="C890" s="30"/>
      <c r="D890" s="305"/>
    </row>
    <row r="891" spans="1:4">
      <c r="A891" s="305"/>
      <c r="B891" s="306">
        <v>44160</v>
      </c>
      <c r="C891" s="275" t="s">
        <v>2763</v>
      </c>
      <c r="D891" s="305"/>
    </row>
    <row r="892" spans="1:4" ht="28.5">
      <c r="A892" s="305"/>
      <c r="B892" s="306"/>
      <c r="C892" s="30" t="s">
        <v>2764</v>
      </c>
      <c r="D892" s="305"/>
    </row>
    <row r="893" spans="1:4">
      <c r="A893" s="305"/>
      <c r="B893" s="306"/>
      <c r="C893" s="30"/>
      <c r="D893" s="305"/>
    </row>
    <row r="894" spans="1:4">
      <c r="A894" s="305"/>
      <c r="B894" s="306">
        <v>44160</v>
      </c>
      <c r="C894" s="275" t="s">
        <v>2765</v>
      </c>
      <c r="D894" s="305"/>
    </row>
    <row r="895" spans="1:4" ht="28.5">
      <c r="A895" s="305"/>
      <c r="B895" s="306"/>
      <c r="C895" s="30" t="s">
        <v>2766</v>
      </c>
      <c r="D895" s="305"/>
    </row>
    <row r="896" spans="1:4">
      <c r="A896" s="305"/>
      <c r="B896" s="306"/>
      <c r="C896" s="30"/>
      <c r="D896" s="305"/>
    </row>
    <row r="897" spans="1:4">
      <c r="A897" s="305"/>
      <c r="B897" s="306"/>
      <c r="C897" s="276" t="s">
        <v>2534</v>
      </c>
      <c r="D897" s="305"/>
    </row>
    <row r="898" spans="1:4">
      <c r="A898" s="305"/>
      <c r="B898" s="306"/>
      <c r="C898" s="30"/>
      <c r="D898" s="305"/>
    </row>
    <row r="899" spans="1:4" ht="28.5">
      <c r="A899" s="305" t="s">
        <v>2525</v>
      </c>
      <c r="B899" s="306">
        <v>44158</v>
      </c>
      <c r="C899" s="275" t="s">
        <v>2767</v>
      </c>
    </row>
    <row r="900" spans="1:4" ht="28.5">
      <c r="A900" s="305"/>
      <c r="B900" s="306"/>
      <c r="C900" s="30" t="s">
        <v>2768</v>
      </c>
    </row>
    <row r="901" spans="1:4">
      <c r="A901" s="305"/>
      <c r="B901" s="306"/>
      <c r="C901" s="30"/>
    </row>
    <row r="902" spans="1:4">
      <c r="A902" s="305" t="s">
        <v>2525</v>
      </c>
      <c r="B902" s="306">
        <v>44158</v>
      </c>
      <c r="C902" s="275" t="s">
        <v>2705</v>
      </c>
      <c r="D902" s="305"/>
    </row>
    <row r="903" spans="1:4" ht="28.5">
      <c r="A903" s="305"/>
      <c r="B903" s="306"/>
      <c r="C903" s="30" t="s">
        <v>2769</v>
      </c>
      <c r="D903" s="305"/>
    </row>
    <row r="904" spans="1:4">
      <c r="A904" s="305"/>
      <c r="B904" s="306"/>
      <c r="C904" s="30"/>
      <c r="D904" s="305"/>
    </row>
    <row r="905" spans="1:4">
      <c r="A905" s="305" t="s">
        <v>2525</v>
      </c>
      <c r="B905" s="306">
        <v>44158</v>
      </c>
      <c r="C905" s="275" t="s">
        <v>2770</v>
      </c>
      <c r="D905" s="305"/>
    </row>
    <row r="906" spans="1:4" ht="28.5">
      <c r="A906" s="305"/>
      <c r="B906" s="306"/>
      <c r="C906" s="30" t="s">
        <v>2771</v>
      </c>
      <c r="D906" s="305"/>
    </row>
    <row r="907" spans="1:4">
      <c r="A907" s="305"/>
      <c r="B907" s="306"/>
      <c r="C907" s="30"/>
      <c r="D907" s="305"/>
    </row>
    <row r="908" spans="1:4">
      <c r="A908" s="305" t="s">
        <v>2525</v>
      </c>
      <c r="B908" s="306">
        <v>44158</v>
      </c>
      <c r="C908" s="275" t="s">
        <v>2772</v>
      </c>
      <c r="D908" s="305"/>
    </row>
    <row r="909" spans="1:4" ht="28.5">
      <c r="A909" s="305"/>
      <c r="B909" s="306"/>
      <c r="C909" s="30" t="s">
        <v>2773</v>
      </c>
      <c r="D909" s="305"/>
    </row>
    <row r="910" spans="1:4">
      <c r="A910" s="305"/>
      <c r="B910" s="306"/>
      <c r="C910" s="30"/>
      <c r="D910" s="305"/>
    </row>
    <row r="911" spans="1:4">
      <c r="A911" s="305" t="s">
        <v>2525</v>
      </c>
      <c r="B911" s="306">
        <v>44158</v>
      </c>
      <c r="C911" s="275" t="s">
        <v>2774</v>
      </c>
      <c r="D911" s="305"/>
    </row>
    <row r="912" spans="1:4" ht="28.5">
      <c r="A912" s="305"/>
      <c r="B912" s="306"/>
      <c r="C912" s="30" t="s">
        <v>2775</v>
      </c>
      <c r="D912" s="305"/>
    </row>
    <row r="913" spans="1:4">
      <c r="A913" s="305"/>
      <c r="B913" s="306"/>
      <c r="C913" s="30"/>
      <c r="D913" s="305"/>
    </row>
    <row r="914" spans="1:4">
      <c r="A914" s="305" t="s">
        <v>2525</v>
      </c>
      <c r="B914" s="306">
        <v>44158</v>
      </c>
      <c r="C914" s="275" t="s">
        <v>2776</v>
      </c>
      <c r="D914" s="305"/>
    </row>
    <row r="915" spans="1:4" ht="28.5">
      <c r="A915" s="305"/>
      <c r="B915" s="306"/>
      <c r="C915" s="30" t="s">
        <v>2777</v>
      </c>
      <c r="D915" s="305"/>
    </row>
    <row r="916" spans="1:4">
      <c r="A916" s="305"/>
      <c r="B916" s="306"/>
      <c r="C916" s="30"/>
      <c r="D916" s="305"/>
    </row>
    <row r="917" spans="1:4">
      <c r="A917" s="305"/>
      <c r="B917" s="306"/>
      <c r="C917" s="276" t="s">
        <v>2534</v>
      </c>
      <c r="D917" s="305"/>
    </row>
    <row r="918" spans="1:4">
      <c r="A918" s="305"/>
      <c r="B918" s="306"/>
      <c r="C918" s="30"/>
      <c r="D918" s="305"/>
    </row>
    <row r="919" spans="1:4" ht="28.5">
      <c r="A919" s="305" t="s">
        <v>2525</v>
      </c>
      <c r="B919" s="306">
        <v>44158</v>
      </c>
      <c r="C919" s="275" t="s">
        <v>2748</v>
      </c>
      <c r="D919" s="305"/>
    </row>
    <row r="920" spans="1:4" ht="28.5">
      <c r="A920" s="305"/>
      <c r="B920" s="306"/>
      <c r="C920" s="30" t="s">
        <v>2749</v>
      </c>
      <c r="D920" s="305"/>
    </row>
    <row r="921" spans="1:4">
      <c r="A921" s="305"/>
      <c r="B921" s="306"/>
      <c r="C921" s="30"/>
      <c r="D921" s="305"/>
    </row>
    <row r="922" spans="1:4">
      <c r="A922" s="305"/>
      <c r="B922" s="306"/>
      <c r="C922" s="276" t="s">
        <v>2534</v>
      </c>
      <c r="D922" s="305"/>
    </row>
    <row r="923" spans="1:4">
      <c r="A923" s="305"/>
      <c r="B923" s="306"/>
      <c r="C923" s="30"/>
      <c r="D923" s="305"/>
    </row>
    <row r="924" spans="1:4">
      <c r="A924" s="305" t="s">
        <v>2525</v>
      </c>
      <c r="B924" s="306">
        <v>44156</v>
      </c>
      <c r="C924" s="275" t="s">
        <v>2778</v>
      </c>
      <c r="D924" s="305"/>
    </row>
    <row r="925" spans="1:4" ht="28.5">
      <c r="A925" s="305"/>
      <c r="B925" s="306"/>
      <c r="C925" s="30" t="s">
        <v>2779</v>
      </c>
      <c r="D925" s="305"/>
    </row>
    <row r="926" spans="1:4">
      <c r="A926" s="305"/>
      <c r="B926" s="306"/>
      <c r="C926" s="30"/>
      <c r="D926" s="305"/>
    </row>
    <row r="927" spans="1:4">
      <c r="A927" s="305" t="s">
        <v>2525</v>
      </c>
      <c r="B927" s="306">
        <v>44154</v>
      </c>
      <c r="C927" s="275" t="s">
        <v>2696</v>
      </c>
      <c r="D927" s="305"/>
    </row>
    <row r="928" spans="1:4" ht="28.5">
      <c r="A928" s="305"/>
      <c r="B928" s="306"/>
      <c r="C928" s="30" t="s">
        <v>2697</v>
      </c>
      <c r="D928" s="305"/>
    </row>
    <row r="929" spans="1:4">
      <c r="A929" s="305"/>
      <c r="B929" s="306"/>
      <c r="C929" s="30"/>
      <c r="D929" s="305"/>
    </row>
    <row r="930" spans="1:4" ht="28.5">
      <c r="A930" s="305" t="s">
        <v>2525</v>
      </c>
      <c r="B930" s="306">
        <v>44154</v>
      </c>
      <c r="C930" s="275" t="s">
        <v>2767</v>
      </c>
      <c r="D930" s="305"/>
    </row>
    <row r="931" spans="1:4" ht="28.5">
      <c r="A931" s="305"/>
      <c r="B931" s="306"/>
      <c r="C931" s="30" t="s">
        <v>2768</v>
      </c>
      <c r="D931" s="305"/>
    </row>
    <row r="932" spans="1:4">
      <c r="A932" s="305"/>
      <c r="B932" s="306"/>
      <c r="C932" s="30"/>
      <c r="D932" s="305"/>
    </row>
    <row r="933" spans="1:4">
      <c r="A933" s="305"/>
      <c r="B933" s="306">
        <v>44154</v>
      </c>
      <c r="C933" s="275" t="s">
        <v>2591</v>
      </c>
      <c r="D933" s="305"/>
    </row>
    <row r="934" spans="1:4" ht="28.5">
      <c r="A934" s="305"/>
      <c r="B934" s="306"/>
      <c r="C934" s="30" t="s">
        <v>2592</v>
      </c>
      <c r="D934" s="305"/>
    </row>
    <row r="935" spans="1:4">
      <c r="A935" s="305"/>
      <c r="B935" s="306"/>
      <c r="C935" s="30"/>
      <c r="D935" s="305"/>
    </row>
    <row r="936" spans="1:4">
      <c r="A936" s="305"/>
      <c r="B936" s="306"/>
      <c r="C936" s="276" t="s">
        <v>2534</v>
      </c>
      <c r="D936" s="305"/>
    </row>
    <row r="937" spans="1:4">
      <c r="A937" s="305"/>
      <c r="B937" s="306"/>
      <c r="C937" s="30"/>
      <c r="D937" s="305"/>
    </row>
    <row r="938" spans="1:4">
      <c r="A938" s="305" t="s">
        <v>2525</v>
      </c>
      <c r="B938" s="306">
        <v>44154</v>
      </c>
      <c r="C938" s="275" t="s">
        <v>2709</v>
      </c>
      <c r="D938" s="305"/>
    </row>
    <row r="939" spans="1:4" ht="28.5">
      <c r="A939" s="305"/>
      <c r="B939" s="306"/>
      <c r="C939" s="30" t="s">
        <v>2710</v>
      </c>
      <c r="D939" s="305"/>
    </row>
    <row r="940" spans="1:4">
      <c r="A940" s="305"/>
      <c r="B940" s="306"/>
      <c r="C940" s="30"/>
      <c r="D940" s="305"/>
    </row>
    <row r="941" spans="1:4">
      <c r="A941" s="305"/>
      <c r="B941" s="306"/>
      <c r="C941" s="276" t="s">
        <v>2534</v>
      </c>
      <c r="D941" s="305"/>
    </row>
    <row r="942" spans="1:4">
      <c r="A942" s="305"/>
      <c r="B942" s="306"/>
      <c r="C942" s="30"/>
      <c r="D942" s="305"/>
    </row>
    <row r="943" spans="1:4">
      <c r="A943" s="305" t="s">
        <v>2525</v>
      </c>
      <c r="B943" s="306">
        <v>44154</v>
      </c>
      <c r="C943" s="275" t="s">
        <v>2780</v>
      </c>
      <c r="D943" s="305"/>
    </row>
    <row r="944" spans="1:4" ht="28.5">
      <c r="A944" s="305"/>
      <c r="B944" s="306"/>
      <c r="C944" s="30" t="s">
        <v>2781</v>
      </c>
      <c r="D944" s="305"/>
    </row>
    <row r="945" spans="1:4">
      <c r="A945" s="305"/>
      <c r="B945" s="306"/>
      <c r="C945" s="30"/>
      <c r="D945" s="305"/>
    </row>
    <row r="946" spans="1:4">
      <c r="A946" s="305" t="s">
        <v>2525</v>
      </c>
      <c r="B946" s="306">
        <v>44154</v>
      </c>
      <c r="C946" s="275" t="s">
        <v>2539</v>
      </c>
      <c r="D946" s="305"/>
    </row>
    <row r="947" spans="1:4" ht="28.5">
      <c r="A947" s="305"/>
      <c r="B947" s="306"/>
      <c r="C947" s="30" t="s">
        <v>2586</v>
      </c>
      <c r="D947" s="305"/>
    </row>
    <row r="948" spans="1:4">
      <c r="A948" s="305"/>
      <c r="B948" s="306"/>
      <c r="C948" s="30"/>
      <c r="D948" s="305"/>
    </row>
    <row r="949" spans="1:4">
      <c r="A949" s="305" t="s">
        <v>2525</v>
      </c>
      <c r="B949" s="306">
        <v>44154</v>
      </c>
      <c r="C949" s="275" t="s">
        <v>2782</v>
      </c>
      <c r="D949" s="305"/>
    </row>
    <row r="950" spans="1:4" ht="28.5">
      <c r="A950" s="305"/>
      <c r="B950" s="306"/>
      <c r="C950" s="30" t="s">
        <v>2783</v>
      </c>
      <c r="D950" s="305"/>
    </row>
    <row r="951" spans="1:4">
      <c r="A951" s="305"/>
      <c r="B951" s="306"/>
      <c r="C951" s="30"/>
      <c r="D951" s="305"/>
    </row>
    <row r="952" spans="1:4">
      <c r="A952" s="305" t="s">
        <v>2525</v>
      </c>
      <c r="B952" s="306">
        <v>44154</v>
      </c>
      <c r="C952" s="275" t="s">
        <v>2784</v>
      </c>
      <c r="D952" s="305"/>
    </row>
    <row r="953" spans="1:4" ht="28.5">
      <c r="A953" s="305"/>
      <c r="B953" s="306"/>
      <c r="C953" s="30" t="s">
        <v>2785</v>
      </c>
      <c r="D953" s="305"/>
    </row>
    <row r="954" spans="1:4">
      <c r="A954" s="305"/>
      <c r="B954" s="306"/>
      <c r="C954" s="30"/>
      <c r="D954" s="305"/>
    </row>
    <row r="955" spans="1:4">
      <c r="A955" s="305"/>
      <c r="B955" s="306">
        <v>44148</v>
      </c>
      <c r="C955" s="275" t="s">
        <v>2786</v>
      </c>
      <c r="D955" s="305"/>
    </row>
    <row r="956" spans="1:4" ht="28.5">
      <c r="A956" s="305"/>
      <c r="B956" s="306"/>
      <c r="C956" s="30" t="s">
        <v>2787</v>
      </c>
      <c r="D956" s="305"/>
    </row>
    <row r="957" spans="1:4">
      <c r="A957" s="305"/>
      <c r="B957" s="306"/>
      <c r="C957" s="30"/>
      <c r="D957" s="305"/>
    </row>
    <row r="958" spans="1:4">
      <c r="A958" s="305"/>
      <c r="B958" s="306"/>
      <c r="C958" s="276" t="s">
        <v>2534</v>
      </c>
      <c r="D958" s="305"/>
    </row>
    <row r="959" spans="1:4">
      <c r="A959" s="305"/>
      <c r="B959" s="306"/>
      <c r="C959" s="30"/>
      <c r="D959" s="305"/>
    </row>
    <row r="960" spans="1:4">
      <c r="A960" s="305" t="s">
        <v>2525</v>
      </c>
      <c r="B960" s="306">
        <v>44148</v>
      </c>
      <c r="C960" s="275" t="s">
        <v>2659</v>
      </c>
      <c r="D960" s="305"/>
    </row>
    <row r="961" spans="1:4" ht="28.5">
      <c r="A961" s="305"/>
      <c r="B961" s="306"/>
      <c r="C961" s="30" t="s">
        <v>2698</v>
      </c>
      <c r="D961" s="305"/>
    </row>
    <row r="962" spans="1:4">
      <c r="A962" s="305"/>
      <c r="B962" s="306"/>
      <c r="C962" s="30"/>
      <c r="D962" s="305"/>
    </row>
    <row r="963" spans="1:4">
      <c r="A963" s="305" t="s">
        <v>2525</v>
      </c>
      <c r="B963" s="306">
        <v>44148</v>
      </c>
      <c r="C963" s="275" t="s">
        <v>2668</v>
      </c>
      <c r="D963" s="305"/>
    </row>
    <row r="964" spans="1:4" ht="28.5">
      <c r="A964" s="305"/>
      <c r="B964" s="306"/>
      <c r="C964" s="30" t="s">
        <v>2669</v>
      </c>
      <c r="D964" s="305"/>
    </row>
    <row r="965" spans="1:4">
      <c r="A965" s="305"/>
      <c r="B965" s="306"/>
      <c r="C965" s="30"/>
      <c r="D965" s="305"/>
    </row>
    <row r="966" spans="1:4">
      <c r="A966" s="305"/>
      <c r="B966" s="306"/>
      <c r="C966" s="276" t="s">
        <v>2534</v>
      </c>
      <c r="D966" s="305"/>
    </row>
    <row r="967" spans="1:4">
      <c r="A967" s="305"/>
      <c r="B967" s="306"/>
      <c r="C967" s="30"/>
      <c r="D967" s="305"/>
    </row>
    <row r="968" spans="1:4">
      <c r="A968" s="305" t="s">
        <v>2525</v>
      </c>
      <c r="B968" s="306">
        <v>44148</v>
      </c>
      <c r="C968" s="275" t="s">
        <v>2788</v>
      </c>
      <c r="D968" s="305"/>
    </row>
    <row r="969" spans="1:4" ht="28.5">
      <c r="A969" s="305"/>
      <c r="B969" s="306"/>
      <c r="C969" s="30" t="s">
        <v>2789</v>
      </c>
      <c r="D969" s="305"/>
    </row>
    <row r="970" spans="1:4">
      <c r="A970" s="305"/>
      <c r="B970" s="306"/>
      <c r="C970" s="30"/>
      <c r="D970" s="305"/>
    </row>
    <row r="971" spans="1:4">
      <c r="A971" s="305"/>
      <c r="B971" s="306"/>
      <c r="C971" s="276" t="s">
        <v>2534</v>
      </c>
      <c r="D971" s="305"/>
    </row>
    <row r="972" spans="1:4">
      <c r="A972" s="305"/>
      <c r="B972" s="306"/>
      <c r="C972" s="30"/>
      <c r="D972" s="305"/>
    </row>
    <row r="973" spans="1:4">
      <c r="A973" s="305" t="s">
        <v>2525</v>
      </c>
      <c r="B973" s="306">
        <v>44148</v>
      </c>
      <c r="C973" s="275" t="s">
        <v>2790</v>
      </c>
    </row>
    <row r="974" spans="1:4" ht="28.5">
      <c r="A974" s="305"/>
      <c r="B974" s="306"/>
      <c r="C974" s="30" t="s">
        <v>2791</v>
      </c>
    </row>
    <row r="975" spans="1:4">
      <c r="A975" s="305"/>
      <c r="B975" s="306"/>
      <c r="C975" s="30"/>
    </row>
    <row r="976" spans="1:4">
      <c r="A976" s="305" t="s">
        <v>2525</v>
      </c>
      <c r="B976" s="306">
        <v>44148</v>
      </c>
      <c r="C976" s="275" t="s">
        <v>2792</v>
      </c>
      <c r="D976" s="305"/>
    </row>
    <row r="977" spans="1:4" ht="28.5">
      <c r="A977" s="305"/>
      <c r="B977" s="306"/>
      <c r="C977" s="30" t="s">
        <v>2793</v>
      </c>
      <c r="D977" s="305"/>
    </row>
    <row r="978" spans="1:4">
      <c r="A978" s="305"/>
      <c r="B978" s="306"/>
      <c r="C978" s="30"/>
      <c r="D978" s="305"/>
    </row>
    <row r="979" spans="1:4">
      <c r="A979" s="305"/>
      <c r="B979" s="306"/>
      <c r="C979" s="276" t="s">
        <v>2534</v>
      </c>
      <c r="D979" s="305"/>
    </row>
    <row r="980" spans="1:4">
      <c r="A980" s="305"/>
      <c r="B980" s="306"/>
      <c r="C980" s="30"/>
      <c r="D980" s="305"/>
    </row>
    <row r="981" spans="1:4">
      <c r="A981" s="305" t="s">
        <v>2525</v>
      </c>
      <c r="B981" s="306">
        <v>44144</v>
      </c>
      <c r="C981" s="275" t="s">
        <v>2705</v>
      </c>
      <c r="D981" s="305"/>
    </row>
    <row r="982" spans="1:4" ht="28.5">
      <c r="A982" s="305"/>
      <c r="B982" s="306"/>
      <c r="C982" s="30" t="s">
        <v>2706</v>
      </c>
      <c r="D982" s="305"/>
    </row>
    <row r="983" spans="1:4">
      <c r="A983" s="305"/>
      <c r="B983" s="306"/>
      <c r="C983" s="30"/>
      <c r="D983" s="305"/>
    </row>
    <row r="984" spans="1:4">
      <c r="A984" s="305" t="s">
        <v>2525</v>
      </c>
      <c r="B984" s="306">
        <v>44144</v>
      </c>
      <c r="C984" s="275" t="s">
        <v>2794</v>
      </c>
      <c r="D984" s="305"/>
    </row>
    <row r="985" spans="1:4" ht="28.5">
      <c r="A985" s="305"/>
      <c r="B985" s="306"/>
      <c r="C985" s="30" t="s">
        <v>2795</v>
      </c>
      <c r="D985" s="305"/>
    </row>
    <row r="986" spans="1:4">
      <c r="A986" s="305"/>
      <c r="B986" s="306"/>
      <c r="C986" s="30"/>
      <c r="D986" s="305"/>
    </row>
    <row r="987" spans="1:4">
      <c r="A987" s="305" t="s">
        <v>2525</v>
      </c>
      <c r="B987" s="306">
        <v>44141</v>
      </c>
      <c r="C987" s="275" t="s">
        <v>2528</v>
      </c>
      <c r="D987" s="305"/>
    </row>
    <row r="988" spans="1:4" ht="28.5">
      <c r="A988" s="305"/>
      <c r="B988" s="306"/>
      <c r="C988" s="30" t="s">
        <v>2529</v>
      </c>
      <c r="D988" s="305"/>
    </row>
    <row r="989" spans="1:4">
      <c r="A989" s="305"/>
      <c r="B989" s="306"/>
      <c r="C989" s="30"/>
      <c r="D989" s="305"/>
    </row>
    <row r="990" spans="1:4">
      <c r="A990" s="305" t="s">
        <v>2525</v>
      </c>
      <c r="B990" s="306">
        <v>44140</v>
      </c>
      <c r="C990" s="275" t="s">
        <v>2796</v>
      </c>
      <c r="D990" s="305"/>
    </row>
    <row r="991" spans="1:4" ht="28.5">
      <c r="A991" s="305"/>
      <c r="B991" s="306"/>
      <c r="C991" s="30" t="s">
        <v>2797</v>
      </c>
      <c r="D991" s="305"/>
    </row>
    <row r="992" spans="1:4">
      <c r="A992" s="305"/>
      <c r="B992" s="306"/>
      <c r="C992" s="30"/>
      <c r="D992" s="305"/>
    </row>
    <row r="993" spans="1:4">
      <c r="A993" s="305"/>
      <c r="B993" s="306">
        <v>44140</v>
      </c>
      <c r="C993" s="275" t="s">
        <v>2619</v>
      </c>
      <c r="D993" s="305"/>
    </row>
    <row r="994" spans="1:4" ht="28.5">
      <c r="A994" s="305"/>
      <c r="B994" s="306"/>
      <c r="C994" s="30" t="s">
        <v>2753</v>
      </c>
      <c r="D994" s="305"/>
    </row>
    <row r="995" spans="1:4">
      <c r="A995" s="305"/>
      <c r="B995" s="306"/>
      <c r="C995" s="30"/>
      <c r="D995" s="305"/>
    </row>
    <row r="996" spans="1:4">
      <c r="A996" s="305" t="s">
        <v>2525</v>
      </c>
      <c r="B996" s="306">
        <v>44140</v>
      </c>
      <c r="C996" s="275" t="s">
        <v>2798</v>
      </c>
      <c r="D996" s="305"/>
    </row>
    <row r="997" spans="1:4" ht="28.5">
      <c r="A997" s="305"/>
      <c r="B997" s="306"/>
      <c r="C997" s="30" t="s">
        <v>2799</v>
      </c>
      <c r="D997" s="305"/>
    </row>
    <row r="998" spans="1:4">
      <c r="A998" s="305"/>
      <c r="B998" s="306"/>
      <c r="C998" s="30"/>
      <c r="D998" s="305"/>
    </row>
    <row r="999" spans="1:4">
      <c r="A999" s="305"/>
      <c r="B999" s="306"/>
      <c r="C999" s="276" t="s">
        <v>2534</v>
      </c>
      <c r="D999" s="305"/>
    </row>
    <row r="1000" spans="1:4">
      <c r="A1000" s="305"/>
      <c r="B1000" s="306"/>
      <c r="C1000" s="30"/>
      <c r="D1000" s="305"/>
    </row>
    <row r="1001" spans="1:4">
      <c r="A1001" s="305" t="s">
        <v>2525</v>
      </c>
      <c r="B1001" s="306">
        <v>44138</v>
      </c>
      <c r="C1001" s="275" t="s">
        <v>2800</v>
      </c>
      <c r="D1001" s="305"/>
    </row>
    <row r="1002" spans="1:4">
      <c r="A1002" s="305"/>
      <c r="B1002" s="306"/>
      <c r="C1002" s="30" t="s">
        <v>2801</v>
      </c>
      <c r="D1002" s="305"/>
    </row>
    <row r="1003" spans="1:4">
      <c r="A1003" s="305"/>
      <c r="B1003" s="306"/>
      <c r="C1003" s="30"/>
      <c r="D1003" s="305"/>
    </row>
    <row r="1004" spans="1:4">
      <c r="A1004" s="305"/>
      <c r="B1004" s="306"/>
      <c r="C1004" s="276" t="s">
        <v>2534</v>
      </c>
      <c r="D1004" s="305"/>
    </row>
    <row r="1005" spans="1:4">
      <c r="A1005" s="305"/>
      <c r="B1005" s="306"/>
      <c r="C1005" s="30"/>
      <c r="D1005" s="305"/>
    </row>
    <row r="1006" spans="1:4">
      <c r="A1006" s="305" t="s">
        <v>2525</v>
      </c>
      <c r="B1006" s="306">
        <v>44137</v>
      </c>
      <c r="C1006" s="275" t="s">
        <v>2802</v>
      </c>
      <c r="D1006" s="305"/>
    </row>
    <row r="1007" spans="1:4" ht="28.5">
      <c r="A1007" s="305"/>
      <c r="B1007" s="306"/>
      <c r="C1007" s="30" t="s">
        <v>2803</v>
      </c>
      <c r="D1007" s="305"/>
    </row>
    <row r="1008" spans="1:4">
      <c r="A1008" s="305"/>
      <c r="B1008" s="306"/>
      <c r="C1008" s="30"/>
      <c r="D1008" s="305"/>
    </row>
    <row r="1009" spans="1:4">
      <c r="A1009" s="305" t="s">
        <v>2525</v>
      </c>
      <c r="B1009" s="306">
        <v>44137</v>
      </c>
      <c r="C1009" s="275" t="s">
        <v>2804</v>
      </c>
      <c r="D1009" s="305"/>
    </row>
    <row r="1010" spans="1:4" ht="28.5">
      <c r="A1010" s="305"/>
      <c r="B1010" s="306"/>
      <c r="C1010" s="30" t="s">
        <v>2805</v>
      </c>
      <c r="D1010" s="305"/>
    </row>
    <row r="1011" spans="1:4">
      <c r="A1011" s="305"/>
      <c r="B1011" s="306"/>
      <c r="C1011" s="30"/>
      <c r="D1011" s="305"/>
    </row>
    <row r="1012" spans="1:4">
      <c r="A1012" s="305" t="s">
        <v>2525</v>
      </c>
      <c r="B1012" s="306">
        <v>44127</v>
      </c>
      <c r="C1012" s="275" t="s">
        <v>2806</v>
      </c>
      <c r="D1012" s="305"/>
    </row>
    <row r="1013" spans="1:4" ht="28.5">
      <c r="A1013" s="305"/>
      <c r="B1013" s="306"/>
      <c r="C1013" s="30" t="s">
        <v>2807</v>
      </c>
      <c r="D1013" s="305"/>
    </row>
    <row r="1014" spans="1:4">
      <c r="A1014" s="305"/>
      <c r="B1014" s="306"/>
      <c r="C1014" s="30"/>
      <c r="D1014" s="305"/>
    </row>
    <row r="1015" spans="1:4">
      <c r="A1015" s="305" t="s">
        <v>2525</v>
      </c>
      <c r="B1015" s="306">
        <v>44127</v>
      </c>
      <c r="C1015" s="275" t="s">
        <v>2552</v>
      </c>
      <c r="D1015" s="305"/>
    </row>
    <row r="1016" spans="1:4" ht="28.5">
      <c r="A1016" s="305"/>
      <c r="B1016" s="306"/>
      <c r="C1016" s="30" t="s">
        <v>2808</v>
      </c>
      <c r="D1016" s="305"/>
    </row>
    <row r="1017" spans="1:4">
      <c r="A1017" s="305"/>
      <c r="B1017" s="306"/>
      <c r="C1017" s="30"/>
      <c r="D1017" s="305"/>
    </row>
    <row r="1018" spans="1:4">
      <c r="A1018" s="305"/>
      <c r="B1018" s="306"/>
      <c r="C1018" s="276" t="s">
        <v>2534</v>
      </c>
      <c r="D1018" s="305"/>
    </row>
    <row r="1019" spans="1:4">
      <c r="A1019" s="305"/>
      <c r="B1019" s="306"/>
      <c r="C1019" s="30"/>
      <c r="D1019" s="305"/>
    </row>
    <row r="1020" spans="1:4">
      <c r="A1020" s="305" t="s">
        <v>2525</v>
      </c>
      <c r="B1020" s="306">
        <v>44127</v>
      </c>
      <c r="C1020" s="275" t="s">
        <v>2694</v>
      </c>
      <c r="D1020" s="305"/>
    </row>
    <row r="1021" spans="1:4" ht="28.5">
      <c r="A1021" s="305"/>
      <c r="B1021" s="306"/>
      <c r="C1021" s="30" t="s">
        <v>2695</v>
      </c>
      <c r="D1021" s="305"/>
    </row>
    <row r="1022" spans="1:4">
      <c r="A1022" s="305"/>
      <c r="B1022" s="306"/>
      <c r="C1022" s="30"/>
      <c r="D1022" s="305"/>
    </row>
    <row r="1023" spans="1:4">
      <c r="A1023" s="305" t="s">
        <v>2525</v>
      </c>
      <c r="B1023" s="306">
        <v>44127</v>
      </c>
      <c r="C1023" s="275" t="s">
        <v>2670</v>
      </c>
      <c r="D1023" s="305"/>
    </row>
    <row r="1024" spans="1:4">
      <c r="A1024" s="305"/>
      <c r="B1024" s="306"/>
      <c r="C1024" s="30" t="s">
        <v>2671</v>
      </c>
      <c r="D1024" s="305"/>
    </row>
    <row r="1025" spans="1:4">
      <c r="A1025" s="305"/>
      <c r="B1025" s="306"/>
      <c r="C1025" s="30"/>
      <c r="D1025" s="305"/>
    </row>
    <row r="1026" spans="1:4">
      <c r="A1026" s="305" t="s">
        <v>2525</v>
      </c>
      <c r="B1026" s="306">
        <v>44127</v>
      </c>
      <c r="C1026" s="275" t="s">
        <v>2809</v>
      </c>
      <c r="D1026" s="305"/>
    </row>
    <row r="1027" spans="1:4" ht="28.5">
      <c r="A1027" s="305"/>
      <c r="B1027" s="306"/>
      <c r="C1027" s="30" t="s">
        <v>2810</v>
      </c>
      <c r="D1027" s="305"/>
    </row>
    <row r="1028" spans="1:4">
      <c r="A1028" s="305"/>
      <c r="B1028" s="306"/>
      <c r="C1028" s="30"/>
      <c r="D1028" s="305"/>
    </row>
    <row r="1029" spans="1:4">
      <c r="A1029" s="305"/>
      <c r="B1029" s="306">
        <v>44127</v>
      </c>
      <c r="C1029" s="275" t="s">
        <v>2811</v>
      </c>
      <c r="D1029" s="305"/>
    </row>
    <row r="1030" spans="1:4" ht="28.5">
      <c r="A1030" s="305"/>
      <c r="B1030" s="306"/>
      <c r="C1030" s="30" t="s">
        <v>2812</v>
      </c>
      <c r="D1030" s="305"/>
    </row>
    <row r="1031" spans="1:4">
      <c r="A1031" s="305"/>
      <c r="B1031" s="306"/>
      <c r="C1031" s="30"/>
      <c r="D1031" s="305"/>
    </row>
    <row r="1032" spans="1:4">
      <c r="A1032" s="305" t="s">
        <v>2525</v>
      </c>
      <c r="B1032" s="306">
        <v>44127</v>
      </c>
      <c r="C1032" s="275" t="s">
        <v>2813</v>
      </c>
      <c r="D1032" s="305"/>
    </row>
    <row r="1033" spans="1:4">
      <c r="A1033" s="305"/>
      <c r="B1033" s="306"/>
      <c r="C1033" s="30" t="s">
        <v>2814</v>
      </c>
      <c r="D1033" s="305"/>
    </row>
    <row r="1034" spans="1:4">
      <c r="A1034" s="305"/>
      <c r="B1034" s="306"/>
      <c r="C1034" s="30"/>
      <c r="D1034" s="305"/>
    </row>
    <row r="1035" spans="1:4">
      <c r="A1035" s="305"/>
      <c r="B1035" s="306"/>
      <c r="C1035" s="276" t="s">
        <v>2534</v>
      </c>
      <c r="D1035" s="305"/>
    </row>
    <row r="1036" spans="1:4">
      <c r="A1036" s="305"/>
      <c r="B1036" s="306"/>
      <c r="C1036" s="30"/>
      <c r="D1036" s="305"/>
    </row>
    <row r="1037" spans="1:4">
      <c r="A1037" s="305" t="s">
        <v>2525</v>
      </c>
      <c r="B1037" s="306">
        <v>44127</v>
      </c>
      <c r="C1037" s="275" t="s">
        <v>2815</v>
      </c>
      <c r="D1037" s="305"/>
    </row>
    <row r="1038" spans="1:4" ht="28.5">
      <c r="A1038" s="305"/>
      <c r="B1038" s="306"/>
      <c r="C1038" s="30" t="s">
        <v>2816</v>
      </c>
      <c r="D1038" s="305"/>
    </row>
    <row r="1039" spans="1:4">
      <c r="A1039" s="305"/>
      <c r="B1039" s="306"/>
      <c r="C1039" s="30"/>
      <c r="D1039" s="305"/>
    </row>
    <row r="1040" spans="1:4">
      <c r="A1040" s="305"/>
      <c r="B1040" s="306"/>
      <c r="C1040" s="276" t="s">
        <v>2534</v>
      </c>
      <c r="D1040" s="305"/>
    </row>
    <row r="1041" spans="1:4">
      <c r="A1041" s="305"/>
      <c r="B1041" s="306"/>
      <c r="C1041" s="30"/>
      <c r="D1041" s="305"/>
    </row>
    <row r="1042" spans="1:4">
      <c r="A1042" s="305" t="s">
        <v>2525</v>
      </c>
      <c r="B1042" s="306">
        <v>44127</v>
      </c>
      <c r="C1042" s="275" t="s">
        <v>2817</v>
      </c>
      <c r="D1042" s="305"/>
    </row>
    <row r="1043" spans="1:4" ht="28.5">
      <c r="A1043" s="305"/>
      <c r="B1043" s="306"/>
      <c r="C1043" s="30" t="s">
        <v>2818</v>
      </c>
      <c r="D1043" s="305"/>
    </row>
    <row r="1044" spans="1:4">
      <c r="A1044" s="305"/>
      <c r="B1044" s="306"/>
      <c r="C1044" s="30"/>
      <c r="D1044" s="305"/>
    </row>
    <row r="1045" spans="1:4">
      <c r="A1045" s="305"/>
      <c r="B1045" s="306"/>
      <c r="C1045" s="276" t="s">
        <v>2534</v>
      </c>
      <c r="D1045" s="305"/>
    </row>
    <row r="1046" spans="1:4">
      <c r="A1046" s="305"/>
      <c r="B1046" s="306"/>
      <c r="C1046" s="30"/>
      <c r="D1046" s="305"/>
    </row>
    <row r="1047" spans="1:4">
      <c r="A1047" s="305" t="s">
        <v>2525</v>
      </c>
      <c r="B1047" s="306">
        <v>44127</v>
      </c>
      <c r="C1047" s="275" t="s">
        <v>2819</v>
      </c>
    </row>
    <row r="1048" spans="1:4" ht="28.5">
      <c r="A1048" s="305"/>
      <c r="B1048" s="306"/>
      <c r="C1048" s="30" t="s">
        <v>2820</v>
      </c>
    </row>
    <row r="1049" spans="1:4">
      <c r="A1049" s="305"/>
      <c r="B1049" s="306"/>
      <c r="C1049" s="30"/>
    </row>
    <row r="1050" spans="1:4">
      <c r="A1050" s="305"/>
      <c r="B1050" s="306"/>
      <c r="C1050" s="276" t="s">
        <v>2534</v>
      </c>
    </row>
    <row r="1051" spans="1:4">
      <c r="A1051" s="305"/>
      <c r="B1051" s="306"/>
      <c r="C1051" s="30"/>
    </row>
    <row r="1052" spans="1:4">
      <c r="A1052" s="305" t="s">
        <v>2525</v>
      </c>
      <c r="B1052" s="306">
        <v>44127</v>
      </c>
      <c r="C1052" s="275" t="s">
        <v>2537</v>
      </c>
      <c r="D1052" s="305"/>
    </row>
    <row r="1053" spans="1:4" ht="28.5">
      <c r="A1053" s="305"/>
      <c r="B1053" s="306"/>
      <c r="C1053" s="30" t="s">
        <v>2821</v>
      </c>
      <c r="D1053" s="305"/>
    </row>
    <row r="1054" spans="1:4">
      <c r="A1054" s="305"/>
      <c r="B1054" s="306"/>
      <c r="C1054" s="30"/>
      <c r="D1054" s="305"/>
    </row>
    <row r="1055" spans="1:4">
      <c r="A1055" s="305"/>
      <c r="B1055" s="306">
        <v>44127</v>
      </c>
      <c r="C1055" s="275" t="s">
        <v>2822</v>
      </c>
      <c r="D1055" s="305"/>
    </row>
    <row r="1056" spans="1:4" ht="28.5">
      <c r="A1056" s="305"/>
      <c r="B1056" s="306"/>
      <c r="C1056" s="30" t="s">
        <v>2823</v>
      </c>
      <c r="D1056" s="305"/>
    </row>
    <row r="1057" spans="1:4">
      <c r="A1057" s="305"/>
      <c r="B1057" s="306"/>
      <c r="C1057" s="30"/>
      <c r="D1057" s="305"/>
    </row>
    <row r="1058" spans="1:4">
      <c r="A1058" s="305" t="s">
        <v>2525</v>
      </c>
      <c r="B1058" s="306">
        <v>44127</v>
      </c>
      <c r="C1058" s="275" t="s">
        <v>2822</v>
      </c>
      <c r="D1058" s="305"/>
    </row>
    <row r="1059" spans="1:4" ht="28.5">
      <c r="A1059" s="305"/>
      <c r="B1059" s="306"/>
      <c r="C1059" s="30" t="s">
        <v>2823</v>
      </c>
      <c r="D1059" s="305"/>
    </row>
    <row r="1060" spans="1:4">
      <c r="A1060" s="305"/>
      <c r="B1060" s="306"/>
      <c r="C1060" s="30"/>
      <c r="D1060" s="305"/>
    </row>
    <row r="1061" spans="1:4">
      <c r="A1061" s="305" t="s">
        <v>2525</v>
      </c>
      <c r="B1061" s="306">
        <v>44125</v>
      </c>
      <c r="C1061" s="275" t="s">
        <v>2719</v>
      </c>
      <c r="D1061" s="305"/>
    </row>
    <row r="1062" spans="1:4" ht="28.5">
      <c r="A1062" s="305"/>
      <c r="B1062" s="306"/>
      <c r="C1062" s="30" t="s">
        <v>2720</v>
      </c>
      <c r="D1062" s="305"/>
    </row>
    <row r="1063" spans="1:4">
      <c r="A1063" s="305"/>
      <c r="B1063" s="306"/>
      <c r="C1063" s="30"/>
      <c r="D1063" s="305"/>
    </row>
    <row r="1064" spans="1:4">
      <c r="A1064" s="305"/>
      <c r="B1064" s="306"/>
      <c r="C1064" s="276" t="s">
        <v>2534</v>
      </c>
      <c r="D1064" s="305"/>
    </row>
    <row r="1065" spans="1:4">
      <c r="A1065" s="305"/>
      <c r="B1065" s="306"/>
      <c r="C1065" s="30"/>
      <c r="D1065" s="305"/>
    </row>
    <row r="1066" spans="1:4">
      <c r="A1066" s="305" t="s">
        <v>2525</v>
      </c>
      <c r="B1066" s="306">
        <v>44125</v>
      </c>
      <c r="C1066" s="275" t="s">
        <v>2824</v>
      </c>
      <c r="D1066" s="305"/>
    </row>
    <row r="1067" spans="1:4">
      <c r="A1067" s="305"/>
      <c r="B1067" s="306"/>
      <c r="C1067" s="30" t="s">
        <v>2825</v>
      </c>
      <c r="D1067" s="305"/>
    </row>
    <row r="1068" spans="1:4">
      <c r="A1068" s="305"/>
      <c r="B1068" s="306"/>
      <c r="C1068" s="30"/>
      <c r="D1068" s="305"/>
    </row>
    <row r="1069" spans="1:4">
      <c r="A1069" s="305" t="s">
        <v>2525</v>
      </c>
      <c r="B1069" s="306">
        <v>44125</v>
      </c>
      <c r="C1069" s="275" t="s">
        <v>2809</v>
      </c>
      <c r="D1069" s="305"/>
    </row>
    <row r="1070" spans="1:4" ht="28.5">
      <c r="A1070" s="305"/>
      <c r="B1070" s="306"/>
      <c r="C1070" s="30" t="s">
        <v>2810</v>
      </c>
      <c r="D1070" s="305"/>
    </row>
    <row r="1071" spans="1:4">
      <c r="A1071" s="305"/>
      <c r="B1071" s="306"/>
      <c r="C1071" s="30"/>
      <c r="D1071" s="305"/>
    </row>
    <row r="1072" spans="1:4">
      <c r="A1072" s="305" t="s">
        <v>2525</v>
      </c>
      <c r="B1072" s="306">
        <v>44125</v>
      </c>
      <c r="C1072" s="275" t="s">
        <v>2826</v>
      </c>
      <c r="D1072" s="305"/>
    </row>
    <row r="1073" spans="1:4" ht="28.5">
      <c r="A1073" s="305"/>
      <c r="B1073" s="306"/>
      <c r="C1073" s="30" t="s">
        <v>2827</v>
      </c>
      <c r="D1073" s="305"/>
    </row>
    <row r="1074" spans="1:4">
      <c r="A1074" s="305"/>
      <c r="B1074" s="306"/>
      <c r="C1074" s="30"/>
      <c r="D1074" s="305"/>
    </row>
    <row r="1075" spans="1:4">
      <c r="A1075" s="305" t="s">
        <v>2525</v>
      </c>
      <c r="B1075" s="306">
        <v>44125</v>
      </c>
      <c r="C1075" s="275" t="s">
        <v>2828</v>
      </c>
      <c r="D1075" s="305"/>
    </row>
    <row r="1076" spans="1:4" ht="28.5">
      <c r="A1076" s="305"/>
      <c r="B1076" s="306"/>
      <c r="C1076" s="30" t="s">
        <v>2829</v>
      </c>
      <c r="D1076" s="305"/>
    </row>
    <row r="1077" spans="1:4">
      <c r="A1077" s="305"/>
      <c r="B1077" s="306"/>
      <c r="C1077" s="30"/>
      <c r="D1077" s="305"/>
    </row>
    <row r="1078" spans="1:4">
      <c r="A1078" s="305" t="s">
        <v>2525</v>
      </c>
      <c r="B1078" s="306">
        <v>44125</v>
      </c>
      <c r="C1078" s="275" t="s">
        <v>2830</v>
      </c>
      <c r="D1078" s="305"/>
    </row>
    <row r="1079" spans="1:4" ht="28.5">
      <c r="A1079" s="305"/>
      <c r="B1079" s="306"/>
      <c r="C1079" s="30" t="s">
        <v>2831</v>
      </c>
      <c r="D1079" s="305"/>
    </row>
    <row r="1080" spans="1:4">
      <c r="A1080" s="305"/>
      <c r="B1080" s="306"/>
      <c r="C1080" s="30"/>
      <c r="D1080" s="305"/>
    </row>
    <row r="1081" spans="1:4">
      <c r="A1081" s="305"/>
      <c r="B1081" s="306"/>
      <c r="C1081" s="276" t="s">
        <v>2534</v>
      </c>
      <c r="D1081" s="305"/>
    </row>
    <row r="1082" spans="1:4">
      <c r="A1082" s="305"/>
      <c r="B1082" s="306"/>
      <c r="C1082" s="30"/>
      <c r="D1082" s="305"/>
    </row>
    <row r="1083" spans="1:4">
      <c r="A1083" s="305" t="s">
        <v>2525</v>
      </c>
      <c r="B1083" s="306">
        <v>44123</v>
      </c>
      <c r="C1083" s="275" t="s">
        <v>2832</v>
      </c>
      <c r="D1083" s="305"/>
    </row>
    <row r="1084" spans="1:4" ht="28.5">
      <c r="A1084" s="305"/>
      <c r="B1084" s="306"/>
      <c r="C1084" s="30" t="s">
        <v>2833</v>
      </c>
      <c r="D1084" s="305"/>
    </row>
    <row r="1085" spans="1:4">
      <c r="A1085" s="305"/>
      <c r="B1085" s="306"/>
      <c r="C1085" s="30"/>
      <c r="D1085" s="305"/>
    </row>
    <row r="1086" spans="1:4">
      <c r="A1086" s="305"/>
      <c r="B1086" s="306"/>
      <c r="C1086" s="276" t="s">
        <v>2534</v>
      </c>
      <c r="D1086" s="305"/>
    </row>
    <row r="1087" spans="1:4">
      <c r="A1087" s="305"/>
      <c r="B1087" s="306"/>
      <c r="C1087" s="30"/>
      <c r="D1087" s="305"/>
    </row>
    <row r="1088" spans="1:4">
      <c r="A1088" s="305" t="s">
        <v>2525</v>
      </c>
      <c r="B1088" s="306">
        <v>44123</v>
      </c>
      <c r="C1088" s="275" t="s">
        <v>2834</v>
      </c>
      <c r="D1088" s="305"/>
    </row>
    <row r="1089" spans="1:4" ht="28.5">
      <c r="A1089" s="305"/>
      <c r="B1089" s="306"/>
      <c r="C1089" s="30" t="s">
        <v>2835</v>
      </c>
      <c r="D1089" s="305"/>
    </row>
    <row r="1090" spans="1:4">
      <c r="A1090" s="305"/>
      <c r="B1090" s="306"/>
      <c r="C1090" s="30"/>
      <c r="D1090" s="305"/>
    </row>
    <row r="1091" spans="1:4">
      <c r="A1091" s="305"/>
      <c r="B1091" s="306"/>
      <c r="C1091" s="276" t="s">
        <v>2534</v>
      </c>
      <c r="D1091" s="305"/>
    </row>
    <row r="1092" spans="1:4">
      <c r="A1092" s="305"/>
      <c r="B1092" s="306"/>
      <c r="C1092" s="30"/>
      <c r="D1092" s="305"/>
    </row>
    <row r="1093" spans="1:4">
      <c r="A1093" s="305" t="s">
        <v>2525</v>
      </c>
      <c r="B1093" s="306">
        <v>44123</v>
      </c>
      <c r="C1093" s="275" t="s">
        <v>2832</v>
      </c>
      <c r="D1093" s="305"/>
    </row>
    <row r="1094" spans="1:4" ht="28.5">
      <c r="A1094" s="305"/>
      <c r="B1094" s="306"/>
      <c r="C1094" s="30" t="s">
        <v>2836</v>
      </c>
      <c r="D1094" s="305"/>
    </row>
    <row r="1095" spans="1:4">
      <c r="A1095" s="305"/>
      <c r="B1095" s="306"/>
      <c r="C1095" s="30"/>
      <c r="D1095" s="305"/>
    </row>
    <row r="1096" spans="1:4">
      <c r="A1096" s="305"/>
      <c r="B1096" s="306"/>
      <c r="C1096" s="276" t="s">
        <v>2534</v>
      </c>
      <c r="D1096" s="305"/>
    </row>
    <row r="1097" spans="1:4">
      <c r="A1097" s="305"/>
      <c r="B1097" s="306"/>
      <c r="C1097" s="30"/>
      <c r="D1097" s="305"/>
    </row>
    <row r="1098" spans="1:4">
      <c r="A1098" s="305" t="s">
        <v>2525</v>
      </c>
      <c r="B1098" s="306">
        <v>44123</v>
      </c>
      <c r="C1098" s="275" t="s">
        <v>2837</v>
      </c>
      <c r="D1098" s="305"/>
    </row>
    <row r="1099" spans="1:4" ht="28.5">
      <c r="A1099" s="305"/>
      <c r="B1099" s="306"/>
      <c r="C1099" s="30" t="s">
        <v>2838</v>
      </c>
      <c r="D1099" s="305"/>
    </row>
    <row r="1100" spans="1:4">
      <c r="A1100" s="305"/>
      <c r="B1100" s="306"/>
      <c r="C1100" s="30"/>
      <c r="D1100" s="305"/>
    </row>
    <row r="1101" spans="1:4">
      <c r="A1101" s="305" t="s">
        <v>2525</v>
      </c>
      <c r="B1101" s="306">
        <v>44123</v>
      </c>
      <c r="C1101" s="275" t="s">
        <v>2625</v>
      </c>
      <c r="D1101" s="305"/>
    </row>
    <row r="1102" spans="1:4" ht="28.5">
      <c r="A1102" s="305"/>
      <c r="B1102" s="306"/>
      <c r="C1102" s="30" t="s">
        <v>2839</v>
      </c>
      <c r="D1102" s="305"/>
    </row>
    <row r="1103" spans="1:4">
      <c r="A1103" s="305"/>
      <c r="B1103" s="306"/>
      <c r="C1103" s="30"/>
      <c r="D1103" s="305"/>
    </row>
    <row r="1104" spans="1:4">
      <c r="A1104" s="305" t="s">
        <v>2525</v>
      </c>
      <c r="B1104" s="306">
        <v>44123</v>
      </c>
      <c r="C1104" s="275" t="s">
        <v>2840</v>
      </c>
      <c r="D1104" s="305"/>
    </row>
    <row r="1105" spans="1:4" ht="28.5">
      <c r="A1105" s="305"/>
      <c r="B1105" s="306"/>
      <c r="C1105" s="30" t="s">
        <v>2841</v>
      </c>
      <c r="D1105" s="305"/>
    </row>
    <row r="1106" spans="1:4">
      <c r="A1106" s="305"/>
      <c r="B1106" s="306"/>
      <c r="C1106" s="30"/>
      <c r="D1106" s="305"/>
    </row>
    <row r="1107" spans="1:4">
      <c r="A1107" s="305" t="s">
        <v>2525</v>
      </c>
      <c r="B1107" s="306">
        <v>44123</v>
      </c>
      <c r="C1107" s="275" t="s">
        <v>2842</v>
      </c>
      <c r="D1107" s="305"/>
    </row>
    <row r="1108" spans="1:4" ht="28.5">
      <c r="A1108" s="305"/>
      <c r="B1108" s="306"/>
      <c r="C1108" s="30" t="s">
        <v>2843</v>
      </c>
      <c r="D1108" s="305"/>
    </row>
    <row r="1109" spans="1:4">
      <c r="A1109" s="305"/>
      <c r="B1109" s="306"/>
      <c r="C1109" s="30"/>
      <c r="D1109" s="305"/>
    </row>
    <row r="1110" spans="1:4">
      <c r="A1110" s="305"/>
      <c r="B1110" s="306"/>
      <c r="C1110" s="276" t="s">
        <v>2534</v>
      </c>
      <c r="D1110" s="305"/>
    </row>
    <row r="1111" spans="1:4">
      <c r="A1111" s="305"/>
      <c r="B1111" s="306"/>
      <c r="C1111" s="30"/>
      <c r="D1111" s="305"/>
    </row>
    <row r="1112" spans="1:4">
      <c r="A1112" s="305" t="s">
        <v>2525</v>
      </c>
      <c r="B1112" s="306">
        <v>44123</v>
      </c>
      <c r="C1112" s="275" t="s">
        <v>2844</v>
      </c>
      <c r="D1112" s="305"/>
    </row>
    <row r="1113" spans="1:4" ht="28.5">
      <c r="A1113" s="305"/>
      <c r="B1113" s="306"/>
      <c r="C1113" s="30" t="s">
        <v>2845</v>
      </c>
      <c r="D1113" s="305"/>
    </row>
    <row r="1114" spans="1:4">
      <c r="A1114" s="305"/>
      <c r="B1114" s="306"/>
      <c r="C1114" s="30"/>
      <c r="D1114" s="305"/>
    </row>
    <row r="1115" spans="1:4">
      <c r="A1115" s="305" t="s">
        <v>2525</v>
      </c>
      <c r="B1115" s="306">
        <v>44123</v>
      </c>
      <c r="C1115" s="275" t="s">
        <v>2846</v>
      </c>
      <c r="D1115" s="305"/>
    </row>
    <row r="1116" spans="1:4" ht="28.5">
      <c r="A1116" s="305"/>
      <c r="B1116" s="306"/>
      <c r="C1116" s="30" t="s">
        <v>2847</v>
      </c>
      <c r="D1116" s="305"/>
    </row>
    <row r="1117" spans="1:4">
      <c r="A1117" s="305"/>
      <c r="B1117" s="306"/>
      <c r="C1117" s="30"/>
      <c r="D1117" s="305"/>
    </row>
    <row r="1118" spans="1:4">
      <c r="A1118" s="305"/>
      <c r="B1118" s="306"/>
      <c r="C1118" s="276" t="s">
        <v>2534</v>
      </c>
      <c r="D1118" s="305"/>
    </row>
    <row r="1119" spans="1:4">
      <c r="A1119" s="305"/>
      <c r="B1119" s="306"/>
      <c r="C1119" s="30"/>
      <c r="D1119" s="305"/>
    </row>
    <row r="1120" spans="1:4">
      <c r="A1120" s="305"/>
      <c r="B1120" s="306">
        <v>44123</v>
      </c>
      <c r="C1120" s="275" t="s">
        <v>2786</v>
      </c>
      <c r="D1120" s="305"/>
    </row>
    <row r="1121" spans="1:4" ht="28.5">
      <c r="A1121" s="305"/>
      <c r="B1121" s="306"/>
      <c r="C1121" s="30" t="s">
        <v>2848</v>
      </c>
      <c r="D1121" s="305"/>
    </row>
    <row r="1122" spans="1:4">
      <c r="A1122" s="305"/>
      <c r="B1122" s="306"/>
      <c r="C1122" s="30"/>
      <c r="D1122" s="305"/>
    </row>
    <row r="1123" spans="1:4">
      <c r="A1123" s="305"/>
      <c r="B1123" s="306"/>
      <c r="C1123" s="276" t="s">
        <v>2534</v>
      </c>
      <c r="D1123" s="305"/>
    </row>
    <row r="1124" spans="1:4">
      <c r="A1124" s="305"/>
      <c r="B1124" s="306"/>
      <c r="C1124" s="30"/>
      <c r="D1124" s="305"/>
    </row>
    <row r="1125" spans="1:4">
      <c r="A1125" s="305" t="s">
        <v>2525</v>
      </c>
      <c r="B1125" s="306">
        <v>44123</v>
      </c>
      <c r="C1125" s="275" t="s">
        <v>2846</v>
      </c>
    </row>
    <row r="1126" spans="1:4" ht="28.5">
      <c r="A1126" s="305"/>
      <c r="B1126" s="306"/>
      <c r="C1126" s="30" t="s">
        <v>2849</v>
      </c>
    </row>
    <row r="1127" spans="1:4">
      <c r="A1127" s="305"/>
      <c r="B1127" s="306"/>
      <c r="C1127" s="30"/>
    </row>
    <row r="1128" spans="1:4">
      <c r="A1128" s="305"/>
      <c r="B1128" s="306"/>
      <c r="C1128" s="276" t="s">
        <v>2534</v>
      </c>
    </row>
    <row r="1129" spans="1:4">
      <c r="A1129" s="305"/>
      <c r="B1129" s="306"/>
      <c r="C1129" s="30"/>
    </row>
    <row r="1130" spans="1:4">
      <c r="A1130" s="305" t="s">
        <v>2525</v>
      </c>
      <c r="B1130" s="306">
        <v>44123</v>
      </c>
      <c r="C1130" s="275" t="s">
        <v>2850</v>
      </c>
      <c r="D1130" s="305"/>
    </row>
    <row r="1131" spans="1:4" ht="28.5">
      <c r="A1131" s="305"/>
      <c r="B1131" s="306"/>
      <c r="C1131" s="30" t="s">
        <v>2851</v>
      </c>
      <c r="D1131" s="305"/>
    </row>
    <row r="1132" spans="1:4">
      <c r="A1132" s="305"/>
      <c r="B1132" s="306"/>
      <c r="C1132" s="30"/>
      <c r="D1132" s="305"/>
    </row>
    <row r="1133" spans="1:4">
      <c r="A1133" s="305"/>
      <c r="B1133" s="306">
        <v>44123</v>
      </c>
      <c r="C1133" s="275" t="s">
        <v>2852</v>
      </c>
      <c r="D1133" s="305"/>
    </row>
    <row r="1134" spans="1:4" ht="28.5">
      <c r="A1134" s="305"/>
      <c r="B1134" s="306"/>
      <c r="C1134" s="30" t="s">
        <v>2853</v>
      </c>
      <c r="D1134" s="305"/>
    </row>
    <row r="1135" spans="1:4">
      <c r="A1135" s="305"/>
      <c r="B1135" s="306"/>
      <c r="C1135" s="30"/>
      <c r="D1135" s="305"/>
    </row>
    <row r="1136" spans="1:4">
      <c r="A1136" s="305"/>
      <c r="B1136" s="306"/>
      <c r="C1136" s="276" t="s">
        <v>2534</v>
      </c>
      <c r="D1136" s="305"/>
    </row>
    <row r="1137" spans="1:4">
      <c r="A1137" s="305"/>
      <c r="B1137" s="306"/>
      <c r="C1137" s="30"/>
      <c r="D1137" s="305"/>
    </row>
    <row r="1138" spans="1:4">
      <c r="A1138" s="305"/>
      <c r="B1138" s="306">
        <v>44123</v>
      </c>
      <c r="C1138" s="275" t="s">
        <v>2854</v>
      </c>
      <c r="D1138" s="305"/>
    </row>
    <row r="1139" spans="1:4" ht="28.5">
      <c r="A1139" s="305"/>
      <c r="B1139" s="306"/>
      <c r="C1139" s="30" t="s">
        <v>2855</v>
      </c>
      <c r="D1139" s="305"/>
    </row>
    <row r="1140" spans="1:4">
      <c r="A1140" s="305"/>
      <c r="B1140" s="306"/>
      <c r="C1140" s="30"/>
      <c r="D1140" s="305"/>
    </row>
    <row r="1141" spans="1:4">
      <c r="A1141" s="305" t="s">
        <v>2525</v>
      </c>
      <c r="B1141" s="306">
        <v>44123</v>
      </c>
      <c r="C1141" s="275" t="s">
        <v>2852</v>
      </c>
      <c r="D1141" s="305"/>
    </row>
    <row r="1142" spans="1:4" ht="28.5">
      <c r="A1142" s="305"/>
      <c r="B1142" s="306"/>
      <c r="C1142" s="30" t="s">
        <v>2856</v>
      </c>
      <c r="D1142" s="305"/>
    </row>
    <row r="1143" spans="1:4">
      <c r="A1143" s="305"/>
      <c r="B1143" s="306"/>
      <c r="C1143" s="30"/>
      <c r="D1143" s="305"/>
    </row>
    <row r="1144" spans="1:4">
      <c r="A1144" s="305"/>
      <c r="B1144" s="306"/>
      <c r="C1144" s="276" t="s">
        <v>2534</v>
      </c>
      <c r="D1144" s="305"/>
    </row>
    <row r="1145" spans="1:4">
      <c r="A1145" s="305"/>
      <c r="B1145" s="306"/>
      <c r="C1145" s="30"/>
      <c r="D1145" s="305"/>
    </row>
    <row r="1146" spans="1:4">
      <c r="A1146" s="305" t="s">
        <v>2525</v>
      </c>
      <c r="B1146" s="306">
        <v>44123</v>
      </c>
      <c r="C1146" s="275" t="s">
        <v>2857</v>
      </c>
      <c r="D1146" s="305"/>
    </row>
    <row r="1147" spans="1:4" ht="28.5">
      <c r="A1147" s="305"/>
      <c r="B1147" s="306"/>
      <c r="C1147" s="30" t="s">
        <v>2858</v>
      </c>
      <c r="D1147" s="305"/>
    </row>
    <row r="1148" spans="1:4">
      <c r="A1148" s="305"/>
      <c r="B1148" s="306"/>
      <c r="C1148" s="30"/>
      <c r="D1148" s="305"/>
    </row>
    <row r="1149" spans="1:4">
      <c r="A1149" s="305"/>
      <c r="B1149" s="306"/>
      <c r="C1149" s="276" t="s">
        <v>2534</v>
      </c>
      <c r="D1149" s="305"/>
    </row>
    <row r="1150" spans="1:4">
      <c r="A1150" s="305"/>
      <c r="B1150" s="306"/>
      <c r="C1150" s="30"/>
      <c r="D1150" s="305"/>
    </row>
    <row r="1151" spans="1:4">
      <c r="A1151" s="305"/>
      <c r="B1151" s="306">
        <v>44123</v>
      </c>
      <c r="C1151" s="275" t="s">
        <v>2619</v>
      </c>
      <c r="D1151" s="305"/>
    </row>
    <row r="1152" spans="1:4" ht="28.5">
      <c r="A1152" s="305"/>
      <c r="B1152" s="306"/>
      <c r="C1152" s="30" t="s">
        <v>2859</v>
      </c>
      <c r="D1152" s="305"/>
    </row>
    <row r="1153" spans="1:4">
      <c r="A1153" s="305"/>
      <c r="B1153" s="306"/>
      <c r="C1153" s="30"/>
      <c r="D1153" s="305"/>
    </row>
    <row r="1154" spans="1:4">
      <c r="A1154" s="305"/>
      <c r="B1154" s="306">
        <v>44123</v>
      </c>
      <c r="C1154" s="275" t="s">
        <v>2786</v>
      </c>
      <c r="D1154" s="305"/>
    </row>
    <row r="1155" spans="1:4" ht="28.5">
      <c r="A1155" s="305"/>
      <c r="B1155" s="306"/>
      <c r="C1155" s="30" t="s">
        <v>2860</v>
      </c>
      <c r="D1155" s="305"/>
    </row>
    <row r="1156" spans="1:4">
      <c r="A1156" s="305"/>
      <c r="B1156" s="306"/>
      <c r="C1156" s="30"/>
      <c r="D1156" s="305"/>
    </row>
    <row r="1157" spans="1:4">
      <c r="A1157" s="305"/>
      <c r="B1157" s="306"/>
      <c r="C1157" s="276" t="s">
        <v>2534</v>
      </c>
      <c r="D1157" s="305"/>
    </row>
    <row r="1158" spans="1:4">
      <c r="A1158" s="305"/>
      <c r="B1158" s="306"/>
      <c r="C1158" s="30"/>
      <c r="D1158" s="305"/>
    </row>
    <row r="1159" spans="1:4">
      <c r="A1159" s="305"/>
      <c r="B1159" s="306">
        <v>44123</v>
      </c>
      <c r="C1159" s="275" t="s">
        <v>2786</v>
      </c>
      <c r="D1159" s="305"/>
    </row>
    <row r="1160" spans="1:4" ht="28.5">
      <c r="A1160" s="305"/>
      <c r="B1160" s="306"/>
      <c r="C1160" s="30" t="s">
        <v>2787</v>
      </c>
      <c r="D1160" s="305"/>
    </row>
    <row r="1161" spans="1:4">
      <c r="A1161" s="305"/>
      <c r="B1161" s="306"/>
      <c r="C1161" s="30"/>
      <c r="D1161" s="305"/>
    </row>
    <row r="1162" spans="1:4">
      <c r="A1162" s="305"/>
      <c r="B1162" s="306"/>
      <c r="C1162" s="276" t="s">
        <v>2534</v>
      </c>
      <c r="D1162" s="305"/>
    </row>
    <row r="1163" spans="1:4">
      <c r="A1163" s="305"/>
      <c r="B1163" s="306"/>
      <c r="C1163" s="30"/>
      <c r="D1163" s="305"/>
    </row>
    <row r="1164" spans="1:4">
      <c r="A1164" s="305"/>
      <c r="B1164" s="306">
        <v>44119</v>
      </c>
      <c r="C1164" s="275" t="s">
        <v>2854</v>
      </c>
      <c r="D1164" s="305"/>
    </row>
    <row r="1165" spans="1:4" ht="28.5">
      <c r="A1165" s="305"/>
      <c r="B1165" s="306"/>
      <c r="C1165" s="30" t="s">
        <v>2855</v>
      </c>
      <c r="D1165" s="305"/>
    </row>
    <row r="1166" spans="1:4">
      <c r="A1166" s="305"/>
      <c r="B1166" s="306"/>
      <c r="C1166" s="30"/>
      <c r="D1166" s="305"/>
    </row>
    <row r="1167" spans="1:4">
      <c r="A1167" s="305" t="s">
        <v>2525</v>
      </c>
      <c r="B1167" s="306">
        <v>44119</v>
      </c>
      <c r="C1167" s="275" t="s">
        <v>2861</v>
      </c>
      <c r="D1167" s="305"/>
    </row>
    <row r="1168" spans="1:4" ht="28.5">
      <c r="A1168" s="305"/>
      <c r="B1168" s="306"/>
      <c r="C1168" s="30" t="s">
        <v>2862</v>
      </c>
      <c r="D1168" s="305"/>
    </row>
    <row r="1169" spans="1:4">
      <c r="A1169" s="305"/>
      <c r="B1169" s="306"/>
      <c r="C1169" s="30"/>
      <c r="D1169" s="305"/>
    </row>
    <row r="1170" spans="1:4">
      <c r="A1170" s="305" t="s">
        <v>2525</v>
      </c>
      <c r="B1170" s="306">
        <v>44113</v>
      </c>
      <c r="C1170" s="275" t="s">
        <v>2711</v>
      </c>
      <c r="D1170" s="305"/>
    </row>
    <row r="1171" spans="1:4" ht="28.5">
      <c r="A1171" s="305"/>
      <c r="B1171" s="306"/>
      <c r="C1171" s="30" t="s">
        <v>2863</v>
      </c>
      <c r="D1171" s="305"/>
    </row>
    <row r="1172" spans="1:4">
      <c r="A1172" s="305"/>
      <c r="B1172" s="306"/>
      <c r="C1172" s="30"/>
      <c r="D1172" s="305"/>
    </row>
    <row r="1173" spans="1:4">
      <c r="A1173" s="305"/>
      <c r="B1173" s="306"/>
      <c r="C1173" s="276" t="s">
        <v>2534</v>
      </c>
      <c r="D1173" s="305"/>
    </row>
    <row r="1174" spans="1:4">
      <c r="A1174" s="305"/>
      <c r="B1174" s="306"/>
      <c r="C1174" s="30"/>
      <c r="D1174" s="305"/>
    </row>
    <row r="1175" spans="1:4">
      <c r="A1175" s="305" t="s">
        <v>2525</v>
      </c>
      <c r="B1175" s="306">
        <v>44113</v>
      </c>
      <c r="C1175" s="275" t="s">
        <v>2846</v>
      </c>
      <c r="D1175" s="305"/>
    </row>
    <row r="1176" spans="1:4" ht="28.5">
      <c r="A1176" s="305"/>
      <c r="B1176" s="306"/>
      <c r="C1176" s="30" t="s">
        <v>2847</v>
      </c>
      <c r="D1176" s="305"/>
    </row>
    <row r="1177" spans="1:4">
      <c r="A1177" s="305"/>
      <c r="B1177" s="306"/>
      <c r="C1177" s="30"/>
      <c r="D1177" s="305"/>
    </row>
    <row r="1178" spans="1:4">
      <c r="A1178" s="305"/>
      <c r="B1178" s="306"/>
      <c r="C1178" s="276" t="s">
        <v>2534</v>
      </c>
      <c r="D1178" s="305"/>
    </row>
    <row r="1179" spans="1:4">
      <c r="A1179" s="305"/>
      <c r="B1179" s="306"/>
      <c r="C1179" s="30"/>
      <c r="D1179" s="305"/>
    </row>
    <row r="1180" spans="1:4">
      <c r="A1180" s="305" t="s">
        <v>2525</v>
      </c>
      <c r="B1180" s="306">
        <v>44113</v>
      </c>
      <c r="C1180" s="275" t="s">
        <v>2864</v>
      </c>
      <c r="D1180" s="305"/>
    </row>
    <row r="1181" spans="1:4" ht="28.5">
      <c r="A1181" s="305"/>
      <c r="B1181" s="306"/>
      <c r="C1181" s="30" t="s">
        <v>2865</v>
      </c>
      <c r="D1181" s="305"/>
    </row>
    <row r="1182" spans="1:4">
      <c r="A1182" s="305"/>
      <c r="B1182" s="306"/>
      <c r="C1182" s="30"/>
      <c r="D1182" s="305"/>
    </row>
    <row r="1183" spans="1:4">
      <c r="A1183" s="305"/>
      <c r="B1183" s="306"/>
      <c r="C1183" s="276" t="s">
        <v>2534</v>
      </c>
      <c r="D1183" s="305"/>
    </row>
    <row r="1184" spans="1:4">
      <c r="A1184" s="305"/>
      <c r="B1184" s="306"/>
      <c r="C1184" s="30"/>
      <c r="D1184" s="305"/>
    </row>
    <row r="1185" spans="1:4">
      <c r="A1185" s="305" t="s">
        <v>2525</v>
      </c>
      <c r="B1185" s="306">
        <v>44113</v>
      </c>
      <c r="C1185" s="275" t="s">
        <v>2866</v>
      </c>
      <c r="D1185" s="305"/>
    </row>
    <row r="1186" spans="1:4">
      <c r="A1186" s="305"/>
      <c r="B1186" s="306"/>
      <c r="C1186" s="30" t="s">
        <v>2867</v>
      </c>
      <c r="D1186" s="305"/>
    </row>
    <row r="1187" spans="1:4">
      <c r="A1187" s="305"/>
      <c r="B1187" s="306"/>
      <c r="C1187" s="30"/>
      <c r="D1187" s="305"/>
    </row>
    <row r="1188" spans="1:4">
      <c r="A1188" s="305" t="s">
        <v>2525</v>
      </c>
      <c r="B1188" s="306">
        <v>44113</v>
      </c>
      <c r="C1188" s="275" t="s">
        <v>2868</v>
      </c>
      <c r="D1188" s="305"/>
    </row>
    <row r="1189" spans="1:4" ht="28.5">
      <c r="A1189" s="305"/>
      <c r="B1189" s="306"/>
      <c r="C1189" s="30" t="s">
        <v>2869</v>
      </c>
      <c r="D1189" s="305"/>
    </row>
    <row r="1190" spans="1:4">
      <c r="A1190" s="305"/>
      <c r="B1190" s="306"/>
      <c r="C1190" s="30"/>
      <c r="D1190" s="305"/>
    </row>
    <row r="1191" spans="1:4">
      <c r="A1191" s="305" t="s">
        <v>2525</v>
      </c>
      <c r="B1191" s="306">
        <v>44113</v>
      </c>
      <c r="C1191" s="275" t="s">
        <v>2870</v>
      </c>
      <c r="D1191" s="305"/>
    </row>
    <row r="1192" spans="1:4" ht="28.5">
      <c r="A1192" s="305"/>
      <c r="B1192" s="306"/>
      <c r="C1192" s="30" t="s">
        <v>2871</v>
      </c>
      <c r="D1192" s="305"/>
    </row>
    <row r="1193" spans="1:4">
      <c r="A1193" s="305"/>
      <c r="B1193" s="306"/>
      <c r="C1193" s="30"/>
      <c r="D1193" s="305"/>
    </row>
    <row r="1194" spans="1:4">
      <c r="A1194" s="305" t="s">
        <v>2525</v>
      </c>
      <c r="B1194" s="306">
        <v>44113</v>
      </c>
      <c r="C1194" s="275" t="s">
        <v>2872</v>
      </c>
      <c r="D1194" s="305"/>
    </row>
    <row r="1195" spans="1:4" ht="28.5">
      <c r="A1195" s="305"/>
      <c r="B1195" s="306"/>
      <c r="C1195" s="30" t="s">
        <v>2873</v>
      </c>
      <c r="D1195" s="305"/>
    </row>
    <row r="1196" spans="1:4">
      <c r="A1196" s="305"/>
      <c r="B1196" s="306"/>
      <c r="C1196" s="30"/>
      <c r="D1196" s="305"/>
    </row>
    <row r="1197" spans="1:4">
      <c r="A1197" s="305"/>
      <c r="B1197" s="306">
        <v>44113</v>
      </c>
      <c r="C1197" s="275" t="s">
        <v>2754</v>
      </c>
      <c r="D1197" s="305"/>
    </row>
    <row r="1198" spans="1:4" ht="28.5">
      <c r="A1198" s="305"/>
      <c r="B1198" s="306"/>
      <c r="C1198" s="30" t="s">
        <v>2755</v>
      </c>
      <c r="D1198" s="305"/>
    </row>
    <row r="1199" spans="1:4">
      <c r="A1199" s="305"/>
      <c r="B1199" s="306"/>
      <c r="C1199" s="30"/>
      <c r="D1199" s="305"/>
    </row>
    <row r="1200" spans="1:4">
      <c r="A1200" s="305" t="s">
        <v>2525</v>
      </c>
      <c r="B1200" s="306">
        <v>44113</v>
      </c>
      <c r="C1200" s="275" t="s">
        <v>2874</v>
      </c>
      <c r="D1200" s="305"/>
    </row>
    <row r="1201" spans="1:4" ht="28.5">
      <c r="A1201" s="305"/>
      <c r="B1201" s="306"/>
      <c r="C1201" s="30" t="s">
        <v>2875</v>
      </c>
      <c r="D1201" s="305"/>
    </row>
    <row r="1202" spans="1:4">
      <c r="A1202" s="305"/>
      <c r="B1202" s="306"/>
      <c r="C1202" s="30"/>
      <c r="D1202" s="305"/>
    </row>
    <row r="1203" spans="1:4">
      <c r="A1203" s="305"/>
      <c r="B1203" s="306"/>
      <c r="C1203" s="276" t="s">
        <v>2534</v>
      </c>
      <c r="D1203" s="305"/>
    </row>
    <row r="1204" spans="1:4">
      <c r="A1204" s="305"/>
      <c r="B1204" s="306"/>
      <c r="C1204" s="30"/>
      <c r="D1204" s="305"/>
    </row>
    <row r="1205" spans="1:4">
      <c r="A1205" s="305" t="s">
        <v>2525</v>
      </c>
      <c r="B1205" s="306">
        <v>44113</v>
      </c>
      <c r="C1205" s="275" t="s">
        <v>2876</v>
      </c>
    </row>
    <row r="1206" spans="1:4" ht="28.5">
      <c r="A1206" s="305"/>
      <c r="B1206" s="306"/>
      <c r="C1206" s="30" t="s">
        <v>2877</v>
      </c>
    </row>
    <row r="1207" spans="1:4">
      <c r="A1207" s="305"/>
      <c r="B1207" s="306"/>
      <c r="C1207" s="30"/>
    </row>
    <row r="1208" spans="1:4">
      <c r="A1208" s="305" t="s">
        <v>2525</v>
      </c>
      <c r="B1208" s="306">
        <v>44113</v>
      </c>
      <c r="C1208" s="275" t="s">
        <v>2872</v>
      </c>
      <c r="D1208" s="305"/>
    </row>
    <row r="1209" spans="1:4" ht="28.5">
      <c r="A1209" s="305"/>
      <c r="B1209" s="306"/>
      <c r="C1209" s="30" t="s">
        <v>2878</v>
      </c>
      <c r="D1209" s="305"/>
    </row>
    <row r="1210" spans="1:4">
      <c r="A1210" s="305"/>
      <c r="B1210" s="306"/>
      <c r="C1210" s="30"/>
      <c r="D1210" s="305"/>
    </row>
    <row r="1211" spans="1:4">
      <c r="A1211" s="305" t="s">
        <v>2525</v>
      </c>
      <c r="B1211" s="306">
        <v>44111</v>
      </c>
      <c r="C1211" s="275" t="s">
        <v>2879</v>
      </c>
      <c r="D1211" s="305"/>
    </row>
    <row r="1212" spans="1:4" ht="28.5">
      <c r="A1212" s="305"/>
      <c r="B1212" s="306"/>
      <c r="C1212" s="30" t="s">
        <v>2880</v>
      </c>
      <c r="D1212" s="305"/>
    </row>
    <row r="1213" spans="1:4">
      <c r="A1213" s="305"/>
      <c r="B1213" s="306"/>
      <c r="C1213" s="30"/>
      <c r="D1213" s="305"/>
    </row>
    <row r="1214" spans="1:4">
      <c r="A1214" s="305" t="s">
        <v>2525</v>
      </c>
      <c r="B1214" s="306">
        <v>44109</v>
      </c>
      <c r="C1214" s="275" t="s">
        <v>2874</v>
      </c>
      <c r="D1214" s="305"/>
    </row>
    <row r="1215" spans="1:4" ht="28.5">
      <c r="A1215" s="305"/>
      <c r="B1215" s="306"/>
      <c r="C1215" s="30" t="s">
        <v>2875</v>
      </c>
      <c r="D1215" s="305"/>
    </row>
    <row r="1216" spans="1:4">
      <c r="A1216" s="305"/>
      <c r="B1216" s="306"/>
      <c r="C1216" s="30"/>
      <c r="D1216" s="305"/>
    </row>
    <row r="1217" spans="1:4">
      <c r="A1217" s="305"/>
      <c r="B1217" s="306"/>
      <c r="C1217" s="276" t="s">
        <v>2534</v>
      </c>
      <c r="D1217" s="305"/>
    </row>
    <row r="1218" spans="1:4">
      <c r="A1218" s="305"/>
      <c r="B1218" s="306"/>
      <c r="C1218" s="30"/>
      <c r="D1218" s="305"/>
    </row>
    <row r="1219" spans="1:4">
      <c r="A1219" s="305" t="s">
        <v>2525</v>
      </c>
      <c r="B1219" s="306">
        <v>44108</v>
      </c>
      <c r="C1219" s="275" t="s">
        <v>2881</v>
      </c>
      <c r="D1219" s="305"/>
    </row>
    <row r="1220" spans="1:4" ht="28.5">
      <c r="A1220" s="305"/>
      <c r="B1220" s="306"/>
      <c r="C1220" s="30" t="s">
        <v>2882</v>
      </c>
      <c r="D1220" s="305"/>
    </row>
    <row r="1221" spans="1:4">
      <c r="A1221" s="305"/>
      <c r="B1221" s="306"/>
      <c r="C1221" s="30"/>
      <c r="D1221" s="305"/>
    </row>
    <row r="1222" spans="1:4">
      <c r="A1222" s="305"/>
      <c r="B1222" s="306">
        <v>44108</v>
      </c>
      <c r="C1222" s="275" t="s">
        <v>2765</v>
      </c>
      <c r="D1222" s="305"/>
    </row>
    <row r="1223" spans="1:4" ht="28.5">
      <c r="A1223" s="305"/>
      <c r="B1223" s="306"/>
      <c r="C1223" s="30" t="s">
        <v>2766</v>
      </c>
      <c r="D1223" s="305"/>
    </row>
    <row r="1224" spans="1:4">
      <c r="A1224" s="305"/>
      <c r="B1224" s="306"/>
      <c r="C1224" s="30"/>
      <c r="D1224" s="305"/>
    </row>
    <row r="1225" spans="1:4">
      <c r="A1225" s="305"/>
      <c r="B1225" s="306"/>
      <c r="C1225" s="276" t="s">
        <v>2534</v>
      </c>
      <c r="D1225" s="305"/>
    </row>
    <row r="1226" spans="1:4">
      <c r="A1226" s="305"/>
      <c r="B1226" s="306"/>
      <c r="C1226" s="30"/>
      <c r="D1226" s="305"/>
    </row>
    <row r="1227" spans="1:4">
      <c r="A1227" s="305" t="s">
        <v>2525</v>
      </c>
      <c r="B1227" s="306">
        <v>44108</v>
      </c>
      <c r="C1227" s="275" t="s">
        <v>2883</v>
      </c>
      <c r="D1227" s="305"/>
    </row>
    <row r="1228" spans="1:4" ht="28.5">
      <c r="A1228" s="305"/>
      <c r="B1228" s="306"/>
      <c r="C1228" s="30" t="s">
        <v>2884</v>
      </c>
      <c r="D1228" s="305"/>
    </row>
    <row r="1229" spans="1:4">
      <c r="A1229" s="305"/>
      <c r="B1229" s="306"/>
      <c r="C1229" s="30"/>
      <c r="D1229" s="305"/>
    </row>
    <row r="1230" spans="1:4">
      <c r="A1230" s="305" t="s">
        <v>2525</v>
      </c>
      <c r="B1230" s="306">
        <v>44101</v>
      </c>
      <c r="C1230" s="275" t="s">
        <v>2850</v>
      </c>
      <c r="D1230" s="305"/>
    </row>
    <row r="1231" spans="1:4" ht="28.5">
      <c r="A1231" s="305"/>
      <c r="B1231" s="306"/>
      <c r="C1231" s="30" t="s">
        <v>2885</v>
      </c>
      <c r="D1231" s="305"/>
    </row>
    <row r="1232" spans="1:4">
      <c r="A1232" s="305"/>
      <c r="B1232" s="306"/>
      <c r="C1232" s="30"/>
      <c r="D1232" s="305"/>
    </row>
    <row r="1233" spans="1:4">
      <c r="A1233" s="305" t="s">
        <v>2525</v>
      </c>
      <c r="B1233" s="306">
        <v>44099</v>
      </c>
      <c r="C1233" s="275" t="s">
        <v>2719</v>
      </c>
      <c r="D1233" s="305"/>
    </row>
    <row r="1234" spans="1:4" ht="28.5">
      <c r="A1234" s="305"/>
      <c r="B1234" s="306"/>
      <c r="C1234" s="30" t="s">
        <v>2720</v>
      </c>
      <c r="D1234" s="305"/>
    </row>
    <row r="1235" spans="1:4">
      <c r="A1235" s="305"/>
      <c r="B1235" s="306"/>
      <c r="C1235" s="30"/>
      <c r="D1235" s="305"/>
    </row>
    <row r="1236" spans="1:4">
      <c r="A1236" s="305"/>
      <c r="B1236" s="306"/>
      <c r="C1236" s="276" t="s">
        <v>2534</v>
      </c>
      <c r="D1236" s="305"/>
    </row>
    <row r="1237" spans="1:4">
      <c r="A1237" s="305"/>
      <c r="B1237" s="306"/>
      <c r="C1237" s="30"/>
      <c r="D1237" s="305"/>
    </row>
    <row r="1238" spans="1:4">
      <c r="A1238" s="305" t="s">
        <v>2525</v>
      </c>
      <c r="B1238" s="306">
        <v>44099</v>
      </c>
      <c r="C1238" s="275" t="s">
        <v>2666</v>
      </c>
      <c r="D1238" s="305"/>
    </row>
    <row r="1239" spans="1:4" ht="28.5">
      <c r="A1239" s="305"/>
      <c r="B1239" s="306"/>
      <c r="C1239" s="30" t="s">
        <v>2667</v>
      </c>
      <c r="D1239" s="305"/>
    </row>
    <row r="1240" spans="1:4">
      <c r="A1240" s="305"/>
      <c r="B1240" s="306"/>
      <c r="C1240" s="30"/>
      <c r="D1240" s="305"/>
    </row>
    <row r="1241" spans="1:4">
      <c r="A1241" s="305"/>
      <c r="B1241" s="306"/>
      <c r="C1241" s="276" t="s">
        <v>2534</v>
      </c>
      <c r="D1241" s="305"/>
    </row>
    <row r="1242" spans="1:4">
      <c r="A1242" s="305"/>
      <c r="B1242" s="306"/>
      <c r="C1242" s="30"/>
      <c r="D1242" s="305"/>
    </row>
    <row r="1243" spans="1:4">
      <c r="A1243" s="305" t="s">
        <v>2525</v>
      </c>
      <c r="B1243" s="306">
        <v>44099</v>
      </c>
      <c r="C1243" s="275" t="s">
        <v>2886</v>
      </c>
      <c r="D1243" s="305"/>
    </row>
    <row r="1244" spans="1:4" ht="28.5">
      <c r="A1244" s="305"/>
      <c r="B1244" s="306"/>
      <c r="C1244" s="30" t="s">
        <v>2887</v>
      </c>
      <c r="D1244" s="305"/>
    </row>
    <row r="1245" spans="1:4">
      <c r="A1245" s="305"/>
      <c r="B1245" s="306"/>
      <c r="C1245" s="30"/>
      <c r="D1245" s="305"/>
    </row>
    <row r="1246" spans="1:4">
      <c r="A1246" s="305" t="s">
        <v>2525</v>
      </c>
      <c r="B1246" s="306">
        <v>44099</v>
      </c>
      <c r="C1246" s="275" t="s">
        <v>2603</v>
      </c>
      <c r="D1246" s="305"/>
    </row>
    <row r="1247" spans="1:4" ht="28.5">
      <c r="A1247" s="305"/>
      <c r="B1247" s="306"/>
      <c r="C1247" s="30" t="s">
        <v>2888</v>
      </c>
      <c r="D1247" s="305"/>
    </row>
    <row r="1248" spans="1:4">
      <c r="A1248" s="305"/>
      <c r="B1248" s="306"/>
      <c r="C1248" s="30"/>
      <c r="D1248" s="305"/>
    </row>
    <row r="1249" spans="1:4">
      <c r="A1249" s="305"/>
      <c r="B1249" s="306"/>
      <c r="C1249" s="276" t="s">
        <v>2534</v>
      </c>
      <c r="D1249" s="305"/>
    </row>
    <row r="1250" spans="1:4">
      <c r="A1250" s="305"/>
      <c r="B1250" s="306"/>
      <c r="C1250" s="30"/>
      <c r="D1250" s="305"/>
    </row>
    <row r="1251" spans="1:4">
      <c r="A1251" s="305" t="s">
        <v>2525</v>
      </c>
      <c r="B1251" s="306">
        <v>44098</v>
      </c>
      <c r="C1251" s="275" t="s">
        <v>2641</v>
      </c>
      <c r="D1251" s="305"/>
    </row>
    <row r="1252" spans="1:4" ht="28.5">
      <c r="A1252" s="305"/>
      <c r="B1252" s="306"/>
      <c r="C1252" s="30" t="s">
        <v>2643</v>
      </c>
      <c r="D1252" s="305"/>
    </row>
    <row r="1253" spans="1:4">
      <c r="A1253" s="305"/>
      <c r="B1253" s="306"/>
      <c r="C1253" s="30"/>
      <c r="D1253" s="305"/>
    </row>
    <row r="1254" spans="1:4">
      <c r="A1254" s="305"/>
      <c r="B1254" s="306"/>
      <c r="C1254" s="276" t="s">
        <v>2534</v>
      </c>
      <c r="D1254" s="305"/>
    </row>
    <row r="1255" spans="1:4">
      <c r="A1255" s="305"/>
      <c r="B1255" s="306"/>
      <c r="C1255" s="30"/>
      <c r="D1255" s="305"/>
    </row>
    <row r="1256" spans="1:4">
      <c r="A1256" s="305" t="s">
        <v>2525</v>
      </c>
      <c r="B1256" s="306">
        <v>44097</v>
      </c>
      <c r="C1256" s="275" t="s">
        <v>2889</v>
      </c>
      <c r="D1256" s="305"/>
    </row>
    <row r="1257" spans="1:4" ht="28.5">
      <c r="A1257" s="305"/>
      <c r="B1257" s="306"/>
      <c r="C1257" s="30" t="s">
        <v>2890</v>
      </c>
      <c r="D1257" s="305"/>
    </row>
    <row r="1258" spans="1:4">
      <c r="A1258" s="305"/>
      <c r="B1258" s="306"/>
      <c r="C1258" s="30"/>
      <c r="D1258" s="305"/>
    </row>
    <row r="1259" spans="1:4">
      <c r="A1259" s="305"/>
      <c r="B1259" s="306">
        <v>44097</v>
      </c>
      <c r="C1259" s="275" t="s">
        <v>2891</v>
      </c>
      <c r="D1259" s="305"/>
    </row>
    <row r="1260" spans="1:4" ht="28.5">
      <c r="A1260" s="305"/>
      <c r="B1260" s="306"/>
      <c r="C1260" s="30" t="s">
        <v>2892</v>
      </c>
      <c r="D1260" s="305"/>
    </row>
    <row r="1261" spans="1:4">
      <c r="A1261" s="305"/>
      <c r="B1261" s="306"/>
      <c r="C1261" s="30"/>
      <c r="D1261" s="305"/>
    </row>
    <row r="1262" spans="1:4">
      <c r="A1262" s="305" t="s">
        <v>2525</v>
      </c>
      <c r="B1262" s="306">
        <v>44097</v>
      </c>
      <c r="C1262" s="275" t="s">
        <v>2652</v>
      </c>
      <c r="D1262" s="305"/>
    </row>
    <row r="1263" spans="1:4" ht="28.5">
      <c r="A1263" s="305"/>
      <c r="B1263" s="306"/>
      <c r="C1263" s="30" t="s">
        <v>2893</v>
      </c>
      <c r="D1263" s="305"/>
    </row>
    <row r="1264" spans="1:4">
      <c r="A1264" s="305"/>
      <c r="B1264" s="306"/>
      <c r="C1264" s="30"/>
      <c r="D1264" s="305"/>
    </row>
    <row r="1265" spans="1:4">
      <c r="A1265" s="305"/>
      <c r="B1265" s="306">
        <v>44097</v>
      </c>
      <c r="C1265" s="275" t="s">
        <v>2619</v>
      </c>
      <c r="D1265" s="305"/>
    </row>
    <row r="1266" spans="1:4" ht="28.5">
      <c r="A1266" s="305"/>
      <c r="B1266" s="306"/>
      <c r="C1266" s="30" t="s">
        <v>2894</v>
      </c>
      <c r="D1266" s="305"/>
    </row>
    <row r="1267" spans="1:4">
      <c r="A1267" s="305"/>
      <c r="B1267" s="306"/>
      <c r="C1267" s="30"/>
      <c r="D1267" s="305"/>
    </row>
    <row r="1268" spans="1:4">
      <c r="A1268" s="305" t="s">
        <v>2525</v>
      </c>
      <c r="B1268" s="306">
        <v>44097</v>
      </c>
      <c r="C1268" s="275" t="s">
        <v>2895</v>
      </c>
      <c r="D1268" s="305"/>
    </row>
    <row r="1269" spans="1:4" ht="28.5">
      <c r="A1269" s="305"/>
      <c r="B1269" s="306"/>
      <c r="C1269" s="30" t="s">
        <v>2896</v>
      </c>
      <c r="D1269" s="305"/>
    </row>
    <row r="1270" spans="1:4">
      <c r="A1270" s="305"/>
      <c r="B1270" s="306"/>
      <c r="C1270" s="30"/>
      <c r="D1270" s="305"/>
    </row>
    <row r="1271" spans="1:4">
      <c r="A1271" s="305"/>
      <c r="B1271" s="306"/>
      <c r="C1271" s="276" t="s">
        <v>2534</v>
      </c>
      <c r="D1271" s="305"/>
    </row>
    <row r="1272" spans="1:4">
      <c r="A1272" s="305"/>
      <c r="B1272" s="306"/>
      <c r="C1272" s="30"/>
      <c r="D1272" s="305"/>
    </row>
    <row r="1273" spans="1:4">
      <c r="A1273" s="305" t="s">
        <v>2525</v>
      </c>
      <c r="B1273" s="306">
        <v>44097</v>
      </c>
      <c r="C1273" s="275" t="s">
        <v>2897</v>
      </c>
      <c r="D1273" s="305"/>
    </row>
    <row r="1274" spans="1:4" ht="28.5">
      <c r="A1274" s="305"/>
      <c r="B1274" s="306"/>
      <c r="C1274" s="30" t="s">
        <v>2898</v>
      </c>
      <c r="D1274" s="305"/>
    </row>
    <row r="1275" spans="1:4">
      <c r="A1275" s="305"/>
      <c r="B1275" s="306"/>
      <c r="C1275" s="30"/>
      <c r="D1275" s="305"/>
    </row>
    <row r="1276" spans="1:4">
      <c r="A1276" s="305" t="s">
        <v>2525</v>
      </c>
      <c r="B1276" s="306">
        <v>44097</v>
      </c>
      <c r="C1276" s="275" t="s">
        <v>2899</v>
      </c>
      <c r="D1276" s="305"/>
    </row>
    <row r="1277" spans="1:4" ht="28.5">
      <c r="A1277" s="305"/>
      <c r="B1277" s="306"/>
      <c r="C1277" s="30" t="s">
        <v>2900</v>
      </c>
      <c r="D1277" s="305"/>
    </row>
    <row r="1278" spans="1:4">
      <c r="A1278" s="305"/>
      <c r="B1278" s="306"/>
      <c r="C1278" s="30"/>
      <c r="D1278" s="305"/>
    </row>
    <row r="1279" spans="1:4">
      <c r="A1279" s="305"/>
      <c r="B1279" s="306"/>
      <c r="C1279" s="276" t="s">
        <v>2534</v>
      </c>
      <c r="D1279" s="305"/>
    </row>
    <row r="1280" spans="1:4">
      <c r="A1280" s="305"/>
      <c r="B1280" s="306"/>
      <c r="C1280" s="30"/>
      <c r="D1280" s="305"/>
    </row>
    <row r="1281" spans="1:4">
      <c r="A1281" s="305"/>
      <c r="B1281" s="306">
        <v>44097</v>
      </c>
      <c r="C1281" s="275" t="s">
        <v>2619</v>
      </c>
    </row>
    <row r="1282" spans="1:4" ht="28.5">
      <c r="A1282" s="305"/>
      <c r="B1282" s="306"/>
      <c r="C1282" s="30" t="s">
        <v>2750</v>
      </c>
    </row>
    <row r="1283" spans="1:4">
      <c r="A1283" s="305"/>
      <c r="B1283" s="306"/>
      <c r="C1283" s="30"/>
    </row>
    <row r="1284" spans="1:4" ht="28.5">
      <c r="A1284" s="305"/>
      <c r="B1284" s="306">
        <v>44072</v>
      </c>
      <c r="C1284" s="275" t="s">
        <v>2901</v>
      </c>
      <c r="D1284" s="305"/>
    </row>
    <row r="1285" spans="1:4" ht="28.5">
      <c r="A1285" s="305"/>
      <c r="B1285" s="306"/>
      <c r="C1285" s="30" t="s">
        <v>2902</v>
      </c>
      <c r="D1285" s="305"/>
    </row>
    <row r="1286" spans="1:4">
      <c r="A1286" s="305"/>
      <c r="B1286" s="306"/>
      <c r="C1286" s="30"/>
      <c r="D1286" s="305"/>
    </row>
    <row r="1287" spans="1:4">
      <c r="A1287" s="305" t="s">
        <v>2525</v>
      </c>
      <c r="B1287" s="306">
        <v>44072</v>
      </c>
      <c r="C1287" s="275" t="s">
        <v>2903</v>
      </c>
      <c r="D1287" s="305"/>
    </row>
    <row r="1288" spans="1:4" ht="28.5">
      <c r="A1288" s="305"/>
      <c r="B1288" s="306"/>
      <c r="C1288" s="30" t="s">
        <v>2904</v>
      </c>
      <c r="D1288" s="305"/>
    </row>
    <row r="1289" spans="1:4">
      <c r="A1289" s="305"/>
      <c r="B1289" s="306"/>
      <c r="C1289" s="30"/>
      <c r="D1289" s="305"/>
    </row>
    <row r="1290" spans="1:4">
      <c r="A1290" s="305"/>
      <c r="B1290" s="306"/>
      <c r="C1290" s="276" t="s">
        <v>2534</v>
      </c>
      <c r="D1290" s="305"/>
    </row>
    <row r="1291" spans="1:4">
      <c r="A1291" s="305"/>
      <c r="B1291" s="306"/>
      <c r="C1291" s="30"/>
      <c r="D1291" s="305"/>
    </row>
    <row r="1292" spans="1:4">
      <c r="A1292" s="305" t="s">
        <v>2525</v>
      </c>
      <c r="B1292" s="306">
        <v>44066</v>
      </c>
      <c r="C1292" s="275" t="s">
        <v>2905</v>
      </c>
      <c r="D1292" s="305"/>
    </row>
    <row r="1293" spans="1:4" ht="28.5">
      <c r="A1293" s="305"/>
      <c r="B1293" s="306"/>
      <c r="C1293" s="30" t="s">
        <v>2906</v>
      </c>
      <c r="D1293" s="305"/>
    </row>
    <row r="1294" spans="1:4">
      <c r="A1294" s="305"/>
      <c r="B1294" s="306"/>
      <c r="C1294" s="30"/>
      <c r="D1294" s="305"/>
    </row>
    <row r="1295" spans="1:4">
      <c r="A1295" s="305" t="s">
        <v>2525</v>
      </c>
      <c r="B1295" s="306">
        <v>44051</v>
      </c>
      <c r="C1295" s="275" t="s">
        <v>2907</v>
      </c>
      <c r="D1295" s="305"/>
    </row>
    <row r="1296" spans="1:4" ht="28.5">
      <c r="A1296" s="305"/>
      <c r="B1296" s="306"/>
      <c r="C1296" s="30" t="s">
        <v>2908</v>
      </c>
      <c r="D1296" s="305"/>
    </row>
    <row r="1297" spans="1:4">
      <c r="A1297" s="305"/>
      <c r="B1297" s="306"/>
      <c r="C1297" s="30"/>
      <c r="D1297" s="305"/>
    </row>
    <row r="1298" spans="1:4">
      <c r="A1298" s="305"/>
      <c r="B1298" s="306"/>
      <c r="C1298" s="276" t="s">
        <v>2534</v>
      </c>
      <c r="D1298" s="305"/>
    </row>
    <row r="1299" spans="1:4">
      <c r="A1299" s="305"/>
      <c r="B1299" s="306"/>
      <c r="C1299" s="30"/>
      <c r="D1299" s="305"/>
    </row>
    <row r="1300" spans="1:4">
      <c r="A1300" s="305" t="s">
        <v>2525</v>
      </c>
      <c r="B1300" s="306">
        <v>44051</v>
      </c>
      <c r="C1300" s="275" t="s">
        <v>2652</v>
      </c>
      <c r="D1300" s="305"/>
    </row>
    <row r="1301" spans="1:4" ht="28.5">
      <c r="A1301" s="305"/>
      <c r="B1301" s="306"/>
      <c r="C1301" s="30" t="s">
        <v>2893</v>
      </c>
      <c r="D1301" s="305"/>
    </row>
    <row r="1302" spans="1:4">
      <c r="A1302" s="305"/>
      <c r="B1302" s="306"/>
      <c r="C1302" s="30"/>
      <c r="D1302" s="305"/>
    </row>
    <row r="1303" spans="1:4">
      <c r="A1303" s="305" t="s">
        <v>2525</v>
      </c>
      <c r="B1303" s="306">
        <v>44051</v>
      </c>
      <c r="C1303" s="275" t="s">
        <v>2909</v>
      </c>
      <c r="D1303" s="305"/>
    </row>
    <row r="1304" spans="1:4" ht="28.5">
      <c r="A1304" s="305"/>
      <c r="B1304" s="306"/>
      <c r="C1304" s="30" t="s">
        <v>2910</v>
      </c>
      <c r="D1304" s="305"/>
    </row>
    <row r="1305" spans="1:4">
      <c r="A1305" s="305"/>
      <c r="B1305" s="306"/>
      <c r="C1305" s="30"/>
      <c r="D1305" s="305"/>
    </row>
    <row r="1306" spans="1:4">
      <c r="A1306" s="305"/>
      <c r="B1306" s="306"/>
      <c r="C1306" s="276" t="s">
        <v>2534</v>
      </c>
      <c r="D1306" s="305"/>
    </row>
    <row r="1307" spans="1:4">
      <c r="A1307" s="305"/>
      <c r="B1307" s="306"/>
      <c r="C1307" s="30"/>
      <c r="D1307" s="305"/>
    </row>
    <row r="1308" spans="1:4">
      <c r="A1308" s="305" t="s">
        <v>2525</v>
      </c>
      <c r="B1308" s="306">
        <v>44050</v>
      </c>
      <c r="C1308" s="275" t="s">
        <v>2652</v>
      </c>
      <c r="D1308" s="305"/>
    </row>
    <row r="1309" spans="1:4" ht="28.5">
      <c r="A1309" s="305"/>
      <c r="B1309" s="306"/>
      <c r="C1309" s="30" t="s">
        <v>2893</v>
      </c>
      <c r="D1309" s="305"/>
    </row>
    <row r="1310" spans="1:4">
      <c r="A1310" s="305"/>
      <c r="B1310" s="306"/>
      <c r="C1310" s="30"/>
      <c r="D1310" s="305"/>
    </row>
    <row r="1311" spans="1:4">
      <c r="A1311" s="305" t="s">
        <v>2525</v>
      </c>
      <c r="B1311" s="306">
        <v>44049</v>
      </c>
      <c r="C1311" s="275" t="s">
        <v>2552</v>
      </c>
      <c r="D1311" s="305"/>
    </row>
    <row r="1312" spans="1:4" ht="28.5">
      <c r="A1312" s="305"/>
      <c r="B1312" s="306"/>
      <c r="C1312" s="30" t="s">
        <v>2553</v>
      </c>
      <c r="D1312" s="305"/>
    </row>
    <row r="1313" spans="1:4">
      <c r="A1313" s="305"/>
      <c r="B1313" s="306"/>
      <c r="C1313" s="30"/>
      <c r="D1313" s="305"/>
    </row>
    <row r="1314" spans="1:4">
      <c r="A1314" s="305"/>
      <c r="B1314" s="306"/>
      <c r="C1314" s="276" t="s">
        <v>2534</v>
      </c>
      <c r="D1314" s="305"/>
    </row>
    <row r="1315" spans="1:4">
      <c r="A1315" s="305"/>
      <c r="B1315" s="306"/>
      <c r="C1315" s="30"/>
      <c r="D1315" s="305"/>
    </row>
    <row r="1316" spans="1:4">
      <c r="A1316" s="305" t="s">
        <v>2525</v>
      </c>
      <c r="B1316" s="306">
        <v>44049</v>
      </c>
      <c r="C1316" s="275" t="s">
        <v>2815</v>
      </c>
      <c r="D1316" s="305"/>
    </row>
    <row r="1317" spans="1:4" ht="28.5">
      <c r="A1317" s="305"/>
      <c r="B1317" s="306"/>
      <c r="C1317" s="30" t="s">
        <v>2911</v>
      </c>
      <c r="D1317" s="305"/>
    </row>
    <row r="1318" spans="1:4">
      <c r="A1318" s="305"/>
      <c r="B1318" s="306"/>
      <c r="C1318" s="30"/>
      <c r="D1318" s="305"/>
    </row>
    <row r="1319" spans="1:4">
      <c r="A1319" s="305"/>
      <c r="B1319" s="306"/>
      <c r="C1319" s="276" t="s">
        <v>2534</v>
      </c>
      <c r="D1319" s="305"/>
    </row>
    <row r="1320" spans="1:4">
      <c r="A1320" s="305"/>
      <c r="B1320" s="306"/>
      <c r="C1320" s="30"/>
      <c r="D1320" s="305"/>
    </row>
    <row r="1321" spans="1:4">
      <c r="A1321" s="305" t="s">
        <v>2525</v>
      </c>
      <c r="B1321" s="306">
        <v>44047</v>
      </c>
      <c r="C1321" s="275" t="s">
        <v>2912</v>
      </c>
      <c r="D1321" s="305"/>
    </row>
    <row r="1322" spans="1:4" ht="28.5">
      <c r="A1322" s="305"/>
      <c r="B1322" s="306"/>
      <c r="C1322" s="30" t="s">
        <v>2913</v>
      </c>
      <c r="D1322" s="305"/>
    </row>
    <row r="1323" spans="1:4">
      <c r="A1323" s="305"/>
      <c r="B1323" s="306"/>
      <c r="C1323" s="30"/>
      <c r="D1323" s="305"/>
    </row>
    <row r="1324" spans="1:4">
      <c r="A1324" s="305"/>
      <c r="B1324" s="306"/>
      <c r="C1324" s="276" t="s">
        <v>2534</v>
      </c>
      <c r="D1324" s="305"/>
    </row>
    <row r="1325" spans="1:4">
      <c r="A1325" s="305"/>
      <c r="B1325" s="306"/>
      <c r="C1325" s="30"/>
      <c r="D1325" s="305"/>
    </row>
    <row r="1326" spans="1:4">
      <c r="A1326" s="305" t="s">
        <v>2525</v>
      </c>
      <c r="B1326" s="306">
        <v>44047</v>
      </c>
      <c r="C1326" s="275" t="s">
        <v>2914</v>
      </c>
      <c r="D1326" s="305"/>
    </row>
    <row r="1327" spans="1:4" ht="28.5">
      <c r="A1327" s="305"/>
      <c r="B1327" s="306"/>
      <c r="C1327" s="30" t="s">
        <v>2915</v>
      </c>
      <c r="D1327" s="305"/>
    </row>
    <row r="1328" spans="1:4">
      <c r="A1328" s="305"/>
      <c r="B1328" s="306"/>
      <c r="C1328" s="30"/>
      <c r="D1328" s="305"/>
    </row>
    <row r="1329" spans="1:4">
      <c r="A1329" s="305" t="s">
        <v>2525</v>
      </c>
      <c r="B1329" s="306">
        <v>44047</v>
      </c>
      <c r="C1329" s="275" t="s">
        <v>2916</v>
      </c>
      <c r="D1329" s="305"/>
    </row>
    <row r="1330" spans="1:4" ht="28.5">
      <c r="A1330" s="305"/>
      <c r="B1330" s="306"/>
      <c r="C1330" s="30" t="s">
        <v>2917</v>
      </c>
      <c r="D1330" s="305"/>
    </row>
    <row r="1331" spans="1:4">
      <c r="A1331" s="305"/>
      <c r="B1331" s="306"/>
      <c r="C1331" s="30"/>
      <c r="D1331" s="305"/>
    </row>
    <row r="1332" spans="1:4">
      <c r="A1332" s="305"/>
      <c r="B1332" s="306"/>
      <c r="C1332" s="276" t="s">
        <v>2534</v>
      </c>
      <c r="D1332" s="305"/>
    </row>
    <row r="1333" spans="1:4">
      <c r="A1333" s="305"/>
      <c r="B1333" s="306"/>
      <c r="C1333" s="30"/>
      <c r="D1333" s="305"/>
    </row>
    <row r="1334" spans="1:4">
      <c r="A1334" s="305" t="s">
        <v>2525</v>
      </c>
      <c r="B1334" s="306">
        <v>44047</v>
      </c>
      <c r="C1334" s="275" t="s">
        <v>2918</v>
      </c>
      <c r="D1334" s="305"/>
    </row>
    <row r="1335" spans="1:4" ht="28.5">
      <c r="A1335" s="305"/>
      <c r="B1335" s="306"/>
      <c r="C1335" s="30" t="s">
        <v>2919</v>
      </c>
      <c r="D1335" s="305"/>
    </row>
    <row r="1336" spans="1:4">
      <c r="A1336" s="305"/>
      <c r="B1336" s="306"/>
      <c r="C1336" s="30"/>
      <c r="D1336" s="305"/>
    </row>
    <row r="1337" spans="1:4">
      <c r="A1337" s="305" t="s">
        <v>2525</v>
      </c>
      <c r="B1337" s="306">
        <v>44047</v>
      </c>
      <c r="C1337" s="275" t="s">
        <v>2920</v>
      </c>
      <c r="D1337" s="305"/>
    </row>
    <row r="1338" spans="1:4" ht="28.5">
      <c r="A1338" s="305"/>
      <c r="B1338" s="306"/>
      <c r="C1338" s="30" t="s">
        <v>2921</v>
      </c>
      <c r="D1338" s="305"/>
    </row>
    <row r="1339" spans="1:4">
      <c r="A1339" s="305"/>
      <c r="B1339" s="306"/>
      <c r="C1339" s="30"/>
      <c r="D1339" s="305"/>
    </row>
    <row r="1340" spans="1:4">
      <c r="A1340" s="305"/>
      <c r="B1340" s="306"/>
      <c r="C1340" s="276" t="s">
        <v>2534</v>
      </c>
      <c r="D1340" s="305"/>
    </row>
    <row r="1341" spans="1:4">
      <c r="A1341" s="305"/>
      <c r="B1341" s="306"/>
      <c r="C1341" s="30"/>
      <c r="D1341" s="305"/>
    </row>
    <row r="1342" spans="1:4" ht="28.5">
      <c r="A1342" s="305"/>
      <c r="B1342" s="306">
        <v>44046</v>
      </c>
      <c r="C1342" s="275" t="s">
        <v>2901</v>
      </c>
      <c r="D1342" s="305"/>
    </row>
    <row r="1343" spans="1:4" ht="28.5">
      <c r="A1343" s="305"/>
      <c r="B1343" s="306"/>
      <c r="C1343" s="30" t="s">
        <v>2902</v>
      </c>
      <c r="D1343" s="305"/>
    </row>
    <row r="1344" spans="1:4">
      <c r="A1344" s="305"/>
      <c r="B1344" s="306"/>
      <c r="C1344" s="30"/>
      <c r="D1344" s="305"/>
    </row>
    <row r="1345" spans="1:4">
      <c r="A1345" s="305" t="s">
        <v>2525</v>
      </c>
      <c r="B1345" s="306">
        <v>44045</v>
      </c>
      <c r="C1345" s="275" t="s">
        <v>2922</v>
      </c>
      <c r="D1345" s="305"/>
    </row>
    <row r="1346" spans="1:4" ht="28.5">
      <c r="A1346" s="305"/>
      <c r="B1346" s="306"/>
      <c r="C1346" s="30" t="s">
        <v>2923</v>
      </c>
      <c r="D1346" s="305"/>
    </row>
    <row r="1347" spans="1:4">
      <c r="A1347" s="305"/>
      <c r="B1347" s="306"/>
      <c r="C1347" s="30"/>
      <c r="D1347" s="305"/>
    </row>
    <row r="1348" spans="1:4">
      <c r="A1348" s="305"/>
      <c r="B1348" s="306"/>
      <c r="C1348" s="276" t="s">
        <v>2534</v>
      </c>
      <c r="D1348" s="305"/>
    </row>
    <row r="1349" spans="1:4">
      <c r="A1349" s="305"/>
      <c r="B1349" s="306"/>
      <c r="C1349" s="30"/>
      <c r="D1349" s="305"/>
    </row>
    <row r="1350" spans="1:4">
      <c r="A1350" s="305" t="s">
        <v>2525</v>
      </c>
      <c r="B1350" s="306">
        <v>43988</v>
      </c>
      <c r="C1350" s="275" t="s">
        <v>2924</v>
      </c>
      <c r="D1350" s="305"/>
    </row>
    <row r="1351" spans="1:4" ht="28.5">
      <c r="A1351" s="305"/>
      <c r="B1351" s="306"/>
      <c r="C1351" s="30" t="s">
        <v>2925</v>
      </c>
      <c r="D1351" s="305"/>
    </row>
    <row r="1352" spans="1:4">
      <c r="A1352" s="305"/>
      <c r="B1352" s="306"/>
      <c r="C1352" s="30"/>
      <c r="D1352" s="305"/>
    </row>
    <row r="1353" spans="1:4">
      <c r="A1353" s="305" t="s">
        <v>2525</v>
      </c>
      <c r="B1353" s="306">
        <v>43963</v>
      </c>
      <c r="C1353" s="275" t="s">
        <v>2926</v>
      </c>
    </row>
    <row r="1354" spans="1:4">
      <c r="A1354" s="305"/>
      <c r="B1354" s="306"/>
      <c r="C1354" s="30" t="s">
        <v>2927</v>
      </c>
    </row>
    <row r="1355" spans="1:4">
      <c r="A1355" s="305"/>
      <c r="B1355" s="306"/>
      <c r="C1355" s="30"/>
    </row>
    <row r="1356" spans="1:4">
      <c r="A1356" s="305"/>
      <c r="B1356" s="306"/>
      <c r="C1356" s="276" t="s">
        <v>2534</v>
      </c>
    </row>
    <row r="1357" spans="1:4">
      <c r="A1357" s="305"/>
      <c r="B1357" s="306"/>
      <c r="C1357" s="30"/>
    </row>
  </sheetData>
  <mergeCells count="1021">
    <mergeCell ref="A280:A282"/>
    <mergeCell ref="B280:B282"/>
    <mergeCell ref="D280:D282"/>
    <mergeCell ref="A283:A287"/>
    <mergeCell ref="B283:B287"/>
    <mergeCell ref="D283:D287"/>
    <mergeCell ref="A272:A274"/>
    <mergeCell ref="B272:B274"/>
    <mergeCell ref="D272:D274"/>
    <mergeCell ref="A275:A279"/>
    <mergeCell ref="B275:B279"/>
    <mergeCell ref="D275:D279"/>
    <mergeCell ref="A266:A268"/>
    <mergeCell ref="B266:B268"/>
    <mergeCell ref="D266:D268"/>
    <mergeCell ref="A269:A271"/>
    <mergeCell ref="B269:B271"/>
    <mergeCell ref="D269:D271"/>
    <mergeCell ref="A302:A304"/>
    <mergeCell ref="B302:B304"/>
    <mergeCell ref="D302:D304"/>
    <mergeCell ref="A305:A307"/>
    <mergeCell ref="B305:B307"/>
    <mergeCell ref="D305:D307"/>
    <mergeCell ref="A294:A298"/>
    <mergeCell ref="B294:B298"/>
    <mergeCell ref="D294:D298"/>
    <mergeCell ref="A299:A301"/>
    <mergeCell ref="B299:B301"/>
    <mergeCell ref="D299:D301"/>
    <mergeCell ref="A288:A290"/>
    <mergeCell ref="B288:B290"/>
    <mergeCell ref="D288:D290"/>
    <mergeCell ref="A291:A293"/>
    <mergeCell ref="B291:B293"/>
    <mergeCell ref="D291:D293"/>
    <mergeCell ref="A328:A332"/>
    <mergeCell ref="B328:B332"/>
    <mergeCell ref="D328:D332"/>
    <mergeCell ref="A333:A337"/>
    <mergeCell ref="B333:B337"/>
    <mergeCell ref="D333:D337"/>
    <mergeCell ref="A318:A322"/>
    <mergeCell ref="B318:B322"/>
    <mergeCell ref="D318:D322"/>
    <mergeCell ref="A323:A327"/>
    <mergeCell ref="B323:B327"/>
    <mergeCell ref="D323:D327"/>
    <mergeCell ref="A308:A312"/>
    <mergeCell ref="B308:B312"/>
    <mergeCell ref="D308:D312"/>
    <mergeCell ref="A313:A317"/>
    <mergeCell ref="B313:B317"/>
    <mergeCell ref="D313:D317"/>
    <mergeCell ref="A359:A361"/>
    <mergeCell ref="B359:B361"/>
    <mergeCell ref="D359:D361"/>
    <mergeCell ref="A362:A364"/>
    <mergeCell ref="B362:B364"/>
    <mergeCell ref="D362:D364"/>
    <mergeCell ref="A351:A353"/>
    <mergeCell ref="B351:B353"/>
    <mergeCell ref="D351:D353"/>
    <mergeCell ref="A354:A358"/>
    <mergeCell ref="B354:B358"/>
    <mergeCell ref="D354:D358"/>
    <mergeCell ref="A338:A342"/>
    <mergeCell ref="B338:B342"/>
    <mergeCell ref="D338:D342"/>
    <mergeCell ref="A343:A345"/>
    <mergeCell ref="B343:B345"/>
    <mergeCell ref="A346:A350"/>
    <mergeCell ref="B346:B350"/>
    <mergeCell ref="D346:D350"/>
    <mergeCell ref="A383:A385"/>
    <mergeCell ref="B383:B385"/>
    <mergeCell ref="D383:D385"/>
    <mergeCell ref="A386:A390"/>
    <mergeCell ref="B386:B390"/>
    <mergeCell ref="D386:D390"/>
    <mergeCell ref="A373:A377"/>
    <mergeCell ref="B373:B377"/>
    <mergeCell ref="D373:D377"/>
    <mergeCell ref="A378:A382"/>
    <mergeCell ref="B378:B382"/>
    <mergeCell ref="D378:D382"/>
    <mergeCell ref="A365:A369"/>
    <mergeCell ref="B365:B369"/>
    <mergeCell ref="D365:D369"/>
    <mergeCell ref="A370:A372"/>
    <mergeCell ref="B370:B372"/>
    <mergeCell ref="D370:D372"/>
    <mergeCell ref="A405:A409"/>
    <mergeCell ref="B405:B409"/>
    <mergeCell ref="D405:D409"/>
    <mergeCell ref="A410:A414"/>
    <mergeCell ref="B410:B414"/>
    <mergeCell ref="D410:D414"/>
    <mergeCell ref="A397:A399"/>
    <mergeCell ref="B397:B399"/>
    <mergeCell ref="D397:D399"/>
    <mergeCell ref="A400:A404"/>
    <mergeCell ref="B400:B404"/>
    <mergeCell ref="D400:D404"/>
    <mergeCell ref="A391:A393"/>
    <mergeCell ref="B391:B393"/>
    <mergeCell ref="D391:D393"/>
    <mergeCell ref="A394:A396"/>
    <mergeCell ref="B394:B396"/>
    <mergeCell ref="D394:D396"/>
    <mergeCell ref="A436:A440"/>
    <mergeCell ref="B436:B440"/>
    <mergeCell ref="D436:D440"/>
    <mergeCell ref="A441:A443"/>
    <mergeCell ref="B441:B443"/>
    <mergeCell ref="D441:D443"/>
    <mergeCell ref="A423:A427"/>
    <mergeCell ref="B423:B427"/>
    <mergeCell ref="A428:A430"/>
    <mergeCell ref="B428:B430"/>
    <mergeCell ref="D428:D430"/>
    <mergeCell ref="A431:A435"/>
    <mergeCell ref="B431:B435"/>
    <mergeCell ref="D431:D435"/>
    <mergeCell ref="A415:A417"/>
    <mergeCell ref="B415:B417"/>
    <mergeCell ref="D415:D417"/>
    <mergeCell ref="A418:A422"/>
    <mergeCell ref="B418:B422"/>
    <mergeCell ref="D418:D422"/>
    <mergeCell ref="A462:A464"/>
    <mergeCell ref="B462:B464"/>
    <mergeCell ref="D462:D464"/>
    <mergeCell ref="A465:A469"/>
    <mergeCell ref="B465:B469"/>
    <mergeCell ref="D465:D469"/>
    <mergeCell ref="A454:A456"/>
    <mergeCell ref="B454:B456"/>
    <mergeCell ref="D454:D456"/>
    <mergeCell ref="A457:A461"/>
    <mergeCell ref="B457:B461"/>
    <mergeCell ref="D457:D461"/>
    <mergeCell ref="A444:A448"/>
    <mergeCell ref="B444:B448"/>
    <mergeCell ref="D444:D448"/>
    <mergeCell ref="A449:A453"/>
    <mergeCell ref="B449:B453"/>
    <mergeCell ref="D449:D453"/>
    <mergeCell ref="A484:A486"/>
    <mergeCell ref="B484:B486"/>
    <mergeCell ref="D484:D486"/>
    <mergeCell ref="A487:A489"/>
    <mergeCell ref="B487:B489"/>
    <mergeCell ref="D487:D489"/>
    <mergeCell ref="A476:A480"/>
    <mergeCell ref="B476:B480"/>
    <mergeCell ref="D476:D480"/>
    <mergeCell ref="A481:A483"/>
    <mergeCell ref="B481:B483"/>
    <mergeCell ref="D481:D483"/>
    <mergeCell ref="A470:A472"/>
    <mergeCell ref="B470:B472"/>
    <mergeCell ref="D470:D472"/>
    <mergeCell ref="A473:A475"/>
    <mergeCell ref="B473:B475"/>
    <mergeCell ref="D473:D475"/>
    <mergeCell ref="A507:A511"/>
    <mergeCell ref="B507:B511"/>
    <mergeCell ref="D507:D511"/>
    <mergeCell ref="A512:A516"/>
    <mergeCell ref="B512:B516"/>
    <mergeCell ref="D512:D516"/>
    <mergeCell ref="A496:A498"/>
    <mergeCell ref="B496:B498"/>
    <mergeCell ref="D496:D498"/>
    <mergeCell ref="A499:A503"/>
    <mergeCell ref="B499:B503"/>
    <mergeCell ref="A504:A506"/>
    <mergeCell ref="B504:B506"/>
    <mergeCell ref="D504:D506"/>
    <mergeCell ref="A490:A492"/>
    <mergeCell ref="B490:B492"/>
    <mergeCell ref="D490:D492"/>
    <mergeCell ref="A493:A495"/>
    <mergeCell ref="B493:B495"/>
    <mergeCell ref="D493:D495"/>
    <mergeCell ref="A531:A533"/>
    <mergeCell ref="B531:B533"/>
    <mergeCell ref="D531:D533"/>
    <mergeCell ref="A534:A538"/>
    <mergeCell ref="B534:B538"/>
    <mergeCell ref="D534:D538"/>
    <mergeCell ref="A523:A525"/>
    <mergeCell ref="B523:B525"/>
    <mergeCell ref="D523:D525"/>
    <mergeCell ref="A526:A530"/>
    <mergeCell ref="B526:B530"/>
    <mergeCell ref="D526:D530"/>
    <mergeCell ref="A517:A519"/>
    <mergeCell ref="B517:B519"/>
    <mergeCell ref="D517:D519"/>
    <mergeCell ref="A520:A522"/>
    <mergeCell ref="B520:B522"/>
    <mergeCell ref="D520:D522"/>
    <mergeCell ref="A555:A559"/>
    <mergeCell ref="B555:B559"/>
    <mergeCell ref="D555:D559"/>
    <mergeCell ref="A560:A562"/>
    <mergeCell ref="B560:B562"/>
    <mergeCell ref="D560:D562"/>
    <mergeCell ref="A547:A549"/>
    <mergeCell ref="B547:B549"/>
    <mergeCell ref="D547:D549"/>
    <mergeCell ref="A550:A554"/>
    <mergeCell ref="B550:B554"/>
    <mergeCell ref="D550:D554"/>
    <mergeCell ref="A539:A541"/>
    <mergeCell ref="B539:B541"/>
    <mergeCell ref="D539:D541"/>
    <mergeCell ref="A542:A546"/>
    <mergeCell ref="B542:B546"/>
    <mergeCell ref="D542:D546"/>
    <mergeCell ref="A579:A581"/>
    <mergeCell ref="B579:B581"/>
    <mergeCell ref="A582:A586"/>
    <mergeCell ref="B582:B586"/>
    <mergeCell ref="D582:D586"/>
    <mergeCell ref="A587:A589"/>
    <mergeCell ref="B587:B589"/>
    <mergeCell ref="D587:D589"/>
    <mergeCell ref="A571:A573"/>
    <mergeCell ref="B571:B573"/>
    <mergeCell ref="D571:D573"/>
    <mergeCell ref="A574:A578"/>
    <mergeCell ref="B574:B578"/>
    <mergeCell ref="D574:D578"/>
    <mergeCell ref="A563:A565"/>
    <mergeCell ref="B563:B565"/>
    <mergeCell ref="D563:D565"/>
    <mergeCell ref="A566:A570"/>
    <mergeCell ref="B566:B570"/>
    <mergeCell ref="D566:D570"/>
    <mergeCell ref="A608:A610"/>
    <mergeCell ref="B608:B610"/>
    <mergeCell ref="D608:D610"/>
    <mergeCell ref="A611:A613"/>
    <mergeCell ref="B611:B613"/>
    <mergeCell ref="D611:D613"/>
    <mergeCell ref="A598:A602"/>
    <mergeCell ref="B598:B602"/>
    <mergeCell ref="D598:D602"/>
    <mergeCell ref="A603:A607"/>
    <mergeCell ref="B603:B607"/>
    <mergeCell ref="D603:D607"/>
    <mergeCell ref="A590:A594"/>
    <mergeCell ref="B590:B594"/>
    <mergeCell ref="D590:D594"/>
    <mergeCell ref="A595:A597"/>
    <mergeCell ref="B595:B597"/>
    <mergeCell ref="D595:D597"/>
    <mergeCell ref="A632:A636"/>
    <mergeCell ref="B632:B636"/>
    <mergeCell ref="D632:D636"/>
    <mergeCell ref="A637:A641"/>
    <mergeCell ref="B637:B641"/>
    <mergeCell ref="D637:D641"/>
    <mergeCell ref="A624:A626"/>
    <mergeCell ref="B624:B626"/>
    <mergeCell ref="D624:D626"/>
    <mergeCell ref="A627:A631"/>
    <mergeCell ref="B627:B631"/>
    <mergeCell ref="D627:D631"/>
    <mergeCell ref="A614:A618"/>
    <mergeCell ref="B614:B618"/>
    <mergeCell ref="D614:D618"/>
    <mergeCell ref="A619:A623"/>
    <mergeCell ref="B619:B623"/>
    <mergeCell ref="D619:D623"/>
    <mergeCell ref="A658:A660"/>
    <mergeCell ref="B658:B660"/>
    <mergeCell ref="D658:D660"/>
    <mergeCell ref="A661:A665"/>
    <mergeCell ref="B661:B665"/>
    <mergeCell ref="A666:A668"/>
    <mergeCell ref="B666:B668"/>
    <mergeCell ref="D666:D668"/>
    <mergeCell ref="A648:A652"/>
    <mergeCell ref="B648:B652"/>
    <mergeCell ref="D648:D652"/>
    <mergeCell ref="A653:A657"/>
    <mergeCell ref="B653:B657"/>
    <mergeCell ref="D653:D657"/>
    <mergeCell ref="A642:A644"/>
    <mergeCell ref="B642:B644"/>
    <mergeCell ref="D642:D644"/>
    <mergeCell ref="A645:A647"/>
    <mergeCell ref="B645:B647"/>
    <mergeCell ref="D645:D647"/>
    <mergeCell ref="A687:A689"/>
    <mergeCell ref="B687:B689"/>
    <mergeCell ref="D687:D689"/>
    <mergeCell ref="A690:A694"/>
    <mergeCell ref="B690:B694"/>
    <mergeCell ref="D690:D694"/>
    <mergeCell ref="A677:A681"/>
    <mergeCell ref="B677:B681"/>
    <mergeCell ref="D677:D681"/>
    <mergeCell ref="A682:A686"/>
    <mergeCell ref="B682:B686"/>
    <mergeCell ref="D682:D686"/>
    <mergeCell ref="A669:A673"/>
    <mergeCell ref="B669:B673"/>
    <mergeCell ref="D669:D673"/>
    <mergeCell ref="A674:A676"/>
    <mergeCell ref="B674:B676"/>
    <mergeCell ref="D674:D676"/>
    <mergeCell ref="A711:A715"/>
    <mergeCell ref="B711:B715"/>
    <mergeCell ref="D711:D715"/>
    <mergeCell ref="A716:A718"/>
    <mergeCell ref="B716:B718"/>
    <mergeCell ref="D716:D718"/>
    <mergeCell ref="A703:A707"/>
    <mergeCell ref="B703:B707"/>
    <mergeCell ref="D703:D707"/>
    <mergeCell ref="A708:A710"/>
    <mergeCell ref="B708:B710"/>
    <mergeCell ref="D708:D710"/>
    <mergeCell ref="A695:A699"/>
    <mergeCell ref="B695:B699"/>
    <mergeCell ref="D695:D699"/>
    <mergeCell ref="A700:A702"/>
    <mergeCell ref="B700:B702"/>
    <mergeCell ref="D700:D702"/>
    <mergeCell ref="A731:A733"/>
    <mergeCell ref="B731:B733"/>
    <mergeCell ref="D731:D733"/>
    <mergeCell ref="A734:A738"/>
    <mergeCell ref="B734:B738"/>
    <mergeCell ref="D734:D738"/>
    <mergeCell ref="A725:A727"/>
    <mergeCell ref="B725:B727"/>
    <mergeCell ref="D725:D727"/>
    <mergeCell ref="A728:A730"/>
    <mergeCell ref="B728:B730"/>
    <mergeCell ref="D728:D730"/>
    <mergeCell ref="A719:A721"/>
    <mergeCell ref="B719:B721"/>
    <mergeCell ref="D719:D721"/>
    <mergeCell ref="A722:A724"/>
    <mergeCell ref="B722:B724"/>
    <mergeCell ref="D722:D724"/>
    <mergeCell ref="A760:A764"/>
    <mergeCell ref="B760:B764"/>
    <mergeCell ref="D760:D764"/>
    <mergeCell ref="A765:A769"/>
    <mergeCell ref="B765:B769"/>
    <mergeCell ref="D765:D769"/>
    <mergeCell ref="A750:A754"/>
    <mergeCell ref="B750:B754"/>
    <mergeCell ref="D750:D754"/>
    <mergeCell ref="A755:A759"/>
    <mergeCell ref="B755:B759"/>
    <mergeCell ref="D755:D759"/>
    <mergeCell ref="A739:A743"/>
    <mergeCell ref="B739:B743"/>
    <mergeCell ref="A744:A746"/>
    <mergeCell ref="B744:B746"/>
    <mergeCell ref="D744:D746"/>
    <mergeCell ref="A747:A749"/>
    <mergeCell ref="B747:B749"/>
    <mergeCell ref="D747:D749"/>
    <mergeCell ref="A782:A786"/>
    <mergeCell ref="B782:B786"/>
    <mergeCell ref="D782:D786"/>
    <mergeCell ref="A787:A791"/>
    <mergeCell ref="B787:B791"/>
    <mergeCell ref="D787:D791"/>
    <mergeCell ref="A776:A778"/>
    <mergeCell ref="B776:B778"/>
    <mergeCell ref="D776:D778"/>
    <mergeCell ref="A779:A781"/>
    <mergeCell ref="B779:B781"/>
    <mergeCell ref="D779:D781"/>
    <mergeCell ref="A770:A772"/>
    <mergeCell ref="B770:B772"/>
    <mergeCell ref="D770:D772"/>
    <mergeCell ref="A773:A775"/>
    <mergeCell ref="B773:B775"/>
    <mergeCell ref="D773:D775"/>
    <mergeCell ref="A808:A812"/>
    <mergeCell ref="B808:B812"/>
    <mergeCell ref="D808:D812"/>
    <mergeCell ref="A813:A815"/>
    <mergeCell ref="B813:B815"/>
    <mergeCell ref="D813:D815"/>
    <mergeCell ref="A800:A804"/>
    <mergeCell ref="B800:B804"/>
    <mergeCell ref="D800:D804"/>
    <mergeCell ref="A805:A807"/>
    <mergeCell ref="B805:B807"/>
    <mergeCell ref="D805:D807"/>
    <mergeCell ref="A792:A794"/>
    <mergeCell ref="B792:B794"/>
    <mergeCell ref="D792:D794"/>
    <mergeCell ref="A795:A799"/>
    <mergeCell ref="B795:B799"/>
    <mergeCell ref="D795:D799"/>
    <mergeCell ref="A835:A839"/>
    <mergeCell ref="B835:B839"/>
    <mergeCell ref="D835:D839"/>
    <mergeCell ref="A840:A842"/>
    <mergeCell ref="B840:B842"/>
    <mergeCell ref="D840:D842"/>
    <mergeCell ref="A829:A831"/>
    <mergeCell ref="B829:B831"/>
    <mergeCell ref="D829:D831"/>
    <mergeCell ref="A832:A834"/>
    <mergeCell ref="B832:B834"/>
    <mergeCell ref="D832:D834"/>
    <mergeCell ref="A816:A820"/>
    <mergeCell ref="B816:B820"/>
    <mergeCell ref="D816:D820"/>
    <mergeCell ref="A821:A823"/>
    <mergeCell ref="B821:B823"/>
    <mergeCell ref="A824:A828"/>
    <mergeCell ref="B824:B828"/>
    <mergeCell ref="D824:D828"/>
    <mergeCell ref="A859:A861"/>
    <mergeCell ref="B859:B861"/>
    <mergeCell ref="D859:D861"/>
    <mergeCell ref="A862:A864"/>
    <mergeCell ref="B862:B864"/>
    <mergeCell ref="D862:D864"/>
    <mergeCell ref="A851:A855"/>
    <mergeCell ref="B851:B855"/>
    <mergeCell ref="D851:D855"/>
    <mergeCell ref="A856:A858"/>
    <mergeCell ref="B856:B858"/>
    <mergeCell ref="D856:D858"/>
    <mergeCell ref="A843:A845"/>
    <mergeCell ref="B843:B845"/>
    <mergeCell ref="D843:D845"/>
    <mergeCell ref="A846:A850"/>
    <mergeCell ref="B846:B850"/>
    <mergeCell ref="D846:D850"/>
    <mergeCell ref="A881:A885"/>
    <mergeCell ref="B881:B885"/>
    <mergeCell ref="D881:D885"/>
    <mergeCell ref="A886:A890"/>
    <mergeCell ref="B886:B890"/>
    <mergeCell ref="D886:D890"/>
    <mergeCell ref="A873:A875"/>
    <mergeCell ref="B873:B875"/>
    <mergeCell ref="D873:D875"/>
    <mergeCell ref="A876:A880"/>
    <mergeCell ref="B876:B880"/>
    <mergeCell ref="D876:D880"/>
    <mergeCell ref="A865:A867"/>
    <mergeCell ref="B865:B867"/>
    <mergeCell ref="D865:D867"/>
    <mergeCell ref="A868:A872"/>
    <mergeCell ref="B868:B872"/>
    <mergeCell ref="D868:D872"/>
    <mergeCell ref="A908:A910"/>
    <mergeCell ref="B908:B910"/>
    <mergeCell ref="D908:D910"/>
    <mergeCell ref="A911:A913"/>
    <mergeCell ref="B911:B913"/>
    <mergeCell ref="D911:D913"/>
    <mergeCell ref="A899:A901"/>
    <mergeCell ref="B899:B901"/>
    <mergeCell ref="A902:A904"/>
    <mergeCell ref="B902:B904"/>
    <mergeCell ref="D902:D904"/>
    <mergeCell ref="A905:A907"/>
    <mergeCell ref="B905:B907"/>
    <mergeCell ref="D905:D907"/>
    <mergeCell ref="A891:A893"/>
    <mergeCell ref="B891:B893"/>
    <mergeCell ref="D891:D893"/>
    <mergeCell ref="A894:A898"/>
    <mergeCell ref="B894:B898"/>
    <mergeCell ref="D894:D898"/>
    <mergeCell ref="A930:A932"/>
    <mergeCell ref="B930:B932"/>
    <mergeCell ref="D930:D932"/>
    <mergeCell ref="A933:A937"/>
    <mergeCell ref="B933:B937"/>
    <mergeCell ref="D933:D937"/>
    <mergeCell ref="A924:A926"/>
    <mergeCell ref="B924:B926"/>
    <mergeCell ref="D924:D926"/>
    <mergeCell ref="A927:A929"/>
    <mergeCell ref="B927:B929"/>
    <mergeCell ref="D927:D929"/>
    <mergeCell ref="A914:A918"/>
    <mergeCell ref="B914:B918"/>
    <mergeCell ref="D914:D918"/>
    <mergeCell ref="A919:A923"/>
    <mergeCell ref="B919:B923"/>
    <mergeCell ref="D919:D923"/>
    <mergeCell ref="A952:A954"/>
    <mergeCell ref="B952:B954"/>
    <mergeCell ref="D952:D954"/>
    <mergeCell ref="A955:A959"/>
    <mergeCell ref="B955:B959"/>
    <mergeCell ref="D955:D959"/>
    <mergeCell ref="A946:A948"/>
    <mergeCell ref="B946:B948"/>
    <mergeCell ref="D946:D948"/>
    <mergeCell ref="A949:A951"/>
    <mergeCell ref="B949:B951"/>
    <mergeCell ref="D949:D951"/>
    <mergeCell ref="A938:A942"/>
    <mergeCell ref="B938:B942"/>
    <mergeCell ref="D938:D942"/>
    <mergeCell ref="A943:A945"/>
    <mergeCell ref="B943:B945"/>
    <mergeCell ref="D943:D945"/>
    <mergeCell ref="A981:A983"/>
    <mergeCell ref="B981:B983"/>
    <mergeCell ref="D981:D983"/>
    <mergeCell ref="A984:A986"/>
    <mergeCell ref="B984:B986"/>
    <mergeCell ref="D984:D986"/>
    <mergeCell ref="A968:A972"/>
    <mergeCell ref="B968:B972"/>
    <mergeCell ref="D968:D972"/>
    <mergeCell ref="A973:A975"/>
    <mergeCell ref="B973:B975"/>
    <mergeCell ref="A976:A980"/>
    <mergeCell ref="B976:B980"/>
    <mergeCell ref="D976:D980"/>
    <mergeCell ref="A960:A962"/>
    <mergeCell ref="B960:B962"/>
    <mergeCell ref="D960:D962"/>
    <mergeCell ref="A963:A967"/>
    <mergeCell ref="B963:B967"/>
    <mergeCell ref="D963:D967"/>
    <mergeCell ref="A1001:A1005"/>
    <mergeCell ref="B1001:B1005"/>
    <mergeCell ref="D1001:D1005"/>
    <mergeCell ref="A1006:A1008"/>
    <mergeCell ref="B1006:B1008"/>
    <mergeCell ref="D1006:D1008"/>
    <mergeCell ref="A993:A995"/>
    <mergeCell ref="B993:B995"/>
    <mergeCell ref="D993:D995"/>
    <mergeCell ref="A996:A1000"/>
    <mergeCell ref="B996:B1000"/>
    <mergeCell ref="D996:D1000"/>
    <mergeCell ref="A987:A989"/>
    <mergeCell ref="B987:B989"/>
    <mergeCell ref="D987:D989"/>
    <mergeCell ref="A990:A992"/>
    <mergeCell ref="B990:B992"/>
    <mergeCell ref="D990:D992"/>
    <mergeCell ref="A1023:A1025"/>
    <mergeCell ref="B1023:B1025"/>
    <mergeCell ref="D1023:D1025"/>
    <mergeCell ref="A1026:A1028"/>
    <mergeCell ref="B1026:B1028"/>
    <mergeCell ref="D1026:D1028"/>
    <mergeCell ref="A1015:A1019"/>
    <mergeCell ref="B1015:B1019"/>
    <mergeCell ref="D1015:D1019"/>
    <mergeCell ref="A1020:A1022"/>
    <mergeCell ref="B1020:B1022"/>
    <mergeCell ref="D1020:D1022"/>
    <mergeCell ref="A1009:A1011"/>
    <mergeCell ref="B1009:B1011"/>
    <mergeCell ref="D1009:D1011"/>
    <mergeCell ref="A1012:A1014"/>
    <mergeCell ref="B1012:B1014"/>
    <mergeCell ref="D1012:D1014"/>
    <mergeCell ref="A1047:A1051"/>
    <mergeCell ref="B1047:B1051"/>
    <mergeCell ref="A1052:A1054"/>
    <mergeCell ref="B1052:B1054"/>
    <mergeCell ref="D1052:D1054"/>
    <mergeCell ref="A1055:A1057"/>
    <mergeCell ref="B1055:B1057"/>
    <mergeCell ref="D1055:D1057"/>
    <mergeCell ref="A1037:A1041"/>
    <mergeCell ref="B1037:B1041"/>
    <mergeCell ref="D1037:D1041"/>
    <mergeCell ref="A1042:A1046"/>
    <mergeCell ref="B1042:B1046"/>
    <mergeCell ref="D1042:D1046"/>
    <mergeCell ref="A1029:A1031"/>
    <mergeCell ref="B1029:B1031"/>
    <mergeCell ref="D1029:D1031"/>
    <mergeCell ref="A1032:A1036"/>
    <mergeCell ref="B1032:B1036"/>
    <mergeCell ref="D1032:D1036"/>
    <mergeCell ref="A1072:A1074"/>
    <mergeCell ref="B1072:B1074"/>
    <mergeCell ref="D1072:D1074"/>
    <mergeCell ref="A1075:A1077"/>
    <mergeCell ref="B1075:B1077"/>
    <mergeCell ref="D1075:D1077"/>
    <mergeCell ref="A1066:A1068"/>
    <mergeCell ref="B1066:B1068"/>
    <mergeCell ref="D1066:D1068"/>
    <mergeCell ref="A1069:A1071"/>
    <mergeCell ref="B1069:B1071"/>
    <mergeCell ref="D1069:D1071"/>
    <mergeCell ref="A1058:A1060"/>
    <mergeCell ref="B1058:B1060"/>
    <mergeCell ref="D1058:D1060"/>
    <mergeCell ref="A1061:A1065"/>
    <mergeCell ref="B1061:B1065"/>
    <mergeCell ref="D1061:D1065"/>
    <mergeCell ref="A1098:A1100"/>
    <mergeCell ref="B1098:B1100"/>
    <mergeCell ref="D1098:D1100"/>
    <mergeCell ref="A1101:A1103"/>
    <mergeCell ref="B1101:B1103"/>
    <mergeCell ref="D1101:D1103"/>
    <mergeCell ref="A1088:A1092"/>
    <mergeCell ref="B1088:B1092"/>
    <mergeCell ref="D1088:D1092"/>
    <mergeCell ref="A1093:A1097"/>
    <mergeCell ref="B1093:B1097"/>
    <mergeCell ref="D1093:D1097"/>
    <mergeCell ref="A1078:A1082"/>
    <mergeCell ref="B1078:B1082"/>
    <mergeCell ref="D1078:D1082"/>
    <mergeCell ref="A1083:A1087"/>
    <mergeCell ref="B1083:B1087"/>
    <mergeCell ref="D1083:D1087"/>
    <mergeCell ref="A1120:A1124"/>
    <mergeCell ref="B1120:B1124"/>
    <mergeCell ref="D1120:D1124"/>
    <mergeCell ref="A1125:A1129"/>
    <mergeCell ref="B1125:B1129"/>
    <mergeCell ref="A1130:A1132"/>
    <mergeCell ref="B1130:B1132"/>
    <mergeCell ref="D1130:D1132"/>
    <mergeCell ref="A1112:A1114"/>
    <mergeCell ref="B1112:B1114"/>
    <mergeCell ref="D1112:D1114"/>
    <mergeCell ref="A1115:A1119"/>
    <mergeCell ref="B1115:B1119"/>
    <mergeCell ref="D1115:D1119"/>
    <mergeCell ref="A1104:A1106"/>
    <mergeCell ref="B1104:B1106"/>
    <mergeCell ref="D1104:D1106"/>
    <mergeCell ref="A1107:A1111"/>
    <mergeCell ref="B1107:B1111"/>
    <mergeCell ref="D1107:D1111"/>
    <mergeCell ref="A1151:A1153"/>
    <mergeCell ref="B1151:B1153"/>
    <mergeCell ref="D1151:D1153"/>
    <mergeCell ref="A1154:A1158"/>
    <mergeCell ref="B1154:B1158"/>
    <mergeCell ref="D1154:D1158"/>
    <mergeCell ref="A1141:A1145"/>
    <mergeCell ref="B1141:B1145"/>
    <mergeCell ref="D1141:D1145"/>
    <mergeCell ref="A1146:A1150"/>
    <mergeCell ref="B1146:B1150"/>
    <mergeCell ref="D1146:D1150"/>
    <mergeCell ref="A1133:A1137"/>
    <mergeCell ref="B1133:B1137"/>
    <mergeCell ref="D1133:D1137"/>
    <mergeCell ref="A1138:A1140"/>
    <mergeCell ref="B1138:B1140"/>
    <mergeCell ref="D1138:D1140"/>
    <mergeCell ref="A1175:A1179"/>
    <mergeCell ref="B1175:B1179"/>
    <mergeCell ref="D1175:D1179"/>
    <mergeCell ref="A1180:A1184"/>
    <mergeCell ref="B1180:B1184"/>
    <mergeCell ref="D1180:D1184"/>
    <mergeCell ref="A1167:A1169"/>
    <mergeCell ref="B1167:B1169"/>
    <mergeCell ref="D1167:D1169"/>
    <mergeCell ref="A1170:A1174"/>
    <mergeCell ref="B1170:B1174"/>
    <mergeCell ref="D1170:D1174"/>
    <mergeCell ref="A1159:A1163"/>
    <mergeCell ref="B1159:B1163"/>
    <mergeCell ref="D1159:D1163"/>
    <mergeCell ref="A1164:A1166"/>
    <mergeCell ref="B1164:B1166"/>
    <mergeCell ref="D1164:D1166"/>
    <mergeCell ref="A1197:A1199"/>
    <mergeCell ref="B1197:B1199"/>
    <mergeCell ref="D1197:D1199"/>
    <mergeCell ref="A1200:A1204"/>
    <mergeCell ref="B1200:B1204"/>
    <mergeCell ref="D1200:D1204"/>
    <mergeCell ref="A1191:A1193"/>
    <mergeCell ref="B1191:B1193"/>
    <mergeCell ref="D1191:D1193"/>
    <mergeCell ref="A1194:A1196"/>
    <mergeCell ref="B1194:B1196"/>
    <mergeCell ref="D1194:D1196"/>
    <mergeCell ref="A1185:A1187"/>
    <mergeCell ref="B1185:B1187"/>
    <mergeCell ref="D1185:D1187"/>
    <mergeCell ref="A1188:A1190"/>
    <mergeCell ref="B1188:B1190"/>
    <mergeCell ref="D1188:D1190"/>
    <mergeCell ref="A1222:A1226"/>
    <mergeCell ref="B1222:B1226"/>
    <mergeCell ref="D1222:D1226"/>
    <mergeCell ref="A1227:A1229"/>
    <mergeCell ref="B1227:B1229"/>
    <mergeCell ref="D1227:D1229"/>
    <mergeCell ref="A1214:A1218"/>
    <mergeCell ref="B1214:B1218"/>
    <mergeCell ref="D1214:D1218"/>
    <mergeCell ref="A1219:A1221"/>
    <mergeCell ref="B1219:B1221"/>
    <mergeCell ref="D1219:D1221"/>
    <mergeCell ref="A1205:A1207"/>
    <mergeCell ref="B1205:B1207"/>
    <mergeCell ref="A1208:A1210"/>
    <mergeCell ref="B1208:B1210"/>
    <mergeCell ref="D1208:D1210"/>
    <mergeCell ref="A1211:A1213"/>
    <mergeCell ref="B1211:B1213"/>
    <mergeCell ref="D1211:D1213"/>
    <mergeCell ref="A1246:A1250"/>
    <mergeCell ref="B1246:B1250"/>
    <mergeCell ref="D1246:D1250"/>
    <mergeCell ref="A1251:A1255"/>
    <mergeCell ref="B1251:B1255"/>
    <mergeCell ref="D1251:D1255"/>
    <mergeCell ref="A1238:A1242"/>
    <mergeCell ref="B1238:B1242"/>
    <mergeCell ref="D1238:D1242"/>
    <mergeCell ref="A1243:A1245"/>
    <mergeCell ref="B1243:B1245"/>
    <mergeCell ref="D1243:D1245"/>
    <mergeCell ref="A1230:A1232"/>
    <mergeCell ref="B1230:B1232"/>
    <mergeCell ref="D1230:D1232"/>
    <mergeCell ref="A1233:A1237"/>
    <mergeCell ref="B1233:B1237"/>
    <mergeCell ref="D1233:D1237"/>
    <mergeCell ref="A1268:A1272"/>
    <mergeCell ref="B1268:B1272"/>
    <mergeCell ref="D1268:D1272"/>
    <mergeCell ref="A1273:A1275"/>
    <mergeCell ref="B1273:B1275"/>
    <mergeCell ref="D1273:D1275"/>
    <mergeCell ref="A1262:A1264"/>
    <mergeCell ref="B1262:B1264"/>
    <mergeCell ref="D1262:D1264"/>
    <mergeCell ref="A1265:A1267"/>
    <mergeCell ref="B1265:B1267"/>
    <mergeCell ref="D1265:D1267"/>
    <mergeCell ref="A1256:A1258"/>
    <mergeCell ref="B1256:B1258"/>
    <mergeCell ref="D1256:D1258"/>
    <mergeCell ref="A1259:A1261"/>
    <mergeCell ref="B1259:B1261"/>
    <mergeCell ref="D1259:D1261"/>
    <mergeCell ref="A1295:A1299"/>
    <mergeCell ref="B1295:B1299"/>
    <mergeCell ref="D1295:D1299"/>
    <mergeCell ref="A1300:A1302"/>
    <mergeCell ref="B1300:B1302"/>
    <mergeCell ref="D1300:D1302"/>
    <mergeCell ref="A1287:A1291"/>
    <mergeCell ref="B1287:B1291"/>
    <mergeCell ref="D1287:D1291"/>
    <mergeCell ref="A1292:A1294"/>
    <mergeCell ref="B1292:B1294"/>
    <mergeCell ref="D1292:D1294"/>
    <mergeCell ref="A1276:A1280"/>
    <mergeCell ref="B1276:B1280"/>
    <mergeCell ref="D1276:D1280"/>
    <mergeCell ref="A1281:A1283"/>
    <mergeCell ref="B1281:B1283"/>
    <mergeCell ref="A1284:A1286"/>
    <mergeCell ref="B1284:B1286"/>
    <mergeCell ref="D1284:D1286"/>
    <mergeCell ref="A1321:A1325"/>
    <mergeCell ref="B1321:B1325"/>
    <mergeCell ref="D1321:D1325"/>
    <mergeCell ref="A1326:A1328"/>
    <mergeCell ref="B1326:B1328"/>
    <mergeCell ref="D1326:D1328"/>
    <mergeCell ref="A1311:A1315"/>
    <mergeCell ref="B1311:B1315"/>
    <mergeCell ref="D1311:D1315"/>
    <mergeCell ref="A1316:A1320"/>
    <mergeCell ref="B1316:B1320"/>
    <mergeCell ref="D1316:D1320"/>
    <mergeCell ref="A1303:A1307"/>
    <mergeCell ref="B1303:B1307"/>
    <mergeCell ref="D1303:D1307"/>
    <mergeCell ref="A1308:A1310"/>
    <mergeCell ref="B1308:B1310"/>
    <mergeCell ref="D1308:D1310"/>
    <mergeCell ref="A1353:A1357"/>
    <mergeCell ref="B1353:B1357"/>
    <mergeCell ref="A1345:A1349"/>
    <mergeCell ref="B1345:B1349"/>
    <mergeCell ref="D1345:D1349"/>
    <mergeCell ref="A1350:A1352"/>
    <mergeCell ref="B1350:B1352"/>
    <mergeCell ref="D1350:D1352"/>
    <mergeCell ref="A1337:A1341"/>
    <mergeCell ref="B1337:B1341"/>
    <mergeCell ref="D1337:D1341"/>
    <mergeCell ref="A1342:A1344"/>
    <mergeCell ref="B1342:B1344"/>
    <mergeCell ref="D1342:D1344"/>
    <mergeCell ref="A1329:A1333"/>
    <mergeCell ref="B1329:B1333"/>
    <mergeCell ref="D1329:D1333"/>
    <mergeCell ref="A1334:A1336"/>
    <mergeCell ref="B1334:B1336"/>
    <mergeCell ref="D1334:D1336"/>
    <mergeCell ref="A12:A14"/>
    <mergeCell ref="B12:B14"/>
    <mergeCell ref="D12:D14"/>
    <mergeCell ref="A15:A19"/>
    <mergeCell ref="B15:B19"/>
    <mergeCell ref="D15:D19"/>
    <mergeCell ref="A20:A22"/>
    <mergeCell ref="B20:B22"/>
    <mergeCell ref="D20:D22"/>
    <mergeCell ref="A1:A5"/>
    <mergeCell ref="B1:B5"/>
    <mergeCell ref="D1:D5"/>
    <mergeCell ref="A6:A8"/>
    <mergeCell ref="B6:B8"/>
    <mergeCell ref="D6:D8"/>
    <mergeCell ref="A9:A11"/>
    <mergeCell ref="B9:B11"/>
    <mergeCell ref="D9:D11"/>
    <mergeCell ref="A34:A38"/>
    <mergeCell ref="B34:B38"/>
    <mergeCell ref="D34:D38"/>
    <mergeCell ref="A39:A41"/>
    <mergeCell ref="B39:B41"/>
    <mergeCell ref="D39:D41"/>
    <mergeCell ref="A42:A44"/>
    <mergeCell ref="B42:B44"/>
    <mergeCell ref="D42:D44"/>
    <mergeCell ref="A23:A25"/>
    <mergeCell ref="B23:B25"/>
    <mergeCell ref="D23:D25"/>
    <mergeCell ref="A26:A28"/>
    <mergeCell ref="B26:B28"/>
    <mergeCell ref="D26:D28"/>
    <mergeCell ref="A29:A33"/>
    <mergeCell ref="B29:B33"/>
    <mergeCell ref="D29:D33"/>
    <mergeCell ref="A54:A58"/>
    <mergeCell ref="B54:B58"/>
    <mergeCell ref="D54:D58"/>
    <mergeCell ref="A59:A61"/>
    <mergeCell ref="B59:B61"/>
    <mergeCell ref="D59:D61"/>
    <mergeCell ref="A62:A64"/>
    <mergeCell ref="B62:B64"/>
    <mergeCell ref="D62:D64"/>
    <mergeCell ref="A45:A47"/>
    <mergeCell ref="B45:B47"/>
    <mergeCell ref="D45:D47"/>
    <mergeCell ref="A48:A50"/>
    <mergeCell ref="B48:B50"/>
    <mergeCell ref="D48:D50"/>
    <mergeCell ref="A51:A53"/>
    <mergeCell ref="B51:B53"/>
    <mergeCell ref="D51:D53"/>
    <mergeCell ref="A76:A80"/>
    <mergeCell ref="B76:B80"/>
    <mergeCell ref="D76:D80"/>
    <mergeCell ref="A81:A83"/>
    <mergeCell ref="B81:B83"/>
    <mergeCell ref="D81:D83"/>
    <mergeCell ref="A84:A88"/>
    <mergeCell ref="B84:B88"/>
    <mergeCell ref="D84:D88"/>
    <mergeCell ref="A65:A67"/>
    <mergeCell ref="B65:B67"/>
    <mergeCell ref="D65:D67"/>
    <mergeCell ref="A68:A72"/>
    <mergeCell ref="B68:B72"/>
    <mergeCell ref="D68:D72"/>
    <mergeCell ref="A73:A75"/>
    <mergeCell ref="B73:B75"/>
    <mergeCell ref="D73:D75"/>
    <mergeCell ref="A102:A104"/>
    <mergeCell ref="B102:B104"/>
    <mergeCell ref="D102:D104"/>
    <mergeCell ref="A105:A109"/>
    <mergeCell ref="B105:B109"/>
    <mergeCell ref="D105:D109"/>
    <mergeCell ref="A110:A112"/>
    <mergeCell ref="B110:B112"/>
    <mergeCell ref="D110:D112"/>
    <mergeCell ref="A89:A91"/>
    <mergeCell ref="B89:B91"/>
    <mergeCell ref="D89:D91"/>
    <mergeCell ref="A92:A96"/>
    <mergeCell ref="B92:B96"/>
    <mergeCell ref="D92:D96"/>
    <mergeCell ref="A97:A101"/>
    <mergeCell ref="B97:B101"/>
    <mergeCell ref="D97:D101"/>
    <mergeCell ref="A128:A132"/>
    <mergeCell ref="B128:B132"/>
    <mergeCell ref="D128:D132"/>
    <mergeCell ref="A133:A137"/>
    <mergeCell ref="B133:B137"/>
    <mergeCell ref="D133:D137"/>
    <mergeCell ref="A138:A142"/>
    <mergeCell ref="B138:B142"/>
    <mergeCell ref="D138:D142"/>
    <mergeCell ref="A113:A117"/>
    <mergeCell ref="B113:B117"/>
    <mergeCell ref="D113:D117"/>
    <mergeCell ref="A118:A122"/>
    <mergeCell ref="B118:B122"/>
    <mergeCell ref="D118:D122"/>
    <mergeCell ref="A123:A127"/>
    <mergeCell ref="B123:B127"/>
    <mergeCell ref="D123:D127"/>
    <mergeCell ref="A154:A156"/>
    <mergeCell ref="B154:B156"/>
    <mergeCell ref="D154:D156"/>
    <mergeCell ref="A157:A161"/>
    <mergeCell ref="B157:B161"/>
    <mergeCell ref="D157:D161"/>
    <mergeCell ref="A162:A164"/>
    <mergeCell ref="B162:B164"/>
    <mergeCell ref="D162:D164"/>
    <mergeCell ref="A143:A145"/>
    <mergeCell ref="B143:B145"/>
    <mergeCell ref="D143:D145"/>
    <mergeCell ref="A146:A148"/>
    <mergeCell ref="B146:B148"/>
    <mergeCell ref="D146:D148"/>
    <mergeCell ref="A149:A153"/>
    <mergeCell ref="B149:B153"/>
    <mergeCell ref="D149:D153"/>
    <mergeCell ref="A176:A180"/>
    <mergeCell ref="B176:B180"/>
    <mergeCell ref="D176:D180"/>
    <mergeCell ref="A181:A183"/>
    <mergeCell ref="B181:B183"/>
    <mergeCell ref="D181:D183"/>
    <mergeCell ref="A184:A188"/>
    <mergeCell ref="B184:B188"/>
    <mergeCell ref="D184:D188"/>
    <mergeCell ref="A165:A167"/>
    <mergeCell ref="B165:B167"/>
    <mergeCell ref="D165:D167"/>
    <mergeCell ref="A168:A172"/>
    <mergeCell ref="B168:B172"/>
    <mergeCell ref="D168:D172"/>
    <mergeCell ref="A173:A175"/>
    <mergeCell ref="B173:B175"/>
    <mergeCell ref="D173:D175"/>
    <mergeCell ref="A200:A204"/>
    <mergeCell ref="B200:B204"/>
    <mergeCell ref="D200:D204"/>
    <mergeCell ref="A205:A207"/>
    <mergeCell ref="B205:B207"/>
    <mergeCell ref="D205:D207"/>
    <mergeCell ref="A208:A210"/>
    <mergeCell ref="B208:B210"/>
    <mergeCell ref="D208:D210"/>
    <mergeCell ref="A189:A191"/>
    <mergeCell ref="B189:B191"/>
    <mergeCell ref="D189:D191"/>
    <mergeCell ref="A192:A194"/>
    <mergeCell ref="B192:B194"/>
    <mergeCell ref="D192:D194"/>
    <mergeCell ref="A195:A199"/>
    <mergeCell ref="B195:B199"/>
    <mergeCell ref="D195:D199"/>
    <mergeCell ref="A226:A228"/>
    <mergeCell ref="B226:B228"/>
    <mergeCell ref="D226:D228"/>
    <mergeCell ref="A229:A231"/>
    <mergeCell ref="B229:B231"/>
    <mergeCell ref="D229:D231"/>
    <mergeCell ref="A232:A234"/>
    <mergeCell ref="B232:B234"/>
    <mergeCell ref="D232:D234"/>
    <mergeCell ref="A211:A215"/>
    <mergeCell ref="B211:B215"/>
    <mergeCell ref="D211:D215"/>
    <mergeCell ref="A216:A220"/>
    <mergeCell ref="B216:B220"/>
    <mergeCell ref="D216:D220"/>
    <mergeCell ref="A221:A225"/>
    <mergeCell ref="B221:B225"/>
    <mergeCell ref="D221:D225"/>
    <mergeCell ref="A261:A265"/>
    <mergeCell ref="B261:B265"/>
    <mergeCell ref="D261:D265"/>
    <mergeCell ref="A250:A254"/>
    <mergeCell ref="B250:B254"/>
    <mergeCell ref="D250:D254"/>
    <mergeCell ref="A255:A257"/>
    <mergeCell ref="B255:B257"/>
    <mergeCell ref="D255:D257"/>
    <mergeCell ref="A258:A260"/>
    <mergeCell ref="B258:B260"/>
    <mergeCell ref="D258:D260"/>
    <mergeCell ref="A235:A239"/>
    <mergeCell ref="B235:B239"/>
    <mergeCell ref="D235:D239"/>
    <mergeCell ref="A240:A244"/>
    <mergeCell ref="B240:B244"/>
    <mergeCell ref="D240:D244"/>
    <mergeCell ref="A245:A249"/>
    <mergeCell ref="B245:B249"/>
    <mergeCell ref="D245:D249"/>
  </mergeCells>
  <phoneticPr fontId="3"/>
  <hyperlinks>
    <hyperlink ref="C278" r:id="rId1" display="https://type.jp/mypage/apply_interview.do?entryId=10152627" xr:uid="{395A95E7-D96F-4A27-A049-09421EAAC18C}"/>
    <hyperlink ref="C286" r:id="rId2" display="https://type.jp/mypage/apply_interview.do?entryId=10152147" xr:uid="{888B0718-E82F-40AD-9A3E-67CCD52B135C}"/>
    <hyperlink ref="C297" r:id="rId3" display="https://type.jp/mypage/apply_interview.do?entryId=10152143" xr:uid="{77875A4D-E76F-4E21-9E72-FF7812FF1FE1}"/>
    <hyperlink ref="C311" r:id="rId4" display="https://type.jp/mypage/apply_interview.do?entryId=10152129" xr:uid="{0BC9C60D-55AF-4931-A13E-0D36D714D1EC}"/>
    <hyperlink ref="C316" r:id="rId5" display="https://type.jp/mypage/apply_interview.do?entryId=10152128" xr:uid="{30A0D80A-46F4-4627-B83E-354826B21AFC}"/>
    <hyperlink ref="C321" r:id="rId6" display="https://type.jp/mypage/apply_interview.do?entryId=10152127" xr:uid="{B47CE656-AED7-4A75-9F39-0FCDE4C56515}"/>
    <hyperlink ref="C326" r:id="rId7" display="https://type.jp/mypage/apply_interview.do?entryId=10152126" xr:uid="{6A9FCF46-57C4-44CF-AF04-A9347ABEE2E9}"/>
    <hyperlink ref="C331" r:id="rId8" display="https://type.jp/mypage/apply_interview.do?entryId=10152124" xr:uid="{23BC0692-EE1D-4BDC-B77D-614271F7D224}"/>
    <hyperlink ref="C336" r:id="rId9" display="https://type.jp/mypage/apply_interview.do?entryId=10152123" xr:uid="{5055F645-EB47-4A50-A6D3-CF0BF25C362B}"/>
    <hyperlink ref="C341" r:id="rId10" display="https://type.jp/mypage/apply_interview.do?entryId=10152121" xr:uid="{B5C53AA0-433B-4B57-982C-775862D572A9}"/>
    <hyperlink ref="C349" r:id="rId11" display="https://type.jp/mypage/apply_interview.do?entryId=10152117" xr:uid="{E0D3C67F-6AAC-4FB0-975A-70F864152D23}"/>
    <hyperlink ref="C357" r:id="rId12" display="https://type.jp/mypage/apply_interview.do?entryId=10151656" xr:uid="{1365E764-D083-441D-BD9C-DA164D930FBA}"/>
    <hyperlink ref="C368" r:id="rId13" display="https://type.jp/mypage/apply_interview.do?entryId=10148668" xr:uid="{46BE649C-22CF-456F-A172-ECA83C61A770}"/>
    <hyperlink ref="C376" r:id="rId14" display="https://type.jp/mypage/apply_interview.do?entryId=10141194" xr:uid="{1E04B2EB-9F56-400F-B9D6-B749263722EA}"/>
    <hyperlink ref="C381" r:id="rId15" display="https://type.jp/mypage/apply_interview.do?entryId=10141164" xr:uid="{CAFEA10F-AC69-4997-A8D4-F4C7B1B7A1B6}"/>
    <hyperlink ref="C389" r:id="rId16" display="https://type.jp/mypage/apply_interview.do?entryId=10138123" xr:uid="{639CFE9B-44FB-447F-80AD-EA77CC0887C6}"/>
    <hyperlink ref="C403" r:id="rId17" display="https://type.jp/mypage/apply_interview.do?entryId=10137037" xr:uid="{6ED6CED6-859A-42D6-87AC-188423B42758}"/>
    <hyperlink ref="C408" r:id="rId18" display="https://type.jp/mypage/apply_interview.do?entryId=10137036" xr:uid="{27BE4F54-AD34-4C25-B5F0-8DAAD7208364}"/>
    <hyperlink ref="C413" r:id="rId19" display="https://type.jp/mypage/apply_interview.do?entryId=10136032" xr:uid="{77FD97B4-835C-4E6A-93CE-9C29C8E1639C}"/>
    <hyperlink ref="C421" r:id="rId20" display="https://type.jp/mypage/apply_interview.do?entryId=10135364" xr:uid="{C32CD2BA-57AE-4171-A9E9-64DDB978C480}"/>
    <hyperlink ref="C426" r:id="rId21" display="https://type.jp/mypage/apply_interview.do?entryId=10134660" xr:uid="{12765D2E-DB91-4F79-AAA8-88EC5DA3E8DC}"/>
    <hyperlink ref="C434" r:id="rId22" display="https://type.jp/mypage/apply_interview.do?entryId=10134656" xr:uid="{58D65B6B-E057-4B73-8F25-6AAD57DF1EA5}"/>
    <hyperlink ref="C439" r:id="rId23" display="https://type.jp/mypage/apply_interview.do?entryId=10133088" xr:uid="{0702D188-4E70-4DDF-8276-8C8B745CB8E7}"/>
    <hyperlink ref="C447" r:id="rId24" display="https://type.jp/mypage/apply_interview.do?entryId=10133073" xr:uid="{44138666-FCD4-4D87-BB72-B882ED6C1D71}"/>
    <hyperlink ref="C452" r:id="rId25" display="https://type.jp/mypage/apply_interview.do?entryId=10131647" xr:uid="{44BCE408-F613-448C-B75A-A9D49A874E5F}"/>
    <hyperlink ref="C460" r:id="rId26" display="https://type.jp/mypage/apply_interview.do?entryId=10131641" xr:uid="{0B90EB88-CD41-4898-99F0-BDA99097E0BE}"/>
    <hyperlink ref="C468" r:id="rId27" display="https://type.jp/mypage/apply_interview.do?entryId=10131541" xr:uid="{263B56E0-B1DF-4048-A4B4-E3A0700DE9DD}"/>
    <hyperlink ref="C479" r:id="rId28" display="https://type.jp/mypage/apply_interview.do?entryId=10125254" xr:uid="{8A7E30F1-FF6B-4B70-BAF4-355D4CCCB314}"/>
    <hyperlink ref="C502" r:id="rId29" display="https://type.jp/mypage/apply_interview.do?entryId=10118144" xr:uid="{B0F7E32A-4D5B-4A2A-AB07-91D63729ED56}"/>
    <hyperlink ref="C510" r:id="rId30" display="https://type.jp/mypage/apply_interview.do?entryId=10118134" xr:uid="{FEBEA016-67D0-4E98-8776-845C5F4C7634}"/>
    <hyperlink ref="C515" r:id="rId31" display="https://type.jp/mypage/apply_interview.do?entryId=10117895" xr:uid="{13E51122-4D58-4CDF-8E54-0B650FD9A41C}"/>
    <hyperlink ref="C529" r:id="rId32" display="https://type.jp/mypage/apply_interview.do?entryId=10116569" xr:uid="{848BF97D-D15C-40AC-8EEA-A824E6F9844E}"/>
    <hyperlink ref="C537" r:id="rId33" display="https://type.jp/mypage/apply_interview.do?entryId=10116479" xr:uid="{E07A9CBC-F0A9-4476-9D30-872525E042EF}"/>
    <hyperlink ref="C545" r:id="rId34" display="https://type.jp/mypage/apply_interview.do?entryId=10115858" xr:uid="{3A738F8B-CE41-413F-908C-2BC3A8E9B872}"/>
    <hyperlink ref="C553" r:id="rId35" display="https://type.jp/mypage/apply_interview.do?entryId=10115251" xr:uid="{10677652-910F-491C-8033-E9FE7363BCBE}"/>
    <hyperlink ref="C558" r:id="rId36" display="https://type.jp/mypage/apply_interview.do?entryId=10115109" xr:uid="{EBE7578F-B7D9-4E7C-83E2-DB282F6B358C}"/>
    <hyperlink ref="C569" r:id="rId37" display="https://type.jp/mypage/apply_interview.do?entryId=10107759" xr:uid="{1933F77B-BB65-4A15-845B-CE9D3B99081B}"/>
    <hyperlink ref="C577" r:id="rId38" display="https://type.jp/mypage/apply_interview.do?entryId=10107649" xr:uid="{9F0BDD5C-3B9E-4874-8F5A-7348EC6E7FF5}"/>
    <hyperlink ref="C585" r:id="rId39" display="https://type.jp/mypage/apply_interview.do?entryId=10092629" xr:uid="{24473059-D153-42EF-8616-B243B513D7E7}"/>
    <hyperlink ref="C593" r:id="rId40" display="https://type.jp/mypage/apply_interview.do?entryId=10090744" xr:uid="{A5F2C789-269E-4C40-8211-E163E6200E06}"/>
    <hyperlink ref="C601" r:id="rId41" display="https://type.jp/mypage/apply_interview.do?entryId=10085588" xr:uid="{44DCA115-43F6-491C-ACBD-D73EB2F8CB0E}"/>
    <hyperlink ref="C606" r:id="rId42" display="https://type.jp/mypage/apply_interview.do?entryId=10081610" xr:uid="{DE8C7D73-CD99-47BC-B2B6-1C19A8826D7A}"/>
    <hyperlink ref="C617" r:id="rId43" display="https://type.jp/mypage/apply_interview.do?entryId=10080855" xr:uid="{636E0327-03B8-43F1-ABAC-70A1C604A1B5}"/>
    <hyperlink ref="C622" r:id="rId44" display="https://type.jp/mypage/apply_interview.do?entryId=10080838" xr:uid="{7079DE96-9AF6-4955-8D30-ACCAB5868B24}"/>
    <hyperlink ref="C630" r:id="rId45" display="https://type.jp/mypage/apply_interview.do?entryId=10079575" xr:uid="{81A6A736-0154-4EEC-8CFD-F60CE3C56BF3}"/>
    <hyperlink ref="C635" r:id="rId46" display="https://type.jp/mypage/apply_interview.do?entryId=10079573" xr:uid="{724061A2-4A51-49EB-A4D5-FE7C18BC0E89}"/>
    <hyperlink ref="C640" r:id="rId47" display="https://type.jp/mypage/apply_interview.do?entryId=10079568" xr:uid="{5BB21B2E-5B3E-40DC-AFEB-4B6BB1B01BF4}"/>
    <hyperlink ref="C651" r:id="rId48" display="https://type.jp/mypage/apply_interview.do?entryId=10076587" xr:uid="{B1CCDB5B-AAB1-4273-BC20-78CA0FD42F69}"/>
    <hyperlink ref="C656" r:id="rId49" display="https://type.jp/mypage/apply_interview.do?entryId=10076191" xr:uid="{B007C6C1-02AC-43F9-848E-59E887E15323}"/>
    <hyperlink ref="C664" r:id="rId50" display="https://type.jp/mypage/apply_interview.do?entryId=10072797" xr:uid="{06E58304-FDAB-4F9B-AF05-7E6D2138D290}"/>
    <hyperlink ref="C672" r:id="rId51" display="https://type.jp/mypage/apply_interview.do?entryId=10072793" xr:uid="{3F0B5A6A-7EF4-4E9A-88F5-89CF221BCD15}"/>
    <hyperlink ref="C680" r:id="rId52" display="https://type.jp/mypage/apply_interview.do?entryId=10047426" xr:uid="{09D099E2-9A8F-4736-8D22-6E10A50E8646}"/>
    <hyperlink ref="C685" r:id="rId53" display="https://type.jp/mypage/apply_interview.do?entryId=10040884" xr:uid="{9D4D6973-9499-41D8-8E8F-039148B1FEC1}"/>
    <hyperlink ref="C693" r:id="rId54" display="https://type.jp/mypage/apply_interview.do?entryId=10039685" xr:uid="{5C27D843-BBA6-414D-A8DB-37769B9CD691}"/>
    <hyperlink ref="C698" r:id="rId55" display="https://type.jp/mypage/apply_interview.do?entryId=10039668" xr:uid="{0D1A8CB9-D0AA-4096-BAD9-6CD148151EAC}"/>
    <hyperlink ref="C706" r:id="rId56" display="https://type.jp/mypage/apply_interview.do?entryId=10037670" xr:uid="{FD345611-B0E4-4B77-A831-04D227D6761D}"/>
    <hyperlink ref="C714" r:id="rId57" display="https://type.jp/mypage/apply_interview.do?entryId=10036949" xr:uid="{A74898BE-7A16-4EDA-8F59-613915FEB8A4}"/>
    <hyperlink ref="C737" r:id="rId58" display="https://type.jp/mypage/apply_interview.do?entryId=10034542" xr:uid="{3446B0FE-47E2-4664-B48F-E43DC8ACA4B3}"/>
    <hyperlink ref="C742" r:id="rId59" display="https://type.jp/mypage/apply_interview.do?entryId=10026418" xr:uid="{5ACA7EA8-B906-4B3C-BFCC-FC8AE583CD46}"/>
    <hyperlink ref="C753" r:id="rId60" display="https://type.jp/mypage/apply_interview.do?entryId=10026070" xr:uid="{F4BB2111-0284-4515-9C2C-DB8F84A5E34A}"/>
    <hyperlink ref="C758" r:id="rId61" display="https://type.jp/mypage/apply_interview.do?entryId=10026069" xr:uid="{ECCD627B-69DE-418A-BDE9-C88CFF80C5E6}"/>
    <hyperlink ref="C763" r:id="rId62" display="https://type.jp/mypage/apply_interview.do?entryId=10026068" xr:uid="{DA25E2D4-A8C8-4CC7-9CAB-45FD620BCE5F}"/>
    <hyperlink ref="C768" r:id="rId63" display="https://type.jp/mypage/apply_interview.do?entryId=10026065" xr:uid="{6574FB2C-BC45-492F-9752-73ED3998A142}"/>
    <hyperlink ref="C785" r:id="rId64" display="https://type.jp/mypage/apply_interview.do?entryId=10023868" xr:uid="{B98E4635-A70A-4068-8F9E-BC61EECA5B47}"/>
    <hyperlink ref="C790" r:id="rId65" display="https://type.jp/mypage/apply_interview.do?entryId=10023853" xr:uid="{C9F23E6E-5033-4BE1-885F-8E69698C80DF}"/>
    <hyperlink ref="C798" r:id="rId66" display="https://type.jp/mypage/apply_interview.do?entryId=10022581" xr:uid="{013D19D3-D37F-468A-A8E6-A1FD605410D3}"/>
    <hyperlink ref="C803" r:id="rId67" display="https://type.jp/mypage/apply_interview.do?entryId=10022572" xr:uid="{B7422831-B9E4-4996-964C-D9C7BB76D80C}"/>
    <hyperlink ref="C811" r:id="rId68" display="https://type.jp/mypage/apply_interview.do?entryId=10022568" xr:uid="{C4343CD7-844A-4716-A72C-DB64AEB10568}"/>
    <hyperlink ref="C819" r:id="rId69" display="https://type.jp/mypage/apply_interview.do?entryId=10020549" xr:uid="{A346E617-42AD-41C9-A068-5C8926CE1C49}"/>
    <hyperlink ref="C827" r:id="rId70" display="https://type.jp/mypage/apply_interview.do?entryId=10020547" xr:uid="{DA295ED9-FC9E-4D74-8D5B-12D3D9B61B31}"/>
    <hyperlink ref="C838" r:id="rId71" display="https://type.jp/mypage/apply_interview.do?entryId=10019526" xr:uid="{3CD543D8-BB03-4035-AB69-FA2CE4510EA6}"/>
    <hyperlink ref="C849" r:id="rId72" display="https://type.jp/mypage/apply_interview.do?entryId=10014937" xr:uid="{04705C98-9F61-44B9-AFE8-F96DF3B7E11E}"/>
    <hyperlink ref="C854" r:id="rId73" display="https://type.jp/mypage/apply_interview.do?entryId=10014934" xr:uid="{0851A605-5C92-4594-AA94-2192532CBF6F}"/>
    <hyperlink ref="C871" r:id="rId74" display="https://type.jp/mypage/apply_interview.do?entryId=10014917" xr:uid="{8F51AD48-E0B4-4833-9739-5631DC65B2B6}"/>
    <hyperlink ref="C879" r:id="rId75" display="https://type.jp/mypage/apply_interview.do?entryId=10013849" xr:uid="{80417FD2-AD8D-42E3-9449-FD0124F94DD9}"/>
    <hyperlink ref="C884" r:id="rId76" display="https://type.jp/mypage/apply_interview.do?entryId=10009986" xr:uid="{EDB23653-4937-4BD2-B73B-86EAD207D714}"/>
    <hyperlink ref="C889" r:id="rId77" display="https://type.jp/mypage/apply_interview.do?entryId=10008725" xr:uid="{57097BAA-EDDC-4FE2-BD44-AD14DF14FAB0}"/>
    <hyperlink ref="C897" r:id="rId78" display="https://type.jp/mypage/apply_interview.do?entryId=10008704" xr:uid="{89BFA14A-F9F7-498C-925A-D342E8B3AE68}"/>
    <hyperlink ref="C917" r:id="rId79" display="https://type.jp/mypage/apply_interview.do?entryId=10006181" xr:uid="{E2B49107-D0B5-4A86-9E93-D6EBA0601341}"/>
    <hyperlink ref="C922" r:id="rId80" display="https://type.jp/mypage/apply_interview.do?entryId=10005884" xr:uid="{CEAF98CA-752D-4414-BCD1-B11E7EFFF94D}"/>
    <hyperlink ref="C936" r:id="rId81" display="https://type.jp/mypage/apply_interview.do?entryId=10002207" xr:uid="{A3816878-5F64-47C7-80EB-F6BF942CE3C8}"/>
    <hyperlink ref="C941" r:id="rId82" display="https://type.jp/mypage/apply_interview.do?entryId=10002176" xr:uid="{63C7808B-31AA-4060-A713-029E40FD7403}"/>
    <hyperlink ref="C958" r:id="rId83" display="https://type.jp/mypage/apply_interview.do?entryId=9995203" xr:uid="{557E3836-2540-4A67-9DB4-C0E6FD111E13}"/>
    <hyperlink ref="C966" r:id="rId84" display="https://type.jp/mypage/apply_interview.do?entryId=9995197" xr:uid="{E28F4519-EB60-4DF3-8044-2CDF0129A8C5}"/>
    <hyperlink ref="C971" r:id="rId85" display="https://type.jp/mypage/apply_interview.do?entryId=9995195" xr:uid="{1C58A73D-6FAB-4435-B8EF-594E9CB06DFF}"/>
    <hyperlink ref="C979" r:id="rId86" display="https://type.jp/mypage/apply_interview.do?entryId=9995075" xr:uid="{45559CB5-AB20-46BF-9417-839A77C3B9A5}"/>
    <hyperlink ref="C999" r:id="rId87" display="https://type.jp/mypage/apply_interview.do?entryId=9985926" xr:uid="{C3FEE560-E649-4D23-BAFB-3130A9F28F66}"/>
    <hyperlink ref="C1004" r:id="rId88" display="https://type.jp/mypage/apply_interview.do?entryId=9983370" xr:uid="{E6955123-7F98-4CDD-8626-1CB0D5903259}"/>
    <hyperlink ref="C1018" r:id="rId89" display="https://type.jp/mypage/apply_interview.do?entryId=9970167" xr:uid="{B6E0EE26-39DB-4F1A-9444-8FC002FBA3E6}"/>
    <hyperlink ref="C1035" r:id="rId90" display="https://type.jp/mypage/apply_interview.do?entryId=9969969" xr:uid="{105938F2-5835-4BC8-9E62-D32CDDAC7013}"/>
    <hyperlink ref="C1040" r:id="rId91" display="https://type.jp/mypage/apply_interview.do?entryId=9969951" xr:uid="{6CBD3973-E562-4E95-A6B6-DA8D2BF50A25}"/>
    <hyperlink ref="C1045" r:id="rId92" display="https://type.jp/mypage/apply_interview.do?entryId=9969926" xr:uid="{1CC9B24F-DDD5-42B1-9B84-7579D6560642}"/>
    <hyperlink ref="C1050" r:id="rId93" display="https://type.jp/mypage/apply_interview.do?entryId=9969917" xr:uid="{89DEC42A-F604-4E06-A6B7-E72473A151D7}"/>
    <hyperlink ref="C1064" r:id="rId94" display="https://type.jp/mypage/apply_interview.do?entryId=9967257" xr:uid="{E4F03B87-B7A1-49EC-9D0F-CBEE4BD4589A}"/>
    <hyperlink ref="C1081" r:id="rId95" display="https://type.jp/mypage/apply_interview.do?entryId=9966866" xr:uid="{06504B82-A65E-4BE6-AAA9-6063A5B6DF5A}"/>
    <hyperlink ref="C1086" r:id="rId96" display="https://type.jp/mypage/apply_interview.do?entryId=9964222" xr:uid="{9D72DF77-02CB-431C-8F31-080DA80D26F4}"/>
    <hyperlink ref="C1091" r:id="rId97" display="https://type.jp/mypage/apply_interview.do?entryId=9964221" xr:uid="{6A4ECFDE-E90D-4836-8EE8-D10BA161ED27}"/>
    <hyperlink ref="C1096" r:id="rId98" display="https://type.jp/mypage/apply_interview.do?entryId=9964220" xr:uid="{EAC20E6F-A963-4270-B81B-A8B47E8C6B9F}"/>
    <hyperlink ref="C1110" r:id="rId99" display="https://type.jp/mypage/apply_interview.do?entryId=9964216" xr:uid="{C0A51C18-9CDC-470F-88D2-F26BD06245C6}"/>
    <hyperlink ref="C1118" r:id="rId100" display="https://type.jp/mypage/apply_interview.do?entryId=9964214" xr:uid="{94E1DDDF-1052-42E7-A324-90905142A1B4}"/>
    <hyperlink ref="C1123" r:id="rId101" display="https://type.jp/mypage/apply_interview.do?entryId=9964213" xr:uid="{09A1746C-3F04-4219-8DA5-5DF147D3A613}"/>
    <hyperlink ref="C1128" r:id="rId102" display="https://type.jp/mypage/apply_interview.do?entryId=9964211" xr:uid="{71B0839C-2A66-4843-9334-464B81103724}"/>
    <hyperlink ref="C1136" r:id="rId103" display="https://type.jp/mypage/apply_interview.do?entryId=9964209" xr:uid="{3E5DB625-1BE7-41FA-B803-16FE70061E49}"/>
    <hyperlink ref="C1144" r:id="rId104" display="https://type.jp/mypage/apply_interview.do?entryId=9964207" xr:uid="{3E084A03-B315-4AE3-AB49-E38945485891}"/>
    <hyperlink ref="C1149" r:id="rId105" display="https://type.jp/mypage/apply_interview.do?entryId=9964206" xr:uid="{C0751D31-75DF-4B29-9671-47A8B83B4C72}"/>
    <hyperlink ref="C1157" r:id="rId106" display="https://type.jp/mypage/apply_interview.do?entryId=9964204" xr:uid="{248D8BE2-4076-4642-97EF-E2BCA4B1719C}"/>
    <hyperlink ref="C1162" r:id="rId107" display="https://type.jp/mypage/apply_interview.do?entryId=9964203" xr:uid="{F09AEB7A-C552-46AE-A90A-0E7A43DBFB87}"/>
    <hyperlink ref="C1173" r:id="rId108" display="https://type.jp/mypage/apply_interview.do?entryId=9951036" xr:uid="{08E2224E-2A22-40FF-A44E-969ACEF25557}"/>
    <hyperlink ref="C1178" r:id="rId109" display="https://type.jp/mypage/apply_interview.do?entryId=9951030" xr:uid="{A4A22FF0-4EBE-4E86-8896-A318BF558E3B}"/>
    <hyperlink ref="C1183" r:id="rId110" display="https://type.jp/mypage/apply_interview.do?entryId=9951028" xr:uid="{6EB55766-3D0A-4E58-86DA-57AB9AAFCEE1}"/>
    <hyperlink ref="C1203" r:id="rId111" display="https://type.jp/mypage/apply_interview.do?entryId=9950976" xr:uid="{372BF82F-7CE8-4CB0-BAE5-F026019F96ED}"/>
    <hyperlink ref="C1217" r:id="rId112" display="https://type.jp/mypage/apply_interview.do?entryId=9944664" xr:uid="{C811D7AA-2ACB-446F-A90A-CFA3571826F1}"/>
    <hyperlink ref="C1225" r:id="rId113" display="https://type.jp/mypage/apply_interview.do?entryId=9942841" xr:uid="{D4D169F3-DF52-4576-8DB7-29B5C181695A}"/>
    <hyperlink ref="C1236" r:id="rId114" display="https://type.jp/mypage/apply_interview.do?entryId=9929765" xr:uid="{941B3364-78CE-452E-AF65-2C3FF19C8CB2}"/>
    <hyperlink ref="C1241" r:id="rId115" display="https://type.jp/mypage/apply_interview.do?entryId=9929762" xr:uid="{ED280F88-9E7D-4A67-98E6-0AD5E0F0B98D}"/>
    <hyperlink ref="C1249" r:id="rId116" display="https://type.jp/mypage/apply_interview.do?entryId=9929757" xr:uid="{7F957F5F-9402-4EBC-8F01-DA46BF416104}"/>
    <hyperlink ref="C1254" r:id="rId117" display="https://type.jp/mypage/apply_interview.do?entryId=9927602" xr:uid="{AE66B0DE-862D-4667-9127-267D3134E35E}"/>
    <hyperlink ref="C1271" r:id="rId118" display="https://type.jp/mypage/apply_interview.do?entryId=9926277" xr:uid="{EB05B2E9-05B1-4969-880E-128BC45EDDEB}"/>
    <hyperlink ref="C1279" r:id="rId119" display="https://type.jp/mypage/apply_interview.do?entryId=9926248" xr:uid="{0C81F6B0-64FE-4AEE-8AE3-7B9CCC201A90}"/>
    <hyperlink ref="C1290" r:id="rId120" display="https://type.jp/mypage/apply_interview.do?entryId=9890100" xr:uid="{4BAF9F44-9A57-496B-8659-3A47BA65F8C7}"/>
    <hyperlink ref="C1298" r:id="rId121" display="https://type.jp/mypage/apply_interview.do?entryId=9863619" xr:uid="{82CED192-D54F-4E76-957F-A931A8FB7C9B}"/>
    <hyperlink ref="C1306" r:id="rId122" display="https://type.jp/mypage/apply_interview.do?entryId=9863584" xr:uid="{E56308A9-80E4-4A2D-83E4-7BF731D16DBF}"/>
    <hyperlink ref="C1314" r:id="rId123" display="https://type.jp/mypage/apply_interview.do?entryId=9860894" xr:uid="{C336E602-B3FC-4158-A3F7-37E4F275A709}"/>
    <hyperlink ref="C1319" r:id="rId124" display="https://type.jp/mypage/apply_interview.do?entryId=9860693" xr:uid="{5ED8266E-94EC-44EF-A63B-4FD2ECF9F8B3}"/>
    <hyperlink ref="C1324" r:id="rId125" display="https://type.jp/mypage/apply_interview.do?entryId=9857285" xr:uid="{8C90425B-CBB2-44EC-89E7-17090B1B0916}"/>
    <hyperlink ref="C1332" r:id="rId126" display="https://type.jp/mypage/apply_interview.do?entryId=9857231" xr:uid="{25689E6E-0121-45C4-96C5-986042164BF7}"/>
    <hyperlink ref="C1340" r:id="rId127" display="https://type.jp/mypage/apply_interview.do?entryId=9857146" xr:uid="{C6D3AD25-BB9D-4848-AF10-A4AE11FC2BD0}"/>
    <hyperlink ref="C1348" r:id="rId128" display="https://type.jp/mypage/apply_interview.do?entryId=9854732" xr:uid="{7347F05F-3924-4D58-AD1B-0DA7A4F97F4B}"/>
    <hyperlink ref="C1356" r:id="rId129" display="https://type.jp/mypage/apply_interview.do?entryId=9743333" xr:uid="{3532684C-D477-4154-BEED-2BE90E50ACFC}"/>
    <hyperlink ref="C4" r:id="rId130" display="https://type.jp/mypage/apply_interview.do?entryId=10199065" xr:uid="{FA63F0C7-EC3C-4B4B-8BA0-4F5FBF962161}"/>
    <hyperlink ref="C18" r:id="rId131" display="https://type.jp/mypage/apply_interview.do?entryId=10195236" xr:uid="{A4489D47-E44F-4A59-A1CC-DE4F0F998020}"/>
    <hyperlink ref="C32" r:id="rId132" display="https://type.jp/mypage/apply_interview.do?entryId=10193034" xr:uid="{E7E697ED-9D33-4571-BFE0-65620B32EC32}"/>
    <hyperlink ref="C37" r:id="rId133" display="https://type.jp/mypage/apply_interview.do?entryId=10192987" xr:uid="{91526519-FD5D-4E4B-8C83-C631AD45836B}"/>
    <hyperlink ref="C57" r:id="rId134" display="https://type.jp/mypage/apply_interview.do?entryId=10184698" xr:uid="{6AB55276-8A0E-4DEF-9868-7326217A2225}"/>
    <hyperlink ref="C71" r:id="rId135" display="https://type.jp/mypage/apply_interview.do?entryId=10184664" xr:uid="{DEE70467-F3EC-4A61-AA1D-17060BE90343}"/>
    <hyperlink ref="C79" r:id="rId136" display="https://type.jp/mypage/apply_interview.do?entryId=10184600" xr:uid="{296E7B22-B0B4-4063-828E-FAEFDFC48F29}"/>
    <hyperlink ref="C87" r:id="rId137" display="https://type.jp/mypage/apply_interview.do?entryId=10184586" xr:uid="{1A533325-E584-4A9D-BE61-4300D7DD9D62}"/>
    <hyperlink ref="C95" r:id="rId138" display="https://type.jp/mypage/apply_interview.do?entryId=10184407" xr:uid="{26FBB28F-E560-4671-8D57-311BF6D60749}"/>
    <hyperlink ref="C100" r:id="rId139" display="https://type.jp/mypage/apply_interview.do?entryId=10183887" xr:uid="{8AD4DB5F-4730-44BB-A96B-5A7DA4D6C67F}"/>
    <hyperlink ref="C108" r:id="rId140" display="https://type.jp/mypage/apply_interview.do?entryId=10180257" xr:uid="{25843D8F-3491-4113-8AA1-AD2CCEB16FCC}"/>
    <hyperlink ref="C116" r:id="rId141" display="https://type.jp/mypage/apply_interview.do?entryId=10169364" xr:uid="{EECADAB4-EA8F-4275-B3A9-0DA3789A1DCF}"/>
    <hyperlink ref="C121" r:id="rId142" display="https://type.jp/mypage/apply_interview.do?entryId=10169362" xr:uid="{DEBA8429-0470-4A8D-B04B-F00FE74DBA90}"/>
    <hyperlink ref="C126" r:id="rId143" display="https://type.jp/mypage/apply_interview.do?entryId=10169360" xr:uid="{0ADEDCB9-E440-4534-A2CD-AAD7BBF69DC5}"/>
    <hyperlink ref="C131" r:id="rId144" display="https://type.jp/mypage/apply_interview.do?entryId=10169291" xr:uid="{38F7F886-E5A1-488D-9EA6-EA25797146E7}"/>
    <hyperlink ref="C136" r:id="rId145" display="https://type.jp/mypage/apply_interview.do?entryId=10169264" xr:uid="{DC9D474F-E932-44FC-81A7-9E9120A6F402}"/>
    <hyperlink ref="C141" r:id="rId146" display="https://type.jp/mypage/apply_interview.do?entryId=10169254" xr:uid="{22AF4BB5-B854-4ED5-AEDB-07D2A977CF78}"/>
    <hyperlink ref="C152" r:id="rId147" display="https://type.jp/mypage/apply_interview.do?entryId=10168914" xr:uid="{EE0A326F-33B7-4FBC-BA53-F432AA8C8067}"/>
    <hyperlink ref="C160" r:id="rId148" display="https://type.jp/mypage/apply_interview.do?entryId=10168902" xr:uid="{65A48E23-5D99-4C70-B874-E4B31906A62E}"/>
    <hyperlink ref="C171" r:id="rId149" display="https://type.jp/mypage/apply_interview.do?entryId=10168636" xr:uid="{C2A0ECB6-233F-4542-A5D8-C4B06C1B0957}"/>
    <hyperlink ref="C179" r:id="rId150" display="https://type.jp/mypage/apply_interview.do?entryId=10168633" xr:uid="{968B7DC6-26AF-473E-9595-52B101A93FB1}"/>
    <hyperlink ref="C187" r:id="rId151" display="https://type.jp/mypage/apply_interview.do?entryId=10166998" xr:uid="{3B0BC0B2-C46A-405F-B1CE-D56882EEB2CB}"/>
    <hyperlink ref="C198" r:id="rId152" display="https://type.jp/mypage/apply_interview.do?entryId=10158013" xr:uid="{B57BE20B-4BAB-4A13-9AAC-2A6E20758AA4}"/>
    <hyperlink ref="C203" r:id="rId153" display="https://type.jp/mypage/apply_interview.do?entryId=10158011" xr:uid="{5DFA6105-80CC-4C15-8D70-AE8706D82517}"/>
    <hyperlink ref="C214" r:id="rId154" display="https://type.jp/mypage/apply_interview.do?entryId=10157991" xr:uid="{F81F5D52-3510-4B8F-913F-32EADD777373}"/>
    <hyperlink ref="C219" r:id="rId155" display="https://type.jp/mypage/apply_interview.do?entryId=10157967" xr:uid="{8160FE34-CBD0-434A-BCFA-CF7053436EFE}"/>
    <hyperlink ref="C224" r:id="rId156" display="https://type.jp/mypage/apply_interview.do?entryId=10157728" xr:uid="{E249F74D-82A4-4C8C-A489-024209C6CFB9}"/>
    <hyperlink ref="C238" r:id="rId157" display="https://type.jp/mypage/apply_interview.do?entryId=10155289" xr:uid="{89F121C5-2FA0-4F49-AC55-301F839C3FBE}"/>
    <hyperlink ref="C243" r:id="rId158" display="https://type.jp/mypage/apply_interview.do?entryId=10155285" xr:uid="{F3D55848-CAEB-47B7-BB83-A56C91B84C4F}"/>
    <hyperlink ref="C248" r:id="rId159" display="https://type.jp/mypage/apply_interview.do?entryId=10155281" xr:uid="{892762ED-2395-4900-BBBE-D28DB3CFF8B7}"/>
    <hyperlink ref="C253" r:id="rId160" display="https://type.jp/mypage/apply_interview.do?entryId=10155279" xr:uid="{E410F630-006B-4B4D-A0A3-B6D892088098}"/>
    <hyperlink ref="C264" r:id="rId161" display="https://type.jp/mypage/apply_interview.do?entryId=10155234" xr:uid="{F4BB99ED-1280-486A-8D47-680B751168A6}"/>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E2E1F9-E593-47B1-B770-195E8A3816C2}">
  <sheetPr codeName="Sheet2"/>
  <dimension ref="A1"/>
  <sheetViews>
    <sheetView workbookViewId="0">
      <selection activeCell="A2" sqref="A2"/>
    </sheetView>
  </sheetViews>
  <sheetFormatPr defaultRowHeight="14.25"/>
  <sheetData/>
  <phoneticPr fontId="3"/>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ECE4D2-5173-46A0-A09F-DA5A902BB7F2}">
  <sheetPr codeName="Language"/>
  <dimension ref="A1:W26"/>
  <sheetViews>
    <sheetView workbookViewId="0">
      <pane xSplit="1" ySplit="1" topLeftCell="B2" activePane="bottomRight" state="frozen"/>
      <selection activeCell="B18" sqref="B18"/>
      <selection pane="topRight" activeCell="B18" sqref="B18"/>
      <selection pane="bottomLeft" activeCell="B18" sqref="B18"/>
      <selection pane="bottomRight" activeCell="B18" sqref="B18"/>
    </sheetView>
  </sheetViews>
  <sheetFormatPr defaultRowHeight="14.25"/>
  <cols>
    <col min="1" max="1" width="26.875" style="1" customWidth="1"/>
    <col min="2" max="2" width="40.375" style="3" customWidth="1"/>
    <col min="3" max="3" width="28.75" style="3" bestFit="1" customWidth="1"/>
    <col min="4" max="4" width="27" style="3" customWidth="1"/>
    <col min="5" max="5" width="31.375" style="5" customWidth="1"/>
    <col min="6" max="7" width="27" style="3" customWidth="1"/>
    <col min="8" max="8" width="25.375" style="3" customWidth="1"/>
    <col min="9" max="12" width="31.375" style="5" customWidth="1"/>
    <col min="13" max="13" width="20" style="5" customWidth="1"/>
    <col min="14" max="15" width="8.5" style="5" customWidth="1"/>
    <col min="16" max="16" width="9.625" style="5" customWidth="1"/>
    <col min="17" max="19" width="8.5" style="5" customWidth="1"/>
    <col min="20" max="20" width="9.625" style="5" customWidth="1"/>
    <col min="21" max="22" width="12" style="5" customWidth="1"/>
    <col min="23" max="23" width="11.375" style="5" customWidth="1"/>
    <col min="24" max="24" width="14.875" style="5" customWidth="1"/>
    <col min="25" max="16384" width="9" style="5"/>
  </cols>
  <sheetData>
    <row r="1" spans="1:23" ht="18.75">
      <c r="A1" s="11" t="s">
        <v>2928</v>
      </c>
      <c r="B1" s="17" t="s">
        <v>2929</v>
      </c>
      <c r="C1" s="11" t="s">
        <v>2930</v>
      </c>
      <c r="D1" s="11" t="s">
        <v>120</v>
      </c>
      <c r="E1" s="14" t="s">
        <v>2931</v>
      </c>
      <c r="F1" s="11" t="s">
        <v>2932</v>
      </c>
      <c r="G1" s="11" t="s">
        <v>2933</v>
      </c>
      <c r="H1" s="11" t="s">
        <v>2934</v>
      </c>
      <c r="I1" s="14" t="s">
        <v>2935</v>
      </c>
      <c r="J1" s="14" t="s">
        <v>2936</v>
      </c>
      <c r="K1" s="14"/>
      <c r="L1" s="14"/>
      <c r="M1" s="9" t="s">
        <v>18</v>
      </c>
      <c r="N1" s="9" t="s">
        <v>18</v>
      </c>
      <c r="O1" s="9" t="s">
        <v>18</v>
      </c>
      <c r="P1" s="9" t="s">
        <v>18</v>
      </c>
      <c r="Q1" s="9" t="s">
        <v>18</v>
      </c>
      <c r="R1" s="9" t="s">
        <v>18</v>
      </c>
      <c r="S1" s="9" t="s">
        <v>18</v>
      </c>
      <c r="T1" s="9" t="s">
        <v>18</v>
      </c>
      <c r="U1" s="9" t="s">
        <v>8</v>
      </c>
      <c r="V1" s="9" t="s">
        <v>9</v>
      </c>
      <c r="W1" s="10" t="s">
        <v>10</v>
      </c>
    </row>
    <row r="2" spans="1:23" ht="99">
      <c r="A2" s="37" t="s">
        <v>2937</v>
      </c>
      <c r="B2" s="24" t="s">
        <v>2938</v>
      </c>
      <c r="D2" s="37" t="s">
        <v>2939</v>
      </c>
      <c r="M2" s="19" t="s">
        <v>2940</v>
      </c>
      <c r="U2" s="22">
        <v>44272</v>
      </c>
      <c r="V2" s="22">
        <v>44272</v>
      </c>
    </row>
    <row r="3" spans="1:23">
      <c r="D3" s="1"/>
    </row>
    <row r="4" spans="1:23">
      <c r="D4" s="1"/>
    </row>
    <row r="5" spans="1:23">
      <c r="D5" s="1"/>
    </row>
    <row r="6" spans="1:23">
      <c r="D6" s="1"/>
    </row>
    <row r="7" spans="1:23">
      <c r="D7" s="1"/>
    </row>
    <row r="8" spans="1:23">
      <c r="D8" s="1"/>
    </row>
    <row r="26" spans="1:22" ht="28.5" customHeight="1">
      <c r="A26" s="277" t="s">
        <v>10</v>
      </c>
      <c r="B26" s="27"/>
      <c r="C26" s="27"/>
      <c r="D26" s="27"/>
      <c r="E26" s="28"/>
      <c r="F26" s="27"/>
      <c r="G26" s="27"/>
      <c r="H26" s="27"/>
      <c r="I26" s="28"/>
      <c r="J26" s="28"/>
      <c r="K26" s="28"/>
      <c r="L26" s="28"/>
      <c r="M26" s="28"/>
      <c r="N26" s="28"/>
      <c r="O26" s="28"/>
      <c r="P26" s="28"/>
      <c r="Q26" s="28"/>
      <c r="R26" s="28"/>
      <c r="S26" s="28"/>
      <c r="T26" s="28"/>
      <c r="U26" s="28"/>
      <c r="V26" s="28"/>
    </row>
  </sheetData>
  <autoFilter ref="A1:V25" xr:uid="{27AAE171-7668-4C1B-AADB-82994DD79567}">
    <sortState xmlns:xlrd2="http://schemas.microsoft.com/office/spreadsheetml/2017/richdata2" ref="A2:V25">
      <sortCondition descending="1" ref="H2:H25"/>
      <sortCondition ref="D2:D25"/>
      <sortCondition ref="I2:I25"/>
      <sortCondition ref="A2:A25"/>
    </sortState>
  </autoFilter>
  <phoneticPr fontId="3"/>
  <pageMargins left="0.7" right="0.7" top="0.75" bottom="0.75" header="0.3" footer="0.3"/>
  <pageSetup paperSize="9" orientation="portrait" horizontalDpi="1200" verticalDpi="1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830A6B-4D95-4645-A2B5-54DC12F3212F}">
  <sheetPr codeName="Web"/>
  <dimension ref="A1:P65"/>
  <sheetViews>
    <sheetView zoomScale="90" zoomScaleNormal="90" workbookViewId="0">
      <pane xSplit="3" ySplit="1" topLeftCell="D48" activePane="bottomRight" state="frozen"/>
      <selection activeCell="B18" sqref="B18"/>
      <selection pane="topRight" activeCell="B18" sqref="B18"/>
      <selection pane="bottomLeft" activeCell="B18" sqref="B18"/>
      <selection pane="bottomRight" activeCell="B57" sqref="B57"/>
    </sheetView>
  </sheetViews>
  <sheetFormatPr defaultRowHeight="14.25"/>
  <cols>
    <col min="1" max="1" width="9" style="5"/>
    <col min="2" max="2" width="25" style="1" customWidth="1"/>
    <col min="3" max="3" width="37.125" style="3" customWidth="1"/>
    <col min="4" max="4" width="47.625" style="1" customWidth="1"/>
    <col min="5" max="5" width="80.875" style="279" customWidth="1"/>
    <col min="6" max="6" width="20" style="5" customWidth="1"/>
    <col min="7" max="8" width="8.5" style="5" customWidth="1"/>
    <col min="9" max="9" width="9.625" style="5" customWidth="1"/>
    <col min="10" max="12" width="8.5" style="5" customWidth="1"/>
    <col min="13" max="13" width="9.625" style="5" customWidth="1"/>
    <col min="14" max="15" width="12" style="5" customWidth="1"/>
    <col min="16" max="16" width="11.375" style="5" customWidth="1"/>
    <col min="17" max="17" width="14.875" style="5" customWidth="1"/>
    <col min="18" max="16384" width="9" style="5"/>
  </cols>
  <sheetData>
    <row r="1" spans="1:16" ht="18.75">
      <c r="A1" s="19" t="s">
        <v>2941</v>
      </c>
      <c r="B1" s="11" t="s">
        <v>11</v>
      </c>
      <c r="C1" s="17" t="s">
        <v>2929</v>
      </c>
      <c r="D1" s="11" t="s">
        <v>2942</v>
      </c>
      <c r="E1" s="278" t="s">
        <v>2943</v>
      </c>
      <c r="F1" s="9" t="s">
        <v>18</v>
      </c>
      <c r="G1" s="9" t="s">
        <v>18</v>
      </c>
      <c r="H1" s="9" t="s">
        <v>18</v>
      </c>
      <c r="I1" s="9" t="s">
        <v>18</v>
      </c>
      <c r="J1" s="9" t="s">
        <v>18</v>
      </c>
      <c r="K1" s="9" t="s">
        <v>18</v>
      </c>
      <c r="L1" s="9" t="s">
        <v>18</v>
      </c>
      <c r="M1" s="9" t="s">
        <v>18</v>
      </c>
      <c r="N1" s="9" t="s">
        <v>8</v>
      </c>
      <c r="O1" s="9" t="s">
        <v>9</v>
      </c>
      <c r="P1" s="10" t="s">
        <v>10</v>
      </c>
    </row>
    <row r="2" spans="1:16" ht="165">
      <c r="A2" s="5">
        <v>1</v>
      </c>
      <c r="B2" s="37" t="s">
        <v>2944</v>
      </c>
      <c r="E2" s="18" t="s">
        <v>2945</v>
      </c>
    </row>
    <row r="3" spans="1:16" ht="16.5">
      <c r="B3" s="37" t="s">
        <v>2946</v>
      </c>
      <c r="E3" s="18" t="s">
        <v>2947</v>
      </c>
    </row>
    <row r="4" spans="1:16" ht="265.5" customHeight="1">
      <c r="A4" s="5">
        <v>2</v>
      </c>
      <c r="B4" s="37" t="s">
        <v>2948</v>
      </c>
      <c r="E4" s="279" t="s">
        <v>2949</v>
      </c>
    </row>
    <row r="5" spans="1:16" ht="214.5" customHeight="1">
      <c r="A5" s="5">
        <v>3</v>
      </c>
      <c r="B5" s="37" t="s">
        <v>2950</v>
      </c>
      <c r="E5" s="18" t="s">
        <v>2951</v>
      </c>
    </row>
    <row r="6" spans="1:16" ht="349.5" customHeight="1">
      <c r="A6" s="5">
        <v>4</v>
      </c>
      <c r="B6" s="37" t="s">
        <v>2952</v>
      </c>
      <c r="E6" s="18" t="s">
        <v>2953</v>
      </c>
    </row>
    <row r="7" spans="1:16" ht="145.5">
      <c r="A7" s="5">
        <v>5</v>
      </c>
      <c r="B7" s="37" t="s">
        <v>2954</v>
      </c>
      <c r="E7" s="279" t="s">
        <v>2955</v>
      </c>
    </row>
    <row r="8" spans="1:16" ht="16.5">
      <c r="A8" s="5">
        <v>6</v>
      </c>
      <c r="B8" s="37" t="s">
        <v>2956</v>
      </c>
      <c r="E8" s="18" t="s">
        <v>2957</v>
      </c>
    </row>
    <row r="9" spans="1:16" ht="16.5">
      <c r="A9" s="5">
        <v>7</v>
      </c>
      <c r="B9" s="37" t="s">
        <v>2958</v>
      </c>
      <c r="E9" s="37" t="s">
        <v>2959</v>
      </c>
    </row>
    <row r="10" spans="1:16" ht="42.75">
      <c r="A10" s="5">
        <v>8</v>
      </c>
      <c r="B10" s="37" t="s">
        <v>2960</v>
      </c>
      <c r="E10" s="279" t="s">
        <v>2961</v>
      </c>
    </row>
    <row r="11" spans="1:16" ht="281.25">
      <c r="A11" s="5">
        <v>9</v>
      </c>
      <c r="B11" s="1" t="s">
        <v>2962</v>
      </c>
      <c r="E11" s="280" t="s">
        <v>2963</v>
      </c>
    </row>
    <row r="12" spans="1:16" ht="56.25">
      <c r="A12" s="5">
        <v>10</v>
      </c>
      <c r="B12" s="37" t="s">
        <v>2964</v>
      </c>
      <c r="E12" s="279" t="s">
        <v>2965</v>
      </c>
    </row>
    <row r="13" spans="1:16" ht="247.5">
      <c r="A13" s="5">
        <v>11</v>
      </c>
      <c r="B13" s="1" t="s">
        <v>2966</v>
      </c>
      <c r="E13" s="18" t="s">
        <v>2967</v>
      </c>
    </row>
    <row r="14" spans="1:16" ht="242.25">
      <c r="A14" s="5">
        <v>12</v>
      </c>
      <c r="B14" s="1" t="s">
        <v>2968</v>
      </c>
      <c r="E14" s="279" t="s">
        <v>2969</v>
      </c>
    </row>
    <row r="15" spans="1:16" ht="198">
      <c r="A15" s="5">
        <v>13</v>
      </c>
      <c r="B15" s="37" t="s">
        <v>2970</v>
      </c>
      <c r="E15" s="18" t="s">
        <v>2971</v>
      </c>
    </row>
    <row r="16" spans="1:16" ht="142.5">
      <c r="A16" s="5">
        <v>14</v>
      </c>
      <c r="B16" s="37" t="s">
        <v>2972</v>
      </c>
      <c r="E16" s="279" t="s">
        <v>2973</v>
      </c>
    </row>
    <row r="17" spans="1:5" ht="128.25">
      <c r="B17" s="37" t="s">
        <v>2974</v>
      </c>
      <c r="E17" s="279" t="s">
        <v>2975</v>
      </c>
    </row>
    <row r="18" spans="1:5" ht="115.5">
      <c r="B18" s="37" t="s">
        <v>2976</v>
      </c>
      <c r="E18" s="18" t="s">
        <v>2977</v>
      </c>
    </row>
    <row r="19" spans="1:5" ht="66">
      <c r="B19" s="37" t="s">
        <v>2978</v>
      </c>
      <c r="E19" s="18" t="s">
        <v>2979</v>
      </c>
    </row>
    <row r="20" spans="1:5" ht="148.5">
      <c r="B20" s="37" t="s">
        <v>2980</v>
      </c>
      <c r="E20" s="18" t="s">
        <v>2981</v>
      </c>
    </row>
    <row r="21" spans="1:5" ht="142.5">
      <c r="A21" s="5">
        <v>15</v>
      </c>
      <c r="B21" s="37" t="s">
        <v>2982</v>
      </c>
      <c r="E21" s="279" t="s">
        <v>2983</v>
      </c>
    </row>
    <row r="22" spans="1:5" ht="16.5">
      <c r="A22" s="5">
        <v>16</v>
      </c>
      <c r="B22" s="1" t="s">
        <v>2984</v>
      </c>
      <c r="E22" s="18" t="s">
        <v>2985</v>
      </c>
    </row>
    <row r="23" spans="1:5">
      <c r="A23" s="5">
        <v>17</v>
      </c>
      <c r="B23" s="1" t="s">
        <v>2986</v>
      </c>
      <c r="E23" s="279" t="s">
        <v>2987</v>
      </c>
    </row>
    <row r="24" spans="1:5" ht="16.5">
      <c r="A24" s="5">
        <v>18</v>
      </c>
      <c r="B24" s="1" t="s">
        <v>2988</v>
      </c>
      <c r="E24" s="279" t="s">
        <v>2989</v>
      </c>
    </row>
    <row r="25" spans="1:5" ht="132">
      <c r="A25" s="5">
        <v>19</v>
      </c>
      <c r="B25" s="1" t="s">
        <v>2990</v>
      </c>
      <c r="E25" s="18" t="s">
        <v>2991</v>
      </c>
    </row>
    <row r="26" spans="1:5" ht="148.5">
      <c r="A26" s="5">
        <v>20</v>
      </c>
      <c r="B26" s="1" t="s">
        <v>2992</v>
      </c>
      <c r="E26" s="18" t="s">
        <v>2993</v>
      </c>
    </row>
    <row r="27" spans="1:5" ht="16.5">
      <c r="A27" s="5">
        <v>21</v>
      </c>
      <c r="B27" s="1" t="s">
        <v>2994</v>
      </c>
      <c r="E27" s="18" t="s">
        <v>2995</v>
      </c>
    </row>
    <row r="28" spans="1:5" ht="165">
      <c r="A28" s="5">
        <v>22</v>
      </c>
      <c r="B28" s="1" t="s">
        <v>2996</v>
      </c>
      <c r="E28" s="18" t="s">
        <v>2997</v>
      </c>
    </row>
    <row r="29" spans="1:5" ht="339" customHeight="1">
      <c r="A29" s="5">
        <v>23</v>
      </c>
      <c r="B29" s="37" t="s">
        <v>2998</v>
      </c>
      <c r="D29" s="37" t="s">
        <v>2999</v>
      </c>
      <c r="E29" s="18" t="s">
        <v>3000</v>
      </c>
    </row>
    <row r="30" spans="1:5" ht="33">
      <c r="A30" s="5">
        <v>24</v>
      </c>
      <c r="B30" s="37" t="s">
        <v>3001</v>
      </c>
      <c r="E30" s="18" t="s">
        <v>3002</v>
      </c>
    </row>
    <row r="31" spans="1:5" ht="280.5">
      <c r="A31" s="5">
        <v>25</v>
      </c>
      <c r="B31" s="37" t="s">
        <v>3003</v>
      </c>
      <c r="E31" s="18" t="s">
        <v>3004</v>
      </c>
    </row>
    <row r="32" spans="1:5" ht="148.5">
      <c r="A32" s="5">
        <v>26</v>
      </c>
      <c r="B32" s="37" t="s">
        <v>3005</v>
      </c>
      <c r="E32" s="18" t="s">
        <v>3006</v>
      </c>
    </row>
    <row r="33" spans="1:5" ht="214.5">
      <c r="A33" s="5">
        <v>27</v>
      </c>
      <c r="B33" s="37" t="s">
        <v>3007</v>
      </c>
      <c r="E33" s="18" t="s">
        <v>3008</v>
      </c>
    </row>
    <row r="34" spans="1:5" ht="214.5">
      <c r="A34" s="5">
        <v>28</v>
      </c>
      <c r="B34" s="37" t="s">
        <v>3009</v>
      </c>
      <c r="E34" s="18" t="s">
        <v>3010</v>
      </c>
    </row>
    <row r="35" spans="1:5" ht="66">
      <c r="A35" s="5">
        <v>29</v>
      </c>
      <c r="B35" s="37" t="s">
        <v>3011</v>
      </c>
      <c r="E35" s="18" t="s">
        <v>3012</v>
      </c>
    </row>
    <row r="36" spans="1:5" ht="49.5">
      <c r="B36" s="37" t="s">
        <v>3013</v>
      </c>
      <c r="E36" s="18" t="s">
        <v>3014</v>
      </c>
    </row>
    <row r="37" spans="1:5" ht="181.5">
      <c r="A37" s="5">
        <v>30</v>
      </c>
      <c r="B37" s="1" t="s">
        <v>3015</v>
      </c>
      <c r="E37" s="18" t="s">
        <v>3016</v>
      </c>
    </row>
    <row r="38" spans="1:5" ht="297">
      <c r="A38" s="5">
        <v>31</v>
      </c>
      <c r="B38" s="37" t="s">
        <v>3017</v>
      </c>
      <c r="E38" s="18" t="s">
        <v>3018</v>
      </c>
    </row>
    <row r="39" spans="1:5" ht="165">
      <c r="A39" s="5">
        <v>32</v>
      </c>
      <c r="B39" s="37" t="s">
        <v>3019</v>
      </c>
      <c r="E39" s="18" t="s">
        <v>3020</v>
      </c>
    </row>
    <row r="40" spans="1:5" ht="165">
      <c r="B40" s="37" t="s">
        <v>3021</v>
      </c>
      <c r="E40" s="18" t="s">
        <v>3022</v>
      </c>
    </row>
    <row r="41" spans="1:5" ht="132">
      <c r="A41" s="5">
        <v>33</v>
      </c>
      <c r="B41" s="37" t="s">
        <v>3023</v>
      </c>
      <c r="E41" s="18" t="s">
        <v>3024</v>
      </c>
    </row>
    <row r="42" spans="1:5" ht="115.5">
      <c r="A42" s="5">
        <v>34</v>
      </c>
      <c r="B42" s="37" t="s">
        <v>3025</v>
      </c>
      <c r="E42" s="18" t="s">
        <v>3026</v>
      </c>
    </row>
    <row r="43" spans="1:5" ht="16.5">
      <c r="A43" s="5">
        <v>35</v>
      </c>
      <c r="B43" s="37" t="s">
        <v>3027</v>
      </c>
    </row>
    <row r="44" spans="1:5" ht="115.5">
      <c r="A44" s="5">
        <v>36</v>
      </c>
      <c r="B44" s="37" t="s">
        <v>3028</v>
      </c>
      <c r="E44" s="18" t="s">
        <v>3029</v>
      </c>
    </row>
    <row r="45" spans="1:5" ht="148.5">
      <c r="B45" s="37" t="s">
        <v>3030</v>
      </c>
      <c r="E45" s="18" t="s">
        <v>3031</v>
      </c>
    </row>
    <row r="46" spans="1:5" ht="297.75">
      <c r="A46" s="5">
        <v>37</v>
      </c>
      <c r="B46" s="37" t="s">
        <v>3032</v>
      </c>
      <c r="D46" s="1" t="s">
        <v>3033</v>
      </c>
      <c r="E46" s="18"/>
    </row>
    <row r="47" spans="1:5" ht="363">
      <c r="A47" s="5">
        <v>38</v>
      </c>
      <c r="B47" s="37" t="s">
        <v>3034</v>
      </c>
      <c r="D47" s="37" t="s">
        <v>3035</v>
      </c>
    </row>
    <row r="48" spans="1:5" ht="66">
      <c r="A48" s="5">
        <v>39</v>
      </c>
      <c r="B48" s="1" t="s">
        <v>3036</v>
      </c>
      <c r="E48" s="18" t="s">
        <v>3037</v>
      </c>
    </row>
    <row r="49" spans="1:5" ht="115.5">
      <c r="A49" s="5">
        <v>40</v>
      </c>
      <c r="B49" s="37" t="s">
        <v>3038</v>
      </c>
      <c r="E49" s="18" t="s">
        <v>3039</v>
      </c>
    </row>
    <row r="50" spans="1:5" ht="33">
      <c r="A50" s="5">
        <v>41</v>
      </c>
      <c r="B50" s="1" t="s">
        <v>3040</v>
      </c>
      <c r="E50" s="18" t="s">
        <v>3041</v>
      </c>
    </row>
    <row r="51" spans="1:5" ht="99">
      <c r="A51" s="5">
        <v>42</v>
      </c>
      <c r="B51" s="1" t="s">
        <v>3042</v>
      </c>
      <c r="E51" s="18" t="s">
        <v>3043</v>
      </c>
    </row>
    <row r="52" spans="1:5">
      <c r="A52" s="5">
        <v>43</v>
      </c>
    </row>
    <row r="53" spans="1:5">
      <c r="A53" s="5">
        <v>44</v>
      </c>
    </row>
    <row r="54" spans="1:5" ht="16.5">
      <c r="A54" s="5">
        <v>45</v>
      </c>
      <c r="B54" s="37" t="s">
        <v>3044</v>
      </c>
      <c r="E54" s="279" t="s">
        <v>3045</v>
      </c>
    </row>
    <row r="55" spans="1:5">
      <c r="A55" s="5">
        <v>46</v>
      </c>
      <c r="B55" s="1" t="s">
        <v>3672</v>
      </c>
      <c r="E55" s="279" t="s">
        <v>3671</v>
      </c>
    </row>
    <row r="56" spans="1:5">
      <c r="A56" s="5">
        <v>47</v>
      </c>
    </row>
    <row r="57" spans="1:5">
      <c r="A57" s="5">
        <v>48</v>
      </c>
    </row>
    <row r="58" spans="1:5">
      <c r="A58" s="5">
        <v>49</v>
      </c>
    </row>
    <row r="59" spans="1:5">
      <c r="A59" s="5">
        <v>50</v>
      </c>
    </row>
    <row r="60" spans="1:5">
      <c r="A60" s="5">
        <v>51</v>
      </c>
    </row>
    <row r="61" spans="1:5">
      <c r="A61" s="5">
        <v>52</v>
      </c>
    </row>
    <row r="62" spans="1:5">
      <c r="A62" s="5">
        <v>53</v>
      </c>
    </row>
    <row r="63" spans="1:5">
      <c r="A63" s="5">
        <v>54</v>
      </c>
    </row>
    <row r="64" spans="1:5">
      <c r="A64" s="5">
        <v>55</v>
      </c>
    </row>
    <row r="65" spans="2:15" ht="28.5" customHeight="1">
      <c r="B65" s="25" t="s">
        <v>10</v>
      </c>
      <c r="C65" s="27"/>
      <c r="D65" s="25"/>
      <c r="E65" s="281"/>
      <c r="F65" s="28"/>
      <c r="G65" s="28"/>
      <c r="H65" s="28"/>
      <c r="I65" s="28"/>
      <c r="J65" s="28"/>
      <c r="K65" s="28"/>
      <c r="L65" s="28"/>
      <c r="M65" s="28"/>
      <c r="N65" s="28"/>
      <c r="O65" s="28"/>
    </row>
  </sheetData>
  <autoFilter ref="B1:O64" xr:uid="{27AAE171-7668-4C1B-AADB-82994DD79567}">
    <sortState xmlns:xlrd2="http://schemas.microsoft.com/office/spreadsheetml/2017/richdata2" ref="B2:O64">
      <sortCondition ref="B2:B64"/>
    </sortState>
  </autoFilter>
  <phoneticPr fontId="3"/>
  <pageMargins left="0.7" right="0.7" top="0.75" bottom="0.75" header="0.3" footer="0.3"/>
  <pageSetup paperSize="9" orientation="portrait" horizontalDpi="1200" verticalDpi="1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B26B22-8362-465B-AAD7-E9A06FA426AB}">
  <sheetPr codeName="MSOffice"/>
  <dimension ref="A1:P26"/>
  <sheetViews>
    <sheetView workbookViewId="0">
      <selection activeCell="B18" sqref="B18"/>
    </sheetView>
  </sheetViews>
  <sheetFormatPr defaultRowHeight="14.25"/>
  <cols>
    <col min="1" max="1" width="26.875" style="1" customWidth="1"/>
    <col min="2" max="2" width="40.375" style="3" customWidth="1"/>
    <col min="3" max="3" width="28.75" style="3" bestFit="1" customWidth="1"/>
    <col min="4" max="4" width="43.5" style="3" customWidth="1"/>
    <col min="5" max="5" width="31.375" style="5" customWidth="1"/>
    <col min="6" max="6" width="20" style="5" customWidth="1"/>
    <col min="7" max="8" width="8.5" style="5" customWidth="1"/>
    <col min="9" max="9" width="9.625" style="5" customWidth="1"/>
    <col min="10" max="12" width="8.5" style="5" customWidth="1"/>
    <col min="13" max="13" width="9.625" style="5" customWidth="1"/>
    <col min="14" max="15" width="12" style="5" customWidth="1"/>
    <col min="16" max="16" width="11.375" style="5" customWidth="1"/>
    <col min="17" max="17" width="14.875" style="5" customWidth="1"/>
    <col min="18" max="16384" width="9" style="5"/>
  </cols>
  <sheetData>
    <row r="1" spans="1:16" ht="18.75">
      <c r="A1" s="11" t="s">
        <v>2928</v>
      </c>
      <c r="B1" s="17" t="s">
        <v>2929</v>
      </c>
      <c r="C1" s="11" t="s">
        <v>3046</v>
      </c>
      <c r="D1" s="11" t="s">
        <v>3047</v>
      </c>
      <c r="E1" s="14"/>
      <c r="F1" s="9" t="s">
        <v>18</v>
      </c>
      <c r="G1" s="9" t="s">
        <v>18</v>
      </c>
      <c r="H1" s="9" t="s">
        <v>18</v>
      </c>
      <c r="I1" s="9" t="s">
        <v>18</v>
      </c>
      <c r="J1" s="9" t="s">
        <v>18</v>
      </c>
      <c r="K1" s="9" t="s">
        <v>18</v>
      </c>
      <c r="L1" s="9" t="s">
        <v>18</v>
      </c>
      <c r="M1" s="9" t="s">
        <v>18</v>
      </c>
      <c r="N1" s="9" t="s">
        <v>8</v>
      </c>
      <c r="O1" s="9" t="s">
        <v>9</v>
      </c>
      <c r="P1" s="10" t="s">
        <v>10</v>
      </c>
    </row>
    <row r="2" spans="1:16" ht="16.5">
      <c r="A2" s="37"/>
      <c r="B2" s="24"/>
      <c r="D2" s="37"/>
      <c r="F2" s="19"/>
      <c r="N2" s="22"/>
      <c r="O2" s="22"/>
    </row>
    <row r="3" spans="1:16" ht="90">
      <c r="A3" s="37" t="s">
        <v>3048</v>
      </c>
      <c r="D3" s="279" t="s">
        <v>3049</v>
      </c>
    </row>
    <row r="4" spans="1:16">
      <c r="D4" s="1"/>
    </row>
    <row r="5" spans="1:16">
      <c r="D5" s="1"/>
    </row>
    <row r="6" spans="1:16">
      <c r="D6" s="1"/>
    </row>
    <row r="7" spans="1:16">
      <c r="D7" s="1"/>
    </row>
    <row r="8" spans="1:16">
      <c r="D8" s="1"/>
    </row>
    <row r="26" spans="1:15" ht="28.5" customHeight="1">
      <c r="A26" s="277" t="s">
        <v>10</v>
      </c>
      <c r="B26" s="27"/>
      <c r="C26" s="27"/>
      <c r="D26" s="27"/>
      <c r="E26" s="28"/>
      <c r="F26" s="28"/>
      <c r="G26" s="28"/>
      <c r="H26" s="28"/>
      <c r="I26" s="28"/>
      <c r="J26" s="28"/>
      <c r="K26" s="28"/>
      <c r="L26" s="28"/>
      <c r="M26" s="28"/>
      <c r="N26" s="28"/>
      <c r="O26" s="28"/>
    </row>
  </sheetData>
  <phoneticPr fontId="3"/>
  <pageMargins left="0.7" right="0.7" top="0.75" bottom="0.75" header="0.3" footer="0.3"/>
  <pageSetup paperSize="9" orientation="portrait" horizontalDpi="4294967293" verticalDpi="4294967293"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4E3F5-4035-4E91-B284-221FF2A1B951}">
  <sheetPr codeName="Framework"/>
  <dimension ref="A1"/>
  <sheetViews>
    <sheetView workbookViewId="0">
      <selection activeCell="B18" sqref="B18"/>
    </sheetView>
  </sheetViews>
  <sheetFormatPr defaultRowHeight="14.25"/>
  <sheetData/>
  <phoneticPr fontId="3"/>
  <pageMargins left="0.7" right="0.7" top="0.75" bottom="0.75" header="0.3" footer="0.3"/>
  <pageSetup paperSize="9" orientation="portrait" horizontalDpi="4294967293" verticalDpi="4294967293"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4AAD3-C79D-446B-AC8D-83FA574F3FA3}">
  <sheetPr codeName="Environment"/>
  <dimension ref="A1:V26"/>
  <sheetViews>
    <sheetView workbookViewId="0">
      <pane xSplit="1" ySplit="1" topLeftCell="B2" activePane="bottomRight" state="frozen"/>
      <selection activeCell="B18" sqref="B18"/>
      <selection pane="topRight" activeCell="B18" sqref="B18"/>
      <selection pane="bottomLeft" activeCell="B18" sqref="B18"/>
      <selection pane="bottomRight" activeCell="B18" sqref="B18"/>
    </sheetView>
  </sheetViews>
  <sheetFormatPr defaultRowHeight="14.25"/>
  <cols>
    <col min="1" max="1" width="26.875" style="1" customWidth="1"/>
    <col min="2" max="2" width="55.625" style="3" customWidth="1"/>
    <col min="3" max="3" width="28.75" style="3" bestFit="1" customWidth="1"/>
    <col min="4" max="6" width="27" style="3" customWidth="1"/>
    <col min="7" max="7" width="25.375" style="3" customWidth="1"/>
    <col min="8" max="11" width="31.375" style="5" customWidth="1"/>
    <col min="12" max="12" width="20" style="5" customWidth="1"/>
    <col min="13" max="14" width="8.5" style="5" customWidth="1"/>
    <col min="15" max="15" width="9.625" style="5" customWidth="1"/>
    <col min="16" max="18" width="8.5" style="5" customWidth="1"/>
    <col min="19" max="19" width="9.625" style="5" customWidth="1"/>
    <col min="20" max="21" width="12" style="5" customWidth="1"/>
    <col min="22" max="22" width="11.375" style="5" customWidth="1"/>
    <col min="23" max="23" width="14.875" style="5" customWidth="1"/>
    <col min="24" max="16384" width="9" style="5"/>
  </cols>
  <sheetData>
    <row r="1" spans="1:22" ht="18.75">
      <c r="A1" s="11" t="s">
        <v>11</v>
      </c>
      <c r="B1" s="17" t="s">
        <v>2929</v>
      </c>
      <c r="C1" s="11" t="s">
        <v>3050</v>
      </c>
      <c r="D1" s="11" t="s">
        <v>3051</v>
      </c>
      <c r="E1" s="11" t="s">
        <v>63</v>
      </c>
      <c r="F1" s="11" t="s">
        <v>2933</v>
      </c>
      <c r="G1" s="11" t="s">
        <v>2934</v>
      </c>
      <c r="H1" s="14" t="s">
        <v>2935</v>
      </c>
      <c r="I1" s="14" t="s">
        <v>2931</v>
      </c>
      <c r="J1" s="14" t="s">
        <v>2936</v>
      </c>
      <c r="K1" s="14"/>
      <c r="L1" s="9" t="s">
        <v>18</v>
      </c>
      <c r="M1" s="9" t="s">
        <v>18</v>
      </c>
      <c r="N1" s="9" t="s">
        <v>18</v>
      </c>
      <c r="O1" s="9" t="s">
        <v>18</v>
      </c>
      <c r="P1" s="9" t="s">
        <v>18</v>
      </c>
      <c r="Q1" s="9" t="s">
        <v>18</v>
      </c>
      <c r="R1" s="9" t="s">
        <v>18</v>
      </c>
      <c r="S1" s="9" t="s">
        <v>18</v>
      </c>
      <c r="T1" s="9" t="s">
        <v>8</v>
      </c>
      <c r="U1" s="9" t="s">
        <v>9</v>
      </c>
      <c r="V1" s="10" t="s">
        <v>10</v>
      </c>
    </row>
    <row r="26" spans="1:21" ht="28.5" customHeight="1">
      <c r="A26" s="25" t="s">
        <v>10</v>
      </c>
      <c r="B26" s="27"/>
      <c r="C26" s="27"/>
      <c r="D26" s="27"/>
      <c r="E26" s="27"/>
      <c r="F26" s="27"/>
      <c r="G26" s="27"/>
      <c r="H26" s="28"/>
      <c r="I26" s="28"/>
      <c r="J26" s="28"/>
      <c r="K26" s="28"/>
      <c r="L26" s="28"/>
      <c r="M26" s="28"/>
      <c r="N26" s="28"/>
      <c r="O26" s="28"/>
      <c r="P26" s="28"/>
      <c r="Q26" s="28"/>
      <c r="R26" s="28"/>
      <c r="S26" s="28"/>
      <c r="T26" s="28"/>
      <c r="U26" s="28"/>
    </row>
  </sheetData>
  <autoFilter ref="A1:U25" xr:uid="{27AAE171-7668-4C1B-AADB-82994DD79567}">
    <sortState xmlns:xlrd2="http://schemas.microsoft.com/office/spreadsheetml/2017/richdata2" ref="A2:U25">
      <sortCondition descending="1" ref="G2:G25"/>
      <sortCondition ref="D2:D25"/>
      <sortCondition ref="H2:H25"/>
      <sortCondition ref="A2:A25"/>
    </sortState>
  </autoFilter>
  <phoneticPr fontId="3"/>
  <pageMargins left="0.7" right="0.7" top="0.75" bottom="0.75" header="0.3" footer="0.3"/>
  <pageSetup paperSize="9" orientation="portrait" horizontalDpi="1200" verticalDpi="12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4356B5-8F64-42FF-A79C-4B084EA0DD38}">
  <dimension ref="A1:AR415"/>
  <sheetViews>
    <sheetView zoomScaleNormal="100" zoomScaleSheetLayoutView="100" workbookViewId="0">
      <pane xSplit="6" ySplit="2" topLeftCell="G138" activePane="bottomRight" state="frozen"/>
      <selection sqref="A1:H1"/>
      <selection pane="topRight" sqref="A1:H1"/>
      <selection pane="bottomLeft" sqref="A1:H1"/>
      <selection pane="bottomRight" sqref="A1:O1"/>
    </sheetView>
  </sheetViews>
  <sheetFormatPr defaultColWidth="8.75" defaultRowHeight="15.75"/>
  <cols>
    <col min="1" max="1" width="6.75" style="307" customWidth="1"/>
    <col min="2" max="2" width="6" style="307" customWidth="1"/>
    <col min="3" max="3" width="8.75" style="307" customWidth="1"/>
    <col min="4" max="4" width="8.625" style="307" customWidth="1"/>
    <col min="5" max="5" width="28.125" style="307" customWidth="1"/>
    <col min="6" max="6" width="11.375" style="307" customWidth="1"/>
    <col min="7" max="44" width="3.125" style="307" customWidth="1"/>
    <col min="45" max="16384" width="8.75" style="307"/>
  </cols>
  <sheetData>
    <row r="1" spans="1:44" ht="34.5" customHeight="1">
      <c r="A1" s="368" t="s">
        <v>3930</v>
      </c>
      <c r="B1" s="367"/>
      <c r="C1" s="367"/>
      <c r="D1" s="367"/>
      <c r="E1" s="367"/>
      <c r="F1" s="367"/>
      <c r="G1" s="365" t="s">
        <v>3929</v>
      </c>
      <c r="H1" s="366"/>
      <c r="I1" s="366"/>
      <c r="J1" s="366"/>
      <c r="K1" s="366"/>
      <c r="L1" s="366"/>
      <c r="M1" s="366"/>
      <c r="N1" s="366"/>
      <c r="O1" s="366"/>
      <c r="P1" s="365" t="s">
        <v>3928</v>
      </c>
      <c r="Q1" s="364"/>
      <c r="R1" s="364"/>
      <c r="S1" s="364"/>
      <c r="T1" s="364"/>
      <c r="U1" s="364"/>
      <c r="V1" s="364"/>
      <c r="W1" s="364"/>
      <c r="X1" s="364"/>
      <c r="Y1" s="364"/>
      <c r="Z1" s="364"/>
      <c r="AA1" s="364"/>
      <c r="AB1" s="364"/>
      <c r="AC1" s="364"/>
      <c r="AD1" s="364"/>
      <c r="AE1" s="364"/>
      <c r="AF1" s="364"/>
      <c r="AG1" s="364"/>
      <c r="AH1" s="364"/>
      <c r="AI1" s="364"/>
      <c r="AJ1" s="364"/>
      <c r="AK1" s="364"/>
      <c r="AL1" s="364"/>
      <c r="AM1" s="364"/>
      <c r="AN1" s="364"/>
      <c r="AO1" s="364"/>
      <c r="AP1" s="364"/>
      <c r="AQ1" s="364"/>
      <c r="AR1" s="364"/>
    </row>
    <row r="2" spans="1:44" ht="26.25" customHeight="1">
      <c r="A2" s="363" t="s">
        <v>3927</v>
      </c>
      <c r="B2" s="339"/>
      <c r="C2" s="362" t="s">
        <v>3926</v>
      </c>
      <c r="D2" s="362" t="s">
        <v>3925</v>
      </c>
      <c r="E2" s="362" t="s">
        <v>3924</v>
      </c>
      <c r="F2" s="362" t="s">
        <v>3923</v>
      </c>
      <c r="G2" s="361">
        <v>23</v>
      </c>
      <c r="H2" s="361">
        <v>24</v>
      </c>
      <c r="I2" s="361">
        <v>25</v>
      </c>
      <c r="J2" s="361">
        <v>26</v>
      </c>
      <c r="K2" s="361">
        <v>27</v>
      </c>
      <c r="L2" s="361">
        <v>28</v>
      </c>
      <c r="M2" s="361">
        <v>29</v>
      </c>
      <c r="N2" s="361">
        <v>30</v>
      </c>
      <c r="O2" s="361">
        <v>31</v>
      </c>
      <c r="P2" s="361">
        <v>1</v>
      </c>
      <c r="Q2" s="361">
        <v>2</v>
      </c>
      <c r="R2" s="361">
        <v>3</v>
      </c>
      <c r="S2" s="361">
        <v>4</v>
      </c>
      <c r="T2" s="361">
        <v>5</v>
      </c>
      <c r="U2" s="361">
        <v>6</v>
      </c>
      <c r="V2" s="361">
        <v>7</v>
      </c>
      <c r="W2" s="361">
        <v>8</v>
      </c>
      <c r="X2" s="361">
        <v>9</v>
      </c>
      <c r="Y2" s="361">
        <v>10</v>
      </c>
      <c r="Z2" s="361">
        <v>11</v>
      </c>
      <c r="AA2" s="361">
        <v>12</v>
      </c>
      <c r="AB2" s="361">
        <v>13</v>
      </c>
      <c r="AC2" s="361">
        <v>14</v>
      </c>
      <c r="AD2" s="361">
        <v>15</v>
      </c>
      <c r="AE2" s="361">
        <v>16</v>
      </c>
      <c r="AF2" s="361">
        <v>17</v>
      </c>
      <c r="AG2" s="361">
        <v>18</v>
      </c>
      <c r="AH2" s="361">
        <v>19</v>
      </c>
      <c r="AI2" s="361">
        <v>20</v>
      </c>
      <c r="AJ2" s="361">
        <v>21</v>
      </c>
      <c r="AK2" s="361">
        <v>22</v>
      </c>
      <c r="AL2" s="361">
        <v>23</v>
      </c>
      <c r="AM2" s="361">
        <v>24</v>
      </c>
      <c r="AN2" s="361">
        <v>25</v>
      </c>
      <c r="AO2" s="361">
        <v>26</v>
      </c>
      <c r="AP2" s="361">
        <v>27</v>
      </c>
      <c r="AQ2" s="361">
        <v>28</v>
      </c>
      <c r="AR2" s="361">
        <v>29</v>
      </c>
    </row>
    <row r="3" spans="1:44" ht="16.5">
      <c r="A3" s="350" t="s">
        <v>3922</v>
      </c>
      <c r="B3" s="339"/>
      <c r="C3" s="349" t="s">
        <v>3921</v>
      </c>
      <c r="D3" s="348"/>
      <c r="E3" s="341" t="s">
        <v>3920</v>
      </c>
      <c r="F3" s="338"/>
      <c r="G3" s="342"/>
      <c r="H3" s="342"/>
      <c r="I3" s="342"/>
      <c r="J3" s="342"/>
      <c r="K3" s="342"/>
      <c r="L3" s="342"/>
      <c r="M3" s="342"/>
      <c r="N3" s="342"/>
      <c r="O3" s="342"/>
      <c r="P3" s="342"/>
      <c r="Q3" s="342"/>
      <c r="R3" s="342"/>
      <c r="S3" s="342"/>
      <c r="T3" s="342"/>
      <c r="U3" s="342"/>
      <c r="V3" s="342"/>
      <c r="W3" s="342"/>
      <c r="X3" s="342"/>
      <c r="Y3" s="342"/>
      <c r="Z3" s="342"/>
      <c r="AA3" s="342"/>
      <c r="AB3" s="342"/>
      <c r="AC3" s="342"/>
      <c r="AD3" s="342"/>
      <c r="AE3" s="342"/>
      <c r="AF3" s="342"/>
      <c r="AG3" s="342"/>
      <c r="AH3" s="342"/>
      <c r="AI3" s="342"/>
      <c r="AJ3" s="342"/>
      <c r="AK3" s="342"/>
      <c r="AL3" s="342"/>
      <c r="AM3" s="342"/>
      <c r="AN3" s="342"/>
      <c r="AO3" s="342"/>
      <c r="AP3" s="342"/>
      <c r="AQ3" s="342"/>
      <c r="AR3" s="342"/>
    </row>
    <row r="4" spans="1:44" ht="16.5">
      <c r="A4" s="339"/>
      <c r="B4" s="339"/>
      <c r="C4" s="339"/>
      <c r="D4" s="348"/>
      <c r="E4" s="341"/>
      <c r="F4" s="338"/>
      <c r="G4" s="342"/>
      <c r="H4" s="342"/>
      <c r="I4" s="342"/>
      <c r="J4" s="342"/>
      <c r="K4" s="342"/>
      <c r="L4" s="342"/>
      <c r="M4" s="342"/>
      <c r="N4" s="342"/>
      <c r="O4" s="342"/>
      <c r="P4" s="342"/>
      <c r="Q4" s="342"/>
      <c r="R4" s="342"/>
      <c r="S4" s="342"/>
      <c r="T4" s="342"/>
      <c r="U4" s="342"/>
      <c r="V4" s="342"/>
      <c r="W4" s="342"/>
      <c r="X4" s="342"/>
      <c r="Y4" s="342"/>
      <c r="Z4" s="342"/>
      <c r="AA4" s="342"/>
      <c r="AB4" s="342"/>
      <c r="AC4" s="342"/>
      <c r="AD4" s="342"/>
      <c r="AE4" s="342"/>
      <c r="AF4" s="342"/>
      <c r="AG4" s="342"/>
      <c r="AH4" s="342"/>
      <c r="AI4" s="342"/>
      <c r="AJ4" s="342"/>
      <c r="AK4" s="342"/>
      <c r="AL4" s="342"/>
      <c r="AM4" s="342"/>
      <c r="AN4" s="342"/>
      <c r="AO4" s="342"/>
      <c r="AP4" s="342"/>
      <c r="AQ4" s="342"/>
      <c r="AR4" s="342"/>
    </row>
    <row r="5" spans="1:44" ht="20.25" customHeight="1">
      <c r="A5" s="339"/>
      <c r="B5" s="339"/>
      <c r="C5" s="349" t="s">
        <v>3919</v>
      </c>
      <c r="D5" s="348"/>
      <c r="E5" s="341" t="s">
        <v>3918</v>
      </c>
      <c r="F5" s="340"/>
      <c r="G5" s="342"/>
      <c r="H5" s="342"/>
      <c r="I5" s="342"/>
      <c r="J5" s="342"/>
      <c r="K5" s="342"/>
      <c r="L5" s="342"/>
      <c r="M5" s="342"/>
      <c r="N5" s="342"/>
      <c r="O5" s="342"/>
      <c r="P5" s="342"/>
      <c r="Q5" s="342"/>
      <c r="R5" s="342"/>
      <c r="S5" s="342"/>
      <c r="T5" s="342"/>
      <c r="U5" s="342"/>
      <c r="V5" s="342"/>
      <c r="W5" s="342"/>
      <c r="X5" s="342"/>
      <c r="Y5" s="342"/>
      <c r="Z5" s="342"/>
      <c r="AA5" s="342"/>
      <c r="AB5" s="342"/>
      <c r="AC5" s="342"/>
      <c r="AD5" s="342"/>
      <c r="AE5" s="342"/>
      <c r="AF5" s="342"/>
      <c r="AG5" s="342"/>
      <c r="AH5" s="342"/>
      <c r="AI5" s="342"/>
      <c r="AJ5" s="342"/>
      <c r="AK5" s="342"/>
      <c r="AL5" s="342"/>
      <c r="AM5" s="342"/>
      <c r="AN5" s="342"/>
      <c r="AO5" s="342"/>
      <c r="AP5" s="342"/>
      <c r="AQ5" s="342"/>
      <c r="AR5" s="342"/>
    </row>
    <row r="6" spans="1:44" ht="16.5">
      <c r="A6" s="339"/>
      <c r="B6" s="339"/>
      <c r="C6" s="339"/>
      <c r="D6" s="348"/>
      <c r="E6" s="341" t="s">
        <v>3917</v>
      </c>
      <c r="F6" s="339"/>
      <c r="G6" s="342"/>
      <c r="H6" s="342"/>
      <c r="I6" s="342"/>
      <c r="J6" s="342"/>
      <c r="K6" s="342"/>
      <c r="L6" s="342"/>
      <c r="M6" s="342"/>
      <c r="N6" s="342"/>
      <c r="O6" s="342"/>
      <c r="P6" s="342"/>
      <c r="Q6" s="342"/>
      <c r="R6" s="342"/>
      <c r="S6" s="342"/>
      <c r="T6" s="342"/>
      <c r="U6" s="342"/>
      <c r="V6" s="342"/>
      <c r="W6" s="342"/>
      <c r="X6" s="342"/>
      <c r="Y6" s="342"/>
      <c r="Z6" s="342"/>
      <c r="AA6" s="342"/>
      <c r="AB6" s="342"/>
      <c r="AC6" s="342"/>
      <c r="AD6" s="342"/>
      <c r="AE6" s="342"/>
      <c r="AF6" s="342"/>
      <c r="AG6" s="342"/>
      <c r="AH6" s="342"/>
      <c r="AI6" s="342"/>
      <c r="AJ6" s="342"/>
      <c r="AK6" s="342"/>
      <c r="AL6" s="342"/>
      <c r="AM6" s="342"/>
      <c r="AN6" s="342"/>
      <c r="AO6" s="342"/>
      <c r="AP6" s="342"/>
      <c r="AQ6" s="342"/>
      <c r="AR6" s="342"/>
    </row>
    <row r="7" spans="1:44" ht="16.5">
      <c r="A7" s="339"/>
      <c r="B7" s="339"/>
      <c r="C7" s="349"/>
      <c r="D7" s="348"/>
      <c r="E7" s="341" t="s">
        <v>3916</v>
      </c>
      <c r="F7" s="340"/>
      <c r="G7" s="342"/>
      <c r="H7" s="342"/>
      <c r="I7" s="342"/>
      <c r="J7" s="342"/>
      <c r="K7" s="342"/>
      <c r="L7" s="342"/>
      <c r="M7" s="342"/>
      <c r="N7" s="342"/>
      <c r="O7" s="342"/>
      <c r="P7" s="342"/>
      <c r="Q7" s="342"/>
      <c r="R7" s="342"/>
      <c r="S7" s="342"/>
      <c r="T7" s="342"/>
      <c r="U7" s="342"/>
      <c r="V7" s="342"/>
      <c r="W7" s="342"/>
      <c r="X7" s="342"/>
      <c r="Y7" s="342"/>
      <c r="Z7" s="342"/>
      <c r="AA7" s="342"/>
      <c r="AB7" s="342"/>
      <c r="AC7" s="342"/>
      <c r="AD7" s="342"/>
      <c r="AE7" s="342"/>
      <c r="AF7" s="342"/>
      <c r="AG7" s="342"/>
      <c r="AH7" s="342"/>
      <c r="AI7" s="342"/>
      <c r="AJ7" s="342"/>
      <c r="AK7" s="342"/>
      <c r="AL7" s="342"/>
      <c r="AM7" s="342"/>
      <c r="AN7" s="342"/>
      <c r="AO7" s="342"/>
      <c r="AP7" s="342"/>
      <c r="AQ7" s="342"/>
      <c r="AR7" s="342"/>
    </row>
    <row r="8" spans="1:44" ht="16.5">
      <c r="A8" s="339"/>
      <c r="B8" s="339"/>
      <c r="C8" s="339"/>
      <c r="D8" s="348"/>
      <c r="E8" s="341" t="s">
        <v>3915</v>
      </c>
      <c r="F8" s="339"/>
      <c r="G8" s="344"/>
      <c r="H8" s="344"/>
      <c r="I8" s="344"/>
      <c r="J8" s="344"/>
      <c r="K8" s="344"/>
      <c r="L8" s="344"/>
      <c r="M8" s="344"/>
      <c r="N8" s="342"/>
      <c r="O8" s="344"/>
      <c r="P8" s="344"/>
      <c r="Q8" s="344"/>
      <c r="R8" s="344"/>
      <c r="S8" s="344"/>
      <c r="T8" s="344"/>
      <c r="U8" s="344"/>
      <c r="V8" s="351"/>
      <c r="W8" s="351"/>
      <c r="X8" s="351"/>
      <c r="Y8" s="344"/>
      <c r="Z8" s="344"/>
      <c r="AA8" s="344"/>
      <c r="AB8" s="344"/>
      <c r="AC8" s="342"/>
      <c r="AD8" s="344"/>
      <c r="AE8" s="344"/>
      <c r="AF8" s="344"/>
      <c r="AG8" s="344"/>
      <c r="AH8" s="344"/>
      <c r="AI8" s="344"/>
      <c r="AJ8" s="344"/>
      <c r="AK8" s="344"/>
      <c r="AL8" s="344"/>
      <c r="AM8" s="344"/>
      <c r="AN8" s="344"/>
      <c r="AO8" s="344"/>
      <c r="AP8" s="344"/>
      <c r="AQ8" s="344"/>
      <c r="AR8" s="342"/>
    </row>
    <row r="9" spans="1:44" ht="16.5">
      <c r="A9" s="339"/>
      <c r="B9" s="339"/>
      <c r="C9" s="339"/>
      <c r="D9" s="348"/>
      <c r="E9" s="341" t="s">
        <v>3914</v>
      </c>
      <c r="F9" s="339"/>
      <c r="G9" s="344"/>
      <c r="H9" s="344"/>
      <c r="I9" s="344"/>
      <c r="J9" s="344"/>
      <c r="K9" s="344"/>
      <c r="L9" s="344"/>
      <c r="M9" s="344"/>
      <c r="N9" s="342"/>
      <c r="O9" s="344"/>
      <c r="P9" s="344"/>
      <c r="Q9" s="344"/>
      <c r="R9" s="344"/>
      <c r="S9" s="344"/>
      <c r="T9" s="344"/>
      <c r="U9" s="344"/>
      <c r="V9" s="351"/>
      <c r="W9" s="351"/>
      <c r="X9" s="351"/>
      <c r="Y9" s="344"/>
      <c r="Z9" s="344"/>
      <c r="AA9" s="344"/>
      <c r="AB9" s="344"/>
      <c r="AC9" s="342"/>
      <c r="AD9" s="344"/>
      <c r="AE9" s="344"/>
      <c r="AF9" s="344"/>
      <c r="AG9" s="344"/>
      <c r="AH9" s="344"/>
      <c r="AI9" s="344"/>
      <c r="AJ9" s="344"/>
      <c r="AK9" s="344"/>
      <c r="AL9" s="344"/>
      <c r="AM9" s="344"/>
      <c r="AN9" s="344"/>
      <c r="AO9" s="344"/>
      <c r="AP9" s="344"/>
      <c r="AQ9" s="344"/>
      <c r="AR9" s="342"/>
    </row>
    <row r="10" spans="1:44" ht="16.5">
      <c r="A10" s="339"/>
      <c r="B10" s="339"/>
      <c r="C10" s="339"/>
      <c r="D10" s="348"/>
      <c r="E10" s="341" t="s">
        <v>3913</v>
      </c>
      <c r="F10" s="339"/>
      <c r="G10" s="344"/>
      <c r="H10" s="344"/>
      <c r="I10" s="344"/>
      <c r="J10" s="344"/>
      <c r="K10" s="344"/>
      <c r="L10" s="344"/>
      <c r="M10" s="344"/>
      <c r="N10" s="342"/>
      <c r="O10" s="344"/>
      <c r="P10" s="344"/>
      <c r="Q10" s="344"/>
      <c r="R10" s="344"/>
      <c r="S10" s="344"/>
      <c r="T10" s="344"/>
      <c r="U10" s="344"/>
      <c r="V10" s="351"/>
      <c r="W10" s="351"/>
      <c r="X10" s="351"/>
      <c r="Y10" s="344"/>
      <c r="Z10" s="344"/>
      <c r="AA10" s="344"/>
      <c r="AB10" s="344"/>
      <c r="AC10" s="342"/>
      <c r="AD10" s="344"/>
      <c r="AE10" s="344"/>
      <c r="AF10" s="344"/>
      <c r="AG10" s="344"/>
      <c r="AH10" s="344"/>
      <c r="AI10" s="344"/>
      <c r="AJ10" s="344"/>
      <c r="AK10" s="344"/>
      <c r="AL10" s="344"/>
      <c r="AM10" s="344"/>
      <c r="AN10" s="344"/>
      <c r="AO10" s="344"/>
      <c r="AP10" s="344"/>
      <c r="AQ10" s="344"/>
      <c r="AR10" s="342"/>
    </row>
    <row r="11" spans="1:44" ht="16.5">
      <c r="A11" s="339"/>
      <c r="B11" s="339"/>
      <c r="C11" s="339"/>
      <c r="D11" s="348"/>
      <c r="E11" s="341" t="s">
        <v>3912</v>
      </c>
      <c r="F11" s="339"/>
      <c r="G11" s="344"/>
      <c r="H11" s="344"/>
      <c r="I11" s="344"/>
      <c r="J11" s="344"/>
      <c r="K11" s="344"/>
      <c r="L11" s="344"/>
      <c r="M11" s="344"/>
      <c r="N11" s="342"/>
      <c r="O11" s="344"/>
      <c r="P11" s="344"/>
      <c r="Q11" s="344"/>
      <c r="R11" s="344"/>
      <c r="S11" s="344"/>
      <c r="T11" s="344"/>
      <c r="U11" s="344"/>
      <c r="V11" s="351"/>
      <c r="W11" s="351"/>
      <c r="X11" s="351"/>
      <c r="Y11" s="344"/>
      <c r="Z11" s="344"/>
      <c r="AA11" s="344"/>
      <c r="AB11" s="344"/>
      <c r="AC11" s="342"/>
      <c r="AD11" s="344"/>
      <c r="AE11" s="344"/>
      <c r="AF11" s="344"/>
      <c r="AG11" s="344"/>
      <c r="AH11" s="344"/>
      <c r="AI11" s="344"/>
      <c r="AJ11" s="344"/>
      <c r="AK11" s="344"/>
      <c r="AL11" s="344"/>
      <c r="AM11" s="344"/>
      <c r="AN11" s="344"/>
      <c r="AO11" s="344"/>
      <c r="AP11" s="344"/>
      <c r="AQ11" s="344"/>
      <c r="AR11" s="342"/>
    </row>
    <row r="12" spans="1:44" ht="16.5">
      <c r="A12" s="339"/>
      <c r="B12" s="339"/>
      <c r="C12" s="360" t="s">
        <v>3911</v>
      </c>
      <c r="D12" s="348"/>
      <c r="E12" s="341" t="s">
        <v>3910</v>
      </c>
      <c r="F12" s="338"/>
      <c r="G12" s="342"/>
      <c r="H12" s="345"/>
      <c r="I12" s="344"/>
      <c r="J12" s="344"/>
      <c r="K12" s="344"/>
      <c r="L12" s="344"/>
      <c r="M12" s="344"/>
      <c r="N12" s="344"/>
      <c r="O12" s="344"/>
      <c r="P12" s="344"/>
      <c r="Q12" s="344"/>
      <c r="R12" s="344"/>
      <c r="S12" s="344"/>
      <c r="T12" s="344"/>
      <c r="U12" s="344"/>
      <c r="V12" s="351"/>
      <c r="W12" s="351"/>
      <c r="X12" s="351"/>
      <c r="Y12" s="344"/>
      <c r="Z12" s="344"/>
      <c r="AA12" s="344"/>
      <c r="AB12" s="344"/>
      <c r="AC12" s="344"/>
      <c r="AD12" s="344"/>
      <c r="AE12" s="344"/>
      <c r="AF12" s="344"/>
      <c r="AG12" s="344"/>
      <c r="AH12" s="344"/>
      <c r="AI12" s="344"/>
      <c r="AJ12" s="344"/>
      <c r="AK12" s="344"/>
      <c r="AL12" s="344"/>
      <c r="AM12" s="344"/>
      <c r="AN12" s="344"/>
      <c r="AO12" s="344"/>
      <c r="AP12" s="344"/>
      <c r="AQ12" s="344"/>
      <c r="AR12" s="344"/>
    </row>
    <row r="13" spans="1:44" ht="16.5">
      <c r="A13" s="339"/>
      <c r="B13" s="339"/>
      <c r="C13" s="340"/>
      <c r="D13" s="348"/>
      <c r="E13" s="341" t="s">
        <v>3909</v>
      </c>
      <c r="F13" s="338"/>
      <c r="G13" s="344"/>
      <c r="H13" s="344"/>
      <c r="I13" s="345"/>
      <c r="J13" s="344"/>
      <c r="K13" s="344"/>
      <c r="L13" s="344"/>
      <c r="M13" s="344"/>
      <c r="N13" s="344"/>
      <c r="O13" s="344"/>
      <c r="P13" s="344"/>
      <c r="Q13" s="344"/>
      <c r="R13" s="344"/>
      <c r="S13" s="344"/>
      <c r="T13" s="344"/>
      <c r="U13" s="344"/>
      <c r="V13" s="351"/>
      <c r="W13" s="351"/>
      <c r="X13" s="351"/>
      <c r="Y13" s="344"/>
      <c r="Z13" s="344"/>
      <c r="AA13" s="344"/>
      <c r="AB13" s="344"/>
      <c r="AC13" s="344"/>
      <c r="AD13" s="344"/>
      <c r="AE13" s="344"/>
      <c r="AF13" s="344"/>
      <c r="AG13" s="344"/>
      <c r="AH13" s="344"/>
      <c r="AI13" s="344"/>
      <c r="AJ13" s="344"/>
      <c r="AK13" s="344"/>
      <c r="AL13" s="344"/>
      <c r="AM13" s="344"/>
      <c r="AN13" s="344"/>
      <c r="AO13" s="344"/>
      <c r="AP13" s="344"/>
      <c r="AQ13" s="344"/>
      <c r="AR13" s="344"/>
    </row>
    <row r="14" spans="1:44" ht="16.5">
      <c r="A14" s="339"/>
      <c r="B14" s="339"/>
      <c r="C14" s="340"/>
      <c r="D14" s="348"/>
      <c r="E14" s="341" t="s">
        <v>3908</v>
      </c>
      <c r="F14" s="338"/>
      <c r="G14" s="344"/>
      <c r="H14" s="344"/>
      <c r="I14" s="344"/>
      <c r="J14" s="345"/>
      <c r="K14" s="344"/>
      <c r="L14" s="344"/>
      <c r="M14" s="344"/>
      <c r="N14" s="344"/>
      <c r="O14" s="344"/>
      <c r="P14" s="344"/>
      <c r="Q14" s="344"/>
      <c r="R14" s="344"/>
      <c r="S14" s="344"/>
      <c r="T14" s="344"/>
      <c r="U14" s="344"/>
      <c r="V14" s="351"/>
      <c r="W14" s="351"/>
      <c r="X14" s="351"/>
      <c r="Y14" s="344"/>
      <c r="Z14" s="344"/>
      <c r="AA14" s="344"/>
      <c r="AB14" s="344"/>
      <c r="AC14" s="344"/>
      <c r="AD14" s="344"/>
      <c r="AE14" s="344"/>
      <c r="AF14" s="344"/>
      <c r="AG14" s="344"/>
      <c r="AH14" s="344"/>
      <c r="AI14" s="344"/>
      <c r="AJ14" s="344"/>
      <c r="AK14" s="344"/>
      <c r="AL14" s="344"/>
      <c r="AM14" s="344"/>
      <c r="AN14" s="344"/>
      <c r="AO14" s="344"/>
      <c r="AP14" s="344"/>
      <c r="AQ14" s="344"/>
      <c r="AR14" s="344"/>
    </row>
    <row r="15" spans="1:44" ht="16.5">
      <c r="A15" s="339"/>
      <c r="B15" s="339"/>
      <c r="C15" s="340"/>
      <c r="D15" s="348"/>
      <c r="E15" s="341" t="s">
        <v>3907</v>
      </c>
      <c r="F15" s="338"/>
      <c r="G15" s="344"/>
      <c r="H15" s="344"/>
      <c r="I15" s="344"/>
      <c r="J15" s="344"/>
      <c r="K15" s="342"/>
      <c r="L15" s="342"/>
      <c r="M15" s="342"/>
      <c r="N15" s="345"/>
      <c r="O15" s="344"/>
      <c r="P15" s="344"/>
      <c r="Q15" s="344"/>
      <c r="R15" s="344"/>
      <c r="S15" s="344"/>
      <c r="T15" s="344"/>
      <c r="U15" s="344"/>
      <c r="V15" s="351"/>
      <c r="W15" s="351"/>
      <c r="X15" s="351"/>
      <c r="Y15" s="344"/>
      <c r="Z15" s="344"/>
      <c r="AA15" s="344"/>
      <c r="AB15" s="344"/>
      <c r="AC15" s="344"/>
      <c r="AD15" s="344"/>
      <c r="AE15" s="344"/>
      <c r="AF15" s="344"/>
      <c r="AG15" s="344"/>
      <c r="AH15" s="344"/>
      <c r="AI15" s="344"/>
      <c r="AJ15" s="344"/>
      <c r="AK15" s="344"/>
      <c r="AL15" s="344"/>
      <c r="AM15" s="344"/>
      <c r="AN15" s="344"/>
      <c r="AO15" s="344"/>
      <c r="AP15" s="344"/>
      <c r="AQ15" s="344"/>
      <c r="AR15" s="344"/>
    </row>
    <row r="16" spans="1:44" ht="16.5">
      <c r="A16" s="339"/>
      <c r="B16" s="339"/>
      <c r="C16" s="340"/>
      <c r="D16" s="348"/>
      <c r="E16" s="341" t="s">
        <v>3906</v>
      </c>
      <c r="F16" s="338"/>
      <c r="G16" s="344"/>
      <c r="H16" s="344"/>
      <c r="I16" s="344"/>
      <c r="J16" s="344"/>
      <c r="K16" s="344"/>
      <c r="L16" s="344"/>
      <c r="M16" s="344"/>
      <c r="N16" s="342"/>
      <c r="O16" s="345"/>
      <c r="P16" s="344"/>
      <c r="Q16" s="344"/>
      <c r="R16" s="344"/>
      <c r="S16" s="344"/>
      <c r="T16" s="344"/>
      <c r="U16" s="344"/>
      <c r="V16" s="351"/>
      <c r="W16" s="351"/>
      <c r="X16" s="351"/>
      <c r="Y16" s="344"/>
      <c r="Z16" s="344"/>
      <c r="AA16" s="344"/>
      <c r="AB16" s="344"/>
      <c r="AC16" s="344"/>
      <c r="AD16" s="344"/>
      <c r="AE16" s="344"/>
      <c r="AF16" s="344"/>
      <c r="AG16" s="344"/>
      <c r="AH16" s="344"/>
      <c r="AI16" s="344"/>
      <c r="AJ16" s="344"/>
      <c r="AK16" s="344"/>
      <c r="AL16" s="344"/>
      <c r="AM16" s="344"/>
      <c r="AN16" s="344"/>
      <c r="AO16" s="344"/>
      <c r="AP16" s="344"/>
      <c r="AQ16" s="344"/>
      <c r="AR16" s="344"/>
    </row>
    <row r="17" spans="1:44" ht="16.5">
      <c r="A17" s="339"/>
      <c r="B17" s="339"/>
      <c r="C17" s="339"/>
      <c r="D17" s="348"/>
      <c r="E17" s="341"/>
      <c r="F17" s="338"/>
      <c r="G17" s="344"/>
      <c r="H17" s="344"/>
      <c r="I17" s="344"/>
      <c r="J17" s="344"/>
      <c r="K17" s="344"/>
      <c r="L17" s="344"/>
      <c r="M17" s="344"/>
      <c r="N17" s="344"/>
      <c r="O17" s="345"/>
      <c r="P17" s="344"/>
      <c r="Q17" s="344"/>
      <c r="R17" s="344"/>
      <c r="S17" s="344"/>
      <c r="T17" s="344"/>
      <c r="U17" s="344"/>
      <c r="V17" s="351"/>
      <c r="W17" s="351"/>
      <c r="X17" s="351"/>
      <c r="Y17" s="344"/>
      <c r="Z17" s="344"/>
      <c r="AA17" s="344"/>
      <c r="AB17" s="344"/>
      <c r="AC17" s="344"/>
      <c r="AD17" s="344"/>
      <c r="AE17" s="344"/>
      <c r="AF17" s="344"/>
      <c r="AG17" s="344"/>
      <c r="AH17" s="344"/>
      <c r="AI17" s="344"/>
      <c r="AJ17" s="344"/>
      <c r="AK17" s="344"/>
      <c r="AL17" s="344"/>
      <c r="AM17" s="344"/>
      <c r="AN17" s="344"/>
      <c r="AO17" s="344"/>
      <c r="AP17" s="344"/>
      <c r="AQ17" s="344"/>
      <c r="AR17" s="344"/>
    </row>
    <row r="18" spans="1:44" ht="16.5">
      <c r="A18" s="339"/>
      <c r="B18" s="339"/>
      <c r="C18" s="360" t="s">
        <v>3905</v>
      </c>
      <c r="D18" s="336"/>
      <c r="E18" s="341" t="s">
        <v>3904</v>
      </c>
      <c r="F18" s="338"/>
      <c r="G18" s="342"/>
      <c r="H18" s="342"/>
      <c r="I18" s="342"/>
      <c r="J18" s="342"/>
      <c r="K18" s="342"/>
      <c r="L18" s="342"/>
      <c r="M18" s="342"/>
      <c r="N18" s="342"/>
      <c r="O18" s="342"/>
      <c r="P18" s="342"/>
      <c r="Q18" s="342"/>
      <c r="R18" s="342"/>
      <c r="S18" s="342"/>
      <c r="T18" s="342"/>
      <c r="U18" s="342"/>
      <c r="V18" s="342"/>
      <c r="W18" s="342"/>
      <c r="X18" s="342"/>
      <c r="Y18" s="342"/>
      <c r="Z18" s="342"/>
      <c r="AA18" s="342"/>
      <c r="AB18" s="342"/>
      <c r="AC18" s="342"/>
      <c r="AD18" s="342"/>
      <c r="AE18" s="342"/>
      <c r="AF18" s="342"/>
      <c r="AG18" s="342"/>
      <c r="AH18" s="342"/>
      <c r="AI18" s="342"/>
      <c r="AJ18" s="342"/>
      <c r="AK18" s="342"/>
      <c r="AL18" s="342"/>
      <c r="AM18" s="342"/>
      <c r="AN18" s="342"/>
      <c r="AO18" s="342"/>
      <c r="AP18" s="342"/>
      <c r="AQ18" s="342"/>
      <c r="AR18" s="342"/>
    </row>
    <row r="19" spans="1:44" ht="16.5">
      <c r="A19" s="339"/>
      <c r="B19" s="339"/>
      <c r="C19" s="339"/>
      <c r="D19" s="348"/>
      <c r="E19" s="341" t="s">
        <v>3903</v>
      </c>
      <c r="F19" s="338"/>
      <c r="G19" s="342"/>
      <c r="H19" s="342"/>
      <c r="I19" s="342"/>
      <c r="J19" s="342"/>
      <c r="K19" s="342"/>
      <c r="L19" s="342"/>
      <c r="M19" s="342"/>
      <c r="N19" s="342"/>
      <c r="O19" s="342"/>
      <c r="P19" s="342"/>
      <c r="Q19" s="342"/>
      <c r="R19" s="342"/>
      <c r="S19" s="342"/>
      <c r="T19" s="342"/>
      <c r="U19" s="342"/>
      <c r="V19" s="342"/>
      <c r="W19" s="342"/>
      <c r="X19" s="342"/>
      <c r="Y19" s="342"/>
      <c r="Z19" s="342"/>
      <c r="AA19" s="342"/>
      <c r="AB19" s="342"/>
      <c r="AC19" s="342"/>
      <c r="AD19" s="342"/>
      <c r="AE19" s="342"/>
      <c r="AF19" s="342"/>
      <c r="AG19" s="342"/>
      <c r="AH19" s="342"/>
      <c r="AI19" s="342"/>
      <c r="AJ19" s="342"/>
      <c r="AK19" s="342"/>
      <c r="AL19" s="342"/>
      <c r="AM19" s="342"/>
      <c r="AN19" s="342"/>
      <c r="AO19" s="342"/>
      <c r="AP19" s="342"/>
      <c r="AQ19" s="342"/>
      <c r="AR19" s="342"/>
    </row>
    <row r="20" spans="1:44" ht="16.5">
      <c r="A20" s="347" t="s">
        <v>3902</v>
      </c>
      <c r="B20" s="339"/>
      <c r="C20" s="346" t="s">
        <v>3901</v>
      </c>
      <c r="D20" s="338"/>
      <c r="E20" s="338" t="s">
        <v>3900</v>
      </c>
      <c r="F20" s="338"/>
      <c r="G20" s="342"/>
      <c r="H20" s="345"/>
      <c r="I20" s="343"/>
      <c r="J20" s="343"/>
      <c r="K20" s="343"/>
      <c r="L20" s="343"/>
      <c r="M20" s="343"/>
      <c r="N20" s="343"/>
      <c r="O20" s="343"/>
      <c r="P20" s="343"/>
      <c r="Q20" s="343"/>
      <c r="R20" s="343"/>
      <c r="S20" s="343"/>
      <c r="T20" s="343"/>
      <c r="U20" s="343"/>
      <c r="V20" s="343"/>
      <c r="W20" s="343"/>
      <c r="X20" s="343"/>
      <c r="Y20" s="343"/>
      <c r="Z20" s="343"/>
      <c r="AA20" s="343"/>
      <c r="AB20" s="343"/>
      <c r="AC20" s="343"/>
      <c r="AD20" s="343"/>
      <c r="AE20" s="343"/>
      <c r="AF20" s="343"/>
      <c r="AG20" s="343"/>
      <c r="AH20" s="343"/>
      <c r="AI20" s="343"/>
      <c r="AJ20" s="343"/>
      <c r="AK20" s="343"/>
      <c r="AL20" s="343"/>
      <c r="AM20" s="343"/>
      <c r="AN20" s="343"/>
      <c r="AO20" s="344"/>
      <c r="AP20" s="344"/>
      <c r="AQ20" s="344"/>
      <c r="AR20" s="344"/>
    </row>
    <row r="21" spans="1:44" ht="16.5">
      <c r="A21" s="339"/>
      <c r="B21" s="339"/>
      <c r="C21" s="339"/>
      <c r="D21" s="338"/>
      <c r="E21" s="338" t="s">
        <v>3899</v>
      </c>
      <c r="F21" s="338"/>
      <c r="G21" s="342"/>
      <c r="H21" s="345"/>
      <c r="I21" s="343"/>
      <c r="J21" s="343"/>
      <c r="K21" s="343"/>
      <c r="L21" s="343"/>
      <c r="M21" s="343"/>
      <c r="N21" s="343"/>
      <c r="O21" s="343"/>
      <c r="P21" s="343"/>
      <c r="Q21" s="343"/>
      <c r="R21" s="343"/>
      <c r="S21" s="343"/>
      <c r="T21" s="343"/>
      <c r="U21" s="343"/>
      <c r="V21" s="343"/>
      <c r="W21" s="343"/>
      <c r="X21" s="343"/>
      <c r="Y21" s="343"/>
      <c r="Z21" s="343"/>
      <c r="AA21" s="343"/>
      <c r="AB21" s="343"/>
      <c r="AC21" s="343"/>
      <c r="AD21" s="343"/>
      <c r="AE21" s="343"/>
      <c r="AF21" s="343"/>
      <c r="AG21" s="343"/>
      <c r="AH21" s="343"/>
      <c r="AI21" s="343"/>
      <c r="AJ21" s="343"/>
      <c r="AK21" s="343"/>
      <c r="AL21" s="343"/>
      <c r="AM21" s="343"/>
      <c r="AN21" s="343"/>
      <c r="AO21" s="344"/>
      <c r="AP21" s="344"/>
      <c r="AQ21" s="344"/>
      <c r="AR21" s="344"/>
    </row>
    <row r="22" spans="1:44" ht="16.5">
      <c r="A22" s="339"/>
      <c r="B22" s="339"/>
      <c r="C22" s="339"/>
      <c r="D22" s="338"/>
      <c r="E22" s="338" t="s">
        <v>3898</v>
      </c>
      <c r="F22" s="338"/>
      <c r="G22" s="342"/>
      <c r="H22" s="345"/>
      <c r="I22" s="343"/>
      <c r="J22" s="343"/>
      <c r="K22" s="343"/>
      <c r="L22" s="343"/>
      <c r="M22" s="343"/>
      <c r="N22" s="343"/>
      <c r="O22" s="343"/>
      <c r="P22" s="343"/>
      <c r="Q22" s="343"/>
      <c r="R22" s="343"/>
      <c r="S22" s="343"/>
      <c r="T22" s="343"/>
      <c r="U22" s="343"/>
      <c r="V22" s="343"/>
      <c r="W22" s="343"/>
      <c r="X22" s="343"/>
      <c r="Y22" s="343"/>
      <c r="Z22" s="343"/>
      <c r="AA22" s="343"/>
      <c r="AB22" s="343"/>
      <c r="AC22" s="343"/>
      <c r="AD22" s="343"/>
      <c r="AE22" s="343"/>
      <c r="AF22" s="343"/>
      <c r="AG22" s="343"/>
      <c r="AH22" s="343"/>
      <c r="AI22" s="343"/>
      <c r="AJ22" s="343"/>
      <c r="AK22" s="343"/>
      <c r="AL22" s="343"/>
      <c r="AM22" s="343"/>
      <c r="AN22" s="343"/>
      <c r="AO22" s="344"/>
      <c r="AP22" s="344"/>
      <c r="AQ22" s="344"/>
      <c r="AR22" s="344"/>
    </row>
    <row r="23" spans="1:44" ht="16.5">
      <c r="A23" s="339"/>
      <c r="B23" s="339"/>
      <c r="C23" s="339"/>
      <c r="D23" s="338"/>
      <c r="E23" s="338" t="s">
        <v>3897</v>
      </c>
      <c r="F23" s="338"/>
      <c r="G23" s="343"/>
      <c r="H23" s="342"/>
      <c r="I23" s="342"/>
      <c r="J23" s="342"/>
      <c r="K23" s="345"/>
      <c r="L23" s="343"/>
      <c r="M23" s="343"/>
      <c r="N23" s="343"/>
      <c r="O23" s="343"/>
      <c r="P23" s="343"/>
      <c r="Q23" s="343"/>
      <c r="R23" s="343"/>
      <c r="S23" s="343"/>
      <c r="T23" s="343"/>
      <c r="U23" s="343"/>
      <c r="V23" s="343"/>
      <c r="W23" s="343"/>
      <c r="X23" s="343"/>
      <c r="Y23" s="343"/>
      <c r="Z23" s="343"/>
      <c r="AA23" s="343"/>
      <c r="AB23" s="343"/>
      <c r="AC23" s="343"/>
      <c r="AD23" s="343"/>
      <c r="AE23" s="343"/>
      <c r="AF23" s="343"/>
      <c r="AG23" s="343"/>
      <c r="AH23" s="343"/>
      <c r="AI23" s="343"/>
      <c r="AJ23" s="343"/>
      <c r="AK23" s="343"/>
      <c r="AL23" s="343"/>
      <c r="AM23" s="343"/>
      <c r="AN23" s="343"/>
      <c r="AO23" s="344"/>
      <c r="AP23" s="344"/>
      <c r="AQ23" s="344"/>
      <c r="AR23" s="344"/>
    </row>
    <row r="24" spans="1:44" ht="16.5">
      <c r="A24" s="339"/>
      <c r="B24" s="339"/>
      <c r="C24" s="339"/>
      <c r="D24" s="338"/>
      <c r="E24" s="338" t="s">
        <v>3896</v>
      </c>
      <c r="F24" s="338"/>
      <c r="G24" s="343"/>
      <c r="H24" s="343"/>
      <c r="I24" s="343"/>
      <c r="J24" s="343"/>
      <c r="K24" s="343"/>
      <c r="L24" s="343"/>
      <c r="M24" s="343"/>
      <c r="N24" s="343"/>
      <c r="O24" s="343"/>
      <c r="P24" s="342"/>
      <c r="Q24" s="342"/>
      <c r="R24" s="342"/>
      <c r="S24" s="345"/>
      <c r="T24" s="343"/>
      <c r="U24" s="343"/>
      <c r="V24" s="343"/>
      <c r="W24" s="343"/>
      <c r="X24" s="343"/>
      <c r="Y24" s="343"/>
      <c r="Z24" s="343"/>
      <c r="AA24" s="343"/>
      <c r="AB24" s="343"/>
      <c r="AC24" s="343"/>
      <c r="AD24" s="343"/>
      <c r="AE24" s="343"/>
      <c r="AF24" s="343"/>
      <c r="AG24" s="343"/>
      <c r="AH24" s="343"/>
      <c r="AI24" s="343"/>
      <c r="AJ24" s="343"/>
      <c r="AK24" s="343"/>
      <c r="AL24" s="343"/>
      <c r="AM24" s="343"/>
      <c r="AN24" s="343"/>
      <c r="AO24" s="344"/>
      <c r="AP24" s="344"/>
      <c r="AQ24" s="344"/>
      <c r="AR24" s="344"/>
    </row>
    <row r="25" spans="1:44" ht="16.5">
      <c r="A25" s="339"/>
      <c r="B25" s="339"/>
      <c r="C25" s="339"/>
      <c r="D25" s="338"/>
      <c r="E25" s="338"/>
      <c r="F25" s="338"/>
      <c r="G25" s="343"/>
      <c r="H25" s="343"/>
      <c r="I25" s="343"/>
      <c r="J25" s="343"/>
      <c r="K25" s="343"/>
      <c r="L25" s="343"/>
      <c r="M25" s="343"/>
      <c r="N25" s="343"/>
      <c r="O25" s="343"/>
      <c r="P25" s="343"/>
      <c r="Q25" s="343"/>
      <c r="R25" s="343"/>
      <c r="S25" s="343"/>
      <c r="T25" s="342"/>
      <c r="U25" s="342"/>
      <c r="V25" s="342"/>
      <c r="W25" s="342"/>
      <c r="X25" s="342"/>
      <c r="Y25" s="342"/>
      <c r="Z25" s="342"/>
      <c r="AA25" s="342"/>
      <c r="AB25" s="342"/>
      <c r="AC25" s="342"/>
      <c r="AD25" s="342"/>
      <c r="AE25" s="342"/>
      <c r="AF25" s="342"/>
      <c r="AG25" s="342"/>
      <c r="AH25" s="342"/>
      <c r="AI25" s="342"/>
      <c r="AJ25" s="342"/>
      <c r="AK25" s="342"/>
      <c r="AL25" s="342"/>
      <c r="AM25" s="342"/>
      <c r="AN25" s="342"/>
      <c r="AO25" s="342"/>
      <c r="AP25" s="342"/>
      <c r="AQ25" s="342"/>
      <c r="AR25" s="342"/>
    </row>
    <row r="26" spans="1:44" ht="16.5">
      <c r="A26" s="339"/>
      <c r="B26" s="339"/>
      <c r="C26" s="340" t="s">
        <v>3895</v>
      </c>
      <c r="D26" s="338"/>
      <c r="E26" s="338" t="s">
        <v>3894</v>
      </c>
      <c r="F26" s="338"/>
      <c r="G26" s="343"/>
      <c r="H26" s="343"/>
      <c r="I26" s="343"/>
      <c r="J26" s="343"/>
      <c r="K26" s="343"/>
      <c r="L26" s="343"/>
      <c r="M26" s="343"/>
      <c r="N26" s="343"/>
      <c r="O26" s="343"/>
      <c r="P26" s="343"/>
      <c r="Q26" s="343"/>
      <c r="R26" s="343"/>
      <c r="S26" s="343"/>
      <c r="T26" s="343"/>
      <c r="U26" s="343"/>
      <c r="V26" s="343"/>
      <c r="W26" s="343"/>
      <c r="X26" s="343"/>
      <c r="Y26" s="343"/>
      <c r="Z26" s="343"/>
      <c r="AA26" s="343"/>
      <c r="AB26" s="343"/>
      <c r="AC26" s="343"/>
      <c r="AD26" s="343"/>
      <c r="AE26" s="343"/>
      <c r="AF26" s="343"/>
      <c r="AG26" s="343"/>
      <c r="AH26" s="343"/>
      <c r="AI26" s="343"/>
      <c r="AJ26" s="343"/>
      <c r="AK26" s="343"/>
      <c r="AL26" s="343"/>
      <c r="AM26" s="343"/>
      <c r="AN26" s="343"/>
      <c r="AO26" s="344"/>
      <c r="AP26" s="344"/>
      <c r="AQ26" s="344"/>
      <c r="AR26" s="344"/>
    </row>
    <row r="27" spans="1:44" ht="16.5">
      <c r="A27" s="339"/>
      <c r="B27" s="339"/>
      <c r="C27" s="339"/>
      <c r="D27" s="338"/>
      <c r="E27" s="338"/>
      <c r="F27" s="338"/>
      <c r="G27" s="343"/>
      <c r="H27" s="343"/>
      <c r="I27" s="343"/>
      <c r="J27" s="343"/>
      <c r="K27" s="343"/>
      <c r="L27" s="343"/>
      <c r="M27" s="343"/>
      <c r="N27" s="343"/>
      <c r="O27" s="343"/>
      <c r="P27" s="342"/>
      <c r="Q27" s="342"/>
      <c r="R27" s="342"/>
      <c r="S27" s="345"/>
      <c r="T27" s="343"/>
      <c r="U27" s="343"/>
      <c r="V27" s="343"/>
      <c r="W27" s="343"/>
      <c r="X27" s="343"/>
      <c r="Y27" s="343"/>
      <c r="Z27" s="343"/>
      <c r="AA27" s="343"/>
      <c r="AB27" s="343"/>
      <c r="AC27" s="343"/>
      <c r="AD27" s="343"/>
      <c r="AE27" s="343"/>
      <c r="AF27" s="343"/>
      <c r="AG27" s="343"/>
      <c r="AH27" s="343"/>
      <c r="AI27" s="343"/>
      <c r="AJ27" s="343"/>
      <c r="AK27" s="343"/>
      <c r="AL27" s="343"/>
      <c r="AM27" s="343"/>
      <c r="AN27" s="343"/>
      <c r="AO27" s="344"/>
      <c r="AP27" s="344"/>
      <c r="AQ27" s="344"/>
      <c r="AR27" s="344"/>
    </row>
    <row r="28" spans="1:44" ht="16.5">
      <c r="A28" s="339"/>
      <c r="B28" s="339"/>
      <c r="C28" s="338" t="s">
        <v>3893</v>
      </c>
      <c r="D28" s="338"/>
      <c r="E28" s="338" t="s">
        <v>3879</v>
      </c>
      <c r="F28" s="338"/>
      <c r="G28" s="342"/>
      <c r="H28" s="342"/>
      <c r="I28" s="342"/>
      <c r="J28" s="342"/>
      <c r="K28" s="345"/>
      <c r="L28" s="343"/>
      <c r="M28" s="343"/>
      <c r="N28" s="343"/>
      <c r="O28" s="343"/>
      <c r="P28" s="343"/>
      <c r="Q28" s="343"/>
      <c r="R28" s="343"/>
      <c r="S28" s="343"/>
      <c r="T28" s="343"/>
      <c r="U28" s="343"/>
      <c r="V28" s="343"/>
      <c r="W28" s="343"/>
      <c r="X28" s="343"/>
      <c r="Y28" s="343"/>
      <c r="Z28" s="343"/>
      <c r="AA28" s="343"/>
      <c r="AB28" s="343"/>
      <c r="AC28" s="343"/>
      <c r="AD28" s="343"/>
      <c r="AE28" s="343"/>
      <c r="AF28" s="343"/>
      <c r="AG28" s="343"/>
      <c r="AH28" s="343"/>
      <c r="AI28" s="343"/>
      <c r="AJ28" s="343"/>
      <c r="AK28" s="343"/>
      <c r="AL28" s="343"/>
      <c r="AM28" s="343"/>
      <c r="AN28" s="343"/>
      <c r="AO28" s="344"/>
      <c r="AP28" s="344"/>
      <c r="AQ28" s="344"/>
      <c r="AR28" s="344"/>
    </row>
    <row r="29" spans="1:44" ht="16.5">
      <c r="A29" s="339"/>
      <c r="B29" s="339"/>
      <c r="C29" s="338" t="s">
        <v>3892</v>
      </c>
      <c r="D29" s="338"/>
      <c r="E29" s="338" t="s">
        <v>3891</v>
      </c>
      <c r="F29" s="338"/>
      <c r="G29" s="342"/>
      <c r="H29" s="342"/>
      <c r="I29" s="342"/>
      <c r="J29" s="342"/>
      <c r="K29" s="345"/>
      <c r="L29" s="343"/>
      <c r="M29" s="343"/>
      <c r="N29" s="343"/>
      <c r="O29" s="343"/>
      <c r="P29" s="343"/>
      <c r="Q29" s="343"/>
      <c r="R29" s="343"/>
      <c r="S29" s="343"/>
      <c r="T29" s="343"/>
      <c r="U29" s="343"/>
      <c r="V29" s="343"/>
      <c r="W29" s="343"/>
      <c r="X29" s="343"/>
      <c r="Y29" s="343"/>
      <c r="Z29" s="343"/>
      <c r="AA29" s="343"/>
      <c r="AB29" s="343"/>
      <c r="AC29" s="343"/>
      <c r="AD29" s="343"/>
      <c r="AE29" s="343"/>
      <c r="AF29" s="343"/>
      <c r="AG29" s="343"/>
      <c r="AH29" s="343"/>
      <c r="AI29" s="343"/>
      <c r="AJ29" s="343"/>
      <c r="AK29" s="343"/>
      <c r="AL29" s="343"/>
      <c r="AM29" s="343"/>
      <c r="AN29" s="343"/>
      <c r="AO29" s="344"/>
      <c r="AP29" s="344"/>
      <c r="AQ29" s="344"/>
      <c r="AR29" s="344"/>
    </row>
    <row r="30" spans="1:44" ht="16.5">
      <c r="A30" s="339"/>
      <c r="B30" s="339"/>
      <c r="C30" s="338" t="s">
        <v>3890</v>
      </c>
      <c r="D30" s="338"/>
      <c r="E30" s="338"/>
      <c r="F30" s="338"/>
      <c r="G30" s="342"/>
      <c r="H30" s="342"/>
      <c r="I30" s="342"/>
      <c r="J30" s="342"/>
      <c r="K30" s="345"/>
      <c r="L30" s="343"/>
      <c r="M30" s="343"/>
      <c r="N30" s="343"/>
      <c r="O30" s="343"/>
      <c r="P30" s="343"/>
      <c r="Q30" s="343"/>
      <c r="R30" s="343"/>
      <c r="S30" s="343"/>
      <c r="T30" s="343"/>
      <c r="U30" s="343"/>
      <c r="V30" s="343"/>
      <c r="W30" s="343"/>
      <c r="X30" s="343"/>
      <c r="Y30" s="343"/>
      <c r="Z30" s="343"/>
      <c r="AA30" s="343"/>
      <c r="AB30" s="343"/>
      <c r="AC30" s="343"/>
      <c r="AD30" s="343"/>
      <c r="AE30" s="343"/>
      <c r="AF30" s="343"/>
      <c r="AG30" s="343"/>
      <c r="AH30" s="343"/>
      <c r="AI30" s="343"/>
      <c r="AJ30" s="343"/>
      <c r="AK30" s="343"/>
      <c r="AL30" s="343"/>
      <c r="AM30" s="343"/>
      <c r="AN30" s="343"/>
      <c r="AO30" s="344"/>
      <c r="AP30" s="344"/>
      <c r="AQ30" s="344"/>
      <c r="AR30" s="344"/>
    </row>
    <row r="31" spans="1:44" ht="16.5">
      <c r="A31" s="339"/>
      <c r="B31" s="339"/>
      <c r="C31" s="338" t="s">
        <v>3889</v>
      </c>
      <c r="D31" s="338"/>
      <c r="E31" s="338" t="s">
        <v>3888</v>
      </c>
      <c r="F31" s="338"/>
      <c r="G31" s="342"/>
      <c r="H31" s="342"/>
      <c r="I31" s="342"/>
      <c r="J31" s="342"/>
      <c r="K31" s="345"/>
      <c r="L31" s="343"/>
      <c r="M31" s="343"/>
      <c r="N31" s="343"/>
      <c r="O31" s="343"/>
      <c r="P31" s="343"/>
      <c r="Q31" s="343"/>
      <c r="R31" s="343"/>
      <c r="S31" s="343"/>
      <c r="T31" s="343"/>
      <c r="U31" s="343"/>
      <c r="V31" s="343"/>
      <c r="W31" s="343"/>
      <c r="X31" s="343"/>
      <c r="Y31" s="343"/>
      <c r="Z31" s="343"/>
      <c r="AA31" s="343"/>
      <c r="AB31" s="343"/>
      <c r="AC31" s="343"/>
      <c r="AD31" s="343"/>
      <c r="AE31" s="343"/>
      <c r="AF31" s="343"/>
      <c r="AG31" s="343"/>
      <c r="AH31" s="343"/>
      <c r="AI31" s="343"/>
      <c r="AJ31" s="343"/>
      <c r="AK31" s="343"/>
      <c r="AL31" s="343"/>
      <c r="AM31" s="343"/>
      <c r="AN31" s="343"/>
      <c r="AO31" s="344"/>
      <c r="AP31" s="344"/>
      <c r="AQ31" s="344"/>
      <c r="AR31" s="344"/>
    </row>
    <row r="32" spans="1:44" ht="16.5">
      <c r="A32" s="339"/>
      <c r="B32" s="339"/>
      <c r="C32" s="338"/>
      <c r="D32" s="338"/>
      <c r="E32" s="338"/>
      <c r="F32" s="338"/>
      <c r="G32" s="342"/>
      <c r="H32" s="342"/>
      <c r="I32" s="342"/>
      <c r="J32" s="342"/>
      <c r="K32" s="345"/>
      <c r="L32" s="343"/>
      <c r="M32" s="343"/>
      <c r="N32" s="343"/>
      <c r="O32" s="343"/>
      <c r="P32" s="343"/>
      <c r="Q32" s="343"/>
      <c r="R32" s="343"/>
      <c r="S32" s="343"/>
      <c r="T32" s="343"/>
      <c r="U32" s="343"/>
      <c r="V32" s="343"/>
      <c r="W32" s="343"/>
      <c r="X32" s="343"/>
      <c r="Y32" s="343"/>
      <c r="Z32" s="343"/>
      <c r="AA32" s="343"/>
      <c r="AB32" s="343"/>
      <c r="AC32" s="343"/>
      <c r="AD32" s="343"/>
      <c r="AE32" s="343"/>
      <c r="AF32" s="343"/>
      <c r="AG32" s="343"/>
      <c r="AH32" s="343"/>
      <c r="AI32" s="343"/>
      <c r="AJ32" s="343"/>
      <c r="AK32" s="343"/>
      <c r="AL32" s="343"/>
      <c r="AM32" s="343"/>
      <c r="AN32" s="343"/>
      <c r="AO32" s="344"/>
      <c r="AP32" s="344"/>
      <c r="AQ32" s="344"/>
      <c r="AR32" s="344"/>
    </row>
    <row r="33" spans="1:44" ht="16.5">
      <c r="A33" s="339"/>
      <c r="B33" s="339"/>
      <c r="C33" s="338"/>
      <c r="D33" s="338"/>
      <c r="E33" s="338"/>
      <c r="F33" s="338"/>
      <c r="G33" s="343"/>
      <c r="H33" s="343"/>
      <c r="I33" s="343"/>
      <c r="J33" s="343"/>
      <c r="K33" s="343"/>
      <c r="L33" s="343"/>
      <c r="M33" s="343"/>
      <c r="N33" s="343"/>
      <c r="O33" s="342"/>
      <c r="P33" s="342"/>
      <c r="Q33" s="342"/>
      <c r="R33" s="342"/>
      <c r="S33" s="342"/>
      <c r="T33" s="342"/>
      <c r="U33" s="342"/>
      <c r="V33" s="342"/>
      <c r="W33" s="342"/>
      <c r="X33" s="342"/>
      <c r="Y33" s="342"/>
      <c r="Z33" s="342"/>
      <c r="AA33" s="342"/>
      <c r="AB33" s="342"/>
      <c r="AC33" s="342"/>
      <c r="AD33" s="342"/>
      <c r="AE33" s="342"/>
      <c r="AF33" s="342"/>
      <c r="AG33" s="342"/>
      <c r="AH33" s="342"/>
      <c r="AI33" s="342"/>
      <c r="AJ33" s="342"/>
      <c r="AK33" s="342"/>
      <c r="AL33" s="342"/>
      <c r="AM33" s="342"/>
      <c r="AN33" s="342"/>
      <c r="AO33" s="342"/>
      <c r="AP33" s="342"/>
      <c r="AQ33" s="342"/>
      <c r="AR33" s="342"/>
    </row>
    <row r="34" spans="1:44" ht="16.5">
      <c r="A34" s="340" t="s">
        <v>3887</v>
      </c>
      <c r="B34" s="339"/>
      <c r="C34" s="340" t="s">
        <v>3886</v>
      </c>
      <c r="D34" s="336"/>
      <c r="E34" s="341" t="s">
        <v>3885</v>
      </c>
      <c r="F34" s="336"/>
      <c r="G34" s="336"/>
      <c r="H34" s="336"/>
      <c r="I34" s="336"/>
      <c r="J34" s="336"/>
      <c r="K34" s="336"/>
      <c r="L34" s="336"/>
      <c r="M34" s="336"/>
      <c r="N34" s="336"/>
      <c r="O34" s="336"/>
      <c r="P34" s="336"/>
      <c r="Q34" s="336"/>
      <c r="R34" s="336"/>
      <c r="S34" s="336"/>
      <c r="T34" s="336"/>
      <c r="U34" s="336"/>
      <c r="V34" s="336"/>
      <c r="W34" s="336"/>
      <c r="X34" s="336"/>
      <c r="Y34" s="336"/>
      <c r="Z34" s="336"/>
      <c r="AA34" s="336"/>
      <c r="AB34" s="336"/>
      <c r="AC34" s="336"/>
      <c r="AD34" s="336"/>
      <c r="AE34" s="336"/>
      <c r="AF34" s="336"/>
      <c r="AG34" s="336"/>
      <c r="AH34" s="336"/>
      <c r="AI34" s="336"/>
      <c r="AJ34" s="336"/>
      <c r="AK34" s="336"/>
      <c r="AL34" s="336"/>
      <c r="AM34" s="336"/>
      <c r="AN34" s="336"/>
      <c r="AO34" s="336"/>
      <c r="AP34" s="336"/>
      <c r="AQ34" s="336"/>
      <c r="AR34" s="336"/>
    </row>
    <row r="35" spans="1:44" ht="33">
      <c r="A35" s="339"/>
      <c r="B35" s="339"/>
      <c r="C35" s="339"/>
      <c r="D35" s="336"/>
      <c r="E35" s="359" t="s">
        <v>3884</v>
      </c>
      <c r="F35" s="336"/>
      <c r="G35" s="336"/>
      <c r="H35" s="336"/>
      <c r="I35" s="336"/>
      <c r="J35" s="336"/>
      <c r="K35" s="336"/>
      <c r="L35" s="336"/>
      <c r="M35" s="336"/>
      <c r="N35" s="336"/>
      <c r="O35" s="336"/>
      <c r="P35" s="336"/>
      <c r="Q35" s="336"/>
      <c r="R35" s="336"/>
      <c r="S35" s="336"/>
      <c r="T35" s="336"/>
      <c r="U35" s="336"/>
      <c r="V35" s="336"/>
      <c r="W35" s="336"/>
      <c r="X35" s="336"/>
      <c r="Y35" s="336"/>
      <c r="Z35" s="336"/>
      <c r="AA35" s="336"/>
      <c r="AB35" s="336"/>
      <c r="AC35" s="336"/>
      <c r="AD35" s="336"/>
      <c r="AE35" s="336"/>
      <c r="AF35" s="336"/>
      <c r="AG35" s="336"/>
      <c r="AH35" s="336"/>
      <c r="AI35" s="336"/>
      <c r="AJ35" s="336"/>
      <c r="AK35" s="336"/>
      <c r="AL35" s="336"/>
      <c r="AM35" s="336"/>
      <c r="AN35" s="336"/>
      <c r="AO35" s="336"/>
      <c r="AP35" s="336"/>
      <c r="AQ35" s="336"/>
      <c r="AR35" s="336"/>
    </row>
    <row r="36" spans="1:44" ht="16.5">
      <c r="A36" s="339"/>
      <c r="B36" s="339"/>
      <c r="C36" s="340" t="s">
        <v>3883</v>
      </c>
      <c r="D36" s="336"/>
      <c r="E36" s="337" t="s">
        <v>3882</v>
      </c>
      <c r="F36" s="336"/>
      <c r="G36" s="336"/>
      <c r="H36" s="336"/>
      <c r="I36" s="336"/>
      <c r="J36" s="336"/>
      <c r="K36" s="336"/>
      <c r="L36" s="336"/>
      <c r="M36" s="336"/>
      <c r="N36" s="336"/>
      <c r="O36" s="336"/>
      <c r="P36" s="336"/>
      <c r="Q36" s="336"/>
      <c r="R36" s="336"/>
      <c r="S36" s="336"/>
      <c r="T36" s="336"/>
      <c r="U36" s="336"/>
      <c r="V36" s="336"/>
      <c r="W36" s="336"/>
      <c r="X36" s="336"/>
      <c r="Y36" s="336"/>
      <c r="Z36" s="336"/>
      <c r="AA36" s="336"/>
      <c r="AB36" s="336"/>
      <c r="AC36" s="336"/>
      <c r="AD36" s="336"/>
      <c r="AE36" s="336"/>
      <c r="AF36" s="336"/>
      <c r="AG36" s="336"/>
      <c r="AH36" s="336"/>
      <c r="AI36" s="336"/>
      <c r="AJ36" s="336"/>
      <c r="AK36" s="336"/>
      <c r="AL36" s="336"/>
      <c r="AM36" s="336"/>
      <c r="AN36" s="336"/>
      <c r="AO36" s="336"/>
      <c r="AP36" s="336"/>
      <c r="AQ36" s="336"/>
      <c r="AR36" s="336"/>
    </row>
    <row r="37" spans="1:44" ht="16.5">
      <c r="A37" s="339"/>
      <c r="B37" s="339"/>
      <c r="C37" s="335"/>
      <c r="D37" s="336"/>
      <c r="E37" s="337"/>
      <c r="F37" s="336"/>
      <c r="G37" s="336"/>
      <c r="H37" s="336"/>
      <c r="I37" s="336"/>
      <c r="J37" s="336"/>
      <c r="K37" s="336"/>
      <c r="L37" s="336"/>
      <c r="M37" s="336"/>
      <c r="N37" s="336"/>
      <c r="O37" s="336"/>
      <c r="P37" s="336"/>
      <c r="Q37" s="336"/>
      <c r="R37" s="336"/>
      <c r="S37" s="336"/>
      <c r="T37" s="336"/>
      <c r="U37" s="336"/>
      <c r="V37" s="336"/>
      <c r="W37" s="336"/>
      <c r="X37" s="336"/>
      <c r="Y37" s="336"/>
      <c r="Z37" s="336"/>
      <c r="AA37" s="336"/>
      <c r="AB37" s="336"/>
      <c r="AC37" s="336"/>
      <c r="AD37" s="336"/>
      <c r="AE37" s="336"/>
      <c r="AF37" s="336"/>
      <c r="AG37" s="336"/>
      <c r="AH37" s="336"/>
      <c r="AI37" s="336"/>
      <c r="AJ37" s="336"/>
      <c r="AK37" s="336"/>
      <c r="AL37" s="336"/>
      <c r="AM37" s="336"/>
      <c r="AN37" s="336"/>
      <c r="AO37" s="336"/>
      <c r="AP37" s="336"/>
      <c r="AQ37" s="336"/>
      <c r="AR37" s="336"/>
    </row>
    <row r="38" spans="1:44" ht="16.5">
      <c r="A38" s="339"/>
      <c r="B38" s="339"/>
      <c r="C38" s="338" t="s">
        <v>3881</v>
      </c>
      <c r="D38" s="336"/>
      <c r="E38" s="337"/>
      <c r="F38" s="336"/>
      <c r="G38" s="336"/>
      <c r="H38" s="336"/>
      <c r="I38" s="336"/>
      <c r="J38" s="336"/>
      <c r="K38" s="336"/>
      <c r="L38" s="336"/>
      <c r="M38" s="336"/>
      <c r="N38" s="336"/>
      <c r="O38" s="336"/>
      <c r="P38" s="336"/>
      <c r="Q38" s="336"/>
      <c r="R38" s="336"/>
      <c r="S38" s="336"/>
      <c r="T38" s="336"/>
      <c r="U38" s="336"/>
      <c r="V38" s="336"/>
      <c r="W38" s="336"/>
      <c r="X38" s="336"/>
      <c r="Y38" s="336"/>
      <c r="Z38" s="336"/>
      <c r="AA38" s="336"/>
      <c r="AB38" s="336"/>
      <c r="AC38" s="336"/>
      <c r="AD38" s="336"/>
      <c r="AE38" s="336"/>
      <c r="AF38" s="336"/>
      <c r="AG38" s="336"/>
      <c r="AH38" s="336"/>
      <c r="AI38" s="336"/>
      <c r="AJ38" s="336"/>
      <c r="AK38" s="336"/>
      <c r="AL38" s="336"/>
      <c r="AM38" s="336"/>
      <c r="AN38" s="336"/>
      <c r="AO38" s="336"/>
      <c r="AP38" s="336"/>
      <c r="AQ38" s="336"/>
      <c r="AR38" s="336"/>
    </row>
    <row r="39" spans="1:44" ht="16.5">
      <c r="A39" s="339"/>
      <c r="B39" s="339"/>
      <c r="C39" s="326" t="s">
        <v>3880</v>
      </c>
      <c r="D39" s="336"/>
      <c r="E39" s="334" t="s">
        <v>3879</v>
      </c>
      <c r="F39" s="336"/>
      <c r="G39" s="336"/>
      <c r="H39" s="336"/>
      <c r="I39" s="336"/>
      <c r="J39" s="336"/>
      <c r="K39" s="336"/>
      <c r="L39" s="336"/>
      <c r="M39" s="336"/>
      <c r="N39" s="336"/>
      <c r="O39" s="336"/>
      <c r="P39" s="336"/>
      <c r="Q39" s="336"/>
      <c r="R39" s="336"/>
      <c r="S39" s="336"/>
      <c r="T39" s="336"/>
      <c r="U39" s="336"/>
      <c r="V39" s="336"/>
      <c r="W39" s="336"/>
      <c r="X39" s="336"/>
      <c r="Y39" s="336"/>
      <c r="Z39" s="336"/>
      <c r="AA39" s="336"/>
      <c r="AB39" s="336"/>
      <c r="AC39" s="336"/>
      <c r="AD39" s="336"/>
      <c r="AE39" s="336"/>
      <c r="AF39" s="336"/>
      <c r="AG39" s="336"/>
      <c r="AH39" s="336"/>
      <c r="AI39" s="336"/>
      <c r="AJ39" s="336"/>
      <c r="AK39" s="336"/>
      <c r="AL39" s="336"/>
      <c r="AM39" s="336"/>
      <c r="AN39" s="336"/>
      <c r="AO39" s="336"/>
      <c r="AP39" s="336"/>
      <c r="AQ39" s="336"/>
      <c r="AR39" s="336"/>
    </row>
    <row r="40" spans="1:44" ht="16.5">
      <c r="A40" s="339"/>
      <c r="B40" s="339"/>
      <c r="C40" s="338" t="s">
        <v>3878</v>
      </c>
      <c r="D40" s="336"/>
      <c r="E40" s="341"/>
      <c r="F40" s="336"/>
      <c r="G40" s="336"/>
      <c r="H40" s="336"/>
      <c r="I40" s="336"/>
      <c r="J40" s="336"/>
      <c r="K40" s="336"/>
      <c r="L40" s="336"/>
      <c r="M40" s="336"/>
      <c r="N40" s="336"/>
      <c r="O40" s="336"/>
      <c r="P40" s="336"/>
      <c r="Q40" s="336"/>
      <c r="R40" s="336"/>
      <c r="S40" s="336"/>
      <c r="T40" s="336"/>
      <c r="U40" s="336"/>
      <c r="V40" s="336"/>
      <c r="W40" s="336"/>
      <c r="X40" s="336"/>
      <c r="Y40" s="336"/>
      <c r="Z40" s="336"/>
      <c r="AA40" s="336"/>
      <c r="AB40" s="336"/>
      <c r="AC40" s="336"/>
      <c r="AD40" s="336"/>
      <c r="AE40" s="336"/>
      <c r="AF40" s="336"/>
      <c r="AG40" s="336"/>
      <c r="AH40" s="336"/>
      <c r="AI40" s="336"/>
      <c r="AJ40" s="336"/>
      <c r="AK40" s="336"/>
      <c r="AL40" s="336"/>
      <c r="AM40" s="336"/>
      <c r="AN40" s="336"/>
      <c r="AO40" s="336"/>
      <c r="AP40" s="336"/>
      <c r="AQ40" s="336"/>
      <c r="AR40" s="336"/>
    </row>
    <row r="41" spans="1:44" ht="16.5">
      <c r="A41" s="339"/>
      <c r="B41" s="339"/>
      <c r="C41" s="338" t="s">
        <v>3877</v>
      </c>
      <c r="D41" s="336"/>
      <c r="E41" s="341"/>
      <c r="F41" s="336"/>
      <c r="G41" s="336"/>
      <c r="H41" s="336"/>
      <c r="I41" s="336"/>
      <c r="J41" s="336"/>
      <c r="K41" s="336"/>
      <c r="L41" s="336"/>
      <c r="M41" s="336"/>
      <c r="N41" s="336"/>
      <c r="O41" s="336"/>
      <c r="P41" s="336"/>
      <c r="Q41" s="336"/>
      <c r="R41" s="336"/>
      <c r="S41" s="336"/>
      <c r="T41" s="336"/>
      <c r="U41" s="336"/>
      <c r="V41" s="336"/>
      <c r="W41" s="336"/>
      <c r="X41" s="336"/>
      <c r="Y41" s="336"/>
      <c r="Z41" s="336"/>
      <c r="AA41" s="336"/>
      <c r="AB41" s="336"/>
      <c r="AC41" s="336"/>
      <c r="AD41" s="336"/>
      <c r="AE41" s="336"/>
      <c r="AF41" s="336"/>
      <c r="AG41" s="336"/>
      <c r="AH41" s="336"/>
      <c r="AI41" s="336"/>
      <c r="AJ41" s="336"/>
      <c r="AK41" s="336"/>
      <c r="AL41" s="336"/>
      <c r="AM41" s="336"/>
      <c r="AN41" s="336"/>
      <c r="AO41" s="336"/>
      <c r="AP41" s="336"/>
      <c r="AQ41" s="336"/>
      <c r="AR41" s="336"/>
    </row>
    <row r="42" spans="1:44" ht="16.5">
      <c r="A42" s="335"/>
      <c r="B42" s="335"/>
      <c r="C42" s="326"/>
      <c r="D42" s="308"/>
      <c r="E42" s="334"/>
      <c r="F42" s="308"/>
      <c r="G42" s="308"/>
      <c r="H42" s="308"/>
      <c r="I42" s="308"/>
      <c r="J42" s="308"/>
      <c r="K42" s="308"/>
      <c r="L42" s="308"/>
      <c r="M42" s="308"/>
      <c r="N42" s="308"/>
      <c r="O42" s="308"/>
      <c r="P42" s="308"/>
      <c r="Q42" s="308"/>
      <c r="R42" s="308"/>
      <c r="S42" s="308"/>
      <c r="T42" s="308"/>
      <c r="U42" s="308"/>
      <c r="V42" s="308"/>
      <c r="W42" s="308"/>
      <c r="X42" s="308"/>
      <c r="Y42" s="308"/>
      <c r="Z42" s="308"/>
      <c r="AA42" s="308"/>
      <c r="AB42" s="308"/>
      <c r="AC42" s="308"/>
      <c r="AD42" s="308"/>
      <c r="AE42" s="308"/>
      <c r="AF42" s="308"/>
      <c r="AG42" s="308"/>
      <c r="AH42" s="308"/>
      <c r="AI42" s="308"/>
      <c r="AJ42" s="308"/>
      <c r="AK42" s="308"/>
      <c r="AL42" s="308"/>
      <c r="AM42" s="308"/>
      <c r="AN42" s="308"/>
      <c r="AO42" s="308"/>
      <c r="AP42" s="308"/>
      <c r="AQ42" s="308"/>
      <c r="AR42" s="308"/>
    </row>
    <row r="43" spans="1:44" ht="16.5">
      <c r="A43" s="326" t="s">
        <v>3876</v>
      </c>
      <c r="B43" s="358"/>
      <c r="C43" s="308"/>
      <c r="D43" s="308"/>
      <c r="E43" s="309"/>
      <c r="F43" s="308"/>
      <c r="G43" s="308"/>
      <c r="H43" s="308"/>
      <c r="I43" s="308"/>
      <c r="J43" s="308"/>
      <c r="K43" s="308"/>
      <c r="L43" s="308"/>
      <c r="M43" s="308"/>
      <c r="N43" s="308"/>
      <c r="O43" s="308"/>
      <c r="P43" s="308"/>
      <c r="Q43" s="308"/>
      <c r="R43" s="308"/>
      <c r="S43" s="308"/>
      <c r="T43" s="308"/>
      <c r="U43" s="308"/>
      <c r="V43" s="308"/>
      <c r="W43" s="308"/>
      <c r="X43" s="308"/>
      <c r="Y43" s="308"/>
      <c r="Z43" s="308"/>
      <c r="AA43" s="308"/>
      <c r="AB43" s="308"/>
      <c r="AC43" s="308"/>
      <c r="AD43" s="308"/>
      <c r="AE43" s="308"/>
      <c r="AF43" s="308"/>
      <c r="AG43" s="308"/>
      <c r="AH43" s="308"/>
      <c r="AI43" s="308"/>
      <c r="AJ43" s="308"/>
      <c r="AK43" s="308"/>
      <c r="AL43" s="308"/>
      <c r="AM43" s="308"/>
      <c r="AN43" s="308"/>
      <c r="AO43" s="308"/>
      <c r="AP43" s="308"/>
      <c r="AQ43" s="308"/>
      <c r="AR43" s="308"/>
    </row>
    <row r="44" spans="1:44" ht="16.5">
      <c r="A44" s="357"/>
      <c r="B44" s="356"/>
      <c r="C44" s="308"/>
      <c r="D44" s="308"/>
      <c r="E44" s="309"/>
      <c r="F44" s="308"/>
      <c r="G44" s="308"/>
      <c r="H44" s="308"/>
      <c r="I44" s="308"/>
      <c r="J44" s="308"/>
      <c r="K44" s="308"/>
      <c r="L44" s="308"/>
      <c r="M44" s="308"/>
      <c r="N44" s="308"/>
      <c r="O44" s="308"/>
      <c r="P44" s="308"/>
      <c r="Q44" s="308"/>
      <c r="R44" s="308"/>
      <c r="S44" s="308"/>
      <c r="T44" s="308"/>
      <c r="U44" s="308"/>
      <c r="V44" s="308"/>
      <c r="W44" s="308"/>
      <c r="X44" s="308"/>
      <c r="Y44" s="308"/>
      <c r="Z44" s="308"/>
      <c r="AA44" s="308"/>
      <c r="AB44" s="308"/>
      <c r="AC44" s="308"/>
      <c r="AD44" s="308"/>
      <c r="AE44" s="308"/>
      <c r="AF44" s="308"/>
      <c r="AG44" s="308"/>
      <c r="AH44" s="308"/>
      <c r="AI44" s="308"/>
      <c r="AJ44" s="308"/>
      <c r="AK44" s="308"/>
      <c r="AL44" s="308"/>
      <c r="AM44" s="308"/>
      <c r="AN44" s="308"/>
      <c r="AO44" s="308"/>
      <c r="AP44" s="308"/>
      <c r="AQ44" s="308"/>
      <c r="AR44" s="308"/>
    </row>
    <row r="45" spans="1:44" ht="16.5">
      <c r="A45" s="350" t="s">
        <v>3875</v>
      </c>
      <c r="B45" s="339"/>
      <c r="C45" s="355"/>
      <c r="D45" s="354"/>
      <c r="E45" s="341"/>
      <c r="F45" s="353"/>
      <c r="G45" s="352"/>
      <c r="H45" s="352"/>
      <c r="I45" s="352"/>
      <c r="J45" s="352"/>
      <c r="K45" s="352"/>
      <c r="L45" s="352"/>
      <c r="M45" s="352"/>
      <c r="N45" s="352"/>
      <c r="O45" s="352"/>
      <c r="P45" s="352"/>
      <c r="Q45" s="352"/>
      <c r="R45" s="352"/>
      <c r="S45" s="352"/>
      <c r="T45" s="352"/>
      <c r="U45" s="352"/>
      <c r="V45" s="352"/>
      <c r="W45" s="352"/>
      <c r="X45" s="352"/>
      <c r="Y45" s="352"/>
      <c r="Z45" s="352"/>
      <c r="AA45" s="352"/>
      <c r="AB45" s="352"/>
      <c r="AC45" s="352"/>
      <c r="AD45" s="352"/>
      <c r="AE45" s="352"/>
      <c r="AF45" s="352"/>
      <c r="AG45" s="352"/>
      <c r="AH45" s="352"/>
      <c r="AI45" s="352"/>
    </row>
    <row r="46" spans="1:44" ht="16.5">
      <c r="A46" s="350"/>
      <c r="B46" s="339"/>
      <c r="C46" s="355"/>
      <c r="D46" s="354"/>
      <c r="E46" s="341"/>
      <c r="F46" s="353"/>
      <c r="G46" s="352"/>
      <c r="H46" s="352"/>
      <c r="I46" s="352"/>
      <c r="J46" s="352"/>
      <c r="K46" s="352"/>
      <c r="L46" s="352"/>
      <c r="M46" s="352"/>
      <c r="N46" s="352"/>
      <c r="O46" s="352"/>
      <c r="P46" s="352"/>
      <c r="Q46" s="352"/>
      <c r="R46" s="352"/>
      <c r="S46" s="352"/>
      <c r="T46" s="352"/>
      <c r="U46" s="352"/>
      <c r="V46" s="352"/>
      <c r="W46" s="352"/>
      <c r="X46" s="352"/>
      <c r="Y46" s="352"/>
      <c r="Z46" s="352"/>
      <c r="AA46" s="352"/>
      <c r="AB46" s="352"/>
      <c r="AC46" s="352"/>
      <c r="AD46" s="352"/>
      <c r="AE46" s="352"/>
      <c r="AF46" s="352"/>
      <c r="AG46" s="352"/>
      <c r="AH46" s="352"/>
      <c r="AI46" s="352"/>
    </row>
    <row r="47" spans="1:44" ht="16.5">
      <c r="A47" s="350"/>
      <c r="B47" s="339"/>
      <c r="C47" s="355"/>
      <c r="D47" s="354"/>
      <c r="E47" s="341"/>
      <c r="F47" s="353"/>
      <c r="G47" s="352"/>
      <c r="H47" s="352"/>
      <c r="I47" s="352"/>
      <c r="J47" s="352"/>
      <c r="K47" s="352"/>
      <c r="L47" s="352"/>
      <c r="M47" s="352"/>
      <c r="N47" s="352"/>
      <c r="O47" s="352"/>
      <c r="P47" s="352"/>
      <c r="Q47" s="352"/>
      <c r="R47" s="352"/>
      <c r="S47" s="352"/>
      <c r="T47" s="352"/>
      <c r="U47" s="352"/>
      <c r="V47" s="352"/>
      <c r="W47" s="352"/>
      <c r="X47" s="352"/>
      <c r="Y47" s="352"/>
      <c r="Z47" s="352"/>
      <c r="AA47" s="352"/>
      <c r="AB47" s="352"/>
      <c r="AC47" s="352"/>
      <c r="AD47" s="352"/>
      <c r="AE47" s="352"/>
      <c r="AF47" s="352"/>
      <c r="AG47" s="352"/>
      <c r="AH47" s="352"/>
      <c r="AI47" s="352"/>
    </row>
    <row r="48" spans="1:44" ht="16.5">
      <c r="A48" s="350"/>
      <c r="B48" s="339"/>
      <c r="C48" s="355"/>
      <c r="D48" s="354"/>
      <c r="E48" s="341"/>
      <c r="F48" s="353"/>
      <c r="G48" s="352"/>
      <c r="H48" s="352"/>
      <c r="I48" s="352"/>
      <c r="J48" s="352"/>
      <c r="K48" s="352"/>
      <c r="L48" s="352"/>
      <c r="M48" s="352"/>
      <c r="N48" s="352"/>
      <c r="O48" s="352"/>
      <c r="P48" s="352"/>
      <c r="Q48" s="352"/>
      <c r="R48" s="352"/>
      <c r="S48" s="352"/>
      <c r="T48" s="352"/>
      <c r="U48" s="352"/>
      <c r="V48" s="352"/>
      <c r="W48" s="352"/>
      <c r="X48" s="352"/>
      <c r="Y48" s="352"/>
      <c r="Z48" s="352"/>
      <c r="AA48" s="352"/>
      <c r="AB48" s="352"/>
      <c r="AC48" s="352"/>
      <c r="AD48" s="352"/>
      <c r="AE48" s="352"/>
      <c r="AF48" s="352"/>
      <c r="AG48" s="352"/>
      <c r="AH48" s="352"/>
      <c r="AI48" s="352"/>
    </row>
    <row r="49" spans="1:35" ht="16.5">
      <c r="A49" s="350" t="s">
        <v>3874</v>
      </c>
      <c r="B49" s="339"/>
      <c r="C49" s="349" t="s">
        <v>3873</v>
      </c>
      <c r="D49" s="348"/>
      <c r="E49" s="341" t="s">
        <v>3872</v>
      </c>
      <c r="F49" s="338"/>
      <c r="G49" s="342"/>
      <c r="H49" s="342"/>
      <c r="I49" s="342"/>
      <c r="J49" s="342"/>
      <c r="K49" s="342"/>
      <c r="L49" s="342"/>
      <c r="M49" s="342"/>
      <c r="N49" s="342"/>
      <c r="O49" s="342"/>
      <c r="P49" s="342"/>
      <c r="Q49" s="342"/>
      <c r="R49" s="342"/>
      <c r="S49" s="342"/>
      <c r="T49" s="342"/>
      <c r="U49" s="342"/>
      <c r="V49" s="342"/>
      <c r="W49" s="342"/>
      <c r="X49" s="342"/>
      <c r="Y49" s="342"/>
      <c r="Z49" s="342"/>
      <c r="AA49" s="342"/>
      <c r="AB49" s="342"/>
      <c r="AC49" s="342"/>
      <c r="AD49" s="342"/>
      <c r="AE49" s="342"/>
      <c r="AF49" s="342"/>
      <c r="AG49" s="342"/>
      <c r="AH49" s="342"/>
      <c r="AI49" s="342"/>
    </row>
    <row r="50" spans="1:35" ht="16.5">
      <c r="A50" s="339"/>
      <c r="B50" s="339"/>
      <c r="C50" s="339"/>
      <c r="D50" s="348"/>
      <c r="E50" s="341" t="s">
        <v>3871</v>
      </c>
      <c r="F50" s="338"/>
      <c r="G50" s="342"/>
      <c r="H50" s="342"/>
      <c r="I50" s="342"/>
      <c r="J50" s="342"/>
      <c r="K50" s="342"/>
      <c r="L50" s="342"/>
      <c r="M50" s="342"/>
      <c r="N50" s="342"/>
      <c r="O50" s="342"/>
      <c r="P50" s="342"/>
      <c r="Q50" s="342"/>
      <c r="R50" s="342"/>
      <c r="S50" s="342"/>
      <c r="T50" s="342"/>
      <c r="U50" s="342"/>
      <c r="V50" s="342"/>
      <c r="W50" s="342"/>
      <c r="X50" s="342"/>
      <c r="Y50" s="342"/>
      <c r="Z50" s="342"/>
      <c r="AA50" s="342"/>
      <c r="AB50" s="342"/>
      <c r="AC50" s="342"/>
      <c r="AD50" s="342"/>
      <c r="AE50" s="342"/>
      <c r="AF50" s="342"/>
      <c r="AG50" s="342"/>
      <c r="AH50" s="342"/>
      <c r="AI50" s="342"/>
    </row>
    <row r="51" spans="1:35" ht="16.5">
      <c r="A51" s="339"/>
      <c r="B51" s="339"/>
      <c r="C51" s="339"/>
      <c r="D51" s="348"/>
      <c r="E51" s="341" t="s">
        <v>3870</v>
      </c>
      <c r="F51" s="338"/>
      <c r="G51" s="342"/>
      <c r="H51" s="342"/>
      <c r="I51" s="342"/>
      <c r="J51" s="342"/>
      <c r="K51" s="342"/>
      <c r="L51" s="342"/>
      <c r="M51" s="342"/>
      <c r="N51" s="342"/>
      <c r="O51" s="342"/>
      <c r="P51" s="342"/>
      <c r="Q51" s="342"/>
      <c r="R51" s="342"/>
      <c r="S51" s="342"/>
      <c r="T51" s="342"/>
      <c r="U51" s="342"/>
      <c r="V51" s="342"/>
      <c r="W51" s="342"/>
      <c r="X51" s="342"/>
      <c r="Y51" s="342"/>
      <c r="Z51" s="342"/>
      <c r="AA51" s="342"/>
      <c r="AB51" s="342"/>
      <c r="AC51" s="342"/>
      <c r="AD51" s="342"/>
      <c r="AE51" s="342"/>
      <c r="AF51" s="342"/>
      <c r="AG51" s="342"/>
      <c r="AH51" s="342"/>
      <c r="AI51" s="342"/>
    </row>
    <row r="52" spans="1:35" ht="16.5">
      <c r="A52" s="339"/>
      <c r="B52" s="339"/>
      <c r="C52" s="339"/>
      <c r="D52" s="348"/>
      <c r="E52" s="341" t="s">
        <v>3869</v>
      </c>
      <c r="F52" s="338"/>
      <c r="G52" s="342"/>
      <c r="H52" s="342"/>
      <c r="I52" s="342"/>
      <c r="J52" s="342"/>
      <c r="K52" s="342"/>
      <c r="L52" s="342"/>
      <c r="M52" s="342"/>
      <c r="N52" s="342"/>
      <c r="O52" s="342"/>
      <c r="P52" s="342"/>
      <c r="Q52" s="342"/>
      <c r="R52" s="342"/>
      <c r="S52" s="342"/>
      <c r="T52" s="342"/>
      <c r="U52" s="342"/>
      <c r="V52" s="342"/>
      <c r="W52" s="342"/>
      <c r="X52" s="342"/>
      <c r="Y52" s="342"/>
      <c r="Z52" s="342"/>
      <c r="AA52" s="342"/>
      <c r="AB52" s="342"/>
      <c r="AC52" s="342"/>
      <c r="AD52" s="342"/>
      <c r="AE52" s="342"/>
      <c r="AF52" s="342"/>
      <c r="AG52" s="342"/>
      <c r="AH52" s="342"/>
      <c r="AI52" s="342"/>
    </row>
    <row r="53" spans="1:35" ht="16.5">
      <c r="A53" s="339"/>
      <c r="B53" s="339"/>
      <c r="C53" s="339"/>
      <c r="D53" s="348"/>
      <c r="E53" s="341" t="s">
        <v>3868</v>
      </c>
      <c r="F53" s="338"/>
      <c r="G53" s="342"/>
      <c r="H53" s="342"/>
      <c r="I53" s="342"/>
      <c r="J53" s="342"/>
      <c r="K53" s="342"/>
      <c r="L53" s="342"/>
      <c r="M53" s="342"/>
      <c r="N53" s="342"/>
      <c r="O53" s="342"/>
      <c r="P53" s="342"/>
      <c r="Q53" s="342"/>
      <c r="R53" s="342"/>
      <c r="S53" s="342"/>
      <c r="T53" s="342"/>
      <c r="U53" s="342"/>
      <c r="V53" s="342"/>
      <c r="W53" s="342"/>
      <c r="X53" s="342"/>
      <c r="Y53" s="342"/>
      <c r="Z53" s="342"/>
      <c r="AA53" s="342"/>
      <c r="AB53" s="342"/>
      <c r="AC53" s="342"/>
      <c r="AD53" s="342"/>
      <c r="AE53" s="342"/>
      <c r="AF53" s="342"/>
      <c r="AG53" s="342"/>
      <c r="AH53" s="342"/>
      <c r="AI53" s="342"/>
    </row>
    <row r="54" spans="1:35" ht="20.25" customHeight="1">
      <c r="A54" s="339"/>
      <c r="B54" s="339"/>
      <c r="C54" s="349" t="s">
        <v>3867</v>
      </c>
      <c r="D54" s="348"/>
      <c r="E54" s="341"/>
      <c r="F54" s="340"/>
      <c r="G54" s="342"/>
      <c r="H54" s="342"/>
      <c r="I54" s="342"/>
      <c r="J54" s="342"/>
      <c r="K54" s="342"/>
      <c r="L54" s="342"/>
      <c r="M54" s="342"/>
      <c r="N54" s="342"/>
      <c r="O54" s="342"/>
      <c r="P54" s="342"/>
      <c r="Q54" s="342"/>
      <c r="R54" s="342"/>
      <c r="S54" s="342"/>
      <c r="T54" s="342"/>
      <c r="U54" s="342"/>
      <c r="V54" s="342"/>
      <c r="W54" s="342"/>
      <c r="X54" s="342"/>
      <c r="Y54" s="342"/>
      <c r="Z54" s="342"/>
      <c r="AA54" s="342"/>
      <c r="AB54" s="342"/>
      <c r="AC54" s="342"/>
      <c r="AD54" s="342"/>
      <c r="AE54" s="342"/>
      <c r="AF54" s="342"/>
      <c r="AG54" s="342"/>
      <c r="AH54" s="342"/>
      <c r="AI54" s="342"/>
    </row>
    <row r="55" spans="1:35" ht="16.5">
      <c r="A55" s="339"/>
      <c r="B55" s="339"/>
      <c r="C55" s="339"/>
      <c r="D55" s="348"/>
      <c r="E55" s="341"/>
      <c r="F55" s="339"/>
      <c r="G55" s="342"/>
      <c r="H55" s="342"/>
      <c r="I55" s="342"/>
      <c r="J55" s="342"/>
      <c r="K55" s="342"/>
      <c r="L55" s="342"/>
      <c r="M55" s="342"/>
      <c r="N55" s="342"/>
      <c r="O55" s="342"/>
      <c r="P55" s="342"/>
      <c r="Q55" s="342"/>
      <c r="R55" s="342"/>
      <c r="S55" s="342"/>
      <c r="T55" s="342"/>
      <c r="U55" s="342"/>
      <c r="V55" s="342"/>
      <c r="W55" s="342"/>
      <c r="X55" s="342"/>
      <c r="Y55" s="342"/>
      <c r="Z55" s="342"/>
      <c r="AA55" s="342"/>
      <c r="AB55" s="342"/>
      <c r="AC55" s="342"/>
      <c r="AD55" s="342"/>
      <c r="AE55" s="342"/>
      <c r="AF55" s="342"/>
      <c r="AG55" s="342"/>
      <c r="AH55" s="342"/>
      <c r="AI55" s="342"/>
    </row>
    <row r="56" spans="1:35" ht="16.5">
      <c r="A56" s="339"/>
      <c r="B56" s="339"/>
      <c r="C56" s="339"/>
      <c r="D56" s="348"/>
      <c r="E56" s="341"/>
      <c r="F56" s="339"/>
      <c r="G56" s="344"/>
      <c r="H56" s="344"/>
      <c r="I56" s="344"/>
      <c r="J56" s="344"/>
      <c r="K56" s="344"/>
      <c r="L56" s="344"/>
      <c r="M56" s="351"/>
      <c r="N56" s="351"/>
      <c r="O56" s="351"/>
      <c r="P56" s="344"/>
      <c r="Q56" s="344"/>
      <c r="R56" s="344"/>
      <c r="S56" s="344"/>
      <c r="T56" s="342"/>
      <c r="U56" s="344"/>
      <c r="V56" s="344"/>
      <c r="W56" s="344"/>
      <c r="X56" s="344"/>
      <c r="Y56" s="344"/>
      <c r="Z56" s="344"/>
      <c r="AA56" s="344"/>
      <c r="AB56" s="344"/>
      <c r="AC56" s="344"/>
      <c r="AD56" s="344"/>
      <c r="AE56" s="344"/>
      <c r="AF56" s="344"/>
      <c r="AG56" s="344"/>
      <c r="AH56" s="344"/>
      <c r="AI56" s="342"/>
    </row>
    <row r="57" spans="1:35" ht="16.5">
      <c r="A57" s="339"/>
      <c r="B57" s="339"/>
      <c r="C57" s="349" t="s">
        <v>3866</v>
      </c>
      <c r="D57" s="348"/>
      <c r="E57" s="341" t="s">
        <v>3865</v>
      </c>
      <c r="F57" s="338"/>
      <c r="G57" s="344"/>
      <c r="H57" s="344"/>
      <c r="I57" s="344"/>
      <c r="J57" s="344"/>
      <c r="K57" s="344"/>
      <c r="L57" s="344"/>
      <c r="M57" s="351"/>
      <c r="N57" s="351"/>
      <c r="O57" s="351"/>
      <c r="P57" s="344"/>
      <c r="Q57" s="344"/>
      <c r="R57" s="344"/>
      <c r="S57" s="344"/>
      <c r="T57" s="344"/>
      <c r="U57" s="344"/>
      <c r="V57" s="344"/>
      <c r="W57" s="344"/>
      <c r="X57" s="344"/>
      <c r="Y57" s="344"/>
      <c r="Z57" s="344"/>
      <c r="AA57" s="344"/>
      <c r="AB57" s="344"/>
      <c r="AC57" s="344"/>
      <c r="AD57" s="344"/>
      <c r="AE57" s="344"/>
      <c r="AF57" s="344"/>
      <c r="AG57" s="344"/>
      <c r="AH57" s="344"/>
      <c r="AI57" s="344"/>
    </row>
    <row r="58" spans="1:35" ht="16.5">
      <c r="A58" s="339"/>
      <c r="B58" s="339"/>
      <c r="C58" s="339"/>
      <c r="D58" s="348"/>
      <c r="E58" s="341" t="s">
        <v>3839</v>
      </c>
      <c r="F58" s="338"/>
      <c r="G58" s="344"/>
      <c r="H58" s="344"/>
      <c r="I58" s="344"/>
      <c r="J58" s="344"/>
      <c r="K58" s="344"/>
      <c r="L58" s="344"/>
      <c r="M58" s="351"/>
      <c r="N58" s="351"/>
      <c r="O58" s="351"/>
      <c r="P58" s="344"/>
      <c r="Q58" s="344"/>
      <c r="R58" s="344"/>
      <c r="S58" s="344"/>
      <c r="T58" s="344"/>
      <c r="U58" s="344"/>
      <c r="V58" s="344"/>
      <c r="W58" s="344"/>
      <c r="X58" s="344"/>
      <c r="Y58" s="344"/>
      <c r="Z58" s="344"/>
      <c r="AA58" s="344"/>
      <c r="AB58" s="344"/>
      <c r="AC58" s="344"/>
      <c r="AD58" s="344"/>
      <c r="AE58" s="344"/>
      <c r="AF58" s="344"/>
      <c r="AG58" s="344"/>
      <c r="AH58" s="344"/>
      <c r="AI58" s="344"/>
    </row>
    <row r="59" spans="1:35" ht="16.5">
      <c r="A59" s="339"/>
      <c r="B59" s="339"/>
      <c r="C59" s="339"/>
      <c r="D59" s="348"/>
      <c r="E59" s="341" t="s">
        <v>3845</v>
      </c>
      <c r="F59" s="338"/>
      <c r="G59" s="344"/>
      <c r="H59" s="344"/>
      <c r="I59" s="344"/>
      <c r="J59" s="344"/>
      <c r="K59" s="344"/>
      <c r="L59" s="344"/>
      <c r="M59" s="351"/>
      <c r="N59" s="351"/>
      <c r="O59" s="351"/>
      <c r="P59" s="344"/>
      <c r="Q59" s="344"/>
      <c r="R59" s="344"/>
      <c r="S59" s="344"/>
      <c r="T59" s="344"/>
      <c r="U59" s="344"/>
      <c r="V59" s="344"/>
      <c r="W59" s="344"/>
      <c r="X59" s="344"/>
      <c r="Y59" s="344"/>
      <c r="Z59" s="344"/>
      <c r="AA59" s="344"/>
      <c r="AB59" s="344"/>
      <c r="AC59" s="344"/>
      <c r="AD59" s="344"/>
      <c r="AE59" s="344"/>
      <c r="AF59" s="344"/>
      <c r="AG59" s="344"/>
      <c r="AH59" s="344"/>
      <c r="AI59" s="344"/>
    </row>
    <row r="60" spans="1:35" ht="16.5">
      <c r="A60" s="339"/>
      <c r="B60" s="339"/>
      <c r="C60" s="339"/>
      <c r="D60" s="348"/>
      <c r="E60" s="341"/>
      <c r="F60" s="338"/>
      <c r="G60" s="344"/>
      <c r="H60" s="344"/>
      <c r="I60" s="344"/>
      <c r="J60" s="344"/>
      <c r="K60" s="344"/>
      <c r="L60" s="344"/>
      <c r="M60" s="351"/>
      <c r="N60" s="351"/>
      <c r="O60" s="351"/>
      <c r="P60" s="344"/>
      <c r="Q60" s="344"/>
      <c r="R60" s="344"/>
      <c r="S60" s="344"/>
      <c r="T60" s="344"/>
      <c r="U60" s="344"/>
      <c r="V60" s="344"/>
      <c r="W60" s="344"/>
      <c r="X60" s="344"/>
      <c r="Y60" s="344"/>
      <c r="Z60" s="344"/>
      <c r="AA60" s="344"/>
      <c r="AB60" s="344"/>
      <c r="AC60" s="344"/>
      <c r="AD60" s="344"/>
      <c r="AE60" s="344"/>
      <c r="AF60" s="344"/>
      <c r="AG60" s="344"/>
      <c r="AH60" s="344"/>
      <c r="AI60" s="344"/>
    </row>
    <row r="61" spans="1:35" ht="16.5">
      <c r="A61" s="350"/>
      <c r="B61" s="339"/>
      <c r="C61" s="349" t="s">
        <v>3864</v>
      </c>
      <c r="D61" s="348"/>
      <c r="E61" s="341" t="s">
        <v>3863</v>
      </c>
      <c r="F61" s="338"/>
      <c r="G61" s="342"/>
      <c r="H61" s="342"/>
      <c r="I61" s="342"/>
      <c r="J61" s="342"/>
      <c r="K61" s="342"/>
      <c r="L61" s="342"/>
      <c r="M61" s="342"/>
      <c r="N61" s="342"/>
      <c r="O61" s="342"/>
      <c r="P61" s="342"/>
      <c r="Q61" s="342"/>
      <c r="R61" s="342"/>
      <c r="S61" s="342"/>
      <c r="T61" s="342"/>
      <c r="U61" s="342"/>
      <c r="V61" s="342"/>
      <c r="W61" s="342"/>
      <c r="X61" s="342"/>
      <c r="Y61" s="342"/>
      <c r="Z61" s="342"/>
      <c r="AA61" s="342"/>
      <c r="AB61" s="342"/>
      <c r="AC61" s="342"/>
      <c r="AD61" s="342"/>
      <c r="AE61" s="342"/>
      <c r="AF61" s="342"/>
      <c r="AG61" s="342"/>
      <c r="AH61" s="342"/>
      <c r="AI61" s="342"/>
    </row>
    <row r="62" spans="1:35" ht="16.5">
      <c r="A62" s="339"/>
      <c r="B62" s="339"/>
      <c r="C62" s="339"/>
      <c r="D62" s="336"/>
      <c r="E62" s="341" t="s">
        <v>3846</v>
      </c>
      <c r="F62" s="338"/>
      <c r="G62" s="342"/>
      <c r="H62" s="342"/>
      <c r="I62" s="342"/>
      <c r="J62" s="342"/>
      <c r="K62" s="342"/>
      <c r="L62" s="342"/>
      <c r="M62" s="342"/>
      <c r="N62" s="342"/>
      <c r="O62" s="342"/>
      <c r="P62" s="342"/>
      <c r="Q62" s="342"/>
      <c r="R62" s="342"/>
      <c r="S62" s="342"/>
      <c r="T62" s="342"/>
      <c r="U62" s="342"/>
      <c r="V62" s="342"/>
      <c r="W62" s="342"/>
      <c r="X62" s="342"/>
      <c r="Y62" s="342"/>
      <c r="Z62" s="342"/>
      <c r="AA62" s="342"/>
      <c r="AB62" s="342"/>
      <c r="AC62" s="342"/>
      <c r="AD62" s="342"/>
      <c r="AE62" s="342"/>
      <c r="AF62" s="342"/>
      <c r="AG62" s="342"/>
      <c r="AH62" s="342"/>
      <c r="AI62" s="342"/>
    </row>
    <row r="63" spans="1:35" ht="16.5">
      <c r="A63" s="350"/>
      <c r="B63" s="339"/>
      <c r="C63" s="349"/>
      <c r="D63" s="348"/>
      <c r="E63" s="341" t="s">
        <v>3862</v>
      </c>
      <c r="F63" s="338"/>
      <c r="G63" s="342"/>
      <c r="H63" s="342"/>
      <c r="I63" s="342"/>
      <c r="J63" s="342"/>
      <c r="K63" s="342"/>
      <c r="L63" s="342"/>
      <c r="M63" s="342"/>
      <c r="N63" s="342"/>
      <c r="O63" s="342"/>
      <c r="P63" s="342"/>
      <c r="Q63" s="342"/>
      <c r="R63" s="342"/>
      <c r="S63" s="342"/>
      <c r="T63" s="342"/>
      <c r="U63" s="342"/>
      <c r="V63" s="342"/>
      <c r="W63" s="342"/>
      <c r="X63" s="342"/>
      <c r="Y63" s="342"/>
      <c r="Z63" s="342"/>
      <c r="AA63" s="342"/>
      <c r="AB63" s="342"/>
      <c r="AC63" s="342"/>
      <c r="AD63" s="342"/>
      <c r="AE63" s="342"/>
      <c r="AF63" s="342"/>
      <c r="AG63" s="342"/>
      <c r="AH63" s="342"/>
      <c r="AI63" s="342"/>
    </row>
    <row r="64" spans="1:35" ht="16.5">
      <c r="A64" s="339"/>
      <c r="B64" s="339"/>
      <c r="C64" s="339"/>
      <c r="D64" s="336"/>
      <c r="E64" s="341"/>
      <c r="F64" s="338"/>
      <c r="G64" s="342"/>
      <c r="H64" s="342"/>
      <c r="I64" s="342"/>
      <c r="J64" s="342"/>
      <c r="K64" s="342"/>
      <c r="L64" s="342"/>
      <c r="M64" s="342"/>
      <c r="N64" s="342"/>
      <c r="O64" s="342"/>
      <c r="P64" s="342"/>
      <c r="Q64" s="342"/>
      <c r="R64" s="342"/>
      <c r="S64" s="342"/>
      <c r="T64" s="342"/>
      <c r="U64" s="342"/>
      <c r="V64" s="342"/>
      <c r="W64" s="342"/>
      <c r="X64" s="342"/>
      <c r="Y64" s="342"/>
      <c r="Z64" s="342"/>
      <c r="AA64" s="342"/>
      <c r="AB64" s="342"/>
      <c r="AC64" s="342"/>
      <c r="AD64" s="342"/>
      <c r="AE64" s="342"/>
      <c r="AF64" s="342"/>
      <c r="AG64" s="342"/>
      <c r="AH64" s="342"/>
      <c r="AI64" s="342"/>
    </row>
    <row r="65" spans="1:35" ht="16.5">
      <c r="A65" s="339"/>
      <c r="B65" s="339"/>
      <c r="C65" s="339"/>
      <c r="D65" s="336"/>
      <c r="E65" s="341"/>
      <c r="F65" s="338"/>
      <c r="G65" s="342"/>
      <c r="H65" s="342"/>
      <c r="I65" s="342"/>
      <c r="J65" s="342"/>
      <c r="K65" s="342"/>
      <c r="L65" s="342"/>
      <c r="M65" s="342"/>
      <c r="N65" s="342"/>
      <c r="O65" s="342"/>
      <c r="P65" s="342"/>
      <c r="Q65" s="342"/>
      <c r="R65" s="342"/>
      <c r="S65" s="342"/>
      <c r="T65" s="342"/>
      <c r="U65" s="342"/>
      <c r="V65" s="342"/>
      <c r="W65" s="342"/>
      <c r="X65" s="342"/>
      <c r="Y65" s="342"/>
      <c r="Z65" s="342"/>
      <c r="AA65" s="342"/>
      <c r="AB65" s="342"/>
      <c r="AC65" s="342"/>
      <c r="AD65" s="342"/>
      <c r="AE65" s="342"/>
      <c r="AF65" s="342"/>
      <c r="AG65" s="342"/>
      <c r="AH65" s="342"/>
      <c r="AI65" s="342"/>
    </row>
    <row r="66" spans="1:35" ht="16.5">
      <c r="A66" s="350"/>
      <c r="B66" s="339"/>
      <c r="C66" s="349" t="s">
        <v>3861</v>
      </c>
      <c r="D66" s="348"/>
      <c r="E66" s="341" t="s">
        <v>3860</v>
      </c>
      <c r="F66" s="338"/>
      <c r="G66" s="342"/>
      <c r="H66" s="342"/>
      <c r="I66" s="342"/>
      <c r="J66" s="342"/>
      <c r="K66" s="342"/>
      <c r="L66" s="342"/>
      <c r="M66" s="342"/>
      <c r="N66" s="342"/>
      <c r="O66" s="342"/>
      <c r="P66" s="342"/>
      <c r="Q66" s="342"/>
      <c r="R66" s="342"/>
      <c r="S66" s="342"/>
      <c r="T66" s="342"/>
      <c r="U66" s="342"/>
      <c r="V66" s="342"/>
      <c r="W66" s="342"/>
      <c r="X66" s="342"/>
      <c r="Y66" s="342"/>
      <c r="Z66" s="342"/>
      <c r="AA66" s="342"/>
      <c r="AB66" s="342"/>
      <c r="AC66" s="342"/>
      <c r="AD66" s="342"/>
      <c r="AE66" s="342"/>
      <c r="AF66" s="342"/>
      <c r="AG66" s="342"/>
      <c r="AH66" s="342"/>
      <c r="AI66" s="342"/>
    </row>
    <row r="67" spans="1:35" ht="16.5">
      <c r="A67" s="350"/>
      <c r="B67" s="339"/>
      <c r="C67" s="339"/>
      <c r="D67" s="348"/>
      <c r="E67" s="341"/>
      <c r="F67" s="338"/>
      <c r="G67" s="342"/>
      <c r="H67" s="342"/>
      <c r="I67" s="342"/>
      <c r="J67" s="342"/>
      <c r="K67" s="342"/>
      <c r="L67" s="342"/>
      <c r="M67" s="342"/>
      <c r="N67" s="342"/>
      <c r="O67" s="342"/>
      <c r="P67" s="342"/>
      <c r="Q67" s="342"/>
      <c r="R67" s="342"/>
      <c r="S67" s="342"/>
      <c r="T67" s="342"/>
      <c r="U67" s="342"/>
      <c r="V67" s="342"/>
      <c r="W67" s="342"/>
      <c r="X67" s="342"/>
      <c r="Y67" s="342"/>
      <c r="Z67" s="342"/>
      <c r="AA67" s="342"/>
      <c r="AB67" s="342"/>
      <c r="AC67" s="342"/>
      <c r="AD67" s="342"/>
      <c r="AE67" s="342"/>
      <c r="AF67" s="342"/>
      <c r="AG67" s="342"/>
      <c r="AH67" s="342"/>
      <c r="AI67" s="342"/>
    </row>
    <row r="68" spans="1:35" ht="16.5">
      <c r="A68" s="339"/>
      <c r="B68" s="339"/>
      <c r="C68" s="348"/>
      <c r="D68" s="336"/>
      <c r="E68" s="341"/>
      <c r="F68" s="338"/>
      <c r="G68" s="342"/>
      <c r="H68" s="342"/>
      <c r="I68" s="342"/>
      <c r="J68" s="342"/>
      <c r="K68" s="342"/>
      <c r="L68" s="342"/>
      <c r="M68" s="342"/>
      <c r="N68" s="342"/>
      <c r="O68" s="342"/>
      <c r="P68" s="342"/>
      <c r="Q68" s="342"/>
      <c r="R68" s="342"/>
      <c r="S68" s="342"/>
      <c r="T68" s="342"/>
      <c r="U68" s="342"/>
      <c r="V68" s="342"/>
      <c r="W68" s="342"/>
      <c r="X68" s="342"/>
      <c r="Y68" s="342"/>
      <c r="Z68" s="342"/>
      <c r="AA68" s="342"/>
      <c r="AB68" s="342"/>
      <c r="AC68" s="342"/>
      <c r="AD68" s="342"/>
      <c r="AE68" s="342"/>
      <c r="AF68" s="342"/>
      <c r="AG68" s="342"/>
      <c r="AH68" s="342"/>
      <c r="AI68" s="342"/>
    </row>
    <row r="69" spans="1:35" ht="16.5">
      <c r="A69" s="339"/>
      <c r="B69" s="339"/>
      <c r="C69" s="349" t="s">
        <v>3859</v>
      </c>
      <c r="D69" s="336"/>
      <c r="E69" s="341" t="s">
        <v>3858</v>
      </c>
      <c r="F69" s="338"/>
      <c r="G69" s="342"/>
      <c r="H69" s="342"/>
      <c r="I69" s="342"/>
      <c r="J69" s="342"/>
      <c r="K69" s="342"/>
      <c r="L69" s="342"/>
      <c r="M69" s="342"/>
      <c r="N69" s="342"/>
      <c r="O69" s="342"/>
      <c r="P69" s="342"/>
      <c r="Q69" s="342"/>
      <c r="R69" s="342"/>
      <c r="S69" s="342"/>
      <c r="T69" s="342"/>
      <c r="U69" s="342"/>
      <c r="V69" s="342"/>
      <c r="W69" s="342"/>
      <c r="X69" s="342"/>
      <c r="Y69" s="342"/>
      <c r="Z69" s="342"/>
      <c r="AA69" s="342"/>
      <c r="AB69" s="342"/>
      <c r="AC69" s="342"/>
      <c r="AD69" s="342"/>
      <c r="AE69" s="342"/>
      <c r="AF69" s="342"/>
      <c r="AG69" s="342"/>
      <c r="AH69" s="342"/>
      <c r="AI69" s="342"/>
    </row>
    <row r="70" spans="1:35" ht="16.5">
      <c r="A70" s="339"/>
      <c r="B70" s="339"/>
      <c r="C70" s="339"/>
      <c r="D70" s="348"/>
      <c r="E70" s="341"/>
      <c r="F70" s="338"/>
      <c r="G70" s="342"/>
      <c r="H70" s="342"/>
      <c r="I70" s="342"/>
      <c r="J70" s="342"/>
      <c r="K70" s="342"/>
      <c r="L70" s="342"/>
      <c r="M70" s="342"/>
      <c r="N70" s="342"/>
      <c r="O70" s="342"/>
      <c r="P70" s="342"/>
      <c r="Q70" s="342"/>
      <c r="R70" s="342"/>
      <c r="S70" s="342"/>
      <c r="T70" s="342"/>
      <c r="U70" s="342"/>
      <c r="V70" s="342"/>
      <c r="W70" s="342"/>
      <c r="X70" s="342"/>
      <c r="Y70" s="342"/>
      <c r="Z70" s="342"/>
      <c r="AA70" s="342"/>
      <c r="AB70" s="342"/>
      <c r="AC70" s="342"/>
      <c r="AD70" s="342"/>
      <c r="AE70" s="342"/>
      <c r="AF70" s="342"/>
      <c r="AG70" s="342"/>
      <c r="AH70" s="342"/>
      <c r="AI70" s="342"/>
    </row>
    <row r="71" spans="1:35" ht="16.5">
      <c r="A71" s="347" t="s">
        <v>3857</v>
      </c>
      <c r="B71" s="339"/>
      <c r="C71" s="346" t="s">
        <v>3856</v>
      </c>
      <c r="D71" s="338"/>
      <c r="E71" s="338" t="s">
        <v>3855</v>
      </c>
      <c r="F71" s="338"/>
      <c r="G71" s="343"/>
      <c r="H71" s="343"/>
      <c r="I71" s="343"/>
      <c r="J71" s="343"/>
      <c r="K71" s="343"/>
      <c r="L71" s="343"/>
      <c r="M71" s="343"/>
      <c r="N71" s="343"/>
      <c r="O71" s="343"/>
      <c r="P71" s="343"/>
      <c r="Q71" s="343"/>
      <c r="R71" s="343"/>
      <c r="S71" s="343"/>
      <c r="T71" s="343"/>
      <c r="U71" s="343"/>
      <c r="V71" s="343"/>
      <c r="W71" s="343"/>
      <c r="X71" s="343"/>
      <c r="Y71" s="343"/>
      <c r="Z71" s="343"/>
      <c r="AA71" s="343"/>
      <c r="AB71" s="343"/>
      <c r="AC71" s="343"/>
      <c r="AD71" s="343"/>
      <c r="AE71" s="343"/>
      <c r="AF71" s="344"/>
      <c r="AG71" s="344"/>
      <c r="AH71" s="344"/>
      <c r="AI71" s="344"/>
    </row>
    <row r="72" spans="1:35" ht="16.5">
      <c r="A72" s="339"/>
      <c r="B72" s="339"/>
      <c r="C72" s="339"/>
      <c r="D72" s="338"/>
      <c r="E72" s="338" t="s">
        <v>3854</v>
      </c>
      <c r="F72" s="338"/>
      <c r="G72" s="343"/>
      <c r="H72" s="343"/>
      <c r="I72" s="343"/>
      <c r="J72" s="343"/>
      <c r="K72" s="343"/>
      <c r="L72" s="343"/>
      <c r="M72" s="343"/>
      <c r="N72" s="343"/>
      <c r="O72" s="343"/>
      <c r="P72" s="343"/>
      <c r="Q72" s="343"/>
      <c r="R72" s="343"/>
      <c r="S72" s="343"/>
      <c r="T72" s="343"/>
      <c r="U72" s="343"/>
      <c r="V72" s="343"/>
      <c r="W72" s="343"/>
      <c r="X72" s="343"/>
      <c r="Y72" s="343"/>
      <c r="Z72" s="343"/>
      <c r="AA72" s="343"/>
      <c r="AB72" s="343"/>
      <c r="AC72" s="343"/>
      <c r="AD72" s="343"/>
      <c r="AE72" s="343"/>
      <c r="AF72" s="344"/>
      <c r="AG72" s="344"/>
      <c r="AH72" s="344"/>
      <c r="AI72" s="344"/>
    </row>
    <row r="73" spans="1:35" ht="16.5">
      <c r="A73" s="339"/>
      <c r="B73" s="339"/>
      <c r="C73" s="339"/>
      <c r="D73" s="338"/>
      <c r="E73" s="338" t="s">
        <v>3853</v>
      </c>
      <c r="F73" s="338"/>
      <c r="G73" s="343"/>
      <c r="H73" s="343"/>
      <c r="I73" s="343"/>
      <c r="J73" s="343"/>
      <c r="K73" s="343"/>
      <c r="L73" s="343"/>
      <c r="M73" s="343"/>
      <c r="N73" s="343"/>
      <c r="O73" s="343"/>
      <c r="P73" s="343"/>
      <c r="Q73" s="343"/>
      <c r="R73" s="343"/>
      <c r="S73" s="343"/>
      <c r="T73" s="343"/>
      <c r="U73" s="343"/>
      <c r="V73" s="343"/>
      <c r="W73" s="343"/>
      <c r="X73" s="343"/>
      <c r="Y73" s="343"/>
      <c r="Z73" s="343"/>
      <c r="AA73" s="343"/>
      <c r="AB73" s="343"/>
      <c r="AC73" s="343"/>
      <c r="AD73" s="343"/>
      <c r="AE73" s="343"/>
      <c r="AF73" s="344"/>
      <c r="AG73" s="344"/>
      <c r="AH73" s="344"/>
      <c r="AI73" s="344"/>
    </row>
    <row r="74" spans="1:35" ht="16.5">
      <c r="A74" s="339"/>
      <c r="B74" s="339"/>
      <c r="C74" s="339"/>
      <c r="D74" s="338"/>
      <c r="E74" s="338" t="s">
        <v>3852</v>
      </c>
      <c r="F74" s="338"/>
      <c r="G74" s="343"/>
      <c r="H74" s="343"/>
      <c r="I74" s="343"/>
      <c r="J74" s="343"/>
      <c r="K74" s="343"/>
      <c r="L74" s="343"/>
      <c r="M74" s="343"/>
      <c r="N74" s="343"/>
      <c r="O74" s="343"/>
      <c r="P74" s="343"/>
      <c r="Q74" s="343"/>
      <c r="R74" s="343"/>
      <c r="S74" s="343"/>
      <c r="T74" s="343"/>
      <c r="U74" s="343"/>
      <c r="V74" s="343"/>
      <c r="W74" s="343"/>
      <c r="X74" s="343"/>
      <c r="Y74" s="343"/>
      <c r="Z74" s="343"/>
      <c r="AA74" s="343"/>
      <c r="AB74" s="343"/>
      <c r="AC74" s="343"/>
      <c r="AD74" s="343"/>
      <c r="AE74" s="343"/>
      <c r="AF74" s="344"/>
      <c r="AG74" s="344"/>
      <c r="AH74" s="344"/>
      <c r="AI74" s="344"/>
    </row>
    <row r="75" spans="1:35" ht="16.5">
      <c r="A75" s="339"/>
      <c r="B75" s="339"/>
      <c r="C75" s="339"/>
      <c r="D75" s="338"/>
      <c r="E75" s="338" t="s">
        <v>3851</v>
      </c>
      <c r="F75" s="338"/>
      <c r="G75" s="342"/>
      <c r="H75" s="342"/>
      <c r="I75" s="342"/>
      <c r="J75" s="345"/>
      <c r="K75" s="343"/>
      <c r="L75" s="343"/>
      <c r="M75" s="343"/>
      <c r="N75" s="343"/>
      <c r="O75" s="343"/>
      <c r="P75" s="343"/>
      <c r="Q75" s="343"/>
      <c r="R75" s="343"/>
      <c r="S75" s="343"/>
      <c r="T75" s="343"/>
      <c r="U75" s="343"/>
      <c r="V75" s="343"/>
      <c r="W75" s="343"/>
      <c r="X75" s="343"/>
      <c r="Y75" s="343"/>
      <c r="Z75" s="343"/>
      <c r="AA75" s="343"/>
      <c r="AB75" s="343"/>
      <c r="AC75" s="343"/>
      <c r="AD75" s="343"/>
      <c r="AE75" s="343"/>
      <c r="AF75" s="344"/>
      <c r="AG75" s="344"/>
      <c r="AH75" s="344"/>
      <c r="AI75" s="344"/>
    </row>
    <row r="76" spans="1:35" ht="16.5">
      <c r="A76" s="339"/>
      <c r="B76" s="339"/>
      <c r="C76" s="339"/>
      <c r="D76" s="338"/>
      <c r="E76" s="338" t="s">
        <v>3850</v>
      </c>
      <c r="F76" s="338"/>
      <c r="G76" s="343"/>
      <c r="H76" s="343"/>
      <c r="I76" s="343"/>
      <c r="J76" s="343"/>
      <c r="K76" s="342"/>
      <c r="L76" s="342"/>
      <c r="M76" s="342"/>
      <c r="N76" s="342"/>
      <c r="O76" s="342"/>
      <c r="P76" s="342"/>
      <c r="Q76" s="342"/>
      <c r="R76" s="342"/>
      <c r="S76" s="342"/>
      <c r="T76" s="342"/>
      <c r="U76" s="342"/>
      <c r="V76" s="342"/>
      <c r="W76" s="342"/>
      <c r="X76" s="342"/>
      <c r="Y76" s="342"/>
      <c r="Z76" s="342"/>
      <c r="AA76" s="342"/>
      <c r="AB76" s="342"/>
      <c r="AC76" s="342"/>
      <c r="AD76" s="342"/>
      <c r="AE76" s="342"/>
      <c r="AF76" s="342"/>
      <c r="AG76" s="342"/>
      <c r="AH76" s="342"/>
      <c r="AI76" s="342"/>
    </row>
    <row r="77" spans="1:35" ht="16.5">
      <c r="A77" s="339"/>
      <c r="B77" s="339"/>
      <c r="C77" s="339"/>
      <c r="D77" s="338"/>
      <c r="E77" s="338"/>
      <c r="F77" s="338"/>
      <c r="G77" s="343"/>
      <c r="H77" s="343"/>
      <c r="I77" s="343"/>
      <c r="J77" s="343"/>
      <c r="K77" s="342"/>
      <c r="L77" s="342"/>
      <c r="M77" s="342"/>
      <c r="N77" s="342"/>
      <c r="O77" s="342"/>
      <c r="P77" s="342"/>
      <c r="Q77" s="342"/>
      <c r="R77" s="342"/>
      <c r="S77" s="342"/>
      <c r="T77" s="342"/>
      <c r="U77" s="342"/>
      <c r="V77" s="342"/>
      <c r="W77" s="342"/>
      <c r="X77" s="342"/>
      <c r="Y77" s="342"/>
      <c r="Z77" s="342"/>
      <c r="AA77" s="342"/>
      <c r="AB77" s="342"/>
      <c r="AC77" s="342"/>
      <c r="AD77" s="342"/>
      <c r="AE77" s="342"/>
      <c r="AF77" s="342"/>
      <c r="AG77" s="342"/>
      <c r="AH77" s="342"/>
      <c r="AI77" s="342"/>
    </row>
    <row r="78" spans="1:35" ht="16.5">
      <c r="A78" s="339"/>
      <c r="B78" s="339"/>
      <c r="C78" s="338"/>
      <c r="D78" s="338"/>
      <c r="E78" s="338"/>
      <c r="F78" s="338"/>
      <c r="G78" s="342"/>
      <c r="H78" s="342"/>
      <c r="I78" s="342"/>
      <c r="J78" s="342"/>
      <c r="K78" s="342"/>
      <c r="L78" s="342"/>
      <c r="M78" s="342"/>
      <c r="N78" s="342"/>
      <c r="O78" s="342"/>
      <c r="P78" s="342"/>
      <c r="Q78" s="342"/>
      <c r="R78" s="342"/>
      <c r="S78" s="342"/>
      <c r="T78" s="342"/>
      <c r="U78" s="342"/>
      <c r="V78" s="342"/>
      <c r="W78" s="342"/>
      <c r="X78" s="342"/>
      <c r="Y78" s="342"/>
      <c r="Z78" s="342"/>
      <c r="AA78" s="342"/>
      <c r="AB78" s="342"/>
      <c r="AC78" s="342"/>
      <c r="AD78" s="342"/>
      <c r="AE78" s="342"/>
      <c r="AF78" s="342"/>
      <c r="AG78" s="342"/>
      <c r="AH78" s="342"/>
      <c r="AI78" s="342"/>
    </row>
    <row r="79" spans="1:35" ht="16.5">
      <c r="A79" s="340" t="s">
        <v>3839</v>
      </c>
      <c r="B79" s="339"/>
      <c r="C79" s="340" t="s">
        <v>3849</v>
      </c>
      <c r="D79" s="336"/>
      <c r="E79" s="341" t="s">
        <v>3848</v>
      </c>
      <c r="F79" s="336"/>
      <c r="G79" s="336"/>
      <c r="H79" s="336"/>
      <c r="I79" s="336"/>
      <c r="J79" s="336"/>
      <c r="K79" s="336"/>
      <c r="L79" s="336"/>
      <c r="M79" s="336"/>
      <c r="N79" s="336"/>
      <c r="O79" s="336"/>
      <c r="P79" s="336"/>
      <c r="Q79" s="336"/>
      <c r="R79" s="336"/>
      <c r="S79" s="336"/>
      <c r="T79" s="336"/>
      <c r="U79" s="336"/>
      <c r="V79" s="336"/>
      <c r="W79" s="336"/>
      <c r="X79" s="336"/>
      <c r="Y79" s="336"/>
      <c r="Z79" s="336"/>
      <c r="AA79" s="336"/>
      <c r="AB79" s="336"/>
      <c r="AC79" s="336"/>
      <c r="AD79" s="336"/>
      <c r="AE79" s="336"/>
      <c r="AF79" s="336"/>
      <c r="AG79" s="336"/>
      <c r="AH79" s="336"/>
      <c r="AI79" s="336"/>
    </row>
    <row r="80" spans="1:35" ht="16.5">
      <c r="A80" s="339"/>
      <c r="B80" s="339"/>
      <c r="C80" s="339"/>
      <c r="D80" s="336"/>
      <c r="E80" s="341"/>
      <c r="F80" s="336"/>
      <c r="G80" s="336"/>
      <c r="H80" s="336"/>
      <c r="I80" s="336"/>
      <c r="J80" s="336"/>
      <c r="K80" s="336"/>
      <c r="L80" s="336"/>
      <c r="M80" s="336"/>
      <c r="N80" s="336"/>
      <c r="O80" s="336"/>
      <c r="P80" s="336"/>
      <c r="Q80" s="336"/>
      <c r="R80" s="336"/>
      <c r="S80" s="336"/>
      <c r="T80" s="336"/>
      <c r="U80" s="336"/>
      <c r="V80" s="336"/>
      <c r="W80" s="336"/>
      <c r="X80" s="336"/>
      <c r="Y80" s="336"/>
      <c r="Z80" s="336"/>
      <c r="AA80" s="336"/>
      <c r="AB80" s="336"/>
      <c r="AC80" s="336"/>
      <c r="AD80" s="336"/>
      <c r="AE80" s="336"/>
      <c r="AF80" s="336"/>
      <c r="AG80" s="336"/>
      <c r="AH80" s="336"/>
      <c r="AI80" s="336"/>
    </row>
    <row r="81" spans="1:35" ht="16.5">
      <c r="A81" s="339"/>
      <c r="B81" s="339"/>
      <c r="C81" s="340" t="s">
        <v>3847</v>
      </c>
      <c r="D81" s="336"/>
      <c r="E81" s="337"/>
      <c r="F81" s="336"/>
      <c r="G81" s="336"/>
      <c r="H81" s="336"/>
      <c r="I81" s="336"/>
      <c r="J81" s="336"/>
      <c r="K81" s="336"/>
      <c r="L81" s="336"/>
      <c r="M81" s="336"/>
      <c r="N81" s="336"/>
      <c r="O81" s="336"/>
      <c r="P81" s="336"/>
      <c r="Q81" s="336"/>
      <c r="R81" s="336"/>
      <c r="S81" s="336"/>
      <c r="T81" s="336"/>
      <c r="U81" s="336"/>
      <c r="V81" s="336"/>
      <c r="W81" s="336"/>
      <c r="X81" s="336"/>
      <c r="Y81" s="336"/>
      <c r="Z81" s="336"/>
      <c r="AA81" s="336"/>
      <c r="AB81" s="336"/>
      <c r="AC81" s="336"/>
      <c r="AD81" s="336"/>
      <c r="AE81" s="336"/>
      <c r="AF81" s="336"/>
      <c r="AG81" s="336"/>
      <c r="AH81" s="336"/>
      <c r="AI81" s="336"/>
    </row>
    <row r="82" spans="1:35" ht="16.5">
      <c r="A82" s="339"/>
      <c r="B82" s="339"/>
      <c r="C82" s="335"/>
      <c r="D82" s="336"/>
      <c r="E82" s="337"/>
      <c r="F82" s="336"/>
      <c r="G82" s="336"/>
      <c r="H82" s="336"/>
      <c r="I82" s="336"/>
      <c r="J82" s="336"/>
      <c r="K82" s="336"/>
      <c r="L82" s="336"/>
      <c r="M82" s="336"/>
      <c r="N82" s="336"/>
      <c r="O82" s="336"/>
      <c r="P82" s="336"/>
      <c r="Q82" s="336"/>
      <c r="R82" s="336"/>
      <c r="S82" s="336"/>
      <c r="T82" s="336"/>
      <c r="U82" s="336"/>
      <c r="V82" s="336"/>
      <c r="W82" s="336"/>
      <c r="X82" s="336"/>
      <c r="Y82" s="336"/>
      <c r="Z82" s="336"/>
      <c r="AA82" s="336"/>
      <c r="AB82" s="336"/>
      <c r="AC82" s="336"/>
      <c r="AD82" s="336"/>
      <c r="AE82" s="336"/>
      <c r="AF82" s="336"/>
      <c r="AG82" s="336"/>
      <c r="AH82" s="336"/>
      <c r="AI82" s="336"/>
    </row>
    <row r="83" spans="1:35" ht="16.5">
      <c r="A83" s="339"/>
      <c r="B83" s="339"/>
      <c r="C83" s="338"/>
      <c r="D83" s="336"/>
      <c r="E83" s="337"/>
      <c r="F83" s="336"/>
      <c r="G83" s="336"/>
      <c r="H83" s="336"/>
      <c r="I83" s="336"/>
      <c r="J83" s="336"/>
      <c r="K83" s="336"/>
      <c r="L83" s="336"/>
      <c r="M83" s="336"/>
      <c r="N83" s="336"/>
      <c r="O83" s="336"/>
      <c r="P83" s="336"/>
      <c r="Q83" s="336"/>
      <c r="R83" s="336"/>
      <c r="S83" s="336"/>
      <c r="T83" s="336"/>
      <c r="U83" s="336"/>
      <c r="V83" s="336"/>
      <c r="W83" s="336"/>
      <c r="X83" s="336"/>
      <c r="Y83" s="336"/>
      <c r="Z83" s="336"/>
      <c r="AA83" s="336"/>
      <c r="AB83" s="336"/>
      <c r="AC83" s="336"/>
      <c r="AD83" s="336"/>
      <c r="AE83" s="336"/>
      <c r="AF83" s="336"/>
      <c r="AG83" s="336"/>
      <c r="AH83" s="336"/>
      <c r="AI83" s="336"/>
    </row>
    <row r="84" spans="1:35" ht="16.5">
      <c r="A84" s="335"/>
      <c r="B84" s="335"/>
      <c r="C84" s="326"/>
      <c r="D84" s="308"/>
      <c r="E84" s="334"/>
      <c r="F84" s="308"/>
      <c r="G84" s="308"/>
      <c r="H84" s="308"/>
      <c r="I84" s="308"/>
      <c r="J84" s="308"/>
      <c r="K84" s="308"/>
      <c r="L84" s="308"/>
      <c r="M84" s="308"/>
      <c r="N84" s="308"/>
      <c r="O84" s="308"/>
      <c r="P84" s="308"/>
      <c r="Q84" s="308"/>
      <c r="R84" s="308"/>
      <c r="S84" s="308"/>
      <c r="T84" s="308"/>
      <c r="U84" s="308"/>
      <c r="V84" s="308"/>
      <c r="W84" s="308"/>
      <c r="X84" s="308"/>
      <c r="Y84" s="308"/>
      <c r="Z84" s="308"/>
      <c r="AA84" s="308"/>
      <c r="AB84" s="308"/>
      <c r="AC84" s="308"/>
      <c r="AD84" s="308"/>
      <c r="AE84" s="308"/>
      <c r="AF84" s="308"/>
      <c r="AG84" s="308"/>
      <c r="AH84" s="308"/>
      <c r="AI84" s="308"/>
    </row>
    <row r="85" spans="1:35" ht="16.5">
      <c r="A85" s="332" t="s">
        <v>3846</v>
      </c>
      <c r="B85" s="331"/>
      <c r="C85" s="308"/>
      <c r="D85" s="308"/>
      <c r="E85" s="309"/>
      <c r="F85" s="308"/>
      <c r="G85" s="308"/>
      <c r="H85" s="308"/>
      <c r="I85" s="308"/>
      <c r="J85" s="308"/>
      <c r="K85" s="308"/>
      <c r="L85" s="308"/>
      <c r="M85" s="308"/>
      <c r="N85" s="308"/>
      <c r="O85" s="308"/>
      <c r="P85" s="308"/>
      <c r="Q85" s="308"/>
      <c r="R85" s="308"/>
      <c r="S85" s="308"/>
      <c r="T85" s="308"/>
      <c r="U85" s="308"/>
      <c r="V85" s="308"/>
      <c r="W85" s="308"/>
      <c r="X85" s="308"/>
      <c r="Y85" s="308"/>
      <c r="Z85" s="308"/>
      <c r="AA85" s="308"/>
      <c r="AB85" s="308"/>
      <c r="AC85" s="308"/>
      <c r="AD85" s="308"/>
      <c r="AE85" s="308"/>
      <c r="AF85" s="308"/>
      <c r="AG85" s="308"/>
      <c r="AH85" s="308"/>
      <c r="AI85" s="308"/>
    </row>
    <row r="86" spans="1:35" ht="16.5">
      <c r="A86" s="330"/>
      <c r="B86" s="329"/>
      <c r="C86" s="308"/>
      <c r="D86" s="308"/>
      <c r="E86" s="309"/>
      <c r="F86" s="308"/>
      <c r="G86" s="308"/>
      <c r="H86" s="308"/>
      <c r="I86" s="308"/>
      <c r="J86" s="308"/>
      <c r="K86" s="308"/>
      <c r="L86" s="308"/>
      <c r="M86" s="308"/>
      <c r="N86" s="308"/>
      <c r="O86" s="308"/>
      <c r="P86" s="308"/>
      <c r="Q86" s="308"/>
      <c r="R86" s="308"/>
      <c r="S86" s="308"/>
      <c r="T86" s="308"/>
      <c r="U86" s="308"/>
      <c r="V86" s="308"/>
      <c r="W86" s="308"/>
      <c r="X86" s="308"/>
      <c r="Y86" s="308"/>
      <c r="Z86" s="308"/>
      <c r="AA86" s="308"/>
      <c r="AB86" s="308"/>
      <c r="AC86" s="308"/>
      <c r="AD86" s="308"/>
      <c r="AE86" s="308"/>
      <c r="AF86" s="308"/>
      <c r="AG86" s="308"/>
      <c r="AH86" s="308"/>
      <c r="AI86" s="308"/>
    </row>
    <row r="87" spans="1:35" ht="16.5">
      <c r="A87" s="328"/>
      <c r="B87" s="327"/>
      <c r="C87" s="308"/>
      <c r="D87" s="308"/>
      <c r="E87" s="309"/>
      <c r="F87" s="308"/>
      <c r="G87" s="308"/>
      <c r="H87" s="308"/>
      <c r="I87" s="308"/>
      <c r="J87" s="308"/>
      <c r="K87" s="308"/>
      <c r="L87" s="308"/>
      <c r="M87" s="308"/>
      <c r="N87" s="308"/>
      <c r="O87" s="308"/>
      <c r="P87" s="308"/>
      <c r="Q87" s="308"/>
      <c r="R87" s="308"/>
      <c r="S87" s="308"/>
      <c r="T87" s="308"/>
      <c r="U87" s="308"/>
      <c r="V87" s="308"/>
      <c r="W87" s="308"/>
      <c r="X87" s="308"/>
      <c r="Y87" s="308"/>
      <c r="Z87" s="308"/>
      <c r="AA87" s="308"/>
      <c r="AB87" s="308"/>
      <c r="AC87" s="308"/>
      <c r="AD87" s="308"/>
      <c r="AE87" s="308"/>
      <c r="AF87" s="308"/>
      <c r="AG87" s="308"/>
      <c r="AH87" s="308"/>
      <c r="AI87" s="308"/>
    </row>
    <row r="88" spans="1:35" ht="16.5">
      <c r="A88" s="332" t="s">
        <v>3845</v>
      </c>
      <c r="B88" s="331"/>
      <c r="C88" s="308"/>
      <c r="D88" s="308"/>
      <c r="E88" s="309"/>
      <c r="F88" s="308"/>
      <c r="G88" s="308"/>
      <c r="H88" s="308"/>
      <c r="I88" s="308"/>
      <c r="J88" s="308"/>
      <c r="K88" s="308"/>
      <c r="L88" s="308"/>
      <c r="M88" s="308"/>
      <c r="N88" s="308"/>
      <c r="O88" s="308"/>
      <c r="P88" s="308"/>
      <c r="Q88" s="308"/>
      <c r="R88" s="308"/>
      <c r="S88" s="308"/>
      <c r="T88" s="308"/>
      <c r="U88" s="308"/>
      <c r="V88" s="308"/>
      <c r="W88" s="308"/>
      <c r="X88" s="308"/>
      <c r="Y88" s="308"/>
      <c r="Z88" s="308"/>
      <c r="AA88" s="308"/>
      <c r="AB88" s="308"/>
      <c r="AC88" s="308"/>
      <c r="AD88" s="308"/>
      <c r="AE88" s="308"/>
      <c r="AF88" s="308"/>
      <c r="AG88" s="308"/>
      <c r="AH88" s="308"/>
      <c r="AI88" s="308"/>
    </row>
    <row r="89" spans="1:35" ht="16.5">
      <c r="A89" s="330"/>
      <c r="B89" s="329"/>
      <c r="C89" s="308"/>
      <c r="D89" s="308"/>
      <c r="E89" s="309"/>
      <c r="F89" s="308"/>
      <c r="G89" s="308"/>
      <c r="H89" s="308"/>
      <c r="I89" s="308"/>
      <c r="J89" s="308"/>
      <c r="K89" s="308"/>
      <c r="L89" s="308"/>
      <c r="M89" s="308"/>
      <c r="N89" s="308"/>
      <c r="O89" s="308"/>
      <c r="P89" s="308"/>
      <c r="Q89" s="308"/>
      <c r="R89" s="308"/>
      <c r="S89" s="308"/>
      <c r="T89" s="308"/>
      <c r="U89" s="308"/>
      <c r="V89" s="308"/>
      <c r="W89" s="308"/>
      <c r="X89" s="308"/>
      <c r="Y89" s="308"/>
      <c r="Z89" s="308"/>
      <c r="AA89" s="308"/>
      <c r="AB89" s="308"/>
      <c r="AC89" s="308"/>
      <c r="AD89" s="308"/>
      <c r="AE89" s="308"/>
      <c r="AF89" s="308"/>
      <c r="AG89" s="308"/>
      <c r="AH89" s="308"/>
      <c r="AI89" s="308"/>
    </row>
    <row r="90" spans="1:35" ht="16.5">
      <c r="A90" s="328"/>
      <c r="B90" s="327"/>
      <c r="C90" s="308"/>
      <c r="D90" s="308"/>
      <c r="E90" s="309"/>
      <c r="F90" s="308"/>
      <c r="G90" s="308"/>
      <c r="H90" s="308"/>
      <c r="I90" s="308"/>
      <c r="J90" s="308"/>
      <c r="K90" s="308"/>
      <c r="L90" s="308"/>
      <c r="M90" s="308"/>
      <c r="N90" s="308"/>
      <c r="O90" s="308"/>
      <c r="P90" s="308"/>
      <c r="Q90" s="308"/>
      <c r="R90" s="308"/>
      <c r="S90" s="308"/>
      <c r="T90" s="308"/>
      <c r="U90" s="308"/>
      <c r="V90" s="308"/>
      <c r="W90" s="308"/>
      <c r="X90" s="308"/>
      <c r="Y90" s="308"/>
      <c r="Z90" s="308"/>
      <c r="AA90" s="308"/>
      <c r="AB90" s="308"/>
      <c r="AC90" s="308"/>
      <c r="AD90" s="308"/>
      <c r="AE90" s="308"/>
      <c r="AF90" s="308"/>
      <c r="AG90" s="308"/>
      <c r="AH90" s="308"/>
      <c r="AI90" s="308"/>
    </row>
    <row r="91" spans="1:35" ht="16.5">
      <c r="A91" s="333" t="s">
        <v>3844</v>
      </c>
      <c r="B91" s="331"/>
      <c r="C91" s="308"/>
      <c r="D91" s="308"/>
      <c r="E91" s="309"/>
      <c r="F91" s="308"/>
      <c r="G91" s="308"/>
      <c r="H91" s="308"/>
      <c r="I91" s="308"/>
      <c r="J91" s="308"/>
      <c r="K91" s="308"/>
      <c r="L91" s="308"/>
      <c r="M91" s="308"/>
      <c r="N91" s="308"/>
      <c r="O91" s="308"/>
      <c r="P91" s="308"/>
      <c r="Q91" s="308"/>
      <c r="R91" s="308"/>
      <c r="S91" s="308"/>
      <c r="T91" s="308"/>
      <c r="U91" s="308"/>
      <c r="V91" s="308"/>
      <c r="W91" s="308"/>
      <c r="X91" s="308"/>
      <c r="Y91" s="308"/>
      <c r="Z91" s="308"/>
      <c r="AA91" s="308"/>
      <c r="AB91" s="308"/>
      <c r="AC91" s="308"/>
      <c r="AD91" s="308"/>
      <c r="AE91" s="308"/>
      <c r="AF91" s="308"/>
      <c r="AG91" s="308"/>
      <c r="AH91" s="308"/>
      <c r="AI91" s="308"/>
    </row>
    <row r="92" spans="1:35" ht="16.5">
      <c r="A92" s="330"/>
      <c r="B92" s="329"/>
      <c r="C92" s="308"/>
      <c r="D92" s="308"/>
      <c r="E92" s="309"/>
      <c r="F92" s="308"/>
      <c r="G92" s="308"/>
      <c r="H92" s="308"/>
      <c r="I92" s="308"/>
      <c r="J92" s="308"/>
      <c r="K92" s="308"/>
      <c r="L92" s="308"/>
      <c r="M92" s="308"/>
      <c r="N92" s="308"/>
      <c r="O92" s="308"/>
      <c r="P92" s="308"/>
      <c r="Q92" s="308"/>
      <c r="R92" s="308"/>
      <c r="S92" s="308"/>
      <c r="T92" s="308"/>
      <c r="U92" s="308"/>
      <c r="V92" s="308"/>
      <c r="W92" s="308"/>
      <c r="X92" s="308"/>
      <c r="Y92" s="308"/>
      <c r="Z92" s="308"/>
      <c r="AA92" s="308"/>
      <c r="AB92" s="308"/>
      <c r="AC92" s="308"/>
      <c r="AD92" s="308"/>
      <c r="AE92" s="308"/>
      <c r="AF92" s="308"/>
      <c r="AG92" s="308"/>
      <c r="AH92" s="308"/>
      <c r="AI92" s="308"/>
    </row>
    <row r="93" spans="1:35" ht="16.5">
      <c r="A93" s="328"/>
      <c r="B93" s="327"/>
      <c r="C93" s="308"/>
      <c r="D93" s="308"/>
      <c r="E93" s="309"/>
      <c r="F93" s="308"/>
      <c r="G93" s="308"/>
      <c r="H93" s="308"/>
      <c r="I93" s="308"/>
      <c r="J93" s="308"/>
      <c r="K93" s="308"/>
      <c r="L93" s="308"/>
      <c r="M93" s="308"/>
      <c r="N93" s="308"/>
      <c r="O93" s="308"/>
      <c r="P93" s="308"/>
      <c r="Q93" s="308"/>
      <c r="R93" s="308"/>
      <c r="S93" s="308"/>
      <c r="T93" s="308"/>
      <c r="U93" s="308"/>
      <c r="V93" s="308"/>
      <c r="W93" s="308"/>
      <c r="X93" s="308"/>
      <c r="Y93" s="308"/>
      <c r="Z93" s="308"/>
      <c r="AA93" s="308"/>
      <c r="AB93" s="308"/>
      <c r="AC93" s="308"/>
      <c r="AD93" s="308"/>
      <c r="AE93" s="308"/>
      <c r="AF93" s="308"/>
      <c r="AG93" s="308"/>
      <c r="AH93" s="308"/>
      <c r="AI93" s="308"/>
    </row>
    <row r="94" spans="1:35" ht="16.5">
      <c r="A94" s="333" t="s">
        <v>3843</v>
      </c>
      <c r="B94" s="331"/>
      <c r="C94" s="308"/>
      <c r="D94" s="308"/>
      <c r="E94" s="309"/>
      <c r="F94" s="308"/>
      <c r="G94" s="308"/>
      <c r="H94" s="308"/>
      <c r="I94" s="308"/>
      <c r="J94" s="308"/>
      <c r="K94" s="308"/>
      <c r="L94" s="308"/>
      <c r="M94" s="308"/>
      <c r="N94" s="308"/>
      <c r="O94" s="308"/>
      <c r="P94" s="308"/>
      <c r="Q94" s="308"/>
      <c r="R94" s="308"/>
      <c r="S94" s="308"/>
      <c r="T94" s="308"/>
      <c r="U94" s="308"/>
      <c r="V94" s="308"/>
      <c r="W94" s="308"/>
      <c r="X94" s="308"/>
      <c r="Y94" s="308"/>
      <c r="Z94" s="308"/>
      <c r="AA94" s="308"/>
      <c r="AB94" s="308"/>
      <c r="AC94" s="308"/>
      <c r="AD94" s="308"/>
      <c r="AE94" s="308"/>
      <c r="AF94" s="308"/>
      <c r="AG94" s="308"/>
      <c r="AH94" s="308"/>
      <c r="AI94" s="308"/>
    </row>
    <row r="95" spans="1:35" ht="16.5">
      <c r="A95" s="330"/>
      <c r="B95" s="329"/>
      <c r="C95" s="308"/>
      <c r="D95" s="308"/>
      <c r="E95" s="309"/>
      <c r="F95" s="308"/>
      <c r="G95" s="308"/>
      <c r="H95" s="308"/>
      <c r="I95" s="308"/>
      <c r="J95" s="308"/>
      <c r="K95" s="308"/>
      <c r="L95" s="308"/>
      <c r="M95" s="308"/>
      <c r="N95" s="308"/>
      <c r="O95" s="308"/>
      <c r="P95" s="308"/>
      <c r="Q95" s="308"/>
      <c r="R95" s="308"/>
      <c r="S95" s="308"/>
      <c r="T95" s="308"/>
      <c r="U95" s="308"/>
      <c r="V95" s="308"/>
      <c r="W95" s="308"/>
      <c r="X95" s="308"/>
      <c r="Y95" s="308"/>
      <c r="Z95" s="308"/>
      <c r="AA95" s="308"/>
      <c r="AB95" s="308"/>
      <c r="AC95" s="308"/>
      <c r="AD95" s="308"/>
      <c r="AE95" s="308"/>
      <c r="AF95" s="308"/>
      <c r="AG95" s="308"/>
      <c r="AH95" s="308"/>
      <c r="AI95" s="308"/>
    </row>
    <row r="96" spans="1:35" ht="16.5">
      <c r="A96" s="328"/>
      <c r="B96" s="327"/>
      <c r="C96" s="308"/>
      <c r="D96" s="308"/>
      <c r="E96" s="309"/>
      <c r="F96" s="308"/>
      <c r="G96" s="308"/>
      <c r="H96" s="308"/>
      <c r="I96" s="308"/>
      <c r="J96" s="308"/>
      <c r="K96" s="308"/>
      <c r="L96" s="308"/>
      <c r="M96" s="308"/>
      <c r="N96" s="308"/>
      <c r="O96" s="308"/>
      <c r="P96" s="308"/>
      <c r="Q96" s="308"/>
      <c r="R96" s="308"/>
      <c r="S96" s="308"/>
      <c r="T96" s="308"/>
      <c r="U96" s="308"/>
      <c r="V96" s="308"/>
      <c r="W96" s="308"/>
      <c r="X96" s="308"/>
      <c r="Y96" s="308"/>
      <c r="Z96" s="308"/>
      <c r="AA96" s="308"/>
      <c r="AB96" s="308"/>
      <c r="AC96" s="308"/>
      <c r="AD96" s="308"/>
      <c r="AE96" s="308"/>
      <c r="AF96" s="308"/>
      <c r="AG96" s="308"/>
      <c r="AH96" s="308"/>
      <c r="AI96" s="308"/>
    </row>
    <row r="97" spans="1:35" ht="16.5">
      <c r="A97" s="333" t="s">
        <v>3842</v>
      </c>
      <c r="B97" s="331"/>
      <c r="C97" s="308"/>
      <c r="D97" s="308"/>
      <c r="E97" s="309"/>
      <c r="F97" s="308"/>
      <c r="G97" s="308"/>
      <c r="H97" s="308"/>
      <c r="I97" s="308"/>
      <c r="J97" s="308"/>
      <c r="K97" s="308"/>
      <c r="L97" s="308"/>
      <c r="M97" s="308"/>
      <c r="N97" s="308"/>
      <c r="O97" s="308"/>
      <c r="P97" s="308"/>
      <c r="Q97" s="308"/>
      <c r="R97" s="308"/>
      <c r="S97" s="308"/>
      <c r="T97" s="308"/>
      <c r="U97" s="308"/>
      <c r="V97" s="308"/>
      <c r="W97" s="308"/>
      <c r="X97" s="308"/>
      <c r="Y97" s="308"/>
      <c r="Z97" s="308"/>
      <c r="AA97" s="308"/>
      <c r="AB97" s="308"/>
      <c r="AC97" s="308"/>
      <c r="AD97" s="308"/>
      <c r="AE97" s="308"/>
      <c r="AF97" s="308"/>
      <c r="AG97" s="308"/>
      <c r="AH97" s="308"/>
      <c r="AI97" s="308"/>
    </row>
    <row r="98" spans="1:35" ht="16.5">
      <c r="A98" s="330"/>
      <c r="B98" s="329"/>
      <c r="C98" s="308"/>
      <c r="D98" s="308"/>
      <c r="E98" s="309"/>
      <c r="F98" s="308"/>
      <c r="G98" s="308"/>
      <c r="H98" s="308"/>
      <c r="I98" s="308"/>
      <c r="J98" s="308"/>
      <c r="K98" s="308"/>
      <c r="L98" s="308"/>
      <c r="M98" s="308"/>
      <c r="N98" s="308"/>
      <c r="O98" s="308"/>
      <c r="P98" s="308"/>
      <c r="Q98" s="308"/>
      <c r="R98" s="308"/>
      <c r="S98" s="308"/>
      <c r="T98" s="308"/>
      <c r="U98" s="308"/>
      <c r="V98" s="308"/>
      <c r="W98" s="308"/>
      <c r="X98" s="308"/>
      <c r="Y98" s="308"/>
      <c r="Z98" s="308"/>
      <c r="AA98" s="308"/>
      <c r="AB98" s="308"/>
      <c r="AC98" s="308"/>
      <c r="AD98" s="308"/>
      <c r="AE98" s="308"/>
      <c r="AF98" s="308"/>
      <c r="AG98" s="308"/>
      <c r="AH98" s="308"/>
      <c r="AI98" s="308"/>
    </row>
    <row r="99" spans="1:35" ht="16.5">
      <c r="A99" s="328"/>
      <c r="B99" s="327"/>
      <c r="C99" s="308"/>
      <c r="D99" s="308"/>
      <c r="E99" s="309"/>
      <c r="F99" s="308"/>
      <c r="G99" s="308"/>
      <c r="H99" s="308"/>
      <c r="I99" s="308"/>
      <c r="J99" s="308"/>
      <c r="K99" s="308"/>
      <c r="L99" s="308"/>
      <c r="M99" s="308"/>
      <c r="N99" s="308"/>
      <c r="O99" s="308"/>
      <c r="P99" s="308"/>
      <c r="Q99" s="308"/>
      <c r="R99" s="308"/>
      <c r="S99" s="308"/>
      <c r="T99" s="308"/>
      <c r="U99" s="308"/>
      <c r="V99" s="308"/>
      <c r="W99" s="308"/>
      <c r="X99" s="308"/>
      <c r="Y99" s="308"/>
      <c r="Z99" s="308"/>
      <c r="AA99" s="308"/>
      <c r="AB99" s="308"/>
      <c r="AC99" s="308"/>
      <c r="AD99" s="308"/>
      <c r="AE99" s="308"/>
      <c r="AF99" s="308"/>
      <c r="AG99" s="308"/>
      <c r="AH99" s="308"/>
      <c r="AI99" s="308"/>
    </row>
    <row r="100" spans="1:35" ht="16.5">
      <c r="A100" s="333" t="s">
        <v>3841</v>
      </c>
      <c r="B100" s="331"/>
      <c r="C100" s="326" t="s">
        <v>3840</v>
      </c>
      <c r="D100" s="308"/>
      <c r="E100" s="309"/>
      <c r="F100" s="308"/>
      <c r="G100" s="308"/>
      <c r="H100" s="308"/>
      <c r="I100" s="308"/>
      <c r="J100" s="308"/>
      <c r="K100" s="308"/>
      <c r="L100" s="308"/>
      <c r="M100" s="308"/>
      <c r="N100" s="308"/>
      <c r="O100" s="308"/>
      <c r="P100" s="308"/>
      <c r="Q100" s="308"/>
      <c r="R100" s="308"/>
      <c r="S100" s="308"/>
      <c r="T100" s="308"/>
      <c r="U100" s="308"/>
      <c r="V100" s="308"/>
      <c r="W100" s="308"/>
      <c r="X100" s="308"/>
      <c r="Y100" s="308"/>
      <c r="Z100" s="308"/>
      <c r="AA100" s="308"/>
      <c r="AB100" s="308"/>
      <c r="AC100" s="308"/>
      <c r="AD100" s="308"/>
      <c r="AE100" s="308"/>
      <c r="AF100" s="308"/>
      <c r="AG100" s="308"/>
      <c r="AH100" s="308"/>
      <c r="AI100" s="308"/>
    </row>
    <row r="101" spans="1:35" ht="16.5">
      <c r="A101" s="330"/>
      <c r="B101" s="329"/>
      <c r="C101" s="326" t="s">
        <v>3839</v>
      </c>
      <c r="D101" s="308"/>
      <c r="E101" s="309"/>
      <c r="F101" s="308"/>
      <c r="G101" s="308"/>
      <c r="H101" s="308"/>
      <c r="I101" s="308"/>
      <c r="J101" s="308"/>
      <c r="K101" s="308"/>
      <c r="L101" s="308"/>
      <c r="M101" s="308"/>
      <c r="N101" s="308"/>
      <c r="O101" s="308"/>
      <c r="P101" s="308"/>
      <c r="Q101" s="308"/>
      <c r="R101" s="308"/>
      <c r="S101" s="308"/>
      <c r="T101" s="308"/>
      <c r="U101" s="308"/>
      <c r="V101" s="308"/>
      <c r="W101" s="308"/>
      <c r="X101" s="308"/>
      <c r="Y101" s="308"/>
      <c r="Z101" s="308"/>
      <c r="AA101" s="308"/>
      <c r="AB101" s="308"/>
      <c r="AC101" s="308"/>
      <c r="AD101" s="308"/>
      <c r="AE101" s="308"/>
      <c r="AF101" s="308"/>
      <c r="AG101" s="308"/>
      <c r="AH101" s="308"/>
      <c r="AI101" s="308"/>
    </row>
    <row r="102" spans="1:35" ht="16.5">
      <c r="A102" s="328"/>
      <c r="B102" s="327"/>
      <c r="C102" s="308"/>
      <c r="D102" s="308"/>
      <c r="E102" s="309"/>
      <c r="F102" s="308"/>
      <c r="G102" s="308"/>
      <c r="H102" s="308"/>
      <c r="I102" s="308"/>
      <c r="J102" s="308"/>
      <c r="K102" s="308"/>
      <c r="L102" s="308"/>
      <c r="M102" s="308"/>
      <c r="N102" s="308"/>
      <c r="O102" s="308"/>
      <c r="P102" s="308"/>
      <c r="Q102" s="308"/>
      <c r="R102" s="308"/>
      <c r="S102" s="308"/>
      <c r="T102" s="308"/>
      <c r="U102" s="308"/>
      <c r="V102" s="308"/>
      <c r="W102" s="308"/>
      <c r="X102" s="308"/>
      <c r="Y102" s="308"/>
      <c r="Z102" s="308"/>
      <c r="AA102" s="308"/>
      <c r="AB102" s="308"/>
      <c r="AC102" s="308"/>
      <c r="AD102" s="308"/>
      <c r="AE102" s="308"/>
      <c r="AF102" s="308"/>
      <c r="AG102" s="308"/>
      <c r="AH102" s="308"/>
      <c r="AI102" s="308"/>
    </row>
    <row r="103" spans="1:35" ht="16.5">
      <c r="A103" s="332" t="s">
        <v>3838</v>
      </c>
      <c r="B103" s="331"/>
      <c r="C103" s="326" t="s">
        <v>3837</v>
      </c>
      <c r="D103" s="308"/>
      <c r="E103" s="309"/>
      <c r="F103" s="308"/>
      <c r="G103" s="308"/>
      <c r="H103" s="308"/>
      <c r="I103" s="308"/>
      <c r="J103" s="308"/>
      <c r="K103" s="308"/>
      <c r="L103" s="308"/>
      <c r="M103" s="308"/>
      <c r="N103" s="308"/>
      <c r="O103" s="308"/>
      <c r="P103" s="308"/>
      <c r="Q103" s="308"/>
      <c r="R103" s="308"/>
      <c r="S103" s="308"/>
      <c r="T103" s="308"/>
      <c r="U103" s="308"/>
      <c r="V103" s="308"/>
      <c r="W103" s="308"/>
      <c r="X103" s="308"/>
      <c r="Y103" s="308"/>
      <c r="Z103" s="308"/>
      <c r="AA103" s="308"/>
      <c r="AB103" s="308"/>
      <c r="AC103" s="308"/>
      <c r="AD103" s="308"/>
      <c r="AE103" s="308"/>
      <c r="AF103" s="308"/>
      <c r="AG103" s="308"/>
      <c r="AH103" s="308"/>
      <c r="AI103" s="308"/>
    </row>
    <row r="104" spans="1:35" ht="16.5">
      <c r="A104" s="330"/>
      <c r="B104" s="329"/>
      <c r="C104" s="326" t="s">
        <v>3836</v>
      </c>
      <c r="D104" s="308"/>
      <c r="E104" s="309"/>
      <c r="F104" s="308"/>
      <c r="G104" s="308"/>
      <c r="H104" s="308"/>
      <c r="I104" s="308"/>
      <c r="J104" s="308"/>
      <c r="K104" s="308"/>
      <c r="L104" s="308"/>
      <c r="M104" s="308"/>
      <c r="N104" s="308"/>
      <c r="O104" s="308"/>
      <c r="P104" s="308"/>
      <c r="Q104" s="308"/>
      <c r="R104" s="308"/>
      <c r="S104" s="308"/>
      <c r="T104" s="308"/>
      <c r="U104" s="308"/>
      <c r="V104" s="308"/>
      <c r="W104" s="308"/>
      <c r="X104" s="308"/>
      <c r="Y104" s="308"/>
      <c r="Z104" s="308"/>
      <c r="AA104" s="308"/>
      <c r="AB104" s="308"/>
      <c r="AC104" s="308"/>
      <c r="AD104" s="308"/>
      <c r="AE104" s="308"/>
      <c r="AF104" s="308"/>
      <c r="AG104" s="308"/>
      <c r="AH104" s="308"/>
      <c r="AI104" s="308"/>
    </row>
    <row r="105" spans="1:35" ht="16.5">
      <c r="A105" s="330"/>
      <c r="B105" s="329"/>
      <c r="C105" s="326" t="s">
        <v>3835</v>
      </c>
      <c r="D105" s="308"/>
      <c r="E105" s="309"/>
      <c r="F105" s="308"/>
      <c r="G105" s="308"/>
      <c r="H105" s="308"/>
      <c r="I105" s="308"/>
      <c r="J105" s="308"/>
      <c r="K105" s="308"/>
      <c r="L105" s="308"/>
      <c r="M105" s="308"/>
      <c r="N105" s="308"/>
      <c r="O105" s="308"/>
      <c r="P105" s="308"/>
      <c r="Q105" s="308"/>
      <c r="R105" s="308"/>
      <c r="S105" s="308"/>
      <c r="T105" s="308"/>
      <c r="U105" s="308"/>
      <c r="V105" s="308"/>
      <c r="W105" s="308"/>
      <c r="X105" s="308"/>
      <c r="Y105" s="308"/>
      <c r="Z105" s="308"/>
      <c r="AA105" s="308"/>
      <c r="AB105" s="308"/>
      <c r="AC105" s="308"/>
      <c r="AD105" s="308"/>
      <c r="AE105" s="308"/>
      <c r="AF105" s="308"/>
      <c r="AG105" s="308"/>
      <c r="AH105" s="308"/>
      <c r="AI105" s="308"/>
    </row>
    <row r="106" spans="1:35" ht="16.5">
      <c r="A106" s="330"/>
      <c r="B106" s="329"/>
      <c r="C106" s="326" t="s">
        <v>3834</v>
      </c>
      <c r="D106" s="308"/>
      <c r="E106" s="309"/>
      <c r="F106" s="308"/>
      <c r="G106" s="308"/>
      <c r="H106" s="308"/>
      <c r="I106" s="308"/>
      <c r="J106" s="308"/>
      <c r="K106" s="308"/>
      <c r="L106" s="308"/>
      <c r="M106" s="308"/>
      <c r="N106" s="308"/>
      <c r="O106" s="308"/>
      <c r="P106" s="308"/>
      <c r="Q106" s="308"/>
      <c r="R106" s="308"/>
      <c r="S106" s="308"/>
      <c r="T106" s="308"/>
      <c r="U106" s="308"/>
      <c r="V106" s="308"/>
      <c r="W106" s="308"/>
      <c r="X106" s="308"/>
      <c r="Y106" s="308"/>
      <c r="Z106" s="308"/>
      <c r="AA106" s="308"/>
      <c r="AB106" s="308"/>
      <c r="AC106" s="308"/>
      <c r="AD106" s="308"/>
      <c r="AE106" s="308"/>
      <c r="AF106" s="308"/>
      <c r="AG106" s="308"/>
      <c r="AH106" s="308"/>
      <c r="AI106" s="308"/>
    </row>
    <row r="107" spans="1:35" ht="16.5">
      <c r="A107" s="330"/>
      <c r="B107" s="329"/>
      <c r="C107" s="326" t="s">
        <v>3833</v>
      </c>
      <c r="D107" s="308"/>
      <c r="E107" s="309"/>
      <c r="F107" s="308"/>
      <c r="G107" s="308"/>
      <c r="H107" s="308"/>
      <c r="I107" s="308"/>
      <c r="J107" s="308"/>
      <c r="K107" s="308"/>
      <c r="L107" s="308"/>
      <c r="M107" s="308"/>
      <c r="N107" s="308"/>
      <c r="O107" s="308"/>
      <c r="P107" s="308"/>
      <c r="Q107" s="308"/>
      <c r="R107" s="308"/>
      <c r="S107" s="308"/>
      <c r="T107" s="308"/>
      <c r="U107" s="308"/>
      <c r="V107" s="308"/>
      <c r="W107" s="308"/>
      <c r="X107" s="308"/>
      <c r="Y107" s="308"/>
      <c r="Z107" s="308"/>
      <c r="AA107" s="308"/>
      <c r="AB107" s="308"/>
      <c r="AC107" s="308"/>
      <c r="AD107" s="308"/>
      <c r="AE107" s="308"/>
      <c r="AF107" s="308"/>
      <c r="AG107" s="308"/>
      <c r="AH107" s="308"/>
      <c r="AI107" s="308"/>
    </row>
    <row r="108" spans="1:35" ht="16.5">
      <c r="A108" s="330"/>
      <c r="B108" s="329"/>
      <c r="C108" s="326" t="s">
        <v>3832</v>
      </c>
      <c r="D108" s="308"/>
      <c r="E108" s="309"/>
      <c r="F108" s="308"/>
      <c r="G108" s="308"/>
      <c r="H108" s="308"/>
      <c r="I108" s="308"/>
      <c r="J108" s="308"/>
      <c r="K108" s="308"/>
      <c r="L108" s="308"/>
      <c r="M108" s="308"/>
      <c r="N108" s="308"/>
      <c r="O108" s="308"/>
      <c r="P108" s="308"/>
      <c r="Q108" s="308"/>
      <c r="R108" s="308"/>
      <c r="S108" s="308"/>
      <c r="T108" s="308"/>
      <c r="U108" s="308"/>
      <c r="V108" s="308"/>
      <c r="W108" s="308"/>
      <c r="X108" s="308"/>
      <c r="Y108" s="308"/>
      <c r="Z108" s="308"/>
      <c r="AA108" s="308"/>
      <c r="AB108" s="308"/>
      <c r="AC108" s="308"/>
      <c r="AD108" s="308"/>
      <c r="AE108" s="308"/>
      <c r="AF108" s="308"/>
      <c r="AG108" s="308"/>
      <c r="AH108" s="308"/>
      <c r="AI108" s="308"/>
    </row>
    <row r="109" spans="1:35" ht="16.5">
      <c r="A109" s="330"/>
      <c r="B109" s="329"/>
      <c r="C109" s="308"/>
      <c r="D109" s="308"/>
      <c r="E109" s="309"/>
      <c r="F109" s="308"/>
      <c r="G109" s="308"/>
      <c r="H109" s="308"/>
      <c r="I109" s="308"/>
      <c r="J109" s="308"/>
      <c r="K109" s="308"/>
      <c r="L109" s="308"/>
      <c r="M109" s="308"/>
      <c r="N109" s="308"/>
      <c r="O109" s="308"/>
      <c r="P109" s="308"/>
      <c r="Q109" s="308"/>
      <c r="R109" s="308"/>
      <c r="S109" s="308"/>
      <c r="T109" s="308"/>
      <c r="U109" s="308"/>
      <c r="V109" s="308"/>
      <c r="W109" s="308"/>
      <c r="X109" s="308"/>
      <c r="Y109" s="308"/>
      <c r="Z109" s="308"/>
      <c r="AA109" s="308"/>
      <c r="AB109" s="308"/>
      <c r="AC109" s="308"/>
      <c r="AD109" s="308"/>
      <c r="AE109" s="308"/>
      <c r="AF109" s="308"/>
      <c r="AG109" s="308"/>
      <c r="AH109" s="308"/>
      <c r="AI109" s="308"/>
    </row>
    <row r="110" spans="1:35" ht="16.5">
      <c r="A110" s="328"/>
      <c r="B110" s="327"/>
      <c r="C110" s="308"/>
      <c r="D110" s="308"/>
      <c r="E110" s="309"/>
      <c r="F110" s="308"/>
      <c r="G110" s="308"/>
      <c r="H110" s="308"/>
      <c r="I110" s="308"/>
      <c r="J110" s="308"/>
      <c r="K110" s="308"/>
      <c r="L110" s="308"/>
      <c r="M110" s="308"/>
      <c r="N110" s="308"/>
      <c r="O110" s="308"/>
      <c r="P110" s="308"/>
      <c r="Q110" s="308"/>
      <c r="R110" s="308"/>
      <c r="S110" s="308"/>
      <c r="T110" s="308"/>
      <c r="U110" s="308"/>
      <c r="V110" s="308"/>
      <c r="W110" s="308"/>
      <c r="X110" s="308"/>
      <c r="Y110" s="308"/>
      <c r="Z110" s="308"/>
      <c r="AA110" s="308"/>
      <c r="AB110" s="308"/>
      <c r="AC110" s="308"/>
      <c r="AD110" s="308"/>
      <c r="AE110" s="308"/>
      <c r="AF110" s="308"/>
      <c r="AG110" s="308"/>
      <c r="AH110" s="308"/>
      <c r="AI110" s="308"/>
    </row>
    <row r="111" spans="1:35" ht="16.5">
      <c r="A111" s="332" t="s">
        <v>3831</v>
      </c>
      <c r="B111" s="331"/>
      <c r="C111" s="326" t="s">
        <v>3830</v>
      </c>
      <c r="D111" s="308"/>
      <c r="E111" s="309"/>
      <c r="F111" s="308"/>
      <c r="G111" s="308"/>
      <c r="H111" s="308"/>
      <c r="I111" s="308"/>
      <c r="J111" s="308"/>
      <c r="K111" s="308"/>
      <c r="L111" s="308"/>
      <c r="M111" s="308"/>
      <c r="N111" s="308"/>
      <c r="O111" s="308"/>
      <c r="P111" s="308"/>
      <c r="Q111" s="308"/>
      <c r="R111" s="308"/>
      <c r="S111" s="308"/>
      <c r="T111" s="308"/>
      <c r="U111" s="308"/>
      <c r="V111" s="308"/>
      <c r="W111" s="308"/>
      <c r="X111" s="308"/>
      <c r="Y111" s="308"/>
      <c r="Z111" s="308"/>
      <c r="AA111" s="308"/>
      <c r="AB111" s="308"/>
      <c r="AC111" s="308"/>
      <c r="AD111" s="308"/>
      <c r="AE111" s="308"/>
      <c r="AF111" s="308"/>
      <c r="AG111" s="308"/>
      <c r="AH111" s="308"/>
      <c r="AI111" s="308"/>
    </row>
    <row r="112" spans="1:35" ht="16.5">
      <c r="A112" s="330"/>
      <c r="B112" s="329"/>
      <c r="C112" s="326" t="s">
        <v>3829</v>
      </c>
      <c r="D112" s="308"/>
      <c r="E112" s="309"/>
      <c r="F112" s="308"/>
      <c r="G112" s="308"/>
      <c r="H112" s="308"/>
      <c r="I112" s="308"/>
      <c r="J112" s="308"/>
      <c r="K112" s="308"/>
      <c r="L112" s="308"/>
      <c r="M112" s="308"/>
      <c r="N112" s="308"/>
      <c r="O112" s="308"/>
      <c r="P112" s="308"/>
      <c r="Q112" s="308"/>
      <c r="R112" s="308"/>
      <c r="S112" s="308"/>
      <c r="T112" s="308"/>
      <c r="U112" s="308"/>
      <c r="V112" s="308"/>
      <c r="W112" s="308"/>
      <c r="X112" s="308"/>
      <c r="Y112" s="308"/>
      <c r="Z112" s="308"/>
      <c r="AA112" s="308"/>
      <c r="AB112" s="308"/>
      <c r="AC112" s="308"/>
      <c r="AD112" s="308"/>
      <c r="AE112" s="308"/>
      <c r="AF112" s="308"/>
      <c r="AG112" s="308"/>
      <c r="AH112" s="308"/>
      <c r="AI112" s="308"/>
    </row>
    <row r="113" spans="1:35" ht="16.5">
      <c r="A113" s="330"/>
      <c r="B113" s="329"/>
      <c r="C113" s="326" t="s">
        <v>3828</v>
      </c>
      <c r="D113" s="308"/>
      <c r="E113" s="309"/>
      <c r="F113" s="308"/>
      <c r="G113" s="308"/>
      <c r="H113" s="308"/>
      <c r="I113" s="308"/>
      <c r="J113" s="308"/>
      <c r="K113" s="308"/>
      <c r="L113" s="308"/>
      <c r="M113" s="308"/>
      <c r="N113" s="308"/>
      <c r="O113" s="308"/>
      <c r="P113" s="308"/>
      <c r="Q113" s="308"/>
      <c r="R113" s="308"/>
      <c r="S113" s="308"/>
      <c r="T113" s="308"/>
      <c r="U113" s="308"/>
      <c r="V113" s="308"/>
      <c r="W113" s="308"/>
      <c r="X113" s="308"/>
      <c r="Y113" s="308"/>
      <c r="Z113" s="308"/>
      <c r="AA113" s="308"/>
      <c r="AB113" s="308"/>
      <c r="AC113" s="308"/>
      <c r="AD113" s="308"/>
      <c r="AE113" s="308"/>
      <c r="AF113" s="308"/>
      <c r="AG113" s="308"/>
      <c r="AH113" s="308"/>
      <c r="AI113" s="308"/>
    </row>
    <row r="114" spans="1:35" ht="16.5">
      <c r="A114" s="330"/>
      <c r="B114" s="329"/>
      <c r="C114" s="326" t="s">
        <v>3827</v>
      </c>
      <c r="D114" s="308"/>
      <c r="E114" s="309"/>
      <c r="F114" s="308"/>
      <c r="G114" s="308"/>
      <c r="H114" s="308"/>
      <c r="I114" s="308"/>
      <c r="J114" s="308"/>
      <c r="K114" s="308"/>
      <c r="L114" s="308"/>
      <c r="M114" s="308"/>
      <c r="N114" s="308"/>
      <c r="O114" s="308"/>
      <c r="P114" s="308"/>
      <c r="Q114" s="308"/>
      <c r="R114" s="308"/>
      <c r="S114" s="308"/>
      <c r="T114" s="308"/>
      <c r="U114" s="308"/>
      <c r="V114" s="308"/>
      <c r="W114" s="308"/>
      <c r="X114" s="308"/>
      <c r="Y114" s="308"/>
      <c r="Z114" s="308"/>
      <c r="AA114" s="308"/>
      <c r="AB114" s="308"/>
      <c r="AC114" s="308"/>
      <c r="AD114" s="308"/>
      <c r="AE114" s="308"/>
      <c r="AF114" s="308"/>
      <c r="AG114" s="308"/>
      <c r="AH114" s="308"/>
      <c r="AI114" s="308"/>
    </row>
    <row r="115" spans="1:35" ht="16.5">
      <c r="A115" s="330"/>
      <c r="B115" s="329"/>
      <c r="C115" s="326" t="s">
        <v>3826</v>
      </c>
      <c r="D115" s="308"/>
      <c r="E115" s="309"/>
      <c r="F115" s="308"/>
      <c r="G115" s="308"/>
      <c r="H115" s="308"/>
      <c r="I115" s="308"/>
      <c r="J115" s="308"/>
      <c r="K115" s="308"/>
      <c r="L115" s="308"/>
      <c r="M115" s="308"/>
      <c r="N115" s="308"/>
      <c r="O115" s="308"/>
      <c r="P115" s="308"/>
      <c r="Q115" s="308"/>
      <c r="R115" s="308"/>
      <c r="S115" s="308"/>
      <c r="T115" s="308"/>
      <c r="U115" s="308"/>
      <c r="V115" s="308"/>
      <c r="W115" s="308"/>
      <c r="X115" s="308"/>
      <c r="Y115" s="308"/>
      <c r="Z115" s="308"/>
      <c r="AA115" s="308"/>
      <c r="AB115" s="308"/>
      <c r="AC115" s="308"/>
      <c r="AD115" s="308"/>
      <c r="AE115" s="308"/>
      <c r="AF115" s="308"/>
      <c r="AG115" s="308"/>
      <c r="AH115" s="308"/>
      <c r="AI115" s="308"/>
    </row>
    <row r="116" spans="1:35" ht="16.5">
      <c r="A116" s="330"/>
      <c r="B116" s="329"/>
      <c r="C116" s="326" t="s">
        <v>3825</v>
      </c>
      <c r="D116" s="308"/>
      <c r="E116" s="309"/>
      <c r="F116" s="308"/>
      <c r="G116" s="308"/>
      <c r="H116" s="308"/>
      <c r="I116" s="308"/>
      <c r="J116" s="308"/>
      <c r="K116" s="308"/>
      <c r="L116" s="308"/>
      <c r="M116" s="308"/>
      <c r="N116" s="308"/>
      <c r="O116" s="308"/>
      <c r="P116" s="308"/>
      <c r="Q116" s="308"/>
      <c r="R116" s="308"/>
      <c r="S116" s="308"/>
      <c r="T116" s="308"/>
      <c r="U116" s="308"/>
      <c r="V116" s="308"/>
      <c r="W116" s="308"/>
      <c r="X116" s="308"/>
      <c r="Y116" s="308"/>
      <c r="Z116" s="308"/>
      <c r="AA116" s="308"/>
      <c r="AB116" s="308"/>
      <c r="AC116" s="308"/>
      <c r="AD116" s="308"/>
      <c r="AE116" s="308"/>
      <c r="AF116" s="308"/>
      <c r="AG116" s="308"/>
      <c r="AH116" s="308"/>
      <c r="AI116" s="308"/>
    </row>
    <row r="117" spans="1:35" ht="16.5">
      <c r="A117" s="330"/>
      <c r="B117" s="329"/>
      <c r="C117" s="326" t="s">
        <v>3824</v>
      </c>
      <c r="D117" s="308"/>
      <c r="E117" s="309"/>
      <c r="F117" s="308"/>
      <c r="G117" s="308"/>
      <c r="H117" s="308"/>
      <c r="I117" s="308"/>
      <c r="J117" s="308"/>
      <c r="K117" s="308"/>
      <c r="L117" s="308"/>
      <c r="M117" s="308"/>
      <c r="N117" s="308"/>
      <c r="O117" s="308"/>
      <c r="P117" s="308"/>
      <c r="Q117" s="308"/>
      <c r="R117" s="308"/>
      <c r="S117" s="308"/>
      <c r="T117" s="308"/>
      <c r="U117" s="308"/>
      <c r="V117" s="308"/>
      <c r="W117" s="308"/>
      <c r="X117" s="308"/>
      <c r="Y117" s="308"/>
      <c r="Z117" s="308"/>
      <c r="AA117" s="308"/>
      <c r="AB117" s="308"/>
      <c r="AC117" s="308"/>
      <c r="AD117" s="308"/>
      <c r="AE117" s="308"/>
      <c r="AF117" s="308"/>
      <c r="AG117" s="308"/>
      <c r="AH117" s="308"/>
      <c r="AI117" s="308"/>
    </row>
    <row r="118" spans="1:35" ht="16.5">
      <c r="A118" s="328"/>
      <c r="B118" s="327"/>
      <c r="C118" s="326"/>
      <c r="D118" s="308"/>
      <c r="E118" s="309"/>
      <c r="F118" s="308"/>
      <c r="G118" s="308"/>
      <c r="H118" s="308"/>
      <c r="I118" s="308"/>
      <c r="J118" s="308"/>
      <c r="K118" s="308"/>
      <c r="L118" s="308"/>
      <c r="M118" s="308"/>
      <c r="N118" s="308"/>
      <c r="O118" s="308"/>
      <c r="P118" s="308"/>
      <c r="Q118" s="308"/>
      <c r="R118" s="308"/>
      <c r="S118" s="308"/>
      <c r="T118" s="308"/>
      <c r="U118" s="308"/>
      <c r="V118" s="308"/>
      <c r="W118" s="308"/>
      <c r="X118" s="308"/>
      <c r="Y118" s="308"/>
      <c r="Z118" s="308"/>
      <c r="AA118" s="308"/>
      <c r="AB118" s="308"/>
      <c r="AC118" s="308"/>
      <c r="AD118" s="308"/>
      <c r="AE118" s="308"/>
      <c r="AF118" s="308"/>
      <c r="AG118" s="308"/>
      <c r="AH118" s="308"/>
      <c r="AI118" s="308"/>
    </row>
    <row r="119" spans="1:35" ht="16.5">
      <c r="A119" s="308"/>
      <c r="B119" s="308"/>
      <c r="C119" s="308"/>
      <c r="D119" s="308"/>
      <c r="E119" s="309"/>
      <c r="F119" s="308"/>
      <c r="G119" s="308"/>
      <c r="H119" s="308"/>
      <c r="I119" s="308"/>
      <c r="J119" s="308"/>
      <c r="K119" s="308"/>
      <c r="L119" s="308"/>
      <c r="M119" s="308"/>
      <c r="N119" s="308"/>
      <c r="O119" s="308"/>
      <c r="P119" s="308"/>
      <c r="Q119" s="308"/>
      <c r="R119" s="308"/>
      <c r="S119" s="308"/>
      <c r="T119" s="308"/>
      <c r="U119" s="308"/>
      <c r="V119" s="308"/>
      <c r="W119" s="308"/>
      <c r="X119" s="308"/>
      <c r="Y119" s="308"/>
      <c r="Z119" s="308"/>
      <c r="AA119" s="308"/>
      <c r="AB119" s="308"/>
      <c r="AC119" s="308"/>
      <c r="AD119" s="308"/>
      <c r="AE119" s="308"/>
      <c r="AF119" s="308"/>
      <c r="AG119" s="308"/>
      <c r="AH119" s="308"/>
      <c r="AI119" s="308"/>
    </row>
    <row r="120" spans="1:35" s="62" customFormat="1" ht="28.5">
      <c r="A120" s="325" t="s">
        <v>3823</v>
      </c>
      <c r="B120" s="324">
        <v>3</v>
      </c>
      <c r="D120" s="318" t="s">
        <v>3822</v>
      </c>
      <c r="E120" s="318" t="s">
        <v>3821</v>
      </c>
    </row>
    <row r="121" spans="1:35" s="62" customFormat="1" ht="28.5">
      <c r="A121" s="325"/>
      <c r="B121" s="324"/>
      <c r="D121" s="318" t="s">
        <v>3820</v>
      </c>
      <c r="E121" s="318" t="s">
        <v>3819</v>
      </c>
    </row>
    <row r="122" spans="1:35" s="62" customFormat="1" ht="14.25">
      <c r="A122" s="325"/>
      <c r="B122" s="324"/>
      <c r="D122" s="318"/>
      <c r="E122" s="318" t="s">
        <v>3818</v>
      </c>
    </row>
    <row r="123" spans="1:35" s="62" customFormat="1" ht="28.5">
      <c r="A123" s="325"/>
      <c r="B123" s="324"/>
      <c r="D123" s="318"/>
      <c r="E123" s="318" t="s">
        <v>3817</v>
      </c>
    </row>
    <row r="124" spans="1:35" s="62" customFormat="1" ht="14.25">
      <c r="A124" s="325"/>
      <c r="B124" s="324"/>
      <c r="D124" s="318"/>
      <c r="E124" s="318" t="s">
        <v>3816</v>
      </c>
    </row>
    <row r="125" spans="1:35" s="62" customFormat="1" ht="14.25">
      <c r="A125" s="325"/>
      <c r="B125" s="324"/>
      <c r="D125" s="318"/>
      <c r="E125" s="318" t="s">
        <v>3815</v>
      </c>
    </row>
    <row r="126" spans="1:35" s="62" customFormat="1" ht="14.25">
      <c r="A126" s="325"/>
      <c r="B126" s="324"/>
      <c r="D126" s="318"/>
      <c r="E126" s="318" t="s">
        <v>3814</v>
      </c>
    </row>
    <row r="127" spans="1:35" s="62" customFormat="1" ht="14.25">
      <c r="A127" s="325"/>
      <c r="B127" s="324"/>
      <c r="D127" s="318"/>
      <c r="E127" s="318" t="s">
        <v>3813</v>
      </c>
    </row>
    <row r="128" spans="1:35" s="62" customFormat="1" ht="14.25">
      <c r="A128" s="325"/>
      <c r="B128" s="324"/>
      <c r="D128" s="318"/>
      <c r="E128" s="318" t="s">
        <v>3812</v>
      </c>
    </row>
    <row r="129" spans="1:5" s="62" customFormat="1" ht="14.25">
      <c r="A129" s="325"/>
      <c r="B129" s="324"/>
      <c r="D129" s="318"/>
      <c r="E129" s="318" t="s">
        <v>3811</v>
      </c>
    </row>
    <row r="130" spans="1:5" s="62" customFormat="1" ht="14.25">
      <c r="A130" s="325"/>
      <c r="B130" s="324"/>
      <c r="D130" s="318"/>
      <c r="E130" s="318" t="s">
        <v>3810</v>
      </c>
    </row>
    <row r="131" spans="1:5" s="62" customFormat="1" ht="28.5">
      <c r="A131" s="325"/>
      <c r="B131" s="324"/>
      <c r="D131" s="318"/>
      <c r="E131" s="318" t="s">
        <v>3809</v>
      </c>
    </row>
    <row r="132" spans="1:5" s="62" customFormat="1" ht="28.5">
      <c r="A132" s="325"/>
      <c r="B132" s="324"/>
      <c r="D132" s="318"/>
      <c r="E132" s="318" t="s">
        <v>3808</v>
      </c>
    </row>
    <row r="133" spans="1:5" s="62" customFormat="1" ht="28.5">
      <c r="A133" s="325"/>
      <c r="B133" s="324"/>
      <c r="D133" s="318"/>
      <c r="E133" s="318" t="s">
        <v>3807</v>
      </c>
    </row>
    <row r="134" spans="1:5" s="62" customFormat="1" ht="14.25">
      <c r="A134" s="325"/>
      <c r="B134" s="324"/>
      <c r="D134" s="318"/>
      <c r="E134" s="318" t="s">
        <v>3806</v>
      </c>
    </row>
    <row r="135" spans="1:5" s="62" customFormat="1" ht="14.25">
      <c r="A135" s="325"/>
      <c r="B135" s="324"/>
      <c r="D135" s="318"/>
      <c r="E135" s="318" t="s">
        <v>3805</v>
      </c>
    </row>
    <row r="136" spans="1:5" s="62" customFormat="1" ht="14.25">
      <c r="A136" s="325" t="s">
        <v>3804</v>
      </c>
      <c r="B136" s="324">
        <v>2</v>
      </c>
      <c r="D136" s="318"/>
      <c r="E136" s="318" t="s">
        <v>3803</v>
      </c>
    </row>
    <row r="137" spans="1:5" s="62" customFormat="1" ht="14.25">
      <c r="A137" s="325"/>
      <c r="B137" s="324"/>
      <c r="D137" s="318"/>
      <c r="E137" s="318" t="s">
        <v>3802</v>
      </c>
    </row>
    <row r="138" spans="1:5" s="62" customFormat="1" ht="14.25">
      <c r="A138" s="325"/>
      <c r="B138" s="324"/>
      <c r="D138" s="318"/>
      <c r="E138" s="318" t="s">
        <v>3801</v>
      </c>
    </row>
    <row r="139" spans="1:5" s="62" customFormat="1" ht="14.25">
      <c r="A139" s="325"/>
      <c r="B139" s="324"/>
      <c r="D139" s="318"/>
      <c r="E139" s="318" t="s">
        <v>3800</v>
      </c>
    </row>
    <row r="140" spans="1:5" s="62" customFormat="1" ht="14.25">
      <c r="A140" s="325"/>
      <c r="B140" s="324"/>
      <c r="D140" s="318"/>
      <c r="E140" s="318" t="s">
        <v>3799</v>
      </c>
    </row>
    <row r="141" spans="1:5" s="62" customFormat="1" ht="14.25">
      <c r="A141" s="325"/>
      <c r="B141" s="324"/>
      <c r="D141" s="318"/>
      <c r="E141" s="318" t="s">
        <v>3798</v>
      </c>
    </row>
    <row r="142" spans="1:5" s="62" customFormat="1" ht="28.5">
      <c r="A142" s="325"/>
      <c r="B142" s="324"/>
      <c r="D142" s="318"/>
      <c r="E142" s="318" t="s">
        <v>3797</v>
      </c>
    </row>
    <row r="143" spans="1:5" s="62" customFormat="1" ht="14.25">
      <c r="A143" s="325"/>
      <c r="B143" s="324"/>
      <c r="D143" s="318"/>
      <c r="E143" s="318" t="s">
        <v>3796</v>
      </c>
    </row>
    <row r="144" spans="1:5" s="62" customFormat="1" ht="14.25">
      <c r="A144" s="325"/>
      <c r="B144" s="324"/>
      <c r="D144" s="318"/>
      <c r="E144" s="318" t="s">
        <v>3795</v>
      </c>
    </row>
    <row r="145" spans="1:5" s="62" customFormat="1" ht="28.5">
      <c r="A145" s="325"/>
      <c r="B145" s="324"/>
      <c r="D145" s="318"/>
      <c r="E145" s="318" t="s">
        <v>3794</v>
      </c>
    </row>
    <row r="146" spans="1:5" s="62" customFormat="1" ht="28.5">
      <c r="A146" s="325"/>
      <c r="B146" s="324"/>
      <c r="D146" s="318"/>
      <c r="E146" s="318" t="s">
        <v>3793</v>
      </c>
    </row>
    <row r="147" spans="1:5" s="62" customFormat="1" ht="14.25">
      <c r="A147" s="325"/>
      <c r="B147" s="324"/>
      <c r="D147" s="318"/>
      <c r="E147" s="318" t="s">
        <v>3792</v>
      </c>
    </row>
    <row r="148" spans="1:5" s="62" customFormat="1" ht="28.5">
      <c r="A148" s="325"/>
      <c r="B148" s="324"/>
      <c r="D148" s="318"/>
      <c r="E148" s="318" t="s">
        <v>3791</v>
      </c>
    </row>
    <row r="149" spans="1:5" s="62" customFormat="1" ht="14.25">
      <c r="A149" s="325"/>
      <c r="B149" s="324"/>
      <c r="D149" s="318"/>
      <c r="E149" s="318" t="s">
        <v>3790</v>
      </c>
    </row>
    <row r="150" spans="1:5" s="62" customFormat="1" ht="14.25">
      <c r="A150" s="325"/>
      <c r="B150" s="324"/>
      <c r="D150" s="318"/>
      <c r="E150" s="318" t="s">
        <v>3789</v>
      </c>
    </row>
    <row r="151" spans="1:5" s="62" customFormat="1" ht="14.25">
      <c r="A151" s="325"/>
      <c r="B151" s="324"/>
      <c r="D151" s="318"/>
      <c r="E151" s="318" t="s">
        <v>3788</v>
      </c>
    </row>
    <row r="152" spans="1:5" s="62" customFormat="1" ht="14.25">
      <c r="A152" s="325"/>
      <c r="B152" s="324"/>
      <c r="D152" s="318"/>
      <c r="E152" s="318" t="s">
        <v>3787</v>
      </c>
    </row>
    <row r="153" spans="1:5" s="62" customFormat="1" ht="14.25">
      <c r="A153" s="325"/>
      <c r="B153" s="324"/>
      <c r="D153" s="318"/>
      <c r="E153" s="318" t="s">
        <v>3786</v>
      </c>
    </row>
    <row r="154" spans="1:5" s="62" customFormat="1" ht="14.25">
      <c r="A154" s="325"/>
      <c r="B154" s="324"/>
      <c r="D154" s="318"/>
      <c r="E154" s="318" t="s">
        <v>3785</v>
      </c>
    </row>
    <row r="155" spans="1:5" s="62" customFormat="1" ht="14.25">
      <c r="A155" s="325"/>
      <c r="B155" s="324"/>
      <c r="D155" s="318"/>
      <c r="E155" s="318" t="s">
        <v>3784</v>
      </c>
    </row>
    <row r="156" spans="1:5" s="62" customFormat="1" ht="14.25">
      <c r="A156" s="325"/>
      <c r="B156" s="324"/>
      <c r="D156" s="318"/>
      <c r="E156" s="318" t="s">
        <v>3783</v>
      </c>
    </row>
    <row r="157" spans="1:5" s="62" customFormat="1" ht="14.25">
      <c r="A157" s="325"/>
      <c r="B157" s="324"/>
      <c r="D157" s="318"/>
      <c r="E157" s="318" t="s">
        <v>3782</v>
      </c>
    </row>
    <row r="158" spans="1:5" s="62" customFormat="1" ht="14.25">
      <c r="A158" s="325"/>
      <c r="B158" s="324"/>
      <c r="D158" s="318"/>
      <c r="E158" s="318" t="s">
        <v>3781</v>
      </c>
    </row>
    <row r="159" spans="1:5" s="62" customFormat="1" ht="14.25">
      <c r="A159" s="325"/>
      <c r="B159" s="324"/>
      <c r="D159" s="318"/>
      <c r="E159" s="318" t="s">
        <v>3780</v>
      </c>
    </row>
    <row r="160" spans="1:5" s="62" customFormat="1" ht="14.25">
      <c r="A160" s="325"/>
      <c r="B160" s="324"/>
      <c r="D160" s="318"/>
      <c r="E160" s="318" t="s">
        <v>3779</v>
      </c>
    </row>
    <row r="161" spans="1:5" s="62" customFormat="1" ht="28.5">
      <c r="A161" s="325"/>
      <c r="B161" s="324"/>
      <c r="D161" s="318"/>
      <c r="E161" s="318" t="s">
        <v>3778</v>
      </c>
    </row>
    <row r="162" spans="1:5" s="62" customFormat="1" ht="14.25">
      <c r="A162" s="325" t="s">
        <v>3777</v>
      </c>
      <c r="B162" s="324">
        <v>1</v>
      </c>
      <c r="D162" s="318"/>
      <c r="E162" s="318" t="s">
        <v>3776</v>
      </c>
    </row>
    <row r="163" spans="1:5" s="62" customFormat="1" ht="28.5">
      <c r="A163" s="325"/>
      <c r="B163" s="324"/>
      <c r="D163" s="318"/>
      <c r="E163" s="318" t="s">
        <v>3775</v>
      </c>
    </row>
    <row r="164" spans="1:5" s="62" customFormat="1" ht="28.5">
      <c r="A164" s="325"/>
      <c r="B164" s="321"/>
      <c r="D164" s="318"/>
      <c r="E164" s="318" t="s">
        <v>3774</v>
      </c>
    </row>
    <row r="165" spans="1:5" s="62" customFormat="1" ht="14.25">
      <c r="A165" s="325"/>
      <c r="B165" s="324"/>
      <c r="D165" s="318"/>
      <c r="E165" s="318" t="s">
        <v>3773</v>
      </c>
    </row>
    <row r="166" spans="1:5" s="62" customFormat="1" ht="14.25">
      <c r="A166" s="325"/>
      <c r="B166" s="324"/>
      <c r="D166" s="318"/>
      <c r="E166" s="318" t="s">
        <v>3772</v>
      </c>
    </row>
    <row r="167" spans="1:5" s="62" customFormat="1" ht="14.25">
      <c r="A167" s="325"/>
      <c r="B167" s="324"/>
      <c r="D167" s="318"/>
      <c r="E167" s="318" t="s">
        <v>3771</v>
      </c>
    </row>
    <row r="168" spans="1:5" s="62" customFormat="1" ht="28.5">
      <c r="A168" s="325"/>
      <c r="B168" s="324"/>
      <c r="D168" s="318"/>
      <c r="E168" s="318" t="s">
        <v>3770</v>
      </c>
    </row>
    <row r="169" spans="1:5" s="62" customFormat="1" ht="14.25">
      <c r="A169" s="325"/>
      <c r="B169" s="324"/>
      <c r="D169" s="318"/>
      <c r="E169" s="318" t="s">
        <v>3769</v>
      </c>
    </row>
    <row r="170" spans="1:5" s="62" customFormat="1" ht="14.25">
      <c r="A170" s="325"/>
      <c r="B170" s="321"/>
      <c r="D170" s="318"/>
      <c r="E170" s="318" t="s">
        <v>3768</v>
      </c>
    </row>
    <row r="171" spans="1:5" s="62" customFormat="1" ht="14.25">
      <c r="A171" s="325"/>
      <c r="B171" s="324"/>
      <c r="D171" s="318"/>
      <c r="E171" s="318" t="s">
        <v>3767</v>
      </c>
    </row>
    <row r="172" spans="1:5" s="62" customFormat="1" ht="14.25">
      <c r="A172" s="325"/>
      <c r="B172" s="324"/>
      <c r="D172" s="318"/>
      <c r="E172" s="318"/>
    </row>
    <row r="173" spans="1:5" s="62" customFormat="1" ht="14.25">
      <c r="A173" s="325" t="s">
        <v>3766</v>
      </c>
      <c r="B173" s="323" t="s">
        <v>3765</v>
      </c>
      <c r="D173" s="318"/>
      <c r="E173" s="318" t="s">
        <v>3764</v>
      </c>
    </row>
    <row r="174" spans="1:5" s="62" customFormat="1" ht="28.5">
      <c r="A174" s="325"/>
      <c r="B174" s="321"/>
      <c r="D174" s="318"/>
      <c r="E174" s="318" t="s">
        <v>3763</v>
      </c>
    </row>
    <row r="175" spans="1:5" s="62" customFormat="1" ht="14.25">
      <c r="A175" s="325"/>
      <c r="B175" s="321"/>
      <c r="D175" s="318"/>
      <c r="E175" s="318" t="s">
        <v>3762</v>
      </c>
    </row>
    <row r="176" spans="1:5" s="62" customFormat="1" ht="14.25">
      <c r="A176" s="325"/>
      <c r="B176" s="321"/>
      <c r="D176" s="318"/>
      <c r="E176" s="318" t="s">
        <v>3761</v>
      </c>
    </row>
    <row r="177" spans="1:5" s="62" customFormat="1" ht="14.25">
      <c r="A177" s="325"/>
      <c r="B177" s="321"/>
      <c r="D177" s="318"/>
      <c r="E177" s="318" t="s">
        <v>3760</v>
      </c>
    </row>
    <row r="178" spans="1:5" s="62" customFormat="1" ht="14.25">
      <c r="A178" s="325"/>
      <c r="B178" s="321"/>
      <c r="D178" s="318"/>
      <c r="E178" s="318" t="s">
        <v>3759</v>
      </c>
    </row>
    <row r="179" spans="1:5" s="62" customFormat="1" ht="14.25">
      <c r="A179" s="325"/>
      <c r="B179" s="321"/>
      <c r="D179" s="318"/>
      <c r="E179" s="318" t="s">
        <v>3758</v>
      </c>
    </row>
    <row r="180" spans="1:5" s="62" customFormat="1" ht="14.25">
      <c r="A180" s="325"/>
      <c r="B180" s="321"/>
      <c r="D180" s="318"/>
      <c r="E180" s="318" t="s">
        <v>3757</v>
      </c>
    </row>
    <row r="181" spans="1:5" s="62" customFormat="1" ht="14.25">
      <c r="A181" s="325"/>
      <c r="B181" s="321"/>
      <c r="D181" s="318"/>
      <c r="E181" s="318" t="s">
        <v>3756</v>
      </c>
    </row>
    <row r="182" spans="1:5" s="62" customFormat="1" ht="14.25">
      <c r="A182" s="325"/>
      <c r="B182" s="321"/>
      <c r="D182" s="318"/>
      <c r="E182" s="318" t="s">
        <v>3755</v>
      </c>
    </row>
    <row r="183" spans="1:5" s="62" customFormat="1" ht="28.5">
      <c r="A183" s="325"/>
      <c r="B183" s="321"/>
      <c r="D183" s="318"/>
      <c r="E183" s="318" t="s">
        <v>3754</v>
      </c>
    </row>
    <row r="184" spans="1:5" s="62" customFormat="1" ht="14.25">
      <c r="A184" s="325"/>
      <c r="B184" s="321"/>
      <c r="D184" s="318"/>
      <c r="E184" s="318" t="s">
        <v>3753</v>
      </c>
    </row>
    <row r="185" spans="1:5" s="62" customFormat="1" ht="14.25">
      <c r="A185" s="325"/>
      <c r="B185" s="321"/>
      <c r="D185" s="318"/>
      <c r="E185" s="318" t="s">
        <v>3752</v>
      </c>
    </row>
    <row r="186" spans="1:5" s="62" customFormat="1" ht="14.25">
      <c r="A186" s="325"/>
      <c r="B186" s="321"/>
      <c r="D186" s="318"/>
      <c r="E186" s="318" t="s">
        <v>3751</v>
      </c>
    </row>
    <row r="187" spans="1:5" s="62" customFormat="1" ht="14.25">
      <c r="A187" s="325"/>
      <c r="B187" s="321"/>
      <c r="D187" s="318"/>
      <c r="E187" s="318" t="s">
        <v>3750</v>
      </c>
    </row>
    <row r="188" spans="1:5" s="62" customFormat="1" ht="14.25">
      <c r="A188" s="325"/>
      <c r="B188" s="321"/>
      <c r="D188" s="318"/>
      <c r="E188" s="318" t="s">
        <v>3749</v>
      </c>
    </row>
    <row r="189" spans="1:5" s="62" customFormat="1" ht="14.25">
      <c r="A189" s="325"/>
      <c r="B189" s="321"/>
      <c r="D189" s="318"/>
      <c r="E189" s="318" t="s">
        <v>3748</v>
      </c>
    </row>
    <row r="190" spans="1:5" s="62" customFormat="1" ht="14.25">
      <c r="A190" s="325"/>
      <c r="B190" s="321"/>
      <c r="D190" s="318"/>
      <c r="E190" s="318" t="s">
        <v>3747</v>
      </c>
    </row>
    <row r="191" spans="1:5" s="62" customFormat="1" ht="14.25">
      <c r="A191" s="325"/>
      <c r="B191" s="321"/>
      <c r="D191" s="318"/>
      <c r="E191" s="318" t="s">
        <v>3746</v>
      </c>
    </row>
    <row r="192" spans="1:5" s="62" customFormat="1" ht="14.25">
      <c r="A192" s="325"/>
      <c r="B192" s="321"/>
      <c r="D192" s="318"/>
      <c r="E192" s="318" t="s">
        <v>3745</v>
      </c>
    </row>
    <row r="193" spans="1:5" s="62" customFormat="1" ht="14.25">
      <c r="A193" s="325"/>
      <c r="B193" s="321"/>
      <c r="D193" s="318"/>
      <c r="E193" s="318" t="s">
        <v>3744</v>
      </c>
    </row>
    <row r="194" spans="1:5" s="62" customFormat="1" ht="28.5">
      <c r="A194" s="325"/>
      <c r="B194" s="321"/>
      <c r="D194" s="318"/>
      <c r="E194" s="318" t="s">
        <v>3743</v>
      </c>
    </row>
    <row r="195" spans="1:5" s="62" customFormat="1" ht="14.25">
      <c r="A195" s="325"/>
      <c r="B195" s="321"/>
      <c r="D195" s="318"/>
      <c r="E195" s="318" t="s">
        <v>3741</v>
      </c>
    </row>
    <row r="196" spans="1:5" s="62" customFormat="1" ht="14.25">
      <c r="A196" s="325"/>
      <c r="B196" s="321"/>
      <c r="D196" s="318"/>
      <c r="E196" s="318" t="s">
        <v>3740</v>
      </c>
    </row>
    <row r="197" spans="1:5" s="62" customFormat="1" ht="14.25">
      <c r="A197" s="325"/>
      <c r="B197" s="321"/>
      <c r="D197" s="318"/>
      <c r="E197" s="318" t="s">
        <v>3742</v>
      </c>
    </row>
    <row r="198" spans="1:5" s="62" customFormat="1" ht="14.25">
      <c r="A198" s="325"/>
      <c r="B198" s="321"/>
      <c r="D198" s="318"/>
      <c r="E198" s="318" t="s">
        <v>3741</v>
      </c>
    </row>
    <row r="199" spans="1:5" s="62" customFormat="1" ht="14.25">
      <c r="A199" s="325"/>
      <c r="B199" s="321"/>
      <c r="D199" s="318"/>
      <c r="E199" s="318" t="s">
        <v>3740</v>
      </c>
    </row>
    <row r="200" spans="1:5" s="62" customFormat="1" ht="14.25">
      <c r="A200" s="325"/>
      <c r="B200" s="321"/>
      <c r="D200" s="318"/>
      <c r="E200" s="318"/>
    </row>
    <row r="201" spans="1:5" s="62" customFormat="1" ht="14.25">
      <c r="A201" s="325"/>
      <c r="B201" s="321"/>
      <c r="D201" s="318"/>
      <c r="E201" s="318" t="s">
        <v>3739</v>
      </c>
    </row>
    <row r="202" spans="1:5" s="62" customFormat="1" ht="14.25">
      <c r="A202" s="325"/>
      <c r="B202" s="321"/>
      <c r="D202" s="318"/>
      <c r="E202" s="318" t="s">
        <v>3738</v>
      </c>
    </row>
    <row r="203" spans="1:5" s="62" customFormat="1" ht="28.5">
      <c r="A203" s="325"/>
      <c r="B203" s="321"/>
      <c r="D203" s="318"/>
      <c r="E203" s="318" t="s">
        <v>3737</v>
      </c>
    </row>
    <row r="204" spans="1:5" s="62" customFormat="1" ht="14.25">
      <c r="A204" s="325"/>
      <c r="B204" s="321"/>
      <c r="D204" s="318"/>
      <c r="E204" s="318" t="s">
        <v>3736</v>
      </c>
    </row>
    <row r="205" spans="1:5" s="62" customFormat="1" ht="14.25">
      <c r="A205" s="325"/>
      <c r="B205" s="321"/>
      <c r="D205" s="318"/>
      <c r="E205" s="318" t="s">
        <v>3735</v>
      </c>
    </row>
    <row r="206" spans="1:5" s="62" customFormat="1" ht="14.25">
      <c r="A206" s="325"/>
      <c r="B206" s="321"/>
      <c r="D206" s="318"/>
      <c r="E206" s="318" t="s">
        <v>3734</v>
      </c>
    </row>
    <row r="207" spans="1:5" s="62" customFormat="1" ht="28.5">
      <c r="A207" s="325"/>
      <c r="B207" s="321"/>
      <c r="D207" s="318"/>
      <c r="E207" s="318" t="s">
        <v>3733</v>
      </c>
    </row>
    <row r="208" spans="1:5" s="62" customFormat="1" ht="14.25">
      <c r="A208" s="325"/>
      <c r="B208" s="321"/>
      <c r="D208" s="318"/>
      <c r="E208" s="318" t="s">
        <v>3732</v>
      </c>
    </row>
    <row r="209" spans="1:5" s="62" customFormat="1" ht="14.25">
      <c r="A209" s="325"/>
      <c r="B209" s="321"/>
      <c r="D209" s="318"/>
      <c r="E209" s="318" t="s">
        <v>3731</v>
      </c>
    </row>
    <row r="210" spans="1:5" s="62" customFormat="1" ht="14.25">
      <c r="A210" s="325"/>
      <c r="B210" s="321"/>
      <c r="D210" s="318"/>
      <c r="E210" s="318" t="s">
        <v>3730</v>
      </c>
    </row>
    <row r="211" spans="1:5" s="62" customFormat="1" ht="14.25">
      <c r="A211" s="325"/>
      <c r="B211" s="321"/>
      <c r="D211" s="318"/>
      <c r="E211" s="318" t="s">
        <v>3729</v>
      </c>
    </row>
    <row r="212" spans="1:5" s="62" customFormat="1" ht="28.5">
      <c r="A212" s="325"/>
      <c r="B212" s="321"/>
      <c r="D212" s="318"/>
      <c r="E212" s="318" t="s">
        <v>3728</v>
      </c>
    </row>
    <row r="213" spans="1:5" s="62" customFormat="1" ht="14.25">
      <c r="A213" s="325"/>
      <c r="B213" s="321"/>
      <c r="D213" s="318"/>
      <c r="E213" s="318" t="s">
        <v>3727</v>
      </c>
    </row>
    <row r="214" spans="1:5" s="62" customFormat="1" ht="28.5">
      <c r="A214" s="325"/>
      <c r="B214" s="321"/>
      <c r="D214" s="318"/>
      <c r="E214" s="318" t="s">
        <v>3726</v>
      </c>
    </row>
    <row r="215" spans="1:5" s="62" customFormat="1" ht="14.25">
      <c r="A215" s="325"/>
      <c r="B215" s="321"/>
      <c r="D215" s="318"/>
      <c r="E215" s="318" t="s">
        <v>3725</v>
      </c>
    </row>
    <row r="216" spans="1:5" s="62" customFormat="1" ht="14.25">
      <c r="A216" s="325"/>
      <c r="B216" s="321"/>
      <c r="D216" s="318"/>
      <c r="E216" s="318" t="s">
        <v>3724</v>
      </c>
    </row>
    <row r="217" spans="1:5" s="62" customFormat="1" ht="28.5">
      <c r="A217" s="325"/>
      <c r="B217" s="321"/>
      <c r="D217" s="318"/>
      <c r="E217" s="318" t="s">
        <v>3723</v>
      </c>
    </row>
    <row r="218" spans="1:5" s="62" customFormat="1" ht="14.25">
      <c r="A218" s="325"/>
      <c r="B218" s="321"/>
      <c r="D218" s="318"/>
      <c r="E218" s="318" t="s">
        <v>3722</v>
      </c>
    </row>
    <row r="219" spans="1:5" s="62" customFormat="1" ht="28.5">
      <c r="A219" s="325"/>
      <c r="B219" s="321"/>
      <c r="D219" s="318"/>
      <c r="E219" s="318" t="s">
        <v>3721</v>
      </c>
    </row>
    <row r="220" spans="1:5" s="62" customFormat="1" ht="14.25">
      <c r="A220" s="325"/>
      <c r="B220" s="321"/>
      <c r="D220" s="318"/>
      <c r="E220" s="318" t="s">
        <v>3720</v>
      </c>
    </row>
    <row r="221" spans="1:5" s="62" customFormat="1" ht="14.25">
      <c r="A221" s="325" t="s">
        <v>3719</v>
      </c>
      <c r="B221" s="324" t="s">
        <v>3712</v>
      </c>
      <c r="D221" s="318"/>
      <c r="E221" s="318" t="s">
        <v>3718</v>
      </c>
    </row>
    <row r="222" spans="1:5" s="62" customFormat="1" ht="14.25">
      <c r="A222" s="325"/>
      <c r="B222" s="324"/>
      <c r="D222" s="318"/>
      <c r="E222" s="318" t="s">
        <v>3717</v>
      </c>
    </row>
    <row r="223" spans="1:5" s="62" customFormat="1" ht="14.25">
      <c r="A223" s="325"/>
      <c r="B223" s="324"/>
      <c r="D223" s="318"/>
      <c r="E223" s="318" t="s">
        <v>3716</v>
      </c>
    </row>
    <row r="224" spans="1:5" s="62" customFormat="1" ht="14.25">
      <c r="A224" s="325"/>
      <c r="B224" s="324"/>
      <c r="D224" s="318"/>
      <c r="E224" s="318" t="s">
        <v>3715</v>
      </c>
    </row>
    <row r="225" spans="1:5" s="62" customFormat="1" ht="14.25">
      <c r="A225" s="325"/>
      <c r="B225" s="324"/>
      <c r="D225" s="318"/>
      <c r="E225" s="318" t="s">
        <v>3714</v>
      </c>
    </row>
    <row r="226" spans="1:5" s="62" customFormat="1" ht="14.25">
      <c r="A226" s="325"/>
      <c r="B226" s="324"/>
      <c r="D226" s="318"/>
      <c r="E226" s="318"/>
    </row>
    <row r="227" spans="1:5" s="62" customFormat="1" ht="28.5">
      <c r="A227" s="325" t="s">
        <v>3713</v>
      </c>
      <c r="B227" s="324" t="s">
        <v>3712</v>
      </c>
      <c r="D227" s="318"/>
      <c r="E227" s="318" t="s">
        <v>3711</v>
      </c>
    </row>
    <row r="228" spans="1:5" s="62" customFormat="1" ht="28.5">
      <c r="A228" s="325"/>
      <c r="B228" s="324"/>
      <c r="D228" s="318"/>
      <c r="E228" s="318" t="s">
        <v>3710</v>
      </c>
    </row>
    <row r="229" spans="1:5" s="62" customFormat="1" ht="14.25">
      <c r="A229" s="325"/>
      <c r="B229" s="324"/>
      <c r="D229" s="318"/>
      <c r="E229" s="318" t="s">
        <v>3709</v>
      </c>
    </row>
    <row r="230" spans="1:5" s="62" customFormat="1" ht="14.25">
      <c r="A230" s="325"/>
      <c r="B230" s="324"/>
      <c r="D230" s="318"/>
      <c r="E230" s="318" t="s">
        <v>3708</v>
      </c>
    </row>
    <row r="231" spans="1:5" s="62" customFormat="1" ht="14.25">
      <c r="A231" s="325"/>
      <c r="B231" s="324"/>
      <c r="D231" s="318"/>
      <c r="E231" s="318" t="s">
        <v>3707</v>
      </c>
    </row>
    <row r="232" spans="1:5" s="62" customFormat="1" ht="14.25">
      <c r="A232" s="325"/>
      <c r="B232" s="324"/>
      <c r="D232" s="318"/>
      <c r="E232" s="318" t="s">
        <v>3706</v>
      </c>
    </row>
    <row r="233" spans="1:5" s="62" customFormat="1" ht="28.5">
      <c r="A233" s="325"/>
      <c r="B233" s="324"/>
      <c r="D233" s="318"/>
      <c r="E233" s="318" t="s">
        <v>3705</v>
      </c>
    </row>
    <row r="234" spans="1:5" s="62" customFormat="1" ht="28.5">
      <c r="A234" s="325"/>
      <c r="B234" s="324"/>
      <c r="D234" s="318"/>
      <c r="E234" s="318" t="s">
        <v>3704</v>
      </c>
    </row>
    <row r="235" spans="1:5" s="62" customFormat="1" ht="28.5">
      <c r="A235" s="325"/>
      <c r="B235" s="324"/>
      <c r="D235" s="318"/>
      <c r="E235" s="318" t="s">
        <v>3703</v>
      </c>
    </row>
    <row r="236" spans="1:5" s="62" customFormat="1" ht="14.25">
      <c r="A236" s="325"/>
      <c r="B236" s="324"/>
      <c r="D236" s="318"/>
      <c r="E236" s="318" t="s">
        <v>3702</v>
      </c>
    </row>
    <row r="237" spans="1:5" s="62" customFormat="1" ht="14.25">
      <c r="A237" s="325"/>
      <c r="B237" s="324"/>
      <c r="D237" s="318"/>
      <c r="E237" s="318" t="s">
        <v>3701</v>
      </c>
    </row>
    <row r="238" spans="1:5" s="62" customFormat="1" ht="14.25">
      <c r="A238" s="325"/>
      <c r="B238" s="324"/>
      <c r="D238" s="318"/>
      <c r="E238" s="318" t="s">
        <v>3700</v>
      </c>
    </row>
    <row r="239" spans="1:5" s="62" customFormat="1" ht="14.25">
      <c r="A239" s="325"/>
      <c r="B239" s="324"/>
      <c r="D239" s="318"/>
      <c r="E239" s="318" t="s">
        <v>3699</v>
      </c>
    </row>
    <row r="240" spans="1:5" s="62" customFormat="1" ht="14.25">
      <c r="A240" s="325"/>
      <c r="B240" s="324"/>
      <c r="D240" s="318"/>
      <c r="E240" s="318" t="s">
        <v>3698</v>
      </c>
    </row>
    <row r="241" spans="1:44" s="62" customFormat="1" ht="14.25">
      <c r="A241" s="325"/>
      <c r="B241" s="324"/>
      <c r="D241" s="318"/>
      <c r="E241" s="318"/>
    </row>
    <row r="242" spans="1:44" s="62" customFormat="1" ht="28.5" customHeight="1">
      <c r="A242" s="322" t="s">
        <v>3697</v>
      </c>
      <c r="B242" s="323" t="s">
        <v>3696</v>
      </c>
      <c r="D242" s="318"/>
      <c r="E242" s="318" t="s">
        <v>3695</v>
      </c>
    </row>
    <row r="243" spans="1:44" s="62" customFormat="1" ht="57">
      <c r="A243" s="322"/>
      <c r="B243" s="321"/>
      <c r="D243" s="318"/>
      <c r="E243" s="318" t="s">
        <v>3694</v>
      </c>
    </row>
    <row r="244" spans="1:44" s="62" customFormat="1" ht="14.25">
      <c r="A244" s="320"/>
      <c r="B244" s="319"/>
      <c r="D244" s="318"/>
      <c r="E244" s="318"/>
    </row>
    <row r="245" spans="1:44" ht="16.5">
      <c r="A245" s="317"/>
      <c r="B245" s="316"/>
      <c r="C245" s="308"/>
      <c r="D245" s="308"/>
      <c r="E245" s="309"/>
      <c r="F245" s="308"/>
      <c r="G245" s="308"/>
      <c r="H245" s="308"/>
      <c r="I245" s="308"/>
      <c r="J245" s="308"/>
      <c r="K245" s="308"/>
      <c r="L245" s="308"/>
      <c r="M245" s="308"/>
      <c r="N245" s="308"/>
      <c r="O245" s="308"/>
      <c r="P245" s="308"/>
      <c r="Q245" s="308"/>
      <c r="R245" s="308"/>
      <c r="S245" s="308"/>
      <c r="T245" s="308"/>
      <c r="U245" s="308"/>
      <c r="V245" s="308"/>
      <c r="W245" s="308"/>
      <c r="X245" s="308"/>
      <c r="Y245" s="308"/>
      <c r="Z245" s="308"/>
      <c r="AA245" s="308"/>
      <c r="AB245" s="308"/>
      <c r="AC245" s="308"/>
      <c r="AD245" s="308"/>
      <c r="AE245" s="308"/>
      <c r="AF245" s="308"/>
      <c r="AG245" s="308"/>
      <c r="AH245" s="308"/>
      <c r="AI245" s="308"/>
      <c r="AJ245" s="308"/>
      <c r="AK245" s="308"/>
      <c r="AL245" s="308"/>
      <c r="AM245" s="308"/>
      <c r="AN245" s="308"/>
      <c r="AO245" s="308"/>
      <c r="AP245" s="308"/>
      <c r="AQ245" s="308"/>
      <c r="AR245" s="308"/>
    </row>
    <row r="246" spans="1:44" s="310" customFormat="1" ht="12">
      <c r="A246" s="315" t="s">
        <v>3693</v>
      </c>
      <c r="B246" s="315" t="s">
        <v>3692</v>
      </c>
      <c r="C246" s="315" t="s">
        <v>3691</v>
      </c>
      <c r="D246" s="315" t="s">
        <v>3690</v>
      </c>
      <c r="E246" s="315" t="s">
        <v>3689</v>
      </c>
      <c r="F246" s="315" t="s">
        <v>3688</v>
      </c>
      <c r="G246" s="315" t="s">
        <v>3687</v>
      </c>
      <c r="H246" s="315" t="s">
        <v>3686</v>
      </c>
      <c r="I246" s="315"/>
      <c r="J246" s="314"/>
      <c r="K246" s="314"/>
      <c r="L246" s="314"/>
      <c r="M246" s="314"/>
      <c r="N246" s="314"/>
    </row>
    <row r="247" spans="1:44" s="310" customFormat="1" ht="12">
      <c r="A247" s="313" t="s">
        <v>3685</v>
      </c>
      <c r="B247" s="312" t="s">
        <v>3684</v>
      </c>
      <c r="C247" s="310">
        <v>1991</v>
      </c>
      <c r="D247" s="310">
        <v>1</v>
      </c>
      <c r="E247" s="311"/>
      <c r="F247" s="311"/>
      <c r="G247" s="311"/>
      <c r="H247" s="311"/>
      <c r="I247" s="311"/>
      <c r="J247" s="311"/>
      <c r="K247" s="311"/>
      <c r="L247" s="311"/>
      <c r="M247" s="311"/>
      <c r="N247" s="311"/>
    </row>
    <row r="248" spans="1:44" s="310" customFormat="1" ht="12">
      <c r="A248" s="310" t="s">
        <v>3683</v>
      </c>
      <c r="B248" s="312" t="s">
        <v>3682</v>
      </c>
      <c r="E248" s="311"/>
      <c r="F248" s="311"/>
      <c r="G248" s="311"/>
      <c r="H248" s="311"/>
      <c r="I248" s="311"/>
      <c r="J248" s="311"/>
      <c r="K248" s="311"/>
      <c r="L248" s="311"/>
      <c r="M248" s="311"/>
      <c r="N248" s="311"/>
    </row>
    <row r="249" spans="1:44" s="310" customFormat="1" ht="12">
      <c r="A249" s="310" t="s">
        <v>3681</v>
      </c>
      <c r="B249" s="312"/>
      <c r="E249" s="311"/>
      <c r="F249" s="311"/>
      <c r="G249" s="311"/>
      <c r="H249" s="311"/>
      <c r="I249" s="311"/>
      <c r="J249" s="311"/>
      <c r="K249" s="311"/>
      <c r="L249" s="311"/>
      <c r="M249" s="311"/>
      <c r="N249" s="311"/>
    </row>
    <row r="250" spans="1:44" s="310" customFormat="1" ht="12">
      <c r="A250" s="310" t="s">
        <v>3680</v>
      </c>
      <c r="B250" s="312"/>
      <c r="E250" s="311"/>
      <c r="F250" s="311"/>
      <c r="G250" s="311"/>
      <c r="H250" s="311"/>
      <c r="I250" s="311"/>
      <c r="J250" s="311"/>
      <c r="K250" s="311"/>
      <c r="L250" s="311"/>
      <c r="M250" s="311"/>
      <c r="N250" s="311"/>
    </row>
    <row r="251" spans="1:44" s="310" customFormat="1" ht="12">
      <c r="A251" s="310" t="s">
        <v>3679</v>
      </c>
      <c r="B251" s="312"/>
      <c r="E251" s="311"/>
      <c r="F251" s="311"/>
      <c r="G251" s="311"/>
      <c r="H251" s="311"/>
      <c r="I251" s="311"/>
      <c r="J251" s="311"/>
      <c r="K251" s="311"/>
      <c r="L251" s="311"/>
      <c r="M251" s="311"/>
      <c r="N251" s="311"/>
    </row>
    <row r="252" spans="1:44" s="310" customFormat="1" ht="12">
      <c r="A252" s="310" t="s">
        <v>3678</v>
      </c>
      <c r="B252" s="312"/>
      <c r="E252" s="311"/>
      <c r="F252" s="311"/>
      <c r="G252" s="311"/>
      <c r="H252" s="311"/>
      <c r="I252" s="311"/>
      <c r="J252" s="311"/>
      <c r="K252" s="311"/>
      <c r="L252" s="311"/>
      <c r="M252" s="311"/>
      <c r="N252" s="311"/>
    </row>
    <row r="253" spans="1:44" s="310" customFormat="1" ht="12">
      <c r="A253" s="310" t="s">
        <v>3677</v>
      </c>
      <c r="B253" s="312"/>
      <c r="E253" s="311"/>
      <c r="F253" s="311"/>
      <c r="G253" s="311"/>
      <c r="H253" s="311"/>
      <c r="I253" s="311"/>
      <c r="J253" s="311"/>
      <c r="K253" s="311"/>
      <c r="L253" s="311"/>
      <c r="M253" s="311"/>
      <c r="N253" s="311"/>
    </row>
    <row r="254" spans="1:44" s="310" customFormat="1" ht="12">
      <c r="A254" s="310" t="s">
        <v>3676</v>
      </c>
      <c r="B254" s="312"/>
      <c r="E254" s="311"/>
      <c r="F254" s="311"/>
      <c r="G254" s="311"/>
      <c r="H254" s="311"/>
      <c r="I254" s="311"/>
      <c r="J254" s="311"/>
      <c r="K254" s="311"/>
      <c r="L254" s="311"/>
      <c r="M254" s="311"/>
      <c r="N254" s="311"/>
    </row>
    <row r="255" spans="1:44" s="310" customFormat="1" ht="12">
      <c r="A255" s="310" t="s">
        <v>3675</v>
      </c>
      <c r="B255" s="312"/>
      <c r="E255" s="311"/>
      <c r="F255" s="311"/>
      <c r="G255" s="311"/>
      <c r="H255" s="311"/>
      <c r="I255" s="311"/>
      <c r="J255" s="311"/>
      <c r="K255" s="311"/>
      <c r="L255" s="311"/>
      <c r="M255" s="311"/>
      <c r="N255" s="311"/>
    </row>
    <row r="256" spans="1:44" s="310" customFormat="1" ht="14.25">
      <c r="A256" s="310" t="s">
        <v>3674</v>
      </c>
      <c r="B256" s="312"/>
      <c r="E256" s="311"/>
      <c r="F256" s="311"/>
      <c r="G256" s="311"/>
      <c r="H256" s="311"/>
      <c r="I256" s="311"/>
      <c r="J256" s="311"/>
      <c r="K256" s="311"/>
      <c r="L256" s="311"/>
      <c r="M256" s="311"/>
      <c r="N256" s="311"/>
    </row>
    <row r="257" spans="1:44" s="310" customFormat="1" ht="14.25">
      <c r="A257" s="310" t="s">
        <v>3673</v>
      </c>
      <c r="B257" s="312"/>
      <c r="E257" s="311"/>
      <c r="F257" s="311"/>
      <c r="G257" s="311"/>
      <c r="H257" s="311"/>
      <c r="I257" s="311"/>
      <c r="J257" s="311"/>
      <c r="K257" s="311"/>
      <c r="L257" s="311"/>
      <c r="M257" s="311"/>
      <c r="N257" s="311"/>
    </row>
    <row r="258" spans="1:44" s="310" customFormat="1" ht="12">
      <c r="B258" s="312"/>
      <c r="E258" s="311"/>
      <c r="F258" s="311"/>
      <c r="G258" s="311"/>
      <c r="H258" s="311"/>
      <c r="I258" s="311"/>
      <c r="J258" s="311"/>
      <c r="K258" s="311"/>
      <c r="L258" s="311"/>
      <c r="M258" s="311"/>
      <c r="N258" s="311"/>
    </row>
    <row r="259" spans="1:44" s="310" customFormat="1" ht="12">
      <c r="B259" s="312"/>
      <c r="E259" s="311"/>
      <c r="F259" s="311"/>
      <c r="G259" s="311"/>
      <c r="H259" s="311"/>
      <c r="I259" s="311"/>
      <c r="J259" s="311"/>
      <c r="K259" s="311"/>
      <c r="L259" s="311"/>
      <c r="M259" s="311"/>
      <c r="N259" s="311"/>
    </row>
    <row r="260" spans="1:44" ht="16.5">
      <c r="A260" s="308"/>
      <c r="B260" s="308"/>
      <c r="C260" s="308"/>
      <c r="D260" s="308"/>
      <c r="E260" s="309"/>
      <c r="F260" s="308"/>
      <c r="G260" s="308"/>
      <c r="H260" s="308"/>
      <c r="I260" s="308"/>
      <c r="J260" s="308"/>
      <c r="K260" s="308"/>
      <c r="L260" s="308"/>
      <c r="M260" s="308"/>
      <c r="N260" s="308"/>
      <c r="O260" s="308"/>
      <c r="P260" s="308"/>
      <c r="Q260" s="308"/>
      <c r="R260" s="308"/>
      <c r="S260" s="308"/>
      <c r="T260" s="308"/>
      <c r="U260" s="308"/>
      <c r="V260" s="308"/>
      <c r="W260" s="308"/>
      <c r="X260" s="308"/>
      <c r="Y260" s="308"/>
      <c r="Z260" s="308"/>
      <c r="AA260" s="308"/>
      <c r="AB260" s="308"/>
      <c r="AC260" s="308"/>
      <c r="AD260" s="308"/>
      <c r="AE260" s="308"/>
      <c r="AF260" s="308"/>
      <c r="AG260" s="308"/>
      <c r="AH260" s="308"/>
      <c r="AI260" s="308"/>
      <c r="AJ260" s="308"/>
      <c r="AK260" s="308"/>
      <c r="AL260" s="308"/>
      <c r="AM260" s="308"/>
      <c r="AN260" s="308"/>
      <c r="AO260" s="308"/>
      <c r="AP260" s="308"/>
      <c r="AQ260" s="308"/>
      <c r="AR260" s="308"/>
    </row>
    <row r="261" spans="1:44" ht="16.5">
      <c r="A261" s="308"/>
      <c r="B261" s="308"/>
      <c r="C261" s="308"/>
      <c r="D261" s="308"/>
      <c r="E261" s="309"/>
      <c r="F261" s="308"/>
      <c r="G261" s="308"/>
      <c r="H261" s="308"/>
      <c r="I261" s="308"/>
      <c r="J261" s="308"/>
      <c r="K261" s="308"/>
      <c r="L261" s="308"/>
      <c r="M261" s="308"/>
      <c r="N261" s="308"/>
      <c r="O261" s="308"/>
      <c r="P261" s="308"/>
      <c r="Q261" s="308"/>
      <c r="R261" s="308"/>
      <c r="S261" s="308"/>
      <c r="T261" s="308"/>
      <c r="U261" s="308"/>
      <c r="V261" s="308"/>
      <c r="W261" s="308"/>
      <c r="X261" s="308"/>
      <c r="Y261" s="308"/>
      <c r="Z261" s="308"/>
      <c r="AA261" s="308"/>
      <c r="AB261" s="308"/>
      <c r="AC261" s="308"/>
      <c r="AD261" s="308"/>
      <c r="AE261" s="308"/>
      <c r="AF261" s="308"/>
      <c r="AG261" s="308"/>
      <c r="AH261" s="308"/>
      <c r="AI261" s="308"/>
      <c r="AJ261" s="308"/>
      <c r="AK261" s="308"/>
      <c r="AL261" s="308"/>
      <c r="AM261" s="308"/>
      <c r="AN261" s="308"/>
      <c r="AO261" s="308"/>
      <c r="AP261" s="308"/>
      <c r="AQ261" s="308"/>
      <c r="AR261" s="308"/>
    </row>
    <row r="262" spans="1:44" ht="16.5">
      <c r="A262" s="308"/>
      <c r="B262" s="308"/>
      <c r="C262" s="308"/>
      <c r="D262" s="308"/>
      <c r="E262" s="309"/>
      <c r="F262" s="308"/>
      <c r="G262" s="308"/>
      <c r="H262" s="308"/>
      <c r="I262" s="308"/>
      <c r="J262" s="308"/>
      <c r="K262" s="308"/>
      <c r="L262" s="308"/>
      <c r="M262" s="308"/>
      <c r="N262" s="308"/>
      <c r="O262" s="308"/>
      <c r="P262" s="308"/>
      <c r="Q262" s="308"/>
      <c r="R262" s="308"/>
      <c r="S262" s="308"/>
      <c r="T262" s="308"/>
      <c r="U262" s="308"/>
      <c r="V262" s="308"/>
      <c r="W262" s="308"/>
      <c r="X262" s="308"/>
      <c r="Y262" s="308"/>
      <c r="Z262" s="308"/>
      <c r="AA262" s="308"/>
      <c r="AB262" s="308"/>
      <c r="AC262" s="308"/>
      <c r="AD262" s="308"/>
      <c r="AE262" s="308"/>
      <c r="AF262" s="308"/>
      <c r="AG262" s="308"/>
      <c r="AH262" s="308"/>
      <c r="AI262" s="308"/>
      <c r="AJ262" s="308"/>
      <c r="AK262" s="308"/>
      <c r="AL262" s="308"/>
      <c r="AM262" s="308"/>
      <c r="AN262" s="308"/>
      <c r="AO262" s="308"/>
      <c r="AP262" s="308"/>
      <c r="AQ262" s="308"/>
      <c r="AR262" s="308"/>
    </row>
    <row r="263" spans="1:44" ht="16.5">
      <c r="A263" s="308"/>
      <c r="B263" s="308"/>
      <c r="C263" s="308"/>
      <c r="D263" s="308"/>
      <c r="E263" s="309"/>
      <c r="F263" s="308"/>
      <c r="G263" s="308"/>
      <c r="H263" s="308"/>
      <c r="I263" s="308"/>
      <c r="J263" s="308"/>
      <c r="K263" s="308"/>
      <c r="L263" s="308"/>
      <c r="M263" s="308"/>
      <c r="N263" s="308"/>
      <c r="O263" s="308"/>
      <c r="P263" s="308"/>
      <c r="Q263" s="308"/>
      <c r="R263" s="308"/>
      <c r="S263" s="308"/>
      <c r="T263" s="308"/>
      <c r="U263" s="308"/>
      <c r="V263" s="308"/>
      <c r="W263" s="308"/>
      <c r="X263" s="308"/>
      <c r="Y263" s="308"/>
      <c r="Z263" s="308"/>
      <c r="AA263" s="308"/>
      <c r="AB263" s="308"/>
      <c r="AC263" s="308"/>
      <c r="AD263" s="308"/>
      <c r="AE263" s="308"/>
      <c r="AF263" s="308"/>
      <c r="AG263" s="308"/>
      <c r="AH263" s="308"/>
      <c r="AI263" s="308"/>
      <c r="AJ263" s="308"/>
      <c r="AK263" s="308"/>
      <c r="AL263" s="308"/>
      <c r="AM263" s="308"/>
      <c r="AN263" s="308"/>
      <c r="AO263" s="308"/>
      <c r="AP263" s="308"/>
      <c r="AQ263" s="308"/>
      <c r="AR263" s="308"/>
    </row>
    <row r="264" spans="1:44" ht="16.5">
      <c r="A264" s="308"/>
      <c r="B264" s="308"/>
      <c r="C264" s="308"/>
      <c r="D264" s="308"/>
      <c r="E264" s="309"/>
      <c r="F264" s="308"/>
      <c r="G264" s="308"/>
      <c r="H264" s="308"/>
      <c r="I264" s="308"/>
      <c r="J264" s="308"/>
      <c r="K264" s="308"/>
      <c r="L264" s="308"/>
      <c r="M264" s="308"/>
      <c r="N264" s="308"/>
      <c r="O264" s="308"/>
      <c r="P264" s="308"/>
      <c r="Q264" s="308"/>
      <c r="R264" s="308"/>
      <c r="S264" s="308"/>
      <c r="T264" s="308"/>
      <c r="U264" s="308"/>
      <c r="V264" s="308"/>
      <c r="W264" s="308"/>
      <c r="X264" s="308"/>
      <c r="Y264" s="308"/>
      <c r="Z264" s="308"/>
      <c r="AA264" s="308"/>
      <c r="AB264" s="308"/>
      <c r="AC264" s="308"/>
      <c r="AD264" s="308"/>
      <c r="AE264" s="308"/>
      <c r="AF264" s="308"/>
      <c r="AG264" s="308"/>
      <c r="AH264" s="308"/>
      <c r="AI264" s="308"/>
      <c r="AJ264" s="308"/>
      <c r="AK264" s="308"/>
      <c r="AL264" s="308"/>
      <c r="AM264" s="308"/>
      <c r="AN264" s="308"/>
      <c r="AO264" s="308"/>
      <c r="AP264" s="308"/>
      <c r="AQ264" s="308"/>
      <c r="AR264" s="308"/>
    </row>
    <row r="265" spans="1:44" ht="16.5">
      <c r="A265" s="308"/>
      <c r="B265" s="308"/>
      <c r="C265" s="308"/>
      <c r="D265" s="308"/>
      <c r="E265" s="309"/>
      <c r="F265" s="308"/>
      <c r="G265" s="308"/>
      <c r="H265" s="308"/>
      <c r="I265" s="308"/>
      <c r="J265" s="308"/>
      <c r="K265" s="308"/>
      <c r="L265" s="308"/>
      <c r="M265" s="308"/>
      <c r="N265" s="308"/>
      <c r="O265" s="308"/>
      <c r="P265" s="308"/>
      <c r="Q265" s="308"/>
      <c r="R265" s="308"/>
      <c r="S265" s="308"/>
      <c r="T265" s="308"/>
      <c r="U265" s="308"/>
      <c r="V265" s="308"/>
      <c r="W265" s="308"/>
      <c r="X265" s="308"/>
      <c r="Y265" s="308"/>
      <c r="Z265" s="308"/>
      <c r="AA265" s="308"/>
      <c r="AB265" s="308"/>
      <c r="AC265" s="308"/>
      <c r="AD265" s="308"/>
      <c r="AE265" s="308"/>
      <c r="AF265" s="308"/>
      <c r="AG265" s="308"/>
      <c r="AH265" s="308"/>
      <c r="AI265" s="308"/>
      <c r="AJ265" s="308"/>
      <c r="AK265" s="308"/>
      <c r="AL265" s="308"/>
      <c r="AM265" s="308"/>
      <c r="AN265" s="308"/>
      <c r="AO265" s="308"/>
      <c r="AP265" s="308"/>
      <c r="AQ265" s="308"/>
      <c r="AR265" s="308"/>
    </row>
    <row r="266" spans="1:44" ht="16.5">
      <c r="A266" s="308"/>
      <c r="B266" s="308"/>
      <c r="C266" s="308"/>
      <c r="D266" s="308"/>
      <c r="E266" s="309"/>
      <c r="F266" s="308"/>
      <c r="G266" s="308"/>
      <c r="H266" s="308"/>
      <c r="I266" s="308"/>
      <c r="J266" s="308"/>
      <c r="K266" s="308"/>
      <c r="L266" s="308"/>
      <c r="M266" s="308"/>
      <c r="N266" s="308"/>
      <c r="O266" s="308"/>
      <c r="P266" s="308"/>
      <c r="Q266" s="308"/>
      <c r="R266" s="308"/>
      <c r="S266" s="308"/>
      <c r="T266" s="308"/>
      <c r="U266" s="308"/>
      <c r="V266" s="308"/>
      <c r="W266" s="308"/>
      <c r="X266" s="308"/>
      <c r="Y266" s="308"/>
      <c r="Z266" s="308"/>
      <c r="AA266" s="308"/>
      <c r="AB266" s="308"/>
      <c r="AC266" s="308"/>
      <c r="AD266" s="308"/>
      <c r="AE266" s="308"/>
      <c r="AF266" s="308"/>
      <c r="AG266" s="308"/>
      <c r="AH266" s="308"/>
      <c r="AI266" s="308"/>
      <c r="AJ266" s="308"/>
      <c r="AK266" s="308"/>
      <c r="AL266" s="308"/>
      <c r="AM266" s="308"/>
      <c r="AN266" s="308"/>
      <c r="AO266" s="308"/>
      <c r="AP266" s="308"/>
      <c r="AQ266" s="308"/>
      <c r="AR266" s="308"/>
    </row>
    <row r="267" spans="1:44" ht="16.5">
      <c r="A267" s="308"/>
      <c r="B267" s="308"/>
      <c r="C267" s="308"/>
      <c r="D267" s="308"/>
      <c r="E267" s="309"/>
      <c r="F267" s="308"/>
      <c r="G267" s="308"/>
      <c r="H267" s="308"/>
      <c r="I267" s="308"/>
      <c r="J267" s="308"/>
      <c r="K267" s="308"/>
      <c r="L267" s="308"/>
      <c r="M267" s="308"/>
      <c r="N267" s="308"/>
      <c r="O267" s="308"/>
      <c r="P267" s="308"/>
      <c r="Q267" s="308"/>
      <c r="R267" s="308"/>
      <c r="S267" s="308"/>
      <c r="T267" s="308"/>
      <c r="U267" s="308"/>
      <c r="V267" s="308"/>
      <c r="W267" s="308"/>
      <c r="X267" s="308"/>
      <c r="Y267" s="308"/>
      <c r="Z267" s="308"/>
      <c r="AA267" s="308"/>
      <c r="AB267" s="308"/>
      <c r="AC267" s="308"/>
      <c r="AD267" s="308"/>
      <c r="AE267" s="308"/>
      <c r="AF267" s="308"/>
      <c r="AG267" s="308"/>
      <c r="AH267" s="308"/>
      <c r="AI267" s="308"/>
      <c r="AJ267" s="308"/>
      <c r="AK267" s="308"/>
      <c r="AL267" s="308"/>
      <c r="AM267" s="308"/>
      <c r="AN267" s="308"/>
      <c r="AO267" s="308"/>
      <c r="AP267" s="308"/>
      <c r="AQ267" s="308"/>
      <c r="AR267" s="308"/>
    </row>
    <row r="268" spans="1:44" ht="16.5">
      <c r="A268" s="308"/>
      <c r="B268" s="308"/>
      <c r="C268" s="308"/>
      <c r="D268" s="308"/>
      <c r="E268" s="309"/>
      <c r="F268" s="308"/>
      <c r="G268" s="308"/>
      <c r="H268" s="308"/>
      <c r="I268" s="308"/>
      <c r="J268" s="308"/>
      <c r="K268" s="308"/>
      <c r="L268" s="308"/>
      <c r="M268" s="308"/>
      <c r="N268" s="308"/>
      <c r="O268" s="308"/>
      <c r="P268" s="308"/>
      <c r="Q268" s="308"/>
      <c r="R268" s="308"/>
      <c r="S268" s="308"/>
      <c r="T268" s="308"/>
      <c r="U268" s="308"/>
      <c r="V268" s="308"/>
      <c r="W268" s="308"/>
      <c r="X268" s="308"/>
      <c r="Y268" s="308"/>
      <c r="Z268" s="308"/>
      <c r="AA268" s="308"/>
      <c r="AB268" s="308"/>
      <c r="AC268" s="308"/>
      <c r="AD268" s="308"/>
      <c r="AE268" s="308"/>
      <c r="AF268" s="308"/>
      <c r="AG268" s="308"/>
      <c r="AH268" s="308"/>
      <c r="AI268" s="308"/>
      <c r="AJ268" s="308"/>
      <c r="AK268" s="308"/>
      <c r="AL268" s="308"/>
      <c r="AM268" s="308"/>
      <c r="AN268" s="308"/>
      <c r="AO268" s="308"/>
      <c r="AP268" s="308"/>
      <c r="AQ268" s="308"/>
      <c r="AR268" s="308"/>
    </row>
    <row r="269" spans="1:44" ht="16.5">
      <c r="A269" s="308"/>
      <c r="B269" s="308"/>
      <c r="C269" s="308"/>
      <c r="D269" s="308"/>
      <c r="E269" s="309"/>
      <c r="F269" s="308"/>
      <c r="G269" s="308"/>
      <c r="H269" s="308"/>
      <c r="I269" s="308"/>
      <c r="J269" s="308"/>
      <c r="K269" s="308"/>
      <c r="L269" s="308"/>
      <c r="M269" s="308"/>
      <c r="N269" s="308"/>
      <c r="O269" s="308"/>
      <c r="P269" s="308"/>
      <c r="Q269" s="308"/>
      <c r="R269" s="308"/>
      <c r="S269" s="308"/>
      <c r="T269" s="308"/>
      <c r="U269" s="308"/>
      <c r="V269" s="308"/>
      <c r="W269" s="308"/>
      <c r="X269" s="308"/>
      <c r="Y269" s="308"/>
      <c r="Z269" s="308"/>
      <c r="AA269" s="308"/>
      <c r="AB269" s="308"/>
      <c r="AC269" s="308"/>
      <c r="AD269" s="308"/>
      <c r="AE269" s="308"/>
      <c r="AF269" s="308"/>
      <c r="AG269" s="308"/>
      <c r="AH269" s="308"/>
      <c r="AI269" s="308"/>
      <c r="AJ269" s="308"/>
      <c r="AK269" s="308"/>
      <c r="AL269" s="308"/>
      <c r="AM269" s="308"/>
      <c r="AN269" s="308"/>
      <c r="AO269" s="308"/>
      <c r="AP269" s="308"/>
      <c r="AQ269" s="308"/>
      <c r="AR269" s="308"/>
    </row>
    <row r="270" spans="1:44" ht="16.5">
      <c r="A270" s="308"/>
      <c r="B270" s="308"/>
      <c r="C270" s="308"/>
      <c r="D270" s="308"/>
      <c r="E270" s="309"/>
      <c r="F270" s="308"/>
      <c r="G270" s="308"/>
      <c r="H270" s="308"/>
      <c r="I270" s="308"/>
      <c r="J270" s="308"/>
      <c r="K270" s="308"/>
      <c r="L270" s="308"/>
      <c r="M270" s="308"/>
      <c r="N270" s="308"/>
      <c r="O270" s="308"/>
      <c r="P270" s="308"/>
      <c r="Q270" s="308"/>
      <c r="R270" s="308"/>
      <c r="S270" s="308"/>
      <c r="T270" s="308"/>
      <c r="U270" s="308"/>
      <c r="V270" s="308"/>
      <c r="W270" s="308"/>
      <c r="X270" s="308"/>
      <c r="Y270" s="308"/>
      <c r="Z270" s="308"/>
      <c r="AA270" s="308"/>
      <c r="AB270" s="308"/>
      <c r="AC270" s="308"/>
      <c r="AD270" s="308"/>
      <c r="AE270" s="308"/>
      <c r="AF270" s="308"/>
      <c r="AG270" s="308"/>
      <c r="AH270" s="308"/>
      <c r="AI270" s="308"/>
      <c r="AJ270" s="308"/>
      <c r="AK270" s="308"/>
      <c r="AL270" s="308"/>
      <c r="AM270" s="308"/>
      <c r="AN270" s="308"/>
      <c r="AO270" s="308"/>
      <c r="AP270" s="308"/>
      <c r="AQ270" s="308"/>
      <c r="AR270" s="308"/>
    </row>
    <row r="271" spans="1:44" ht="16.5">
      <c r="A271" s="308"/>
      <c r="B271" s="308"/>
      <c r="C271" s="308"/>
      <c r="D271" s="308"/>
      <c r="E271" s="309"/>
      <c r="F271" s="308"/>
      <c r="G271" s="308"/>
      <c r="H271" s="308"/>
      <c r="I271" s="308"/>
      <c r="J271" s="308"/>
      <c r="K271" s="308"/>
      <c r="L271" s="308"/>
      <c r="M271" s="308"/>
      <c r="N271" s="308"/>
      <c r="O271" s="308"/>
      <c r="P271" s="308"/>
      <c r="Q271" s="308"/>
      <c r="R271" s="308"/>
      <c r="S271" s="308"/>
      <c r="T271" s="308"/>
      <c r="U271" s="308"/>
      <c r="V271" s="308"/>
      <c r="W271" s="308"/>
      <c r="X271" s="308"/>
      <c r="Y271" s="308"/>
      <c r="Z271" s="308"/>
      <c r="AA271" s="308"/>
      <c r="AB271" s="308"/>
      <c r="AC271" s="308"/>
      <c r="AD271" s="308"/>
      <c r="AE271" s="308"/>
      <c r="AF271" s="308"/>
      <c r="AG271" s="308"/>
      <c r="AH271" s="308"/>
      <c r="AI271" s="308"/>
      <c r="AJ271" s="308"/>
      <c r="AK271" s="308"/>
      <c r="AL271" s="308"/>
      <c r="AM271" s="308"/>
      <c r="AN271" s="308"/>
      <c r="AO271" s="308"/>
      <c r="AP271" s="308"/>
      <c r="AQ271" s="308"/>
      <c r="AR271" s="308"/>
    </row>
    <row r="272" spans="1:44" ht="16.5">
      <c r="A272" s="308"/>
      <c r="B272" s="308"/>
      <c r="C272" s="308"/>
      <c r="D272" s="308"/>
      <c r="E272" s="309"/>
      <c r="F272" s="308"/>
      <c r="G272" s="308"/>
      <c r="H272" s="308"/>
      <c r="I272" s="308"/>
      <c r="J272" s="308"/>
      <c r="K272" s="308"/>
      <c r="L272" s="308"/>
      <c r="M272" s="308"/>
      <c r="N272" s="308"/>
      <c r="O272" s="308"/>
      <c r="P272" s="308"/>
      <c r="Q272" s="308"/>
      <c r="R272" s="308"/>
      <c r="S272" s="308"/>
      <c r="T272" s="308"/>
      <c r="U272" s="308"/>
      <c r="V272" s="308"/>
      <c r="W272" s="308"/>
      <c r="X272" s="308"/>
      <c r="Y272" s="308"/>
      <c r="Z272" s="308"/>
      <c r="AA272" s="308"/>
      <c r="AB272" s="308"/>
      <c r="AC272" s="308"/>
      <c r="AD272" s="308"/>
      <c r="AE272" s="308"/>
      <c r="AF272" s="308"/>
      <c r="AG272" s="308"/>
      <c r="AH272" s="308"/>
      <c r="AI272" s="308"/>
      <c r="AJ272" s="308"/>
      <c r="AK272" s="308"/>
      <c r="AL272" s="308"/>
      <c r="AM272" s="308"/>
      <c r="AN272" s="308"/>
      <c r="AO272" s="308"/>
      <c r="AP272" s="308"/>
      <c r="AQ272" s="308"/>
      <c r="AR272" s="308"/>
    </row>
    <row r="273" spans="1:44" ht="16.5">
      <c r="A273" s="308"/>
      <c r="B273" s="308"/>
      <c r="C273" s="308"/>
      <c r="D273" s="308"/>
      <c r="E273" s="309"/>
      <c r="F273" s="308"/>
      <c r="G273" s="308"/>
      <c r="H273" s="308"/>
      <c r="I273" s="308"/>
      <c r="J273" s="308"/>
      <c r="K273" s="308"/>
      <c r="L273" s="308"/>
      <c r="M273" s="308"/>
      <c r="N273" s="308"/>
      <c r="O273" s="308"/>
      <c r="P273" s="308"/>
      <c r="Q273" s="308"/>
      <c r="R273" s="308"/>
      <c r="S273" s="308"/>
      <c r="T273" s="308"/>
      <c r="U273" s="308"/>
      <c r="V273" s="308"/>
      <c r="W273" s="308"/>
      <c r="X273" s="308"/>
      <c r="Y273" s="308"/>
      <c r="Z273" s="308"/>
      <c r="AA273" s="308"/>
      <c r="AB273" s="308"/>
      <c r="AC273" s="308"/>
      <c r="AD273" s="308"/>
      <c r="AE273" s="308"/>
      <c r="AF273" s="308"/>
      <c r="AG273" s="308"/>
      <c r="AH273" s="308"/>
      <c r="AI273" s="308"/>
      <c r="AJ273" s="308"/>
      <c r="AK273" s="308"/>
      <c r="AL273" s="308"/>
      <c r="AM273" s="308"/>
      <c r="AN273" s="308"/>
      <c r="AO273" s="308"/>
      <c r="AP273" s="308"/>
      <c r="AQ273" s="308"/>
      <c r="AR273" s="308"/>
    </row>
    <row r="274" spans="1:44" ht="16.5">
      <c r="A274" s="308"/>
      <c r="B274" s="308"/>
      <c r="C274" s="308"/>
      <c r="D274" s="308"/>
      <c r="E274" s="309"/>
      <c r="F274" s="308"/>
      <c r="G274" s="308"/>
      <c r="H274" s="308"/>
      <c r="I274" s="308"/>
      <c r="J274" s="308"/>
      <c r="K274" s="308"/>
      <c r="L274" s="308"/>
      <c r="M274" s="308"/>
      <c r="N274" s="308"/>
      <c r="O274" s="308"/>
      <c r="P274" s="308"/>
      <c r="Q274" s="308"/>
      <c r="R274" s="308"/>
      <c r="S274" s="308"/>
      <c r="T274" s="308"/>
      <c r="U274" s="308"/>
      <c r="V274" s="308"/>
      <c r="W274" s="308"/>
      <c r="X274" s="308"/>
      <c r="Y274" s="308"/>
      <c r="Z274" s="308"/>
      <c r="AA274" s="308"/>
      <c r="AB274" s="308"/>
      <c r="AC274" s="308"/>
      <c r="AD274" s="308"/>
      <c r="AE274" s="308"/>
      <c r="AF274" s="308"/>
      <c r="AG274" s="308"/>
      <c r="AH274" s="308"/>
      <c r="AI274" s="308"/>
      <c r="AJ274" s="308"/>
      <c r="AK274" s="308"/>
      <c r="AL274" s="308"/>
      <c r="AM274" s="308"/>
      <c r="AN274" s="308"/>
      <c r="AO274" s="308"/>
      <c r="AP274" s="308"/>
      <c r="AQ274" s="308"/>
      <c r="AR274" s="308"/>
    </row>
    <row r="275" spans="1:44" ht="16.5">
      <c r="A275" s="308"/>
      <c r="B275" s="308"/>
      <c r="C275" s="308"/>
      <c r="D275" s="308"/>
      <c r="E275" s="309"/>
      <c r="F275" s="308"/>
      <c r="G275" s="308"/>
      <c r="H275" s="308"/>
      <c r="I275" s="308"/>
      <c r="J275" s="308"/>
      <c r="K275" s="308"/>
      <c r="L275" s="308"/>
      <c r="M275" s="308"/>
      <c r="N275" s="308"/>
      <c r="O275" s="308"/>
      <c r="P275" s="308"/>
      <c r="Q275" s="308"/>
      <c r="R275" s="308"/>
      <c r="S275" s="308"/>
      <c r="T275" s="308"/>
      <c r="U275" s="308"/>
      <c r="V275" s="308"/>
      <c r="W275" s="308"/>
      <c r="X275" s="308"/>
      <c r="Y275" s="308"/>
      <c r="Z275" s="308"/>
      <c r="AA275" s="308"/>
      <c r="AB275" s="308"/>
      <c r="AC275" s="308"/>
      <c r="AD275" s="308"/>
      <c r="AE275" s="308"/>
      <c r="AF275" s="308"/>
      <c r="AG275" s="308"/>
      <c r="AH275" s="308"/>
      <c r="AI275" s="308"/>
      <c r="AJ275" s="308"/>
      <c r="AK275" s="308"/>
      <c r="AL275" s="308"/>
      <c r="AM275" s="308"/>
      <c r="AN275" s="308"/>
      <c r="AO275" s="308"/>
      <c r="AP275" s="308"/>
      <c r="AQ275" s="308"/>
      <c r="AR275" s="308"/>
    </row>
    <row r="276" spans="1:44" ht="16.5">
      <c r="A276" s="308"/>
      <c r="B276" s="308"/>
      <c r="C276" s="308"/>
      <c r="D276" s="308"/>
      <c r="E276" s="309"/>
      <c r="F276" s="308"/>
      <c r="G276" s="308"/>
      <c r="H276" s="308"/>
      <c r="I276" s="308"/>
      <c r="J276" s="308"/>
      <c r="K276" s="308"/>
      <c r="L276" s="308"/>
      <c r="M276" s="308"/>
      <c r="N276" s="308"/>
      <c r="O276" s="308"/>
      <c r="P276" s="308"/>
      <c r="Q276" s="308"/>
      <c r="R276" s="308"/>
      <c r="S276" s="308"/>
      <c r="T276" s="308"/>
      <c r="U276" s="308"/>
      <c r="V276" s="308"/>
      <c r="W276" s="308"/>
      <c r="X276" s="308"/>
      <c r="Y276" s="308"/>
      <c r="Z276" s="308"/>
      <c r="AA276" s="308"/>
      <c r="AB276" s="308"/>
      <c r="AC276" s="308"/>
      <c r="AD276" s="308"/>
      <c r="AE276" s="308"/>
      <c r="AF276" s="308"/>
      <c r="AG276" s="308"/>
      <c r="AH276" s="308"/>
      <c r="AI276" s="308"/>
      <c r="AJ276" s="308"/>
      <c r="AK276" s="308"/>
      <c r="AL276" s="308"/>
      <c r="AM276" s="308"/>
      <c r="AN276" s="308"/>
      <c r="AO276" s="308"/>
      <c r="AP276" s="308"/>
      <c r="AQ276" s="308"/>
      <c r="AR276" s="308"/>
    </row>
    <row r="277" spans="1:44" ht="16.5">
      <c r="A277" s="308"/>
      <c r="B277" s="308"/>
      <c r="C277" s="308"/>
      <c r="D277" s="308"/>
      <c r="E277" s="309"/>
      <c r="F277" s="308"/>
      <c r="G277" s="308"/>
      <c r="H277" s="308"/>
      <c r="I277" s="308"/>
      <c r="J277" s="308"/>
      <c r="K277" s="308"/>
      <c r="L277" s="308"/>
      <c r="M277" s="308"/>
      <c r="N277" s="308"/>
      <c r="O277" s="308"/>
      <c r="P277" s="308"/>
      <c r="Q277" s="308"/>
      <c r="R277" s="308"/>
      <c r="S277" s="308"/>
      <c r="T277" s="308"/>
      <c r="U277" s="308"/>
      <c r="V277" s="308"/>
      <c r="W277" s="308"/>
      <c r="X277" s="308"/>
      <c r="Y277" s="308"/>
      <c r="Z277" s="308"/>
      <c r="AA277" s="308"/>
      <c r="AB277" s="308"/>
      <c r="AC277" s="308"/>
      <c r="AD277" s="308"/>
      <c r="AE277" s="308"/>
      <c r="AF277" s="308"/>
      <c r="AG277" s="308"/>
      <c r="AH277" s="308"/>
      <c r="AI277" s="308"/>
      <c r="AJ277" s="308"/>
      <c r="AK277" s="308"/>
      <c r="AL277" s="308"/>
      <c r="AM277" s="308"/>
      <c r="AN277" s="308"/>
      <c r="AO277" s="308"/>
      <c r="AP277" s="308"/>
      <c r="AQ277" s="308"/>
      <c r="AR277" s="308"/>
    </row>
    <row r="278" spans="1:44" ht="16.5">
      <c r="A278" s="308"/>
      <c r="B278" s="308"/>
      <c r="C278" s="308"/>
      <c r="D278" s="308"/>
      <c r="E278" s="309"/>
      <c r="F278" s="308"/>
      <c r="G278" s="308"/>
      <c r="H278" s="308"/>
      <c r="I278" s="308"/>
      <c r="J278" s="308"/>
      <c r="K278" s="308"/>
      <c r="L278" s="308"/>
      <c r="M278" s="308"/>
      <c r="N278" s="308"/>
      <c r="O278" s="308"/>
      <c r="P278" s="308"/>
      <c r="Q278" s="308"/>
      <c r="R278" s="308"/>
      <c r="S278" s="308"/>
      <c r="T278" s="308"/>
      <c r="U278" s="308"/>
      <c r="V278" s="308"/>
      <c r="W278" s="308"/>
      <c r="X278" s="308"/>
      <c r="Y278" s="308"/>
      <c r="Z278" s="308"/>
      <c r="AA278" s="308"/>
      <c r="AB278" s="308"/>
      <c r="AC278" s="308"/>
      <c r="AD278" s="308"/>
      <c r="AE278" s="308"/>
      <c r="AF278" s="308"/>
      <c r="AG278" s="308"/>
      <c r="AH278" s="308"/>
      <c r="AI278" s="308"/>
      <c r="AJ278" s="308"/>
      <c r="AK278" s="308"/>
      <c r="AL278" s="308"/>
      <c r="AM278" s="308"/>
      <c r="AN278" s="308"/>
      <c r="AO278" s="308"/>
      <c r="AP278" s="308"/>
      <c r="AQ278" s="308"/>
      <c r="AR278" s="308"/>
    </row>
    <row r="279" spans="1:44" ht="16.5">
      <c r="A279" s="308"/>
      <c r="B279" s="308"/>
      <c r="C279" s="308"/>
      <c r="D279" s="308"/>
      <c r="E279" s="309"/>
      <c r="F279" s="308"/>
      <c r="G279" s="308"/>
      <c r="H279" s="308"/>
      <c r="I279" s="308"/>
      <c r="J279" s="308"/>
      <c r="K279" s="308"/>
      <c r="L279" s="308"/>
      <c r="M279" s="308"/>
      <c r="N279" s="308"/>
      <c r="O279" s="308"/>
      <c r="P279" s="308"/>
      <c r="Q279" s="308"/>
      <c r="R279" s="308"/>
      <c r="S279" s="308"/>
      <c r="T279" s="308"/>
      <c r="U279" s="308"/>
      <c r="V279" s="308"/>
      <c r="W279" s="308"/>
      <c r="X279" s="308"/>
      <c r="Y279" s="308"/>
      <c r="Z279" s="308"/>
      <c r="AA279" s="308"/>
      <c r="AB279" s="308"/>
      <c r="AC279" s="308"/>
      <c r="AD279" s="308"/>
      <c r="AE279" s="308"/>
      <c r="AF279" s="308"/>
      <c r="AG279" s="308"/>
      <c r="AH279" s="308"/>
      <c r="AI279" s="308"/>
      <c r="AJ279" s="308"/>
      <c r="AK279" s="308"/>
      <c r="AL279" s="308"/>
      <c r="AM279" s="308"/>
      <c r="AN279" s="308"/>
      <c r="AO279" s="308"/>
      <c r="AP279" s="308"/>
      <c r="AQ279" s="308"/>
      <c r="AR279" s="308"/>
    </row>
    <row r="280" spans="1:44" ht="16.5">
      <c r="A280" s="308"/>
      <c r="B280" s="308"/>
      <c r="C280" s="308"/>
      <c r="D280" s="308"/>
      <c r="E280" s="309"/>
      <c r="F280" s="308"/>
      <c r="G280" s="308"/>
      <c r="H280" s="308"/>
      <c r="I280" s="308"/>
      <c r="J280" s="308"/>
      <c r="K280" s="308"/>
      <c r="L280" s="308"/>
      <c r="M280" s="308"/>
      <c r="N280" s="308"/>
      <c r="O280" s="308"/>
      <c r="P280" s="308"/>
      <c r="Q280" s="308"/>
      <c r="R280" s="308"/>
      <c r="S280" s="308"/>
      <c r="T280" s="308"/>
      <c r="U280" s="308"/>
      <c r="V280" s="308"/>
      <c r="W280" s="308"/>
      <c r="X280" s="308"/>
      <c r="Y280" s="308"/>
      <c r="Z280" s="308"/>
      <c r="AA280" s="308"/>
      <c r="AB280" s="308"/>
      <c r="AC280" s="308"/>
      <c r="AD280" s="308"/>
      <c r="AE280" s="308"/>
      <c r="AF280" s="308"/>
      <c r="AG280" s="308"/>
      <c r="AH280" s="308"/>
      <c r="AI280" s="308"/>
      <c r="AJ280" s="308"/>
      <c r="AK280" s="308"/>
      <c r="AL280" s="308"/>
      <c r="AM280" s="308"/>
      <c r="AN280" s="308"/>
      <c r="AO280" s="308"/>
      <c r="AP280" s="308"/>
      <c r="AQ280" s="308"/>
      <c r="AR280" s="308"/>
    </row>
    <row r="281" spans="1:44" ht="16.5">
      <c r="A281" s="308"/>
      <c r="B281" s="308"/>
      <c r="C281" s="308"/>
      <c r="D281" s="308"/>
      <c r="E281" s="309"/>
      <c r="F281" s="308"/>
      <c r="G281" s="308"/>
      <c r="H281" s="308"/>
      <c r="I281" s="308"/>
      <c r="J281" s="308"/>
      <c r="K281" s="308"/>
      <c r="L281" s="308"/>
      <c r="M281" s="308"/>
      <c r="N281" s="308"/>
      <c r="O281" s="308"/>
      <c r="P281" s="308"/>
      <c r="Q281" s="308"/>
      <c r="R281" s="308"/>
      <c r="S281" s="308"/>
      <c r="T281" s="308"/>
      <c r="U281" s="308"/>
      <c r="V281" s="308"/>
      <c r="W281" s="308"/>
      <c r="X281" s="308"/>
      <c r="Y281" s="308"/>
      <c r="Z281" s="308"/>
      <c r="AA281" s="308"/>
      <c r="AB281" s="308"/>
      <c r="AC281" s="308"/>
      <c r="AD281" s="308"/>
      <c r="AE281" s="308"/>
      <c r="AF281" s="308"/>
      <c r="AG281" s="308"/>
      <c r="AH281" s="308"/>
      <c r="AI281" s="308"/>
      <c r="AJ281" s="308"/>
      <c r="AK281" s="308"/>
      <c r="AL281" s="308"/>
      <c r="AM281" s="308"/>
      <c r="AN281" s="308"/>
      <c r="AO281" s="308"/>
      <c r="AP281" s="308"/>
      <c r="AQ281" s="308"/>
      <c r="AR281" s="308"/>
    </row>
    <row r="282" spans="1:44" ht="16.5">
      <c r="A282" s="308"/>
      <c r="B282" s="308"/>
      <c r="C282" s="308"/>
      <c r="D282" s="308"/>
      <c r="E282" s="309"/>
      <c r="F282" s="308"/>
      <c r="G282" s="308"/>
      <c r="H282" s="308"/>
      <c r="I282" s="308"/>
      <c r="J282" s="308"/>
      <c r="K282" s="308"/>
      <c r="L282" s="308"/>
      <c r="M282" s="308"/>
      <c r="N282" s="308"/>
      <c r="O282" s="308"/>
      <c r="P282" s="308"/>
      <c r="Q282" s="308"/>
      <c r="R282" s="308"/>
      <c r="S282" s="308"/>
      <c r="T282" s="308"/>
      <c r="U282" s="308"/>
      <c r="V282" s="308"/>
      <c r="W282" s="308"/>
      <c r="X282" s="308"/>
      <c r="Y282" s="308"/>
      <c r="Z282" s="308"/>
      <c r="AA282" s="308"/>
      <c r="AB282" s="308"/>
      <c r="AC282" s="308"/>
      <c r="AD282" s="308"/>
      <c r="AE282" s="308"/>
      <c r="AF282" s="308"/>
      <c r="AG282" s="308"/>
      <c r="AH282" s="308"/>
      <c r="AI282" s="308"/>
      <c r="AJ282" s="308"/>
      <c r="AK282" s="308"/>
      <c r="AL282" s="308"/>
      <c r="AM282" s="308"/>
      <c r="AN282" s="308"/>
      <c r="AO282" s="308"/>
      <c r="AP282" s="308"/>
      <c r="AQ282" s="308"/>
      <c r="AR282" s="308"/>
    </row>
    <row r="283" spans="1:44" ht="16.5">
      <c r="A283" s="308"/>
      <c r="B283" s="308"/>
      <c r="C283" s="308"/>
      <c r="D283" s="308"/>
      <c r="E283" s="309"/>
      <c r="F283" s="308"/>
      <c r="G283" s="308"/>
      <c r="H283" s="308"/>
      <c r="I283" s="308"/>
      <c r="J283" s="308"/>
      <c r="K283" s="308"/>
      <c r="L283" s="308"/>
      <c r="M283" s="308"/>
      <c r="N283" s="308"/>
      <c r="O283" s="308"/>
      <c r="P283" s="308"/>
      <c r="Q283" s="308"/>
      <c r="R283" s="308"/>
      <c r="S283" s="308"/>
      <c r="T283" s="308"/>
      <c r="U283" s="308"/>
      <c r="V283" s="308"/>
      <c r="W283" s="308"/>
      <c r="X283" s="308"/>
      <c r="Y283" s="308"/>
      <c r="Z283" s="308"/>
      <c r="AA283" s="308"/>
      <c r="AB283" s="308"/>
      <c r="AC283" s="308"/>
      <c r="AD283" s="308"/>
      <c r="AE283" s="308"/>
      <c r="AF283" s="308"/>
      <c r="AG283" s="308"/>
      <c r="AH283" s="308"/>
      <c r="AI283" s="308"/>
      <c r="AJ283" s="308"/>
      <c r="AK283" s="308"/>
      <c r="AL283" s="308"/>
      <c r="AM283" s="308"/>
      <c r="AN283" s="308"/>
      <c r="AO283" s="308"/>
      <c r="AP283" s="308"/>
      <c r="AQ283" s="308"/>
      <c r="AR283" s="308"/>
    </row>
    <row r="284" spans="1:44" ht="16.5">
      <c r="A284" s="308"/>
      <c r="B284" s="308"/>
      <c r="C284" s="308"/>
      <c r="D284" s="308"/>
      <c r="E284" s="309"/>
      <c r="F284" s="308"/>
      <c r="G284" s="308"/>
      <c r="H284" s="308"/>
      <c r="I284" s="308"/>
      <c r="J284" s="308"/>
      <c r="K284" s="308"/>
      <c r="L284" s="308"/>
      <c r="M284" s="308"/>
      <c r="N284" s="308"/>
      <c r="O284" s="308"/>
      <c r="P284" s="308"/>
      <c r="Q284" s="308"/>
      <c r="R284" s="308"/>
      <c r="S284" s="308"/>
      <c r="T284" s="308"/>
      <c r="U284" s="308"/>
      <c r="V284" s="308"/>
      <c r="W284" s="308"/>
      <c r="X284" s="308"/>
      <c r="Y284" s="308"/>
      <c r="Z284" s="308"/>
      <c r="AA284" s="308"/>
      <c r="AB284" s="308"/>
      <c r="AC284" s="308"/>
      <c r="AD284" s="308"/>
      <c r="AE284" s="308"/>
      <c r="AF284" s="308"/>
      <c r="AG284" s="308"/>
      <c r="AH284" s="308"/>
      <c r="AI284" s="308"/>
      <c r="AJ284" s="308"/>
      <c r="AK284" s="308"/>
      <c r="AL284" s="308"/>
      <c r="AM284" s="308"/>
      <c r="AN284" s="308"/>
      <c r="AO284" s="308"/>
      <c r="AP284" s="308"/>
      <c r="AQ284" s="308"/>
      <c r="AR284" s="308"/>
    </row>
    <row r="285" spans="1:44" ht="16.5">
      <c r="A285" s="308"/>
      <c r="B285" s="308"/>
      <c r="C285" s="308"/>
      <c r="D285" s="308"/>
      <c r="E285" s="309"/>
      <c r="F285" s="308"/>
      <c r="G285" s="308"/>
      <c r="H285" s="308"/>
      <c r="I285" s="308"/>
      <c r="J285" s="308"/>
      <c r="K285" s="308"/>
      <c r="L285" s="308"/>
      <c r="M285" s="308"/>
      <c r="N285" s="308"/>
      <c r="O285" s="308"/>
      <c r="P285" s="308"/>
      <c r="Q285" s="308"/>
      <c r="R285" s="308"/>
      <c r="S285" s="308"/>
      <c r="T285" s="308"/>
      <c r="U285" s="308"/>
      <c r="V285" s="308"/>
      <c r="W285" s="308"/>
      <c r="X285" s="308"/>
      <c r="Y285" s="308"/>
      <c r="Z285" s="308"/>
      <c r="AA285" s="308"/>
      <c r="AB285" s="308"/>
      <c r="AC285" s="308"/>
      <c r="AD285" s="308"/>
      <c r="AE285" s="308"/>
      <c r="AF285" s="308"/>
      <c r="AG285" s="308"/>
      <c r="AH285" s="308"/>
      <c r="AI285" s="308"/>
      <c r="AJ285" s="308"/>
      <c r="AK285" s="308"/>
      <c r="AL285" s="308"/>
      <c r="AM285" s="308"/>
      <c r="AN285" s="308"/>
      <c r="AO285" s="308"/>
      <c r="AP285" s="308"/>
      <c r="AQ285" s="308"/>
      <c r="AR285" s="308"/>
    </row>
    <row r="286" spans="1:44" ht="16.5">
      <c r="A286" s="308"/>
      <c r="B286" s="308"/>
      <c r="C286" s="308"/>
      <c r="D286" s="308"/>
      <c r="E286" s="309"/>
      <c r="F286" s="308"/>
      <c r="G286" s="308"/>
      <c r="H286" s="308"/>
      <c r="I286" s="308"/>
      <c r="J286" s="308"/>
      <c r="K286" s="308"/>
      <c r="L286" s="308"/>
      <c r="M286" s="308"/>
      <c r="N286" s="308"/>
      <c r="O286" s="308"/>
      <c r="P286" s="308"/>
      <c r="Q286" s="308"/>
      <c r="R286" s="308"/>
      <c r="S286" s="308"/>
      <c r="T286" s="308"/>
      <c r="U286" s="308"/>
      <c r="V286" s="308"/>
      <c r="W286" s="308"/>
      <c r="X286" s="308"/>
      <c r="Y286" s="308"/>
      <c r="Z286" s="308"/>
      <c r="AA286" s="308"/>
      <c r="AB286" s="308"/>
      <c r="AC286" s="308"/>
      <c r="AD286" s="308"/>
      <c r="AE286" s="308"/>
      <c r="AF286" s="308"/>
      <c r="AG286" s="308"/>
      <c r="AH286" s="308"/>
      <c r="AI286" s="308"/>
      <c r="AJ286" s="308"/>
      <c r="AK286" s="308"/>
      <c r="AL286" s="308"/>
      <c r="AM286" s="308"/>
      <c r="AN286" s="308"/>
      <c r="AO286" s="308"/>
      <c r="AP286" s="308"/>
      <c r="AQ286" s="308"/>
      <c r="AR286" s="308"/>
    </row>
    <row r="287" spans="1:44" ht="16.5">
      <c r="A287" s="308"/>
      <c r="B287" s="308"/>
      <c r="C287" s="308"/>
      <c r="D287" s="308"/>
      <c r="E287" s="309"/>
      <c r="F287" s="308"/>
      <c r="G287" s="308"/>
      <c r="H287" s="308"/>
      <c r="I287" s="308"/>
      <c r="J287" s="308"/>
      <c r="K287" s="308"/>
      <c r="L287" s="308"/>
      <c r="M287" s="308"/>
      <c r="N287" s="308"/>
      <c r="O287" s="308"/>
      <c r="P287" s="308"/>
      <c r="Q287" s="308"/>
      <c r="R287" s="308"/>
      <c r="S287" s="308"/>
      <c r="T287" s="308"/>
      <c r="U287" s="308"/>
      <c r="V287" s="308"/>
      <c r="W287" s="308"/>
      <c r="X287" s="308"/>
      <c r="Y287" s="308"/>
      <c r="Z287" s="308"/>
      <c r="AA287" s="308"/>
      <c r="AB287" s="308"/>
      <c r="AC287" s="308"/>
      <c r="AD287" s="308"/>
      <c r="AE287" s="308"/>
      <c r="AF287" s="308"/>
      <c r="AG287" s="308"/>
      <c r="AH287" s="308"/>
      <c r="AI287" s="308"/>
      <c r="AJ287" s="308"/>
      <c r="AK287" s="308"/>
      <c r="AL287" s="308"/>
      <c r="AM287" s="308"/>
      <c r="AN287" s="308"/>
      <c r="AO287" s="308"/>
      <c r="AP287" s="308"/>
      <c r="AQ287" s="308"/>
      <c r="AR287" s="308"/>
    </row>
    <row r="288" spans="1:44" ht="16.5">
      <c r="A288" s="308"/>
      <c r="B288" s="308"/>
      <c r="C288" s="308"/>
      <c r="D288" s="308"/>
      <c r="E288" s="309"/>
      <c r="F288" s="308"/>
      <c r="G288" s="308"/>
      <c r="H288" s="308"/>
      <c r="I288" s="308"/>
      <c r="J288" s="308"/>
      <c r="K288" s="308"/>
      <c r="L288" s="308"/>
      <c r="M288" s="308"/>
      <c r="N288" s="308"/>
      <c r="O288" s="308"/>
      <c r="P288" s="308"/>
      <c r="Q288" s="308"/>
      <c r="R288" s="308"/>
      <c r="S288" s="308"/>
      <c r="T288" s="308"/>
      <c r="U288" s="308"/>
      <c r="V288" s="308"/>
      <c r="W288" s="308"/>
      <c r="X288" s="308"/>
      <c r="Y288" s="308"/>
      <c r="Z288" s="308"/>
      <c r="AA288" s="308"/>
      <c r="AB288" s="308"/>
      <c r="AC288" s="308"/>
      <c r="AD288" s="308"/>
      <c r="AE288" s="308"/>
      <c r="AF288" s="308"/>
      <c r="AG288" s="308"/>
      <c r="AH288" s="308"/>
      <c r="AI288" s="308"/>
      <c r="AJ288" s="308"/>
      <c r="AK288" s="308"/>
      <c r="AL288" s="308"/>
      <c r="AM288" s="308"/>
      <c r="AN288" s="308"/>
      <c r="AO288" s="308"/>
      <c r="AP288" s="308"/>
      <c r="AQ288" s="308"/>
      <c r="AR288" s="308"/>
    </row>
    <row r="289" spans="1:44" ht="16.5">
      <c r="A289" s="308"/>
      <c r="B289" s="308"/>
      <c r="C289" s="308"/>
      <c r="D289" s="308"/>
      <c r="E289" s="309"/>
      <c r="F289" s="308"/>
      <c r="G289" s="308"/>
      <c r="H289" s="308"/>
      <c r="I289" s="308"/>
      <c r="J289" s="308"/>
      <c r="K289" s="308"/>
      <c r="L289" s="308"/>
      <c r="M289" s="308"/>
      <c r="N289" s="308"/>
      <c r="O289" s="308"/>
      <c r="P289" s="308"/>
      <c r="Q289" s="308"/>
      <c r="R289" s="308"/>
      <c r="S289" s="308"/>
      <c r="T289" s="308"/>
      <c r="U289" s="308"/>
      <c r="V289" s="308"/>
      <c r="W289" s="308"/>
      <c r="X289" s="308"/>
      <c r="Y289" s="308"/>
      <c r="Z289" s="308"/>
      <c r="AA289" s="308"/>
      <c r="AB289" s="308"/>
      <c r="AC289" s="308"/>
      <c r="AD289" s="308"/>
      <c r="AE289" s="308"/>
      <c r="AF289" s="308"/>
      <c r="AG289" s="308"/>
      <c r="AH289" s="308"/>
      <c r="AI289" s="308"/>
      <c r="AJ289" s="308"/>
      <c r="AK289" s="308"/>
      <c r="AL289" s="308"/>
      <c r="AM289" s="308"/>
      <c r="AN289" s="308"/>
      <c r="AO289" s="308"/>
      <c r="AP289" s="308"/>
      <c r="AQ289" s="308"/>
      <c r="AR289" s="308"/>
    </row>
    <row r="290" spans="1:44" ht="16.5">
      <c r="A290" s="308"/>
      <c r="B290" s="308"/>
      <c r="C290" s="308"/>
      <c r="D290" s="308"/>
      <c r="E290" s="309"/>
      <c r="F290" s="308"/>
      <c r="G290" s="308"/>
      <c r="H290" s="308"/>
      <c r="I290" s="308"/>
      <c r="J290" s="308"/>
      <c r="K290" s="308"/>
      <c r="L290" s="308"/>
      <c r="M290" s="308"/>
      <c r="N290" s="308"/>
      <c r="O290" s="308"/>
      <c r="P290" s="308"/>
      <c r="Q290" s="308"/>
      <c r="R290" s="308"/>
      <c r="S290" s="308"/>
      <c r="T290" s="308"/>
      <c r="U290" s="308"/>
      <c r="V290" s="308"/>
      <c r="W290" s="308"/>
      <c r="X290" s="308"/>
      <c r="Y290" s="308"/>
      <c r="Z290" s="308"/>
      <c r="AA290" s="308"/>
      <c r="AB290" s="308"/>
      <c r="AC290" s="308"/>
      <c r="AD290" s="308"/>
      <c r="AE290" s="308"/>
      <c r="AF290" s="308"/>
      <c r="AG290" s="308"/>
      <c r="AH290" s="308"/>
      <c r="AI290" s="308"/>
      <c r="AJ290" s="308"/>
      <c r="AK290" s="308"/>
      <c r="AL290" s="308"/>
      <c r="AM290" s="308"/>
      <c r="AN290" s="308"/>
      <c r="AO290" s="308"/>
      <c r="AP290" s="308"/>
      <c r="AQ290" s="308"/>
      <c r="AR290" s="308"/>
    </row>
    <row r="291" spans="1:44" ht="16.5">
      <c r="A291" s="308"/>
      <c r="B291" s="308"/>
      <c r="C291" s="308"/>
      <c r="D291" s="308"/>
      <c r="E291" s="309"/>
      <c r="F291" s="308"/>
      <c r="G291" s="308"/>
      <c r="H291" s="308"/>
      <c r="I291" s="308"/>
      <c r="J291" s="308"/>
      <c r="K291" s="308"/>
      <c r="L291" s="308"/>
      <c r="M291" s="308"/>
      <c r="N291" s="308"/>
      <c r="O291" s="308"/>
      <c r="P291" s="308"/>
      <c r="Q291" s="308"/>
      <c r="R291" s="308"/>
      <c r="S291" s="308"/>
      <c r="T291" s="308"/>
      <c r="U291" s="308"/>
      <c r="V291" s="308"/>
      <c r="W291" s="308"/>
      <c r="X291" s="308"/>
      <c r="Y291" s="308"/>
      <c r="Z291" s="308"/>
      <c r="AA291" s="308"/>
      <c r="AB291" s="308"/>
      <c r="AC291" s="308"/>
      <c r="AD291" s="308"/>
      <c r="AE291" s="308"/>
      <c r="AF291" s="308"/>
      <c r="AG291" s="308"/>
      <c r="AH291" s="308"/>
      <c r="AI291" s="308"/>
      <c r="AJ291" s="308"/>
      <c r="AK291" s="308"/>
      <c r="AL291" s="308"/>
      <c r="AM291" s="308"/>
      <c r="AN291" s="308"/>
      <c r="AO291" s="308"/>
      <c r="AP291" s="308"/>
      <c r="AQ291" s="308"/>
      <c r="AR291" s="308"/>
    </row>
    <row r="292" spans="1:44" ht="16.5">
      <c r="A292" s="308"/>
      <c r="B292" s="308"/>
      <c r="C292" s="308"/>
      <c r="D292" s="308"/>
      <c r="E292" s="309"/>
      <c r="F292" s="308"/>
      <c r="G292" s="308"/>
      <c r="H292" s="308"/>
      <c r="I292" s="308"/>
      <c r="J292" s="308"/>
      <c r="K292" s="308"/>
      <c r="L292" s="308"/>
      <c r="M292" s="308"/>
      <c r="N292" s="308"/>
      <c r="O292" s="308"/>
      <c r="P292" s="308"/>
      <c r="Q292" s="308"/>
      <c r="R292" s="308"/>
      <c r="S292" s="308"/>
      <c r="T292" s="308"/>
      <c r="U292" s="308"/>
      <c r="V292" s="308"/>
      <c r="W292" s="308"/>
      <c r="X292" s="308"/>
      <c r="Y292" s="308"/>
      <c r="Z292" s="308"/>
      <c r="AA292" s="308"/>
      <c r="AB292" s="308"/>
      <c r="AC292" s="308"/>
      <c r="AD292" s="308"/>
      <c r="AE292" s="308"/>
      <c r="AF292" s="308"/>
      <c r="AG292" s="308"/>
      <c r="AH292" s="308"/>
      <c r="AI292" s="308"/>
      <c r="AJ292" s="308"/>
      <c r="AK292" s="308"/>
      <c r="AL292" s="308"/>
      <c r="AM292" s="308"/>
      <c r="AN292" s="308"/>
      <c r="AO292" s="308"/>
      <c r="AP292" s="308"/>
      <c r="AQ292" s="308"/>
      <c r="AR292" s="308"/>
    </row>
    <row r="293" spans="1:44" ht="16.5">
      <c r="A293" s="308"/>
      <c r="B293" s="308"/>
      <c r="C293" s="308"/>
      <c r="D293" s="308"/>
      <c r="E293" s="309"/>
      <c r="F293" s="308"/>
      <c r="G293" s="308"/>
      <c r="H293" s="308"/>
      <c r="I293" s="308"/>
      <c r="J293" s="308"/>
      <c r="K293" s="308"/>
      <c r="L293" s="308"/>
      <c r="M293" s="308"/>
      <c r="N293" s="308"/>
      <c r="O293" s="308"/>
      <c r="P293" s="308"/>
      <c r="Q293" s="308"/>
      <c r="R293" s="308"/>
      <c r="S293" s="308"/>
      <c r="T293" s="308"/>
      <c r="U293" s="308"/>
      <c r="V293" s="308"/>
      <c r="W293" s="308"/>
      <c r="X293" s="308"/>
      <c r="Y293" s="308"/>
      <c r="Z293" s="308"/>
      <c r="AA293" s="308"/>
      <c r="AB293" s="308"/>
      <c r="AC293" s="308"/>
      <c r="AD293" s="308"/>
      <c r="AE293" s="308"/>
      <c r="AF293" s="308"/>
      <c r="AG293" s="308"/>
      <c r="AH293" s="308"/>
      <c r="AI293" s="308"/>
      <c r="AJ293" s="308"/>
      <c r="AK293" s="308"/>
      <c r="AL293" s="308"/>
      <c r="AM293" s="308"/>
      <c r="AN293" s="308"/>
      <c r="AO293" s="308"/>
      <c r="AP293" s="308"/>
      <c r="AQ293" s="308"/>
      <c r="AR293" s="308"/>
    </row>
    <row r="294" spans="1:44" ht="16.5">
      <c r="A294" s="308"/>
      <c r="B294" s="308"/>
      <c r="C294" s="308"/>
      <c r="D294" s="308"/>
      <c r="E294" s="309"/>
      <c r="F294" s="308"/>
      <c r="G294" s="308"/>
      <c r="H294" s="308"/>
      <c r="I294" s="308"/>
      <c r="J294" s="308"/>
      <c r="K294" s="308"/>
      <c r="L294" s="308"/>
      <c r="M294" s="308"/>
      <c r="N294" s="308"/>
      <c r="O294" s="308"/>
      <c r="P294" s="308"/>
      <c r="Q294" s="308"/>
      <c r="R294" s="308"/>
      <c r="S294" s="308"/>
      <c r="T294" s="308"/>
      <c r="U294" s="308"/>
      <c r="V294" s="308"/>
      <c r="W294" s="308"/>
      <c r="X294" s="308"/>
      <c r="Y294" s="308"/>
      <c r="Z294" s="308"/>
      <c r="AA294" s="308"/>
      <c r="AB294" s="308"/>
      <c r="AC294" s="308"/>
      <c r="AD294" s="308"/>
      <c r="AE294" s="308"/>
      <c r="AF294" s="308"/>
      <c r="AG294" s="308"/>
      <c r="AH294" s="308"/>
      <c r="AI294" s="308"/>
      <c r="AJ294" s="308"/>
      <c r="AK294" s="308"/>
      <c r="AL294" s="308"/>
      <c r="AM294" s="308"/>
      <c r="AN294" s="308"/>
      <c r="AO294" s="308"/>
      <c r="AP294" s="308"/>
      <c r="AQ294" s="308"/>
      <c r="AR294" s="308"/>
    </row>
    <row r="295" spans="1:44" ht="16.5">
      <c r="A295" s="308"/>
      <c r="B295" s="308"/>
      <c r="C295" s="308"/>
      <c r="D295" s="308"/>
      <c r="E295" s="309"/>
      <c r="F295" s="308"/>
      <c r="G295" s="308"/>
      <c r="H295" s="308"/>
      <c r="I295" s="308"/>
      <c r="J295" s="308"/>
      <c r="K295" s="308"/>
      <c r="L295" s="308"/>
      <c r="M295" s="308"/>
      <c r="N295" s="308"/>
      <c r="O295" s="308"/>
      <c r="P295" s="308"/>
      <c r="Q295" s="308"/>
      <c r="R295" s="308"/>
      <c r="S295" s="308"/>
      <c r="T295" s="308"/>
      <c r="U295" s="308"/>
      <c r="V295" s="308"/>
      <c r="W295" s="308"/>
      <c r="X295" s="308"/>
      <c r="Y295" s="308"/>
      <c r="Z295" s="308"/>
      <c r="AA295" s="308"/>
      <c r="AB295" s="308"/>
      <c r="AC295" s="308"/>
      <c r="AD295" s="308"/>
      <c r="AE295" s="308"/>
      <c r="AF295" s="308"/>
      <c r="AG295" s="308"/>
      <c r="AH295" s="308"/>
      <c r="AI295" s="308"/>
      <c r="AJ295" s="308"/>
      <c r="AK295" s="308"/>
      <c r="AL295" s="308"/>
      <c r="AM295" s="308"/>
      <c r="AN295" s="308"/>
      <c r="AO295" s="308"/>
      <c r="AP295" s="308"/>
      <c r="AQ295" s="308"/>
      <c r="AR295" s="308"/>
    </row>
    <row r="296" spans="1:44" ht="16.5">
      <c r="A296" s="308"/>
      <c r="B296" s="308"/>
      <c r="C296" s="308"/>
      <c r="D296" s="308"/>
      <c r="E296" s="309"/>
      <c r="F296" s="308"/>
      <c r="G296" s="308"/>
      <c r="H296" s="308"/>
      <c r="I296" s="308"/>
      <c r="J296" s="308"/>
      <c r="K296" s="308"/>
      <c r="L296" s="308"/>
      <c r="M296" s="308"/>
      <c r="N296" s="308"/>
      <c r="O296" s="308"/>
      <c r="P296" s="308"/>
      <c r="Q296" s="308"/>
      <c r="R296" s="308"/>
      <c r="S296" s="308"/>
      <c r="T296" s="308"/>
      <c r="U296" s="308"/>
      <c r="V296" s="308"/>
      <c r="W296" s="308"/>
      <c r="X296" s="308"/>
      <c r="Y296" s="308"/>
      <c r="Z296" s="308"/>
      <c r="AA296" s="308"/>
      <c r="AB296" s="308"/>
      <c r="AC296" s="308"/>
      <c r="AD296" s="308"/>
      <c r="AE296" s="308"/>
      <c r="AF296" s="308"/>
      <c r="AG296" s="308"/>
      <c r="AH296" s="308"/>
      <c r="AI296" s="308"/>
      <c r="AJ296" s="308"/>
      <c r="AK296" s="308"/>
      <c r="AL296" s="308"/>
      <c r="AM296" s="308"/>
      <c r="AN296" s="308"/>
      <c r="AO296" s="308"/>
      <c r="AP296" s="308"/>
      <c r="AQ296" s="308"/>
      <c r="AR296" s="308"/>
    </row>
    <row r="297" spans="1:44" ht="16.5">
      <c r="A297" s="308"/>
      <c r="B297" s="308"/>
      <c r="C297" s="308"/>
      <c r="D297" s="308"/>
      <c r="E297" s="309"/>
      <c r="F297" s="308"/>
      <c r="G297" s="308"/>
      <c r="H297" s="308"/>
      <c r="I297" s="308"/>
      <c r="J297" s="308"/>
      <c r="K297" s="308"/>
      <c r="L297" s="308"/>
      <c r="M297" s="308"/>
      <c r="N297" s="308"/>
      <c r="O297" s="308"/>
      <c r="P297" s="308"/>
      <c r="Q297" s="308"/>
      <c r="R297" s="308"/>
      <c r="S297" s="308"/>
      <c r="T297" s="308"/>
      <c r="U297" s="308"/>
      <c r="V297" s="308"/>
      <c r="W297" s="308"/>
      <c r="X297" s="308"/>
      <c r="Y297" s="308"/>
      <c r="Z297" s="308"/>
      <c r="AA297" s="308"/>
      <c r="AB297" s="308"/>
      <c r="AC297" s="308"/>
      <c r="AD297" s="308"/>
      <c r="AE297" s="308"/>
      <c r="AF297" s="308"/>
      <c r="AG297" s="308"/>
      <c r="AH297" s="308"/>
      <c r="AI297" s="308"/>
      <c r="AJ297" s="308"/>
      <c r="AK297" s="308"/>
      <c r="AL297" s="308"/>
      <c r="AM297" s="308"/>
      <c r="AN297" s="308"/>
      <c r="AO297" s="308"/>
      <c r="AP297" s="308"/>
      <c r="AQ297" s="308"/>
      <c r="AR297" s="308"/>
    </row>
    <row r="298" spans="1:44" ht="16.5">
      <c r="A298" s="308"/>
      <c r="B298" s="308"/>
      <c r="C298" s="308"/>
      <c r="D298" s="308"/>
      <c r="E298" s="309"/>
      <c r="F298" s="308"/>
      <c r="G298" s="308"/>
      <c r="H298" s="308"/>
      <c r="I298" s="308"/>
      <c r="J298" s="308"/>
      <c r="K298" s="308"/>
      <c r="L298" s="308"/>
      <c r="M298" s="308"/>
      <c r="N298" s="308"/>
      <c r="O298" s="308"/>
      <c r="P298" s="308"/>
      <c r="Q298" s="308"/>
      <c r="R298" s="308"/>
      <c r="S298" s="308"/>
      <c r="T298" s="308"/>
      <c r="U298" s="308"/>
      <c r="V298" s="308"/>
      <c r="W298" s="308"/>
      <c r="X298" s="308"/>
      <c r="Y298" s="308"/>
      <c r="Z298" s="308"/>
      <c r="AA298" s="308"/>
      <c r="AB298" s="308"/>
      <c r="AC298" s="308"/>
      <c r="AD298" s="308"/>
      <c r="AE298" s="308"/>
      <c r="AF298" s="308"/>
      <c r="AG298" s="308"/>
      <c r="AH298" s="308"/>
      <c r="AI298" s="308"/>
      <c r="AJ298" s="308"/>
      <c r="AK298" s="308"/>
      <c r="AL298" s="308"/>
      <c r="AM298" s="308"/>
      <c r="AN298" s="308"/>
      <c r="AO298" s="308"/>
      <c r="AP298" s="308"/>
      <c r="AQ298" s="308"/>
      <c r="AR298" s="308"/>
    </row>
    <row r="299" spans="1:44" ht="16.5">
      <c r="A299" s="308"/>
      <c r="B299" s="308"/>
      <c r="C299" s="308"/>
      <c r="D299" s="308"/>
      <c r="E299" s="309"/>
      <c r="F299" s="308"/>
      <c r="G299" s="308"/>
      <c r="H299" s="308"/>
      <c r="I299" s="308"/>
      <c r="J299" s="308"/>
      <c r="K299" s="308"/>
      <c r="L299" s="308"/>
      <c r="M299" s="308"/>
      <c r="N299" s="308"/>
      <c r="O299" s="308"/>
      <c r="P299" s="308"/>
      <c r="Q299" s="308"/>
      <c r="R299" s="308"/>
      <c r="S299" s="308"/>
      <c r="T299" s="308"/>
      <c r="U299" s="308"/>
      <c r="V299" s="308"/>
      <c r="W299" s="308"/>
      <c r="X299" s="308"/>
      <c r="Y299" s="308"/>
      <c r="Z299" s="308"/>
      <c r="AA299" s="308"/>
      <c r="AB299" s="308"/>
      <c r="AC299" s="308"/>
      <c r="AD299" s="308"/>
      <c r="AE299" s="308"/>
      <c r="AF299" s="308"/>
      <c r="AG299" s="308"/>
      <c r="AH299" s="308"/>
      <c r="AI299" s="308"/>
      <c r="AJ299" s="308"/>
      <c r="AK299" s="308"/>
      <c r="AL299" s="308"/>
      <c r="AM299" s="308"/>
      <c r="AN299" s="308"/>
      <c r="AO299" s="308"/>
      <c r="AP299" s="308"/>
      <c r="AQ299" s="308"/>
      <c r="AR299" s="308"/>
    </row>
    <row r="300" spans="1:44" ht="16.5">
      <c r="A300" s="308"/>
      <c r="B300" s="308"/>
      <c r="C300" s="308"/>
      <c r="D300" s="308"/>
      <c r="E300" s="309"/>
      <c r="F300" s="308"/>
      <c r="G300" s="308"/>
      <c r="H300" s="308"/>
      <c r="I300" s="308"/>
      <c r="J300" s="308"/>
      <c r="K300" s="308"/>
      <c r="L300" s="308"/>
      <c r="M300" s="308"/>
      <c r="N300" s="308"/>
      <c r="O300" s="308"/>
      <c r="P300" s="308"/>
      <c r="Q300" s="308"/>
      <c r="R300" s="308"/>
      <c r="S300" s="308"/>
      <c r="T300" s="308"/>
      <c r="U300" s="308"/>
      <c r="V300" s="308"/>
      <c r="W300" s="308"/>
      <c r="X300" s="308"/>
      <c r="Y300" s="308"/>
      <c r="Z300" s="308"/>
      <c r="AA300" s="308"/>
      <c r="AB300" s="308"/>
      <c r="AC300" s="308"/>
      <c r="AD300" s="308"/>
      <c r="AE300" s="308"/>
      <c r="AF300" s="308"/>
      <c r="AG300" s="308"/>
      <c r="AH300" s="308"/>
      <c r="AI300" s="308"/>
      <c r="AJ300" s="308"/>
      <c r="AK300" s="308"/>
      <c r="AL300" s="308"/>
      <c r="AM300" s="308"/>
      <c r="AN300" s="308"/>
      <c r="AO300" s="308"/>
      <c r="AP300" s="308"/>
      <c r="AQ300" s="308"/>
      <c r="AR300" s="308"/>
    </row>
    <row r="301" spans="1:44" ht="16.5">
      <c r="A301" s="308"/>
      <c r="B301" s="308"/>
      <c r="C301" s="308"/>
      <c r="D301" s="308"/>
      <c r="E301" s="309"/>
      <c r="F301" s="308"/>
      <c r="G301" s="308"/>
      <c r="H301" s="308"/>
      <c r="I301" s="308"/>
      <c r="J301" s="308"/>
      <c r="K301" s="308"/>
      <c r="L301" s="308"/>
      <c r="M301" s="308"/>
      <c r="N301" s="308"/>
      <c r="O301" s="308"/>
      <c r="P301" s="308"/>
      <c r="Q301" s="308"/>
      <c r="R301" s="308"/>
      <c r="S301" s="308"/>
      <c r="T301" s="308"/>
      <c r="U301" s="308"/>
      <c r="V301" s="308"/>
      <c r="W301" s="308"/>
      <c r="X301" s="308"/>
      <c r="Y301" s="308"/>
      <c r="Z301" s="308"/>
      <c r="AA301" s="308"/>
      <c r="AB301" s="308"/>
      <c r="AC301" s="308"/>
      <c r="AD301" s="308"/>
      <c r="AE301" s="308"/>
      <c r="AF301" s="308"/>
      <c r="AG301" s="308"/>
      <c r="AH301" s="308"/>
      <c r="AI301" s="308"/>
      <c r="AJ301" s="308"/>
      <c r="AK301" s="308"/>
      <c r="AL301" s="308"/>
      <c r="AM301" s="308"/>
      <c r="AN301" s="308"/>
      <c r="AO301" s="308"/>
      <c r="AP301" s="308"/>
      <c r="AQ301" s="308"/>
      <c r="AR301" s="308"/>
    </row>
    <row r="302" spans="1:44" ht="16.5">
      <c r="A302" s="308"/>
      <c r="B302" s="308"/>
      <c r="C302" s="308"/>
      <c r="D302" s="308"/>
      <c r="E302" s="309"/>
      <c r="F302" s="308"/>
      <c r="G302" s="308"/>
      <c r="H302" s="308"/>
      <c r="I302" s="308"/>
      <c r="J302" s="308"/>
      <c r="K302" s="308"/>
      <c r="L302" s="308"/>
      <c r="M302" s="308"/>
      <c r="N302" s="308"/>
      <c r="O302" s="308"/>
      <c r="P302" s="308"/>
      <c r="Q302" s="308"/>
      <c r="R302" s="308"/>
      <c r="S302" s="308"/>
      <c r="T302" s="308"/>
      <c r="U302" s="308"/>
      <c r="V302" s="308"/>
      <c r="W302" s="308"/>
      <c r="X302" s="308"/>
      <c r="Y302" s="308"/>
      <c r="Z302" s="308"/>
      <c r="AA302" s="308"/>
      <c r="AB302" s="308"/>
      <c r="AC302" s="308"/>
      <c r="AD302" s="308"/>
      <c r="AE302" s="308"/>
      <c r="AF302" s="308"/>
      <c r="AG302" s="308"/>
      <c r="AH302" s="308"/>
      <c r="AI302" s="308"/>
      <c r="AJ302" s="308"/>
      <c r="AK302" s="308"/>
      <c r="AL302" s="308"/>
      <c r="AM302" s="308"/>
      <c r="AN302" s="308"/>
      <c r="AO302" s="308"/>
      <c r="AP302" s="308"/>
      <c r="AQ302" s="308"/>
      <c r="AR302" s="308"/>
    </row>
    <row r="303" spans="1:44" ht="16.5">
      <c r="A303" s="308"/>
      <c r="B303" s="308"/>
      <c r="C303" s="308"/>
      <c r="D303" s="308"/>
      <c r="E303" s="309"/>
      <c r="F303" s="308"/>
      <c r="G303" s="308"/>
      <c r="H303" s="308"/>
      <c r="I303" s="308"/>
      <c r="J303" s="308"/>
      <c r="K303" s="308"/>
      <c r="L303" s="308"/>
      <c r="M303" s="308"/>
      <c r="N303" s="308"/>
      <c r="O303" s="308"/>
      <c r="P303" s="308"/>
      <c r="Q303" s="308"/>
      <c r="R303" s="308"/>
      <c r="S303" s="308"/>
      <c r="T303" s="308"/>
      <c r="U303" s="308"/>
      <c r="V303" s="308"/>
      <c r="W303" s="308"/>
      <c r="X303" s="308"/>
      <c r="Y303" s="308"/>
      <c r="Z303" s="308"/>
      <c r="AA303" s="308"/>
      <c r="AB303" s="308"/>
      <c r="AC303" s="308"/>
      <c r="AD303" s="308"/>
      <c r="AE303" s="308"/>
      <c r="AF303" s="308"/>
      <c r="AG303" s="308"/>
      <c r="AH303" s="308"/>
      <c r="AI303" s="308"/>
      <c r="AJ303" s="308"/>
      <c r="AK303" s="308"/>
      <c r="AL303" s="308"/>
      <c r="AM303" s="308"/>
      <c r="AN303" s="308"/>
      <c r="AO303" s="308"/>
      <c r="AP303" s="308"/>
      <c r="AQ303" s="308"/>
      <c r="AR303" s="308"/>
    </row>
    <row r="304" spans="1:44" ht="16.5">
      <c r="A304" s="308"/>
      <c r="B304" s="308"/>
      <c r="C304" s="308"/>
      <c r="D304" s="308"/>
      <c r="E304" s="309"/>
      <c r="F304" s="308"/>
      <c r="G304" s="308"/>
      <c r="H304" s="308"/>
      <c r="I304" s="308"/>
      <c r="J304" s="308"/>
      <c r="K304" s="308"/>
      <c r="L304" s="308"/>
      <c r="M304" s="308"/>
      <c r="N304" s="308"/>
      <c r="O304" s="308"/>
      <c r="P304" s="308"/>
      <c r="Q304" s="308"/>
      <c r="R304" s="308"/>
      <c r="S304" s="308"/>
      <c r="T304" s="308"/>
      <c r="U304" s="308"/>
      <c r="V304" s="308"/>
      <c r="W304" s="308"/>
      <c r="X304" s="308"/>
      <c r="Y304" s="308"/>
      <c r="Z304" s="308"/>
      <c r="AA304" s="308"/>
      <c r="AB304" s="308"/>
      <c r="AC304" s="308"/>
      <c r="AD304" s="308"/>
      <c r="AE304" s="308"/>
      <c r="AF304" s="308"/>
      <c r="AG304" s="308"/>
      <c r="AH304" s="308"/>
      <c r="AI304" s="308"/>
      <c r="AJ304" s="308"/>
      <c r="AK304" s="308"/>
      <c r="AL304" s="308"/>
      <c r="AM304" s="308"/>
      <c r="AN304" s="308"/>
      <c r="AO304" s="308"/>
      <c r="AP304" s="308"/>
      <c r="AQ304" s="308"/>
      <c r="AR304" s="308"/>
    </row>
    <row r="305" spans="1:44" ht="16.5">
      <c r="A305" s="308"/>
      <c r="B305" s="308"/>
      <c r="C305" s="308"/>
      <c r="D305" s="308"/>
      <c r="E305" s="309"/>
      <c r="F305" s="308"/>
      <c r="G305" s="308"/>
      <c r="H305" s="308"/>
      <c r="I305" s="308"/>
      <c r="J305" s="308"/>
      <c r="K305" s="308"/>
      <c r="L305" s="308"/>
      <c r="M305" s="308"/>
      <c r="N305" s="308"/>
      <c r="O305" s="308"/>
      <c r="P305" s="308"/>
      <c r="Q305" s="308"/>
      <c r="R305" s="308"/>
      <c r="S305" s="308"/>
      <c r="T305" s="308"/>
      <c r="U305" s="308"/>
      <c r="V305" s="308"/>
      <c r="W305" s="308"/>
      <c r="X305" s="308"/>
      <c r="Y305" s="308"/>
      <c r="Z305" s="308"/>
      <c r="AA305" s="308"/>
      <c r="AB305" s="308"/>
      <c r="AC305" s="308"/>
      <c r="AD305" s="308"/>
      <c r="AE305" s="308"/>
      <c r="AF305" s="308"/>
      <c r="AG305" s="308"/>
      <c r="AH305" s="308"/>
      <c r="AI305" s="308"/>
      <c r="AJ305" s="308"/>
      <c r="AK305" s="308"/>
      <c r="AL305" s="308"/>
      <c r="AM305" s="308"/>
      <c r="AN305" s="308"/>
      <c r="AO305" s="308"/>
      <c r="AP305" s="308"/>
      <c r="AQ305" s="308"/>
      <c r="AR305" s="308"/>
    </row>
    <row r="306" spans="1:44" ht="16.5">
      <c r="A306" s="308"/>
      <c r="B306" s="308"/>
      <c r="C306" s="308"/>
      <c r="D306" s="308"/>
      <c r="E306" s="309"/>
      <c r="F306" s="308"/>
      <c r="G306" s="308"/>
      <c r="H306" s="308"/>
      <c r="I306" s="308"/>
      <c r="J306" s="308"/>
      <c r="K306" s="308"/>
      <c r="L306" s="308"/>
      <c r="M306" s="308"/>
      <c r="N306" s="308"/>
      <c r="O306" s="308"/>
      <c r="P306" s="308"/>
      <c r="Q306" s="308"/>
      <c r="R306" s="308"/>
      <c r="S306" s="308"/>
      <c r="T306" s="308"/>
      <c r="U306" s="308"/>
      <c r="V306" s="308"/>
      <c r="W306" s="308"/>
      <c r="X306" s="308"/>
      <c r="Y306" s="308"/>
      <c r="Z306" s="308"/>
      <c r="AA306" s="308"/>
      <c r="AB306" s="308"/>
      <c r="AC306" s="308"/>
      <c r="AD306" s="308"/>
      <c r="AE306" s="308"/>
      <c r="AF306" s="308"/>
      <c r="AG306" s="308"/>
      <c r="AH306" s="308"/>
      <c r="AI306" s="308"/>
      <c r="AJ306" s="308"/>
      <c r="AK306" s="308"/>
      <c r="AL306" s="308"/>
      <c r="AM306" s="308"/>
      <c r="AN306" s="308"/>
      <c r="AO306" s="308"/>
      <c r="AP306" s="308"/>
      <c r="AQ306" s="308"/>
      <c r="AR306" s="308"/>
    </row>
    <row r="307" spans="1:44" ht="16.5">
      <c r="A307" s="308"/>
      <c r="B307" s="308"/>
      <c r="C307" s="308"/>
      <c r="D307" s="308"/>
      <c r="E307" s="309"/>
      <c r="F307" s="308"/>
      <c r="G307" s="308"/>
      <c r="H307" s="308"/>
      <c r="I307" s="308"/>
      <c r="J307" s="308"/>
      <c r="K307" s="308"/>
      <c r="L307" s="308"/>
      <c r="M307" s="308"/>
      <c r="N307" s="308"/>
      <c r="O307" s="308"/>
      <c r="P307" s="308"/>
      <c r="Q307" s="308"/>
      <c r="R307" s="308"/>
      <c r="S307" s="308"/>
      <c r="T307" s="308"/>
      <c r="U307" s="308"/>
      <c r="V307" s="308"/>
      <c r="W307" s="308"/>
      <c r="X307" s="308"/>
      <c r="Y307" s="308"/>
      <c r="Z307" s="308"/>
      <c r="AA307" s="308"/>
      <c r="AB307" s="308"/>
      <c r="AC307" s="308"/>
      <c r="AD307" s="308"/>
      <c r="AE307" s="308"/>
      <c r="AF307" s="308"/>
      <c r="AG307" s="308"/>
      <c r="AH307" s="308"/>
      <c r="AI307" s="308"/>
      <c r="AJ307" s="308"/>
      <c r="AK307" s="308"/>
      <c r="AL307" s="308"/>
      <c r="AM307" s="308"/>
      <c r="AN307" s="308"/>
      <c r="AO307" s="308"/>
      <c r="AP307" s="308"/>
      <c r="AQ307" s="308"/>
      <c r="AR307" s="308"/>
    </row>
    <row r="308" spans="1:44" ht="16.5">
      <c r="A308" s="308"/>
      <c r="B308" s="308"/>
      <c r="C308" s="308"/>
      <c r="D308" s="308"/>
      <c r="E308" s="309"/>
      <c r="F308" s="308"/>
      <c r="G308" s="308"/>
      <c r="H308" s="308"/>
      <c r="I308" s="308"/>
      <c r="J308" s="308"/>
      <c r="K308" s="308"/>
      <c r="L308" s="308"/>
      <c r="M308" s="308"/>
      <c r="N308" s="308"/>
      <c r="O308" s="308"/>
      <c r="P308" s="308"/>
      <c r="Q308" s="308"/>
      <c r="R308" s="308"/>
      <c r="S308" s="308"/>
      <c r="T308" s="308"/>
      <c r="U308" s="308"/>
      <c r="V308" s="308"/>
      <c r="W308" s="308"/>
      <c r="X308" s="308"/>
      <c r="Y308" s="308"/>
      <c r="Z308" s="308"/>
      <c r="AA308" s="308"/>
      <c r="AB308" s="308"/>
      <c r="AC308" s="308"/>
      <c r="AD308" s="308"/>
      <c r="AE308" s="308"/>
      <c r="AF308" s="308"/>
      <c r="AG308" s="308"/>
      <c r="AH308" s="308"/>
      <c r="AI308" s="308"/>
      <c r="AJ308" s="308"/>
      <c r="AK308" s="308"/>
      <c r="AL308" s="308"/>
      <c r="AM308" s="308"/>
      <c r="AN308" s="308"/>
      <c r="AO308" s="308"/>
      <c r="AP308" s="308"/>
      <c r="AQ308" s="308"/>
      <c r="AR308" s="308"/>
    </row>
    <row r="309" spans="1:44" ht="16.5">
      <c r="A309" s="308"/>
      <c r="B309" s="308"/>
      <c r="C309" s="308"/>
      <c r="D309" s="308"/>
      <c r="E309" s="309"/>
      <c r="F309" s="308"/>
      <c r="G309" s="308"/>
      <c r="H309" s="308"/>
      <c r="I309" s="308"/>
      <c r="J309" s="308"/>
      <c r="K309" s="308"/>
      <c r="L309" s="308"/>
      <c r="M309" s="308"/>
      <c r="N309" s="308"/>
      <c r="O309" s="308"/>
      <c r="P309" s="308"/>
      <c r="Q309" s="308"/>
      <c r="R309" s="308"/>
      <c r="S309" s="308"/>
      <c r="T309" s="308"/>
      <c r="U309" s="308"/>
      <c r="V309" s="308"/>
      <c r="W309" s="308"/>
      <c r="X309" s="308"/>
      <c r="Y309" s="308"/>
      <c r="Z309" s="308"/>
      <c r="AA309" s="308"/>
      <c r="AB309" s="308"/>
      <c r="AC309" s="308"/>
      <c r="AD309" s="308"/>
      <c r="AE309" s="308"/>
      <c r="AF309" s="308"/>
      <c r="AG309" s="308"/>
      <c r="AH309" s="308"/>
      <c r="AI309" s="308"/>
      <c r="AJ309" s="308"/>
      <c r="AK309" s="308"/>
      <c r="AL309" s="308"/>
      <c r="AM309" s="308"/>
      <c r="AN309" s="308"/>
      <c r="AO309" s="308"/>
      <c r="AP309" s="308"/>
      <c r="AQ309" s="308"/>
      <c r="AR309" s="308"/>
    </row>
    <row r="310" spans="1:44" ht="16.5">
      <c r="A310" s="308"/>
      <c r="B310" s="308"/>
      <c r="C310" s="308"/>
      <c r="D310" s="308"/>
      <c r="E310" s="309"/>
      <c r="F310" s="308"/>
      <c r="G310" s="308"/>
      <c r="H310" s="308"/>
      <c r="I310" s="308"/>
      <c r="J310" s="308"/>
      <c r="K310" s="308"/>
      <c r="L310" s="308"/>
      <c r="M310" s="308"/>
      <c r="N310" s="308"/>
      <c r="O310" s="308"/>
      <c r="P310" s="308"/>
      <c r="Q310" s="308"/>
      <c r="R310" s="308"/>
      <c r="S310" s="308"/>
      <c r="T310" s="308"/>
      <c r="U310" s="308"/>
      <c r="V310" s="308"/>
      <c r="W310" s="308"/>
      <c r="X310" s="308"/>
      <c r="Y310" s="308"/>
      <c r="Z310" s="308"/>
      <c r="AA310" s="308"/>
      <c r="AB310" s="308"/>
      <c r="AC310" s="308"/>
      <c r="AD310" s="308"/>
      <c r="AE310" s="308"/>
      <c r="AF310" s="308"/>
      <c r="AG310" s="308"/>
      <c r="AH310" s="308"/>
      <c r="AI310" s="308"/>
      <c r="AJ310" s="308"/>
      <c r="AK310" s="308"/>
      <c r="AL310" s="308"/>
      <c r="AM310" s="308"/>
      <c r="AN310" s="308"/>
      <c r="AO310" s="308"/>
      <c r="AP310" s="308"/>
      <c r="AQ310" s="308"/>
      <c r="AR310" s="308"/>
    </row>
    <row r="311" spans="1:44" ht="16.5">
      <c r="A311" s="308"/>
      <c r="B311" s="308"/>
      <c r="C311" s="308"/>
      <c r="D311" s="308"/>
      <c r="E311" s="309"/>
      <c r="F311" s="308"/>
      <c r="G311" s="308"/>
      <c r="H311" s="308"/>
      <c r="I311" s="308"/>
      <c r="J311" s="308"/>
      <c r="K311" s="308"/>
      <c r="L311" s="308"/>
      <c r="M311" s="308"/>
      <c r="N311" s="308"/>
      <c r="O311" s="308"/>
      <c r="P311" s="308"/>
      <c r="Q311" s="308"/>
      <c r="R311" s="308"/>
      <c r="S311" s="308"/>
      <c r="T311" s="308"/>
      <c r="U311" s="308"/>
      <c r="V311" s="308"/>
      <c r="W311" s="308"/>
      <c r="X311" s="308"/>
      <c r="Y311" s="308"/>
      <c r="Z311" s="308"/>
      <c r="AA311" s="308"/>
      <c r="AB311" s="308"/>
      <c r="AC311" s="308"/>
      <c r="AD311" s="308"/>
      <c r="AE311" s="308"/>
      <c r="AF311" s="308"/>
      <c r="AG311" s="308"/>
      <c r="AH311" s="308"/>
      <c r="AI311" s="308"/>
      <c r="AJ311" s="308"/>
      <c r="AK311" s="308"/>
      <c r="AL311" s="308"/>
      <c r="AM311" s="308"/>
      <c r="AN311" s="308"/>
      <c r="AO311" s="308"/>
      <c r="AP311" s="308"/>
      <c r="AQ311" s="308"/>
      <c r="AR311" s="308"/>
    </row>
    <row r="312" spans="1:44" ht="16.5">
      <c r="A312" s="308"/>
      <c r="B312" s="308"/>
      <c r="C312" s="308"/>
      <c r="D312" s="308"/>
      <c r="E312" s="309"/>
      <c r="F312" s="308"/>
      <c r="G312" s="308"/>
      <c r="H312" s="308"/>
      <c r="I312" s="308"/>
      <c r="J312" s="308"/>
      <c r="K312" s="308"/>
      <c r="L312" s="308"/>
      <c r="M312" s="308"/>
      <c r="N312" s="308"/>
      <c r="O312" s="308"/>
      <c r="P312" s="308"/>
      <c r="Q312" s="308"/>
      <c r="R312" s="308"/>
      <c r="S312" s="308"/>
      <c r="T312" s="308"/>
      <c r="U312" s="308"/>
      <c r="V312" s="308"/>
      <c r="W312" s="308"/>
      <c r="X312" s="308"/>
      <c r="Y312" s="308"/>
      <c r="Z312" s="308"/>
      <c r="AA312" s="308"/>
      <c r="AB312" s="308"/>
      <c r="AC312" s="308"/>
      <c r="AD312" s="308"/>
      <c r="AE312" s="308"/>
      <c r="AF312" s="308"/>
      <c r="AG312" s="308"/>
      <c r="AH312" s="308"/>
      <c r="AI312" s="308"/>
      <c r="AJ312" s="308"/>
      <c r="AK312" s="308"/>
      <c r="AL312" s="308"/>
      <c r="AM312" s="308"/>
      <c r="AN312" s="308"/>
      <c r="AO312" s="308"/>
      <c r="AP312" s="308"/>
      <c r="AQ312" s="308"/>
      <c r="AR312" s="308"/>
    </row>
    <row r="313" spans="1:44" ht="16.5">
      <c r="A313" s="308"/>
      <c r="B313" s="308"/>
      <c r="C313" s="308"/>
      <c r="D313" s="308"/>
      <c r="E313" s="309"/>
      <c r="F313" s="308"/>
      <c r="G313" s="308"/>
      <c r="H313" s="308"/>
      <c r="I313" s="308"/>
      <c r="J313" s="308"/>
      <c r="K313" s="308"/>
      <c r="L313" s="308"/>
      <c r="M313" s="308"/>
      <c r="N313" s="308"/>
      <c r="O313" s="308"/>
      <c r="P313" s="308"/>
      <c r="Q313" s="308"/>
      <c r="R313" s="308"/>
      <c r="S313" s="308"/>
      <c r="T313" s="308"/>
      <c r="U313" s="308"/>
      <c r="V313" s="308"/>
      <c r="W313" s="308"/>
      <c r="X313" s="308"/>
      <c r="Y313" s="308"/>
      <c r="Z313" s="308"/>
      <c r="AA313" s="308"/>
      <c r="AB313" s="308"/>
      <c r="AC313" s="308"/>
      <c r="AD313" s="308"/>
      <c r="AE313" s="308"/>
      <c r="AF313" s="308"/>
      <c r="AG313" s="308"/>
      <c r="AH313" s="308"/>
      <c r="AI313" s="308"/>
      <c r="AJ313" s="308"/>
      <c r="AK313" s="308"/>
      <c r="AL313" s="308"/>
      <c r="AM313" s="308"/>
      <c r="AN313" s="308"/>
      <c r="AO313" s="308"/>
      <c r="AP313" s="308"/>
      <c r="AQ313" s="308"/>
      <c r="AR313" s="308"/>
    </row>
    <row r="314" spans="1:44" ht="16.5">
      <c r="A314" s="308"/>
      <c r="B314" s="308"/>
      <c r="C314" s="308"/>
      <c r="D314" s="308"/>
      <c r="E314" s="309"/>
      <c r="F314" s="308"/>
      <c r="G314" s="308"/>
      <c r="H314" s="308"/>
      <c r="I314" s="308"/>
      <c r="J314" s="308"/>
      <c r="K314" s="308"/>
      <c r="L314" s="308"/>
      <c r="M314" s="308"/>
      <c r="N314" s="308"/>
      <c r="O314" s="308"/>
      <c r="P314" s="308"/>
      <c r="Q314" s="308"/>
      <c r="R314" s="308"/>
      <c r="S314" s="308"/>
      <c r="T314" s="308"/>
      <c r="U314" s="308"/>
      <c r="V314" s="308"/>
      <c r="W314" s="308"/>
      <c r="X314" s="308"/>
      <c r="Y314" s="308"/>
      <c r="Z314" s="308"/>
      <c r="AA314" s="308"/>
      <c r="AB314" s="308"/>
      <c r="AC314" s="308"/>
      <c r="AD314" s="308"/>
      <c r="AE314" s="308"/>
      <c r="AF314" s="308"/>
      <c r="AG314" s="308"/>
      <c r="AH314" s="308"/>
      <c r="AI314" s="308"/>
      <c r="AJ314" s="308"/>
      <c r="AK314" s="308"/>
      <c r="AL314" s="308"/>
      <c r="AM314" s="308"/>
      <c r="AN314" s="308"/>
      <c r="AO314" s="308"/>
      <c r="AP314" s="308"/>
      <c r="AQ314" s="308"/>
      <c r="AR314" s="308"/>
    </row>
    <row r="315" spans="1:44" ht="16.5">
      <c r="A315" s="308"/>
      <c r="B315" s="308"/>
      <c r="C315" s="308"/>
      <c r="D315" s="308"/>
      <c r="E315" s="309"/>
      <c r="F315" s="308"/>
      <c r="G315" s="308"/>
      <c r="H315" s="308"/>
      <c r="I315" s="308"/>
      <c r="J315" s="308"/>
      <c r="K315" s="308"/>
      <c r="L315" s="308"/>
      <c r="M315" s="308"/>
      <c r="N315" s="308"/>
      <c r="O315" s="308"/>
      <c r="P315" s="308"/>
      <c r="Q315" s="308"/>
      <c r="R315" s="308"/>
      <c r="S315" s="308"/>
      <c r="T315" s="308"/>
      <c r="U315" s="308"/>
      <c r="V315" s="308"/>
      <c r="W315" s="308"/>
      <c r="X315" s="308"/>
      <c r="Y315" s="308"/>
      <c r="Z315" s="308"/>
      <c r="AA315" s="308"/>
      <c r="AB315" s="308"/>
      <c r="AC315" s="308"/>
      <c r="AD315" s="308"/>
      <c r="AE315" s="308"/>
      <c r="AF315" s="308"/>
      <c r="AG315" s="308"/>
      <c r="AH315" s="308"/>
      <c r="AI315" s="308"/>
      <c r="AJ315" s="308"/>
      <c r="AK315" s="308"/>
      <c r="AL315" s="308"/>
      <c r="AM315" s="308"/>
      <c r="AN315" s="308"/>
      <c r="AO315" s="308"/>
      <c r="AP315" s="308"/>
      <c r="AQ315" s="308"/>
      <c r="AR315" s="308"/>
    </row>
    <row r="316" spans="1:44" ht="16.5">
      <c r="A316" s="308"/>
      <c r="B316" s="308"/>
      <c r="C316" s="308"/>
      <c r="D316" s="308"/>
      <c r="E316" s="309"/>
      <c r="F316" s="308"/>
      <c r="G316" s="308"/>
      <c r="H316" s="308"/>
      <c r="I316" s="308"/>
      <c r="J316" s="308"/>
      <c r="K316" s="308"/>
      <c r="L316" s="308"/>
      <c r="M316" s="308"/>
      <c r="N316" s="308"/>
      <c r="O316" s="308"/>
      <c r="P316" s="308"/>
      <c r="Q316" s="308"/>
      <c r="R316" s="308"/>
      <c r="S316" s="308"/>
      <c r="T316" s="308"/>
      <c r="U316" s="308"/>
      <c r="V316" s="308"/>
      <c r="W316" s="308"/>
      <c r="X316" s="308"/>
      <c r="Y316" s="308"/>
      <c r="Z316" s="308"/>
      <c r="AA316" s="308"/>
      <c r="AB316" s="308"/>
      <c r="AC316" s="308"/>
      <c r="AD316" s="308"/>
      <c r="AE316" s="308"/>
      <c r="AF316" s="308"/>
      <c r="AG316" s="308"/>
      <c r="AH316" s="308"/>
      <c r="AI316" s="308"/>
      <c r="AJ316" s="308"/>
      <c r="AK316" s="308"/>
      <c r="AL316" s="308"/>
      <c r="AM316" s="308"/>
      <c r="AN316" s="308"/>
      <c r="AO316" s="308"/>
      <c r="AP316" s="308"/>
      <c r="AQ316" s="308"/>
      <c r="AR316" s="308"/>
    </row>
    <row r="317" spans="1:44" ht="16.5">
      <c r="A317" s="308"/>
      <c r="B317" s="308"/>
      <c r="C317" s="308"/>
      <c r="D317" s="308"/>
      <c r="E317" s="309"/>
      <c r="F317" s="308"/>
      <c r="G317" s="308"/>
      <c r="H317" s="308"/>
      <c r="I317" s="308"/>
      <c r="J317" s="308"/>
      <c r="K317" s="308"/>
      <c r="L317" s="308"/>
      <c r="M317" s="308"/>
      <c r="N317" s="308"/>
      <c r="O317" s="308"/>
      <c r="P317" s="308"/>
      <c r="Q317" s="308"/>
      <c r="R317" s="308"/>
      <c r="S317" s="308"/>
      <c r="T317" s="308"/>
      <c r="U317" s="308"/>
      <c r="V317" s="308"/>
      <c r="W317" s="308"/>
      <c r="X317" s="308"/>
      <c r="Y317" s="308"/>
      <c r="Z317" s="308"/>
      <c r="AA317" s="308"/>
      <c r="AB317" s="308"/>
      <c r="AC317" s="308"/>
      <c r="AD317" s="308"/>
      <c r="AE317" s="308"/>
      <c r="AF317" s="308"/>
      <c r="AG317" s="308"/>
      <c r="AH317" s="308"/>
      <c r="AI317" s="308"/>
      <c r="AJ317" s="308"/>
      <c r="AK317" s="308"/>
      <c r="AL317" s="308"/>
      <c r="AM317" s="308"/>
      <c r="AN317" s="308"/>
      <c r="AO317" s="308"/>
      <c r="AP317" s="308"/>
      <c r="AQ317" s="308"/>
      <c r="AR317" s="308"/>
    </row>
    <row r="318" spans="1:44" ht="16.5">
      <c r="A318" s="308"/>
      <c r="B318" s="308"/>
      <c r="C318" s="308"/>
      <c r="D318" s="308"/>
      <c r="E318" s="309"/>
      <c r="F318" s="308"/>
      <c r="G318" s="308"/>
      <c r="H318" s="308"/>
      <c r="I318" s="308"/>
      <c r="J318" s="308"/>
      <c r="K318" s="308"/>
      <c r="L318" s="308"/>
      <c r="M318" s="308"/>
      <c r="N318" s="308"/>
      <c r="O318" s="308"/>
      <c r="P318" s="308"/>
      <c r="Q318" s="308"/>
      <c r="R318" s="308"/>
      <c r="S318" s="308"/>
      <c r="T318" s="308"/>
      <c r="U318" s="308"/>
      <c r="V318" s="308"/>
      <c r="W318" s="308"/>
      <c r="X318" s="308"/>
      <c r="Y318" s="308"/>
      <c r="Z318" s="308"/>
      <c r="AA318" s="308"/>
      <c r="AB318" s="308"/>
      <c r="AC318" s="308"/>
      <c r="AD318" s="308"/>
      <c r="AE318" s="308"/>
      <c r="AF318" s="308"/>
      <c r="AG318" s="308"/>
      <c r="AH318" s="308"/>
      <c r="AI318" s="308"/>
      <c r="AJ318" s="308"/>
      <c r="AK318" s="308"/>
      <c r="AL318" s="308"/>
      <c r="AM318" s="308"/>
      <c r="AN318" s="308"/>
      <c r="AO318" s="308"/>
      <c r="AP318" s="308"/>
      <c r="AQ318" s="308"/>
      <c r="AR318" s="308"/>
    </row>
    <row r="319" spans="1:44" ht="16.5">
      <c r="A319" s="308"/>
      <c r="B319" s="308"/>
      <c r="C319" s="308"/>
      <c r="D319" s="308"/>
      <c r="E319" s="309"/>
      <c r="F319" s="308"/>
      <c r="G319" s="308"/>
      <c r="H319" s="308"/>
      <c r="I319" s="308"/>
      <c r="J319" s="308"/>
      <c r="K319" s="308"/>
      <c r="L319" s="308"/>
      <c r="M319" s="308"/>
      <c r="N319" s="308"/>
      <c r="O319" s="308"/>
      <c r="P319" s="308"/>
      <c r="Q319" s="308"/>
      <c r="R319" s="308"/>
      <c r="S319" s="308"/>
      <c r="T319" s="308"/>
      <c r="U319" s="308"/>
      <c r="V319" s="308"/>
      <c r="W319" s="308"/>
      <c r="X319" s="308"/>
      <c r="Y319" s="308"/>
      <c r="Z319" s="308"/>
      <c r="AA319" s="308"/>
      <c r="AB319" s="308"/>
      <c r="AC319" s="308"/>
      <c r="AD319" s="308"/>
      <c r="AE319" s="308"/>
      <c r="AF319" s="308"/>
      <c r="AG319" s="308"/>
      <c r="AH319" s="308"/>
      <c r="AI319" s="308"/>
      <c r="AJ319" s="308"/>
      <c r="AK319" s="308"/>
      <c r="AL319" s="308"/>
      <c r="AM319" s="308"/>
      <c r="AN319" s="308"/>
      <c r="AO319" s="308"/>
      <c r="AP319" s="308"/>
      <c r="AQ319" s="308"/>
      <c r="AR319" s="308"/>
    </row>
    <row r="320" spans="1:44" ht="16.5">
      <c r="A320" s="308"/>
      <c r="B320" s="308"/>
      <c r="C320" s="308"/>
      <c r="D320" s="308"/>
      <c r="E320" s="309"/>
      <c r="F320" s="308"/>
      <c r="G320" s="308"/>
      <c r="H320" s="308"/>
      <c r="I320" s="308"/>
      <c r="J320" s="308"/>
      <c r="K320" s="308"/>
      <c r="L320" s="308"/>
      <c r="M320" s="308"/>
      <c r="N320" s="308"/>
      <c r="O320" s="308"/>
      <c r="P320" s="308"/>
      <c r="Q320" s="308"/>
      <c r="R320" s="308"/>
      <c r="S320" s="308"/>
      <c r="T320" s="308"/>
      <c r="U320" s="308"/>
      <c r="V320" s="308"/>
      <c r="W320" s="308"/>
      <c r="X320" s="308"/>
      <c r="Y320" s="308"/>
      <c r="Z320" s="308"/>
      <c r="AA320" s="308"/>
      <c r="AB320" s="308"/>
      <c r="AC320" s="308"/>
      <c r="AD320" s="308"/>
      <c r="AE320" s="308"/>
      <c r="AF320" s="308"/>
      <c r="AG320" s="308"/>
      <c r="AH320" s="308"/>
      <c r="AI320" s="308"/>
      <c r="AJ320" s="308"/>
      <c r="AK320" s="308"/>
      <c r="AL320" s="308"/>
      <c r="AM320" s="308"/>
      <c r="AN320" s="308"/>
      <c r="AO320" s="308"/>
      <c r="AP320" s="308"/>
      <c r="AQ320" s="308"/>
      <c r="AR320" s="308"/>
    </row>
    <row r="321" spans="1:44" ht="16.5">
      <c r="A321" s="308"/>
      <c r="B321" s="308"/>
      <c r="C321" s="308"/>
      <c r="D321" s="308"/>
      <c r="E321" s="309"/>
      <c r="F321" s="308"/>
      <c r="G321" s="308"/>
      <c r="H321" s="308"/>
      <c r="I321" s="308"/>
      <c r="J321" s="308"/>
      <c r="K321" s="308"/>
      <c r="L321" s="308"/>
      <c r="M321" s="308"/>
      <c r="N321" s="308"/>
      <c r="O321" s="308"/>
      <c r="P321" s="308"/>
      <c r="Q321" s="308"/>
      <c r="R321" s="308"/>
      <c r="S321" s="308"/>
      <c r="T321" s="308"/>
      <c r="U321" s="308"/>
      <c r="V321" s="308"/>
      <c r="W321" s="308"/>
      <c r="X321" s="308"/>
      <c r="Y321" s="308"/>
      <c r="Z321" s="308"/>
      <c r="AA321" s="308"/>
      <c r="AB321" s="308"/>
      <c r="AC321" s="308"/>
      <c r="AD321" s="308"/>
      <c r="AE321" s="308"/>
      <c r="AF321" s="308"/>
      <c r="AG321" s="308"/>
      <c r="AH321" s="308"/>
      <c r="AI321" s="308"/>
      <c r="AJ321" s="308"/>
      <c r="AK321" s="308"/>
      <c r="AL321" s="308"/>
      <c r="AM321" s="308"/>
      <c r="AN321" s="308"/>
      <c r="AO321" s="308"/>
      <c r="AP321" s="308"/>
      <c r="AQ321" s="308"/>
      <c r="AR321" s="308"/>
    </row>
    <row r="322" spans="1:44" ht="16.5">
      <c r="A322" s="308"/>
      <c r="B322" s="308"/>
      <c r="C322" s="308"/>
      <c r="D322" s="308"/>
      <c r="E322" s="309"/>
      <c r="F322" s="308"/>
      <c r="G322" s="308"/>
      <c r="H322" s="308"/>
      <c r="I322" s="308"/>
      <c r="J322" s="308"/>
      <c r="K322" s="308"/>
      <c r="L322" s="308"/>
      <c r="M322" s="308"/>
      <c r="N322" s="308"/>
      <c r="O322" s="308"/>
      <c r="P322" s="308"/>
      <c r="Q322" s="308"/>
      <c r="R322" s="308"/>
      <c r="S322" s="308"/>
      <c r="T322" s="308"/>
      <c r="U322" s="308"/>
      <c r="V322" s="308"/>
      <c r="W322" s="308"/>
      <c r="X322" s="308"/>
      <c r="Y322" s="308"/>
      <c r="Z322" s="308"/>
      <c r="AA322" s="308"/>
      <c r="AB322" s="308"/>
      <c r="AC322" s="308"/>
      <c r="AD322" s="308"/>
      <c r="AE322" s="308"/>
      <c r="AF322" s="308"/>
      <c r="AG322" s="308"/>
      <c r="AH322" s="308"/>
      <c r="AI322" s="308"/>
      <c r="AJ322" s="308"/>
      <c r="AK322" s="308"/>
      <c r="AL322" s="308"/>
      <c r="AM322" s="308"/>
      <c r="AN322" s="308"/>
      <c r="AO322" s="308"/>
      <c r="AP322" s="308"/>
      <c r="AQ322" s="308"/>
      <c r="AR322" s="308"/>
    </row>
    <row r="323" spans="1:44" ht="16.5">
      <c r="A323" s="308"/>
      <c r="B323" s="308"/>
      <c r="C323" s="308"/>
      <c r="D323" s="308"/>
      <c r="E323" s="309"/>
      <c r="F323" s="308"/>
      <c r="G323" s="308"/>
      <c r="H323" s="308"/>
      <c r="I323" s="308"/>
      <c r="J323" s="308"/>
      <c r="K323" s="308"/>
      <c r="L323" s="308"/>
      <c r="M323" s="308"/>
      <c r="N323" s="308"/>
      <c r="O323" s="308"/>
      <c r="P323" s="308"/>
      <c r="Q323" s="308"/>
      <c r="R323" s="308"/>
      <c r="S323" s="308"/>
      <c r="T323" s="308"/>
      <c r="U323" s="308"/>
      <c r="V323" s="308"/>
      <c r="W323" s="308"/>
      <c r="X323" s="308"/>
      <c r="Y323" s="308"/>
      <c r="Z323" s="308"/>
      <c r="AA323" s="308"/>
      <c r="AB323" s="308"/>
      <c r="AC323" s="308"/>
      <c r="AD323" s="308"/>
      <c r="AE323" s="308"/>
      <c r="AF323" s="308"/>
      <c r="AG323" s="308"/>
      <c r="AH323" s="308"/>
      <c r="AI323" s="308"/>
      <c r="AJ323" s="308"/>
      <c r="AK323" s="308"/>
      <c r="AL323" s="308"/>
      <c r="AM323" s="308"/>
      <c r="AN323" s="308"/>
      <c r="AO323" s="308"/>
      <c r="AP323" s="308"/>
      <c r="AQ323" s="308"/>
      <c r="AR323" s="308"/>
    </row>
    <row r="324" spans="1:44" ht="16.5">
      <c r="A324" s="308"/>
      <c r="B324" s="308"/>
      <c r="C324" s="308"/>
      <c r="D324" s="308"/>
      <c r="E324" s="309"/>
      <c r="F324" s="308"/>
      <c r="G324" s="308"/>
      <c r="H324" s="308"/>
      <c r="I324" s="308"/>
      <c r="J324" s="308"/>
      <c r="K324" s="308"/>
      <c r="L324" s="308"/>
      <c r="M324" s="308"/>
      <c r="N324" s="308"/>
      <c r="O324" s="308"/>
      <c r="P324" s="308"/>
      <c r="Q324" s="308"/>
      <c r="R324" s="308"/>
      <c r="S324" s="308"/>
      <c r="T324" s="308"/>
      <c r="U324" s="308"/>
      <c r="V324" s="308"/>
      <c r="W324" s="308"/>
      <c r="X324" s="308"/>
      <c r="Y324" s="308"/>
      <c r="Z324" s="308"/>
      <c r="AA324" s="308"/>
      <c r="AB324" s="308"/>
      <c r="AC324" s="308"/>
      <c r="AD324" s="308"/>
      <c r="AE324" s="308"/>
      <c r="AF324" s="308"/>
      <c r="AG324" s="308"/>
      <c r="AH324" s="308"/>
      <c r="AI324" s="308"/>
      <c r="AJ324" s="308"/>
      <c r="AK324" s="308"/>
      <c r="AL324" s="308"/>
      <c r="AM324" s="308"/>
      <c r="AN324" s="308"/>
      <c r="AO324" s="308"/>
      <c r="AP324" s="308"/>
      <c r="AQ324" s="308"/>
      <c r="AR324" s="308"/>
    </row>
    <row r="325" spans="1:44" ht="16.5">
      <c r="A325" s="308"/>
      <c r="B325" s="308"/>
      <c r="C325" s="308"/>
      <c r="D325" s="308"/>
      <c r="E325" s="309"/>
      <c r="F325" s="308"/>
      <c r="G325" s="308"/>
      <c r="H325" s="308"/>
      <c r="I325" s="308"/>
      <c r="J325" s="308"/>
      <c r="K325" s="308"/>
      <c r="L325" s="308"/>
      <c r="M325" s="308"/>
      <c r="N325" s="308"/>
      <c r="O325" s="308"/>
      <c r="P325" s="308"/>
      <c r="Q325" s="308"/>
      <c r="R325" s="308"/>
      <c r="S325" s="308"/>
      <c r="T325" s="308"/>
      <c r="U325" s="308"/>
      <c r="V325" s="308"/>
      <c r="W325" s="308"/>
      <c r="X325" s="308"/>
      <c r="Y325" s="308"/>
      <c r="Z325" s="308"/>
      <c r="AA325" s="308"/>
      <c r="AB325" s="308"/>
      <c r="AC325" s="308"/>
      <c r="AD325" s="308"/>
      <c r="AE325" s="308"/>
      <c r="AF325" s="308"/>
      <c r="AG325" s="308"/>
      <c r="AH325" s="308"/>
      <c r="AI325" s="308"/>
      <c r="AJ325" s="308"/>
      <c r="AK325" s="308"/>
      <c r="AL325" s="308"/>
      <c r="AM325" s="308"/>
      <c r="AN325" s="308"/>
      <c r="AO325" s="308"/>
      <c r="AP325" s="308"/>
      <c r="AQ325" s="308"/>
      <c r="AR325" s="308"/>
    </row>
    <row r="326" spans="1:44" ht="16.5">
      <c r="A326" s="308"/>
      <c r="B326" s="308"/>
      <c r="C326" s="308"/>
      <c r="D326" s="308"/>
      <c r="E326" s="309"/>
      <c r="F326" s="308"/>
      <c r="G326" s="308"/>
      <c r="H326" s="308"/>
      <c r="I326" s="308"/>
      <c r="J326" s="308"/>
      <c r="K326" s="308"/>
      <c r="L326" s="308"/>
      <c r="M326" s="308"/>
      <c r="N326" s="308"/>
      <c r="O326" s="308"/>
      <c r="P326" s="308"/>
      <c r="Q326" s="308"/>
      <c r="R326" s="308"/>
      <c r="S326" s="308"/>
      <c r="T326" s="308"/>
      <c r="U326" s="308"/>
      <c r="V326" s="308"/>
      <c r="W326" s="308"/>
      <c r="X326" s="308"/>
      <c r="Y326" s="308"/>
      <c r="Z326" s="308"/>
      <c r="AA326" s="308"/>
      <c r="AB326" s="308"/>
      <c r="AC326" s="308"/>
      <c r="AD326" s="308"/>
      <c r="AE326" s="308"/>
      <c r="AF326" s="308"/>
      <c r="AG326" s="308"/>
      <c r="AH326" s="308"/>
      <c r="AI326" s="308"/>
      <c r="AJ326" s="308"/>
      <c r="AK326" s="308"/>
      <c r="AL326" s="308"/>
      <c r="AM326" s="308"/>
      <c r="AN326" s="308"/>
      <c r="AO326" s="308"/>
      <c r="AP326" s="308"/>
      <c r="AQ326" s="308"/>
      <c r="AR326" s="308"/>
    </row>
    <row r="327" spans="1:44" ht="16.5">
      <c r="A327" s="308"/>
      <c r="B327" s="308"/>
      <c r="C327" s="308"/>
      <c r="D327" s="308"/>
      <c r="E327" s="309"/>
      <c r="F327" s="308"/>
      <c r="G327" s="308"/>
      <c r="H327" s="308"/>
      <c r="I327" s="308"/>
      <c r="J327" s="308"/>
      <c r="K327" s="308"/>
      <c r="L327" s="308"/>
      <c r="M327" s="308"/>
      <c r="N327" s="308"/>
      <c r="O327" s="308"/>
      <c r="P327" s="308"/>
      <c r="Q327" s="308"/>
      <c r="R327" s="308"/>
      <c r="S327" s="308"/>
      <c r="T327" s="308"/>
      <c r="U327" s="308"/>
      <c r="V327" s="308"/>
      <c r="W327" s="308"/>
      <c r="X327" s="308"/>
      <c r="Y327" s="308"/>
      <c r="Z327" s="308"/>
      <c r="AA327" s="308"/>
      <c r="AB327" s="308"/>
      <c r="AC327" s="308"/>
      <c r="AD327" s="308"/>
      <c r="AE327" s="308"/>
      <c r="AF327" s="308"/>
      <c r="AG327" s="308"/>
      <c r="AH327" s="308"/>
      <c r="AI327" s="308"/>
      <c r="AJ327" s="308"/>
      <c r="AK327" s="308"/>
      <c r="AL327" s="308"/>
      <c r="AM327" s="308"/>
      <c r="AN327" s="308"/>
      <c r="AO327" s="308"/>
      <c r="AP327" s="308"/>
      <c r="AQ327" s="308"/>
      <c r="AR327" s="308"/>
    </row>
    <row r="328" spans="1:44" ht="16.5">
      <c r="A328" s="308"/>
      <c r="B328" s="308"/>
      <c r="C328" s="308"/>
      <c r="D328" s="308"/>
      <c r="E328" s="309"/>
      <c r="F328" s="308"/>
      <c r="G328" s="308"/>
      <c r="H328" s="308"/>
      <c r="I328" s="308"/>
      <c r="J328" s="308"/>
      <c r="K328" s="308"/>
      <c r="L328" s="308"/>
      <c r="M328" s="308"/>
      <c r="N328" s="308"/>
      <c r="O328" s="308"/>
      <c r="P328" s="308"/>
      <c r="Q328" s="308"/>
      <c r="R328" s="308"/>
      <c r="S328" s="308"/>
      <c r="T328" s="308"/>
      <c r="U328" s="308"/>
      <c r="V328" s="308"/>
      <c r="W328" s="308"/>
      <c r="X328" s="308"/>
      <c r="Y328" s="308"/>
      <c r="Z328" s="308"/>
      <c r="AA328" s="308"/>
      <c r="AB328" s="308"/>
      <c r="AC328" s="308"/>
      <c r="AD328" s="308"/>
      <c r="AE328" s="308"/>
      <c r="AF328" s="308"/>
      <c r="AG328" s="308"/>
      <c r="AH328" s="308"/>
      <c r="AI328" s="308"/>
      <c r="AJ328" s="308"/>
      <c r="AK328" s="308"/>
      <c r="AL328" s="308"/>
      <c r="AM328" s="308"/>
      <c r="AN328" s="308"/>
      <c r="AO328" s="308"/>
      <c r="AP328" s="308"/>
      <c r="AQ328" s="308"/>
      <c r="AR328" s="308"/>
    </row>
    <row r="329" spans="1:44" ht="16.5">
      <c r="A329" s="308"/>
      <c r="B329" s="308"/>
      <c r="C329" s="308"/>
      <c r="D329" s="308"/>
      <c r="E329" s="309"/>
      <c r="F329" s="308"/>
      <c r="G329" s="308"/>
      <c r="H329" s="308"/>
      <c r="I329" s="308"/>
      <c r="J329" s="308"/>
      <c r="K329" s="308"/>
      <c r="L329" s="308"/>
      <c r="M329" s="308"/>
      <c r="N329" s="308"/>
      <c r="O329" s="308"/>
      <c r="P329" s="308"/>
      <c r="Q329" s="308"/>
      <c r="R329" s="308"/>
      <c r="S329" s="308"/>
      <c r="T329" s="308"/>
      <c r="U329" s="308"/>
      <c r="V329" s="308"/>
      <c r="W329" s="308"/>
      <c r="X329" s="308"/>
      <c r="Y329" s="308"/>
      <c r="Z329" s="308"/>
      <c r="AA329" s="308"/>
      <c r="AB329" s="308"/>
      <c r="AC329" s="308"/>
      <c r="AD329" s="308"/>
      <c r="AE329" s="308"/>
      <c r="AF329" s="308"/>
      <c r="AG329" s="308"/>
      <c r="AH329" s="308"/>
      <c r="AI329" s="308"/>
      <c r="AJ329" s="308"/>
      <c r="AK329" s="308"/>
      <c r="AL329" s="308"/>
      <c r="AM329" s="308"/>
      <c r="AN329" s="308"/>
      <c r="AO329" s="308"/>
      <c r="AP329" s="308"/>
      <c r="AQ329" s="308"/>
      <c r="AR329" s="308"/>
    </row>
    <row r="330" spans="1:44" ht="16.5">
      <c r="A330" s="308"/>
      <c r="B330" s="308"/>
      <c r="C330" s="308"/>
      <c r="D330" s="308"/>
      <c r="E330" s="309"/>
      <c r="F330" s="308"/>
      <c r="G330" s="308"/>
      <c r="H330" s="308"/>
      <c r="I330" s="308"/>
      <c r="J330" s="308"/>
      <c r="K330" s="308"/>
      <c r="L330" s="308"/>
      <c r="M330" s="308"/>
      <c r="N330" s="308"/>
      <c r="O330" s="308"/>
      <c r="P330" s="308"/>
      <c r="Q330" s="308"/>
      <c r="R330" s="308"/>
      <c r="S330" s="308"/>
      <c r="T330" s="308"/>
      <c r="U330" s="308"/>
      <c r="V330" s="308"/>
      <c r="W330" s="308"/>
      <c r="X330" s="308"/>
      <c r="Y330" s="308"/>
      <c r="Z330" s="308"/>
      <c r="AA330" s="308"/>
      <c r="AB330" s="308"/>
      <c r="AC330" s="308"/>
      <c r="AD330" s="308"/>
      <c r="AE330" s="308"/>
      <c r="AF330" s="308"/>
      <c r="AG330" s="308"/>
      <c r="AH330" s="308"/>
      <c r="AI330" s="308"/>
      <c r="AJ330" s="308"/>
      <c r="AK330" s="308"/>
      <c r="AL330" s="308"/>
      <c r="AM330" s="308"/>
      <c r="AN330" s="308"/>
      <c r="AO330" s="308"/>
      <c r="AP330" s="308"/>
      <c r="AQ330" s="308"/>
      <c r="AR330" s="308"/>
    </row>
    <row r="331" spans="1:44" ht="16.5">
      <c r="A331" s="308"/>
      <c r="B331" s="308"/>
      <c r="C331" s="308"/>
      <c r="D331" s="308"/>
      <c r="E331" s="309"/>
      <c r="F331" s="308"/>
      <c r="G331" s="308"/>
      <c r="H331" s="308"/>
      <c r="I331" s="308"/>
      <c r="J331" s="308"/>
      <c r="K331" s="308"/>
      <c r="L331" s="308"/>
      <c r="M331" s="308"/>
      <c r="N331" s="308"/>
      <c r="O331" s="308"/>
      <c r="P331" s="308"/>
      <c r="Q331" s="308"/>
      <c r="R331" s="308"/>
      <c r="S331" s="308"/>
      <c r="T331" s="308"/>
      <c r="U331" s="308"/>
      <c r="V331" s="308"/>
      <c r="W331" s="308"/>
      <c r="X331" s="308"/>
      <c r="Y331" s="308"/>
      <c r="Z331" s="308"/>
      <c r="AA331" s="308"/>
      <c r="AB331" s="308"/>
      <c r="AC331" s="308"/>
      <c r="AD331" s="308"/>
      <c r="AE331" s="308"/>
      <c r="AF331" s="308"/>
      <c r="AG331" s="308"/>
      <c r="AH331" s="308"/>
      <c r="AI331" s="308"/>
      <c r="AJ331" s="308"/>
      <c r="AK331" s="308"/>
      <c r="AL331" s="308"/>
      <c r="AM331" s="308"/>
      <c r="AN331" s="308"/>
      <c r="AO331" s="308"/>
      <c r="AP331" s="308"/>
      <c r="AQ331" s="308"/>
      <c r="AR331" s="308"/>
    </row>
    <row r="332" spans="1:44" ht="16.5">
      <c r="A332" s="308"/>
      <c r="B332" s="308"/>
      <c r="C332" s="308"/>
      <c r="D332" s="308"/>
      <c r="E332" s="309"/>
      <c r="F332" s="308"/>
      <c r="G332" s="308"/>
      <c r="H332" s="308"/>
      <c r="I332" s="308"/>
      <c r="J332" s="308"/>
      <c r="K332" s="308"/>
      <c r="L332" s="308"/>
      <c r="M332" s="308"/>
      <c r="N332" s="308"/>
      <c r="O332" s="308"/>
      <c r="P332" s="308"/>
      <c r="Q332" s="308"/>
      <c r="R332" s="308"/>
      <c r="S332" s="308"/>
      <c r="T332" s="308"/>
      <c r="U332" s="308"/>
      <c r="V332" s="308"/>
      <c r="W332" s="308"/>
      <c r="X332" s="308"/>
      <c r="Y332" s="308"/>
      <c r="Z332" s="308"/>
      <c r="AA332" s="308"/>
      <c r="AB332" s="308"/>
      <c r="AC332" s="308"/>
      <c r="AD332" s="308"/>
      <c r="AE332" s="308"/>
      <c r="AF332" s="308"/>
      <c r="AG332" s="308"/>
      <c r="AH332" s="308"/>
      <c r="AI332" s="308"/>
      <c r="AJ332" s="308"/>
      <c r="AK332" s="308"/>
      <c r="AL332" s="308"/>
      <c r="AM332" s="308"/>
      <c r="AN332" s="308"/>
      <c r="AO332" s="308"/>
      <c r="AP332" s="308"/>
      <c r="AQ332" s="308"/>
      <c r="AR332" s="308"/>
    </row>
    <row r="333" spans="1:44" ht="16.5">
      <c r="A333" s="308"/>
      <c r="B333" s="308"/>
      <c r="C333" s="308"/>
      <c r="D333" s="308"/>
      <c r="E333" s="309"/>
      <c r="F333" s="308"/>
      <c r="G333" s="308"/>
      <c r="H333" s="308"/>
      <c r="I333" s="308"/>
      <c r="J333" s="308"/>
      <c r="K333" s="308"/>
      <c r="L333" s="308"/>
      <c r="M333" s="308"/>
      <c r="N333" s="308"/>
      <c r="O333" s="308"/>
      <c r="P333" s="308"/>
      <c r="Q333" s="308"/>
      <c r="R333" s="308"/>
      <c r="S333" s="308"/>
      <c r="T333" s="308"/>
      <c r="U333" s="308"/>
      <c r="V333" s="308"/>
      <c r="W333" s="308"/>
      <c r="X333" s="308"/>
      <c r="Y333" s="308"/>
      <c r="Z333" s="308"/>
      <c r="AA333" s="308"/>
      <c r="AB333" s="308"/>
      <c r="AC333" s="308"/>
      <c r="AD333" s="308"/>
      <c r="AE333" s="308"/>
      <c r="AF333" s="308"/>
      <c r="AG333" s="308"/>
      <c r="AH333" s="308"/>
      <c r="AI333" s="308"/>
      <c r="AJ333" s="308"/>
      <c r="AK333" s="308"/>
      <c r="AL333" s="308"/>
      <c r="AM333" s="308"/>
      <c r="AN333" s="308"/>
      <c r="AO333" s="308"/>
      <c r="AP333" s="308"/>
      <c r="AQ333" s="308"/>
      <c r="AR333" s="308"/>
    </row>
    <row r="334" spans="1:44" ht="16.5">
      <c r="A334" s="308"/>
      <c r="B334" s="308"/>
      <c r="C334" s="308"/>
      <c r="D334" s="308"/>
      <c r="E334" s="309"/>
      <c r="F334" s="308"/>
      <c r="G334" s="308"/>
      <c r="H334" s="308"/>
      <c r="I334" s="308"/>
      <c r="J334" s="308"/>
      <c r="K334" s="308"/>
      <c r="L334" s="308"/>
      <c r="M334" s="308"/>
      <c r="N334" s="308"/>
      <c r="O334" s="308"/>
      <c r="P334" s="308"/>
      <c r="Q334" s="308"/>
      <c r="R334" s="308"/>
      <c r="S334" s="308"/>
      <c r="T334" s="308"/>
      <c r="U334" s="308"/>
      <c r="V334" s="308"/>
      <c r="W334" s="308"/>
      <c r="X334" s="308"/>
      <c r="Y334" s="308"/>
      <c r="Z334" s="308"/>
      <c r="AA334" s="308"/>
      <c r="AB334" s="308"/>
      <c r="AC334" s="308"/>
      <c r="AD334" s="308"/>
      <c r="AE334" s="308"/>
      <c r="AF334" s="308"/>
      <c r="AG334" s="308"/>
      <c r="AH334" s="308"/>
      <c r="AI334" s="308"/>
      <c r="AJ334" s="308"/>
      <c r="AK334" s="308"/>
      <c r="AL334" s="308"/>
      <c r="AM334" s="308"/>
      <c r="AN334" s="308"/>
      <c r="AO334" s="308"/>
      <c r="AP334" s="308"/>
      <c r="AQ334" s="308"/>
      <c r="AR334" s="308"/>
    </row>
    <row r="335" spans="1:44" ht="16.5">
      <c r="A335" s="308"/>
      <c r="B335" s="308"/>
      <c r="C335" s="308"/>
      <c r="D335" s="308"/>
      <c r="E335" s="309"/>
      <c r="F335" s="308"/>
      <c r="G335" s="308"/>
      <c r="H335" s="308"/>
      <c r="I335" s="308"/>
      <c r="J335" s="308"/>
      <c r="K335" s="308"/>
      <c r="L335" s="308"/>
      <c r="M335" s="308"/>
      <c r="N335" s="308"/>
      <c r="O335" s="308"/>
      <c r="P335" s="308"/>
      <c r="Q335" s="308"/>
      <c r="R335" s="308"/>
      <c r="S335" s="308"/>
      <c r="T335" s="308"/>
      <c r="U335" s="308"/>
      <c r="V335" s="308"/>
      <c r="W335" s="308"/>
      <c r="X335" s="308"/>
      <c r="Y335" s="308"/>
      <c r="Z335" s="308"/>
      <c r="AA335" s="308"/>
      <c r="AB335" s="308"/>
      <c r="AC335" s="308"/>
      <c r="AD335" s="308"/>
      <c r="AE335" s="308"/>
      <c r="AF335" s="308"/>
      <c r="AG335" s="308"/>
      <c r="AH335" s="308"/>
      <c r="AI335" s="308"/>
      <c r="AJ335" s="308"/>
      <c r="AK335" s="308"/>
      <c r="AL335" s="308"/>
      <c r="AM335" s="308"/>
      <c r="AN335" s="308"/>
      <c r="AO335" s="308"/>
      <c r="AP335" s="308"/>
      <c r="AQ335" s="308"/>
      <c r="AR335" s="308"/>
    </row>
    <row r="336" spans="1:44" ht="16.5">
      <c r="A336" s="308"/>
      <c r="B336" s="308"/>
      <c r="C336" s="308"/>
      <c r="D336" s="308"/>
      <c r="E336" s="309"/>
      <c r="F336" s="308"/>
      <c r="G336" s="308"/>
      <c r="H336" s="308"/>
      <c r="I336" s="308"/>
      <c r="J336" s="308"/>
      <c r="K336" s="308"/>
      <c r="L336" s="308"/>
      <c r="M336" s="308"/>
      <c r="N336" s="308"/>
      <c r="O336" s="308"/>
      <c r="P336" s="308"/>
      <c r="Q336" s="308"/>
      <c r="R336" s="308"/>
      <c r="S336" s="308"/>
      <c r="T336" s="308"/>
      <c r="U336" s="308"/>
      <c r="V336" s="308"/>
      <c r="W336" s="308"/>
      <c r="X336" s="308"/>
      <c r="Y336" s="308"/>
      <c r="Z336" s="308"/>
      <c r="AA336" s="308"/>
      <c r="AB336" s="308"/>
      <c r="AC336" s="308"/>
      <c r="AD336" s="308"/>
      <c r="AE336" s="308"/>
      <c r="AF336" s="308"/>
      <c r="AG336" s="308"/>
      <c r="AH336" s="308"/>
      <c r="AI336" s="308"/>
      <c r="AJ336" s="308"/>
      <c r="AK336" s="308"/>
      <c r="AL336" s="308"/>
      <c r="AM336" s="308"/>
      <c r="AN336" s="308"/>
      <c r="AO336" s="308"/>
      <c r="AP336" s="308"/>
      <c r="AQ336" s="308"/>
      <c r="AR336" s="308"/>
    </row>
    <row r="337" spans="1:44" ht="16.5">
      <c r="A337" s="308"/>
      <c r="B337" s="308"/>
      <c r="C337" s="308"/>
      <c r="D337" s="308"/>
      <c r="E337" s="309"/>
      <c r="F337" s="308"/>
      <c r="G337" s="308"/>
      <c r="H337" s="308"/>
      <c r="I337" s="308"/>
      <c r="J337" s="308"/>
      <c r="K337" s="308"/>
      <c r="L337" s="308"/>
      <c r="M337" s="308"/>
      <c r="N337" s="308"/>
      <c r="O337" s="308"/>
      <c r="P337" s="308"/>
      <c r="Q337" s="308"/>
      <c r="R337" s="308"/>
      <c r="S337" s="308"/>
      <c r="T337" s="308"/>
      <c r="U337" s="308"/>
      <c r="V337" s="308"/>
      <c r="W337" s="308"/>
      <c r="X337" s="308"/>
      <c r="Y337" s="308"/>
      <c r="Z337" s="308"/>
      <c r="AA337" s="308"/>
      <c r="AB337" s="308"/>
      <c r="AC337" s="308"/>
      <c r="AD337" s="308"/>
      <c r="AE337" s="308"/>
      <c r="AF337" s="308"/>
      <c r="AG337" s="308"/>
      <c r="AH337" s="308"/>
      <c r="AI337" s="308"/>
      <c r="AJ337" s="308"/>
      <c r="AK337" s="308"/>
      <c r="AL337" s="308"/>
      <c r="AM337" s="308"/>
      <c r="AN337" s="308"/>
      <c r="AO337" s="308"/>
      <c r="AP337" s="308"/>
      <c r="AQ337" s="308"/>
      <c r="AR337" s="308"/>
    </row>
    <row r="338" spans="1:44" ht="16.5">
      <c r="A338" s="308"/>
      <c r="B338" s="308"/>
      <c r="C338" s="308"/>
      <c r="D338" s="308"/>
      <c r="E338" s="309"/>
      <c r="F338" s="308"/>
      <c r="G338" s="308"/>
      <c r="H338" s="308"/>
      <c r="I338" s="308"/>
      <c r="J338" s="308"/>
      <c r="K338" s="308"/>
      <c r="L338" s="308"/>
      <c r="M338" s="308"/>
      <c r="N338" s="308"/>
      <c r="O338" s="308"/>
      <c r="P338" s="308"/>
      <c r="Q338" s="308"/>
      <c r="R338" s="308"/>
      <c r="S338" s="308"/>
      <c r="T338" s="308"/>
      <c r="U338" s="308"/>
      <c r="V338" s="308"/>
      <c r="W338" s="308"/>
      <c r="X338" s="308"/>
      <c r="Y338" s="308"/>
      <c r="Z338" s="308"/>
      <c r="AA338" s="308"/>
      <c r="AB338" s="308"/>
      <c r="AC338" s="308"/>
      <c r="AD338" s="308"/>
      <c r="AE338" s="308"/>
      <c r="AF338" s="308"/>
      <c r="AG338" s="308"/>
      <c r="AH338" s="308"/>
      <c r="AI338" s="308"/>
      <c r="AJ338" s="308"/>
      <c r="AK338" s="308"/>
      <c r="AL338" s="308"/>
      <c r="AM338" s="308"/>
      <c r="AN338" s="308"/>
      <c r="AO338" s="308"/>
      <c r="AP338" s="308"/>
      <c r="AQ338" s="308"/>
      <c r="AR338" s="308"/>
    </row>
    <row r="339" spans="1:44" ht="16.5">
      <c r="A339" s="308"/>
      <c r="B339" s="308"/>
      <c r="C339" s="308"/>
      <c r="D339" s="308"/>
      <c r="E339" s="309"/>
      <c r="F339" s="308"/>
      <c r="G339" s="308"/>
      <c r="H339" s="308"/>
      <c r="I339" s="308"/>
      <c r="J339" s="308"/>
      <c r="K339" s="308"/>
      <c r="L339" s="308"/>
      <c r="M339" s="308"/>
      <c r="N339" s="308"/>
      <c r="O339" s="308"/>
      <c r="P339" s="308"/>
      <c r="Q339" s="308"/>
      <c r="R339" s="308"/>
      <c r="S339" s="308"/>
      <c r="T339" s="308"/>
      <c r="U339" s="308"/>
      <c r="V339" s="308"/>
      <c r="W339" s="308"/>
      <c r="X339" s="308"/>
      <c r="Y339" s="308"/>
      <c r="Z339" s="308"/>
      <c r="AA339" s="308"/>
      <c r="AB339" s="308"/>
      <c r="AC339" s="308"/>
      <c r="AD339" s="308"/>
      <c r="AE339" s="308"/>
      <c r="AF339" s="308"/>
      <c r="AG339" s="308"/>
      <c r="AH339" s="308"/>
      <c r="AI339" s="308"/>
      <c r="AJ339" s="308"/>
      <c r="AK339" s="308"/>
      <c r="AL339" s="308"/>
      <c r="AM339" s="308"/>
      <c r="AN339" s="308"/>
      <c r="AO339" s="308"/>
      <c r="AP339" s="308"/>
      <c r="AQ339" s="308"/>
      <c r="AR339" s="308"/>
    </row>
    <row r="340" spans="1:44" ht="16.5">
      <c r="A340" s="308"/>
      <c r="B340" s="308"/>
      <c r="C340" s="308"/>
      <c r="D340" s="308"/>
      <c r="E340" s="309"/>
      <c r="F340" s="308"/>
      <c r="G340" s="308"/>
      <c r="H340" s="308"/>
      <c r="I340" s="308"/>
      <c r="J340" s="308"/>
      <c r="K340" s="308"/>
      <c r="L340" s="308"/>
      <c r="M340" s="308"/>
      <c r="N340" s="308"/>
      <c r="O340" s="308"/>
      <c r="P340" s="308"/>
      <c r="Q340" s="308"/>
      <c r="R340" s="308"/>
      <c r="S340" s="308"/>
      <c r="T340" s="308"/>
      <c r="U340" s="308"/>
      <c r="V340" s="308"/>
      <c r="W340" s="308"/>
      <c r="X340" s="308"/>
      <c r="Y340" s="308"/>
      <c r="Z340" s="308"/>
      <c r="AA340" s="308"/>
      <c r="AB340" s="308"/>
      <c r="AC340" s="308"/>
      <c r="AD340" s="308"/>
      <c r="AE340" s="308"/>
      <c r="AF340" s="308"/>
      <c r="AG340" s="308"/>
      <c r="AH340" s="308"/>
      <c r="AI340" s="308"/>
      <c r="AJ340" s="308"/>
      <c r="AK340" s="308"/>
      <c r="AL340" s="308"/>
      <c r="AM340" s="308"/>
      <c r="AN340" s="308"/>
      <c r="AO340" s="308"/>
      <c r="AP340" s="308"/>
      <c r="AQ340" s="308"/>
      <c r="AR340" s="308"/>
    </row>
    <row r="341" spans="1:44" ht="16.5">
      <c r="A341" s="308"/>
      <c r="B341" s="308"/>
      <c r="C341" s="308"/>
      <c r="D341" s="308"/>
      <c r="E341" s="309"/>
      <c r="F341" s="308"/>
      <c r="G341" s="308"/>
      <c r="H341" s="308"/>
      <c r="I341" s="308"/>
      <c r="J341" s="308"/>
      <c r="K341" s="308"/>
      <c r="L341" s="308"/>
      <c r="M341" s="308"/>
      <c r="N341" s="308"/>
      <c r="O341" s="308"/>
      <c r="P341" s="308"/>
      <c r="Q341" s="308"/>
      <c r="R341" s="308"/>
      <c r="S341" s="308"/>
      <c r="T341" s="308"/>
      <c r="U341" s="308"/>
      <c r="V341" s="308"/>
      <c r="W341" s="308"/>
      <c r="X341" s="308"/>
      <c r="Y341" s="308"/>
      <c r="Z341" s="308"/>
      <c r="AA341" s="308"/>
      <c r="AB341" s="308"/>
      <c r="AC341" s="308"/>
      <c r="AD341" s="308"/>
      <c r="AE341" s="308"/>
      <c r="AF341" s="308"/>
      <c r="AG341" s="308"/>
      <c r="AH341" s="308"/>
      <c r="AI341" s="308"/>
      <c r="AJ341" s="308"/>
      <c r="AK341" s="308"/>
      <c r="AL341" s="308"/>
      <c r="AM341" s="308"/>
      <c r="AN341" s="308"/>
      <c r="AO341" s="308"/>
      <c r="AP341" s="308"/>
      <c r="AQ341" s="308"/>
      <c r="AR341" s="308"/>
    </row>
    <row r="342" spans="1:44" ht="16.5">
      <c r="A342" s="308"/>
      <c r="B342" s="308"/>
      <c r="C342" s="308"/>
      <c r="D342" s="308"/>
      <c r="E342" s="309"/>
      <c r="F342" s="308"/>
      <c r="G342" s="308"/>
      <c r="H342" s="308"/>
      <c r="I342" s="308"/>
      <c r="J342" s="308"/>
      <c r="K342" s="308"/>
      <c r="L342" s="308"/>
      <c r="M342" s="308"/>
      <c r="N342" s="308"/>
      <c r="O342" s="308"/>
      <c r="P342" s="308"/>
      <c r="Q342" s="308"/>
      <c r="R342" s="308"/>
      <c r="S342" s="308"/>
      <c r="T342" s="308"/>
      <c r="U342" s="308"/>
      <c r="V342" s="308"/>
      <c r="W342" s="308"/>
      <c r="X342" s="308"/>
      <c r="Y342" s="308"/>
      <c r="Z342" s="308"/>
      <c r="AA342" s="308"/>
      <c r="AB342" s="308"/>
      <c r="AC342" s="308"/>
      <c r="AD342" s="308"/>
      <c r="AE342" s="308"/>
      <c r="AF342" s="308"/>
      <c r="AG342" s="308"/>
      <c r="AH342" s="308"/>
      <c r="AI342" s="308"/>
      <c r="AJ342" s="308"/>
      <c r="AK342" s="308"/>
      <c r="AL342" s="308"/>
      <c r="AM342" s="308"/>
      <c r="AN342" s="308"/>
      <c r="AO342" s="308"/>
      <c r="AP342" s="308"/>
      <c r="AQ342" s="308"/>
      <c r="AR342" s="308"/>
    </row>
    <row r="343" spans="1:44" ht="16.5">
      <c r="A343" s="308"/>
      <c r="B343" s="308"/>
      <c r="C343" s="308"/>
      <c r="D343" s="308"/>
      <c r="E343" s="309"/>
      <c r="F343" s="308"/>
      <c r="G343" s="308"/>
      <c r="H343" s="308"/>
      <c r="I343" s="308"/>
      <c r="J343" s="308"/>
      <c r="K343" s="308"/>
      <c r="L343" s="308"/>
      <c r="M343" s="308"/>
      <c r="N343" s="308"/>
      <c r="O343" s="308"/>
      <c r="P343" s="308"/>
      <c r="Q343" s="308"/>
      <c r="R343" s="308"/>
      <c r="S343" s="308"/>
      <c r="T343" s="308"/>
      <c r="U343" s="308"/>
      <c r="V343" s="308"/>
      <c r="W343" s="308"/>
      <c r="X343" s="308"/>
      <c r="Y343" s="308"/>
      <c r="Z343" s="308"/>
      <c r="AA343" s="308"/>
      <c r="AB343" s="308"/>
      <c r="AC343" s="308"/>
      <c r="AD343" s="308"/>
      <c r="AE343" s="308"/>
      <c r="AF343" s="308"/>
      <c r="AG343" s="308"/>
      <c r="AH343" s="308"/>
      <c r="AI343" s="308"/>
      <c r="AJ343" s="308"/>
      <c r="AK343" s="308"/>
      <c r="AL343" s="308"/>
      <c r="AM343" s="308"/>
      <c r="AN343" s="308"/>
      <c r="AO343" s="308"/>
      <c r="AP343" s="308"/>
      <c r="AQ343" s="308"/>
      <c r="AR343" s="308"/>
    </row>
    <row r="344" spans="1:44" ht="16.5">
      <c r="A344" s="308"/>
      <c r="B344" s="308"/>
      <c r="C344" s="308"/>
      <c r="D344" s="308"/>
      <c r="E344" s="309"/>
      <c r="F344" s="308"/>
      <c r="G344" s="308"/>
      <c r="H344" s="308"/>
      <c r="I344" s="308"/>
      <c r="J344" s="308"/>
      <c r="K344" s="308"/>
      <c r="L344" s="308"/>
      <c r="M344" s="308"/>
      <c r="N344" s="308"/>
      <c r="O344" s="308"/>
      <c r="P344" s="308"/>
      <c r="Q344" s="308"/>
      <c r="R344" s="308"/>
      <c r="S344" s="308"/>
      <c r="T344" s="308"/>
      <c r="U344" s="308"/>
      <c r="V344" s="308"/>
      <c r="W344" s="308"/>
      <c r="X344" s="308"/>
      <c r="Y344" s="308"/>
      <c r="Z344" s="308"/>
      <c r="AA344" s="308"/>
      <c r="AB344" s="308"/>
      <c r="AC344" s="308"/>
      <c r="AD344" s="308"/>
      <c r="AE344" s="308"/>
      <c r="AF344" s="308"/>
      <c r="AG344" s="308"/>
      <c r="AH344" s="308"/>
      <c r="AI344" s="308"/>
      <c r="AJ344" s="308"/>
      <c r="AK344" s="308"/>
      <c r="AL344" s="308"/>
      <c r="AM344" s="308"/>
      <c r="AN344" s="308"/>
      <c r="AO344" s="308"/>
      <c r="AP344" s="308"/>
      <c r="AQ344" s="308"/>
      <c r="AR344" s="308"/>
    </row>
    <row r="345" spans="1:44" ht="16.5">
      <c r="A345" s="308"/>
      <c r="B345" s="308"/>
      <c r="C345" s="308"/>
      <c r="D345" s="308"/>
      <c r="E345" s="309"/>
      <c r="F345" s="308"/>
      <c r="G345" s="308"/>
      <c r="H345" s="308"/>
      <c r="I345" s="308"/>
      <c r="J345" s="308"/>
      <c r="K345" s="308"/>
      <c r="L345" s="308"/>
      <c r="M345" s="308"/>
      <c r="N345" s="308"/>
      <c r="O345" s="308"/>
      <c r="P345" s="308"/>
      <c r="Q345" s="308"/>
      <c r="R345" s="308"/>
      <c r="S345" s="308"/>
      <c r="T345" s="308"/>
      <c r="U345" s="308"/>
      <c r="V345" s="308"/>
      <c r="W345" s="308"/>
      <c r="X345" s="308"/>
      <c r="Y345" s="308"/>
      <c r="Z345" s="308"/>
      <c r="AA345" s="308"/>
      <c r="AB345" s="308"/>
      <c r="AC345" s="308"/>
      <c r="AD345" s="308"/>
      <c r="AE345" s="308"/>
      <c r="AF345" s="308"/>
      <c r="AG345" s="308"/>
      <c r="AH345" s="308"/>
      <c r="AI345" s="308"/>
      <c r="AJ345" s="308"/>
      <c r="AK345" s="308"/>
      <c r="AL345" s="308"/>
      <c r="AM345" s="308"/>
      <c r="AN345" s="308"/>
      <c r="AO345" s="308"/>
      <c r="AP345" s="308"/>
      <c r="AQ345" s="308"/>
      <c r="AR345" s="308"/>
    </row>
    <row r="346" spans="1:44" ht="16.5">
      <c r="A346" s="308"/>
      <c r="B346" s="308"/>
      <c r="C346" s="308"/>
      <c r="D346" s="308"/>
      <c r="E346" s="309"/>
      <c r="F346" s="308"/>
      <c r="G346" s="308"/>
      <c r="H346" s="308"/>
      <c r="I346" s="308"/>
      <c r="J346" s="308"/>
      <c r="K346" s="308"/>
      <c r="L346" s="308"/>
      <c r="M346" s="308"/>
      <c r="N346" s="308"/>
      <c r="O346" s="308"/>
      <c r="P346" s="308"/>
      <c r="Q346" s="308"/>
      <c r="R346" s="308"/>
      <c r="S346" s="308"/>
      <c r="T346" s="308"/>
      <c r="U346" s="308"/>
      <c r="V346" s="308"/>
      <c r="W346" s="308"/>
      <c r="X346" s="308"/>
      <c r="Y346" s="308"/>
      <c r="Z346" s="308"/>
      <c r="AA346" s="308"/>
      <c r="AB346" s="308"/>
      <c r="AC346" s="308"/>
      <c r="AD346" s="308"/>
      <c r="AE346" s="308"/>
      <c r="AF346" s="308"/>
      <c r="AG346" s="308"/>
      <c r="AH346" s="308"/>
      <c r="AI346" s="308"/>
      <c r="AJ346" s="308"/>
      <c r="AK346" s="308"/>
      <c r="AL346" s="308"/>
      <c r="AM346" s="308"/>
      <c r="AN346" s="308"/>
      <c r="AO346" s="308"/>
      <c r="AP346" s="308"/>
      <c r="AQ346" s="308"/>
      <c r="AR346" s="308"/>
    </row>
    <row r="347" spans="1:44" ht="16.5">
      <c r="A347" s="308"/>
      <c r="B347" s="308"/>
      <c r="C347" s="308"/>
      <c r="D347" s="308"/>
      <c r="E347" s="309"/>
      <c r="F347" s="308"/>
      <c r="G347" s="308"/>
      <c r="H347" s="308"/>
      <c r="I347" s="308"/>
      <c r="J347" s="308"/>
      <c r="K347" s="308"/>
      <c r="L347" s="308"/>
      <c r="M347" s="308"/>
      <c r="N347" s="308"/>
      <c r="O347" s="308"/>
      <c r="P347" s="308"/>
      <c r="Q347" s="308"/>
      <c r="R347" s="308"/>
      <c r="S347" s="308"/>
      <c r="T347" s="308"/>
      <c r="U347" s="308"/>
      <c r="V347" s="308"/>
      <c r="W347" s="308"/>
      <c r="X347" s="308"/>
      <c r="Y347" s="308"/>
      <c r="Z347" s="308"/>
      <c r="AA347" s="308"/>
      <c r="AB347" s="308"/>
      <c r="AC347" s="308"/>
      <c r="AD347" s="308"/>
      <c r="AE347" s="308"/>
      <c r="AF347" s="308"/>
      <c r="AG347" s="308"/>
      <c r="AH347" s="308"/>
      <c r="AI347" s="308"/>
      <c r="AJ347" s="308"/>
      <c r="AK347" s="308"/>
      <c r="AL347" s="308"/>
      <c r="AM347" s="308"/>
      <c r="AN347" s="308"/>
      <c r="AO347" s="308"/>
      <c r="AP347" s="308"/>
      <c r="AQ347" s="308"/>
      <c r="AR347" s="308"/>
    </row>
    <row r="348" spans="1:44" ht="16.5">
      <c r="A348" s="308"/>
      <c r="B348" s="308"/>
      <c r="C348" s="308"/>
      <c r="D348" s="308"/>
      <c r="E348" s="309"/>
      <c r="F348" s="308"/>
      <c r="G348" s="308"/>
      <c r="H348" s="308"/>
      <c r="I348" s="308"/>
      <c r="J348" s="308"/>
      <c r="K348" s="308"/>
      <c r="L348" s="308"/>
      <c r="M348" s="308"/>
      <c r="N348" s="308"/>
      <c r="O348" s="308"/>
      <c r="P348" s="308"/>
      <c r="Q348" s="308"/>
      <c r="R348" s="308"/>
      <c r="S348" s="308"/>
      <c r="T348" s="308"/>
      <c r="U348" s="308"/>
      <c r="V348" s="308"/>
      <c r="W348" s="308"/>
      <c r="X348" s="308"/>
      <c r="Y348" s="308"/>
      <c r="Z348" s="308"/>
      <c r="AA348" s="308"/>
      <c r="AB348" s="308"/>
      <c r="AC348" s="308"/>
      <c r="AD348" s="308"/>
      <c r="AE348" s="308"/>
      <c r="AF348" s="308"/>
      <c r="AG348" s="308"/>
      <c r="AH348" s="308"/>
      <c r="AI348" s="308"/>
      <c r="AJ348" s="308"/>
      <c r="AK348" s="308"/>
      <c r="AL348" s="308"/>
      <c r="AM348" s="308"/>
      <c r="AN348" s="308"/>
      <c r="AO348" s="308"/>
      <c r="AP348" s="308"/>
      <c r="AQ348" s="308"/>
      <c r="AR348" s="308"/>
    </row>
    <row r="349" spans="1:44" ht="16.5">
      <c r="A349" s="308"/>
      <c r="B349" s="308"/>
      <c r="C349" s="308"/>
      <c r="D349" s="308"/>
      <c r="E349" s="309"/>
      <c r="F349" s="308"/>
      <c r="G349" s="308"/>
      <c r="H349" s="308"/>
      <c r="I349" s="308"/>
      <c r="J349" s="308"/>
      <c r="K349" s="308"/>
      <c r="L349" s="308"/>
      <c r="M349" s="308"/>
      <c r="N349" s="308"/>
      <c r="O349" s="308"/>
      <c r="P349" s="308"/>
      <c r="Q349" s="308"/>
      <c r="R349" s="308"/>
      <c r="S349" s="308"/>
      <c r="T349" s="308"/>
      <c r="U349" s="308"/>
      <c r="V349" s="308"/>
      <c r="W349" s="308"/>
      <c r="X349" s="308"/>
      <c r="Y349" s="308"/>
      <c r="Z349" s="308"/>
      <c r="AA349" s="308"/>
      <c r="AB349" s="308"/>
      <c r="AC349" s="308"/>
      <c r="AD349" s="308"/>
      <c r="AE349" s="308"/>
      <c r="AF349" s="308"/>
      <c r="AG349" s="308"/>
      <c r="AH349" s="308"/>
      <c r="AI349" s="308"/>
      <c r="AJ349" s="308"/>
      <c r="AK349" s="308"/>
      <c r="AL349" s="308"/>
      <c r="AM349" s="308"/>
      <c r="AN349" s="308"/>
      <c r="AO349" s="308"/>
      <c r="AP349" s="308"/>
      <c r="AQ349" s="308"/>
      <c r="AR349" s="308"/>
    </row>
    <row r="350" spans="1:44" ht="16.5">
      <c r="A350" s="308"/>
      <c r="B350" s="308"/>
      <c r="C350" s="308"/>
      <c r="D350" s="308"/>
      <c r="E350" s="309"/>
      <c r="F350" s="308"/>
      <c r="G350" s="308"/>
      <c r="H350" s="308"/>
      <c r="I350" s="308"/>
      <c r="J350" s="308"/>
      <c r="K350" s="308"/>
      <c r="L350" s="308"/>
      <c r="M350" s="308"/>
      <c r="N350" s="308"/>
      <c r="O350" s="308"/>
      <c r="P350" s="308"/>
      <c r="Q350" s="308"/>
      <c r="R350" s="308"/>
      <c r="S350" s="308"/>
      <c r="T350" s="308"/>
      <c r="U350" s="308"/>
      <c r="V350" s="308"/>
      <c r="W350" s="308"/>
      <c r="X350" s="308"/>
      <c r="Y350" s="308"/>
      <c r="Z350" s="308"/>
      <c r="AA350" s="308"/>
      <c r="AB350" s="308"/>
      <c r="AC350" s="308"/>
      <c r="AD350" s="308"/>
      <c r="AE350" s="308"/>
      <c r="AF350" s="308"/>
      <c r="AG350" s="308"/>
      <c r="AH350" s="308"/>
      <c r="AI350" s="308"/>
      <c r="AJ350" s="308"/>
      <c r="AK350" s="308"/>
      <c r="AL350" s="308"/>
      <c r="AM350" s="308"/>
      <c r="AN350" s="308"/>
      <c r="AO350" s="308"/>
      <c r="AP350" s="308"/>
      <c r="AQ350" s="308"/>
      <c r="AR350" s="308"/>
    </row>
    <row r="351" spans="1:44" ht="16.5">
      <c r="A351" s="308"/>
      <c r="B351" s="308"/>
      <c r="C351" s="308"/>
      <c r="D351" s="308"/>
      <c r="E351" s="309"/>
      <c r="F351" s="308"/>
      <c r="G351" s="308"/>
      <c r="H351" s="308"/>
      <c r="I351" s="308"/>
      <c r="J351" s="308"/>
      <c r="K351" s="308"/>
      <c r="L351" s="308"/>
      <c r="M351" s="308"/>
      <c r="N351" s="308"/>
      <c r="O351" s="308"/>
      <c r="P351" s="308"/>
      <c r="Q351" s="308"/>
      <c r="R351" s="308"/>
      <c r="S351" s="308"/>
      <c r="T351" s="308"/>
      <c r="U351" s="308"/>
      <c r="V351" s="308"/>
      <c r="W351" s="308"/>
      <c r="X351" s="308"/>
      <c r="Y351" s="308"/>
      <c r="Z351" s="308"/>
      <c r="AA351" s="308"/>
      <c r="AB351" s="308"/>
      <c r="AC351" s="308"/>
      <c r="AD351" s="308"/>
      <c r="AE351" s="308"/>
      <c r="AF351" s="308"/>
      <c r="AG351" s="308"/>
      <c r="AH351" s="308"/>
      <c r="AI351" s="308"/>
      <c r="AJ351" s="308"/>
      <c r="AK351" s="308"/>
      <c r="AL351" s="308"/>
      <c r="AM351" s="308"/>
      <c r="AN351" s="308"/>
      <c r="AO351" s="308"/>
      <c r="AP351" s="308"/>
      <c r="AQ351" s="308"/>
      <c r="AR351" s="308"/>
    </row>
    <row r="352" spans="1:44" ht="16.5">
      <c r="A352" s="308"/>
      <c r="B352" s="308"/>
      <c r="C352" s="308"/>
      <c r="D352" s="308"/>
      <c r="E352" s="309"/>
      <c r="F352" s="308"/>
      <c r="G352" s="308"/>
      <c r="H352" s="308"/>
      <c r="I352" s="308"/>
      <c r="J352" s="308"/>
      <c r="K352" s="308"/>
      <c r="L352" s="308"/>
      <c r="M352" s="308"/>
      <c r="N352" s="308"/>
      <c r="O352" s="308"/>
      <c r="P352" s="308"/>
      <c r="Q352" s="308"/>
      <c r="R352" s="308"/>
      <c r="S352" s="308"/>
      <c r="T352" s="308"/>
      <c r="U352" s="308"/>
      <c r="V352" s="308"/>
      <c r="W352" s="308"/>
      <c r="X352" s="308"/>
      <c r="Y352" s="308"/>
      <c r="Z352" s="308"/>
      <c r="AA352" s="308"/>
      <c r="AB352" s="308"/>
      <c r="AC352" s="308"/>
      <c r="AD352" s="308"/>
      <c r="AE352" s="308"/>
      <c r="AF352" s="308"/>
      <c r="AG352" s="308"/>
      <c r="AH352" s="308"/>
      <c r="AI352" s="308"/>
      <c r="AJ352" s="308"/>
      <c r="AK352" s="308"/>
      <c r="AL352" s="308"/>
      <c r="AM352" s="308"/>
      <c r="AN352" s="308"/>
      <c r="AO352" s="308"/>
      <c r="AP352" s="308"/>
      <c r="AQ352" s="308"/>
      <c r="AR352" s="308"/>
    </row>
    <row r="353" spans="1:44" ht="16.5">
      <c r="A353" s="308"/>
      <c r="B353" s="308"/>
      <c r="C353" s="308"/>
      <c r="D353" s="308"/>
      <c r="E353" s="309"/>
      <c r="F353" s="308"/>
      <c r="G353" s="308"/>
      <c r="H353" s="308"/>
      <c r="I353" s="308"/>
      <c r="J353" s="308"/>
      <c r="K353" s="308"/>
      <c r="L353" s="308"/>
      <c r="M353" s="308"/>
      <c r="N353" s="308"/>
      <c r="O353" s="308"/>
      <c r="P353" s="308"/>
      <c r="Q353" s="308"/>
      <c r="R353" s="308"/>
      <c r="S353" s="308"/>
      <c r="T353" s="308"/>
      <c r="U353" s="308"/>
      <c r="V353" s="308"/>
      <c r="W353" s="308"/>
      <c r="X353" s="308"/>
      <c r="Y353" s="308"/>
      <c r="Z353" s="308"/>
      <c r="AA353" s="308"/>
      <c r="AB353" s="308"/>
      <c r="AC353" s="308"/>
      <c r="AD353" s="308"/>
      <c r="AE353" s="308"/>
      <c r="AF353" s="308"/>
      <c r="AG353" s="308"/>
      <c r="AH353" s="308"/>
      <c r="AI353" s="308"/>
      <c r="AJ353" s="308"/>
      <c r="AK353" s="308"/>
      <c r="AL353" s="308"/>
      <c r="AM353" s="308"/>
      <c r="AN353" s="308"/>
      <c r="AO353" s="308"/>
      <c r="AP353" s="308"/>
      <c r="AQ353" s="308"/>
      <c r="AR353" s="308"/>
    </row>
    <row r="354" spans="1:44" ht="16.5">
      <c r="A354" s="308"/>
      <c r="B354" s="308"/>
      <c r="C354" s="308"/>
      <c r="D354" s="308"/>
      <c r="E354" s="309"/>
      <c r="F354" s="308"/>
      <c r="G354" s="308"/>
      <c r="H354" s="308"/>
      <c r="I354" s="308"/>
      <c r="J354" s="308"/>
      <c r="K354" s="308"/>
      <c r="L354" s="308"/>
      <c r="M354" s="308"/>
      <c r="N354" s="308"/>
      <c r="O354" s="308"/>
      <c r="P354" s="308"/>
      <c r="Q354" s="308"/>
      <c r="R354" s="308"/>
      <c r="S354" s="308"/>
      <c r="T354" s="308"/>
      <c r="U354" s="308"/>
      <c r="V354" s="308"/>
      <c r="W354" s="308"/>
      <c r="X354" s="308"/>
      <c r="Y354" s="308"/>
      <c r="Z354" s="308"/>
      <c r="AA354" s="308"/>
      <c r="AB354" s="308"/>
      <c r="AC354" s="308"/>
      <c r="AD354" s="308"/>
      <c r="AE354" s="308"/>
      <c r="AF354" s="308"/>
      <c r="AG354" s="308"/>
      <c r="AH354" s="308"/>
      <c r="AI354" s="308"/>
      <c r="AJ354" s="308"/>
      <c r="AK354" s="308"/>
      <c r="AL354" s="308"/>
      <c r="AM354" s="308"/>
      <c r="AN354" s="308"/>
      <c r="AO354" s="308"/>
      <c r="AP354" s="308"/>
      <c r="AQ354" s="308"/>
      <c r="AR354" s="308"/>
    </row>
    <row r="355" spans="1:44" ht="16.5">
      <c r="A355" s="308"/>
      <c r="B355" s="308"/>
      <c r="C355" s="308"/>
      <c r="D355" s="308"/>
      <c r="E355" s="309"/>
      <c r="F355" s="308"/>
      <c r="G355" s="308"/>
      <c r="H355" s="308"/>
      <c r="I355" s="308"/>
      <c r="J355" s="308"/>
      <c r="K355" s="308"/>
      <c r="L355" s="308"/>
      <c r="M355" s="308"/>
      <c r="N355" s="308"/>
      <c r="O355" s="308"/>
      <c r="P355" s="308"/>
      <c r="Q355" s="308"/>
      <c r="R355" s="308"/>
      <c r="S355" s="308"/>
      <c r="T355" s="308"/>
      <c r="U355" s="308"/>
      <c r="V355" s="308"/>
      <c r="W355" s="308"/>
      <c r="X355" s="308"/>
      <c r="Y355" s="308"/>
      <c r="Z355" s="308"/>
      <c r="AA355" s="308"/>
      <c r="AB355" s="308"/>
      <c r="AC355" s="308"/>
      <c r="AD355" s="308"/>
      <c r="AE355" s="308"/>
      <c r="AF355" s="308"/>
      <c r="AG355" s="308"/>
      <c r="AH355" s="308"/>
      <c r="AI355" s="308"/>
      <c r="AJ355" s="308"/>
      <c r="AK355" s="308"/>
      <c r="AL355" s="308"/>
      <c r="AM355" s="308"/>
      <c r="AN355" s="308"/>
      <c r="AO355" s="308"/>
      <c r="AP355" s="308"/>
      <c r="AQ355" s="308"/>
      <c r="AR355" s="308"/>
    </row>
    <row r="356" spans="1:44" ht="16.5">
      <c r="A356" s="308"/>
      <c r="B356" s="308"/>
      <c r="C356" s="308"/>
      <c r="D356" s="308"/>
      <c r="E356" s="309"/>
      <c r="F356" s="308"/>
      <c r="G356" s="308"/>
      <c r="H356" s="308"/>
      <c r="I356" s="308"/>
      <c r="J356" s="308"/>
      <c r="K356" s="308"/>
      <c r="L356" s="308"/>
      <c r="M356" s="308"/>
      <c r="N356" s="308"/>
      <c r="O356" s="308"/>
      <c r="P356" s="308"/>
      <c r="Q356" s="308"/>
      <c r="R356" s="308"/>
      <c r="S356" s="308"/>
      <c r="T356" s="308"/>
      <c r="U356" s="308"/>
      <c r="V356" s="308"/>
      <c r="W356" s="308"/>
      <c r="X356" s="308"/>
      <c r="Y356" s="308"/>
      <c r="Z356" s="308"/>
      <c r="AA356" s="308"/>
      <c r="AB356" s="308"/>
      <c r="AC356" s="308"/>
      <c r="AD356" s="308"/>
      <c r="AE356" s="308"/>
      <c r="AF356" s="308"/>
      <c r="AG356" s="308"/>
      <c r="AH356" s="308"/>
      <c r="AI356" s="308"/>
      <c r="AJ356" s="308"/>
      <c r="AK356" s="308"/>
      <c r="AL356" s="308"/>
      <c r="AM356" s="308"/>
      <c r="AN356" s="308"/>
      <c r="AO356" s="308"/>
      <c r="AP356" s="308"/>
      <c r="AQ356" s="308"/>
      <c r="AR356" s="308"/>
    </row>
    <row r="357" spans="1:44" ht="16.5">
      <c r="A357" s="308"/>
      <c r="B357" s="308"/>
      <c r="C357" s="308"/>
      <c r="D357" s="308"/>
      <c r="E357" s="309"/>
      <c r="F357" s="308"/>
      <c r="G357" s="308"/>
      <c r="H357" s="308"/>
      <c r="I357" s="308"/>
      <c r="J357" s="308"/>
      <c r="K357" s="308"/>
      <c r="L357" s="308"/>
      <c r="M357" s="308"/>
      <c r="N357" s="308"/>
      <c r="O357" s="308"/>
      <c r="P357" s="308"/>
      <c r="Q357" s="308"/>
      <c r="R357" s="308"/>
      <c r="S357" s="308"/>
      <c r="T357" s="308"/>
      <c r="U357" s="308"/>
      <c r="V357" s="308"/>
      <c r="W357" s="308"/>
      <c r="X357" s="308"/>
      <c r="Y357" s="308"/>
      <c r="Z357" s="308"/>
      <c r="AA357" s="308"/>
      <c r="AB357" s="308"/>
      <c r="AC357" s="308"/>
      <c r="AD357" s="308"/>
      <c r="AE357" s="308"/>
      <c r="AF357" s="308"/>
      <c r="AG357" s="308"/>
      <c r="AH357" s="308"/>
      <c r="AI357" s="308"/>
      <c r="AJ357" s="308"/>
      <c r="AK357" s="308"/>
      <c r="AL357" s="308"/>
      <c r="AM357" s="308"/>
      <c r="AN357" s="308"/>
      <c r="AO357" s="308"/>
      <c r="AP357" s="308"/>
      <c r="AQ357" s="308"/>
      <c r="AR357" s="308"/>
    </row>
    <row r="358" spans="1:44" ht="16.5">
      <c r="A358" s="308"/>
      <c r="B358" s="308"/>
      <c r="C358" s="308"/>
      <c r="D358" s="308"/>
      <c r="E358" s="309"/>
      <c r="F358" s="308"/>
      <c r="G358" s="308"/>
      <c r="H358" s="308"/>
      <c r="I358" s="308"/>
      <c r="J358" s="308"/>
      <c r="K358" s="308"/>
      <c r="L358" s="308"/>
      <c r="M358" s="308"/>
      <c r="N358" s="308"/>
      <c r="O358" s="308"/>
      <c r="P358" s="308"/>
      <c r="Q358" s="308"/>
      <c r="R358" s="308"/>
      <c r="S358" s="308"/>
      <c r="T358" s="308"/>
      <c r="U358" s="308"/>
      <c r="V358" s="308"/>
      <c r="W358" s="308"/>
      <c r="X358" s="308"/>
      <c r="Y358" s="308"/>
      <c r="Z358" s="308"/>
      <c r="AA358" s="308"/>
      <c r="AB358" s="308"/>
      <c r="AC358" s="308"/>
      <c r="AD358" s="308"/>
      <c r="AE358" s="308"/>
      <c r="AF358" s="308"/>
      <c r="AG358" s="308"/>
      <c r="AH358" s="308"/>
      <c r="AI358" s="308"/>
      <c r="AJ358" s="308"/>
      <c r="AK358" s="308"/>
      <c r="AL358" s="308"/>
      <c r="AM358" s="308"/>
      <c r="AN358" s="308"/>
      <c r="AO358" s="308"/>
      <c r="AP358" s="308"/>
      <c r="AQ358" s="308"/>
      <c r="AR358" s="308"/>
    </row>
    <row r="359" spans="1:44" ht="16.5">
      <c r="A359" s="308"/>
      <c r="B359" s="308"/>
      <c r="C359" s="308"/>
      <c r="D359" s="308"/>
      <c r="E359" s="309"/>
      <c r="F359" s="308"/>
      <c r="G359" s="308"/>
      <c r="H359" s="308"/>
      <c r="I359" s="308"/>
      <c r="J359" s="308"/>
      <c r="K359" s="308"/>
      <c r="L359" s="308"/>
      <c r="M359" s="308"/>
      <c r="N359" s="308"/>
      <c r="O359" s="308"/>
      <c r="P359" s="308"/>
      <c r="Q359" s="308"/>
      <c r="R359" s="308"/>
      <c r="S359" s="308"/>
      <c r="T359" s="308"/>
      <c r="U359" s="308"/>
      <c r="V359" s="308"/>
      <c r="W359" s="308"/>
      <c r="X359" s="308"/>
      <c r="Y359" s="308"/>
      <c r="Z359" s="308"/>
      <c r="AA359" s="308"/>
      <c r="AB359" s="308"/>
      <c r="AC359" s="308"/>
      <c r="AD359" s="308"/>
      <c r="AE359" s="308"/>
      <c r="AF359" s="308"/>
      <c r="AG359" s="308"/>
      <c r="AH359" s="308"/>
      <c r="AI359" s="308"/>
      <c r="AJ359" s="308"/>
      <c r="AK359" s="308"/>
      <c r="AL359" s="308"/>
      <c r="AM359" s="308"/>
      <c r="AN359" s="308"/>
      <c r="AO359" s="308"/>
      <c r="AP359" s="308"/>
      <c r="AQ359" s="308"/>
      <c r="AR359" s="308"/>
    </row>
    <row r="360" spans="1:44" ht="16.5">
      <c r="A360" s="308"/>
      <c r="B360" s="308"/>
      <c r="C360" s="308"/>
      <c r="D360" s="308"/>
      <c r="E360" s="309"/>
      <c r="F360" s="308"/>
      <c r="G360" s="308"/>
      <c r="H360" s="308"/>
      <c r="I360" s="308"/>
      <c r="J360" s="308"/>
      <c r="K360" s="308"/>
      <c r="L360" s="308"/>
      <c r="M360" s="308"/>
      <c r="N360" s="308"/>
      <c r="O360" s="308"/>
      <c r="P360" s="308"/>
      <c r="Q360" s="308"/>
      <c r="R360" s="308"/>
      <c r="S360" s="308"/>
      <c r="T360" s="308"/>
      <c r="U360" s="308"/>
      <c r="V360" s="308"/>
      <c r="W360" s="308"/>
      <c r="X360" s="308"/>
      <c r="Y360" s="308"/>
      <c r="Z360" s="308"/>
      <c r="AA360" s="308"/>
      <c r="AB360" s="308"/>
      <c r="AC360" s="308"/>
      <c r="AD360" s="308"/>
      <c r="AE360" s="308"/>
      <c r="AF360" s="308"/>
      <c r="AG360" s="308"/>
      <c r="AH360" s="308"/>
      <c r="AI360" s="308"/>
      <c r="AJ360" s="308"/>
      <c r="AK360" s="308"/>
      <c r="AL360" s="308"/>
      <c r="AM360" s="308"/>
      <c r="AN360" s="308"/>
      <c r="AO360" s="308"/>
      <c r="AP360" s="308"/>
      <c r="AQ360" s="308"/>
      <c r="AR360" s="308"/>
    </row>
    <row r="361" spans="1:44" ht="16.5">
      <c r="A361" s="308"/>
      <c r="B361" s="308"/>
      <c r="C361" s="308"/>
      <c r="D361" s="308"/>
      <c r="E361" s="309"/>
      <c r="F361" s="308"/>
      <c r="G361" s="308"/>
      <c r="H361" s="308"/>
      <c r="I361" s="308"/>
      <c r="J361" s="308"/>
      <c r="K361" s="308"/>
      <c r="L361" s="308"/>
      <c r="M361" s="308"/>
      <c r="N361" s="308"/>
      <c r="O361" s="308"/>
      <c r="P361" s="308"/>
      <c r="Q361" s="308"/>
      <c r="R361" s="308"/>
      <c r="S361" s="308"/>
      <c r="T361" s="308"/>
      <c r="U361" s="308"/>
      <c r="V361" s="308"/>
      <c r="W361" s="308"/>
      <c r="X361" s="308"/>
      <c r="Y361" s="308"/>
      <c r="Z361" s="308"/>
      <c r="AA361" s="308"/>
      <c r="AB361" s="308"/>
      <c r="AC361" s="308"/>
      <c r="AD361" s="308"/>
      <c r="AE361" s="308"/>
      <c r="AF361" s="308"/>
      <c r="AG361" s="308"/>
      <c r="AH361" s="308"/>
      <c r="AI361" s="308"/>
      <c r="AJ361" s="308"/>
      <c r="AK361" s="308"/>
      <c r="AL361" s="308"/>
      <c r="AM361" s="308"/>
      <c r="AN361" s="308"/>
      <c r="AO361" s="308"/>
      <c r="AP361" s="308"/>
      <c r="AQ361" s="308"/>
      <c r="AR361" s="308"/>
    </row>
    <row r="362" spans="1:44" ht="16.5">
      <c r="A362" s="308"/>
      <c r="B362" s="308"/>
      <c r="C362" s="308"/>
      <c r="D362" s="308"/>
      <c r="E362" s="309"/>
      <c r="F362" s="308"/>
      <c r="G362" s="308"/>
      <c r="H362" s="308"/>
      <c r="I362" s="308"/>
      <c r="J362" s="308"/>
      <c r="K362" s="308"/>
      <c r="L362" s="308"/>
      <c r="M362" s="308"/>
      <c r="N362" s="308"/>
      <c r="O362" s="308"/>
      <c r="P362" s="308"/>
      <c r="Q362" s="308"/>
      <c r="R362" s="308"/>
      <c r="S362" s="308"/>
      <c r="T362" s="308"/>
      <c r="U362" s="308"/>
      <c r="V362" s="308"/>
      <c r="W362" s="308"/>
      <c r="X362" s="308"/>
      <c r="Y362" s="308"/>
      <c r="Z362" s="308"/>
      <c r="AA362" s="308"/>
      <c r="AB362" s="308"/>
      <c r="AC362" s="308"/>
      <c r="AD362" s="308"/>
      <c r="AE362" s="308"/>
      <c r="AF362" s="308"/>
      <c r="AG362" s="308"/>
      <c r="AH362" s="308"/>
      <c r="AI362" s="308"/>
      <c r="AJ362" s="308"/>
      <c r="AK362" s="308"/>
      <c r="AL362" s="308"/>
      <c r="AM362" s="308"/>
      <c r="AN362" s="308"/>
      <c r="AO362" s="308"/>
      <c r="AP362" s="308"/>
      <c r="AQ362" s="308"/>
      <c r="AR362" s="308"/>
    </row>
    <row r="363" spans="1:44" ht="16.5">
      <c r="A363" s="308"/>
      <c r="B363" s="308"/>
      <c r="C363" s="308"/>
      <c r="D363" s="308"/>
      <c r="E363" s="309"/>
      <c r="F363" s="308"/>
      <c r="G363" s="308"/>
      <c r="H363" s="308"/>
      <c r="I363" s="308"/>
      <c r="J363" s="308"/>
      <c r="K363" s="308"/>
      <c r="L363" s="308"/>
      <c r="M363" s="308"/>
      <c r="N363" s="308"/>
      <c r="O363" s="308"/>
      <c r="P363" s="308"/>
      <c r="Q363" s="308"/>
      <c r="R363" s="308"/>
      <c r="S363" s="308"/>
      <c r="T363" s="308"/>
      <c r="U363" s="308"/>
      <c r="V363" s="308"/>
      <c r="W363" s="308"/>
      <c r="X363" s="308"/>
      <c r="Y363" s="308"/>
      <c r="Z363" s="308"/>
      <c r="AA363" s="308"/>
      <c r="AB363" s="308"/>
      <c r="AC363" s="308"/>
      <c r="AD363" s="308"/>
      <c r="AE363" s="308"/>
      <c r="AF363" s="308"/>
      <c r="AG363" s="308"/>
      <c r="AH363" s="308"/>
      <c r="AI363" s="308"/>
      <c r="AJ363" s="308"/>
      <c r="AK363" s="308"/>
      <c r="AL363" s="308"/>
      <c r="AM363" s="308"/>
      <c r="AN363" s="308"/>
      <c r="AO363" s="308"/>
      <c r="AP363" s="308"/>
      <c r="AQ363" s="308"/>
      <c r="AR363" s="308"/>
    </row>
    <row r="364" spans="1:44" ht="16.5">
      <c r="A364" s="308"/>
      <c r="B364" s="308"/>
      <c r="C364" s="308"/>
      <c r="D364" s="308"/>
      <c r="E364" s="309"/>
      <c r="F364" s="308"/>
      <c r="G364" s="308"/>
      <c r="H364" s="308"/>
      <c r="I364" s="308"/>
      <c r="J364" s="308"/>
      <c r="K364" s="308"/>
      <c r="L364" s="308"/>
      <c r="M364" s="308"/>
      <c r="N364" s="308"/>
      <c r="O364" s="308"/>
      <c r="P364" s="308"/>
      <c r="Q364" s="308"/>
      <c r="R364" s="308"/>
      <c r="S364" s="308"/>
      <c r="T364" s="308"/>
      <c r="U364" s="308"/>
      <c r="V364" s="308"/>
      <c r="W364" s="308"/>
      <c r="X364" s="308"/>
      <c r="Y364" s="308"/>
      <c r="Z364" s="308"/>
      <c r="AA364" s="308"/>
      <c r="AB364" s="308"/>
      <c r="AC364" s="308"/>
      <c r="AD364" s="308"/>
      <c r="AE364" s="308"/>
      <c r="AF364" s="308"/>
      <c r="AG364" s="308"/>
      <c r="AH364" s="308"/>
      <c r="AI364" s="308"/>
      <c r="AJ364" s="308"/>
      <c r="AK364" s="308"/>
      <c r="AL364" s="308"/>
      <c r="AM364" s="308"/>
      <c r="AN364" s="308"/>
      <c r="AO364" s="308"/>
      <c r="AP364" s="308"/>
      <c r="AQ364" s="308"/>
      <c r="AR364" s="308"/>
    </row>
    <row r="365" spans="1:44" ht="16.5">
      <c r="A365" s="308"/>
      <c r="B365" s="308"/>
      <c r="C365" s="308"/>
      <c r="D365" s="308"/>
      <c r="E365" s="309"/>
      <c r="F365" s="308"/>
      <c r="G365" s="308"/>
      <c r="H365" s="308"/>
      <c r="I365" s="308"/>
      <c r="J365" s="308"/>
      <c r="K365" s="308"/>
      <c r="L365" s="308"/>
      <c r="M365" s="308"/>
      <c r="N365" s="308"/>
      <c r="O365" s="308"/>
      <c r="P365" s="308"/>
      <c r="Q365" s="308"/>
      <c r="R365" s="308"/>
      <c r="S365" s="308"/>
      <c r="T365" s="308"/>
      <c r="U365" s="308"/>
      <c r="V365" s="308"/>
      <c r="W365" s="308"/>
      <c r="X365" s="308"/>
      <c r="Y365" s="308"/>
      <c r="Z365" s="308"/>
      <c r="AA365" s="308"/>
      <c r="AB365" s="308"/>
      <c r="AC365" s="308"/>
      <c r="AD365" s="308"/>
      <c r="AE365" s="308"/>
      <c r="AF365" s="308"/>
      <c r="AG365" s="308"/>
      <c r="AH365" s="308"/>
      <c r="AI365" s="308"/>
      <c r="AJ365" s="308"/>
      <c r="AK365" s="308"/>
      <c r="AL365" s="308"/>
      <c r="AM365" s="308"/>
      <c r="AN365" s="308"/>
      <c r="AO365" s="308"/>
      <c r="AP365" s="308"/>
      <c r="AQ365" s="308"/>
      <c r="AR365" s="308"/>
    </row>
    <row r="366" spans="1:44" ht="16.5">
      <c r="A366" s="308"/>
      <c r="B366" s="308"/>
      <c r="C366" s="308"/>
      <c r="D366" s="308"/>
      <c r="E366" s="309"/>
      <c r="F366" s="308"/>
      <c r="G366" s="308"/>
      <c r="H366" s="308"/>
      <c r="I366" s="308"/>
      <c r="J366" s="308"/>
      <c r="K366" s="308"/>
      <c r="L366" s="308"/>
      <c r="M366" s="308"/>
      <c r="N366" s="308"/>
      <c r="O366" s="308"/>
      <c r="P366" s="308"/>
      <c r="Q366" s="308"/>
      <c r="R366" s="308"/>
      <c r="S366" s="308"/>
      <c r="T366" s="308"/>
      <c r="U366" s="308"/>
      <c r="V366" s="308"/>
      <c r="W366" s="308"/>
      <c r="X366" s="308"/>
      <c r="Y366" s="308"/>
      <c r="Z366" s="308"/>
      <c r="AA366" s="308"/>
      <c r="AB366" s="308"/>
      <c r="AC366" s="308"/>
      <c r="AD366" s="308"/>
      <c r="AE366" s="308"/>
      <c r="AF366" s="308"/>
      <c r="AG366" s="308"/>
      <c r="AH366" s="308"/>
      <c r="AI366" s="308"/>
      <c r="AJ366" s="308"/>
      <c r="AK366" s="308"/>
      <c r="AL366" s="308"/>
      <c r="AM366" s="308"/>
      <c r="AN366" s="308"/>
      <c r="AO366" s="308"/>
      <c r="AP366" s="308"/>
      <c r="AQ366" s="308"/>
      <c r="AR366" s="308"/>
    </row>
    <row r="367" spans="1:44" ht="16.5">
      <c r="A367" s="308"/>
      <c r="B367" s="308"/>
      <c r="C367" s="308"/>
      <c r="D367" s="308"/>
      <c r="E367" s="309"/>
      <c r="F367" s="308"/>
      <c r="G367" s="308"/>
      <c r="H367" s="308"/>
      <c r="I367" s="308"/>
      <c r="J367" s="308"/>
      <c r="K367" s="308"/>
      <c r="L367" s="308"/>
      <c r="M367" s="308"/>
      <c r="N367" s="308"/>
      <c r="O367" s="308"/>
      <c r="P367" s="308"/>
      <c r="Q367" s="308"/>
      <c r="R367" s="308"/>
      <c r="S367" s="308"/>
      <c r="T367" s="308"/>
      <c r="U367" s="308"/>
      <c r="V367" s="308"/>
      <c r="W367" s="308"/>
      <c r="X367" s="308"/>
      <c r="Y367" s="308"/>
      <c r="Z367" s="308"/>
      <c r="AA367" s="308"/>
      <c r="AB367" s="308"/>
      <c r="AC367" s="308"/>
      <c r="AD367" s="308"/>
      <c r="AE367" s="308"/>
      <c r="AF367" s="308"/>
      <c r="AG367" s="308"/>
      <c r="AH367" s="308"/>
      <c r="AI367" s="308"/>
      <c r="AJ367" s="308"/>
      <c r="AK367" s="308"/>
      <c r="AL367" s="308"/>
      <c r="AM367" s="308"/>
      <c r="AN367" s="308"/>
      <c r="AO367" s="308"/>
      <c r="AP367" s="308"/>
      <c r="AQ367" s="308"/>
      <c r="AR367" s="308"/>
    </row>
    <row r="368" spans="1:44" ht="16.5">
      <c r="A368" s="308"/>
      <c r="B368" s="308"/>
      <c r="C368" s="308"/>
      <c r="D368" s="308"/>
      <c r="E368" s="309"/>
      <c r="F368" s="308"/>
      <c r="G368" s="308"/>
      <c r="H368" s="308"/>
      <c r="I368" s="308"/>
      <c r="J368" s="308"/>
      <c r="K368" s="308"/>
      <c r="L368" s="308"/>
      <c r="M368" s="308"/>
      <c r="N368" s="308"/>
      <c r="O368" s="308"/>
      <c r="P368" s="308"/>
      <c r="Q368" s="308"/>
      <c r="R368" s="308"/>
      <c r="S368" s="308"/>
      <c r="T368" s="308"/>
      <c r="U368" s="308"/>
      <c r="V368" s="308"/>
      <c r="W368" s="308"/>
      <c r="X368" s="308"/>
      <c r="Y368" s="308"/>
      <c r="Z368" s="308"/>
      <c r="AA368" s="308"/>
      <c r="AB368" s="308"/>
      <c r="AC368" s="308"/>
      <c r="AD368" s="308"/>
      <c r="AE368" s="308"/>
      <c r="AF368" s="308"/>
      <c r="AG368" s="308"/>
      <c r="AH368" s="308"/>
      <c r="AI368" s="308"/>
      <c r="AJ368" s="308"/>
      <c r="AK368" s="308"/>
      <c r="AL368" s="308"/>
      <c r="AM368" s="308"/>
      <c r="AN368" s="308"/>
      <c r="AO368" s="308"/>
      <c r="AP368" s="308"/>
      <c r="AQ368" s="308"/>
      <c r="AR368" s="308"/>
    </row>
    <row r="369" spans="1:44" ht="16.5">
      <c r="A369" s="308"/>
      <c r="B369" s="308"/>
      <c r="C369" s="308"/>
      <c r="D369" s="308"/>
      <c r="E369" s="309"/>
      <c r="F369" s="308"/>
      <c r="G369" s="308"/>
      <c r="H369" s="308"/>
      <c r="I369" s="308"/>
      <c r="J369" s="308"/>
      <c r="K369" s="308"/>
      <c r="L369" s="308"/>
      <c r="M369" s="308"/>
      <c r="N369" s="308"/>
      <c r="O369" s="308"/>
      <c r="P369" s="308"/>
      <c r="Q369" s="308"/>
      <c r="R369" s="308"/>
      <c r="S369" s="308"/>
      <c r="T369" s="308"/>
      <c r="U369" s="308"/>
      <c r="V369" s="308"/>
      <c r="W369" s="308"/>
      <c r="X369" s="308"/>
      <c r="Y369" s="308"/>
      <c r="Z369" s="308"/>
      <c r="AA369" s="308"/>
      <c r="AB369" s="308"/>
      <c r="AC369" s="308"/>
      <c r="AD369" s="308"/>
      <c r="AE369" s="308"/>
      <c r="AF369" s="308"/>
      <c r="AG369" s="308"/>
      <c r="AH369" s="308"/>
      <c r="AI369" s="308"/>
      <c r="AJ369" s="308"/>
      <c r="AK369" s="308"/>
      <c r="AL369" s="308"/>
      <c r="AM369" s="308"/>
      <c r="AN369" s="308"/>
      <c r="AO369" s="308"/>
      <c r="AP369" s="308"/>
      <c r="AQ369" s="308"/>
      <c r="AR369" s="308"/>
    </row>
    <row r="370" spans="1:44" ht="16.5">
      <c r="A370" s="308"/>
      <c r="B370" s="308"/>
      <c r="C370" s="308"/>
      <c r="D370" s="308"/>
      <c r="E370" s="309"/>
      <c r="F370" s="308"/>
      <c r="G370" s="308"/>
      <c r="H370" s="308"/>
      <c r="I370" s="308"/>
      <c r="J370" s="308"/>
      <c r="K370" s="308"/>
      <c r="L370" s="308"/>
      <c r="M370" s="308"/>
      <c r="N370" s="308"/>
      <c r="O370" s="308"/>
      <c r="P370" s="308"/>
      <c r="Q370" s="308"/>
      <c r="R370" s="308"/>
      <c r="S370" s="308"/>
      <c r="T370" s="308"/>
      <c r="U370" s="308"/>
      <c r="V370" s="308"/>
      <c r="W370" s="308"/>
      <c r="X370" s="308"/>
      <c r="Y370" s="308"/>
      <c r="Z370" s="308"/>
      <c r="AA370" s="308"/>
      <c r="AB370" s="308"/>
      <c r="AC370" s="308"/>
      <c r="AD370" s="308"/>
      <c r="AE370" s="308"/>
      <c r="AF370" s="308"/>
      <c r="AG370" s="308"/>
      <c r="AH370" s="308"/>
      <c r="AI370" s="308"/>
      <c r="AJ370" s="308"/>
      <c r="AK370" s="308"/>
      <c r="AL370" s="308"/>
      <c r="AM370" s="308"/>
      <c r="AN370" s="308"/>
      <c r="AO370" s="308"/>
      <c r="AP370" s="308"/>
      <c r="AQ370" s="308"/>
      <c r="AR370" s="308"/>
    </row>
    <row r="371" spans="1:44" ht="16.5">
      <c r="A371" s="308"/>
      <c r="B371" s="308"/>
      <c r="C371" s="308"/>
      <c r="D371" s="308"/>
      <c r="E371" s="309"/>
      <c r="F371" s="308"/>
      <c r="G371" s="308"/>
      <c r="H371" s="308"/>
      <c r="I371" s="308"/>
      <c r="J371" s="308"/>
      <c r="K371" s="308"/>
      <c r="L371" s="308"/>
      <c r="M371" s="308"/>
      <c r="N371" s="308"/>
      <c r="O371" s="308"/>
      <c r="P371" s="308"/>
      <c r="Q371" s="308"/>
      <c r="R371" s="308"/>
      <c r="S371" s="308"/>
      <c r="T371" s="308"/>
      <c r="U371" s="308"/>
      <c r="V371" s="308"/>
      <c r="W371" s="308"/>
      <c r="X371" s="308"/>
      <c r="Y371" s="308"/>
      <c r="Z371" s="308"/>
      <c r="AA371" s="308"/>
      <c r="AB371" s="308"/>
      <c r="AC371" s="308"/>
      <c r="AD371" s="308"/>
      <c r="AE371" s="308"/>
      <c r="AF371" s="308"/>
      <c r="AG371" s="308"/>
      <c r="AH371" s="308"/>
      <c r="AI371" s="308"/>
      <c r="AJ371" s="308"/>
      <c r="AK371" s="308"/>
      <c r="AL371" s="308"/>
      <c r="AM371" s="308"/>
      <c r="AN371" s="308"/>
      <c r="AO371" s="308"/>
      <c r="AP371" s="308"/>
      <c r="AQ371" s="308"/>
      <c r="AR371" s="308"/>
    </row>
    <row r="372" spans="1:44" ht="16.5">
      <c r="A372" s="308"/>
      <c r="B372" s="308"/>
      <c r="C372" s="308"/>
      <c r="D372" s="308"/>
      <c r="E372" s="309"/>
      <c r="F372" s="308"/>
      <c r="G372" s="308"/>
      <c r="H372" s="308"/>
      <c r="I372" s="308"/>
      <c r="J372" s="308"/>
      <c r="K372" s="308"/>
      <c r="L372" s="308"/>
      <c r="M372" s="308"/>
      <c r="N372" s="308"/>
      <c r="O372" s="308"/>
      <c r="P372" s="308"/>
      <c r="Q372" s="308"/>
      <c r="R372" s="308"/>
      <c r="S372" s="308"/>
      <c r="T372" s="308"/>
      <c r="U372" s="308"/>
      <c r="V372" s="308"/>
      <c r="W372" s="308"/>
      <c r="X372" s="308"/>
      <c r="Y372" s="308"/>
      <c r="Z372" s="308"/>
      <c r="AA372" s="308"/>
      <c r="AB372" s="308"/>
      <c r="AC372" s="308"/>
      <c r="AD372" s="308"/>
      <c r="AE372" s="308"/>
      <c r="AF372" s="308"/>
      <c r="AG372" s="308"/>
      <c r="AH372" s="308"/>
      <c r="AI372" s="308"/>
      <c r="AJ372" s="308"/>
      <c r="AK372" s="308"/>
      <c r="AL372" s="308"/>
      <c r="AM372" s="308"/>
      <c r="AN372" s="308"/>
      <c r="AO372" s="308"/>
      <c r="AP372" s="308"/>
      <c r="AQ372" s="308"/>
      <c r="AR372" s="308"/>
    </row>
    <row r="373" spans="1:44" ht="16.5">
      <c r="A373" s="308"/>
      <c r="B373" s="308"/>
      <c r="C373" s="308"/>
      <c r="D373" s="308"/>
      <c r="E373" s="309"/>
      <c r="F373" s="308"/>
      <c r="G373" s="308"/>
      <c r="H373" s="308"/>
      <c r="I373" s="308"/>
      <c r="J373" s="308"/>
      <c r="K373" s="308"/>
      <c r="L373" s="308"/>
      <c r="M373" s="308"/>
      <c r="N373" s="308"/>
      <c r="O373" s="308"/>
      <c r="P373" s="308"/>
      <c r="Q373" s="308"/>
      <c r="R373" s="308"/>
      <c r="S373" s="308"/>
      <c r="T373" s="308"/>
      <c r="U373" s="308"/>
      <c r="V373" s="308"/>
      <c r="W373" s="308"/>
      <c r="X373" s="308"/>
      <c r="Y373" s="308"/>
      <c r="Z373" s="308"/>
      <c r="AA373" s="308"/>
      <c r="AB373" s="308"/>
      <c r="AC373" s="308"/>
      <c r="AD373" s="308"/>
      <c r="AE373" s="308"/>
      <c r="AF373" s="308"/>
      <c r="AG373" s="308"/>
      <c r="AH373" s="308"/>
      <c r="AI373" s="308"/>
      <c r="AJ373" s="308"/>
      <c r="AK373" s="308"/>
      <c r="AL373" s="308"/>
      <c r="AM373" s="308"/>
      <c r="AN373" s="308"/>
      <c r="AO373" s="308"/>
      <c r="AP373" s="308"/>
      <c r="AQ373" s="308"/>
      <c r="AR373" s="308"/>
    </row>
    <row r="374" spans="1:44" ht="16.5">
      <c r="A374" s="308"/>
      <c r="B374" s="308"/>
      <c r="C374" s="308"/>
      <c r="D374" s="308"/>
      <c r="E374" s="309"/>
      <c r="F374" s="308"/>
      <c r="G374" s="308"/>
      <c r="H374" s="308"/>
      <c r="I374" s="308"/>
      <c r="J374" s="308"/>
      <c r="K374" s="308"/>
      <c r="L374" s="308"/>
      <c r="M374" s="308"/>
      <c r="N374" s="308"/>
      <c r="O374" s="308"/>
      <c r="P374" s="308"/>
      <c r="Q374" s="308"/>
      <c r="R374" s="308"/>
      <c r="S374" s="308"/>
      <c r="T374" s="308"/>
      <c r="U374" s="308"/>
      <c r="V374" s="308"/>
      <c r="W374" s="308"/>
      <c r="X374" s="308"/>
      <c r="Y374" s="308"/>
      <c r="Z374" s="308"/>
      <c r="AA374" s="308"/>
      <c r="AB374" s="308"/>
      <c r="AC374" s="308"/>
      <c r="AD374" s="308"/>
      <c r="AE374" s="308"/>
      <c r="AF374" s="308"/>
      <c r="AG374" s="308"/>
      <c r="AH374" s="308"/>
      <c r="AI374" s="308"/>
      <c r="AJ374" s="308"/>
      <c r="AK374" s="308"/>
      <c r="AL374" s="308"/>
      <c r="AM374" s="308"/>
      <c r="AN374" s="308"/>
      <c r="AO374" s="308"/>
      <c r="AP374" s="308"/>
      <c r="AQ374" s="308"/>
      <c r="AR374" s="308"/>
    </row>
    <row r="375" spans="1:44" ht="16.5">
      <c r="A375" s="308"/>
      <c r="B375" s="308"/>
      <c r="C375" s="308"/>
      <c r="D375" s="308"/>
      <c r="E375" s="309"/>
      <c r="F375" s="308"/>
      <c r="G375" s="308"/>
      <c r="H375" s="308"/>
      <c r="I375" s="308"/>
      <c r="J375" s="308"/>
      <c r="K375" s="308"/>
      <c r="L375" s="308"/>
      <c r="M375" s="308"/>
      <c r="N375" s="308"/>
      <c r="O375" s="308"/>
      <c r="P375" s="308"/>
      <c r="Q375" s="308"/>
      <c r="R375" s="308"/>
      <c r="S375" s="308"/>
      <c r="T375" s="308"/>
      <c r="U375" s="308"/>
      <c r="V375" s="308"/>
      <c r="W375" s="308"/>
      <c r="X375" s="308"/>
      <c r="Y375" s="308"/>
      <c r="Z375" s="308"/>
      <c r="AA375" s="308"/>
      <c r="AB375" s="308"/>
      <c r="AC375" s="308"/>
      <c r="AD375" s="308"/>
      <c r="AE375" s="308"/>
      <c r="AF375" s="308"/>
      <c r="AG375" s="308"/>
      <c r="AH375" s="308"/>
      <c r="AI375" s="308"/>
      <c r="AJ375" s="308"/>
      <c r="AK375" s="308"/>
      <c r="AL375" s="308"/>
      <c r="AM375" s="308"/>
      <c r="AN375" s="308"/>
      <c r="AO375" s="308"/>
      <c r="AP375" s="308"/>
      <c r="AQ375" s="308"/>
      <c r="AR375" s="308"/>
    </row>
    <row r="376" spans="1:44" ht="16.5">
      <c r="A376" s="308"/>
      <c r="B376" s="308"/>
      <c r="C376" s="308"/>
      <c r="D376" s="308"/>
      <c r="E376" s="309"/>
      <c r="F376" s="308"/>
      <c r="G376" s="308"/>
      <c r="H376" s="308"/>
      <c r="I376" s="308"/>
      <c r="J376" s="308"/>
      <c r="K376" s="308"/>
      <c r="L376" s="308"/>
      <c r="M376" s="308"/>
      <c r="N376" s="308"/>
      <c r="O376" s="308"/>
      <c r="P376" s="308"/>
      <c r="Q376" s="308"/>
      <c r="R376" s="308"/>
      <c r="S376" s="308"/>
      <c r="T376" s="308"/>
      <c r="U376" s="308"/>
      <c r="V376" s="308"/>
      <c r="W376" s="308"/>
      <c r="X376" s="308"/>
      <c r="Y376" s="308"/>
      <c r="Z376" s="308"/>
      <c r="AA376" s="308"/>
      <c r="AB376" s="308"/>
      <c r="AC376" s="308"/>
      <c r="AD376" s="308"/>
      <c r="AE376" s="308"/>
      <c r="AF376" s="308"/>
      <c r="AG376" s="308"/>
      <c r="AH376" s="308"/>
      <c r="AI376" s="308"/>
      <c r="AJ376" s="308"/>
      <c r="AK376" s="308"/>
      <c r="AL376" s="308"/>
      <c r="AM376" s="308"/>
      <c r="AN376" s="308"/>
      <c r="AO376" s="308"/>
      <c r="AP376" s="308"/>
      <c r="AQ376" s="308"/>
      <c r="AR376" s="308"/>
    </row>
    <row r="377" spans="1:44" ht="16.5">
      <c r="A377" s="308"/>
      <c r="B377" s="308"/>
      <c r="C377" s="308"/>
      <c r="D377" s="308"/>
      <c r="E377" s="309"/>
      <c r="F377" s="308"/>
      <c r="G377" s="308"/>
      <c r="H377" s="308"/>
      <c r="I377" s="308"/>
      <c r="J377" s="308"/>
      <c r="K377" s="308"/>
      <c r="L377" s="308"/>
      <c r="M377" s="308"/>
      <c r="N377" s="308"/>
      <c r="O377" s="308"/>
      <c r="P377" s="308"/>
      <c r="Q377" s="308"/>
      <c r="R377" s="308"/>
      <c r="S377" s="308"/>
      <c r="T377" s="308"/>
      <c r="U377" s="308"/>
      <c r="V377" s="308"/>
      <c r="W377" s="308"/>
      <c r="X377" s="308"/>
      <c r="Y377" s="308"/>
      <c r="Z377" s="308"/>
      <c r="AA377" s="308"/>
      <c r="AB377" s="308"/>
      <c r="AC377" s="308"/>
      <c r="AD377" s="308"/>
      <c r="AE377" s="308"/>
      <c r="AF377" s="308"/>
      <c r="AG377" s="308"/>
      <c r="AH377" s="308"/>
      <c r="AI377" s="308"/>
      <c r="AJ377" s="308"/>
      <c r="AK377" s="308"/>
      <c r="AL377" s="308"/>
      <c r="AM377" s="308"/>
      <c r="AN377" s="308"/>
      <c r="AO377" s="308"/>
      <c r="AP377" s="308"/>
      <c r="AQ377" s="308"/>
      <c r="AR377" s="308"/>
    </row>
    <row r="378" spans="1:44" ht="16.5">
      <c r="A378" s="308"/>
      <c r="B378" s="308"/>
      <c r="C378" s="308"/>
      <c r="D378" s="308"/>
      <c r="E378" s="309"/>
      <c r="F378" s="308"/>
      <c r="G378" s="308"/>
      <c r="H378" s="308"/>
      <c r="I378" s="308"/>
      <c r="J378" s="308"/>
      <c r="K378" s="308"/>
      <c r="L378" s="308"/>
      <c r="M378" s="308"/>
      <c r="N378" s="308"/>
      <c r="O378" s="308"/>
      <c r="P378" s="308"/>
      <c r="Q378" s="308"/>
      <c r="R378" s="308"/>
      <c r="S378" s="308"/>
      <c r="T378" s="308"/>
      <c r="U378" s="308"/>
      <c r="V378" s="308"/>
      <c r="W378" s="308"/>
      <c r="X378" s="308"/>
      <c r="Y378" s="308"/>
      <c r="Z378" s="308"/>
      <c r="AA378" s="308"/>
      <c r="AB378" s="308"/>
      <c r="AC378" s="308"/>
      <c r="AD378" s="308"/>
      <c r="AE378" s="308"/>
      <c r="AF378" s="308"/>
      <c r="AG378" s="308"/>
      <c r="AH378" s="308"/>
      <c r="AI378" s="308"/>
      <c r="AJ378" s="308"/>
      <c r="AK378" s="308"/>
      <c r="AL378" s="308"/>
      <c r="AM378" s="308"/>
      <c r="AN378" s="308"/>
      <c r="AO378" s="308"/>
      <c r="AP378" s="308"/>
      <c r="AQ378" s="308"/>
      <c r="AR378" s="308"/>
    </row>
    <row r="379" spans="1:44" ht="16.5">
      <c r="A379" s="308"/>
      <c r="B379" s="308"/>
      <c r="C379" s="308"/>
      <c r="D379" s="308"/>
      <c r="E379" s="309"/>
      <c r="F379" s="308"/>
      <c r="G379" s="308"/>
      <c r="H379" s="308"/>
      <c r="I379" s="308"/>
      <c r="J379" s="308"/>
      <c r="K379" s="308"/>
      <c r="L379" s="308"/>
      <c r="M379" s="308"/>
      <c r="N379" s="308"/>
      <c r="O379" s="308"/>
      <c r="P379" s="308"/>
      <c r="Q379" s="308"/>
      <c r="R379" s="308"/>
      <c r="S379" s="308"/>
      <c r="T379" s="308"/>
      <c r="U379" s="308"/>
      <c r="V379" s="308"/>
      <c r="W379" s="308"/>
      <c r="X379" s="308"/>
      <c r="Y379" s="308"/>
      <c r="Z379" s="308"/>
      <c r="AA379" s="308"/>
      <c r="AB379" s="308"/>
      <c r="AC379" s="308"/>
      <c r="AD379" s="308"/>
      <c r="AE379" s="308"/>
      <c r="AF379" s="308"/>
      <c r="AG379" s="308"/>
      <c r="AH379" s="308"/>
      <c r="AI379" s="308"/>
      <c r="AJ379" s="308"/>
      <c r="AK379" s="308"/>
      <c r="AL379" s="308"/>
      <c r="AM379" s="308"/>
      <c r="AN379" s="308"/>
      <c r="AO379" s="308"/>
      <c r="AP379" s="308"/>
      <c r="AQ379" s="308"/>
      <c r="AR379" s="308"/>
    </row>
    <row r="380" spans="1:44" ht="16.5">
      <c r="A380" s="308"/>
      <c r="B380" s="308"/>
      <c r="C380" s="308"/>
      <c r="D380" s="308"/>
      <c r="E380" s="309"/>
      <c r="F380" s="308"/>
      <c r="G380" s="308"/>
      <c r="H380" s="308"/>
      <c r="I380" s="308"/>
      <c r="J380" s="308"/>
      <c r="K380" s="308"/>
      <c r="L380" s="308"/>
      <c r="M380" s="308"/>
      <c r="N380" s="308"/>
      <c r="O380" s="308"/>
      <c r="P380" s="308"/>
      <c r="Q380" s="308"/>
      <c r="R380" s="308"/>
      <c r="S380" s="308"/>
      <c r="T380" s="308"/>
      <c r="U380" s="308"/>
      <c r="V380" s="308"/>
      <c r="W380" s="308"/>
      <c r="X380" s="308"/>
      <c r="Y380" s="308"/>
      <c r="Z380" s="308"/>
      <c r="AA380" s="308"/>
      <c r="AB380" s="308"/>
      <c r="AC380" s="308"/>
      <c r="AD380" s="308"/>
      <c r="AE380" s="308"/>
      <c r="AF380" s="308"/>
      <c r="AG380" s="308"/>
      <c r="AH380" s="308"/>
      <c r="AI380" s="308"/>
      <c r="AJ380" s="308"/>
      <c r="AK380" s="308"/>
      <c r="AL380" s="308"/>
      <c r="AM380" s="308"/>
      <c r="AN380" s="308"/>
      <c r="AO380" s="308"/>
      <c r="AP380" s="308"/>
      <c r="AQ380" s="308"/>
      <c r="AR380" s="308"/>
    </row>
    <row r="381" spans="1:44" ht="16.5">
      <c r="A381" s="308"/>
      <c r="B381" s="308"/>
      <c r="C381" s="308"/>
      <c r="D381" s="308"/>
      <c r="E381" s="309"/>
      <c r="F381" s="308"/>
      <c r="G381" s="308"/>
      <c r="H381" s="308"/>
      <c r="I381" s="308"/>
      <c r="J381" s="308"/>
      <c r="K381" s="308"/>
      <c r="L381" s="308"/>
      <c r="M381" s="308"/>
      <c r="N381" s="308"/>
      <c r="O381" s="308"/>
      <c r="P381" s="308"/>
      <c r="Q381" s="308"/>
      <c r="R381" s="308"/>
      <c r="S381" s="308"/>
      <c r="T381" s="308"/>
      <c r="U381" s="308"/>
      <c r="V381" s="308"/>
      <c r="W381" s="308"/>
      <c r="X381" s="308"/>
      <c r="Y381" s="308"/>
      <c r="Z381" s="308"/>
      <c r="AA381" s="308"/>
      <c r="AB381" s="308"/>
      <c r="AC381" s="308"/>
      <c r="AD381" s="308"/>
      <c r="AE381" s="308"/>
      <c r="AF381" s="308"/>
      <c r="AG381" s="308"/>
      <c r="AH381" s="308"/>
      <c r="AI381" s="308"/>
      <c r="AJ381" s="308"/>
      <c r="AK381" s="308"/>
      <c r="AL381" s="308"/>
      <c r="AM381" s="308"/>
      <c r="AN381" s="308"/>
      <c r="AO381" s="308"/>
      <c r="AP381" s="308"/>
      <c r="AQ381" s="308"/>
      <c r="AR381" s="308"/>
    </row>
    <row r="382" spans="1:44" ht="16.5">
      <c r="A382" s="308"/>
      <c r="B382" s="308"/>
      <c r="C382" s="308"/>
      <c r="D382" s="308"/>
      <c r="E382" s="309"/>
      <c r="F382" s="308"/>
      <c r="G382" s="308"/>
      <c r="H382" s="308"/>
      <c r="I382" s="308"/>
      <c r="J382" s="308"/>
      <c r="K382" s="308"/>
      <c r="L382" s="308"/>
      <c r="M382" s="308"/>
      <c r="N382" s="308"/>
      <c r="O382" s="308"/>
      <c r="P382" s="308"/>
      <c r="Q382" s="308"/>
      <c r="R382" s="308"/>
      <c r="S382" s="308"/>
      <c r="T382" s="308"/>
      <c r="U382" s="308"/>
      <c r="V382" s="308"/>
      <c r="W382" s="308"/>
      <c r="X382" s="308"/>
      <c r="Y382" s="308"/>
      <c r="Z382" s="308"/>
      <c r="AA382" s="308"/>
      <c r="AB382" s="308"/>
      <c r="AC382" s="308"/>
      <c r="AD382" s="308"/>
      <c r="AE382" s="308"/>
      <c r="AF382" s="308"/>
      <c r="AG382" s="308"/>
      <c r="AH382" s="308"/>
      <c r="AI382" s="308"/>
      <c r="AJ382" s="308"/>
      <c r="AK382" s="308"/>
      <c r="AL382" s="308"/>
      <c r="AM382" s="308"/>
      <c r="AN382" s="308"/>
      <c r="AO382" s="308"/>
      <c r="AP382" s="308"/>
      <c r="AQ382" s="308"/>
      <c r="AR382" s="308"/>
    </row>
    <row r="383" spans="1:44" ht="16.5">
      <c r="A383" s="308"/>
      <c r="B383" s="308"/>
      <c r="C383" s="308"/>
      <c r="D383" s="308"/>
      <c r="E383" s="309"/>
      <c r="F383" s="308"/>
      <c r="G383" s="308"/>
      <c r="H383" s="308"/>
      <c r="I383" s="308"/>
      <c r="J383" s="308"/>
      <c r="K383" s="308"/>
      <c r="L383" s="308"/>
      <c r="M383" s="308"/>
      <c r="N383" s="308"/>
      <c r="O383" s="308"/>
      <c r="P383" s="308"/>
      <c r="Q383" s="308"/>
      <c r="R383" s="308"/>
      <c r="S383" s="308"/>
      <c r="T383" s="308"/>
      <c r="U383" s="308"/>
      <c r="V383" s="308"/>
      <c r="W383" s="308"/>
      <c r="X383" s="308"/>
      <c r="Y383" s="308"/>
      <c r="Z383" s="308"/>
      <c r="AA383" s="308"/>
      <c r="AB383" s="308"/>
      <c r="AC383" s="308"/>
      <c r="AD383" s="308"/>
      <c r="AE383" s="308"/>
      <c r="AF383" s="308"/>
      <c r="AG383" s="308"/>
      <c r="AH383" s="308"/>
      <c r="AI383" s="308"/>
      <c r="AJ383" s="308"/>
      <c r="AK383" s="308"/>
      <c r="AL383" s="308"/>
      <c r="AM383" s="308"/>
      <c r="AN383" s="308"/>
      <c r="AO383" s="308"/>
      <c r="AP383" s="308"/>
      <c r="AQ383" s="308"/>
      <c r="AR383" s="308"/>
    </row>
    <row r="384" spans="1:44" ht="16.5">
      <c r="A384" s="308"/>
      <c r="B384" s="308"/>
      <c r="C384" s="308"/>
      <c r="D384" s="308"/>
      <c r="E384" s="309"/>
      <c r="F384" s="308"/>
      <c r="G384" s="308"/>
      <c r="H384" s="308"/>
      <c r="I384" s="308"/>
      <c r="J384" s="308"/>
      <c r="K384" s="308"/>
      <c r="L384" s="308"/>
      <c r="M384" s="308"/>
      <c r="N384" s="308"/>
      <c r="O384" s="308"/>
      <c r="P384" s="308"/>
      <c r="Q384" s="308"/>
      <c r="R384" s="308"/>
      <c r="S384" s="308"/>
      <c r="T384" s="308"/>
      <c r="U384" s="308"/>
      <c r="V384" s="308"/>
      <c r="W384" s="308"/>
      <c r="X384" s="308"/>
      <c r="Y384" s="308"/>
      <c r="Z384" s="308"/>
      <c r="AA384" s="308"/>
      <c r="AB384" s="308"/>
      <c r="AC384" s="308"/>
      <c r="AD384" s="308"/>
      <c r="AE384" s="308"/>
      <c r="AF384" s="308"/>
      <c r="AG384" s="308"/>
      <c r="AH384" s="308"/>
      <c r="AI384" s="308"/>
      <c r="AJ384" s="308"/>
      <c r="AK384" s="308"/>
      <c r="AL384" s="308"/>
      <c r="AM384" s="308"/>
      <c r="AN384" s="308"/>
      <c r="AO384" s="308"/>
      <c r="AP384" s="308"/>
      <c r="AQ384" s="308"/>
      <c r="AR384" s="308"/>
    </row>
    <row r="385" spans="1:44" ht="16.5">
      <c r="A385" s="308"/>
      <c r="B385" s="308"/>
      <c r="C385" s="308"/>
      <c r="D385" s="308"/>
      <c r="E385" s="309"/>
      <c r="F385" s="308"/>
      <c r="G385" s="308"/>
      <c r="H385" s="308"/>
      <c r="I385" s="308"/>
      <c r="J385" s="308"/>
      <c r="K385" s="308"/>
      <c r="L385" s="308"/>
      <c r="M385" s="308"/>
      <c r="N385" s="308"/>
      <c r="O385" s="308"/>
      <c r="P385" s="308"/>
      <c r="Q385" s="308"/>
      <c r="R385" s="308"/>
      <c r="S385" s="308"/>
      <c r="T385" s="308"/>
      <c r="U385" s="308"/>
      <c r="V385" s="308"/>
      <c r="W385" s="308"/>
      <c r="X385" s="308"/>
      <c r="Y385" s="308"/>
      <c r="Z385" s="308"/>
      <c r="AA385" s="308"/>
      <c r="AB385" s="308"/>
      <c r="AC385" s="308"/>
      <c r="AD385" s="308"/>
      <c r="AE385" s="308"/>
      <c r="AF385" s="308"/>
      <c r="AG385" s="308"/>
      <c r="AH385" s="308"/>
      <c r="AI385" s="308"/>
      <c r="AJ385" s="308"/>
      <c r="AK385" s="308"/>
      <c r="AL385" s="308"/>
      <c r="AM385" s="308"/>
      <c r="AN385" s="308"/>
      <c r="AO385" s="308"/>
      <c r="AP385" s="308"/>
      <c r="AQ385" s="308"/>
      <c r="AR385" s="308"/>
    </row>
    <row r="386" spans="1:44" ht="16.5">
      <c r="A386" s="308"/>
      <c r="B386" s="308"/>
      <c r="C386" s="308"/>
      <c r="D386" s="308"/>
      <c r="E386" s="309"/>
      <c r="F386" s="308"/>
      <c r="G386" s="308"/>
      <c r="H386" s="308"/>
      <c r="I386" s="308"/>
      <c r="J386" s="308"/>
      <c r="K386" s="308"/>
      <c r="L386" s="308"/>
      <c r="M386" s="308"/>
      <c r="N386" s="308"/>
      <c r="O386" s="308"/>
      <c r="P386" s="308"/>
      <c r="Q386" s="308"/>
      <c r="R386" s="308"/>
      <c r="S386" s="308"/>
      <c r="T386" s="308"/>
      <c r="U386" s="308"/>
      <c r="V386" s="308"/>
      <c r="W386" s="308"/>
      <c r="X386" s="308"/>
      <c r="Y386" s="308"/>
      <c r="Z386" s="308"/>
      <c r="AA386" s="308"/>
      <c r="AB386" s="308"/>
      <c r="AC386" s="308"/>
      <c r="AD386" s="308"/>
      <c r="AE386" s="308"/>
      <c r="AF386" s="308"/>
      <c r="AG386" s="308"/>
      <c r="AH386" s="308"/>
      <c r="AI386" s="308"/>
      <c r="AJ386" s="308"/>
      <c r="AK386" s="308"/>
      <c r="AL386" s="308"/>
      <c r="AM386" s="308"/>
      <c r="AN386" s="308"/>
      <c r="AO386" s="308"/>
      <c r="AP386" s="308"/>
      <c r="AQ386" s="308"/>
      <c r="AR386" s="308"/>
    </row>
    <row r="387" spans="1:44" ht="16.5">
      <c r="A387" s="308"/>
      <c r="B387" s="308"/>
      <c r="C387" s="308"/>
      <c r="D387" s="308"/>
      <c r="E387" s="309"/>
      <c r="F387" s="308"/>
      <c r="G387" s="308"/>
      <c r="H387" s="308"/>
      <c r="I387" s="308"/>
      <c r="J387" s="308"/>
      <c r="K387" s="308"/>
      <c r="L387" s="308"/>
      <c r="M387" s="308"/>
      <c r="N387" s="308"/>
      <c r="O387" s="308"/>
      <c r="P387" s="308"/>
      <c r="Q387" s="308"/>
      <c r="R387" s="308"/>
      <c r="S387" s="308"/>
      <c r="T387" s="308"/>
      <c r="U387" s="308"/>
      <c r="V387" s="308"/>
      <c r="W387" s="308"/>
      <c r="X387" s="308"/>
      <c r="Y387" s="308"/>
      <c r="Z387" s="308"/>
      <c r="AA387" s="308"/>
      <c r="AB387" s="308"/>
      <c r="AC387" s="308"/>
      <c r="AD387" s="308"/>
      <c r="AE387" s="308"/>
      <c r="AF387" s="308"/>
      <c r="AG387" s="308"/>
      <c r="AH387" s="308"/>
      <c r="AI387" s="308"/>
      <c r="AJ387" s="308"/>
      <c r="AK387" s="308"/>
      <c r="AL387" s="308"/>
      <c r="AM387" s="308"/>
      <c r="AN387" s="308"/>
      <c r="AO387" s="308"/>
      <c r="AP387" s="308"/>
      <c r="AQ387" s="308"/>
      <c r="AR387" s="308"/>
    </row>
    <row r="388" spans="1:44" ht="16.5">
      <c r="A388" s="308"/>
      <c r="B388" s="308"/>
      <c r="C388" s="308"/>
      <c r="D388" s="308"/>
      <c r="E388" s="309"/>
      <c r="F388" s="308"/>
      <c r="G388" s="308"/>
      <c r="H388" s="308"/>
      <c r="I388" s="308"/>
      <c r="J388" s="308"/>
      <c r="K388" s="308"/>
      <c r="L388" s="308"/>
      <c r="M388" s="308"/>
      <c r="N388" s="308"/>
      <c r="O388" s="308"/>
      <c r="P388" s="308"/>
      <c r="Q388" s="308"/>
      <c r="R388" s="308"/>
      <c r="S388" s="308"/>
      <c r="T388" s="308"/>
      <c r="U388" s="308"/>
      <c r="V388" s="308"/>
      <c r="W388" s="308"/>
      <c r="X388" s="308"/>
      <c r="Y388" s="308"/>
      <c r="Z388" s="308"/>
      <c r="AA388" s="308"/>
      <c r="AB388" s="308"/>
      <c r="AC388" s="308"/>
      <c r="AD388" s="308"/>
      <c r="AE388" s="308"/>
      <c r="AF388" s="308"/>
      <c r="AG388" s="308"/>
      <c r="AH388" s="308"/>
      <c r="AI388" s="308"/>
      <c r="AJ388" s="308"/>
      <c r="AK388" s="308"/>
      <c r="AL388" s="308"/>
      <c r="AM388" s="308"/>
      <c r="AN388" s="308"/>
      <c r="AO388" s="308"/>
      <c r="AP388" s="308"/>
      <c r="AQ388" s="308"/>
      <c r="AR388" s="308"/>
    </row>
    <row r="389" spans="1:44" ht="16.5">
      <c r="A389" s="308"/>
      <c r="B389" s="308"/>
      <c r="C389" s="308"/>
      <c r="D389" s="308"/>
      <c r="E389" s="309"/>
      <c r="F389" s="308"/>
      <c r="G389" s="308"/>
      <c r="H389" s="308"/>
      <c r="I389" s="308"/>
      <c r="J389" s="308"/>
      <c r="K389" s="308"/>
      <c r="L389" s="308"/>
      <c r="M389" s="308"/>
      <c r="N389" s="308"/>
      <c r="O389" s="308"/>
      <c r="P389" s="308"/>
      <c r="Q389" s="308"/>
      <c r="R389" s="308"/>
      <c r="S389" s="308"/>
      <c r="T389" s="308"/>
      <c r="U389" s="308"/>
      <c r="V389" s="308"/>
      <c r="W389" s="308"/>
      <c r="X389" s="308"/>
      <c r="Y389" s="308"/>
      <c r="Z389" s="308"/>
      <c r="AA389" s="308"/>
      <c r="AB389" s="308"/>
      <c r="AC389" s="308"/>
      <c r="AD389" s="308"/>
      <c r="AE389" s="308"/>
      <c r="AF389" s="308"/>
      <c r="AG389" s="308"/>
      <c r="AH389" s="308"/>
      <c r="AI389" s="308"/>
      <c r="AJ389" s="308"/>
      <c r="AK389" s="308"/>
      <c r="AL389" s="308"/>
      <c r="AM389" s="308"/>
      <c r="AN389" s="308"/>
      <c r="AO389" s="308"/>
      <c r="AP389" s="308"/>
      <c r="AQ389" s="308"/>
      <c r="AR389" s="308"/>
    </row>
    <row r="390" spans="1:44" ht="16.5">
      <c r="A390" s="308"/>
      <c r="B390" s="308"/>
      <c r="C390" s="308"/>
      <c r="D390" s="308"/>
      <c r="E390" s="309"/>
      <c r="F390" s="308"/>
      <c r="G390" s="308"/>
      <c r="H390" s="308"/>
      <c r="I390" s="308"/>
      <c r="J390" s="308"/>
      <c r="K390" s="308"/>
      <c r="L390" s="308"/>
      <c r="M390" s="308"/>
      <c r="N390" s="308"/>
      <c r="O390" s="308"/>
      <c r="P390" s="308"/>
      <c r="Q390" s="308"/>
      <c r="R390" s="308"/>
      <c r="S390" s="308"/>
      <c r="T390" s="308"/>
      <c r="U390" s="308"/>
      <c r="V390" s="308"/>
      <c r="W390" s="308"/>
      <c r="X390" s="308"/>
      <c r="Y390" s="308"/>
      <c r="Z390" s="308"/>
      <c r="AA390" s="308"/>
      <c r="AB390" s="308"/>
      <c r="AC390" s="308"/>
      <c r="AD390" s="308"/>
      <c r="AE390" s="308"/>
      <c r="AF390" s="308"/>
      <c r="AG390" s="308"/>
      <c r="AH390" s="308"/>
      <c r="AI390" s="308"/>
      <c r="AJ390" s="308"/>
      <c r="AK390" s="308"/>
      <c r="AL390" s="308"/>
      <c r="AM390" s="308"/>
      <c r="AN390" s="308"/>
      <c r="AO390" s="308"/>
      <c r="AP390" s="308"/>
      <c r="AQ390" s="308"/>
      <c r="AR390" s="308"/>
    </row>
    <row r="391" spans="1:44" ht="16.5">
      <c r="A391" s="308"/>
      <c r="B391" s="308"/>
      <c r="C391" s="308"/>
      <c r="D391" s="308"/>
      <c r="E391" s="309"/>
      <c r="F391" s="308"/>
      <c r="G391" s="308"/>
      <c r="H391" s="308"/>
      <c r="I391" s="308"/>
      <c r="J391" s="308"/>
      <c r="K391" s="308"/>
      <c r="L391" s="308"/>
      <c r="M391" s="308"/>
      <c r="N391" s="308"/>
      <c r="O391" s="308"/>
      <c r="P391" s="308"/>
      <c r="Q391" s="308"/>
      <c r="R391" s="308"/>
      <c r="S391" s="308"/>
      <c r="T391" s="308"/>
      <c r="U391" s="308"/>
      <c r="V391" s="308"/>
      <c r="W391" s="308"/>
      <c r="X391" s="308"/>
      <c r="Y391" s="308"/>
      <c r="Z391" s="308"/>
      <c r="AA391" s="308"/>
      <c r="AB391" s="308"/>
      <c r="AC391" s="308"/>
      <c r="AD391" s="308"/>
      <c r="AE391" s="308"/>
      <c r="AF391" s="308"/>
      <c r="AG391" s="308"/>
      <c r="AH391" s="308"/>
      <c r="AI391" s="308"/>
      <c r="AJ391" s="308"/>
      <c r="AK391" s="308"/>
      <c r="AL391" s="308"/>
      <c r="AM391" s="308"/>
      <c r="AN391" s="308"/>
      <c r="AO391" s="308"/>
      <c r="AP391" s="308"/>
      <c r="AQ391" s="308"/>
      <c r="AR391" s="308"/>
    </row>
    <row r="392" spans="1:44" ht="16.5">
      <c r="A392" s="308"/>
      <c r="B392" s="308"/>
      <c r="C392" s="308"/>
      <c r="D392" s="308"/>
      <c r="E392" s="309"/>
      <c r="F392" s="308"/>
      <c r="G392" s="308"/>
      <c r="H392" s="308"/>
      <c r="I392" s="308"/>
      <c r="J392" s="308"/>
      <c r="K392" s="308"/>
      <c r="L392" s="308"/>
      <c r="M392" s="308"/>
      <c r="N392" s="308"/>
      <c r="O392" s="308"/>
      <c r="P392" s="308"/>
      <c r="Q392" s="308"/>
      <c r="R392" s="308"/>
      <c r="S392" s="308"/>
      <c r="T392" s="308"/>
      <c r="U392" s="308"/>
      <c r="V392" s="308"/>
      <c r="W392" s="308"/>
      <c r="X392" s="308"/>
      <c r="Y392" s="308"/>
      <c r="Z392" s="308"/>
      <c r="AA392" s="308"/>
      <c r="AB392" s="308"/>
      <c r="AC392" s="308"/>
      <c r="AD392" s="308"/>
      <c r="AE392" s="308"/>
      <c r="AF392" s="308"/>
      <c r="AG392" s="308"/>
      <c r="AH392" s="308"/>
      <c r="AI392" s="308"/>
      <c r="AJ392" s="308"/>
      <c r="AK392" s="308"/>
      <c r="AL392" s="308"/>
      <c r="AM392" s="308"/>
      <c r="AN392" s="308"/>
      <c r="AO392" s="308"/>
      <c r="AP392" s="308"/>
      <c r="AQ392" s="308"/>
      <c r="AR392" s="308"/>
    </row>
    <row r="393" spans="1:44" ht="16.5">
      <c r="A393" s="308"/>
      <c r="B393" s="308"/>
      <c r="C393" s="308"/>
      <c r="D393" s="308"/>
      <c r="E393" s="309"/>
      <c r="F393" s="308"/>
      <c r="G393" s="308"/>
      <c r="H393" s="308"/>
      <c r="I393" s="308"/>
      <c r="J393" s="308"/>
      <c r="K393" s="308"/>
      <c r="L393" s="308"/>
      <c r="M393" s="308"/>
      <c r="N393" s="308"/>
      <c r="O393" s="308"/>
      <c r="P393" s="308"/>
      <c r="Q393" s="308"/>
      <c r="R393" s="308"/>
      <c r="S393" s="308"/>
      <c r="T393" s="308"/>
      <c r="U393" s="308"/>
      <c r="V393" s="308"/>
      <c r="W393" s="308"/>
      <c r="X393" s="308"/>
      <c r="Y393" s="308"/>
      <c r="Z393" s="308"/>
      <c r="AA393" s="308"/>
      <c r="AB393" s="308"/>
      <c r="AC393" s="308"/>
      <c r="AD393" s="308"/>
      <c r="AE393" s="308"/>
      <c r="AF393" s="308"/>
      <c r="AG393" s="308"/>
      <c r="AH393" s="308"/>
      <c r="AI393" s="308"/>
      <c r="AJ393" s="308"/>
      <c r="AK393" s="308"/>
      <c r="AL393" s="308"/>
      <c r="AM393" s="308"/>
      <c r="AN393" s="308"/>
      <c r="AO393" s="308"/>
      <c r="AP393" s="308"/>
      <c r="AQ393" s="308"/>
      <c r="AR393" s="308"/>
    </row>
    <row r="394" spans="1:44" ht="16.5">
      <c r="A394" s="308"/>
      <c r="B394" s="308"/>
      <c r="C394" s="308"/>
      <c r="D394" s="308"/>
      <c r="E394" s="309"/>
      <c r="F394" s="308"/>
      <c r="G394" s="308"/>
      <c r="H394" s="308"/>
      <c r="I394" s="308"/>
      <c r="J394" s="308"/>
      <c r="K394" s="308"/>
      <c r="L394" s="308"/>
      <c r="M394" s="308"/>
      <c r="N394" s="308"/>
      <c r="O394" s="308"/>
      <c r="P394" s="308"/>
      <c r="Q394" s="308"/>
      <c r="R394" s="308"/>
      <c r="S394" s="308"/>
      <c r="T394" s="308"/>
      <c r="U394" s="308"/>
      <c r="V394" s="308"/>
      <c r="W394" s="308"/>
      <c r="X394" s="308"/>
      <c r="Y394" s="308"/>
      <c r="Z394" s="308"/>
      <c r="AA394" s="308"/>
      <c r="AB394" s="308"/>
      <c r="AC394" s="308"/>
      <c r="AD394" s="308"/>
      <c r="AE394" s="308"/>
      <c r="AF394" s="308"/>
      <c r="AG394" s="308"/>
      <c r="AH394" s="308"/>
      <c r="AI394" s="308"/>
      <c r="AJ394" s="308"/>
      <c r="AK394" s="308"/>
      <c r="AL394" s="308"/>
      <c r="AM394" s="308"/>
      <c r="AN394" s="308"/>
      <c r="AO394" s="308"/>
      <c r="AP394" s="308"/>
      <c r="AQ394" s="308"/>
      <c r="AR394" s="308"/>
    </row>
    <row r="395" spans="1:44" ht="16.5">
      <c r="A395" s="308"/>
      <c r="B395" s="308"/>
      <c r="C395" s="308"/>
      <c r="D395" s="308"/>
      <c r="E395" s="309"/>
      <c r="F395" s="308"/>
      <c r="G395" s="308"/>
      <c r="H395" s="308"/>
      <c r="I395" s="308"/>
      <c r="J395" s="308"/>
      <c r="K395" s="308"/>
      <c r="L395" s="308"/>
      <c r="M395" s="308"/>
      <c r="N395" s="308"/>
      <c r="O395" s="308"/>
      <c r="P395" s="308"/>
      <c r="Q395" s="308"/>
      <c r="R395" s="308"/>
      <c r="S395" s="308"/>
      <c r="T395" s="308"/>
      <c r="U395" s="308"/>
      <c r="V395" s="308"/>
      <c r="W395" s="308"/>
      <c r="X395" s="308"/>
      <c r="Y395" s="308"/>
      <c r="Z395" s="308"/>
      <c r="AA395" s="308"/>
      <c r="AB395" s="308"/>
      <c r="AC395" s="308"/>
      <c r="AD395" s="308"/>
      <c r="AE395" s="308"/>
      <c r="AF395" s="308"/>
      <c r="AG395" s="308"/>
      <c r="AH395" s="308"/>
      <c r="AI395" s="308"/>
      <c r="AJ395" s="308"/>
      <c r="AK395" s="308"/>
      <c r="AL395" s="308"/>
      <c r="AM395" s="308"/>
      <c r="AN395" s="308"/>
      <c r="AO395" s="308"/>
      <c r="AP395" s="308"/>
      <c r="AQ395" s="308"/>
      <c r="AR395" s="308"/>
    </row>
    <row r="396" spans="1:44" ht="16.5">
      <c r="A396" s="308"/>
      <c r="B396" s="308"/>
      <c r="C396" s="308"/>
      <c r="D396" s="308"/>
      <c r="E396" s="309"/>
      <c r="F396" s="308"/>
      <c r="G396" s="308"/>
      <c r="H396" s="308"/>
      <c r="I396" s="308"/>
      <c r="J396" s="308"/>
      <c r="K396" s="308"/>
      <c r="L396" s="308"/>
      <c r="M396" s="308"/>
      <c r="N396" s="308"/>
      <c r="O396" s="308"/>
      <c r="P396" s="308"/>
      <c r="Q396" s="308"/>
      <c r="R396" s="308"/>
      <c r="S396" s="308"/>
      <c r="T396" s="308"/>
      <c r="U396" s="308"/>
      <c r="V396" s="308"/>
      <c r="W396" s="308"/>
      <c r="X396" s="308"/>
      <c r="Y396" s="308"/>
      <c r="Z396" s="308"/>
      <c r="AA396" s="308"/>
      <c r="AB396" s="308"/>
      <c r="AC396" s="308"/>
      <c r="AD396" s="308"/>
      <c r="AE396" s="308"/>
      <c r="AF396" s="308"/>
      <c r="AG396" s="308"/>
      <c r="AH396" s="308"/>
      <c r="AI396" s="308"/>
      <c r="AJ396" s="308"/>
      <c r="AK396" s="308"/>
      <c r="AL396" s="308"/>
      <c r="AM396" s="308"/>
      <c r="AN396" s="308"/>
      <c r="AO396" s="308"/>
      <c r="AP396" s="308"/>
      <c r="AQ396" s="308"/>
      <c r="AR396" s="308"/>
    </row>
    <row r="397" spans="1:44" ht="16.5">
      <c r="A397" s="308"/>
      <c r="B397" s="308"/>
      <c r="C397" s="308"/>
      <c r="D397" s="308"/>
      <c r="E397" s="309"/>
      <c r="F397" s="308"/>
      <c r="G397" s="308"/>
      <c r="H397" s="308"/>
      <c r="I397" s="308"/>
      <c r="J397" s="308"/>
      <c r="K397" s="308"/>
      <c r="L397" s="308"/>
      <c r="M397" s="308"/>
      <c r="N397" s="308"/>
      <c r="O397" s="308"/>
      <c r="P397" s="308"/>
      <c r="Q397" s="308"/>
      <c r="R397" s="308"/>
      <c r="S397" s="308"/>
      <c r="T397" s="308"/>
      <c r="U397" s="308"/>
      <c r="V397" s="308"/>
      <c r="W397" s="308"/>
      <c r="X397" s="308"/>
      <c r="Y397" s="308"/>
      <c r="Z397" s="308"/>
      <c r="AA397" s="308"/>
      <c r="AB397" s="308"/>
      <c r="AC397" s="308"/>
      <c r="AD397" s="308"/>
      <c r="AE397" s="308"/>
      <c r="AF397" s="308"/>
      <c r="AG397" s="308"/>
      <c r="AH397" s="308"/>
      <c r="AI397" s="308"/>
      <c r="AJ397" s="308"/>
      <c r="AK397" s="308"/>
      <c r="AL397" s="308"/>
      <c r="AM397" s="308"/>
      <c r="AN397" s="308"/>
      <c r="AO397" s="308"/>
      <c r="AP397" s="308"/>
      <c r="AQ397" s="308"/>
      <c r="AR397" s="308"/>
    </row>
    <row r="398" spans="1:44" ht="16.5">
      <c r="A398" s="308"/>
      <c r="B398" s="308"/>
      <c r="C398" s="308"/>
      <c r="D398" s="308"/>
      <c r="E398" s="309"/>
      <c r="F398" s="308"/>
      <c r="G398" s="308"/>
      <c r="H398" s="308"/>
      <c r="I398" s="308"/>
      <c r="J398" s="308"/>
      <c r="K398" s="308"/>
      <c r="L398" s="308"/>
      <c r="M398" s="308"/>
      <c r="N398" s="308"/>
      <c r="O398" s="308"/>
      <c r="P398" s="308"/>
      <c r="Q398" s="308"/>
      <c r="R398" s="308"/>
      <c r="S398" s="308"/>
      <c r="T398" s="308"/>
      <c r="U398" s="308"/>
      <c r="V398" s="308"/>
      <c r="W398" s="308"/>
      <c r="X398" s="308"/>
      <c r="Y398" s="308"/>
      <c r="Z398" s="308"/>
      <c r="AA398" s="308"/>
      <c r="AB398" s="308"/>
      <c r="AC398" s="308"/>
      <c r="AD398" s="308"/>
      <c r="AE398" s="308"/>
      <c r="AF398" s="308"/>
      <c r="AG398" s="308"/>
      <c r="AH398" s="308"/>
      <c r="AI398" s="308"/>
      <c r="AJ398" s="308"/>
      <c r="AK398" s="308"/>
      <c r="AL398" s="308"/>
      <c r="AM398" s="308"/>
      <c r="AN398" s="308"/>
      <c r="AO398" s="308"/>
      <c r="AP398" s="308"/>
      <c r="AQ398" s="308"/>
      <c r="AR398" s="308"/>
    </row>
    <row r="399" spans="1:44" ht="16.5">
      <c r="A399" s="308"/>
      <c r="B399" s="308"/>
      <c r="C399" s="308"/>
      <c r="D399" s="308"/>
      <c r="E399" s="309"/>
      <c r="F399" s="308"/>
      <c r="G399" s="308"/>
      <c r="H399" s="308"/>
      <c r="I399" s="308"/>
      <c r="J399" s="308"/>
      <c r="K399" s="308"/>
      <c r="L399" s="308"/>
      <c r="M399" s="308"/>
      <c r="N399" s="308"/>
      <c r="O399" s="308"/>
      <c r="P399" s="308"/>
      <c r="Q399" s="308"/>
      <c r="R399" s="308"/>
      <c r="S399" s="308"/>
      <c r="T399" s="308"/>
      <c r="U399" s="308"/>
      <c r="V399" s="308"/>
      <c r="W399" s="308"/>
      <c r="X399" s="308"/>
      <c r="Y399" s="308"/>
      <c r="Z399" s="308"/>
      <c r="AA399" s="308"/>
      <c r="AB399" s="308"/>
      <c r="AC399" s="308"/>
      <c r="AD399" s="308"/>
      <c r="AE399" s="308"/>
      <c r="AF399" s="308"/>
      <c r="AG399" s="308"/>
      <c r="AH399" s="308"/>
      <c r="AI399" s="308"/>
      <c r="AJ399" s="308"/>
      <c r="AK399" s="308"/>
      <c r="AL399" s="308"/>
      <c r="AM399" s="308"/>
      <c r="AN399" s="308"/>
      <c r="AO399" s="308"/>
      <c r="AP399" s="308"/>
      <c r="AQ399" s="308"/>
      <c r="AR399" s="308"/>
    </row>
    <row r="400" spans="1:44" ht="16.5">
      <c r="A400" s="308"/>
      <c r="B400" s="308"/>
      <c r="C400" s="308"/>
      <c r="D400" s="308"/>
      <c r="E400" s="309"/>
      <c r="F400" s="308"/>
      <c r="G400" s="308"/>
      <c r="H400" s="308"/>
      <c r="I400" s="308"/>
      <c r="J400" s="308"/>
      <c r="K400" s="308"/>
      <c r="L400" s="308"/>
      <c r="M400" s="308"/>
      <c r="N400" s="308"/>
      <c r="O400" s="308"/>
      <c r="P400" s="308"/>
      <c r="Q400" s="308"/>
      <c r="R400" s="308"/>
      <c r="S400" s="308"/>
      <c r="T400" s="308"/>
      <c r="U400" s="308"/>
      <c r="V400" s="308"/>
      <c r="W400" s="308"/>
      <c r="X400" s="308"/>
      <c r="Y400" s="308"/>
      <c r="Z400" s="308"/>
      <c r="AA400" s="308"/>
      <c r="AB400" s="308"/>
      <c r="AC400" s="308"/>
      <c r="AD400" s="308"/>
      <c r="AE400" s="308"/>
      <c r="AF400" s="308"/>
      <c r="AG400" s="308"/>
      <c r="AH400" s="308"/>
      <c r="AI400" s="308"/>
      <c r="AJ400" s="308"/>
      <c r="AK400" s="308"/>
      <c r="AL400" s="308"/>
      <c r="AM400" s="308"/>
      <c r="AN400" s="308"/>
      <c r="AO400" s="308"/>
      <c r="AP400" s="308"/>
      <c r="AQ400" s="308"/>
      <c r="AR400" s="308"/>
    </row>
    <row r="401" spans="1:44" ht="16.5">
      <c r="A401" s="308"/>
      <c r="B401" s="308"/>
      <c r="C401" s="308"/>
      <c r="D401" s="308"/>
      <c r="E401" s="309"/>
      <c r="F401" s="308"/>
      <c r="G401" s="308"/>
      <c r="H401" s="308"/>
      <c r="I401" s="308"/>
      <c r="J401" s="308"/>
      <c r="K401" s="308"/>
      <c r="L401" s="308"/>
      <c r="M401" s="308"/>
      <c r="N401" s="308"/>
      <c r="O401" s="308"/>
      <c r="P401" s="308"/>
      <c r="Q401" s="308"/>
      <c r="R401" s="308"/>
      <c r="S401" s="308"/>
      <c r="T401" s="308"/>
      <c r="U401" s="308"/>
      <c r="V401" s="308"/>
      <c r="W401" s="308"/>
      <c r="X401" s="308"/>
      <c r="Y401" s="308"/>
      <c r="Z401" s="308"/>
      <c r="AA401" s="308"/>
      <c r="AB401" s="308"/>
      <c r="AC401" s="308"/>
      <c r="AD401" s="308"/>
      <c r="AE401" s="308"/>
      <c r="AF401" s="308"/>
      <c r="AG401" s="308"/>
      <c r="AH401" s="308"/>
      <c r="AI401" s="308"/>
      <c r="AJ401" s="308"/>
      <c r="AK401" s="308"/>
      <c r="AL401" s="308"/>
      <c r="AM401" s="308"/>
      <c r="AN401" s="308"/>
      <c r="AO401" s="308"/>
      <c r="AP401" s="308"/>
      <c r="AQ401" s="308"/>
      <c r="AR401" s="308"/>
    </row>
    <row r="402" spans="1:44" ht="16.5">
      <c r="A402" s="308"/>
      <c r="B402" s="308"/>
      <c r="C402" s="308"/>
      <c r="D402" s="308"/>
      <c r="E402" s="309"/>
      <c r="F402" s="308"/>
      <c r="G402" s="308"/>
      <c r="H402" s="308"/>
      <c r="I402" s="308"/>
      <c r="J402" s="308"/>
      <c r="K402" s="308"/>
      <c r="L402" s="308"/>
      <c r="M402" s="308"/>
      <c r="N402" s="308"/>
      <c r="O402" s="308"/>
      <c r="P402" s="308"/>
      <c r="Q402" s="308"/>
      <c r="R402" s="308"/>
      <c r="S402" s="308"/>
      <c r="T402" s="308"/>
      <c r="U402" s="308"/>
      <c r="V402" s="308"/>
      <c r="W402" s="308"/>
      <c r="X402" s="308"/>
      <c r="Y402" s="308"/>
      <c r="Z402" s="308"/>
      <c r="AA402" s="308"/>
      <c r="AB402" s="308"/>
      <c r="AC402" s="308"/>
      <c r="AD402" s="308"/>
      <c r="AE402" s="308"/>
      <c r="AF402" s="308"/>
      <c r="AG402" s="308"/>
      <c r="AH402" s="308"/>
      <c r="AI402" s="308"/>
      <c r="AJ402" s="308"/>
      <c r="AK402" s="308"/>
      <c r="AL402" s="308"/>
      <c r="AM402" s="308"/>
      <c r="AN402" s="308"/>
      <c r="AO402" s="308"/>
      <c r="AP402" s="308"/>
      <c r="AQ402" s="308"/>
      <c r="AR402" s="308"/>
    </row>
    <row r="403" spans="1:44" ht="16.5">
      <c r="A403" s="308"/>
      <c r="B403" s="308"/>
      <c r="C403" s="308"/>
      <c r="D403" s="308"/>
      <c r="E403" s="309"/>
      <c r="F403" s="308"/>
      <c r="G403" s="308"/>
      <c r="H403" s="308"/>
      <c r="I403" s="308"/>
      <c r="J403" s="308"/>
      <c r="K403" s="308"/>
      <c r="L403" s="308"/>
      <c r="M403" s="308"/>
      <c r="N403" s="308"/>
      <c r="O403" s="308"/>
      <c r="P403" s="308"/>
      <c r="Q403" s="308"/>
      <c r="R403" s="308"/>
      <c r="S403" s="308"/>
      <c r="T403" s="308"/>
      <c r="U403" s="308"/>
      <c r="V403" s="308"/>
      <c r="W403" s="308"/>
      <c r="X403" s="308"/>
      <c r="Y403" s="308"/>
      <c r="Z403" s="308"/>
      <c r="AA403" s="308"/>
      <c r="AB403" s="308"/>
      <c r="AC403" s="308"/>
      <c r="AD403" s="308"/>
      <c r="AE403" s="308"/>
      <c r="AF403" s="308"/>
      <c r="AG403" s="308"/>
      <c r="AH403" s="308"/>
      <c r="AI403" s="308"/>
      <c r="AJ403" s="308"/>
      <c r="AK403" s="308"/>
      <c r="AL403" s="308"/>
      <c r="AM403" s="308"/>
      <c r="AN403" s="308"/>
      <c r="AO403" s="308"/>
      <c r="AP403" s="308"/>
      <c r="AQ403" s="308"/>
      <c r="AR403" s="308"/>
    </row>
    <row r="404" spans="1:44" ht="16.5">
      <c r="A404" s="308"/>
      <c r="B404" s="308"/>
      <c r="C404" s="308"/>
      <c r="D404" s="308"/>
      <c r="E404" s="309"/>
      <c r="F404" s="308"/>
      <c r="G404" s="308"/>
      <c r="H404" s="308"/>
      <c r="I404" s="308"/>
      <c r="J404" s="308"/>
      <c r="K404" s="308"/>
      <c r="L404" s="308"/>
      <c r="M404" s="308"/>
      <c r="N404" s="308"/>
      <c r="O404" s="308"/>
      <c r="P404" s="308"/>
      <c r="Q404" s="308"/>
      <c r="R404" s="308"/>
      <c r="S404" s="308"/>
      <c r="T404" s="308"/>
      <c r="U404" s="308"/>
      <c r="V404" s="308"/>
      <c r="W404" s="308"/>
      <c r="X404" s="308"/>
      <c r="Y404" s="308"/>
      <c r="Z404" s="308"/>
      <c r="AA404" s="308"/>
      <c r="AB404" s="308"/>
      <c r="AC404" s="308"/>
      <c r="AD404" s="308"/>
      <c r="AE404" s="308"/>
      <c r="AF404" s="308"/>
      <c r="AG404" s="308"/>
      <c r="AH404" s="308"/>
      <c r="AI404" s="308"/>
      <c r="AJ404" s="308"/>
      <c r="AK404" s="308"/>
      <c r="AL404" s="308"/>
      <c r="AM404" s="308"/>
      <c r="AN404" s="308"/>
      <c r="AO404" s="308"/>
      <c r="AP404" s="308"/>
      <c r="AQ404" s="308"/>
      <c r="AR404" s="308"/>
    </row>
    <row r="405" spans="1:44" ht="16.5">
      <c r="A405" s="308"/>
      <c r="B405" s="308"/>
      <c r="C405" s="308"/>
      <c r="D405" s="308"/>
      <c r="E405" s="309"/>
      <c r="F405" s="308"/>
      <c r="G405" s="308"/>
      <c r="H405" s="308"/>
      <c r="I405" s="308"/>
      <c r="J405" s="308"/>
      <c r="K405" s="308"/>
      <c r="L405" s="308"/>
      <c r="M405" s="308"/>
      <c r="N405" s="308"/>
      <c r="O405" s="308"/>
      <c r="P405" s="308"/>
      <c r="Q405" s="308"/>
      <c r="R405" s="308"/>
      <c r="S405" s="308"/>
      <c r="T405" s="308"/>
      <c r="U405" s="308"/>
      <c r="V405" s="308"/>
      <c r="W405" s="308"/>
      <c r="X405" s="308"/>
      <c r="Y405" s="308"/>
      <c r="Z405" s="308"/>
      <c r="AA405" s="308"/>
      <c r="AB405" s="308"/>
      <c r="AC405" s="308"/>
      <c r="AD405" s="308"/>
      <c r="AE405" s="308"/>
      <c r="AF405" s="308"/>
      <c r="AG405" s="308"/>
      <c r="AH405" s="308"/>
      <c r="AI405" s="308"/>
      <c r="AJ405" s="308"/>
      <c r="AK405" s="308"/>
      <c r="AL405" s="308"/>
      <c r="AM405" s="308"/>
      <c r="AN405" s="308"/>
      <c r="AO405" s="308"/>
      <c r="AP405" s="308"/>
      <c r="AQ405" s="308"/>
      <c r="AR405" s="308"/>
    </row>
    <row r="406" spans="1:44" ht="16.5">
      <c r="A406" s="308"/>
      <c r="B406" s="308"/>
      <c r="C406" s="308"/>
      <c r="D406" s="308"/>
      <c r="E406" s="309"/>
      <c r="F406" s="308"/>
      <c r="G406" s="308"/>
      <c r="H406" s="308"/>
      <c r="I406" s="308"/>
      <c r="J406" s="308"/>
      <c r="K406" s="308"/>
      <c r="L406" s="308"/>
      <c r="M406" s="308"/>
      <c r="N406" s="308"/>
      <c r="O406" s="308"/>
      <c r="P406" s="308"/>
      <c r="Q406" s="308"/>
      <c r="R406" s="308"/>
      <c r="S406" s="308"/>
      <c r="T406" s="308"/>
      <c r="U406" s="308"/>
      <c r="V406" s="308"/>
      <c r="W406" s="308"/>
      <c r="X406" s="308"/>
      <c r="Y406" s="308"/>
      <c r="Z406" s="308"/>
      <c r="AA406" s="308"/>
      <c r="AB406" s="308"/>
      <c r="AC406" s="308"/>
      <c r="AD406" s="308"/>
      <c r="AE406" s="308"/>
      <c r="AF406" s="308"/>
      <c r="AG406" s="308"/>
      <c r="AH406" s="308"/>
      <c r="AI406" s="308"/>
      <c r="AJ406" s="308"/>
      <c r="AK406" s="308"/>
      <c r="AL406" s="308"/>
      <c r="AM406" s="308"/>
      <c r="AN406" s="308"/>
      <c r="AO406" s="308"/>
      <c r="AP406" s="308"/>
      <c r="AQ406" s="308"/>
      <c r="AR406" s="308"/>
    </row>
    <row r="407" spans="1:44" ht="16.5">
      <c r="A407" s="308"/>
      <c r="B407" s="308"/>
      <c r="C407" s="308"/>
      <c r="D407" s="308"/>
      <c r="E407" s="309"/>
      <c r="F407" s="308"/>
      <c r="G407" s="308"/>
      <c r="H407" s="308"/>
      <c r="I407" s="308"/>
      <c r="J407" s="308"/>
      <c r="K407" s="308"/>
      <c r="L407" s="308"/>
      <c r="M407" s="308"/>
      <c r="N407" s="308"/>
      <c r="O407" s="308"/>
      <c r="P407" s="308"/>
      <c r="Q407" s="308"/>
      <c r="R407" s="308"/>
      <c r="S407" s="308"/>
      <c r="T407" s="308"/>
      <c r="U407" s="308"/>
      <c r="V407" s="308"/>
      <c r="W407" s="308"/>
      <c r="X407" s="308"/>
      <c r="Y407" s="308"/>
      <c r="Z407" s="308"/>
      <c r="AA407" s="308"/>
      <c r="AB407" s="308"/>
      <c r="AC407" s="308"/>
      <c r="AD407" s="308"/>
      <c r="AE407" s="308"/>
      <c r="AF407" s="308"/>
      <c r="AG407" s="308"/>
      <c r="AH407" s="308"/>
      <c r="AI407" s="308"/>
      <c r="AJ407" s="308"/>
      <c r="AK407" s="308"/>
      <c r="AL407" s="308"/>
      <c r="AM407" s="308"/>
      <c r="AN407" s="308"/>
      <c r="AO407" s="308"/>
      <c r="AP407" s="308"/>
      <c r="AQ407" s="308"/>
      <c r="AR407" s="308"/>
    </row>
    <row r="408" spans="1:44" ht="16.5">
      <c r="A408" s="308"/>
      <c r="B408" s="308"/>
      <c r="C408" s="308"/>
      <c r="D408" s="308"/>
      <c r="E408" s="309"/>
      <c r="F408" s="308"/>
      <c r="G408" s="308"/>
      <c r="H408" s="308"/>
      <c r="I408" s="308"/>
      <c r="J408" s="308"/>
      <c r="K408" s="308"/>
      <c r="L408" s="308"/>
      <c r="M408" s="308"/>
      <c r="N408" s="308"/>
      <c r="O408" s="308"/>
      <c r="P408" s="308"/>
      <c r="Q408" s="308"/>
      <c r="R408" s="308"/>
      <c r="S408" s="308"/>
      <c r="T408" s="308"/>
      <c r="U408" s="308"/>
      <c r="V408" s="308"/>
      <c r="W408" s="308"/>
      <c r="X408" s="308"/>
      <c r="Y408" s="308"/>
      <c r="Z408" s="308"/>
      <c r="AA408" s="308"/>
      <c r="AB408" s="308"/>
      <c r="AC408" s="308"/>
      <c r="AD408" s="308"/>
      <c r="AE408" s="308"/>
      <c r="AF408" s="308"/>
      <c r="AG408" s="308"/>
      <c r="AH408" s="308"/>
      <c r="AI408" s="308"/>
      <c r="AJ408" s="308"/>
      <c r="AK408" s="308"/>
      <c r="AL408" s="308"/>
      <c r="AM408" s="308"/>
      <c r="AN408" s="308"/>
      <c r="AO408" s="308"/>
      <c r="AP408" s="308"/>
      <c r="AQ408" s="308"/>
      <c r="AR408" s="308"/>
    </row>
    <row r="409" spans="1:44" ht="16.5">
      <c r="A409" s="308"/>
      <c r="B409" s="308"/>
      <c r="C409" s="308"/>
      <c r="D409" s="308"/>
      <c r="E409" s="309"/>
      <c r="F409" s="308"/>
      <c r="G409" s="308"/>
      <c r="H409" s="308"/>
      <c r="I409" s="308"/>
      <c r="J409" s="308"/>
      <c r="K409" s="308"/>
      <c r="L409" s="308"/>
      <c r="M409" s="308"/>
      <c r="N409" s="308"/>
      <c r="O409" s="308"/>
      <c r="P409" s="308"/>
      <c r="Q409" s="308"/>
      <c r="R409" s="308"/>
      <c r="S409" s="308"/>
      <c r="T409" s="308"/>
      <c r="U409" s="308"/>
      <c r="V409" s="308"/>
      <c r="W409" s="308"/>
      <c r="X409" s="308"/>
      <c r="Y409" s="308"/>
      <c r="Z409" s="308"/>
      <c r="AA409" s="308"/>
      <c r="AB409" s="308"/>
      <c r="AC409" s="308"/>
      <c r="AD409" s="308"/>
      <c r="AE409" s="308"/>
      <c r="AF409" s="308"/>
      <c r="AG409" s="308"/>
      <c r="AH409" s="308"/>
      <c r="AI409" s="308"/>
      <c r="AJ409" s="308"/>
      <c r="AK409" s="308"/>
      <c r="AL409" s="308"/>
      <c r="AM409" s="308"/>
      <c r="AN409" s="308"/>
      <c r="AO409" s="308"/>
      <c r="AP409" s="308"/>
      <c r="AQ409" s="308"/>
      <c r="AR409" s="308"/>
    </row>
    <row r="410" spans="1:44" ht="16.5">
      <c r="A410" s="308"/>
      <c r="B410" s="308"/>
      <c r="C410" s="308"/>
      <c r="D410" s="308"/>
      <c r="E410" s="309"/>
      <c r="F410" s="308"/>
      <c r="G410" s="308"/>
      <c r="H410" s="308"/>
      <c r="I410" s="308"/>
      <c r="J410" s="308"/>
      <c r="K410" s="308"/>
      <c r="L410" s="308"/>
      <c r="M410" s="308"/>
      <c r="N410" s="308"/>
      <c r="O410" s="308"/>
      <c r="P410" s="308"/>
      <c r="Q410" s="308"/>
      <c r="R410" s="308"/>
      <c r="S410" s="308"/>
      <c r="T410" s="308"/>
      <c r="U410" s="308"/>
      <c r="V410" s="308"/>
      <c r="W410" s="308"/>
      <c r="X410" s="308"/>
      <c r="Y410" s="308"/>
      <c r="Z410" s="308"/>
      <c r="AA410" s="308"/>
      <c r="AB410" s="308"/>
      <c r="AC410" s="308"/>
      <c r="AD410" s="308"/>
      <c r="AE410" s="308"/>
      <c r="AF410" s="308"/>
      <c r="AG410" s="308"/>
      <c r="AH410" s="308"/>
      <c r="AI410" s="308"/>
      <c r="AJ410" s="308"/>
      <c r="AK410" s="308"/>
      <c r="AL410" s="308"/>
      <c r="AM410" s="308"/>
      <c r="AN410" s="308"/>
      <c r="AO410" s="308"/>
      <c r="AP410" s="308"/>
      <c r="AQ410" s="308"/>
      <c r="AR410" s="308"/>
    </row>
    <row r="411" spans="1:44" ht="16.5">
      <c r="A411" s="308"/>
      <c r="B411" s="308"/>
      <c r="C411" s="308"/>
      <c r="D411" s="308"/>
      <c r="E411" s="309"/>
      <c r="F411" s="308"/>
      <c r="G411" s="308"/>
      <c r="H411" s="308"/>
      <c r="I411" s="308"/>
      <c r="J411" s="308"/>
      <c r="K411" s="308"/>
      <c r="L411" s="308"/>
      <c r="M411" s="308"/>
      <c r="N411" s="308"/>
      <c r="O411" s="308"/>
      <c r="P411" s="308"/>
      <c r="Q411" s="308"/>
      <c r="R411" s="308"/>
      <c r="S411" s="308"/>
      <c r="T411" s="308"/>
      <c r="U411" s="308"/>
      <c r="V411" s="308"/>
      <c r="W411" s="308"/>
      <c r="X411" s="308"/>
      <c r="Y411" s="308"/>
      <c r="Z411" s="308"/>
      <c r="AA411" s="308"/>
      <c r="AB411" s="308"/>
      <c r="AC411" s="308"/>
      <c r="AD411" s="308"/>
      <c r="AE411" s="308"/>
      <c r="AF411" s="308"/>
      <c r="AG411" s="308"/>
      <c r="AH411" s="308"/>
      <c r="AI411" s="308"/>
      <c r="AJ411" s="308"/>
      <c r="AK411" s="308"/>
      <c r="AL411" s="308"/>
      <c r="AM411" s="308"/>
      <c r="AN411" s="308"/>
      <c r="AO411" s="308"/>
      <c r="AP411" s="308"/>
      <c r="AQ411" s="308"/>
      <c r="AR411" s="308"/>
    </row>
    <row r="412" spans="1:44" ht="16.5">
      <c r="A412" s="308"/>
      <c r="B412" s="308"/>
      <c r="C412" s="308"/>
      <c r="D412" s="308"/>
      <c r="E412" s="309"/>
      <c r="F412" s="308"/>
      <c r="G412" s="308"/>
      <c r="H412" s="308"/>
      <c r="I412" s="308"/>
      <c r="J412" s="308"/>
      <c r="K412" s="308"/>
      <c r="L412" s="308"/>
      <c r="M412" s="308"/>
      <c r="N412" s="308"/>
      <c r="O412" s="308"/>
      <c r="P412" s="308"/>
      <c r="Q412" s="308"/>
      <c r="R412" s="308"/>
      <c r="S412" s="308"/>
      <c r="T412" s="308"/>
      <c r="U412" s="308"/>
      <c r="V412" s="308"/>
      <c r="W412" s="308"/>
      <c r="X412" s="308"/>
      <c r="Y412" s="308"/>
      <c r="Z412" s="308"/>
      <c r="AA412" s="308"/>
      <c r="AB412" s="308"/>
      <c r="AC412" s="308"/>
      <c r="AD412" s="308"/>
      <c r="AE412" s="308"/>
      <c r="AF412" s="308"/>
      <c r="AG412" s="308"/>
      <c r="AH412" s="308"/>
      <c r="AI412" s="308"/>
      <c r="AJ412" s="308"/>
      <c r="AK412" s="308"/>
      <c r="AL412" s="308"/>
      <c r="AM412" s="308"/>
      <c r="AN412" s="308"/>
      <c r="AO412" s="308"/>
      <c r="AP412" s="308"/>
      <c r="AQ412" s="308"/>
      <c r="AR412" s="308"/>
    </row>
    <row r="413" spans="1:44" ht="16.5">
      <c r="A413" s="308"/>
      <c r="B413" s="308"/>
      <c r="C413" s="308"/>
      <c r="D413" s="308"/>
      <c r="E413" s="309"/>
      <c r="F413" s="308"/>
      <c r="G413" s="308"/>
      <c r="H413" s="308"/>
      <c r="I413" s="308"/>
      <c r="J413" s="308"/>
      <c r="K413" s="308"/>
      <c r="L413" s="308"/>
      <c r="M413" s="308"/>
      <c r="N413" s="308"/>
      <c r="O413" s="308"/>
      <c r="P413" s="308"/>
      <c r="Q413" s="308"/>
      <c r="R413" s="308"/>
      <c r="S413" s="308"/>
      <c r="T413" s="308"/>
      <c r="U413" s="308"/>
      <c r="V413" s="308"/>
      <c r="W413" s="308"/>
      <c r="X413" s="308"/>
      <c r="Y413" s="308"/>
      <c r="Z413" s="308"/>
      <c r="AA413" s="308"/>
      <c r="AB413" s="308"/>
      <c r="AC413" s="308"/>
      <c r="AD413" s="308"/>
      <c r="AE413" s="308"/>
      <c r="AF413" s="308"/>
      <c r="AG413" s="308"/>
      <c r="AH413" s="308"/>
      <c r="AI413" s="308"/>
      <c r="AJ413" s="308"/>
      <c r="AK413" s="308"/>
      <c r="AL413" s="308"/>
      <c r="AM413" s="308"/>
      <c r="AN413" s="308"/>
      <c r="AO413" s="308"/>
      <c r="AP413" s="308"/>
      <c r="AQ413" s="308"/>
      <c r="AR413" s="308"/>
    </row>
    <row r="414" spans="1:44" ht="16.5">
      <c r="A414" s="308"/>
      <c r="B414" s="308"/>
      <c r="C414" s="308"/>
      <c r="D414" s="308"/>
      <c r="E414" s="309"/>
      <c r="F414" s="308"/>
      <c r="G414" s="308"/>
      <c r="H414" s="308"/>
      <c r="I414" s="308"/>
      <c r="J414" s="308"/>
      <c r="K414" s="308"/>
      <c r="L414" s="308"/>
      <c r="M414" s="308"/>
      <c r="N414" s="308"/>
      <c r="O414" s="308"/>
      <c r="P414" s="308"/>
      <c r="Q414" s="308"/>
      <c r="R414" s="308"/>
      <c r="S414" s="308"/>
      <c r="T414" s="308"/>
      <c r="U414" s="308"/>
      <c r="V414" s="308"/>
      <c r="W414" s="308"/>
      <c r="X414" s="308"/>
      <c r="Y414" s="308"/>
      <c r="Z414" s="308"/>
      <c r="AA414" s="308"/>
      <c r="AB414" s="308"/>
      <c r="AC414" s="308"/>
      <c r="AD414" s="308"/>
      <c r="AE414" s="308"/>
      <c r="AF414" s="308"/>
      <c r="AG414" s="308"/>
      <c r="AH414" s="308"/>
      <c r="AI414" s="308"/>
      <c r="AJ414" s="308"/>
      <c r="AK414" s="308"/>
      <c r="AL414" s="308"/>
      <c r="AM414" s="308"/>
      <c r="AN414" s="308"/>
      <c r="AO414" s="308"/>
      <c r="AP414" s="308"/>
      <c r="AQ414" s="308"/>
      <c r="AR414" s="308"/>
    </row>
    <row r="415" spans="1:44" ht="16.5">
      <c r="A415" s="308"/>
      <c r="B415" s="308"/>
      <c r="C415" s="308"/>
      <c r="D415" s="308"/>
      <c r="E415" s="309"/>
      <c r="F415" s="308"/>
      <c r="G415" s="308"/>
      <c r="H415" s="308"/>
      <c r="I415" s="308"/>
      <c r="J415" s="308"/>
      <c r="K415" s="308"/>
      <c r="L415" s="308"/>
      <c r="M415" s="308"/>
      <c r="N415" s="308"/>
      <c r="O415" s="308"/>
      <c r="P415" s="308"/>
      <c r="Q415" s="308"/>
      <c r="R415" s="308"/>
      <c r="S415" s="308"/>
      <c r="T415" s="308"/>
      <c r="U415" s="308"/>
      <c r="V415" s="308"/>
      <c r="W415" s="308"/>
      <c r="X415" s="308"/>
      <c r="Y415" s="308"/>
      <c r="Z415" s="308"/>
      <c r="AA415" s="308"/>
      <c r="AB415" s="308"/>
      <c r="AC415" s="308"/>
      <c r="AD415" s="308"/>
      <c r="AE415" s="308"/>
      <c r="AF415" s="308"/>
      <c r="AG415" s="308"/>
      <c r="AH415" s="308"/>
      <c r="AI415" s="308"/>
      <c r="AJ415" s="308"/>
      <c r="AK415" s="308"/>
      <c r="AL415" s="308"/>
      <c r="AM415" s="308"/>
      <c r="AN415" s="308"/>
      <c r="AO415" s="308"/>
      <c r="AP415" s="308"/>
      <c r="AQ415" s="308"/>
      <c r="AR415" s="308"/>
    </row>
  </sheetData>
  <mergeCells count="54">
    <mergeCell ref="A47:B47"/>
    <mergeCell ref="A85:B87"/>
    <mergeCell ref="C49:C53"/>
    <mergeCell ref="A46:B46"/>
    <mergeCell ref="A79:B84"/>
    <mergeCell ref="C69:C70"/>
    <mergeCell ref="C79:C80"/>
    <mergeCell ref="C81:C82"/>
    <mergeCell ref="C71:C77"/>
    <mergeCell ref="A71:B78"/>
    <mergeCell ref="A48:B48"/>
    <mergeCell ref="A34:B42"/>
    <mergeCell ref="P1:AR1"/>
    <mergeCell ref="C20:C25"/>
    <mergeCell ref="F5:F11"/>
    <mergeCell ref="C5:C11"/>
    <mergeCell ref="C18:C19"/>
    <mergeCell ref="C3:C4"/>
    <mergeCell ref="C66:C67"/>
    <mergeCell ref="A45:B45"/>
    <mergeCell ref="C12:C17"/>
    <mergeCell ref="A2:B2"/>
    <mergeCell ref="G1:O1"/>
    <mergeCell ref="A3:B19"/>
    <mergeCell ref="C26:C27"/>
    <mergeCell ref="A20:B33"/>
    <mergeCell ref="C34:C35"/>
    <mergeCell ref="C36:C37"/>
    <mergeCell ref="A136:A161"/>
    <mergeCell ref="B120:B135"/>
    <mergeCell ref="B136:B161"/>
    <mergeCell ref="A100:B102"/>
    <mergeCell ref="B162:B172"/>
    <mergeCell ref="F54:F56"/>
    <mergeCell ref="C54:C56"/>
    <mergeCell ref="C57:C60"/>
    <mergeCell ref="C61:C65"/>
    <mergeCell ref="A49:B70"/>
    <mergeCell ref="A242:A243"/>
    <mergeCell ref="A88:B90"/>
    <mergeCell ref="A111:B118"/>
    <mergeCell ref="A103:B110"/>
    <mergeCell ref="A91:B93"/>
    <mergeCell ref="A94:B96"/>
    <mergeCell ref="A97:B99"/>
    <mergeCell ref="B227:B241"/>
    <mergeCell ref="B242:B243"/>
    <mergeCell ref="A120:A135"/>
    <mergeCell ref="B173:B220"/>
    <mergeCell ref="B221:B226"/>
    <mergeCell ref="A162:A172"/>
    <mergeCell ref="A173:A220"/>
    <mergeCell ref="A221:A226"/>
    <mergeCell ref="A227:A241"/>
  </mergeCells>
  <phoneticPr fontId="2"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C5658-3CC8-4BBA-8FE8-D8C1D1B36652}">
  <dimension ref="B1:N118"/>
  <sheetViews>
    <sheetView zoomScale="75" zoomScaleNormal="75" workbookViewId="0">
      <pane ySplit="1" topLeftCell="A2" activePane="bottomLeft" state="frozen"/>
      <selection sqref="A1:O1"/>
      <selection pane="bottomLeft" sqref="A1:O1"/>
    </sheetView>
  </sheetViews>
  <sheetFormatPr defaultColWidth="9" defaultRowHeight="14.25"/>
  <cols>
    <col min="1" max="1" width="3.75" style="82" customWidth="1"/>
    <col min="2" max="2" width="5" style="369" customWidth="1"/>
    <col min="3" max="3" width="6.625" style="369" customWidth="1"/>
    <col min="4" max="4" width="36" style="82" customWidth="1"/>
    <col min="5" max="5" width="8.375" style="82" customWidth="1"/>
    <col min="6" max="6" width="13.625" style="82" customWidth="1"/>
    <col min="7" max="7" width="7" style="369" customWidth="1"/>
    <col min="8" max="8" width="6.625" style="369" customWidth="1"/>
    <col min="9" max="9" width="12.625" style="370" customWidth="1"/>
    <col min="10" max="10" width="12.875" style="370" customWidth="1"/>
    <col min="11" max="12" width="6.625" style="369" customWidth="1"/>
    <col min="13" max="13" width="22.875" style="369" customWidth="1"/>
    <col min="14" max="14" width="41.875" style="82" customWidth="1"/>
    <col min="15" max="16384" width="9" style="82"/>
  </cols>
  <sheetData>
    <row r="1" spans="2:14">
      <c r="B1" s="401" t="s">
        <v>4065</v>
      </c>
      <c r="C1" s="401" t="s">
        <v>4064</v>
      </c>
      <c r="D1" s="401" t="s">
        <v>4063</v>
      </c>
      <c r="E1" s="401" t="s">
        <v>4062</v>
      </c>
      <c r="F1" s="401" t="s">
        <v>4061</v>
      </c>
      <c r="G1" s="401" t="s">
        <v>4060</v>
      </c>
      <c r="H1" s="401" t="s">
        <v>4059</v>
      </c>
      <c r="I1" s="402" t="s">
        <v>4058</v>
      </c>
      <c r="J1" s="402" t="s">
        <v>4057</v>
      </c>
      <c r="K1" s="401" t="s">
        <v>4056</v>
      </c>
      <c r="L1" s="401" t="s">
        <v>4055</v>
      </c>
      <c r="M1" s="401" t="s">
        <v>4054</v>
      </c>
      <c r="N1" s="401" t="s">
        <v>4053</v>
      </c>
    </row>
    <row r="2" spans="2:14" s="369" customFormat="1" ht="40.5">
      <c r="B2" s="382">
        <v>1</v>
      </c>
      <c r="C2" s="382"/>
      <c r="D2" s="386" t="s">
        <v>4052</v>
      </c>
      <c r="E2" s="382"/>
      <c r="F2" s="382"/>
      <c r="G2" s="382">
        <f>SUM(G3:G59)</f>
        <v>50</v>
      </c>
      <c r="H2" s="382"/>
      <c r="I2" s="384"/>
      <c r="J2" s="384"/>
      <c r="K2" s="382"/>
      <c r="L2" s="382"/>
      <c r="M2" s="383" t="s">
        <v>3989</v>
      </c>
      <c r="N2" s="382">
        <v>64</v>
      </c>
    </row>
    <row r="3" spans="2:14" s="369" customFormat="1">
      <c r="B3" s="382"/>
      <c r="C3" s="382"/>
      <c r="D3" s="386" t="s">
        <v>4051</v>
      </c>
      <c r="E3" s="382"/>
      <c r="F3" s="382"/>
      <c r="G3" s="382"/>
      <c r="H3" s="382"/>
      <c r="I3" s="384"/>
      <c r="J3" s="384"/>
      <c r="K3" s="382"/>
      <c r="L3" s="382"/>
      <c r="M3" s="383"/>
      <c r="N3" s="382"/>
    </row>
    <row r="4" spans="2:14" s="369" customFormat="1">
      <c r="B4" s="382"/>
      <c r="C4" s="399"/>
      <c r="D4" s="400" t="s">
        <v>4050</v>
      </c>
      <c r="E4" s="382"/>
      <c r="F4" s="382"/>
      <c r="G4" s="382"/>
      <c r="H4" s="382"/>
      <c r="I4" s="384"/>
      <c r="J4" s="384"/>
      <c r="K4" s="382"/>
      <c r="L4" s="382"/>
      <c r="M4" s="383"/>
      <c r="N4" s="382"/>
    </row>
    <row r="5" spans="2:14" s="369" customFormat="1">
      <c r="B5" s="382"/>
      <c r="C5" s="399">
        <v>1</v>
      </c>
      <c r="D5" s="398" t="s">
        <v>4049</v>
      </c>
      <c r="E5" s="382"/>
      <c r="F5" s="382">
        <v>10</v>
      </c>
      <c r="G5" s="382">
        <f>F5/40</f>
        <v>0.25</v>
      </c>
      <c r="H5" s="382"/>
      <c r="I5" s="384"/>
      <c r="J5" s="384"/>
      <c r="K5" s="382"/>
      <c r="L5" s="382"/>
      <c r="M5" s="383"/>
      <c r="N5" s="382"/>
    </row>
    <row r="6" spans="2:14" s="369" customFormat="1">
      <c r="B6" s="382"/>
      <c r="C6" s="399">
        <v>2</v>
      </c>
      <c r="D6" s="398" t="s">
        <v>4048</v>
      </c>
      <c r="E6" s="382"/>
      <c r="F6" s="382">
        <v>10</v>
      </c>
      <c r="G6" s="382">
        <f>F6/40</f>
        <v>0.25</v>
      </c>
      <c r="H6" s="382"/>
      <c r="I6" s="384"/>
      <c r="J6" s="384"/>
      <c r="K6" s="382"/>
      <c r="L6" s="382"/>
      <c r="M6" s="383"/>
      <c r="N6" s="382"/>
    </row>
    <row r="7" spans="2:14" s="369" customFormat="1">
      <c r="B7" s="382"/>
      <c r="C7" s="399"/>
      <c r="D7" s="400" t="s">
        <v>4047</v>
      </c>
      <c r="E7" s="382"/>
      <c r="F7" s="382"/>
      <c r="G7" s="382"/>
      <c r="H7" s="382"/>
      <c r="I7" s="384"/>
      <c r="J7" s="384"/>
      <c r="K7" s="382"/>
      <c r="L7" s="382"/>
      <c r="M7" s="383"/>
      <c r="N7" s="382"/>
    </row>
    <row r="8" spans="2:14" s="369" customFormat="1">
      <c r="B8" s="382"/>
      <c r="C8" s="399">
        <f>C6+1</f>
        <v>3</v>
      </c>
      <c r="D8" s="398" t="s">
        <v>4046</v>
      </c>
      <c r="E8" s="382"/>
      <c r="F8" s="382">
        <v>10</v>
      </c>
      <c r="G8" s="382">
        <f>F8/40</f>
        <v>0.25</v>
      </c>
      <c r="H8" s="382"/>
      <c r="I8" s="384"/>
      <c r="J8" s="384"/>
      <c r="K8" s="382"/>
      <c r="L8" s="382"/>
      <c r="M8" s="383"/>
      <c r="N8" s="382"/>
    </row>
    <row r="9" spans="2:14" s="369" customFormat="1">
      <c r="B9" s="382"/>
      <c r="C9" s="399">
        <f>C8+1</f>
        <v>4</v>
      </c>
      <c r="D9" s="398" t="s">
        <v>4045</v>
      </c>
      <c r="E9" s="382"/>
      <c r="F9" s="382">
        <v>10</v>
      </c>
      <c r="G9" s="382">
        <f>F9/40</f>
        <v>0.25</v>
      </c>
      <c r="H9" s="382"/>
      <c r="I9" s="384"/>
      <c r="J9" s="384"/>
      <c r="K9" s="382"/>
      <c r="L9" s="382"/>
      <c r="M9" s="383"/>
      <c r="N9" s="382"/>
    </row>
    <row r="10" spans="2:14" s="369" customFormat="1">
      <c r="B10" s="382"/>
      <c r="C10" s="399"/>
      <c r="D10" s="400" t="s">
        <v>4044</v>
      </c>
      <c r="E10" s="382"/>
      <c r="F10" s="382"/>
      <c r="G10" s="382"/>
      <c r="H10" s="382"/>
      <c r="I10" s="384"/>
      <c r="J10" s="384"/>
      <c r="K10" s="382"/>
      <c r="L10" s="382"/>
      <c r="M10" s="383"/>
      <c r="N10" s="382"/>
    </row>
    <row r="11" spans="2:14" s="369" customFormat="1">
      <c r="B11" s="382"/>
      <c r="C11" s="399">
        <f>C9+1</f>
        <v>5</v>
      </c>
      <c r="D11" s="398" t="s">
        <v>4043</v>
      </c>
      <c r="E11" s="382"/>
      <c r="F11" s="382">
        <v>10</v>
      </c>
      <c r="G11" s="382">
        <f>F11/40</f>
        <v>0.25</v>
      </c>
      <c r="H11" s="382"/>
      <c r="I11" s="384"/>
      <c r="J11" s="384"/>
      <c r="K11" s="382"/>
      <c r="L11" s="382"/>
      <c r="M11" s="383"/>
      <c r="N11" s="382"/>
    </row>
    <row r="12" spans="2:14" s="369" customFormat="1">
      <c r="B12" s="382"/>
      <c r="C12" s="399">
        <f>C11+1</f>
        <v>6</v>
      </c>
      <c r="D12" s="398" t="s">
        <v>4042</v>
      </c>
      <c r="E12" s="382"/>
      <c r="F12" s="382">
        <v>10</v>
      </c>
      <c r="G12" s="382">
        <f>F12/40</f>
        <v>0.25</v>
      </c>
      <c r="H12" s="382"/>
      <c r="I12" s="384"/>
      <c r="J12" s="384"/>
      <c r="K12" s="382"/>
      <c r="L12" s="382"/>
      <c r="M12" s="383"/>
      <c r="N12" s="382"/>
    </row>
    <row r="13" spans="2:14" s="369" customFormat="1">
      <c r="B13" s="382"/>
      <c r="C13" s="399"/>
      <c r="D13" s="400" t="s">
        <v>4041</v>
      </c>
      <c r="E13" s="382"/>
      <c r="F13" s="382"/>
      <c r="G13" s="382"/>
      <c r="H13" s="382"/>
      <c r="I13" s="384"/>
      <c r="J13" s="384"/>
      <c r="K13" s="382"/>
      <c r="L13" s="382"/>
      <c r="M13" s="383"/>
      <c r="N13" s="382"/>
    </row>
    <row r="14" spans="2:14" s="369" customFormat="1">
      <c r="B14" s="382"/>
      <c r="C14" s="399">
        <f>C12+1</f>
        <v>7</v>
      </c>
      <c r="D14" s="398" t="s">
        <v>4040</v>
      </c>
      <c r="E14" s="382"/>
      <c r="F14" s="382">
        <v>10</v>
      </c>
      <c r="G14" s="382">
        <f>F14/40</f>
        <v>0.25</v>
      </c>
      <c r="H14" s="382"/>
      <c r="I14" s="384"/>
      <c r="J14" s="384"/>
      <c r="K14" s="382"/>
      <c r="L14" s="382"/>
      <c r="M14" s="383"/>
      <c r="N14" s="382"/>
    </row>
    <row r="15" spans="2:14" s="369" customFormat="1">
      <c r="B15" s="382"/>
      <c r="C15" s="399">
        <f>C14+1</f>
        <v>8</v>
      </c>
      <c r="D15" s="398" t="s">
        <v>4039</v>
      </c>
      <c r="E15" s="382"/>
      <c r="F15" s="382">
        <v>10</v>
      </c>
      <c r="G15" s="382">
        <f>F15/40</f>
        <v>0.25</v>
      </c>
      <c r="H15" s="382"/>
      <c r="I15" s="384"/>
      <c r="J15" s="384"/>
      <c r="K15" s="382"/>
      <c r="L15" s="382"/>
      <c r="M15" s="383"/>
      <c r="N15" s="382"/>
    </row>
    <row r="16" spans="2:14" s="369" customFormat="1">
      <c r="B16" s="382"/>
      <c r="C16" s="382"/>
      <c r="D16" s="382"/>
      <c r="E16" s="382"/>
      <c r="F16" s="382"/>
      <c r="G16" s="382"/>
      <c r="H16" s="382"/>
      <c r="I16" s="384"/>
      <c r="J16" s="384"/>
      <c r="K16" s="382"/>
      <c r="L16" s="382"/>
      <c r="M16" s="383"/>
      <c r="N16" s="382"/>
    </row>
    <row r="17" spans="2:14" s="369" customFormat="1">
      <c r="B17" s="382"/>
      <c r="C17" s="382"/>
      <c r="D17" s="386" t="s">
        <v>4038</v>
      </c>
      <c r="E17" s="382"/>
      <c r="F17" s="382"/>
      <c r="G17" s="382"/>
      <c r="H17" s="382"/>
      <c r="I17" s="384"/>
      <c r="J17" s="384"/>
      <c r="K17" s="382"/>
      <c r="L17" s="382"/>
      <c r="M17" s="383"/>
      <c r="N17" s="382"/>
    </row>
    <row r="18" spans="2:14" s="369" customFormat="1">
      <c r="B18" s="382"/>
      <c r="C18" s="382"/>
      <c r="D18" s="386"/>
      <c r="E18" s="382"/>
      <c r="F18" s="382"/>
      <c r="G18" s="382"/>
      <c r="H18" s="382"/>
      <c r="I18" s="384"/>
      <c r="J18" s="384"/>
      <c r="K18" s="382"/>
      <c r="L18" s="382"/>
      <c r="M18" s="383"/>
      <c r="N18" s="382"/>
    </row>
    <row r="19" spans="2:14" s="369" customFormat="1">
      <c r="B19" s="382"/>
      <c r="C19" s="397">
        <v>3</v>
      </c>
      <c r="D19" s="381" t="s">
        <v>4037</v>
      </c>
      <c r="E19" s="382"/>
      <c r="F19" s="382"/>
      <c r="G19" s="382">
        <v>1</v>
      </c>
      <c r="H19" s="382"/>
      <c r="I19" s="384"/>
      <c r="J19" s="384"/>
      <c r="K19" s="382"/>
      <c r="L19" s="382"/>
      <c r="M19" s="383"/>
      <c r="N19" s="382"/>
    </row>
    <row r="20" spans="2:14" s="369" customFormat="1">
      <c r="B20" s="382"/>
      <c r="C20" s="397"/>
      <c r="D20" s="382"/>
      <c r="E20" s="382"/>
      <c r="F20" s="382"/>
      <c r="G20" s="382"/>
      <c r="H20" s="382"/>
      <c r="I20" s="384"/>
      <c r="J20" s="384"/>
      <c r="K20" s="382"/>
      <c r="L20" s="382"/>
      <c r="M20" s="383"/>
      <c r="N20" s="382"/>
    </row>
    <row r="21" spans="2:14" s="369" customFormat="1">
      <c r="B21" s="382"/>
      <c r="C21" s="397"/>
      <c r="D21" s="386" t="s">
        <v>4036</v>
      </c>
      <c r="E21" s="382"/>
      <c r="F21" s="382"/>
      <c r="G21" s="382"/>
      <c r="H21" s="382"/>
      <c r="I21" s="384"/>
      <c r="J21" s="384"/>
      <c r="K21" s="382"/>
      <c r="L21" s="382"/>
      <c r="M21" s="383"/>
      <c r="N21" s="382"/>
    </row>
    <row r="22" spans="2:14" s="369" customFormat="1">
      <c r="C22" s="397"/>
      <c r="D22" s="379" t="s">
        <v>4035</v>
      </c>
      <c r="E22" s="369" t="s">
        <v>3941</v>
      </c>
      <c r="G22" s="369">
        <v>0.5</v>
      </c>
      <c r="I22" s="370"/>
      <c r="J22" s="370"/>
      <c r="M22" s="379"/>
      <c r="N22" s="379"/>
    </row>
    <row r="23" spans="2:14" s="369" customFormat="1">
      <c r="C23" s="397"/>
      <c r="D23" s="381" t="s">
        <v>4034</v>
      </c>
      <c r="E23" s="369" t="s">
        <v>3941</v>
      </c>
      <c r="G23" s="369">
        <v>0.5</v>
      </c>
      <c r="I23" s="370"/>
      <c r="J23" s="370"/>
      <c r="M23" s="379"/>
      <c r="N23" s="379"/>
    </row>
    <row r="24" spans="2:14" s="369" customFormat="1">
      <c r="C24" s="397"/>
      <c r="D24" s="381" t="s">
        <v>4033</v>
      </c>
      <c r="E24" s="369" t="s">
        <v>3951</v>
      </c>
      <c r="G24" s="369">
        <v>1</v>
      </c>
      <c r="I24" s="370"/>
      <c r="J24" s="370"/>
      <c r="M24" s="379"/>
      <c r="N24" s="396"/>
    </row>
    <row r="25" spans="2:14" s="369" customFormat="1">
      <c r="C25" s="392">
        <v>4</v>
      </c>
      <c r="D25" s="381" t="s">
        <v>4032</v>
      </c>
      <c r="E25" s="369" t="s">
        <v>3941</v>
      </c>
      <c r="G25" s="369">
        <v>1</v>
      </c>
      <c r="I25" s="370"/>
      <c r="J25" s="370"/>
      <c r="M25" s="379"/>
      <c r="N25" s="396"/>
    </row>
    <row r="26" spans="2:14" s="369" customFormat="1">
      <c r="C26" s="392"/>
      <c r="D26" s="381" t="s">
        <v>4031</v>
      </c>
      <c r="E26" s="369" t="s">
        <v>3941</v>
      </c>
      <c r="G26" s="369">
        <v>0.5</v>
      </c>
      <c r="I26" s="370"/>
      <c r="J26" s="370"/>
      <c r="M26" s="379"/>
      <c r="N26" s="396"/>
    </row>
    <row r="27" spans="2:14" s="369" customFormat="1">
      <c r="C27" s="392"/>
      <c r="D27" s="381" t="s">
        <v>4030</v>
      </c>
      <c r="E27" s="369" t="s">
        <v>3941</v>
      </c>
      <c r="G27" s="369">
        <v>0.5</v>
      </c>
      <c r="I27" s="370"/>
      <c r="J27" s="370"/>
      <c r="M27" s="379"/>
      <c r="N27" s="396"/>
    </row>
    <row r="28" spans="2:14" s="369" customFormat="1">
      <c r="C28" s="392"/>
      <c r="D28" s="381" t="s">
        <v>4029</v>
      </c>
      <c r="E28" s="369" t="s">
        <v>3941</v>
      </c>
      <c r="G28" s="369">
        <v>1</v>
      </c>
      <c r="I28" s="370"/>
      <c r="J28" s="370"/>
      <c r="M28" s="379"/>
      <c r="N28" s="396"/>
    </row>
    <row r="29" spans="2:14" s="369" customFormat="1">
      <c r="C29" s="392">
        <v>5</v>
      </c>
      <c r="D29" s="381" t="s">
        <v>4028</v>
      </c>
      <c r="E29" s="369" t="s">
        <v>3941</v>
      </c>
      <c r="G29" s="369">
        <v>1</v>
      </c>
      <c r="I29" s="370"/>
      <c r="J29" s="370"/>
      <c r="M29" s="379"/>
      <c r="N29" s="396"/>
    </row>
    <row r="30" spans="2:14" s="369" customFormat="1" ht="207" customHeight="1">
      <c r="C30" s="392"/>
      <c r="D30" s="381" t="s">
        <v>4027</v>
      </c>
      <c r="E30" s="369" t="s">
        <v>3941</v>
      </c>
      <c r="G30" s="369">
        <v>2</v>
      </c>
      <c r="I30" s="370"/>
      <c r="J30" s="370"/>
      <c r="M30" s="379"/>
      <c r="N30" s="396" t="s">
        <v>4026</v>
      </c>
    </row>
    <row r="31" spans="2:14" s="369" customFormat="1">
      <c r="C31" s="392">
        <v>6</v>
      </c>
      <c r="D31" s="381" t="s">
        <v>4025</v>
      </c>
      <c r="E31" s="369" t="s">
        <v>3941</v>
      </c>
      <c r="G31" s="369">
        <v>0.5</v>
      </c>
      <c r="I31" s="370"/>
      <c r="J31" s="370"/>
      <c r="M31" s="379"/>
      <c r="N31" s="396"/>
    </row>
    <row r="32" spans="2:14" s="369" customFormat="1">
      <c r="C32" s="392"/>
      <c r="D32" s="381" t="s">
        <v>4024</v>
      </c>
      <c r="E32" s="369" t="s">
        <v>3941</v>
      </c>
      <c r="G32" s="369">
        <v>0.5</v>
      </c>
      <c r="I32" s="370"/>
      <c r="J32" s="370"/>
      <c r="M32" s="379"/>
      <c r="N32" s="396"/>
    </row>
    <row r="33" spans="3:14" s="369" customFormat="1">
      <c r="C33" s="392"/>
      <c r="D33" s="381" t="s">
        <v>4023</v>
      </c>
      <c r="E33" s="369" t="s">
        <v>3941</v>
      </c>
      <c r="G33" s="369">
        <v>2</v>
      </c>
      <c r="I33" s="370"/>
      <c r="J33" s="370"/>
      <c r="M33" s="379"/>
      <c r="N33" s="381" t="s">
        <v>4022</v>
      </c>
    </row>
    <row r="34" spans="3:14" s="369" customFormat="1">
      <c r="C34" s="392">
        <v>7</v>
      </c>
      <c r="D34" s="381" t="s">
        <v>4021</v>
      </c>
      <c r="E34" s="369" t="s">
        <v>4002</v>
      </c>
      <c r="G34" s="369">
        <v>1</v>
      </c>
      <c r="I34" s="370"/>
      <c r="J34" s="370"/>
      <c r="M34" s="379"/>
      <c r="N34" s="396"/>
    </row>
    <row r="35" spans="3:14" s="369" customFormat="1">
      <c r="C35" s="392"/>
      <c r="D35" s="381" t="s">
        <v>4020</v>
      </c>
      <c r="E35" s="369" t="s">
        <v>4002</v>
      </c>
      <c r="I35" s="370"/>
      <c r="J35" s="370"/>
      <c r="M35" s="379"/>
      <c r="N35" s="396"/>
    </row>
    <row r="36" spans="3:14" s="369" customFormat="1">
      <c r="C36" s="392"/>
      <c r="D36" s="381" t="s">
        <v>4019</v>
      </c>
      <c r="E36" s="369" t="s">
        <v>3951</v>
      </c>
      <c r="G36" s="369">
        <v>2</v>
      </c>
      <c r="I36" s="370"/>
      <c r="J36" s="370"/>
      <c r="M36" s="379"/>
      <c r="N36" s="381" t="s">
        <v>4017</v>
      </c>
    </row>
    <row r="37" spans="3:14" s="369" customFormat="1">
      <c r="D37" s="388" t="s">
        <v>4018</v>
      </c>
      <c r="E37" s="369" t="s">
        <v>3951</v>
      </c>
      <c r="I37" s="370"/>
      <c r="J37" s="370"/>
      <c r="M37" s="379"/>
      <c r="N37" s="381" t="s">
        <v>4017</v>
      </c>
    </row>
    <row r="38" spans="3:14" s="369" customFormat="1">
      <c r="C38" s="392">
        <v>8</v>
      </c>
      <c r="D38" s="381" t="s">
        <v>4016</v>
      </c>
      <c r="E38" s="369" t="s">
        <v>3941</v>
      </c>
      <c r="G38" s="369">
        <v>1</v>
      </c>
      <c r="I38" s="370"/>
      <c r="J38" s="370"/>
      <c r="M38" s="379"/>
      <c r="N38" s="396"/>
    </row>
    <row r="39" spans="3:14" s="369" customFormat="1" ht="94.5">
      <c r="C39" s="392"/>
      <c r="D39" s="381" t="s">
        <v>4015</v>
      </c>
      <c r="E39" s="369" t="s">
        <v>3936</v>
      </c>
      <c r="G39" s="369">
        <v>2</v>
      </c>
      <c r="I39" s="370"/>
      <c r="J39" s="370"/>
      <c r="M39" s="379"/>
      <c r="N39" s="396" t="s">
        <v>4014</v>
      </c>
    </row>
    <row r="40" spans="3:14" s="369" customFormat="1">
      <c r="C40" s="392">
        <v>9</v>
      </c>
      <c r="D40" s="381" t="s">
        <v>4013</v>
      </c>
      <c r="E40" s="369" t="s">
        <v>3941</v>
      </c>
      <c r="G40" s="369">
        <v>1</v>
      </c>
      <c r="I40" s="370"/>
      <c r="J40" s="370"/>
      <c r="M40" s="379"/>
      <c r="N40" s="396"/>
    </row>
    <row r="41" spans="3:14" s="369" customFormat="1">
      <c r="C41" s="392"/>
      <c r="D41" s="381" t="s">
        <v>4012</v>
      </c>
      <c r="E41" s="369" t="s">
        <v>4002</v>
      </c>
      <c r="G41" s="369">
        <v>2</v>
      </c>
      <c r="I41" s="370"/>
      <c r="J41" s="370"/>
      <c r="M41" s="379"/>
      <c r="N41" s="379"/>
    </row>
    <row r="42" spans="3:14" s="369" customFormat="1">
      <c r="C42" s="392">
        <v>10</v>
      </c>
      <c r="D42" s="381" t="s">
        <v>4011</v>
      </c>
      <c r="E42" s="369" t="s">
        <v>4002</v>
      </c>
      <c r="G42" s="369">
        <v>2</v>
      </c>
      <c r="I42" s="370"/>
      <c r="J42" s="370"/>
      <c r="M42" s="379"/>
      <c r="N42" s="379"/>
    </row>
    <row r="43" spans="3:14" s="369" customFormat="1">
      <c r="C43" s="392"/>
      <c r="D43" s="381" t="s">
        <v>4010</v>
      </c>
      <c r="E43" s="369" t="s">
        <v>3951</v>
      </c>
      <c r="G43" s="369">
        <v>1</v>
      </c>
      <c r="I43" s="370"/>
      <c r="J43" s="370"/>
      <c r="M43" s="379"/>
      <c r="N43" s="396"/>
    </row>
    <row r="44" spans="3:14" s="369" customFormat="1">
      <c r="C44" s="369">
        <v>11</v>
      </c>
      <c r="D44" s="381" t="s">
        <v>4009</v>
      </c>
      <c r="E44" s="369" t="s">
        <v>3936</v>
      </c>
      <c r="G44" s="369">
        <v>3</v>
      </c>
      <c r="I44" s="370"/>
      <c r="J44" s="370"/>
      <c r="M44" s="379"/>
      <c r="N44" s="396"/>
    </row>
    <row r="45" spans="3:14" s="369" customFormat="1">
      <c r="C45" s="369">
        <v>12</v>
      </c>
      <c r="D45" s="381" t="s">
        <v>4008</v>
      </c>
      <c r="E45" s="369" t="s">
        <v>3951</v>
      </c>
      <c r="G45" s="369">
        <v>3</v>
      </c>
      <c r="I45" s="370"/>
      <c r="J45" s="370"/>
      <c r="M45" s="379"/>
      <c r="N45" s="381" t="s">
        <v>4007</v>
      </c>
    </row>
    <row r="46" spans="3:14" s="369" customFormat="1">
      <c r="C46" s="392">
        <v>13</v>
      </c>
      <c r="D46" s="389" t="s">
        <v>4006</v>
      </c>
      <c r="E46" s="369" t="s">
        <v>4005</v>
      </c>
      <c r="G46" s="369">
        <v>1</v>
      </c>
      <c r="I46" s="370"/>
      <c r="J46" s="370"/>
      <c r="M46" s="379"/>
      <c r="N46" s="379"/>
    </row>
    <row r="47" spans="3:14" s="369" customFormat="1">
      <c r="C47" s="392"/>
      <c r="D47" s="381" t="s">
        <v>4004</v>
      </c>
      <c r="E47" s="369" t="s">
        <v>4002</v>
      </c>
      <c r="G47" s="369">
        <v>2</v>
      </c>
      <c r="I47" s="370"/>
      <c r="J47" s="370"/>
      <c r="M47" s="379"/>
      <c r="N47" s="379"/>
    </row>
    <row r="48" spans="3:14" s="369" customFormat="1">
      <c r="C48" s="392">
        <v>14</v>
      </c>
      <c r="D48" s="381" t="s">
        <v>4003</v>
      </c>
      <c r="E48" s="369" t="s">
        <v>4002</v>
      </c>
      <c r="G48" s="369">
        <v>2</v>
      </c>
      <c r="I48" s="370"/>
      <c r="J48" s="370"/>
      <c r="M48" s="379"/>
      <c r="N48" s="379"/>
    </row>
    <row r="49" spans="2:14" s="369" customFormat="1">
      <c r="C49" s="392"/>
      <c r="D49" s="381" t="s">
        <v>4001</v>
      </c>
      <c r="E49" s="369" t="s">
        <v>3941</v>
      </c>
      <c r="G49" s="369">
        <v>1</v>
      </c>
      <c r="I49" s="370"/>
      <c r="J49" s="370"/>
      <c r="M49" s="379"/>
      <c r="N49" s="379"/>
    </row>
    <row r="50" spans="2:14" s="369" customFormat="1">
      <c r="C50" s="369">
        <v>15</v>
      </c>
      <c r="D50" s="381" t="s">
        <v>4000</v>
      </c>
      <c r="E50" s="369" t="s">
        <v>3951</v>
      </c>
      <c r="G50" s="369">
        <v>3</v>
      </c>
      <c r="I50" s="370"/>
      <c r="J50" s="370"/>
      <c r="M50" s="379"/>
      <c r="N50" s="379"/>
    </row>
    <row r="51" spans="2:14" s="369" customFormat="1">
      <c r="C51" s="369">
        <v>16</v>
      </c>
      <c r="D51" s="381" t="s">
        <v>3999</v>
      </c>
      <c r="E51" s="369" t="s">
        <v>3951</v>
      </c>
      <c r="G51" s="369">
        <v>3</v>
      </c>
      <c r="I51" s="370"/>
      <c r="J51" s="370"/>
      <c r="M51" s="379"/>
      <c r="N51" s="379"/>
    </row>
    <row r="52" spans="2:14" s="369" customFormat="1">
      <c r="C52" s="369">
        <v>17</v>
      </c>
      <c r="D52" s="381" t="s">
        <v>3998</v>
      </c>
      <c r="E52" s="369" t="s">
        <v>3936</v>
      </c>
      <c r="G52" s="369">
        <v>3</v>
      </c>
      <c r="I52" s="370"/>
      <c r="J52" s="370"/>
      <c r="M52" s="379"/>
      <c r="N52" s="379"/>
    </row>
    <row r="53" spans="2:14" s="369" customFormat="1">
      <c r="C53" s="369">
        <v>18</v>
      </c>
      <c r="D53" s="381" t="s">
        <v>3997</v>
      </c>
      <c r="G53" s="369">
        <v>3</v>
      </c>
      <c r="I53" s="370"/>
      <c r="J53" s="370"/>
      <c r="M53" s="379"/>
      <c r="N53" s="379"/>
    </row>
    <row r="54" spans="2:14" s="369" customFormat="1">
      <c r="B54" s="382"/>
      <c r="C54" s="382"/>
      <c r="D54" s="387" t="s">
        <v>3996</v>
      </c>
      <c r="E54" s="382"/>
      <c r="F54" s="382"/>
      <c r="G54" s="382"/>
      <c r="H54" s="382"/>
      <c r="I54" s="384"/>
      <c r="J54" s="384"/>
      <c r="K54" s="382"/>
      <c r="L54" s="382"/>
      <c r="M54" s="383"/>
      <c r="N54" s="382">
        <v>12</v>
      </c>
    </row>
    <row r="55" spans="2:14" s="369" customFormat="1">
      <c r="B55" s="380"/>
      <c r="C55" s="380"/>
      <c r="D55" s="388" t="s">
        <v>3995</v>
      </c>
      <c r="E55" s="394" t="s">
        <v>3941</v>
      </c>
      <c r="F55" s="394"/>
      <c r="G55" s="380"/>
      <c r="H55" s="380"/>
      <c r="I55" s="390"/>
      <c r="J55" s="390"/>
      <c r="K55" s="380"/>
      <c r="L55" s="380"/>
      <c r="M55" s="395"/>
      <c r="N55" s="380"/>
    </row>
    <row r="56" spans="2:14" s="369" customFormat="1">
      <c r="B56" s="380"/>
      <c r="C56" s="380"/>
      <c r="D56" s="388" t="s">
        <v>3994</v>
      </c>
      <c r="E56" s="394" t="s">
        <v>3941</v>
      </c>
      <c r="F56" s="394"/>
      <c r="G56" s="380"/>
      <c r="H56" s="380"/>
      <c r="I56" s="390"/>
      <c r="J56" s="390"/>
      <c r="K56" s="380"/>
      <c r="L56" s="380"/>
      <c r="M56" s="395"/>
      <c r="N56" s="380"/>
    </row>
    <row r="57" spans="2:14" s="369" customFormat="1">
      <c r="B57" s="380"/>
      <c r="C57" s="380"/>
      <c r="D57" s="388" t="s">
        <v>3993</v>
      </c>
      <c r="E57" s="394" t="s">
        <v>3941</v>
      </c>
      <c r="F57" s="394"/>
      <c r="G57" s="380"/>
      <c r="H57" s="380"/>
      <c r="I57" s="390"/>
      <c r="J57" s="390"/>
      <c r="K57" s="380"/>
      <c r="L57" s="380"/>
      <c r="M57" s="395"/>
      <c r="N57" s="380"/>
    </row>
    <row r="58" spans="2:14" s="369" customFormat="1">
      <c r="B58" s="380"/>
      <c r="C58" s="380"/>
      <c r="D58" s="388" t="s">
        <v>3992</v>
      </c>
      <c r="E58" s="394" t="s">
        <v>3951</v>
      </c>
      <c r="F58" s="394"/>
      <c r="G58" s="380"/>
      <c r="H58" s="380"/>
      <c r="I58" s="390"/>
      <c r="J58" s="390"/>
      <c r="K58" s="380"/>
      <c r="L58" s="380"/>
      <c r="M58" s="395"/>
      <c r="N58" s="380"/>
    </row>
    <row r="59" spans="2:14" s="369" customFormat="1">
      <c r="D59" s="388" t="s">
        <v>3991</v>
      </c>
      <c r="E59" s="394" t="s">
        <v>3951</v>
      </c>
      <c r="F59" s="394"/>
      <c r="I59" s="370"/>
      <c r="J59" s="370"/>
      <c r="M59" s="379"/>
      <c r="N59" s="379"/>
    </row>
    <row r="60" spans="2:14" s="369" customFormat="1" ht="40.5">
      <c r="B60" s="382">
        <v>2</v>
      </c>
      <c r="C60" s="382"/>
      <c r="D60" s="382" t="s">
        <v>3990</v>
      </c>
      <c r="E60" s="382"/>
      <c r="F60" s="382"/>
      <c r="G60" s="382">
        <f>SUM(G61:G88)</f>
        <v>48</v>
      </c>
      <c r="H60" s="382"/>
      <c r="I60" s="384"/>
      <c r="J60" s="384"/>
      <c r="K60" s="382"/>
      <c r="L60" s="382"/>
      <c r="M60" s="383" t="s">
        <v>3989</v>
      </c>
      <c r="N60" s="382">
        <v>80</v>
      </c>
    </row>
    <row r="61" spans="2:14" s="369" customFormat="1">
      <c r="C61" s="380"/>
      <c r="D61" s="386" t="s">
        <v>3988</v>
      </c>
      <c r="G61" s="380"/>
      <c r="H61" s="380"/>
      <c r="I61" s="390"/>
      <c r="J61" s="390"/>
      <c r="K61" s="380"/>
      <c r="L61" s="380"/>
      <c r="M61" s="381"/>
    </row>
    <row r="62" spans="2:14" s="369" customFormat="1">
      <c r="C62" s="391">
        <v>19</v>
      </c>
      <c r="D62" s="381" t="s">
        <v>3987</v>
      </c>
      <c r="G62" s="380">
        <v>1</v>
      </c>
      <c r="H62" s="380"/>
      <c r="I62" s="390"/>
      <c r="J62" s="390"/>
      <c r="K62" s="380"/>
      <c r="L62" s="380"/>
      <c r="M62" s="381"/>
    </row>
    <row r="63" spans="2:14" s="369" customFormat="1">
      <c r="C63" s="391"/>
      <c r="D63" s="381" t="s">
        <v>3986</v>
      </c>
      <c r="G63" s="380">
        <v>2</v>
      </c>
      <c r="H63" s="380"/>
      <c r="I63" s="390"/>
      <c r="J63" s="390"/>
      <c r="K63" s="380"/>
      <c r="L63" s="380"/>
      <c r="M63" s="381"/>
    </row>
    <row r="64" spans="2:14" s="369" customFormat="1">
      <c r="C64" s="380">
        <v>20</v>
      </c>
      <c r="D64" s="381" t="s">
        <v>3985</v>
      </c>
      <c r="G64" s="380">
        <v>3</v>
      </c>
      <c r="H64" s="380"/>
      <c r="I64" s="390"/>
      <c r="J64" s="390"/>
      <c r="K64" s="380"/>
      <c r="L64" s="380"/>
      <c r="M64" s="381"/>
    </row>
    <row r="65" spans="3:14" s="369" customFormat="1">
      <c r="C65" s="380">
        <v>21</v>
      </c>
      <c r="D65" s="381" t="s">
        <v>3984</v>
      </c>
      <c r="G65" s="380">
        <v>3</v>
      </c>
      <c r="H65" s="380"/>
      <c r="I65" s="390"/>
      <c r="J65" s="390"/>
      <c r="K65" s="380"/>
      <c r="L65" s="380"/>
      <c r="M65" s="381"/>
    </row>
    <row r="66" spans="3:14" s="369" customFormat="1">
      <c r="C66" s="380"/>
      <c r="D66" s="388" t="s">
        <v>3983</v>
      </c>
      <c r="G66" s="380"/>
      <c r="H66" s="380"/>
      <c r="I66" s="390"/>
      <c r="J66" s="390"/>
      <c r="K66" s="380"/>
      <c r="L66" s="380"/>
      <c r="M66" s="381"/>
    </row>
    <row r="67" spans="3:14" s="369" customFormat="1">
      <c r="C67" s="380"/>
      <c r="D67" s="388" t="s">
        <v>3982</v>
      </c>
      <c r="G67" s="380"/>
      <c r="H67" s="380"/>
      <c r="I67" s="390"/>
      <c r="J67" s="390"/>
      <c r="K67" s="380"/>
      <c r="L67" s="380"/>
      <c r="M67" s="381"/>
    </row>
    <row r="68" spans="3:14" s="369" customFormat="1">
      <c r="C68" s="380"/>
      <c r="D68" s="386" t="s">
        <v>3981</v>
      </c>
      <c r="G68" s="380"/>
      <c r="H68" s="380"/>
      <c r="I68" s="390"/>
      <c r="J68" s="390"/>
      <c r="K68" s="380"/>
      <c r="L68" s="380"/>
      <c r="M68" s="381"/>
    </row>
    <row r="69" spans="3:14" s="369" customFormat="1">
      <c r="C69" s="380">
        <v>22</v>
      </c>
      <c r="D69" s="381" t="s">
        <v>3980</v>
      </c>
      <c r="G69" s="380">
        <v>3</v>
      </c>
      <c r="H69" s="380"/>
      <c r="I69" s="390"/>
      <c r="J69" s="390"/>
      <c r="K69" s="380"/>
      <c r="L69" s="380"/>
      <c r="M69" s="381"/>
    </row>
    <row r="70" spans="3:14" s="369" customFormat="1">
      <c r="C70" s="380">
        <v>23</v>
      </c>
      <c r="D70" s="381" t="s">
        <v>3979</v>
      </c>
      <c r="G70" s="380">
        <v>3</v>
      </c>
      <c r="H70" s="380"/>
      <c r="I70" s="390"/>
      <c r="J70" s="390"/>
      <c r="K70" s="380"/>
      <c r="L70" s="380"/>
      <c r="M70" s="381"/>
    </row>
    <row r="71" spans="3:14" s="369" customFormat="1" ht="27">
      <c r="C71" s="380">
        <v>24</v>
      </c>
      <c r="D71" s="393" t="s">
        <v>3978</v>
      </c>
      <c r="G71" s="380">
        <v>3</v>
      </c>
      <c r="H71" s="380"/>
      <c r="I71" s="390"/>
      <c r="J71" s="390"/>
      <c r="K71" s="380"/>
      <c r="L71" s="380"/>
      <c r="M71" s="381"/>
    </row>
    <row r="72" spans="3:14" s="369" customFormat="1">
      <c r="C72" s="391">
        <v>25</v>
      </c>
      <c r="D72" s="381" t="s">
        <v>3977</v>
      </c>
      <c r="G72" s="380">
        <v>1</v>
      </c>
      <c r="H72" s="380"/>
      <c r="I72" s="390"/>
      <c r="J72" s="390"/>
      <c r="K72" s="380"/>
      <c r="L72" s="380"/>
      <c r="M72" s="381"/>
    </row>
    <row r="73" spans="3:14" s="369" customFormat="1">
      <c r="C73" s="391"/>
      <c r="D73" s="381" t="s">
        <v>3976</v>
      </c>
      <c r="G73" s="380">
        <v>2</v>
      </c>
      <c r="H73" s="380"/>
      <c r="I73" s="390"/>
      <c r="J73" s="390"/>
      <c r="K73" s="380"/>
      <c r="L73" s="380"/>
      <c r="M73" s="381"/>
    </row>
    <row r="74" spans="3:14" s="369" customFormat="1">
      <c r="C74" s="380"/>
      <c r="D74" s="381"/>
      <c r="G74" s="380"/>
      <c r="H74" s="380"/>
      <c r="I74" s="390"/>
      <c r="J74" s="390"/>
      <c r="K74" s="380"/>
      <c r="L74" s="380"/>
      <c r="M74" s="381"/>
    </row>
    <row r="75" spans="3:14" s="369" customFormat="1">
      <c r="C75" s="380"/>
      <c r="D75" s="381" t="s">
        <v>3975</v>
      </c>
      <c r="E75" s="369" t="s">
        <v>3936</v>
      </c>
      <c r="G75" s="380"/>
      <c r="H75" s="380"/>
      <c r="I75" s="390"/>
      <c r="J75" s="390"/>
      <c r="K75" s="380"/>
      <c r="L75" s="380"/>
      <c r="M75" s="381"/>
      <c r="N75" s="380" t="s">
        <v>3974</v>
      </c>
    </row>
    <row r="76" spans="3:14" s="369" customFormat="1">
      <c r="C76" s="380">
        <v>26</v>
      </c>
      <c r="D76" s="381" t="s">
        <v>3973</v>
      </c>
      <c r="G76" s="380">
        <v>3</v>
      </c>
      <c r="H76" s="380"/>
      <c r="I76" s="390"/>
      <c r="J76" s="390"/>
      <c r="K76" s="380"/>
      <c r="L76" s="380"/>
      <c r="M76" s="381"/>
      <c r="N76" s="380"/>
    </row>
    <row r="77" spans="3:14" s="369" customFormat="1">
      <c r="C77" s="380">
        <v>27</v>
      </c>
      <c r="D77" s="381" t="s">
        <v>3972</v>
      </c>
      <c r="G77" s="380">
        <v>3</v>
      </c>
      <c r="H77" s="380"/>
      <c r="I77" s="390"/>
      <c r="J77" s="390"/>
      <c r="K77" s="380"/>
      <c r="L77" s="380"/>
      <c r="M77" s="381"/>
      <c r="N77" s="380"/>
    </row>
    <row r="78" spans="3:14" s="369" customFormat="1">
      <c r="C78" s="380">
        <v>28</v>
      </c>
      <c r="D78" s="381" t="s">
        <v>3971</v>
      </c>
      <c r="G78" s="380">
        <v>3</v>
      </c>
      <c r="H78" s="380"/>
      <c r="I78" s="390"/>
      <c r="J78" s="390"/>
      <c r="K78" s="380"/>
      <c r="L78" s="380"/>
      <c r="M78" s="381"/>
      <c r="N78" s="380"/>
    </row>
    <row r="79" spans="3:14" s="369" customFormat="1">
      <c r="C79" s="380">
        <v>29</v>
      </c>
      <c r="D79" s="381" t="s">
        <v>3970</v>
      </c>
      <c r="G79" s="380">
        <v>3</v>
      </c>
      <c r="H79" s="380"/>
      <c r="I79" s="390"/>
      <c r="J79" s="390"/>
      <c r="K79" s="380"/>
      <c r="L79" s="380"/>
      <c r="M79" s="381"/>
      <c r="N79" s="380"/>
    </row>
    <row r="80" spans="3:14" s="369" customFormat="1">
      <c r="C80" s="380"/>
      <c r="D80" s="386" t="s">
        <v>3969</v>
      </c>
      <c r="G80" s="380"/>
      <c r="H80" s="380"/>
      <c r="I80" s="390"/>
      <c r="J80" s="390"/>
      <c r="K80" s="380"/>
      <c r="L80" s="380"/>
      <c r="M80" s="381"/>
      <c r="N80" s="380"/>
    </row>
    <row r="81" spans="2:14" s="369" customFormat="1">
      <c r="C81" s="392">
        <v>30</v>
      </c>
      <c r="D81" s="381" t="s">
        <v>3968</v>
      </c>
      <c r="G81" s="369">
        <v>1</v>
      </c>
      <c r="I81" s="370"/>
      <c r="J81" s="370"/>
      <c r="M81" s="379"/>
      <c r="N81" s="380"/>
    </row>
    <row r="82" spans="2:14" s="369" customFormat="1">
      <c r="C82" s="392"/>
      <c r="D82" s="381" t="s">
        <v>3967</v>
      </c>
      <c r="G82" s="369">
        <v>2</v>
      </c>
      <c r="I82" s="370"/>
      <c r="J82" s="370"/>
      <c r="M82" s="379"/>
      <c r="N82" s="380"/>
    </row>
    <row r="83" spans="2:14" s="369" customFormat="1">
      <c r="C83" s="392">
        <v>31</v>
      </c>
      <c r="D83" s="381" t="s">
        <v>3966</v>
      </c>
      <c r="G83" s="369">
        <v>1</v>
      </c>
      <c r="I83" s="370"/>
      <c r="J83" s="370"/>
      <c r="M83" s="379"/>
      <c r="N83" s="380"/>
    </row>
    <row r="84" spans="2:14" s="369" customFormat="1">
      <c r="C84" s="392"/>
      <c r="D84" s="381" t="s">
        <v>3965</v>
      </c>
      <c r="G84" s="369">
        <v>2</v>
      </c>
      <c r="I84" s="370"/>
      <c r="J84" s="370"/>
      <c r="M84" s="379"/>
      <c r="N84" s="380"/>
    </row>
    <row r="85" spans="2:14" s="369" customFormat="1">
      <c r="C85" s="369">
        <v>32</v>
      </c>
      <c r="D85" s="381" t="s">
        <v>3964</v>
      </c>
      <c r="G85" s="369">
        <v>3</v>
      </c>
      <c r="I85" s="370"/>
      <c r="J85" s="370"/>
      <c r="M85" s="379"/>
      <c r="N85" s="380"/>
    </row>
    <row r="86" spans="2:14" s="369" customFormat="1">
      <c r="C86" s="369">
        <v>33</v>
      </c>
      <c r="D86" s="381" t="s">
        <v>3963</v>
      </c>
      <c r="G86" s="369">
        <v>3</v>
      </c>
      <c r="I86" s="370"/>
      <c r="J86" s="370"/>
      <c r="M86" s="379"/>
      <c r="N86" s="380"/>
    </row>
    <row r="87" spans="2:14" s="369" customFormat="1">
      <c r="C87" s="369">
        <v>34</v>
      </c>
      <c r="D87" s="381" t="s">
        <v>3962</v>
      </c>
      <c r="G87" s="369">
        <v>3</v>
      </c>
      <c r="I87" s="370"/>
      <c r="J87" s="370"/>
      <c r="M87" s="379"/>
      <c r="N87" s="380"/>
    </row>
    <row r="88" spans="2:14" s="369" customFormat="1">
      <c r="C88" s="380"/>
      <c r="D88" s="380"/>
      <c r="G88" s="380"/>
      <c r="H88" s="380"/>
      <c r="I88" s="390"/>
      <c r="J88" s="390"/>
      <c r="K88" s="380"/>
      <c r="L88" s="380"/>
      <c r="M88" s="381"/>
    </row>
    <row r="89" spans="2:14" s="369" customFormat="1">
      <c r="B89" s="382">
        <v>3</v>
      </c>
      <c r="C89" s="382"/>
      <c r="D89" s="382" t="s">
        <v>3961</v>
      </c>
      <c r="E89" s="382"/>
      <c r="F89" s="382"/>
      <c r="G89" s="382">
        <f>SUM(G90:G99)</f>
        <v>24</v>
      </c>
      <c r="H89" s="382"/>
      <c r="I89" s="384"/>
      <c r="J89" s="384"/>
      <c r="K89" s="382"/>
      <c r="L89" s="382"/>
      <c r="M89" s="386" t="s">
        <v>3943</v>
      </c>
      <c r="N89" s="382">
        <v>48</v>
      </c>
    </row>
    <row r="90" spans="2:14" s="369" customFormat="1">
      <c r="C90" s="391">
        <v>35</v>
      </c>
      <c r="D90" s="381" t="s">
        <v>3960</v>
      </c>
      <c r="E90" s="369" t="s">
        <v>3941</v>
      </c>
      <c r="G90" s="380">
        <v>1</v>
      </c>
      <c r="H90" s="380"/>
      <c r="I90" s="390"/>
      <c r="J90" s="390"/>
      <c r="K90" s="380"/>
      <c r="L90" s="380"/>
      <c r="M90" s="381"/>
    </row>
    <row r="91" spans="2:14" s="369" customFormat="1">
      <c r="C91" s="391"/>
      <c r="D91" s="381" t="s">
        <v>3959</v>
      </c>
      <c r="E91" s="369" t="s">
        <v>3941</v>
      </c>
      <c r="G91" s="380">
        <v>2</v>
      </c>
      <c r="H91" s="380"/>
      <c r="I91" s="390"/>
      <c r="J91" s="390"/>
      <c r="K91" s="380"/>
      <c r="L91" s="380"/>
      <c r="M91" s="381"/>
    </row>
    <row r="92" spans="2:14" s="369" customFormat="1">
      <c r="C92" s="380">
        <v>36</v>
      </c>
      <c r="D92" s="381" t="s">
        <v>3958</v>
      </c>
      <c r="E92" s="369" t="s">
        <v>3941</v>
      </c>
      <c r="G92" s="380">
        <v>3</v>
      </c>
      <c r="H92" s="380"/>
      <c r="I92" s="390"/>
      <c r="J92" s="390"/>
      <c r="K92" s="380"/>
      <c r="L92" s="380"/>
      <c r="M92" s="381"/>
    </row>
    <row r="93" spans="2:14" s="369" customFormat="1">
      <c r="C93" s="380">
        <v>37</v>
      </c>
      <c r="D93" s="381" t="s">
        <v>3957</v>
      </c>
      <c r="E93" s="369" t="s">
        <v>3941</v>
      </c>
      <c r="G93" s="380">
        <v>3</v>
      </c>
      <c r="H93" s="380"/>
      <c r="I93" s="390"/>
      <c r="J93" s="390"/>
      <c r="K93" s="380"/>
      <c r="L93" s="380"/>
      <c r="M93" s="381"/>
    </row>
    <row r="94" spans="2:14" s="369" customFormat="1">
      <c r="C94" s="380">
        <v>38</v>
      </c>
      <c r="D94" s="381" t="s">
        <v>3956</v>
      </c>
      <c r="E94" s="369" t="s">
        <v>3941</v>
      </c>
      <c r="G94" s="380">
        <v>3</v>
      </c>
      <c r="H94" s="380"/>
      <c r="I94" s="390"/>
      <c r="J94" s="390"/>
      <c r="K94" s="380"/>
      <c r="L94" s="380"/>
      <c r="M94" s="381"/>
    </row>
    <row r="95" spans="2:14" s="369" customFormat="1">
      <c r="C95" s="380">
        <v>39</v>
      </c>
      <c r="D95" s="381" t="s">
        <v>3955</v>
      </c>
      <c r="E95" s="369" t="s">
        <v>3941</v>
      </c>
      <c r="G95" s="380">
        <v>3</v>
      </c>
      <c r="H95" s="380"/>
      <c r="I95" s="390"/>
      <c r="J95" s="390"/>
      <c r="K95" s="380"/>
      <c r="L95" s="380"/>
      <c r="M95" s="381"/>
    </row>
    <row r="96" spans="2:14" s="369" customFormat="1">
      <c r="C96" s="380">
        <v>40</v>
      </c>
      <c r="D96" s="381" t="s">
        <v>3954</v>
      </c>
      <c r="E96" s="369" t="s">
        <v>3941</v>
      </c>
      <c r="G96" s="380">
        <v>3</v>
      </c>
      <c r="H96" s="380"/>
      <c r="I96" s="390"/>
      <c r="J96" s="390"/>
      <c r="K96" s="380"/>
      <c r="L96" s="380"/>
      <c r="M96" s="381"/>
    </row>
    <row r="97" spans="2:14" s="369" customFormat="1">
      <c r="C97" s="380">
        <v>41</v>
      </c>
      <c r="D97" s="381" t="s">
        <v>3953</v>
      </c>
      <c r="E97" s="369" t="s">
        <v>3941</v>
      </c>
      <c r="G97" s="380">
        <v>3</v>
      </c>
      <c r="H97" s="380"/>
      <c r="I97" s="390"/>
      <c r="J97" s="390"/>
      <c r="K97" s="380"/>
      <c r="L97" s="380"/>
      <c r="M97" s="381"/>
    </row>
    <row r="98" spans="2:14" s="369" customFormat="1">
      <c r="C98" s="380">
        <v>42</v>
      </c>
      <c r="D98" s="381" t="s">
        <v>3952</v>
      </c>
      <c r="E98" s="369" t="s">
        <v>3951</v>
      </c>
      <c r="G98" s="380">
        <v>3</v>
      </c>
      <c r="H98" s="380"/>
      <c r="I98" s="390"/>
      <c r="J98" s="390"/>
      <c r="K98" s="380"/>
      <c r="L98" s="380"/>
      <c r="M98" s="381"/>
    </row>
    <row r="99" spans="2:14" s="369" customFormat="1">
      <c r="C99" s="380"/>
      <c r="D99" s="380"/>
      <c r="G99" s="380"/>
      <c r="H99" s="380"/>
      <c r="I99" s="390"/>
      <c r="J99" s="390"/>
      <c r="K99" s="380"/>
      <c r="L99" s="380"/>
      <c r="M99" s="381"/>
    </row>
    <row r="100" spans="2:14" s="369" customFormat="1">
      <c r="B100" s="382">
        <v>4</v>
      </c>
      <c r="C100" s="382"/>
      <c r="D100" s="382" t="s">
        <v>3950</v>
      </c>
      <c r="E100" s="382"/>
      <c r="F100" s="382"/>
      <c r="G100" s="382">
        <f>SUM(G101:G105)</f>
        <v>15</v>
      </c>
      <c r="H100" s="382"/>
      <c r="I100" s="384"/>
      <c r="J100" s="384"/>
      <c r="K100" s="382"/>
      <c r="L100" s="382"/>
      <c r="M100" s="386" t="s">
        <v>3943</v>
      </c>
      <c r="N100" s="382">
        <v>64</v>
      </c>
    </row>
    <row r="101" spans="2:14" s="369" customFormat="1">
      <c r="C101" s="369">
        <v>43</v>
      </c>
      <c r="D101" s="379" t="s">
        <v>3949</v>
      </c>
      <c r="E101" s="369" t="s">
        <v>3941</v>
      </c>
      <c r="G101" s="369">
        <v>3</v>
      </c>
      <c r="I101" s="370"/>
      <c r="J101" s="370"/>
      <c r="M101" s="379"/>
    </row>
    <row r="102" spans="2:14" s="369" customFormat="1">
      <c r="C102" s="369">
        <v>44</v>
      </c>
      <c r="D102" s="389" t="s">
        <v>3948</v>
      </c>
      <c r="G102" s="369">
        <v>3</v>
      </c>
      <c r="I102" s="370"/>
      <c r="J102" s="370"/>
      <c r="M102" s="379"/>
    </row>
    <row r="103" spans="2:14" s="369" customFormat="1">
      <c r="C103" s="369">
        <v>45</v>
      </c>
      <c r="D103" s="389" t="s">
        <v>3947</v>
      </c>
      <c r="G103" s="369">
        <v>3</v>
      </c>
      <c r="I103" s="370"/>
      <c r="J103" s="370"/>
      <c r="M103" s="379"/>
    </row>
    <row r="104" spans="2:14" s="369" customFormat="1">
      <c r="C104" s="369">
        <v>46</v>
      </c>
      <c r="D104" s="389" t="s">
        <v>3946</v>
      </c>
      <c r="G104" s="369">
        <v>3</v>
      </c>
      <c r="I104" s="370"/>
      <c r="J104" s="370"/>
      <c r="M104" s="379"/>
    </row>
    <row r="105" spans="2:14" s="369" customFormat="1">
      <c r="C105" s="369">
        <v>47</v>
      </c>
      <c r="D105" s="389" t="s">
        <v>3945</v>
      </c>
      <c r="G105" s="369">
        <v>3</v>
      </c>
      <c r="I105" s="370"/>
      <c r="J105" s="370"/>
      <c r="M105" s="379"/>
    </row>
    <row r="106" spans="2:14" s="369" customFormat="1">
      <c r="D106" s="379"/>
      <c r="I106" s="370"/>
      <c r="J106" s="370"/>
      <c r="M106" s="379"/>
    </row>
    <row r="107" spans="2:14" s="369" customFormat="1">
      <c r="D107" s="388"/>
      <c r="I107" s="370"/>
      <c r="J107" s="370"/>
      <c r="M107" s="379"/>
    </row>
    <row r="108" spans="2:14" s="369" customFormat="1">
      <c r="B108" s="382">
        <v>6</v>
      </c>
      <c r="C108" s="382"/>
      <c r="D108" s="387" t="s">
        <v>3944</v>
      </c>
      <c r="E108" s="382"/>
      <c r="F108" s="382"/>
      <c r="G108" s="382">
        <f>SUM(G109:G111)</f>
        <v>0</v>
      </c>
      <c r="H108" s="382"/>
      <c r="I108" s="384"/>
      <c r="J108" s="384"/>
      <c r="K108" s="382"/>
      <c r="L108" s="382"/>
      <c r="M108" s="386" t="s">
        <v>3943</v>
      </c>
      <c r="N108" s="382">
        <v>48</v>
      </c>
    </row>
    <row r="109" spans="2:14" s="369" customFormat="1">
      <c r="D109" s="385" t="s">
        <v>3942</v>
      </c>
      <c r="E109" s="369" t="s">
        <v>3941</v>
      </c>
      <c r="I109" s="370"/>
      <c r="J109" s="370"/>
      <c r="M109" s="379"/>
      <c r="N109" s="379"/>
    </row>
    <row r="110" spans="2:14" s="369" customFormat="1">
      <c r="D110" s="379"/>
      <c r="I110" s="370"/>
      <c r="J110" s="370"/>
      <c r="M110" s="379"/>
      <c r="N110" s="379"/>
    </row>
    <row r="111" spans="2:14" s="369" customFormat="1">
      <c r="D111" s="379"/>
      <c r="I111" s="370"/>
      <c r="J111" s="370"/>
      <c r="M111" s="379"/>
    </row>
    <row r="112" spans="2:14" s="369" customFormat="1" ht="67.5">
      <c r="B112" s="382" t="s">
        <v>3940</v>
      </c>
      <c r="C112" s="382"/>
      <c r="D112" s="382" t="s">
        <v>3939</v>
      </c>
      <c r="E112" s="382"/>
      <c r="F112" s="382"/>
      <c r="G112" s="382">
        <f>SUM(G113:G116)</f>
        <v>39</v>
      </c>
      <c r="H112" s="382"/>
      <c r="I112" s="384"/>
      <c r="J112" s="384"/>
      <c r="K112" s="382"/>
      <c r="L112" s="382"/>
      <c r="M112" s="383" t="s">
        <v>3938</v>
      </c>
      <c r="N112" s="382"/>
    </row>
    <row r="113" spans="2:14" s="369" customFormat="1">
      <c r="D113" s="381" t="s">
        <v>3937</v>
      </c>
      <c r="E113" s="369" t="s">
        <v>3936</v>
      </c>
      <c r="G113" s="369">
        <v>30</v>
      </c>
      <c r="I113" s="370"/>
      <c r="J113" s="370"/>
      <c r="M113" s="379"/>
    </row>
    <row r="114" spans="2:14" s="369" customFormat="1">
      <c r="D114" s="380" t="s">
        <v>3935</v>
      </c>
      <c r="G114" s="369">
        <v>9</v>
      </c>
      <c r="I114" s="370"/>
      <c r="J114" s="370"/>
      <c r="M114" s="381"/>
    </row>
    <row r="115" spans="2:14" s="369" customFormat="1">
      <c r="D115" s="380"/>
      <c r="I115" s="370"/>
      <c r="J115" s="370"/>
      <c r="M115" s="379"/>
    </row>
    <row r="116" spans="2:14" s="369" customFormat="1">
      <c r="I116" s="370"/>
      <c r="J116" s="370"/>
      <c r="M116" s="379"/>
    </row>
    <row r="117" spans="2:14">
      <c r="B117" s="376"/>
      <c r="C117" s="373"/>
      <c r="D117" s="376" t="s">
        <v>3934</v>
      </c>
      <c r="E117" s="371"/>
      <c r="F117" s="371">
        <f>SUM(F2:F116)</f>
        <v>80</v>
      </c>
      <c r="G117" s="373">
        <f t="array" ref="G117">SUM((B2:B116&lt;&gt;"")*G2:G116)</f>
        <v>176</v>
      </c>
      <c r="H117" s="373"/>
      <c r="I117" s="374"/>
      <c r="J117" s="374"/>
      <c r="K117" s="373"/>
      <c r="L117" s="373"/>
      <c r="M117" s="378" t="s">
        <v>3933</v>
      </c>
      <c r="N117" s="377">
        <f>N2+N60+N89+N100+N108</f>
        <v>304</v>
      </c>
    </row>
    <row r="118" spans="2:14">
      <c r="B118" s="376"/>
      <c r="C118" s="373"/>
      <c r="D118" s="375" t="s">
        <v>3932</v>
      </c>
      <c r="E118" s="371"/>
      <c r="F118" s="371"/>
      <c r="G118" s="373">
        <f t="array" ref="G118">SUM(($B$2:$B116="")*$G$2:$G116)</f>
        <v>176</v>
      </c>
      <c r="H118" s="373"/>
      <c r="I118" s="374"/>
      <c r="J118" s="374"/>
      <c r="K118" s="373"/>
      <c r="L118" s="373"/>
      <c r="M118" s="372" t="s">
        <v>3931</v>
      </c>
      <c r="N118" s="371">
        <f>G117-N117</f>
        <v>-128</v>
      </c>
    </row>
  </sheetData>
  <mergeCells count="15">
    <mergeCell ref="C38:C39"/>
    <mergeCell ref="C19:C24"/>
    <mergeCell ref="C25:C28"/>
    <mergeCell ref="C29:C30"/>
    <mergeCell ref="C31:C33"/>
    <mergeCell ref="C34:C36"/>
    <mergeCell ref="C81:C82"/>
    <mergeCell ref="C83:C84"/>
    <mergeCell ref="C90:C91"/>
    <mergeCell ref="C40:C41"/>
    <mergeCell ref="C42:C43"/>
    <mergeCell ref="C46:C47"/>
    <mergeCell ref="C48:C49"/>
    <mergeCell ref="C62:C63"/>
    <mergeCell ref="C72:C73"/>
  </mergeCells>
  <phoneticPr fontId="2" type="noConversion"/>
  <conditionalFormatting sqref="E2:F41 E43:F116">
    <cfRule type="cellIs" dxfId="1" priority="2" operator="equal">
      <formula>"难"</formula>
    </cfRule>
  </conditionalFormatting>
  <conditionalFormatting sqref="E42:F42">
    <cfRule type="cellIs" dxfId="0" priority="1" operator="equal">
      <formula>"难"</formula>
    </cfRule>
  </conditionalFormatting>
  <dataValidations count="1">
    <dataValidation type="list" allowBlank="1" showInputMessage="1" showErrorMessage="1" sqref="E109:F116 E61:F88 E55:F59 E101:F107 E22:F53 E90:F99" xr:uid="{ACF37304-2932-459D-B846-4F2076303C1E}">
      <formula1>"简单,中等,稍难,难"</formula1>
    </dataValidation>
  </dataValidations>
  <pageMargins left="0.70866141732283472" right="0.70866141732283472" top="0.74803149606299213" bottom="0.74803149606299213" header="0.31496062992125984" footer="0.31496062992125984"/>
  <pageSetup paperSize="9" scale="8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20731-71BC-43DB-9457-4CFE0B537E17}">
  <sheetPr>
    <tabColor rgb="FF92D050"/>
  </sheetPr>
  <dimension ref="A1:AO88"/>
  <sheetViews>
    <sheetView view="pageBreakPreview" zoomScaleNormal="100" zoomScaleSheetLayoutView="100" workbookViewId="0">
      <selection sqref="A1:O1"/>
    </sheetView>
  </sheetViews>
  <sheetFormatPr defaultColWidth="9" defaultRowHeight="14.25"/>
  <cols>
    <col min="1" max="41" width="2.125" style="82" customWidth="1"/>
    <col min="42" max="16384" width="9" style="82"/>
  </cols>
  <sheetData>
    <row r="1" spans="1:41">
      <c r="A1" s="392" t="s">
        <v>4112</v>
      </c>
      <c r="B1" s="392"/>
      <c r="C1" s="392"/>
      <c r="D1" s="392"/>
      <c r="E1" s="392"/>
      <c r="F1" s="392"/>
      <c r="G1" s="392"/>
      <c r="H1" s="392"/>
      <c r="I1" s="392"/>
      <c r="J1" s="392"/>
      <c r="K1" s="392"/>
      <c r="L1" s="392"/>
      <c r="M1" s="392"/>
      <c r="N1" s="392"/>
      <c r="O1" s="392"/>
      <c r="P1" s="392"/>
      <c r="Q1" s="392"/>
      <c r="R1" s="392"/>
      <c r="S1" s="392"/>
      <c r="T1" s="392"/>
      <c r="U1" s="392"/>
      <c r="V1" s="392"/>
      <c r="W1" s="392"/>
      <c r="X1" s="392"/>
      <c r="Y1" s="392"/>
      <c r="Z1" s="392"/>
      <c r="AA1" s="392"/>
      <c r="AB1" s="392"/>
      <c r="AC1" s="392"/>
      <c r="AD1" s="392"/>
      <c r="AE1" s="392"/>
      <c r="AF1" s="392"/>
      <c r="AG1" s="392"/>
      <c r="AH1" s="392"/>
      <c r="AI1" s="392"/>
      <c r="AJ1" s="392"/>
      <c r="AK1" s="392"/>
      <c r="AL1" s="392"/>
      <c r="AM1" s="392"/>
      <c r="AN1" s="392"/>
      <c r="AO1" s="392"/>
    </row>
    <row r="2" spans="1:41">
      <c r="A2" s="406" t="s">
        <v>4111</v>
      </c>
      <c r="B2" s="406"/>
      <c r="C2" s="406"/>
      <c r="D2" s="406"/>
      <c r="E2" s="406"/>
      <c r="F2" s="406"/>
      <c r="G2" s="406"/>
      <c r="H2" s="406"/>
      <c r="I2" s="406"/>
      <c r="J2" s="406"/>
      <c r="K2" s="406"/>
      <c r="L2" s="406"/>
      <c r="M2" s="406"/>
      <c r="N2" s="406"/>
      <c r="O2" s="406"/>
      <c r="P2" s="406"/>
      <c r="Q2" s="406"/>
      <c r="R2" s="406"/>
      <c r="S2" s="406"/>
      <c r="T2" s="406"/>
      <c r="U2" s="406"/>
      <c r="V2" s="406"/>
      <c r="W2" s="406"/>
      <c r="X2" s="406"/>
      <c r="Y2" s="406"/>
      <c r="Z2" s="406"/>
      <c r="AA2" s="406"/>
      <c r="AB2" s="406"/>
      <c r="AC2" s="406"/>
      <c r="AD2" s="406"/>
      <c r="AE2" s="406"/>
      <c r="AF2" s="406"/>
      <c r="AG2" s="406"/>
      <c r="AH2" s="406"/>
      <c r="AI2" s="406"/>
      <c r="AJ2" s="406"/>
      <c r="AK2" s="406"/>
      <c r="AL2" s="406"/>
      <c r="AM2" s="406"/>
      <c r="AN2" s="406"/>
      <c r="AO2" s="406"/>
    </row>
    <row r="3" spans="1:41">
      <c r="A3" s="409" t="s">
        <v>4110</v>
      </c>
      <c r="B3" s="409"/>
      <c r="C3" s="409"/>
      <c r="D3" s="409"/>
      <c r="E3" s="409"/>
      <c r="F3" s="409"/>
      <c r="G3" s="409"/>
      <c r="H3" s="409"/>
      <c r="I3" s="409"/>
      <c r="J3" s="409"/>
      <c r="K3" s="409"/>
      <c r="L3" s="409"/>
      <c r="M3" s="409"/>
      <c r="N3" s="409"/>
      <c r="O3" s="409"/>
      <c r="P3" s="409"/>
      <c r="Q3" s="409"/>
      <c r="R3" s="409"/>
      <c r="S3" s="409"/>
      <c r="T3" s="409"/>
      <c r="U3" s="409"/>
      <c r="V3" s="409"/>
      <c r="W3" s="409"/>
      <c r="X3" s="409"/>
      <c r="Y3" s="409"/>
      <c r="Z3" s="409"/>
      <c r="AA3" s="409"/>
      <c r="AB3" s="409"/>
      <c r="AC3" s="409"/>
      <c r="AD3" s="409"/>
      <c r="AE3" s="409"/>
      <c r="AF3" s="409"/>
      <c r="AG3" s="409"/>
      <c r="AH3" s="409"/>
      <c r="AI3" s="409"/>
      <c r="AJ3" s="409"/>
      <c r="AK3" s="409"/>
      <c r="AL3" s="409"/>
      <c r="AM3" s="409"/>
      <c r="AN3" s="409"/>
      <c r="AO3" s="409"/>
    </row>
    <row r="4" spans="1:41">
      <c r="A4" s="407" t="s">
        <v>4109</v>
      </c>
      <c r="B4" s="407"/>
      <c r="C4" s="407"/>
      <c r="D4" s="407"/>
      <c r="E4" s="407"/>
      <c r="F4" s="407"/>
      <c r="G4" s="407"/>
      <c r="H4" s="407"/>
      <c r="I4" s="407"/>
      <c r="J4" s="407"/>
      <c r="K4" s="407"/>
      <c r="L4" s="407"/>
      <c r="M4" s="407"/>
      <c r="N4" s="407"/>
      <c r="O4" s="407"/>
      <c r="P4" s="407"/>
      <c r="Q4" s="407"/>
      <c r="R4" s="407"/>
      <c r="S4" s="407"/>
      <c r="T4" s="407"/>
      <c r="U4" s="407"/>
      <c r="V4" s="407"/>
      <c r="W4" s="407"/>
      <c r="X4" s="407"/>
      <c r="Y4" s="407"/>
      <c r="Z4" s="407"/>
      <c r="AA4" s="407"/>
      <c r="AB4" s="407"/>
      <c r="AC4" s="407"/>
      <c r="AD4" s="407"/>
      <c r="AE4" s="407"/>
      <c r="AF4" s="407"/>
      <c r="AG4" s="407"/>
      <c r="AH4" s="407"/>
      <c r="AI4" s="407"/>
      <c r="AJ4" s="407"/>
      <c r="AK4" s="407"/>
      <c r="AL4" s="407"/>
      <c r="AM4" s="407"/>
      <c r="AN4" s="407"/>
      <c r="AO4" s="407"/>
    </row>
    <row r="5" spans="1:41">
      <c r="A5" s="403"/>
      <c r="B5" s="403"/>
      <c r="C5" s="403"/>
      <c r="D5" s="403"/>
      <c r="E5" s="403"/>
      <c r="F5" s="403"/>
      <c r="G5" s="403"/>
      <c r="H5" s="403"/>
      <c r="I5" s="403"/>
      <c r="J5" s="403"/>
      <c r="K5" s="403"/>
      <c r="L5" s="403"/>
      <c r="M5" s="403"/>
      <c r="N5" s="403"/>
      <c r="O5" s="403"/>
      <c r="P5" s="403"/>
      <c r="Q5" s="403"/>
      <c r="R5" s="403"/>
      <c r="S5" s="403"/>
      <c r="T5" s="403"/>
      <c r="U5" s="403"/>
      <c r="V5" s="403"/>
      <c r="W5" s="403"/>
      <c r="X5" s="403"/>
      <c r="Y5" s="403"/>
      <c r="Z5" s="403"/>
      <c r="AA5" s="403"/>
      <c r="AB5" s="403"/>
      <c r="AC5" s="403"/>
      <c r="AD5" s="403"/>
      <c r="AE5" s="403"/>
      <c r="AF5" s="403"/>
      <c r="AG5" s="403"/>
      <c r="AH5" s="403"/>
      <c r="AI5" s="403"/>
      <c r="AJ5" s="403"/>
      <c r="AK5" s="403"/>
      <c r="AL5" s="403"/>
      <c r="AM5" s="403"/>
      <c r="AN5" s="403"/>
      <c r="AO5" s="403"/>
    </row>
    <row r="6" spans="1:41">
      <c r="A6" s="403"/>
      <c r="B6" s="403"/>
      <c r="C6" s="403"/>
      <c r="D6" s="403"/>
      <c r="E6" s="403"/>
      <c r="F6" s="403"/>
      <c r="G6" s="403"/>
      <c r="H6" s="403"/>
      <c r="I6" s="403"/>
      <c r="J6" s="403"/>
      <c r="K6" s="403"/>
      <c r="L6" s="403"/>
      <c r="M6" s="403"/>
      <c r="N6" s="403"/>
      <c r="O6" s="403"/>
      <c r="P6" s="403"/>
      <c r="Q6" s="403"/>
      <c r="R6" s="403"/>
      <c r="S6" s="403"/>
      <c r="T6" s="403"/>
      <c r="U6" s="403"/>
      <c r="V6" s="403"/>
      <c r="W6" s="403"/>
      <c r="X6" s="403"/>
      <c r="Y6" s="403"/>
      <c r="Z6" s="403"/>
      <c r="AA6" s="403"/>
      <c r="AB6" s="403"/>
      <c r="AC6" s="403"/>
      <c r="AD6" s="403"/>
      <c r="AE6" s="403"/>
      <c r="AF6" s="403"/>
      <c r="AG6" s="403"/>
      <c r="AH6" s="403"/>
      <c r="AI6" s="403"/>
      <c r="AJ6" s="403"/>
      <c r="AK6" s="403"/>
      <c r="AL6" s="403"/>
      <c r="AM6" s="403"/>
      <c r="AN6" s="403"/>
      <c r="AO6" s="403"/>
    </row>
    <row r="7" spans="1:41">
      <c r="A7" s="406" t="s">
        <v>4108</v>
      </c>
      <c r="B7" s="406"/>
      <c r="C7" s="406"/>
      <c r="D7" s="406"/>
      <c r="E7" s="406"/>
      <c r="F7" s="406"/>
      <c r="G7" s="406"/>
      <c r="H7" s="406"/>
      <c r="I7" s="406"/>
      <c r="J7" s="406"/>
      <c r="K7" s="406"/>
      <c r="L7" s="406"/>
      <c r="M7" s="406"/>
      <c r="N7" s="406"/>
      <c r="O7" s="406"/>
      <c r="P7" s="406"/>
      <c r="Q7" s="406"/>
      <c r="R7" s="406"/>
      <c r="S7" s="406"/>
      <c r="T7" s="406"/>
      <c r="U7" s="406"/>
      <c r="V7" s="406"/>
      <c r="W7" s="406"/>
      <c r="X7" s="406"/>
      <c r="Y7" s="406"/>
      <c r="Z7" s="406"/>
      <c r="AA7" s="406"/>
      <c r="AB7" s="406"/>
      <c r="AC7" s="406"/>
      <c r="AD7" s="406"/>
      <c r="AE7" s="406"/>
      <c r="AF7" s="406"/>
      <c r="AG7" s="406"/>
      <c r="AH7" s="406"/>
      <c r="AI7" s="406"/>
      <c r="AJ7" s="406"/>
      <c r="AK7" s="406"/>
      <c r="AL7" s="406"/>
      <c r="AM7" s="406"/>
      <c r="AN7" s="406"/>
      <c r="AO7" s="406"/>
    </row>
    <row r="8" spans="1:41">
      <c r="A8" s="403"/>
      <c r="B8" s="403"/>
      <c r="C8" s="403"/>
      <c r="D8" s="403"/>
      <c r="E8" s="403"/>
      <c r="F8" s="403"/>
      <c r="G8" s="403"/>
      <c r="H8" s="403"/>
      <c r="I8" s="403"/>
      <c r="J8" s="403"/>
      <c r="K8" s="403"/>
      <c r="L8" s="403"/>
      <c r="M8" s="403"/>
      <c r="N8" s="403"/>
      <c r="O8" s="403"/>
      <c r="P8" s="403"/>
      <c r="Q8" s="403"/>
      <c r="R8" s="403"/>
      <c r="S8" s="403"/>
      <c r="T8" s="403"/>
      <c r="U8" s="403"/>
      <c r="V8" s="403"/>
      <c r="W8" s="403"/>
      <c r="X8" s="403"/>
      <c r="Y8" s="403"/>
      <c r="Z8" s="403"/>
      <c r="AA8" s="403"/>
      <c r="AB8" s="403"/>
      <c r="AC8" s="403"/>
      <c r="AD8" s="403"/>
      <c r="AE8" s="403"/>
      <c r="AF8" s="403"/>
      <c r="AG8" s="403"/>
      <c r="AH8" s="403"/>
      <c r="AI8" s="403"/>
      <c r="AJ8" s="403"/>
      <c r="AK8" s="403"/>
      <c r="AL8" s="403"/>
      <c r="AM8" s="403"/>
      <c r="AN8" s="403"/>
      <c r="AO8" s="403"/>
    </row>
    <row r="9" spans="1:41">
      <c r="A9" s="406" t="s">
        <v>4107</v>
      </c>
      <c r="B9" s="406"/>
      <c r="C9" s="406"/>
      <c r="D9" s="406"/>
      <c r="E9" s="406"/>
      <c r="F9" s="406"/>
      <c r="G9" s="406"/>
      <c r="H9" s="406"/>
      <c r="I9" s="406"/>
      <c r="J9" s="406"/>
      <c r="K9" s="406"/>
      <c r="L9" s="406"/>
      <c r="M9" s="406"/>
      <c r="N9" s="406"/>
      <c r="O9" s="406"/>
      <c r="P9" s="406"/>
      <c r="Q9" s="406"/>
      <c r="R9" s="406"/>
      <c r="S9" s="406"/>
      <c r="T9" s="406"/>
      <c r="U9" s="406"/>
      <c r="V9" s="406"/>
      <c r="W9" s="406"/>
      <c r="X9" s="406"/>
      <c r="Y9" s="406"/>
      <c r="Z9" s="406"/>
      <c r="AA9" s="406"/>
      <c r="AB9" s="406"/>
      <c r="AC9" s="406"/>
      <c r="AD9" s="406"/>
      <c r="AE9" s="406"/>
      <c r="AF9" s="406"/>
      <c r="AG9" s="406"/>
      <c r="AH9" s="406"/>
      <c r="AI9" s="406"/>
      <c r="AJ9" s="406"/>
      <c r="AK9" s="406"/>
      <c r="AL9" s="406"/>
      <c r="AM9" s="406"/>
      <c r="AN9" s="406"/>
      <c r="AO9" s="406"/>
    </row>
    <row r="10" spans="1:41">
      <c r="A10" s="403" t="s">
        <v>4077</v>
      </c>
      <c r="B10" s="403"/>
      <c r="C10" s="403"/>
      <c r="D10" s="403"/>
      <c r="E10" s="403"/>
      <c r="F10" s="403"/>
      <c r="G10" s="403"/>
      <c r="H10" s="403"/>
      <c r="I10" s="403"/>
      <c r="J10" s="403"/>
      <c r="K10" s="403"/>
      <c r="L10" s="403"/>
      <c r="M10" s="403"/>
      <c r="N10" s="403"/>
      <c r="O10" s="403"/>
      <c r="P10" s="403"/>
      <c r="Q10" s="403"/>
      <c r="R10" s="403"/>
      <c r="S10" s="403"/>
      <c r="T10" s="403"/>
      <c r="U10" s="403"/>
      <c r="V10" s="403"/>
      <c r="W10" s="403"/>
      <c r="X10" s="403"/>
      <c r="Y10" s="403"/>
      <c r="Z10" s="403"/>
      <c r="AA10" s="403"/>
      <c r="AB10" s="403"/>
      <c r="AC10" s="403"/>
      <c r="AD10" s="403"/>
      <c r="AE10" s="403"/>
      <c r="AF10" s="403"/>
      <c r="AG10" s="403"/>
      <c r="AH10" s="403"/>
      <c r="AI10" s="403"/>
      <c r="AJ10" s="403"/>
      <c r="AK10" s="403"/>
      <c r="AL10" s="403"/>
      <c r="AM10" s="403"/>
      <c r="AN10" s="403"/>
      <c r="AO10" s="403"/>
    </row>
    <row r="11" spans="1:41">
      <c r="A11" s="403" t="s">
        <v>4106</v>
      </c>
      <c r="B11" s="403"/>
      <c r="C11" s="403"/>
      <c r="D11" s="403"/>
      <c r="E11" s="403"/>
      <c r="F11" s="403"/>
      <c r="G11" s="403"/>
      <c r="H11" s="403"/>
      <c r="I11" s="403"/>
      <c r="J11" s="403"/>
      <c r="K11" s="403"/>
      <c r="L11" s="403"/>
      <c r="M11" s="403"/>
      <c r="N11" s="403"/>
      <c r="O11" s="403"/>
      <c r="P11" s="403"/>
      <c r="Q11" s="403"/>
      <c r="R11" s="403"/>
      <c r="S11" s="403"/>
      <c r="T11" s="403"/>
      <c r="U11" s="403"/>
      <c r="V11" s="403"/>
      <c r="W11" s="403"/>
      <c r="X11" s="403"/>
      <c r="Y11" s="403"/>
      <c r="Z11" s="403"/>
      <c r="AA11" s="403"/>
      <c r="AB11" s="403"/>
      <c r="AC11" s="403"/>
      <c r="AD11" s="403"/>
      <c r="AE11" s="403"/>
      <c r="AF11" s="403"/>
      <c r="AG11" s="403"/>
      <c r="AH11" s="403"/>
      <c r="AI11" s="403"/>
      <c r="AJ11" s="403"/>
      <c r="AK11" s="403"/>
      <c r="AL11" s="403"/>
      <c r="AM11" s="403"/>
      <c r="AN11" s="403"/>
      <c r="AO11" s="403"/>
    </row>
    <row r="12" spans="1:41">
      <c r="A12" s="403" t="s">
        <v>4105</v>
      </c>
      <c r="B12" s="403"/>
      <c r="C12" s="403"/>
      <c r="D12" s="403"/>
      <c r="E12" s="403"/>
      <c r="F12" s="403"/>
      <c r="G12" s="403"/>
      <c r="H12" s="403"/>
      <c r="I12" s="403"/>
      <c r="J12" s="403"/>
      <c r="K12" s="403"/>
      <c r="L12" s="403"/>
      <c r="M12" s="403"/>
      <c r="N12" s="403"/>
      <c r="O12" s="403"/>
      <c r="P12" s="403"/>
      <c r="Q12" s="403"/>
      <c r="R12" s="403"/>
      <c r="S12" s="403"/>
      <c r="T12" s="403"/>
      <c r="U12" s="403"/>
      <c r="V12" s="403"/>
      <c r="W12" s="403"/>
      <c r="X12" s="403"/>
      <c r="Y12" s="403"/>
      <c r="Z12" s="403"/>
      <c r="AA12" s="403"/>
      <c r="AB12" s="403"/>
      <c r="AC12" s="403"/>
      <c r="AD12" s="403"/>
      <c r="AE12" s="403"/>
      <c r="AF12" s="403"/>
      <c r="AG12" s="403"/>
      <c r="AH12" s="403"/>
      <c r="AI12" s="403"/>
      <c r="AJ12" s="403"/>
      <c r="AK12" s="403"/>
      <c r="AL12" s="403"/>
      <c r="AM12" s="403"/>
      <c r="AN12" s="403"/>
      <c r="AO12" s="403"/>
    </row>
    <row r="13" spans="1:41">
      <c r="A13" s="403" t="s">
        <v>4104</v>
      </c>
      <c r="B13" s="403"/>
      <c r="C13" s="403"/>
      <c r="D13" s="403"/>
      <c r="E13" s="403"/>
      <c r="F13" s="403"/>
      <c r="G13" s="403"/>
      <c r="H13" s="403"/>
      <c r="I13" s="403"/>
      <c r="J13" s="403"/>
      <c r="K13" s="403"/>
      <c r="L13" s="403"/>
      <c r="M13" s="403"/>
      <c r="N13" s="403"/>
      <c r="O13" s="403"/>
      <c r="P13" s="403"/>
      <c r="Q13" s="403"/>
      <c r="R13" s="403"/>
      <c r="S13" s="403"/>
      <c r="T13" s="403"/>
      <c r="U13" s="403"/>
      <c r="V13" s="403"/>
      <c r="W13" s="403"/>
      <c r="X13" s="403"/>
      <c r="Y13" s="403"/>
      <c r="Z13" s="403"/>
      <c r="AA13" s="403"/>
      <c r="AB13" s="403"/>
      <c r="AC13" s="403"/>
      <c r="AD13" s="403"/>
      <c r="AE13" s="403"/>
      <c r="AF13" s="403"/>
      <c r="AG13" s="403"/>
      <c r="AH13" s="403"/>
      <c r="AI13" s="403"/>
      <c r="AJ13" s="403"/>
      <c r="AK13" s="403"/>
      <c r="AL13" s="403"/>
      <c r="AM13" s="403"/>
      <c r="AN13" s="403"/>
      <c r="AO13" s="403"/>
    </row>
    <row r="14" spans="1:41">
      <c r="A14" s="403" t="s">
        <v>4103</v>
      </c>
      <c r="B14" s="403"/>
      <c r="C14" s="403"/>
      <c r="D14" s="403"/>
      <c r="E14" s="403"/>
      <c r="F14" s="403"/>
      <c r="G14" s="403"/>
      <c r="H14" s="403"/>
      <c r="I14" s="403"/>
      <c r="J14" s="403"/>
      <c r="K14" s="403"/>
      <c r="L14" s="403"/>
      <c r="M14" s="403"/>
      <c r="N14" s="403"/>
      <c r="O14" s="403"/>
      <c r="P14" s="403"/>
      <c r="Q14" s="403"/>
      <c r="R14" s="403"/>
      <c r="S14" s="403"/>
      <c r="T14" s="403"/>
      <c r="U14" s="403"/>
      <c r="V14" s="403"/>
      <c r="W14" s="403"/>
      <c r="X14" s="403"/>
      <c r="Y14" s="403"/>
      <c r="Z14" s="403"/>
      <c r="AA14" s="403"/>
      <c r="AB14" s="403"/>
      <c r="AC14" s="403"/>
      <c r="AD14" s="403"/>
      <c r="AE14" s="403"/>
      <c r="AF14" s="403"/>
      <c r="AG14" s="403"/>
      <c r="AH14" s="403"/>
      <c r="AI14" s="403"/>
      <c r="AJ14" s="403"/>
      <c r="AK14" s="403"/>
      <c r="AL14" s="403"/>
      <c r="AM14" s="403"/>
      <c r="AN14" s="403"/>
      <c r="AO14" s="403"/>
    </row>
    <row r="15" spans="1:41">
      <c r="A15" s="403" t="s">
        <v>4102</v>
      </c>
      <c r="B15" s="403"/>
      <c r="C15" s="403"/>
      <c r="D15" s="403"/>
      <c r="E15" s="403"/>
      <c r="F15" s="403"/>
      <c r="G15" s="403"/>
      <c r="H15" s="403"/>
      <c r="I15" s="403"/>
      <c r="J15" s="403"/>
      <c r="K15" s="403"/>
      <c r="L15" s="403"/>
      <c r="M15" s="403"/>
      <c r="N15" s="403"/>
      <c r="O15" s="403"/>
      <c r="P15" s="403"/>
      <c r="Q15" s="403"/>
      <c r="R15" s="403"/>
      <c r="S15" s="403"/>
      <c r="T15" s="403"/>
      <c r="U15" s="403"/>
      <c r="V15" s="403"/>
      <c r="W15" s="403"/>
      <c r="X15" s="403"/>
      <c r="Y15" s="403"/>
      <c r="Z15" s="403"/>
      <c r="AA15" s="403"/>
      <c r="AB15" s="403"/>
      <c r="AC15" s="403"/>
      <c r="AD15" s="403"/>
      <c r="AE15" s="403"/>
      <c r="AF15" s="403"/>
      <c r="AG15" s="403"/>
      <c r="AH15" s="403"/>
      <c r="AI15" s="403"/>
      <c r="AJ15" s="403"/>
      <c r="AK15" s="403"/>
      <c r="AL15" s="403"/>
      <c r="AM15" s="403"/>
      <c r="AN15" s="403"/>
      <c r="AO15" s="403"/>
    </row>
    <row r="16" spans="1:41">
      <c r="A16" s="392"/>
      <c r="B16" s="392"/>
      <c r="C16" s="392"/>
      <c r="D16" s="392"/>
      <c r="E16" s="392"/>
      <c r="F16" s="392"/>
      <c r="G16" s="392"/>
      <c r="H16" s="392"/>
      <c r="I16" s="392"/>
      <c r="J16" s="392"/>
      <c r="K16" s="392"/>
      <c r="L16" s="392"/>
      <c r="M16" s="392"/>
      <c r="N16" s="392"/>
      <c r="O16" s="392"/>
      <c r="P16" s="392"/>
      <c r="Q16" s="392"/>
      <c r="R16" s="392"/>
      <c r="S16" s="392"/>
      <c r="T16" s="392"/>
      <c r="U16" s="392"/>
      <c r="V16" s="392"/>
      <c r="W16" s="392"/>
      <c r="X16" s="392"/>
      <c r="Y16" s="392"/>
      <c r="Z16" s="392"/>
      <c r="AA16" s="392"/>
      <c r="AB16" s="392"/>
      <c r="AC16" s="392"/>
      <c r="AD16" s="392"/>
      <c r="AE16" s="392"/>
      <c r="AF16" s="392"/>
      <c r="AG16" s="392"/>
      <c r="AH16" s="392"/>
      <c r="AI16" s="392"/>
      <c r="AJ16" s="392"/>
      <c r="AK16" s="392"/>
      <c r="AL16" s="392"/>
      <c r="AM16" s="392"/>
      <c r="AN16" s="392"/>
      <c r="AO16" s="392"/>
    </row>
    <row r="17" spans="1:41">
      <c r="A17" s="406" t="s">
        <v>4101</v>
      </c>
      <c r="B17" s="406"/>
      <c r="C17" s="406"/>
      <c r="D17" s="406"/>
      <c r="E17" s="406"/>
      <c r="F17" s="406"/>
      <c r="G17" s="406"/>
      <c r="H17" s="406"/>
      <c r="I17" s="406"/>
      <c r="J17" s="406"/>
      <c r="K17" s="406"/>
      <c r="L17" s="406"/>
      <c r="M17" s="406"/>
      <c r="N17" s="406"/>
      <c r="O17" s="406"/>
      <c r="P17" s="406"/>
      <c r="Q17" s="406"/>
      <c r="R17" s="406"/>
      <c r="S17" s="406"/>
      <c r="T17" s="406"/>
      <c r="U17" s="406"/>
      <c r="V17" s="406"/>
      <c r="W17" s="406"/>
      <c r="X17" s="406"/>
      <c r="Y17" s="406"/>
      <c r="Z17" s="406"/>
      <c r="AA17" s="406"/>
      <c r="AB17" s="406"/>
      <c r="AC17" s="406"/>
      <c r="AD17" s="406"/>
      <c r="AE17" s="406"/>
      <c r="AF17" s="406"/>
      <c r="AG17" s="406"/>
      <c r="AH17" s="406"/>
      <c r="AI17" s="406"/>
      <c r="AJ17" s="406"/>
      <c r="AK17" s="406"/>
      <c r="AL17" s="406"/>
      <c r="AM17" s="406"/>
      <c r="AN17" s="406"/>
      <c r="AO17" s="406"/>
    </row>
    <row r="18" spans="1:41">
      <c r="A18" s="403" t="s">
        <v>4077</v>
      </c>
      <c r="B18" s="403"/>
      <c r="C18" s="403"/>
      <c r="D18" s="403"/>
      <c r="E18" s="403"/>
      <c r="F18" s="403"/>
      <c r="G18" s="403"/>
      <c r="H18" s="403"/>
      <c r="I18" s="403"/>
      <c r="J18" s="403"/>
      <c r="K18" s="403"/>
      <c r="L18" s="403"/>
      <c r="M18" s="403"/>
      <c r="N18" s="403"/>
      <c r="O18" s="403"/>
      <c r="P18" s="403"/>
      <c r="Q18" s="403"/>
      <c r="R18" s="403"/>
      <c r="S18" s="403"/>
      <c r="T18" s="403"/>
      <c r="U18" s="403"/>
      <c r="V18" s="403"/>
      <c r="W18" s="403"/>
      <c r="X18" s="403"/>
      <c r="Y18" s="403"/>
      <c r="Z18" s="403"/>
      <c r="AA18" s="403"/>
      <c r="AB18" s="403"/>
      <c r="AC18" s="403"/>
      <c r="AD18" s="403"/>
      <c r="AE18" s="403"/>
      <c r="AF18" s="403"/>
      <c r="AG18" s="403"/>
      <c r="AH18" s="403"/>
      <c r="AI18" s="403"/>
      <c r="AJ18" s="403"/>
      <c r="AK18" s="403"/>
      <c r="AL18" s="403"/>
      <c r="AM18" s="403"/>
      <c r="AN18" s="403"/>
      <c r="AO18" s="403"/>
    </row>
    <row r="19" spans="1:41">
      <c r="A19" s="403" t="s">
        <v>4100</v>
      </c>
      <c r="B19" s="403"/>
      <c r="C19" s="403"/>
      <c r="D19" s="403"/>
      <c r="E19" s="403"/>
      <c r="F19" s="403"/>
      <c r="G19" s="403"/>
      <c r="H19" s="403"/>
      <c r="I19" s="403"/>
      <c r="J19" s="403"/>
      <c r="K19" s="403"/>
      <c r="L19" s="403"/>
      <c r="M19" s="403"/>
      <c r="N19" s="403"/>
      <c r="O19" s="403"/>
      <c r="P19" s="403"/>
      <c r="Q19" s="403"/>
      <c r="R19" s="403"/>
      <c r="S19" s="403"/>
      <c r="T19" s="403"/>
      <c r="U19" s="403"/>
      <c r="V19" s="403"/>
      <c r="W19" s="403"/>
      <c r="X19" s="403"/>
      <c r="Y19" s="403"/>
      <c r="Z19" s="403"/>
      <c r="AA19" s="403"/>
      <c r="AB19" s="403"/>
      <c r="AC19" s="403"/>
      <c r="AD19" s="403"/>
      <c r="AE19" s="403"/>
      <c r="AF19" s="403"/>
      <c r="AG19" s="403"/>
      <c r="AH19" s="403"/>
      <c r="AI19" s="403"/>
      <c r="AJ19" s="403"/>
      <c r="AK19" s="403"/>
      <c r="AL19" s="403"/>
      <c r="AM19" s="403"/>
      <c r="AN19" s="403"/>
      <c r="AO19" s="403"/>
    </row>
    <row r="20" spans="1:41">
      <c r="A20" s="403" t="s">
        <v>4099</v>
      </c>
      <c r="B20" s="403"/>
      <c r="C20" s="403"/>
      <c r="D20" s="403"/>
      <c r="E20" s="403"/>
      <c r="F20" s="403"/>
      <c r="G20" s="403"/>
      <c r="H20" s="403"/>
      <c r="I20" s="403"/>
      <c r="J20" s="403"/>
      <c r="K20" s="403"/>
      <c r="L20" s="403"/>
      <c r="M20" s="403"/>
      <c r="N20" s="403"/>
      <c r="O20" s="403"/>
      <c r="P20" s="403"/>
      <c r="Q20" s="403"/>
      <c r="R20" s="403"/>
      <c r="S20" s="403"/>
      <c r="T20" s="403"/>
      <c r="U20" s="403"/>
      <c r="V20" s="403"/>
      <c r="W20" s="403"/>
      <c r="X20" s="403"/>
      <c r="Y20" s="403"/>
      <c r="Z20" s="403"/>
      <c r="AA20" s="403"/>
      <c r="AB20" s="403"/>
      <c r="AC20" s="403"/>
      <c r="AD20" s="403"/>
      <c r="AE20" s="403"/>
      <c r="AF20" s="403"/>
      <c r="AG20" s="403"/>
      <c r="AH20" s="403"/>
      <c r="AI20" s="403"/>
      <c r="AJ20" s="403"/>
      <c r="AK20" s="403"/>
      <c r="AL20" s="403"/>
      <c r="AM20" s="403"/>
      <c r="AN20" s="403"/>
      <c r="AO20" s="403"/>
    </row>
    <row r="21" spans="1:41">
      <c r="A21" s="403" t="s">
        <v>4098</v>
      </c>
      <c r="B21" s="403"/>
      <c r="C21" s="403"/>
      <c r="D21" s="403"/>
      <c r="E21" s="403"/>
      <c r="F21" s="403"/>
      <c r="G21" s="403"/>
      <c r="H21" s="403"/>
      <c r="I21" s="403"/>
      <c r="J21" s="403"/>
      <c r="K21" s="403"/>
      <c r="L21" s="403"/>
      <c r="M21" s="403"/>
      <c r="N21" s="403"/>
      <c r="O21" s="403"/>
      <c r="P21" s="403"/>
      <c r="Q21" s="403"/>
      <c r="R21" s="403"/>
      <c r="S21" s="403"/>
      <c r="T21" s="403"/>
      <c r="U21" s="403"/>
      <c r="V21" s="403"/>
      <c r="W21" s="403"/>
      <c r="X21" s="403"/>
      <c r="Y21" s="403"/>
      <c r="Z21" s="403"/>
      <c r="AA21" s="403"/>
      <c r="AB21" s="403"/>
      <c r="AC21" s="403"/>
      <c r="AD21" s="403"/>
      <c r="AE21" s="403"/>
      <c r="AF21" s="403"/>
      <c r="AG21" s="403"/>
      <c r="AH21" s="403"/>
      <c r="AI21" s="403"/>
      <c r="AJ21" s="403"/>
      <c r="AK21" s="403"/>
      <c r="AL21" s="403"/>
      <c r="AM21" s="403"/>
      <c r="AN21" s="403"/>
      <c r="AO21" s="403"/>
    </row>
    <row r="22" spans="1:41">
      <c r="A22" s="404" t="s">
        <v>4097</v>
      </c>
      <c r="B22" s="403"/>
      <c r="C22" s="403"/>
      <c r="D22" s="403"/>
      <c r="E22" s="403"/>
      <c r="F22" s="403"/>
      <c r="G22" s="403"/>
      <c r="H22" s="403"/>
      <c r="I22" s="403"/>
      <c r="J22" s="403"/>
      <c r="K22" s="403"/>
      <c r="L22" s="403"/>
      <c r="M22" s="403"/>
      <c r="N22" s="403"/>
      <c r="O22" s="403"/>
      <c r="P22" s="403"/>
      <c r="Q22" s="403"/>
      <c r="R22" s="403"/>
      <c r="S22" s="403"/>
      <c r="T22" s="403"/>
      <c r="U22" s="403"/>
      <c r="V22" s="403"/>
      <c r="W22" s="403"/>
      <c r="X22" s="403"/>
      <c r="Y22" s="403"/>
      <c r="Z22" s="403"/>
      <c r="AA22" s="403"/>
      <c r="AB22" s="403"/>
      <c r="AC22" s="403"/>
      <c r="AD22" s="403"/>
      <c r="AE22" s="403"/>
      <c r="AF22" s="403"/>
      <c r="AG22" s="403"/>
      <c r="AH22" s="403"/>
      <c r="AI22" s="403"/>
      <c r="AJ22" s="403"/>
      <c r="AK22" s="403"/>
      <c r="AL22" s="403"/>
      <c r="AM22" s="403"/>
      <c r="AN22" s="403"/>
      <c r="AO22" s="403"/>
    </row>
    <row r="23" spans="1:41">
      <c r="A23" s="404" t="s">
        <v>4096</v>
      </c>
      <c r="B23" s="403"/>
      <c r="C23" s="403"/>
      <c r="D23" s="403"/>
      <c r="E23" s="403"/>
      <c r="F23" s="403"/>
      <c r="G23" s="403"/>
      <c r="H23" s="403"/>
      <c r="I23" s="403"/>
      <c r="J23" s="403"/>
      <c r="K23" s="403"/>
      <c r="L23" s="403"/>
      <c r="M23" s="403"/>
      <c r="N23" s="403"/>
      <c r="O23" s="403"/>
      <c r="P23" s="403"/>
      <c r="Q23" s="403"/>
      <c r="R23" s="403"/>
      <c r="S23" s="403"/>
      <c r="T23" s="403"/>
      <c r="U23" s="403"/>
      <c r="V23" s="403"/>
      <c r="W23" s="403"/>
      <c r="X23" s="403"/>
      <c r="Y23" s="403"/>
      <c r="Z23" s="403"/>
      <c r="AA23" s="403"/>
      <c r="AB23" s="403"/>
      <c r="AC23" s="403"/>
      <c r="AD23" s="403"/>
      <c r="AE23" s="403"/>
      <c r="AF23" s="403"/>
      <c r="AG23" s="403"/>
      <c r="AH23" s="403"/>
      <c r="AI23" s="403"/>
      <c r="AJ23" s="403"/>
      <c r="AK23" s="403"/>
      <c r="AL23" s="403"/>
      <c r="AM23" s="403"/>
      <c r="AN23" s="403"/>
      <c r="AO23" s="403"/>
    </row>
    <row r="24" spans="1:41">
      <c r="A24" s="403"/>
      <c r="B24" s="403"/>
      <c r="C24" s="403"/>
      <c r="D24" s="403"/>
      <c r="E24" s="403"/>
      <c r="F24" s="403"/>
      <c r="G24" s="403"/>
      <c r="H24" s="403"/>
      <c r="I24" s="403"/>
      <c r="J24" s="403"/>
      <c r="K24" s="403"/>
      <c r="L24" s="403"/>
      <c r="M24" s="403"/>
      <c r="N24" s="403"/>
      <c r="O24" s="403"/>
      <c r="P24" s="403"/>
      <c r="Q24" s="403"/>
      <c r="R24" s="403"/>
      <c r="S24" s="403"/>
      <c r="T24" s="403"/>
      <c r="U24" s="403"/>
      <c r="V24" s="403"/>
      <c r="W24" s="403"/>
      <c r="X24" s="403"/>
      <c r="Y24" s="403"/>
      <c r="Z24" s="403"/>
      <c r="AA24" s="403"/>
      <c r="AB24" s="403"/>
      <c r="AC24" s="403"/>
      <c r="AD24" s="403"/>
      <c r="AE24" s="403"/>
      <c r="AF24" s="403"/>
      <c r="AG24" s="403"/>
      <c r="AH24" s="403"/>
      <c r="AI24" s="403"/>
      <c r="AJ24" s="403"/>
      <c r="AK24" s="403"/>
      <c r="AL24" s="403"/>
      <c r="AM24" s="403"/>
      <c r="AN24" s="403"/>
      <c r="AO24" s="403"/>
    </row>
    <row r="25" spans="1:41">
      <c r="A25" s="406" t="s">
        <v>4095</v>
      </c>
      <c r="B25" s="406"/>
      <c r="C25" s="406"/>
      <c r="D25" s="406"/>
      <c r="E25" s="406"/>
      <c r="F25" s="406"/>
      <c r="G25" s="406"/>
      <c r="H25" s="406"/>
      <c r="I25" s="406"/>
      <c r="J25" s="406"/>
      <c r="K25" s="406"/>
      <c r="L25" s="406"/>
      <c r="M25" s="406"/>
      <c r="N25" s="406"/>
      <c r="O25" s="406"/>
      <c r="P25" s="406"/>
      <c r="Q25" s="406"/>
      <c r="R25" s="406"/>
      <c r="S25" s="406"/>
      <c r="T25" s="406"/>
      <c r="U25" s="406"/>
      <c r="V25" s="406"/>
      <c r="W25" s="406"/>
      <c r="X25" s="406"/>
      <c r="Y25" s="406"/>
      <c r="Z25" s="406"/>
      <c r="AA25" s="406"/>
      <c r="AB25" s="406"/>
      <c r="AC25" s="406"/>
      <c r="AD25" s="406"/>
      <c r="AE25" s="406"/>
      <c r="AF25" s="406"/>
      <c r="AG25" s="406"/>
      <c r="AH25" s="406"/>
      <c r="AI25" s="406"/>
      <c r="AJ25" s="406"/>
      <c r="AK25" s="406"/>
      <c r="AL25" s="406"/>
      <c r="AM25" s="406"/>
      <c r="AN25" s="406"/>
      <c r="AO25" s="406"/>
    </row>
    <row r="26" spans="1:41">
      <c r="A26" s="404" t="s">
        <v>4077</v>
      </c>
      <c r="B26" s="403"/>
      <c r="C26" s="403"/>
      <c r="D26" s="403"/>
      <c r="E26" s="403"/>
      <c r="F26" s="403"/>
      <c r="G26" s="403"/>
      <c r="H26" s="403"/>
      <c r="I26" s="403"/>
      <c r="J26" s="403"/>
      <c r="K26" s="403"/>
      <c r="L26" s="403"/>
      <c r="M26" s="403"/>
      <c r="N26" s="403"/>
      <c r="O26" s="403"/>
      <c r="P26" s="403"/>
      <c r="Q26" s="403"/>
      <c r="R26" s="403"/>
      <c r="S26" s="403"/>
      <c r="T26" s="403"/>
      <c r="U26" s="403"/>
      <c r="V26" s="403"/>
      <c r="W26" s="403"/>
      <c r="X26" s="403"/>
      <c r="Y26" s="403"/>
      <c r="Z26" s="403"/>
      <c r="AA26" s="403"/>
      <c r="AB26" s="403"/>
      <c r="AC26" s="403"/>
      <c r="AD26" s="403"/>
      <c r="AE26" s="403"/>
      <c r="AF26" s="403"/>
      <c r="AG26" s="403"/>
      <c r="AH26" s="403"/>
      <c r="AI26" s="403"/>
      <c r="AJ26" s="403"/>
      <c r="AK26" s="403"/>
      <c r="AL26" s="403"/>
      <c r="AM26" s="403"/>
      <c r="AN26" s="403"/>
      <c r="AO26" s="403"/>
    </row>
    <row r="27" spans="1:41">
      <c r="A27" s="404" t="s">
        <v>4094</v>
      </c>
      <c r="B27" s="403"/>
      <c r="C27" s="403"/>
      <c r="D27" s="403"/>
      <c r="E27" s="403"/>
      <c r="F27" s="403"/>
      <c r="G27" s="403"/>
      <c r="H27" s="403"/>
      <c r="I27" s="403"/>
      <c r="J27" s="403"/>
      <c r="K27" s="403"/>
      <c r="L27" s="403"/>
      <c r="M27" s="403"/>
      <c r="N27" s="403"/>
      <c r="O27" s="403"/>
      <c r="P27" s="403"/>
      <c r="Q27" s="403"/>
      <c r="R27" s="403"/>
      <c r="S27" s="403"/>
      <c r="T27" s="403"/>
      <c r="U27" s="403"/>
      <c r="V27" s="403"/>
      <c r="W27" s="403"/>
      <c r="X27" s="403"/>
      <c r="Y27" s="403"/>
      <c r="Z27" s="403"/>
      <c r="AA27" s="403"/>
      <c r="AB27" s="403"/>
      <c r="AC27" s="403"/>
      <c r="AD27" s="403"/>
      <c r="AE27" s="403"/>
      <c r="AF27" s="403"/>
      <c r="AG27" s="403"/>
      <c r="AH27" s="403"/>
      <c r="AI27" s="403"/>
      <c r="AJ27" s="403"/>
      <c r="AK27" s="403"/>
      <c r="AL27" s="403"/>
      <c r="AM27" s="403"/>
      <c r="AN27" s="403"/>
      <c r="AO27" s="403"/>
    </row>
    <row r="28" spans="1:41">
      <c r="A28" s="403" t="s">
        <v>4093</v>
      </c>
      <c r="B28" s="403"/>
      <c r="C28" s="403"/>
      <c r="D28" s="403"/>
      <c r="E28" s="403"/>
      <c r="F28" s="403"/>
      <c r="G28" s="403"/>
      <c r="H28" s="403"/>
      <c r="I28" s="403"/>
      <c r="J28" s="403"/>
      <c r="K28" s="403"/>
      <c r="L28" s="403"/>
      <c r="M28" s="403"/>
      <c r="N28" s="403"/>
      <c r="O28" s="403"/>
      <c r="P28" s="403"/>
      <c r="Q28" s="403"/>
      <c r="R28" s="403"/>
      <c r="S28" s="403"/>
      <c r="T28" s="403"/>
      <c r="U28" s="403"/>
      <c r="V28" s="403"/>
      <c r="W28" s="403"/>
      <c r="X28" s="403"/>
      <c r="Y28" s="403"/>
      <c r="Z28" s="403"/>
      <c r="AA28" s="403"/>
      <c r="AB28" s="403"/>
      <c r="AC28" s="403"/>
      <c r="AD28" s="403"/>
      <c r="AE28" s="403"/>
      <c r="AF28" s="403"/>
      <c r="AG28" s="403"/>
      <c r="AH28" s="403"/>
      <c r="AI28" s="403"/>
      <c r="AJ28" s="403"/>
      <c r="AK28" s="403"/>
      <c r="AL28" s="403"/>
      <c r="AM28" s="403"/>
      <c r="AN28" s="403"/>
      <c r="AO28" s="403"/>
    </row>
    <row r="29" spans="1:41">
      <c r="A29" s="403" t="s">
        <v>4092</v>
      </c>
      <c r="B29" s="403"/>
      <c r="C29" s="403"/>
      <c r="D29" s="403"/>
      <c r="E29" s="403"/>
      <c r="F29" s="403"/>
      <c r="G29" s="403"/>
      <c r="H29" s="403"/>
      <c r="I29" s="403"/>
      <c r="J29" s="403"/>
      <c r="K29" s="403"/>
      <c r="L29" s="403"/>
      <c r="M29" s="403"/>
      <c r="N29" s="403"/>
      <c r="O29" s="403"/>
      <c r="P29" s="403"/>
      <c r="Q29" s="403"/>
      <c r="R29" s="403"/>
      <c r="S29" s="403"/>
      <c r="T29" s="403"/>
      <c r="U29" s="403"/>
      <c r="V29" s="403"/>
      <c r="W29" s="403"/>
      <c r="X29" s="403"/>
      <c r="Y29" s="403"/>
      <c r="Z29" s="403"/>
      <c r="AA29" s="403"/>
      <c r="AB29" s="403"/>
      <c r="AC29" s="403"/>
      <c r="AD29" s="403"/>
      <c r="AE29" s="403"/>
      <c r="AF29" s="403"/>
      <c r="AG29" s="403"/>
      <c r="AH29" s="403"/>
      <c r="AI29" s="403"/>
      <c r="AJ29" s="403"/>
      <c r="AK29" s="403"/>
      <c r="AL29" s="403"/>
      <c r="AM29" s="403"/>
      <c r="AN29" s="403"/>
      <c r="AO29" s="403"/>
    </row>
    <row r="30" spans="1:41">
      <c r="A30" s="403"/>
      <c r="B30" s="403"/>
      <c r="C30" s="403"/>
      <c r="D30" s="403"/>
      <c r="E30" s="403"/>
      <c r="F30" s="403"/>
      <c r="G30" s="403"/>
      <c r="H30" s="403"/>
      <c r="I30" s="403"/>
      <c r="J30" s="403"/>
      <c r="K30" s="403"/>
      <c r="L30" s="403"/>
      <c r="M30" s="403"/>
      <c r="N30" s="403"/>
      <c r="O30" s="403"/>
      <c r="P30" s="403"/>
      <c r="Q30" s="403"/>
      <c r="R30" s="403"/>
      <c r="S30" s="403"/>
      <c r="T30" s="403"/>
      <c r="U30" s="403"/>
      <c r="V30" s="403"/>
      <c r="W30" s="403"/>
      <c r="X30" s="403"/>
      <c r="Y30" s="403"/>
      <c r="Z30" s="403"/>
      <c r="AA30" s="403"/>
      <c r="AB30" s="403"/>
      <c r="AC30" s="403"/>
      <c r="AD30" s="403"/>
      <c r="AE30" s="403"/>
      <c r="AF30" s="403"/>
      <c r="AG30" s="403"/>
      <c r="AH30" s="403"/>
      <c r="AI30" s="403"/>
      <c r="AJ30" s="403"/>
      <c r="AK30" s="403"/>
      <c r="AL30" s="403"/>
      <c r="AM30" s="403"/>
      <c r="AN30" s="403"/>
      <c r="AO30" s="403"/>
    </row>
    <row r="31" spans="1:41">
      <c r="A31" s="408" t="s">
        <v>4088</v>
      </c>
      <c r="B31" s="408"/>
      <c r="C31" s="408"/>
      <c r="D31" s="408"/>
      <c r="E31" s="408"/>
      <c r="F31" s="408"/>
      <c r="G31" s="408"/>
      <c r="H31" s="408"/>
      <c r="I31" s="408"/>
      <c r="J31" s="408"/>
      <c r="K31" s="408"/>
      <c r="L31" s="408"/>
      <c r="M31" s="408"/>
      <c r="N31" s="408"/>
      <c r="O31" s="408"/>
      <c r="P31" s="408"/>
      <c r="Q31" s="408"/>
      <c r="R31" s="408"/>
      <c r="S31" s="408"/>
      <c r="T31" s="408"/>
      <c r="U31" s="408"/>
      <c r="V31" s="408"/>
      <c r="W31" s="408"/>
      <c r="X31" s="408"/>
      <c r="Y31" s="408"/>
      <c r="Z31" s="408"/>
      <c r="AA31" s="408"/>
      <c r="AB31" s="408"/>
      <c r="AC31" s="408"/>
      <c r="AD31" s="408"/>
      <c r="AE31" s="408"/>
      <c r="AF31" s="408"/>
      <c r="AG31" s="408"/>
      <c r="AH31" s="408"/>
      <c r="AI31" s="408"/>
      <c r="AJ31" s="408"/>
      <c r="AK31" s="408"/>
      <c r="AL31" s="408"/>
      <c r="AM31" s="408"/>
      <c r="AN31" s="408"/>
      <c r="AO31" s="408"/>
    </row>
    <row r="32" spans="1:41">
      <c r="A32" s="407" t="s">
        <v>4077</v>
      </c>
      <c r="B32" s="407"/>
      <c r="C32" s="407"/>
      <c r="D32" s="407"/>
      <c r="E32" s="407"/>
      <c r="F32" s="407"/>
      <c r="G32" s="407"/>
      <c r="H32" s="407"/>
      <c r="I32" s="407"/>
      <c r="J32" s="407"/>
      <c r="K32" s="407"/>
      <c r="L32" s="407"/>
      <c r="M32" s="407"/>
      <c r="N32" s="407"/>
      <c r="O32" s="407"/>
      <c r="P32" s="407"/>
      <c r="Q32" s="407"/>
      <c r="R32" s="407"/>
      <c r="S32" s="407"/>
      <c r="T32" s="407"/>
      <c r="U32" s="407"/>
      <c r="V32" s="407"/>
      <c r="W32" s="407"/>
      <c r="X32" s="407"/>
      <c r="Y32" s="407"/>
      <c r="Z32" s="407"/>
      <c r="AA32" s="407"/>
      <c r="AB32" s="407"/>
      <c r="AC32" s="407"/>
      <c r="AD32" s="407"/>
      <c r="AE32" s="407"/>
      <c r="AF32" s="407"/>
      <c r="AG32" s="407"/>
      <c r="AH32" s="407"/>
      <c r="AI32" s="407"/>
      <c r="AJ32" s="407"/>
      <c r="AK32" s="407"/>
      <c r="AL32" s="407"/>
      <c r="AM32" s="407"/>
      <c r="AN32" s="407"/>
      <c r="AO32" s="407"/>
    </row>
    <row r="33" spans="1:41">
      <c r="A33" s="407" t="s">
        <v>4091</v>
      </c>
      <c r="B33" s="407"/>
      <c r="C33" s="407"/>
      <c r="D33" s="407"/>
      <c r="E33" s="407"/>
      <c r="F33" s="407"/>
      <c r="G33" s="407"/>
      <c r="H33" s="407"/>
      <c r="I33" s="407"/>
      <c r="J33" s="407"/>
      <c r="K33" s="407"/>
      <c r="L33" s="407"/>
      <c r="M33" s="407"/>
      <c r="N33" s="407"/>
      <c r="O33" s="407"/>
      <c r="P33" s="407"/>
      <c r="Q33" s="407"/>
      <c r="R33" s="407"/>
      <c r="S33" s="407"/>
      <c r="T33" s="407"/>
      <c r="U33" s="407"/>
      <c r="V33" s="407"/>
      <c r="W33" s="407"/>
      <c r="X33" s="407"/>
      <c r="Y33" s="407"/>
      <c r="Z33" s="407"/>
      <c r="AA33" s="407"/>
      <c r="AB33" s="407"/>
      <c r="AC33" s="407"/>
      <c r="AD33" s="407"/>
      <c r="AE33" s="407"/>
      <c r="AF33" s="407"/>
      <c r="AG33" s="407"/>
      <c r="AH33" s="407"/>
      <c r="AI33" s="407"/>
      <c r="AJ33" s="407"/>
      <c r="AK33" s="407"/>
      <c r="AL33" s="407"/>
      <c r="AM33" s="407"/>
      <c r="AN33" s="407"/>
      <c r="AO33" s="407"/>
    </row>
    <row r="34" spans="1:41">
      <c r="A34" s="407" t="s">
        <v>4090</v>
      </c>
      <c r="B34" s="407"/>
      <c r="C34" s="407"/>
      <c r="D34" s="407"/>
      <c r="E34" s="407"/>
      <c r="F34" s="407"/>
      <c r="G34" s="407"/>
      <c r="H34" s="407"/>
      <c r="I34" s="407"/>
      <c r="J34" s="407"/>
      <c r="K34" s="407"/>
      <c r="L34" s="407"/>
      <c r="M34" s="407"/>
      <c r="N34" s="407"/>
      <c r="O34" s="407"/>
      <c r="P34" s="407"/>
      <c r="Q34" s="407"/>
      <c r="R34" s="407"/>
      <c r="S34" s="407"/>
      <c r="T34" s="407"/>
      <c r="U34" s="407"/>
      <c r="V34" s="407"/>
      <c r="W34" s="407"/>
      <c r="X34" s="407"/>
      <c r="Y34" s="407"/>
      <c r="Z34" s="407"/>
      <c r="AA34" s="407"/>
      <c r="AB34" s="407"/>
      <c r="AC34" s="407"/>
      <c r="AD34" s="407"/>
      <c r="AE34" s="407"/>
      <c r="AF34" s="407"/>
      <c r="AG34" s="407"/>
      <c r="AH34" s="407"/>
      <c r="AI34" s="407"/>
      <c r="AJ34" s="407"/>
      <c r="AK34" s="407"/>
      <c r="AL34" s="407"/>
      <c r="AM34" s="407"/>
      <c r="AN34" s="407"/>
      <c r="AO34" s="407"/>
    </row>
    <row r="35" spans="1:41">
      <c r="A35" s="407" t="s">
        <v>4089</v>
      </c>
      <c r="B35" s="407"/>
      <c r="C35" s="407"/>
      <c r="D35" s="407"/>
      <c r="E35" s="407"/>
      <c r="F35" s="407"/>
      <c r="G35" s="407"/>
      <c r="H35" s="407"/>
      <c r="I35" s="407"/>
      <c r="J35" s="407"/>
      <c r="K35" s="407"/>
      <c r="L35" s="407"/>
      <c r="M35" s="407"/>
      <c r="N35" s="407"/>
      <c r="O35" s="407"/>
      <c r="P35" s="407"/>
      <c r="Q35" s="407"/>
      <c r="R35" s="407"/>
      <c r="S35" s="407"/>
      <c r="T35" s="407"/>
      <c r="U35" s="407"/>
      <c r="V35" s="407"/>
      <c r="W35" s="407"/>
      <c r="X35" s="407"/>
      <c r="Y35" s="407"/>
      <c r="Z35" s="407"/>
      <c r="AA35" s="407"/>
      <c r="AB35" s="407"/>
      <c r="AC35" s="407"/>
      <c r="AD35" s="407"/>
      <c r="AE35" s="407"/>
      <c r="AF35" s="407"/>
      <c r="AG35" s="407"/>
      <c r="AH35" s="407"/>
      <c r="AI35" s="407"/>
      <c r="AJ35" s="407"/>
      <c r="AK35" s="407"/>
      <c r="AL35" s="407"/>
      <c r="AM35" s="407"/>
      <c r="AN35" s="407"/>
      <c r="AO35" s="407"/>
    </row>
    <row r="36" spans="1:41">
      <c r="A36" s="407" t="s">
        <v>4088</v>
      </c>
      <c r="B36" s="407"/>
      <c r="C36" s="407"/>
      <c r="D36" s="407"/>
      <c r="E36" s="407"/>
      <c r="F36" s="407"/>
      <c r="G36" s="407"/>
      <c r="H36" s="407"/>
      <c r="I36" s="407"/>
      <c r="J36" s="407"/>
      <c r="K36" s="407"/>
      <c r="L36" s="407"/>
      <c r="M36" s="407"/>
      <c r="N36" s="407"/>
      <c r="O36" s="407"/>
      <c r="P36" s="407"/>
      <c r="Q36" s="407"/>
      <c r="R36" s="407"/>
      <c r="S36" s="407"/>
      <c r="T36" s="407"/>
      <c r="U36" s="407"/>
      <c r="V36" s="407"/>
      <c r="W36" s="407"/>
      <c r="X36" s="407"/>
      <c r="Y36" s="407"/>
      <c r="Z36" s="407"/>
      <c r="AA36" s="407"/>
      <c r="AB36" s="407"/>
      <c r="AC36" s="407"/>
      <c r="AD36" s="407"/>
      <c r="AE36" s="407"/>
      <c r="AF36" s="407"/>
      <c r="AG36" s="407"/>
      <c r="AH36" s="407"/>
      <c r="AI36" s="407"/>
      <c r="AJ36" s="407"/>
      <c r="AK36" s="407"/>
      <c r="AL36" s="407"/>
      <c r="AM36" s="407"/>
      <c r="AN36" s="407"/>
      <c r="AO36" s="407"/>
    </row>
    <row r="37" spans="1:41">
      <c r="A37" s="407" t="s">
        <v>4087</v>
      </c>
      <c r="B37" s="407"/>
      <c r="C37" s="407"/>
      <c r="D37" s="407"/>
      <c r="E37" s="407"/>
      <c r="F37" s="407"/>
      <c r="G37" s="407"/>
      <c r="H37" s="407"/>
      <c r="I37" s="407"/>
      <c r="J37" s="407"/>
      <c r="K37" s="407"/>
      <c r="L37" s="407"/>
      <c r="M37" s="407"/>
      <c r="N37" s="407"/>
      <c r="O37" s="407"/>
      <c r="P37" s="407"/>
      <c r="Q37" s="407"/>
      <c r="R37" s="407"/>
      <c r="S37" s="407"/>
      <c r="T37" s="407"/>
      <c r="U37" s="407"/>
      <c r="V37" s="407"/>
      <c r="W37" s="407"/>
      <c r="X37" s="407"/>
      <c r="Y37" s="407"/>
      <c r="Z37" s="407"/>
      <c r="AA37" s="407"/>
      <c r="AB37" s="407"/>
      <c r="AC37" s="407"/>
      <c r="AD37" s="407"/>
      <c r="AE37" s="407"/>
      <c r="AF37" s="407"/>
      <c r="AG37" s="407"/>
      <c r="AH37" s="407"/>
      <c r="AI37" s="407"/>
      <c r="AJ37" s="407"/>
      <c r="AK37" s="407"/>
      <c r="AL37" s="407"/>
      <c r="AM37" s="407"/>
      <c r="AN37" s="407"/>
      <c r="AO37" s="407"/>
    </row>
    <row r="38" spans="1:41">
      <c r="A38" s="407" t="s">
        <v>4086</v>
      </c>
      <c r="B38" s="407"/>
      <c r="C38" s="407"/>
      <c r="D38" s="407"/>
      <c r="E38" s="407"/>
      <c r="F38" s="407"/>
      <c r="G38" s="407"/>
      <c r="H38" s="407"/>
      <c r="I38" s="407"/>
      <c r="J38" s="407"/>
      <c r="K38" s="407"/>
      <c r="L38" s="407"/>
      <c r="M38" s="407"/>
      <c r="N38" s="407"/>
      <c r="O38" s="407"/>
      <c r="P38" s="407"/>
      <c r="Q38" s="407"/>
      <c r="R38" s="407"/>
      <c r="S38" s="407"/>
      <c r="T38" s="407"/>
      <c r="U38" s="407"/>
      <c r="V38" s="407"/>
      <c r="W38" s="407"/>
      <c r="X38" s="407"/>
      <c r="Y38" s="407"/>
      <c r="Z38" s="407"/>
      <c r="AA38" s="407"/>
      <c r="AB38" s="407"/>
      <c r="AC38" s="407"/>
      <c r="AD38" s="407"/>
      <c r="AE38" s="407"/>
      <c r="AF38" s="407"/>
      <c r="AG38" s="407"/>
      <c r="AH38" s="407"/>
      <c r="AI38" s="407"/>
      <c r="AJ38" s="407"/>
      <c r="AK38" s="407"/>
      <c r="AL38" s="407"/>
      <c r="AM38" s="407"/>
      <c r="AN38" s="407"/>
      <c r="AO38" s="407"/>
    </row>
    <row r="39" spans="1:41">
      <c r="A39" s="403"/>
      <c r="B39" s="403"/>
      <c r="C39" s="403"/>
      <c r="D39" s="403"/>
      <c r="E39" s="403"/>
      <c r="F39" s="403"/>
      <c r="G39" s="403"/>
      <c r="H39" s="403"/>
      <c r="I39" s="403"/>
      <c r="J39" s="403"/>
      <c r="K39" s="403"/>
      <c r="L39" s="403"/>
      <c r="M39" s="403"/>
      <c r="N39" s="403"/>
      <c r="O39" s="403"/>
      <c r="P39" s="403"/>
      <c r="Q39" s="403"/>
      <c r="R39" s="403"/>
      <c r="S39" s="403"/>
      <c r="T39" s="403"/>
      <c r="U39" s="403"/>
      <c r="V39" s="403"/>
      <c r="W39" s="403"/>
      <c r="X39" s="403"/>
      <c r="Y39" s="403"/>
      <c r="Z39" s="403"/>
      <c r="AA39" s="403"/>
      <c r="AB39" s="403"/>
      <c r="AC39" s="403"/>
      <c r="AD39" s="403"/>
      <c r="AE39" s="403"/>
      <c r="AF39" s="403"/>
      <c r="AG39" s="403"/>
      <c r="AH39" s="403"/>
      <c r="AI39" s="403"/>
      <c r="AJ39" s="403"/>
      <c r="AK39" s="403"/>
      <c r="AL39" s="403"/>
      <c r="AM39" s="403"/>
      <c r="AN39" s="403"/>
      <c r="AO39" s="403"/>
    </row>
    <row r="40" spans="1:41">
      <c r="A40" s="406" t="s">
        <v>4085</v>
      </c>
      <c r="B40" s="406"/>
      <c r="C40" s="406"/>
      <c r="D40" s="406"/>
      <c r="E40" s="406"/>
      <c r="F40" s="406"/>
      <c r="G40" s="406"/>
      <c r="H40" s="406"/>
      <c r="I40" s="406"/>
      <c r="J40" s="406"/>
      <c r="K40" s="406"/>
      <c r="L40" s="406"/>
      <c r="M40" s="406"/>
      <c r="N40" s="406"/>
      <c r="O40" s="406"/>
      <c r="P40" s="406"/>
      <c r="Q40" s="406"/>
      <c r="R40" s="406"/>
      <c r="S40" s="406"/>
      <c r="T40" s="406"/>
      <c r="U40" s="406"/>
      <c r="V40" s="406"/>
      <c r="W40" s="406"/>
      <c r="X40" s="406"/>
      <c r="Y40" s="406"/>
      <c r="Z40" s="406"/>
      <c r="AA40" s="406"/>
      <c r="AB40" s="406"/>
      <c r="AC40" s="406"/>
      <c r="AD40" s="406"/>
      <c r="AE40" s="406"/>
      <c r="AF40" s="406"/>
      <c r="AG40" s="406"/>
      <c r="AH40" s="406"/>
      <c r="AI40" s="406"/>
      <c r="AJ40" s="406"/>
      <c r="AK40" s="406"/>
      <c r="AL40" s="406"/>
      <c r="AM40" s="406"/>
      <c r="AN40" s="406"/>
      <c r="AO40" s="406"/>
    </row>
    <row r="41" spans="1:41">
      <c r="A41" s="404" t="s">
        <v>4077</v>
      </c>
      <c r="B41" s="403"/>
      <c r="C41" s="403"/>
      <c r="D41" s="403"/>
      <c r="E41" s="403"/>
      <c r="F41" s="403"/>
      <c r="G41" s="403"/>
      <c r="H41" s="403"/>
      <c r="I41" s="403"/>
      <c r="J41" s="403"/>
      <c r="K41" s="403"/>
      <c r="L41" s="403"/>
      <c r="M41" s="403"/>
      <c r="N41" s="403"/>
      <c r="O41" s="403"/>
      <c r="P41" s="403"/>
      <c r="Q41" s="403"/>
      <c r="R41" s="403"/>
      <c r="S41" s="403"/>
      <c r="T41" s="403"/>
      <c r="U41" s="403"/>
      <c r="V41" s="403"/>
      <c r="W41" s="403"/>
      <c r="X41" s="403"/>
      <c r="Y41" s="403"/>
      <c r="Z41" s="403"/>
      <c r="AA41" s="403"/>
      <c r="AB41" s="403"/>
      <c r="AC41" s="403"/>
      <c r="AD41" s="403"/>
      <c r="AE41" s="403"/>
      <c r="AF41" s="403"/>
      <c r="AG41" s="403"/>
      <c r="AH41" s="403"/>
      <c r="AI41" s="403"/>
      <c r="AJ41" s="403"/>
      <c r="AK41" s="403"/>
      <c r="AL41" s="403"/>
      <c r="AM41" s="403"/>
      <c r="AN41" s="403"/>
      <c r="AO41" s="403"/>
    </row>
    <row r="42" spans="1:41">
      <c r="A42" s="404" t="s">
        <v>4084</v>
      </c>
      <c r="B42" s="403"/>
      <c r="C42" s="403"/>
      <c r="D42" s="403"/>
      <c r="E42" s="403"/>
      <c r="F42" s="403"/>
      <c r="G42" s="403"/>
      <c r="H42" s="403"/>
      <c r="I42" s="403"/>
      <c r="J42" s="403"/>
      <c r="K42" s="403"/>
      <c r="L42" s="403"/>
      <c r="M42" s="403"/>
      <c r="N42" s="403"/>
      <c r="O42" s="403"/>
      <c r="P42" s="403"/>
      <c r="Q42" s="403"/>
      <c r="R42" s="403"/>
      <c r="S42" s="403"/>
      <c r="T42" s="403"/>
      <c r="U42" s="403"/>
      <c r="V42" s="403"/>
      <c r="W42" s="403"/>
      <c r="X42" s="403"/>
      <c r="Y42" s="403"/>
      <c r="Z42" s="403"/>
      <c r="AA42" s="403"/>
      <c r="AB42" s="403"/>
      <c r="AC42" s="403"/>
      <c r="AD42" s="403"/>
      <c r="AE42" s="403"/>
      <c r="AF42" s="403"/>
      <c r="AG42" s="403"/>
      <c r="AH42" s="403"/>
      <c r="AI42" s="403"/>
      <c r="AJ42" s="403"/>
      <c r="AK42" s="403"/>
      <c r="AL42" s="403"/>
      <c r="AM42" s="403"/>
      <c r="AN42" s="403"/>
      <c r="AO42" s="403"/>
    </row>
    <row r="43" spans="1:41">
      <c r="A43" s="404" t="s">
        <v>4083</v>
      </c>
      <c r="B43" s="403"/>
      <c r="C43" s="403"/>
      <c r="D43" s="403"/>
      <c r="E43" s="403"/>
      <c r="F43" s="403"/>
      <c r="G43" s="403"/>
      <c r="H43" s="403"/>
      <c r="I43" s="403"/>
      <c r="J43" s="403"/>
      <c r="K43" s="403"/>
      <c r="L43" s="403"/>
      <c r="M43" s="403"/>
      <c r="N43" s="403"/>
      <c r="O43" s="403"/>
      <c r="P43" s="403"/>
      <c r="Q43" s="403"/>
      <c r="R43" s="403"/>
      <c r="S43" s="403"/>
      <c r="T43" s="403"/>
      <c r="U43" s="403"/>
      <c r="V43" s="403"/>
      <c r="W43" s="403"/>
      <c r="X43" s="403"/>
      <c r="Y43" s="403"/>
      <c r="Z43" s="403"/>
      <c r="AA43" s="403"/>
      <c r="AB43" s="403"/>
      <c r="AC43" s="403"/>
      <c r="AD43" s="403"/>
      <c r="AE43" s="403"/>
      <c r="AF43" s="403"/>
      <c r="AG43" s="403"/>
      <c r="AH43" s="403"/>
      <c r="AI43" s="403"/>
      <c r="AJ43" s="403"/>
      <c r="AK43" s="403"/>
      <c r="AL43" s="403"/>
      <c r="AM43" s="403"/>
      <c r="AN43" s="403"/>
      <c r="AO43" s="403"/>
    </row>
    <row r="44" spans="1:41">
      <c r="A44" s="404" t="s">
        <v>4082</v>
      </c>
      <c r="B44" s="403"/>
      <c r="C44" s="403"/>
      <c r="D44" s="403"/>
      <c r="E44" s="403"/>
      <c r="F44" s="403"/>
      <c r="G44" s="403"/>
      <c r="H44" s="403"/>
      <c r="I44" s="403"/>
      <c r="J44" s="403"/>
      <c r="K44" s="403"/>
      <c r="L44" s="403"/>
      <c r="M44" s="403"/>
      <c r="N44" s="403"/>
      <c r="O44" s="403"/>
      <c r="P44" s="403"/>
      <c r="Q44" s="403"/>
      <c r="R44" s="403"/>
      <c r="S44" s="403"/>
      <c r="T44" s="403"/>
      <c r="U44" s="403"/>
      <c r="V44" s="403"/>
      <c r="W44" s="403"/>
      <c r="X44" s="403"/>
      <c r="Y44" s="403"/>
      <c r="Z44" s="403"/>
      <c r="AA44" s="403"/>
      <c r="AB44" s="403"/>
      <c r="AC44" s="403"/>
      <c r="AD44" s="403"/>
      <c r="AE44" s="403"/>
      <c r="AF44" s="403"/>
      <c r="AG44" s="403"/>
      <c r="AH44" s="403"/>
      <c r="AI44" s="403"/>
      <c r="AJ44" s="403"/>
      <c r="AK44" s="403"/>
      <c r="AL44" s="403"/>
      <c r="AM44" s="403"/>
      <c r="AN44" s="403"/>
      <c r="AO44" s="403"/>
    </row>
    <row r="45" spans="1:41">
      <c r="A45" s="404" t="s">
        <v>4081</v>
      </c>
      <c r="B45" s="403"/>
      <c r="C45" s="403"/>
      <c r="D45" s="403"/>
      <c r="E45" s="403"/>
      <c r="F45" s="403"/>
      <c r="G45" s="403"/>
      <c r="H45" s="403"/>
      <c r="I45" s="403"/>
      <c r="J45" s="403"/>
      <c r="K45" s="403"/>
      <c r="L45" s="403"/>
      <c r="M45" s="403"/>
      <c r="N45" s="403"/>
      <c r="O45" s="403"/>
      <c r="P45" s="403"/>
      <c r="Q45" s="403"/>
      <c r="R45" s="403"/>
      <c r="S45" s="403"/>
      <c r="T45" s="403"/>
      <c r="U45" s="403"/>
      <c r="V45" s="403"/>
      <c r="W45" s="403"/>
      <c r="X45" s="403"/>
      <c r="Y45" s="403"/>
      <c r="Z45" s="403"/>
      <c r="AA45" s="403"/>
      <c r="AB45" s="403"/>
      <c r="AC45" s="403"/>
      <c r="AD45" s="403"/>
      <c r="AE45" s="403"/>
      <c r="AF45" s="403"/>
      <c r="AG45" s="403"/>
      <c r="AH45" s="403"/>
      <c r="AI45" s="403"/>
      <c r="AJ45" s="403"/>
      <c r="AK45" s="403"/>
      <c r="AL45" s="403"/>
      <c r="AM45" s="403"/>
      <c r="AN45" s="403"/>
      <c r="AO45" s="403"/>
    </row>
    <row r="46" spans="1:41">
      <c r="A46" s="404" t="s">
        <v>4080</v>
      </c>
      <c r="B46" s="403"/>
      <c r="C46" s="403"/>
      <c r="D46" s="403"/>
      <c r="E46" s="403"/>
      <c r="F46" s="403"/>
      <c r="G46" s="403"/>
      <c r="H46" s="403"/>
      <c r="I46" s="403"/>
      <c r="J46" s="403"/>
      <c r="K46" s="403"/>
      <c r="L46" s="403"/>
      <c r="M46" s="403"/>
      <c r="N46" s="403"/>
      <c r="O46" s="403"/>
      <c r="P46" s="403"/>
      <c r="Q46" s="403"/>
      <c r="R46" s="403"/>
      <c r="S46" s="403"/>
      <c r="T46" s="403"/>
      <c r="U46" s="403"/>
      <c r="V46" s="403"/>
      <c r="W46" s="403"/>
      <c r="X46" s="403"/>
      <c r="Y46" s="403"/>
      <c r="Z46" s="403"/>
      <c r="AA46" s="403"/>
      <c r="AB46" s="403"/>
      <c r="AC46" s="403"/>
      <c r="AD46" s="403"/>
      <c r="AE46" s="403"/>
      <c r="AF46" s="403"/>
      <c r="AG46" s="403"/>
      <c r="AH46" s="403"/>
      <c r="AI46" s="403"/>
      <c r="AJ46" s="403"/>
      <c r="AK46" s="403"/>
      <c r="AL46" s="403"/>
      <c r="AM46" s="403"/>
      <c r="AN46" s="403"/>
      <c r="AO46" s="403"/>
    </row>
    <row r="47" spans="1:41">
      <c r="A47" s="404" t="s">
        <v>4079</v>
      </c>
      <c r="B47" s="403"/>
      <c r="C47" s="403"/>
      <c r="D47" s="403"/>
      <c r="E47" s="403"/>
      <c r="F47" s="403"/>
      <c r="G47" s="403"/>
      <c r="H47" s="403"/>
      <c r="I47" s="403"/>
      <c r="J47" s="403"/>
      <c r="K47" s="403"/>
      <c r="L47" s="403"/>
      <c r="M47" s="403"/>
      <c r="N47" s="403"/>
      <c r="O47" s="403"/>
      <c r="P47" s="403"/>
      <c r="Q47" s="403"/>
      <c r="R47" s="403"/>
      <c r="S47" s="403"/>
      <c r="T47" s="403"/>
      <c r="U47" s="403"/>
      <c r="V47" s="403"/>
      <c r="W47" s="403"/>
      <c r="X47" s="403"/>
      <c r="Y47" s="403"/>
      <c r="Z47" s="403"/>
      <c r="AA47" s="403"/>
      <c r="AB47" s="403"/>
      <c r="AC47" s="403"/>
      <c r="AD47" s="403"/>
      <c r="AE47" s="403"/>
      <c r="AF47" s="403"/>
      <c r="AG47" s="403"/>
      <c r="AH47" s="403"/>
      <c r="AI47" s="403"/>
      <c r="AJ47" s="403"/>
      <c r="AK47" s="403"/>
      <c r="AL47" s="403"/>
      <c r="AM47" s="403"/>
      <c r="AN47" s="403"/>
      <c r="AO47" s="403"/>
    </row>
    <row r="48" spans="1:41">
      <c r="A48" s="403"/>
      <c r="B48" s="403"/>
      <c r="C48" s="403"/>
      <c r="D48" s="403"/>
      <c r="E48" s="403"/>
      <c r="F48" s="403"/>
      <c r="G48" s="403"/>
      <c r="H48" s="403"/>
      <c r="I48" s="403"/>
      <c r="J48" s="403"/>
      <c r="K48" s="403"/>
      <c r="L48" s="403"/>
      <c r="M48" s="403"/>
      <c r="N48" s="403"/>
      <c r="O48" s="403"/>
      <c r="P48" s="403"/>
      <c r="Q48" s="403"/>
      <c r="R48" s="403"/>
      <c r="S48" s="403"/>
      <c r="T48" s="403"/>
      <c r="U48" s="403"/>
      <c r="V48" s="403"/>
      <c r="W48" s="403"/>
      <c r="X48" s="403"/>
      <c r="Y48" s="403"/>
      <c r="Z48" s="403"/>
      <c r="AA48" s="403"/>
      <c r="AB48" s="403"/>
      <c r="AC48" s="403"/>
      <c r="AD48" s="403"/>
      <c r="AE48" s="403"/>
      <c r="AF48" s="403"/>
      <c r="AG48" s="403"/>
      <c r="AH48" s="403"/>
      <c r="AI48" s="403"/>
      <c r="AJ48" s="403"/>
      <c r="AK48" s="403"/>
      <c r="AL48" s="403"/>
      <c r="AM48" s="403"/>
      <c r="AN48" s="403"/>
      <c r="AO48" s="403"/>
    </row>
    <row r="49" spans="1:41">
      <c r="A49" s="403"/>
      <c r="B49" s="403"/>
      <c r="C49" s="403"/>
      <c r="D49" s="403"/>
      <c r="E49" s="403"/>
      <c r="F49" s="403"/>
      <c r="G49" s="403"/>
      <c r="H49" s="403"/>
      <c r="I49" s="403"/>
      <c r="J49" s="403"/>
      <c r="K49" s="403"/>
      <c r="L49" s="403"/>
      <c r="M49" s="403"/>
      <c r="N49" s="403"/>
      <c r="O49" s="403"/>
      <c r="P49" s="403"/>
      <c r="Q49" s="403"/>
      <c r="R49" s="403"/>
      <c r="S49" s="403"/>
      <c r="T49" s="403"/>
      <c r="U49" s="403"/>
      <c r="V49" s="403"/>
      <c r="W49" s="403"/>
      <c r="X49" s="403"/>
      <c r="Y49" s="403"/>
      <c r="Z49" s="403"/>
      <c r="AA49" s="403"/>
      <c r="AB49" s="403"/>
      <c r="AC49" s="403"/>
      <c r="AD49" s="403"/>
      <c r="AE49" s="403"/>
      <c r="AF49" s="403"/>
      <c r="AG49" s="403"/>
      <c r="AH49" s="403"/>
      <c r="AI49" s="403"/>
      <c r="AJ49" s="403"/>
      <c r="AK49" s="403"/>
      <c r="AL49" s="403"/>
      <c r="AM49" s="403"/>
      <c r="AN49" s="403"/>
      <c r="AO49" s="403"/>
    </row>
    <row r="50" spans="1:41">
      <c r="A50" s="403"/>
      <c r="B50" s="403"/>
      <c r="C50" s="403"/>
      <c r="D50" s="403"/>
      <c r="E50" s="403"/>
      <c r="F50" s="403"/>
      <c r="G50" s="403"/>
      <c r="H50" s="403"/>
      <c r="I50" s="403"/>
      <c r="J50" s="403"/>
      <c r="K50" s="403"/>
      <c r="L50" s="403"/>
      <c r="M50" s="403"/>
      <c r="N50" s="403"/>
      <c r="O50" s="403"/>
      <c r="P50" s="403"/>
      <c r="Q50" s="403"/>
      <c r="R50" s="403"/>
      <c r="S50" s="403"/>
      <c r="T50" s="403"/>
      <c r="U50" s="403"/>
      <c r="V50" s="403"/>
      <c r="W50" s="403"/>
      <c r="X50" s="403"/>
      <c r="Y50" s="403"/>
      <c r="Z50" s="403"/>
      <c r="AA50" s="403"/>
      <c r="AB50" s="403"/>
      <c r="AC50" s="403"/>
      <c r="AD50" s="403"/>
      <c r="AE50" s="403"/>
      <c r="AF50" s="403"/>
      <c r="AG50" s="403"/>
      <c r="AH50" s="403"/>
      <c r="AI50" s="403"/>
      <c r="AJ50" s="403"/>
      <c r="AK50" s="403"/>
      <c r="AL50" s="403"/>
      <c r="AM50" s="403"/>
      <c r="AN50" s="403"/>
      <c r="AO50" s="403"/>
    </row>
    <row r="51" spans="1:41">
      <c r="A51" s="403"/>
      <c r="B51" s="403"/>
      <c r="C51" s="403"/>
      <c r="D51" s="403"/>
      <c r="E51" s="403"/>
      <c r="F51" s="403"/>
      <c r="G51" s="403"/>
      <c r="H51" s="403"/>
      <c r="I51" s="403"/>
      <c r="J51" s="403"/>
      <c r="K51" s="403"/>
      <c r="L51" s="403"/>
      <c r="M51" s="403"/>
      <c r="N51" s="403"/>
      <c r="O51" s="403"/>
      <c r="P51" s="403"/>
      <c r="Q51" s="403"/>
      <c r="R51" s="403"/>
      <c r="S51" s="403"/>
      <c r="T51" s="403"/>
      <c r="U51" s="403"/>
      <c r="V51" s="403"/>
      <c r="W51" s="403"/>
      <c r="X51" s="403"/>
      <c r="Y51" s="403"/>
      <c r="Z51" s="403"/>
      <c r="AA51" s="403"/>
      <c r="AB51" s="403"/>
      <c r="AC51" s="403"/>
      <c r="AD51" s="403"/>
      <c r="AE51" s="403"/>
      <c r="AF51" s="403"/>
      <c r="AG51" s="403"/>
      <c r="AH51" s="403"/>
      <c r="AI51" s="403"/>
      <c r="AJ51" s="403"/>
      <c r="AK51" s="403"/>
      <c r="AL51" s="403"/>
      <c r="AM51" s="403"/>
      <c r="AN51" s="403"/>
      <c r="AO51" s="403"/>
    </row>
    <row r="52" spans="1:41">
      <c r="A52" s="403"/>
      <c r="B52" s="403"/>
      <c r="C52" s="403"/>
      <c r="D52" s="403"/>
      <c r="E52" s="403"/>
      <c r="F52" s="403"/>
      <c r="G52" s="403"/>
      <c r="H52" s="403"/>
      <c r="I52" s="403"/>
      <c r="J52" s="403"/>
      <c r="K52" s="403"/>
      <c r="L52" s="403"/>
      <c r="M52" s="403"/>
      <c r="N52" s="403"/>
      <c r="O52" s="403"/>
      <c r="P52" s="403"/>
      <c r="Q52" s="403"/>
      <c r="R52" s="403"/>
      <c r="S52" s="403"/>
      <c r="T52" s="403"/>
      <c r="U52" s="403"/>
      <c r="V52" s="403"/>
      <c r="W52" s="403"/>
      <c r="X52" s="403"/>
      <c r="Y52" s="403"/>
      <c r="Z52" s="403"/>
      <c r="AA52" s="403"/>
      <c r="AB52" s="403"/>
      <c r="AC52" s="403"/>
      <c r="AD52" s="403"/>
      <c r="AE52" s="403"/>
      <c r="AF52" s="403"/>
      <c r="AG52" s="403"/>
      <c r="AH52" s="403"/>
      <c r="AI52" s="403"/>
      <c r="AJ52" s="403"/>
      <c r="AK52" s="403"/>
      <c r="AL52" s="403"/>
      <c r="AM52" s="403"/>
      <c r="AN52" s="403"/>
      <c r="AO52" s="403"/>
    </row>
    <row r="53" spans="1:41">
      <c r="A53" s="403"/>
      <c r="B53" s="403"/>
      <c r="C53" s="403"/>
      <c r="D53" s="403"/>
      <c r="E53" s="403"/>
      <c r="F53" s="403"/>
      <c r="G53" s="403"/>
      <c r="H53" s="403"/>
      <c r="I53" s="403"/>
      <c r="J53" s="403"/>
      <c r="K53" s="403"/>
      <c r="L53" s="403"/>
      <c r="M53" s="403"/>
      <c r="N53" s="403"/>
      <c r="O53" s="403"/>
      <c r="P53" s="403"/>
      <c r="Q53" s="403"/>
      <c r="R53" s="403"/>
      <c r="S53" s="403"/>
      <c r="T53" s="403"/>
      <c r="U53" s="403"/>
      <c r="V53" s="403"/>
      <c r="W53" s="403"/>
      <c r="X53" s="403"/>
      <c r="Y53" s="403"/>
      <c r="Z53" s="403"/>
      <c r="AA53" s="403"/>
      <c r="AB53" s="403"/>
      <c r="AC53" s="403"/>
      <c r="AD53" s="403"/>
      <c r="AE53" s="403"/>
      <c r="AF53" s="403"/>
      <c r="AG53" s="403"/>
      <c r="AH53" s="403"/>
      <c r="AI53" s="403"/>
      <c r="AJ53" s="403"/>
      <c r="AK53" s="403"/>
      <c r="AL53" s="403"/>
      <c r="AM53" s="403"/>
      <c r="AN53" s="403"/>
      <c r="AO53" s="403"/>
    </row>
    <row r="54" spans="1:41">
      <c r="A54" s="403"/>
      <c r="B54" s="403"/>
      <c r="C54" s="403"/>
      <c r="D54" s="403"/>
      <c r="E54" s="403"/>
      <c r="F54" s="403"/>
      <c r="G54" s="403"/>
      <c r="H54" s="403"/>
      <c r="I54" s="403"/>
      <c r="J54" s="403"/>
      <c r="K54" s="403"/>
      <c r="L54" s="403"/>
      <c r="M54" s="403"/>
      <c r="N54" s="403"/>
      <c r="O54" s="403"/>
      <c r="P54" s="403"/>
      <c r="Q54" s="403"/>
      <c r="R54" s="403"/>
      <c r="S54" s="403"/>
      <c r="T54" s="403"/>
      <c r="U54" s="403"/>
      <c r="V54" s="403"/>
      <c r="W54" s="403"/>
      <c r="X54" s="403"/>
      <c r="Y54" s="403"/>
      <c r="Z54" s="403"/>
      <c r="AA54" s="403"/>
      <c r="AB54" s="403"/>
      <c r="AC54" s="403"/>
      <c r="AD54" s="403"/>
      <c r="AE54" s="403"/>
      <c r="AF54" s="403"/>
      <c r="AG54" s="403"/>
      <c r="AH54" s="403"/>
      <c r="AI54" s="403"/>
      <c r="AJ54" s="403"/>
      <c r="AK54" s="403"/>
      <c r="AL54" s="403"/>
      <c r="AM54" s="403"/>
      <c r="AN54" s="403"/>
      <c r="AO54" s="403"/>
    </row>
    <row r="55" spans="1:41">
      <c r="A55" s="403"/>
      <c r="B55" s="403"/>
      <c r="C55" s="403"/>
      <c r="D55" s="403"/>
      <c r="E55" s="403"/>
      <c r="F55" s="403"/>
      <c r="G55" s="403"/>
      <c r="H55" s="403"/>
      <c r="I55" s="403"/>
      <c r="J55" s="403"/>
      <c r="K55" s="403"/>
      <c r="L55" s="403"/>
      <c r="M55" s="403"/>
      <c r="N55" s="403"/>
      <c r="O55" s="403"/>
      <c r="P55" s="403"/>
      <c r="Q55" s="403"/>
      <c r="R55" s="403"/>
      <c r="S55" s="403"/>
      <c r="T55" s="403"/>
      <c r="U55" s="403"/>
      <c r="V55" s="403"/>
      <c r="W55" s="403"/>
      <c r="X55" s="403"/>
      <c r="Y55" s="403"/>
      <c r="Z55" s="403"/>
      <c r="AA55" s="403"/>
      <c r="AB55" s="403"/>
      <c r="AC55" s="403"/>
      <c r="AD55" s="403"/>
      <c r="AE55" s="403"/>
      <c r="AF55" s="403"/>
      <c r="AG55" s="403"/>
      <c r="AH55" s="403"/>
      <c r="AI55" s="403"/>
      <c r="AJ55" s="403"/>
      <c r="AK55" s="403"/>
      <c r="AL55" s="403"/>
      <c r="AM55" s="403"/>
      <c r="AN55" s="403"/>
      <c r="AO55" s="403"/>
    </row>
    <row r="56" spans="1:41">
      <c r="A56" s="406" t="s">
        <v>4078</v>
      </c>
      <c r="B56" s="406"/>
      <c r="C56" s="406"/>
      <c r="D56" s="406"/>
      <c r="E56" s="406"/>
      <c r="F56" s="406"/>
      <c r="G56" s="406"/>
      <c r="H56" s="406"/>
      <c r="I56" s="406"/>
      <c r="J56" s="406"/>
      <c r="K56" s="406"/>
      <c r="L56" s="406"/>
      <c r="M56" s="406"/>
      <c r="N56" s="406"/>
      <c r="O56" s="406"/>
      <c r="P56" s="406"/>
      <c r="Q56" s="406"/>
      <c r="R56" s="406"/>
      <c r="S56" s="406"/>
      <c r="T56" s="406"/>
      <c r="U56" s="406"/>
      <c r="V56" s="406"/>
      <c r="W56" s="406"/>
      <c r="X56" s="406"/>
      <c r="Y56" s="406"/>
      <c r="Z56" s="406"/>
      <c r="AA56" s="406"/>
      <c r="AB56" s="406"/>
      <c r="AC56" s="406"/>
      <c r="AD56" s="406"/>
      <c r="AE56" s="406"/>
      <c r="AF56" s="406"/>
      <c r="AG56" s="406"/>
      <c r="AH56" s="406"/>
      <c r="AI56" s="406"/>
      <c r="AJ56" s="406"/>
      <c r="AK56" s="406"/>
      <c r="AL56" s="406"/>
      <c r="AM56" s="406"/>
      <c r="AN56" s="406"/>
      <c r="AO56" s="406"/>
    </row>
    <row r="57" spans="1:41">
      <c r="A57" s="405" t="s">
        <v>4077</v>
      </c>
      <c r="B57" s="403"/>
      <c r="C57" s="403"/>
      <c r="D57" s="403"/>
      <c r="E57" s="403"/>
      <c r="F57" s="403"/>
      <c r="G57" s="403"/>
      <c r="H57" s="403"/>
      <c r="I57" s="403"/>
      <c r="J57" s="403"/>
      <c r="K57" s="403"/>
      <c r="L57" s="403"/>
      <c r="M57" s="403"/>
      <c r="N57" s="403"/>
      <c r="O57" s="403"/>
      <c r="P57" s="403"/>
      <c r="Q57" s="403"/>
      <c r="R57" s="403"/>
      <c r="S57" s="403"/>
      <c r="T57" s="403"/>
      <c r="U57" s="403"/>
      <c r="V57" s="403"/>
      <c r="W57" s="403"/>
      <c r="X57" s="403"/>
      <c r="Y57" s="403"/>
      <c r="Z57" s="403"/>
      <c r="AA57" s="403"/>
      <c r="AB57" s="403"/>
      <c r="AC57" s="403"/>
      <c r="AD57" s="403"/>
      <c r="AE57" s="403"/>
      <c r="AF57" s="403"/>
      <c r="AG57" s="403"/>
      <c r="AH57" s="403"/>
      <c r="AI57" s="403"/>
      <c r="AJ57" s="403"/>
      <c r="AK57" s="403"/>
      <c r="AL57" s="403"/>
      <c r="AM57" s="403"/>
      <c r="AN57" s="403"/>
      <c r="AO57" s="403"/>
    </row>
    <row r="58" spans="1:41">
      <c r="A58" s="405" t="s">
        <v>4076</v>
      </c>
      <c r="B58" s="403"/>
      <c r="C58" s="403"/>
      <c r="D58" s="403"/>
      <c r="E58" s="403"/>
      <c r="F58" s="403"/>
      <c r="G58" s="403"/>
      <c r="H58" s="403"/>
      <c r="I58" s="403"/>
      <c r="J58" s="403"/>
      <c r="K58" s="403"/>
      <c r="L58" s="403"/>
      <c r="M58" s="403"/>
      <c r="N58" s="403"/>
      <c r="O58" s="403"/>
      <c r="P58" s="403"/>
      <c r="Q58" s="403"/>
      <c r="R58" s="403"/>
      <c r="S58" s="403"/>
      <c r="T58" s="403"/>
      <c r="U58" s="403"/>
      <c r="V58" s="403"/>
      <c r="W58" s="403"/>
      <c r="X58" s="403"/>
      <c r="Y58" s="403"/>
      <c r="Z58" s="403"/>
      <c r="AA58" s="403"/>
      <c r="AB58" s="403"/>
      <c r="AC58" s="403"/>
      <c r="AD58" s="403"/>
      <c r="AE58" s="403"/>
      <c r="AF58" s="403"/>
      <c r="AG58" s="403"/>
      <c r="AH58" s="403"/>
      <c r="AI58" s="403"/>
      <c r="AJ58" s="403"/>
      <c r="AK58" s="403"/>
      <c r="AL58" s="403"/>
      <c r="AM58" s="403"/>
      <c r="AN58" s="403"/>
      <c r="AO58" s="403"/>
    </row>
    <row r="59" spans="1:41">
      <c r="A59" s="405" t="s">
        <v>4075</v>
      </c>
      <c r="B59" s="403"/>
      <c r="C59" s="403"/>
      <c r="D59" s="403"/>
      <c r="E59" s="403"/>
      <c r="F59" s="403"/>
      <c r="G59" s="403"/>
      <c r="H59" s="403"/>
      <c r="I59" s="403"/>
      <c r="J59" s="403"/>
      <c r="K59" s="403"/>
      <c r="L59" s="403"/>
      <c r="M59" s="403"/>
      <c r="N59" s="403"/>
      <c r="O59" s="403"/>
      <c r="P59" s="403"/>
      <c r="Q59" s="403"/>
      <c r="R59" s="403"/>
      <c r="S59" s="403"/>
      <c r="T59" s="403"/>
      <c r="U59" s="403"/>
      <c r="V59" s="403"/>
      <c r="W59" s="403"/>
      <c r="X59" s="403"/>
      <c r="Y59" s="403"/>
      <c r="Z59" s="403"/>
      <c r="AA59" s="403"/>
      <c r="AB59" s="403"/>
      <c r="AC59" s="403"/>
      <c r="AD59" s="403"/>
      <c r="AE59" s="403"/>
      <c r="AF59" s="403"/>
      <c r="AG59" s="403"/>
      <c r="AH59" s="403"/>
      <c r="AI59" s="403"/>
      <c r="AJ59" s="403"/>
      <c r="AK59" s="403"/>
      <c r="AL59" s="403"/>
      <c r="AM59" s="403"/>
      <c r="AN59" s="403"/>
      <c r="AO59" s="403"/>
    </row>
    <row r="60" spans="1:41">
      <c r="A60" s="405" t="s">
        <v>4074</v>
      </c>
      <c r="B60" s="403"/>
      <c r="C60" s="403"/>
      <c r="D60" s="403"/>
      <c r="E60" s="403"/>
      <c r="F60" s="403"/>
      <c r="G60" s="403"/>
      <c r="H60" s="403"/>
      <c r="I60" s="403"/>
      <c r="J60" s="403"/>
      <c r="K60" s="403"/>
      <c r="L60" s="403"/>
      <c r="M60" s="403"/>
      <c r="N60" s="403"/>
      <c r="O60" s="403"/>
      <c r="P60" s="403"/>
      <c r="Q60" s="403"/>
      <c r="R60" s="403"/>
      <c r="S60" s="403"/>
      <c r="T60" s="403"/>
      <c r="U60" s="403"/>
      <c r="V60" s="403"/>
      <c r="W60" s="403"/>
      <c r="X60" s="403"/>
      <c r="Y60" s="403"/>
      <c r="Z60" s="403"/>
      <c r="AA60" s="403"/>
      <c r="AB60" s="403"/>
      <c r="AC60" s="403"/>
      <c r="AD60" s="403"/>
      <c r="AE60" s="403"/>
      <c r="AF60" s="403"/>
      <c r="AG60" s="403"/>
      <c r="AH60" s="403"/>
      <c r="AI60" s="403"/>
      <c r="AJ60" s="403"/>
      <c r="AK60" s="403"/>
      <c r="AL60" s="403"/>
      <c r="AM60" s="403"/>
      <c r="AN60" s="403"/>
      <c r="AO60" s="403"/>
    </row>
    <row r="61" spans="1:41">
      <c r="A61" s="404" t="s">
        <v>4073</v>
      </c>
      <c r="B61" s="403"/>
      <c r="C61" s="403"/>
      <c r="D61" s="403"/>
      <c r="E61" s="403"/>
      <c r="F61" s="403"/>
      <c r="G61" s="403"/>
      <c r="H61" s="403"/>
      <c r="I61" s="403"/>
      <c r="J61" s="403"/>
      <c r="K61" s="403"/>
      <c r="L61" s="403"/>
      <c r="M61" s="403"/>
      <c r="N61" s="403"/>
      <c r="O61" s="403"/>
      <c r="P61" s="403"/>
      <c r="Q61" s="403"/>
      <c r="R61" s="403"/>
      <c r="S61" s="403"/>
      <c r="T61" s="403"/>
      <c r="U61" s="403"/>
      <c r="V61" s="403"/>
      <c r="W61" s="403"/>
      <c r="X61" s="403"/>
      <c r="Y61" s="403"/>
      <c r="Z61" s="403"/>
      <c r="AA61" s="403"/>
      <c r="AB61" s="403"/>
      <c r="AC61" s="403"/>
      <c r="AD61" s="403"/>
      <c r="AE61" s="403"/>
      <c r="AF61" s="403"/>
      <c r="AG61" s="403"/>
      <c r="AH61" s="403"/>
      <c r="AI61" s="403"/>
      <c r="AJ61" s="403"/>
      <c r="AK61" s="403"/>
      <c r="AL61" s="403"/>
      <c r="AM61" s="403"/>
      <c r="AN61" s="403"/>
      <c r="AO61" s="403"/>
    </row>
    <row r="62" spans="1:41">
      <c r="A62" s="404" t="s">
        <v>4072</v>
      </c>
      <c r="B62" s="403"/>
      <c r="C62" s="403"/>
      <c r="D62" s="403"/>
      <c r="E62" s="403"/>
      <c r="F62" s="403"/>
      <c r="G62" s="403"/>
      <c r="H62" s="403"/>
      <c r="I62" s="403"/>
      <c r="J62" s="403"/>
      <c r="K62" s="403"/>
      <c r="L62" s="403"/>
      <c r="M62" s="403"/>
      <c r="N62" s="403"/>
      <c r="O62" s="403"/>
      <c r="P62" s="403"/>
      <c r="Q62" s="403"/>
      <c r="R62" s="403"/>
      <c r="S62" s="403"/>
      <c r="T62" s="403"/>
      <c r="U62" s="403"/>
      <c r="V62" s="403"/>
      <c r="W62" s="403"/>
      <c r="X62" s="403"/>
      <c r="Y62" s="403"/>
      <c r="Z62" s="403"/>
      <c r="AA62" s="403"/>
      <c r="AB62" s="403"/>
      <c r="AC62" s="403"/>
      <c r="AD62" s="403"/>
      <c r="AE62" s="403"/>
      <c r="AF62" s="403"/>
      <c r="AG62" s="403"/>
      <c r="AH62" s="403"/>
      <c r="AI62" s="403"/>
      <c r="AJ62" s="403"/>
      <c r="AK62" s="403"/>
      <c r="AL62" s="403"/>
      <c r="AM62" s="403"/>
      <c r="AN62" s="403"/>
      <c r="AO62" s="403"/>
    </row>
    <row r="63" spans="1:41">
      <c r="A63" s="404" t="s">
        <v>4071</v>
      </c>
      <c r="B63" s="403"/>
      <c r="C63" s="403"/>
      <c r="D63" s="403"/>
      <c r="E63" s="403"/>
      <c r="F63" s="403"/>
      <c r="G63" s="403"/>
      <c r="H63" s="403"/>
      <c r="I63" s="403"/>
      <c r="J63" s="403"/>
      <c r="K63" s="403"/>
      <c r="L63" s="403"/>
      <c r="M63" s="403"/>
      <c r="N63" s="403"/>
      <c r="O63" s="403"/>
      <c r="P63" s="403"/>
      <c r="Q63" s="403"/>
      <c r="R63" s="403"/>
      <c r="S63" s="403"/>
      <c r="T63" s="403"/>
      <c r="U63" s="403"/>
      <c r="V63" s="403"/>
      <c r="W63" s="403"/>
      <c r="X63" s="403"/>
      <c r="Y63" s="403"/>
      <c r="Z63" s="403"/>
      <c r="AA63" s="403"/>
      <c r="AB63" s="403"/>
      <c r="AC63" s="403"/>
      <c r="AD63" s="403"/>
      <c r="AE63" s="403"/>
      <c r="AF63" s="403"/>
      <c r="AG63" s="403"/>
      <c r="AH63" s="403"/>
      <c r="AI63" s="403"/>
      <c r="AJ63" s="403"/>
      <c r="AK63" s="403"/>
      <c r="AL63" s="403"/>
      <c r="AM63" s="403"/>
      <c r="AN63" s="403"/>
      <c r="AO63" s="403"/>
    </row>
    <row r="64" spans="1:41">
      <c r="A64" s="404" t="s">
        <v>4070</v>
      </c>
      <c r="B64" s="403"/>
      <c r="C64" s="403"/>
      <c r="D64" s="403"/>
      <c r="E64" s="403"/>
      <c r="F64" s="403"/>
      <c r="G64" s="403"/>
      <c r="H64" s="403"/>
      <c r="I64" s="403"/>
      <c r="J64" s="403"/>
      <c r="K64" s="403"/>
      <c r="L64" s="403"/>
      <c r="M64" s="403"/>
      <c r="N64" s="403"/>
      <c r="O64" s="403"/>
      <c r="P64" s="403"/>
      <c r="Q64" s="403"/>
      <c r="R64" s="403"/>
      <c r="S64" s="403"/>
      <c r="T64" s="403"/>
      <c r="U64" s="403"/>
      <c r="V64" s="403"/>
      <c r="W64" s="403"/>
      <c r="X64" s="403"/>
      <c r="Y64" s="403"/>
      <c r="Z64" s="403"/>
      <c r="AA64" s="403"/>
      <c r="AB64" s="403"/>
      <c r="AC64" s="403"/>
      <c r="AD64" s="403"/>
      <c r="AE64" s="403"/>
      <c r="AF64" s="403"/>
      <c r="AG64" s="403"/>
      <c r="AH64" s="403"/>
      <c r="AI64" s="403"/>
      <c r="AJ64" s="403"/>
      <c r="AK64" s="403"/>
      <c r="AL64" s="403"/>
      <c r="AM64" s="403"/>
      <c r="AN64" s="403"/>
      <c r="AO64" s="403"/>
    </row>
    <row r="65" spans="1:41">
      <c r="A65" s="404" t="s">
        <v>4069</v>
      </c>
      <c r="B65" s="403"/>
      <c r="C65" s="403"/>
      <c r="D65" s="403"/>
      <c r="E65" s="403"/>
      <c r="F65" s="403"/>
      <c r="G65" s="403"/>
      <c r="H65" s="403"/>
      <c r="I65" s="403"/>
      <c r="J65" s="403"/>
      <c r="K65" s="403"/>
      <c r="L65" s="403"/>
      <c r="M65" s="403"/>
      <c r="N65" s="403"/>
      <c r="O65" s="403"/>
      <c r="P65" s="403"/>
      <c r="Q65" s="403"/>
      <c r="R65" s="403"/>
      <c r="S65" s="403"/>
      <c r="T65" s="403"/>
      <c r="U65" s="403"/>
      <c r="V65" s="403"/>
      <c r="W65" s="403"/>
      <c r="X65" s="403"/>
      <c r="Y65" s="403"/>
      <c r="Z65" s="403"/>
      <c r="AA65" s="403"/>
      <c r="AB65" s="403"/>
      <c r="AC65" s="403"/>
      <c r="AD65" s="403"/>
      <c r="AE65" s="403"/>
      <c r="AF65" s="403"/>
      <c r="AG65" s="403"/>
      <c r="AH65" s="403"/>
      <c r="AI65" s="403"/>
      <c r="AJ65" s="403"/>
      <c r="AK65" s="403"/>
      <c r="AL65" s="403"/>
      <c r="AM65" s="403"/>
      <c r="AN65" s="403"/>
      <c r="AO65" s="403"/>
    </row>
    <row r="66" spans="1:41">
      <c r="A66" s="404" t="s">
        <v>4068</v>
      </c>
      <c r="B66" s="403"/>
      <c r="C66" s="403"/>
      <c r="D66" s="403"/>
      <c r="E66" s="403"/>
      <c r="F66" s="403"/>
      <c r="G66" s="403"/>
      <c r="H66" s="403"/>
      <c r="I66" s="403"/>
      <c r="J66" s="403"/>
      <c r="K66" s="403"/>
      <c r="L66" s="403"/>
      <c r="M66" s="403"/>
      <c r="N66" s="403"/>
      <c r="O66" s="403"/>
      <c r="P66" s="403"/>
      <c r="Q66" s="403"/>
      <c r="R66" s="403"/>
      <c r="S66" s="403"/>
      <c r="T66" s="403"/>
      <c r="U66" s="403"/>
      <c r="V66" s="403"/>
      <c r="W66" s="403"/>
      <c r="X66" s="403"/>
      <c r="Y66" s="403"/>
      <c r="Z66" s="403"/>
      <c r="AA66" s="403"/>
      <c r="AB66" s="403"/>
      <c r="AC66" s="403"/>
      <c r="AD66" s="403"/>
      <c r="AE66" s="403"/>
      <c r="AF66" s="403"/>
      <c r="AG66" s="403"/>
      <c r="AH66" s="403"/>
      <c r="AI66" s="403"/>
      <c r="AJ66" s="403"/>
      <c r="AK66" s="403"/>
      <c r="AL66" s="403"/>
      <c r="AM66" s="403"/>
      <c r="AN66" s="403"/>
      <c r="AO66" s="403"/>
    </row>
    <row r="67" spans="1:41">
      <c r="A67" s="404" t="s">
        <v>4067</v>
      </c>
      <c r="B67" s="403"/>
      <c r="C67" s="403"/>
      <c r="D67" s="403"/>
      <c r="E67" s="403"/>
      <c r="F67" s="403"/>
      <c r="G67" s="403"/>
      <c r="H67" s="403"/>
      <c r="I67" s="403"/>
      <c r="J67" s="403"/>
      <c r="K67" s="403"/>
      <c r="L67" s="403"/>
      <c r="M67" s="403"/>
      <c r="N67" s="403"/>
      <c r="O67" s="403"/>
      <c r="P67" s="403"/>
      <c r="Q67" s="403"/>
      <c r="R67" s="403"/>
      <c r="S67" s="403"/>
      <c r="T67" s="403"/>
      <c r="U67" s="403"/>
      <c r="V67" s="403"/>
      <c r="W67" s="403"/>
      <c r="X67" s="403"/>
      <c r="Y67" s="403"/>
      <c r="Z67" s="403"/>
      <c r="AA67" s="403"/>
      <c r="AB67" s="403"/>
      <c r="AC67" s="403"/>
      <c r="AD67" s="403"/>
      <c r="AE67" s="403"/>
      <c r="AF67" s="403"/>
      <c r="AG67" s="403"/>
      <c r="AH67" s="403"/>
      <c r="AI67" s="403"/>
      <c r="AJ67" s="403"/>
      <c r="AK67" s="403"/>
      <c r="AL67" s="403"/>
      <c r="AM67" s="403"/>
      <c r="AN67" s="403"/>
      <c r="AO67" s="403"/>
    </row>
    <row r="68" spans="1:41">
      <c r="A68" s="404" t="s">
        <v>4066</v>
      </c>
      <c r="B68" s="403"/>
      <c r="C68" s="403"/>
      <c r="D68" s="403"/>
      <c r="E68" s="403"/>
      <c r="F68" s="403"/>
      <c r="G68" s="403"/>
      <c r="H68" s="403"/>
      <c r="I68" s="403"/>
      <c r="J68" s="403"/>
      <c r="K68" s="403"/>
      <c r="L68" s="403"/>
      <c r="M68" s="403"/>
      <c r="N68" s="403"/>
      <c r="O68" s="403"/>
      <c r="P68" s="403"/>
      <c r="Q68" s="403"/>
      <c r="R68" s="403"/>
      <c r="S68" s="403"/>
      <c r="T68" s="403"/>
      <c r="U68" s="403"/>
      <c r="V68" s="403"/>
      <c r="W68" s="403"/>
      <c r="X68" s="403"/>
      <c r="Y68" s="403"/>
      <c r="Z68" s="403"/>
      <c r="AA68" s="403"/>
      <c r="AB68" s="403"/>
      <c r="AC68" s="403"/>
      <c r="AD68" s="403"/>
      <c r="AE68" s="403"/>
      <c r="AF68" s="403"/>
      <c r="AG68" s="403"/>
      <c r="AH68" s="403"/>
      <c r="AI68" s="403"/>
      <c r="AJ68" s="403"/>
      <c r="AK68" s="403"/>
      <c r="AL68" s="403"/>
      <c r="AM68" s="403"/>
      <c r="AN68" s="403"/>
      <c r="AO68" s="403"/>
    </row>
    <row r="69" spans="1:41">
      <c r="A69" s="403"/>
      <c r="B69" s="403"/>
      <c r="C69" s="403"/>
      <c r="D69" s="403"/>
      <c r="E69" s="403"/>
      <c r="F69" s="403"/>
      <c r="G69" s="403"/>
      <c r="H69" s="403"/>
      <c r="I69" s="403"/>
      <c r="J69" s="403"/>
      <c r="K69" s="403"/>
      <c r="L69" s="403"/>
      <c r="M69" s="403"/>
      <c r="N69" s="403"/>
      <c r="O69" s="403"/>
      <c r="P69" s="403"/>
      <c r="Q69" s="403"/>
      <c r="R69" s="403"/>
      <c r="S69" s="403"/>
      <c r="T69" s="403"/>
      <c r="U69" s="403"/>
      <c r="V69" s="403"/>
      <c r="W69" s="403"/>
      <c r="X69" s="403"/>
      <c r="Y69" s="403"/>
      <c r="Z69" s="403"/>
      <c r="AA69" s="403"/>
      <c r="AB69" s="403"/>
      <c r="AC69" s="403"/>
      <c r="AD69" s="403"/>
      <c r="AE69" s="403"/>
      <c r="AF69" s="403"/>
      <c r="AG69" s="403"/>
      <c r="AH69" s="403"/>
      <c r="AI69" s="403"/>
      <c r="AJ69" s="403"/>
      <c r="AK69" s="403"/>
      <c r="AL69" s="403"/>
      <c r="AM69" s="403"/>
      <c r="AN69" s="403"/>
      <c r="AO69" s="403"/>
    </row>
    <row r="70" spans="1:41">
      <c r="A70" s="403"/>
      <c r="B70" s="403"/>
      <c r="C70" s="403"/>
      <c r="D70" s="403"/>
      <c r="E70" s="403"/>
      <c r="F70" s="403"/>
      <c r="G70" s="403"/>
      <c r="H70" s="403"/>
      <c r="I70" s="403"/>
      <c r="J70" s="403"/>
      <c r="K70" s="403"/>
      <c r="L70" s="403"/>
      <c r="M70" s="403"/>
      <c r="N70" s="403"/>
      <c r="O70" s="403"/>
      <c r="P70" s="403"/>
      <c r="Q70" s="403"/>
      <c r="R70" s="403"/>
      <c r="S70" s="403"/>
      <c r="T70" s="403"/>
      <c r="U70" s="403"/>
      <c r="V70" s="403"/>
      <c r="W70" s="403"/>
      <c r="X70" s="403"/>
      <c r="Y70" s="403"/>
      <c r="Z70" s="403"/>
      <c r="AA70" s="403"/>
      <c r="AB70" s="403"/>
      <c r="AC70" s="403"/>
      <c r="AD70" s="403"/>
      <c r="AE70" s="403"/>
      <c r="AF70" s="403"/>
      <c r="AG70" s="403"/>
      <c r="AH70" s="403"/>
      <c r="AI70" s="403"/>
      <c r="AJ70" s="403"/>
      <c r="AK70" s="403"/>
      <c r="AL70" s="403"/>
      <c r="AM70" s="403"/>
      <c r="AN70" s="403"/>
      <c r="AO70" s="403"/>
    </row>
    <row r="71" spans="1:41">
      <c r="A71" s="403"/>
      <c r="B71" s="403"/>
      <c r="C71" s="403"/>
      <c r="D71" s="403"/>
      <c r="E71" s="403"/>
      <c r="F71" s="403"/>
      <c r="G71" s="403"/>
      <c r="H71" s="403"/>
      <c r="I71" s="403"/>
      <c r="J71" s="403"/>
      <c r="K71" s="403"/>
      <c r="L71" s="403"/>
      <c r="M71" s="403"/>
      <c r="N71" s="403"/>
      <c r="O71" s="403"/>
      <c r="P71" s="403"/>
      <c r="Q71" s="403"/>
      <c r="R71" s="403"/>
      <c r="S71" s="403"/>
      <c r="T71" s="403"/>
      <c r="U71" s="403"/>
      <c r="V71" s="403"/>
      <c r="W71" s="403"/>
      <c r="X71" s="403"/>
      <c r="Y71" s="403"/>
      <c r="Z71" s="403"/>
      <c r="AA71" s="403"/>
      <c r="AB71" s="403"/>
      <c r="AC71" s="403"/>
      <c r="AD71" s="403"/>
      <c r="AE71" s="403"/>
      <c r="AF71" s="403"/>
      <c r="AG71" s="403"/>
      <c r="AH71" s="403"/>
      <c r="AI71" s="403"/>
      <c r="AJ71" s="403"/>
      <c r="AK71" s="403"/>
      <c r="AL71" s="403"/>
      <c r="AM71" s="403"/>
      <c r="AN71" s="403"/>
      <c r="AO71" s="403"/>
    </row>
    <row r="72" spans="1:41">
      <c r="A72" s="403"/>
      <c r="B72" s="403"/>
      <c r="C72" s="403"/>
      <c r="D72" s="403"/>
      <c r="E72" s="403"/>
      <c r="F72" s="403"/>
      <c r="G72" s="403"/>
      <c r="H72" s="403"/>
      <c r="I72" s="403"/>
      <c r="J72" s="403"/>
      <c r="K72" s="403"/>
      <c r="L72" s="403"/>
      <c r="M72" s="403"/>
      <c r="N72" s="403"/>
      <c r="O72" s="403"/>
      <c r="P72" s="403"/>
      <c r="Q72" s="403"/>
      <c r="R72" s="403"/>
      <c r="S72" s="403"/>
      <c r="T72" s="403"/>
      <c r="U72" s="403"/>
      <c r="V72" s="403"/>
      <c r="W72" s="403"/>
      <c r="X72" s="403"/>
      <c r="Y72" s="403"/>
      <c r="Z72" s="403"/>
      <c r="AA72" s="403"/>
      <c r="AB72" s="403"/>
      <c r="AC72" s="403"/>
      <c r="AD72" s="403"/>
      <c r="AE72" s="403"/>
      <c r="AF72" s="403"/>
      <c r="AG72" s="403"/>
      <c r="AH72" s="403"/>
      <c r="AI72" s="403"/>
      <c r="AJ72" s="403"/>
      <c r="AK72" s="403"/>
      <c r="AL72" s="403"/>
      <c r="AM72" s="403"/>
      <c r="AN72" s="403"/>
      <c r="AO72" s="403"/>
    </row>
    <row r="73" spans="1:41">
      <c r="A73" s="403"/>
      <c r="B73" s="403"/>
      <c r="C73" s="403"/>
      <c r="D73" s="403"/>
      <c r="E73" s="403"/>
      <c r="F73" s="403"/>
      <c r="G73" s="403"/>
      <c r="H73" s="403"/>
      <c r="I73" s="403"/>
      <c r="J73" s="403"/>
      <c r="K73" s="403"/>
      <c r="L73" s="403"/>
      <c r="M73" s="403"/>
      <c r="N73" s="403"/>
      <c r="O73" s="403"/>
      <c r="P73" s="403"/>
      <c r="Q73" s="403"/>
      <c r="R73" s="403"/>
      <c r="S73" s="403"/>
      <c r="T73" s="403"/>
      <c r="U73" s="403"/>
      <c r="V73" s="403"/>
      <c r="W73" s="403"/>
      <c r="X73" s="403"/>
      <c r="Y73" s="403"/>
      <c r="Z73" s="403"/>
      <c r="AA73" s="403"/>
      <c r="AB73" s="403"/>
      <c r="AC73" s="403"/>
      <c r="AD73" s="403"/>
      <c r="AE73" s="403"/>
      <c r="AF73" s="403"/>
      <c r="AG73" s="403"/>
      <c r="AH73" s="403"/>
      <c r="AI73" s="403"/>
      <c r="AJ73" s="403"/>
      <c r="AK73" s="403"/>
      <c r="AL73" s="403"/>
      <c r="AM73" s="403"/>
      <c r="AN73" s="403"/>
      <c r="AO73" s="403"/>
    </row>
    <row r="74" spans="1:41">
      <c r="A74" s="403"/>
      <c r="B74" s="403"/>
      <c r="C74" s="403"/>
      <c r="D74" s="403"/>
      <c r="E74" s="403"/>
      <c r="F74" s="403"/>
      <c r="G74" s="403"/>
      <c r="H74" s="403"/>
      <c r="I74" s="403"/>
      <c r="J74" s="403"/>
      <c r="K74" s="403"/>
      <c r="L74" s="403"/>
      <c r="M74" s="403"/>
      <c r="N74" s="403"/>
      <c r="O74" s="403"/>
      <c r="P74" s="403"/>
      <c r="Q74" s="403"/>
      <c r="R74" s="403"/>
      <c r="S74" s="403"/>
      <c r="T74" s="403"/>
      <c r="U74" s="403"/>
      <c r="V74" s="403"/>
      <c r="W74" s="403"/>
      <c r="X74" s="403"/>
      <c r="Y74" s="403"/>
      <c r="Z74" s="403"/>
      <c r="AA74" s="403"/>
      <c r="AB74" s="403"/>
      <c r="AC74" s="403"/>
      <c r="AD74" s="403"/>
      <c r="AE74" s="403"/>
      <c r="AF74" s="403"/>
      <c r="AG74" s="403"/>
      <c r="AH74" s="403"/>
      <c r="AI74" s="403"/>
      <c r="AJ74" s="403"/>
      <c r="AK74" s="403"/>
      <c r="AL74" s="403"/>
      <c r="AM74" s="403"/>
      <c r="AN74" s="403"/>
      <c r="AO74" s="403"/>
    </row>
    <row r="75" spans="1:41">
      <c r="A75" s="403"/>
      <c r="B75" s="403"/>
      <c r="C75" s="403"/>
      <c r="D75" s="403"/>
      <c r="E75" s="403"/>
      <c r="F75" s="403"/>
      <c r="G75" s="403"/>
      <c r="H75" s="403"/>
      <c r="I75" s="403"/>
      <c r="J75" s="403"/>
      <c r="K75" s="403"/>
      <c r="L75" s="403"/>
      <c r="M75" s="403"/>
      <c r="N75" s="403"/>
      <c r="O75" s="403"/>
      <c r="P75" s="403"/>
      <c r="Q75" s="403"/>
      <c r="R75" s="403"/>
      <c r="S75" s="403"/>
      <c r="T75" s="403"/>
      <c r="U75" s="403"/>
      <c r="V75" s="403"/>
      <c r="W75" s="403"/>
      <c r="X75" s="403"/>
      <c r="Y75" s="403"/>
      <c r="Z75" s="403"/>
      <c r="AA75" s="403"/>
      <c r="AB75" s="403"/>
      <c r="AC75" s="403"/>
      <c r="AD75" s="403"/>
      <c r="AE75" s="403"/>
      <c r="AF75" s="403"/>
      <c r="AG75" s="403"/>
      <c r="AH75" s="403"/>
      <c r="AI75" s="403"/>
      <c r="AJ75" s="403"/>
      <c r="AK75" s="403"/>
      <c r="AL75" s="403"/>
      <c r="AM75" s="403"/>
      <c r="AN75" s="403"/>
      <c r="AO75" s="403"/>
    </row>
    <row r="76" spans="1:41">
      <c r="A76" s="403"/>
      <c r="B76" s="403"/>
      <c r="C76" s="403"/>
      <c r="D76" s="403"/>
      <c r="E76" s="403"/>
      <c r="F76" s="403"/>
      <c r="G76" s="403"/>
      <c r="H76" s="403"/>
      <c r="I76" s="403"/>
      <c r="J76" s="403"/>
      <c r="K76" s="403"/>
      <c r="L76" s="403"/>
      <c r="M76" s="403"/>
      <c r="N76" s="403"/>
      <c r="O76" s="403"/>
      <c r="P76" s="403"/>
      <c r="Q76" s="403"/>
      <c r="R76" s="403"/>
      <c r="S76" s="403"/>
      <c r="T76" s="403"/>
      <c r="U76" s="403"/>
      <c r="V76" s="403"/>
      <c r="W76" s="403"/>
      <c r="X76" s="403"/>
      <c r="Y76" s="403"/>
      <c r="Z76" s="403"/>
      <c r="AA76" s="403"/>
      <c r="AB76" s="403"/>
      <c r="AC76" s="403"/>
      <c r="AD76" s="403"/>
      <c r="AE76" s="403"/>
      <c r="AF76" s="403"/>
      <c r="AG76" s="403"/>
      <c r="AH76" s="403"/>
      <c r="AI76" s="403"/>
      <c r="AJ76" s="403"/>
      <c r="AK76" s="403"/>
      <c r="AL76" s="403"/>
      <c r="AM76" s="403"/>
      <c r="AN76" s="403"/>
      <c r="AO76" s="403"/>
    </row>
    <row r="77" spans="1:41">
      <c r="A77" s="403"/>
      <c r="B77" s="403"/>
      <c r="C77" s="403"/>
      <c r="D77" s="403"/>
      <c r="E77" s="403"/>
      <c r="F77" s="403"/>
      <c r="G77" s="403"/>
      <c r="H77" s="403"/>
      <c r="I77" s="403"/>
      <c r="J77" s="403"/>
      <c r="K77" s="403"/>
      <c r="L77" s="403"/>
      <c r="M77" s="403"/>
      <c r="N77" s="403"/>
      <c r="O77" s="403"/>
      <c r="P77" s="403"/>
      <c r="Q77" s="403"/>
      <c r="R77" s="403"/>
      <c r="S77" s="403"/>
      <c r="T77" s="403"/>
      <c r="U77" s="403"/>
      <c r="V77" s="403"/>
      <c r="W77" s="403"/>
      <c r="X77" s="403"/>
      <c r="Y77" s="403"/>
      <c r="Z77" s="403"/>
      <c r="AA77" s="403"/>
      <c r="AB77" s="403"/>
      <c r="AC77" s="403"/>
      <c r="AD77" s="403"/>
      <c r="AE77" s="403"/>
      <c r="AF77" s="403"/>
      <c r="AG77" s="403"/>
      <c r="AH77" s="403"/>
      <c r="AI77" s="403"/>
      <c r="AJ77" s="403"/>
      <c r="AK77" s="403"/>
      <c r="AL77" s="403"/>
      <c r="AM77" s="403"/>
      <c r="AN77" s="403"/>
      <c r="AO77" s="403"/>
    </row>
    <row r="78" spans="1:41">
      <c r="A78" s="403"/>
      <c r="B78" s="403"/>
      <c r="C78" s="403"/>
      <c r="D78" s="403"/>
      <c r="E78" s="403"/>
      <c r="F78" s="403"/>
      <c r="G78" s="403"/>
      <c r="H78" s="403"/>
      <c r="I78" s="403"/>
      <c r="J78" s="403"/>
      <c r="K78" s="403"/>
      <c r="L78" s="403"/>
      <c r="M78" s="403"/>
      <c r="N78" s="403"/>
      <c r="O78" s="403"/>
      <c r="P78" s="403"/>
      <c r="Q78" s="403"/>
      <c r="R78" s="403"/>
      <c r="S78" s="403"/>
      <c r="T78" s="403"/>
      <c r="U78" s="403"/>
      <c r="V78" s="403"/>
      <c r="W78" s="403"/>
      <c r="X78" s="403"/>
      <c r="Y78" s="403"/>
      <c r="Z78" s="403"/>
      <c r="AA78" s="403"/>
      <c r="AB78" s="403"/>
      <c r="AC78" s="403"/>
      <c r="AD78" s="403"/>
      <c r="AE78" s="403"/>
      <c r="AF78" s="403"/>
      <c r="AG78" s="403"/>
      <c r="AH78" s="403"/>
      <c r="AI78" s="403"/>
      <c r="AJ78" s="403"/>
      <c r="AK78" s="403"/>
      <c r="AL78" s="403"/>
      <c r="AM78" s="403"/>
      <c r="AN78" s="403"/>
      <c r="AO78" s="403"/>
    </row>
    <row r="79" spans="1:41">
      <c r="A79" s="403"/>
      <c r="B79" s="403"/>
      <c r="C79" s="403"/>
      <c r="D79" s="403"/>
      <c r="E79" s="403"/>
      <c r="F79" s="403"/>
      <c r="G79" s="403"/>
      <c r="H79" s="403"/>
      <c r="I79" s="403"/>
      <c r="J79" s="403"/>
      <c r="K79" s="403"/>
      <c r="L79" s="403"/>
      <c r="M79" s="403"/>
      <c r="N79" s="403"/>
      <c r="O79" s="403"/>
      <c r="P79" s="403"/>
      <c r="Q79" s="403"/>
      <c r="R79" s="403"/>
      <c r="S79" s="403"/>
      <c r="T79" s="403"/>
      <c r="U79" s="403"/>
      <c r="V79" s="403"/>
      <c r="W79" s="403"/>
      <c r="X79" s="403"/>
      <c r="Y79" s="403"/>
      <c r="Z79" s="403"/>
      <c r="AA79" s="403"/>
      <c r="AB79" s="403"/>
      <c r="AC79" s="403"/>
      <c r="AD79" s="403"/>
      <c r="AE79" s="403"/>
      <c r="AF79" s="403"/>
      <c r="AG79" s="403"/>
      <c r="AH79" s="403"/>
      <c r="AI79" s="403"/>
      <c r="AJ79" s="403"/>
      <c r="AK79" s="403"/>
      <c r="AL79" s="403"/>
      <c r="AM79" s="403"/>
      <c r="AN79" s="403"/>
      <c r="AO79" s="403"/>
    </row>
    <row r="80" spans="1:41">
      <c r="A80" s="403"/>
      <c r="B80" s="403"/>
      <c r="C80" s="403"/>
      <c r="D80" s="403"/>
      <c r="E80" s="403"/>
      <c r="F80" s="403"/>
      <c r="G80" s="403"/>
      <c r="H80" s="403"/>
      <c r="I80" s="403"/>
      <c r="J80" s="403"/>
      <c r="K80" s="403"/>
      <c r="L80" s="403"/>
      <c r="M80" s="403"/>
      <c r="N80" s="403"/>
      <c r="O80" s="403"/>
      <c r="P80" s="403"/>
      <c r="Q80" s="403"/>
      <c r="R80" s="403"/>
      <c r="S80" s="403"/>
      <c r="T80" s="403"/>
      <c r="U80" s="403"/>
      <c r="V80" s="403"/>
      <c r="W80" s="403"/>
      <c r="X80" s="403"/>
      <c r="Y80" s="403"/>
      <c r="Z80" s="403"/>
      <c r="AA80" s="403"/>
      <c r="AB80" s="403"/>
      <c r="AC80" s="403"/>
      <c r="AD80" s="403"/>
      <c r="AE80" s="403"/>
      <c r="AF80" s="403"/>
      <c r="AG80" s="403"/>
      <c r="AH80" s="403"/>
      <c r="AI80" s="403"/>
      <c r="AJ80" s="403"/>
      <c r="AK80" s="403"/>
      <c r="AL80" s="403"/>
      <c r="AM80" s="403"/>
      <c r="AN80" s="403"/>
      <c r="AO80" s="403"/>
    </row>
    <row r="81" spans="1:41">
      <c r="A81" s="403"/>
      <c r="B81" s="403"/>
      <c r="C81" s="403"/>
      <c r="D81" s="403"/>
      <c r="E81" s="403"/>
      <c r="F81" s="403"/>
      <c r="G81" s="403"/>
      <c r="H81" s="403"/>
      <c r="I81" s="403"/>
      <c r="J81" s="403"/>
      <c r="K81" s="403"/>
      <c r="L81" s="403"/>
      <c r="M81" s="403"/>
      <c r="N81" s="403"/>
      <c r="O81" s="403"/>
      <c r="P81" s="403"/>
      <c r="Q81" s="403"/>
      <c r="R81" s="403"/>
      <c r="S81" s="403"/>
      <c r="T81" s="403"/>
      <c r="U81" s="403"/>
      <c r="V81" s="403"/>
      <c r="W81" s="403"/>
      <c r="X81" s="403"/>
      <c r="Y81" s="403"/>
      <c r="Z81" s="403"/>
      <c r="AA81" s="403"/>
      <c r="AB81" s="403"/>
      <c r="AC81" s="403"/>
      <c r="AD81" s="403"/>
      <c r="AE81" s="403"/>
      <c r="AF81" s="403"/>
      <c r="AG81" s="403"/>
      <c r="AH81" s="403"/>
      <c r="AI81" s="403"/>
      <c r="AJ81" s="403"/>
      <c r="AK81" s="403"/>
      <c r="AL81" s="403"/>
      <c r="AM81" s="403"/>
      <c r="AN81" s="403"/>
      <c r="AO81" s="403"/>
    </row>
    <row r="82" spans="1:41">
      <c r="A82" s="403"/>
      <c r="B82" s="403"/>
      <c r="C82" s="403"/>
      <c r="D82" s="403"/>
      <c r="E82" s="403"/>
      <c r="F82" s="403"/>
      <c r="G82" s="403"/>
      <c r="H82" s="403"/>
      <c r="I82" s="403"/>
      <c r="J82" s="403"/>
      <c r="K82" s="403"/>
      <c r="L82" s="403"/>
      <c r="M82" s="403"/>
      <c r="N82" s="403"/>
      <c r="O82" s="403"/>
      <c r="P82" s="403"/>
      <c r="Q82" s="403"/>
      <c r="R82" s="403"/>
      <c r="S82" s="403"/>
      <c r="T82" s="403"/>
      <c r="U82" s="403"/>
      <c r="V82" s="403"/>
      <c r="W82" s="403"/>
      <c r="X82" s="403"/>
      <c r="Y82" s="403"/>
      <c r="Z82" s="403"/>
      <c r="AA82" s="403"/>
      <c r="AB82" s="403"/>
      <c r="AC82" s="403"/>
      <c r="AD82" s="403"/>
      <c r="AE82" s="403"/>
      <c r="AF82" s="403"/>
      <c r="AG82" s="403"/>
      <c r="AH82" s="403"/>
      <c r="AI82" s="403"/>
      <c r="AJ82" s="403"/>
      <c r="AK82" s="403"/>
      <c r="AL82" s="403"/>
      <c r="AM82" s="403"/>
      <c r="AN82" s="403"/>
      <c r="AO82" s="403"/>
    </row>
    <row r="83" spans="1:41">
      <c r="A83" s="403"/>
      <c r="B83" s="403"/>
      <c r="C83" s="403"/>
      <c r="D83" s="403"/>
      <c r="E83" s="403"/>
      <c r="F83" s="403"/>
      <c r="G83" s="403"/>
      <c r="H83" s="403"/>
      <c r="I83" s="403"/>
      <c r="J83" s="403"/>
      <c r="K83" s="403"/>
      <c r="L83" s="403"/>
      <c r="M83" s="403"/>
      <c r="N83" s="403"/>
      <c r="O83" s="403"/>
      <c r="P83" s="403"/>
      <c r="Q83" s="403"/>
      <c r="R83" s="403"/>
      <c r="S83" s="403"/>
      <c r="T83" s="403"/>
      <c r="U83" s="403"/>
      <c r="V83" s="403"/>
      <c r="W83" s="403"/>
      <c r="X83" s="403"/>
      <c r="Y83" s="403"/>
      <c r="Z83" s="403"/>
      <c r="AA83" s="403"/>
      <c r="AB83" s="403"/>
      <c r="AC83" s="403"/>
      <c r="AD83" s="403"/>
      <c r="AE83" s="403"/>
      <c r="AF83" s="403"/>
      <c r="AG83" s="403"/>
      <c r="AH83" s="403"/>
      <c r="AI83" s="403"/>
      <c r="AJ83" s="403"/>
      <c r="AK83" s="403"/>
      <c r="AL83" s="403"/>
      <c r="AM83" s="403"/>
      <c r="AN83" s="403"/>
      <c r="AO83" s="403"/>
    </row>
    <row r="84" spans="1:41">
      <c r="A84" s="403"/>
      <c r="B84" s="403"/>
      <c r="C84" s="403"/>
      <c r="D84" s="403"/>
      <c r="E84" s="403"/>
      <c r="F84" s="403"/>
      <c r="G84" s="403"/>
      <c r="H84" s="403"/>
      <c r="I84" s="403"/>
      <c r="J84" s="403"/>
      <c r="K84" s="403"/>
      <c r="L84" s="403"/>
      <c r="M84" s="403"/>
      <c r="N84" s="403"/>
      <c r="O84" s="403"/>
      <c r="P84" s="403"/>
      <c r="Q84" s="403"/>
      <c r="R84" s="403"/>
      <c r="S84" s="403"/>
      <c r="T84" s="403"/>
      <c r="U84" s="403"/>
      <c r="V84" s="403"/>
      <c r="W84" s="403"/>
      <c r="X84" s="403"/>
      <c r="Y84" s="403"/>
      <c r="Z84" s="403"/>
      <c r="AA84" s="403"/>
      <c r="AB84" s="403"/>
      <c r="AC84" s="403"/>
      <c r="AD84" s="403"/>
      <c r="AE84" s="403"/>
      <c r="AF84" s="403"/>
      <c r="AG84" s="403"/>
      <c r="AH84" s="403"/>
      <c r="AI84" s="403"/>
      <c r="AJ84" s="403"/>
      <c r="AK84" s="403"/>
      <c r="AL84" s="403"/>
      <c r="AM84" s="403"/>
      <c r="AN84" s="403"/>
      <c r="AO84" s="403"/>
    </row>
    <row r="85" spans="1:41">
      <c r="A85" s="403"/>
      <c r="B85" s="403"/>
      <c r="C85" s="403"/>
      <c r="D85" s="403"/>
      <c r="E85" s="403"/>
      <c r="F85" s="403"/>
      <c r="G85" s="403"/>
      <c r="H85" s="403"/>
      <c r="I85" s="403"/>
      <c r="J85" s="403"/>
      <c r="K85" s="403"/>
      <c r="L85" s="403"/>
      <c r="M85" s="403"/>
      <c r="N85" s="403"/>
      <c r="O85" s="403"/>
      <c r="P85" s="403"/>
      <c r="Q85" s="403"/>
      <c r="R85" s="403"/>
      <c r="S85" s="403"/>
      <c r="T85" s="403"/>
      <c r="U85" s="403"/>
      <c r="V85" s="403"/>
      <c r="W85" s="403"/>
      <c r="X85" s="403"/>
      <c r="Y85" s="403"/>
      <c r="Z85" s="403"/>
      <c r="AA85" s="403"/>
      <c r="AB85" s="403"/>
      <c r="AC85" s="403"/>
      <c r="AD85" s="403"/>
      <c r="AE85" s="403"/>
      <c r="AF85" s="403"/>
      <c r="AG85" s="403"/>
      <c r="AH85" s="403"/>
      <c r="AI85" s="403"/>
      <c r="AJ85" s="403"/>
      <c r="AK85" s="403"/>
      <c r="AL85" s="403"/>
      <c r="AM85" s="403"/>
      <c r="AN85" s="403"/>
      <c r="AO85" s="403"/>
    </row>
    <row r="86" spans="1:41">
      <c r="A86" s="403"/>
      <c r="B86" s="403"/>
      <c r="C86" s="403"/>
      <c r="D86" s="403"/>
      <c r="E86" s="403"/>
      <c r="F86" s="403"/>
      <c r="G86" s="403"/>
      <c r="H86" s="403"/>
      <c r="I86" s="403"/>
      <c r="J86" s="403"/>
      <c r="K86" s="403"/>
      <c r="L86" s="403"/>
      <c r="M86" s="403"/>
      <c r="N86" s="403"/>
      <c r="O86" s="403"/>
      <c r="P86" s="403"/>
      <c r="Q86" s="403"/>
      <c r="R86" s="403"/>
      <c r="S86" s="403"/>
      <c r="T86" s="403"/>
      <c r="U86" s="403"/>
      <c r="V86" s="403"/>
      <c r="W86" s="403"/>
      <c r="X86" s="403"/>
      <c r="Y86" s="403"/>
      <c r="Z86" s="403"/>
      <c r="AA86" s="403"/>
      <c r="AB86" s="403"/>
      <c r="AC86" s="403"/>
      <c r="AD86" s="403"/>
      <c r="AE86" s="403"/>
      <c r="AF86" s="403"/>
      <c r="AG86" s="403"/>
      <c r="AH86" s="403"/>
      <c r="AI86" s="403"/>
      <c r="AJ86" s="403"/>
      <c r="AK86" s="403"/>
      <c r="AL86" s="403"/>
      <c r="AM86" s="403"/>
      <c r="AN86" s="403"/>
      <c r="AO86" s="403"/>
    </row>
    <row r="87" spans="1:41">
      <c r="A87" s="403"/>
      <c r="B87" s="403"/>
      <c r="C87" s="403"/>
      <c r="D87" s="403"/>
      <c r="E87" s="403"/>
      <c r="F87" s="403"/>
      <c r="G87" s="403"/>
      <c r="H87" s="403"/>
      <c r="I87" s="403"/>
      <c r="J87" s="403"/>
      <c r="K87" s="403"/>
      <c r="L87" s="403"/>
      <c r="M87" s="403"/>
      <c r="N87" s="403"/>
      <c r="O87" s="403"/>
      <c r="P87" s="403"/>
      <c r="Q87" s="403"/>
      <c r="R87" s="403"/>
      <c r="S87" s="403"/>
      <c r="T87" s="403"/>
      <c r="U87" s="403"/>
      <c r="V87" s="403"/>
      <c r="W87" s="403"/>
      <c r="X87" s="403"/>
      <c r="Y87" s="403"/>
      <c r="Z87" s="403"/>
      <c r="AA87" s="403"/>
      <c r="AB87" s="403"/>
      <c r="AC87" s="403"/>
      <c r="AD87" s="403"/>
      <c r="AE87" s="403"/>
      <c r="AF87" s="403"/>
      <c r="AG87" s="403"/>
      <c r="AH87" s="403"/>
      <c r="AI87" s="403"/>
      <c r="AJ87" s="403"/>
      <c r="AK87" s="403"/>
      <c r="AL87" s="403"/>
      <c r="AM87" s="403"/>
      <c r="AN87" s="403"/>
      <c r="AO87" s="403"/>
    </row>
    <row r="88" spans="1:41">
      <c r="A88" s="403"/>
      <c r="B88" s="403"/>
      <c r="C88" s="403"/>
      <c r="D88" s="403"/>
      <c r="E88" s="403"/>
      <c r="F88" s="403"/>
      <c r="G88" s="403"/>
      <c r="H88" s="403"/>
      <c r="I88" s="403"/>
      <c r="J88" s="403"/>
      <c r="K88" s="403"/>
      <c r="L88" s="403"/>
      <c r="M88" s="403"/>
      <c r="N88" s="403"/>
      <c r="O88" s="403"/>
      <c r="P88" s="403"/>
      <c r="Q88" s="403"/>
      <c r="R88" s="403"/>
      <c r="S88" s="403"/>
      <c r="T88" s="403"/>
      <c r="U88" s="403"/>
      <c r="V88" s="403"/>
      <c r="W88" s="403"/>
      <c r="X88" s="403"/>
      <c r="Y88" s="403"/>
      <c r="Z88" s="403"/>
      <c r="AA88" s="403"/>
      <c r="AB88" s="403"/>
      <c r="AC88" s="403"/>
      <c r="AD88" s="403"/>
      <c r="AE88" s="403"/>
      <c r="AF88" s="403"/>
      <c r="AG88" s="403"/>
      <c r="AH88" s="403"/>
      <c r="AI88" s="403"/>
      <c r="AJ88" s="403"/>
      <c r="AK88" s="403"/>
      <c r="AL88" s="403"/>
      <c r="AM88" s="403"/>
      <c r="AN88" s="403"/>
      <c r="AO88" s="403"/>
    </row>
  </sheetData>
  <mergeCells count="88">
    <mergeCell ref="A6:AO6"/>
    <mergeCell ref="A1:AO1"/>
    <mergeCell ref="A2:AO2"/>
    <mergeCell ref="A3:AO3"/>
    <mergeCell ref="A4:AO4"/>
    <mergeCell ref="A5:AO5"/>
    <mergeCell ref="A26:AO26"/>
    <mergeCell ref="A27:AO27"/>
    <mergeCell ref="A28:AO28"/>
    <mergeCell ref="A29:AO29"/>
    <mergeCell ref="A18:AO18"/>
    <mergeCell ref="A12:AO12"/>
    <mergeCell ref="A13:AO13"/>
    <mergeCell ref="A14:AO14"/>
    <mergeCell ref="A15:AO15"/>
    <mergeCell ref="A16:AO16"/>
    <mergeCell ref="A7:AO7"/>
    <mergeCell ref="A8:AO8"/>
    <mergeCell ref="A9:AO9"/>
    <mergeCell ref="A10:AO10"/>
    <mergeCell ref="A11:AO11"/>
    <mergeCell ref="A17:AO17"/>
    <mergeCell ref="A40:AO40"/>
    <mergeCell ref="A41:AO41"/>
    <mergeCell ref="A30:AO30"/>
    <mergeCell ref="A19:AO19"/>
    <mergeCell ref="A20:AO20"/>
    <mergeCell ref="A21:AO21"/>
    <mergeCell ref="A22:AO22"/>
    <mergeCell ref="A23:AO23"/>
    <mergeCell ref="A24:AO24"/>
    <mergeCell ref="A25:AO25"/>
    <mergeCell ref="A42:AO42"/>
    <mergeCell ref="A31:AO31"/>
    <mergeCell ref="A32:AO32"/>
    <mergeCell ref="A33:AO33"/>
    <mergeCell ref="A34:AO34"/>
    <mergeCell ref="A35:AO35"/>
    <mergeCell ref="A36:AO36"/>
    <mergeCell ref="A37:AO37"/>
    <mergeCell ref="A38:AO38"/>
    <mergeCell ref="A39:AO39"/>
    <mergeCell ref="A62:AO62"/>
    <mergeCell ref="A63:AO63"/>
    <mergeCell ref="A64:AO64"/>
    <mergeCell ref="A65:AO65"/>
    <mergeCell ref="A54:AO54"/>
    <mergeCell ref="A48:AO48"/>
    <mergeCell ref="A49:AO49"/>
    <mergeCell ref="A50:AO50"/>
    <mergeCell ref="A51:AO51"/>
    <mergeCell ref="A52:AO52"/>
    <mergeCell ref="A43:AO43"/>
    <mergeCell ref="A44:AO44"/>
    <mergeCell ref="A45:AO45"/>
    <mergeCell ref="A46:AO46"/>
    <mergeCell ref="A47:AO47"/>
    <mergeCell ref="A53:AO53"/>
    <mergeCell ref="A76:AO76"/>
    <mergeCell ref="A77:AO77"/>
    <mergeCell ref="A66:AO66"/>
    <mergeCell ref="A55:AO55"/>
    <mergeCell ref="A56:AO56"/>
    <mergeCell ref="A57:AO57"/>
    <mergeCell ref="A58:AO58"/>
    <mergeCell ref="A59:AO59"/>
    <mergeCell ref="A60:AO60"/>
    <mergeCell ref="A61:AO61"/>
    <mergeCell ref="A78:AO78"/>
    <mergeCell ref="A67:AO67"/>
    <mergeCell ref="A68:AO68"/>
    <mergeCell ref="A69:AO69"/>
    <mergeCell ref="A70:AO70"/>
    <mergeCell ref="A71:AO71"/>
    <mergeCell ref="A72:AO72"/>
    <mergeCell ref="A73:AO73"/>
    <mergeCell ref="A74:AO74"/>
    <mergeCell ref="A75:AO75"/>
    <mergeCell ref="A85:AO85"/>
    <mergeCell ref="A86:AO86"/>
    <mergeCell ref="A87:AO87"/>
    <mergeCell ref="A88:AO88"/>
    <mergeCell ref="A79:AO79"/>
    <mergeCell ref="A80:AO80"/>
    <mergeCell ref="A81:AO81"/>
    <mergeCell ref="A82:AO82"/>
    <mergeCell ref="A83:AO83"/>
    <mergeCell ref="A84:AO84"/>
  </mergeCells>
  <phoneticPr fontId="2" type="noConversion"/>
  <pageMargins left="0.70866141732283472" right="0.70866141732283472" top="0.74803149606299213" bottom="0.74803149606299213" header="0.31496062992125984" footer="0.31496062992125984"/>
  <pageSetup paperSize="9" scale="98"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A81F31-638C-477D-9938-A41635ED8495}">
  <dimension ref="B2:B18"/>
  <sheetViews>
    <sheetView workbookViewId="0">
      <selection sqref="A1:O1"/>
    </sheetView>
  </sheetViews>
  <sheetFormatPr defaultColWidth="9" defaultRowHeight="14.25"/>
  <cols>
    <col min="1" max="1" width="9" style="82"/>
    <col min="2" max="2" width="84.375" style="82" customWidth="1"/>
    <col min="3" max="16384" width="9" style="82"/>
  </cols>
  <sheetData>
    <row r="2" spans="2:2">
      <c r="B2" s="84" t="s">
        <v>4126</v>
      </c>
    </row>
    <row r="3" spans="2:2">
      <c r="B3" s="84" t="s">
        <v>4125</v>
      </c>
    </row>
    <row r="4" spans="2:2">
      <c r="B4" s="410" t="s">
        <v>4124</v>
      </c>
    </row>
    <row r="5" spans="2:2">
      <c r="B5" s="410" t="s">
        <v>4123</v>
      </c>
    </row>
    <row r="6" spans="2:2">
      <c r="B6" s="410" t="s">
        <v>4122</v>
      </c>
    </row>
    <row r="7" spans="2:2">
      <c r="B7" s="84"/>
    </row>
    <row r="8" spans="2:2">
      <c r="B8" s="84"/>
    </row>
    <row r="9" spans="2:2">
      <c r="B9" s="84" t="s">
        <v>4121</v>
      </c>
    </row>
    <row r="10" spans="2:2">
      <c r="B10" s="410" t="s">
        <v>4120</v>
      </c>
    </row>
    <row r="11" spans="2:2">
      <c r="B11" s="410" t="s">
        <v>4119</v>
      </c>
    </row>
    <row r="12" spans="2:2">
      <c r="B12" s="410" t="s">
        <v>4118</v>
      </c>
    </row>
    <row r="13" spans="2:2">
      <c r="B13" s="410" t="s">
        <v>4117</v>
      </c>
    </row>
    <row r="14" spans="2:2">
      <c r="B14" s="410" t="s">
        <v>4116</v>
      </c>
    </row>
    <row r="16" spans="2:2">
      <c r="B16" s="84" t="s">
        <v>4115</v>
      </c>
    </row>
    <row r="17" spans="2:2">
      <c r="B17" s="410" t="s">
        <v>4114</v>
      </c>
    </row>
    <row r="18" spans="2:2">
      <c r="B18" s="410" t="s">
        <v>4113</v>
      </c>
    </row>
  </sheetData>
  <phoneticPr fontId="2"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0492B-8D8D-474B-A31B-FC21971ED74B}">
  <dimension ref="A1:K15"/>
  <sheetViews>
    <sheetView zoomScaleNormal="100" workbookViewId="0">
      <selection sqref="A1:O1"/>
    </sheetView>
  </sheetViews>
  <sheetFormatPr defaultColWidth="9" defaultRowHeight="14.25"/>
  <cols>
    <col min="1" max="1" width="9" style="369"/>
    <col min="2" max="8" width="15.375" style="369" customWidth="1"/>
    <col min="9" max="16384" width="9" style="369"/>
  </cols>
  <sheetData>
    <row r="1" spans="1:11">
      <c r="B1" s="369" t="s">
        <v>4149</v>
      </c>
      <c r="C1" s="369" t="s">
        <v>4148</v>
      </c>
      <c r="D1" s="369" t="s">
        <v>4147</v>
      </c>
      <c r="E1" s="369" t="s">
        <v>4146</v>
      </c>
      <c r="F1" s="369" t="s">
        <v>4145</v>
      </c>
      <c r="G1" s="369" t="s">
        <v>4144</v>
      </c>
      <c r="H1" s="369" t="s">
        <v>4143</v>
      </c>
    </row>
    <row r="2" spans="1:11">
      <c r="A2" s="369" t="s">
        <v>4142</v>
      </c>
      <c r="B2" s="411"/>
      <c r="C2" s="411"/>
      <c r="D2" s="411"/>
      <c r="E2" s="411"/>
      <c r="F2" s="412">
        <v>40459</v>
      </c>
      <c r="G2" s="411">
        <v>40460</v>
      </c>
      <c r="H2" s="411">
        <v>40461</v>
      </c>
    </row>
    <row r="3" spans="1:11">
      <c r="A3" s="369" t="s">
        <v>4141</v>
      </c>
      <c r="B3" s="370">
        <v>40462</v>
      </c>
      <c r="C3" s="370">
        <v>40463</v>
      </c>
      <c r="D3" s="370">
        <v>40464</v>
      </c>
      <c r="E3" s="370">
        <v>40465</v>
      </c>
      <c r="F3" s="370">
        <v>40466</v>
      </c>
      <c r="G3" s="411">
        <v>40467</v>
      </c>
      <c r="H3" s="411">
        <v>40468</v>
      </c>
      <c r="I3" s="369">
        <v>1</v>
      </c>
      <c r="J3" s="369" t="s">
        <v>4138</v>
      </c>
    </row>
    <row r="4" spans="1:11">
      <c r="A4" s="369" t="s">
        <v>4140</v>
      </c>
      <c r="B4" s="370">
        <v>40469</v>
      </c>
      <c r="C4" s="370">
        <v>40470</v>
      </c>
      <c r="D4" s="370">
        <v>40471</v>
      </c>
      <c r="E4" s="370">
        <v>40472</v>
      </c>
      <c r="F4" s="370">
        <v>40473</v>
      </c>
      <c r="G4" s="411">
        <v>40474</v>
      </c>
      <c r="H4" s="411">
        <v>40475</v>
      </c>
      <c r="I4" s="369">
        <v>2</v>
      </c>
      <c r="J4" s="369" t="s">
        <v>4138</v>
      </c>
    </row>
    <row r="5" spans="1:11">
      <c r="A5" s="369" t="s">
        <v>4139</v>
      </c>
      <c r="B5" s="370">
        <v>40476</v>
      </c>
      <c r="C5" s="370">
        <v>40477</v>
      </c>
      <c r="D5" s="370">
        <v>40478</v>
      </c>
      <c r="E5" s="370">
        <v>40479</v>
      </c>
      <c r="F5" s="370">
        <v>40480</v>
      </c>
      <c r="G5" s="411">
        <v>40481</v>
      </c>
      <c r="H5" s="411">
        <v>40482</v>
      </c>
      <c r="I5" s="369">
        <v>3</v>
      </c>
      <c r="J5" s="369" t="s">
        <v>4138</v>
      </c>
      <c r="K5" s="369">
        <f>3*5*6</f>
        <v>90</v>
      </c>
    </row>
    <row r="6" spans="1:11">
      <c r="A6" s="369" t="s">
        <v>4137</v>
      </c>
      <c r="B6" s="370">
        <v>40483</v>
      </c>
      <c r="C6" s="370">
        <v>40484</v>
      </c>
      <c r="D6" s="370">
        <v>40485</v>
      </c>
      <c r="E6" s="370">
        <v>40486</v>
      </c>
      <c r="F6" s="370">
        <v>40487</v>
      </c>
      <c r="G6" s="411">
        <v>40488</v>
      </c>
      <c r="H6" s="411">
        <v>40489</v>
      </c>
      <c r="I6" s="369">
        <v>4</v>
      </c>
      <c r="J6" s="369" t="s">
        <v>4135</v>
      </c>
    </row>
    <row r="7" spans="1:11">
      <c r="A7" s="369" t="s">
        <v>4136</v>
      </c>
      <c r="B7" s="370">
        <v>40490</v>
      </c>
      <c r="C7" s="370">
        <v>40491</v>
      </c>
      <c r="D7" s="370">
        <v>40492</v>
      </c>
      <c r="E7" s="370">
        <v>40493</v>
      </c>
      <c r="F7" s="370">
        <v>40494</v>
      </c>
      <c r="G7" s="411">
        <v>40495</v>
      </c>
      <c r="H7" s="411">
        <v>40496</v>
      </c>
      <c r="I7" s="369">
        <v>5</v>
      </c>
      <c r="J7" s="369" t="s">
        <v>4135</v>
      </c>
      <c r="K7" s="369">
        <f>2*5*6</f>
        <v>60</v>
      </c>
    </row>
    <row r="8" spans="1:11">
      <c r="A8" s="369" t="s">
        <v>4134</v>
      </c>
      <c r="B8" s="370">
        <v>40497</v>
      </c>
      <c r="C8" s="370">
        <v>40498</v>
      </c>
      <c r="D8" s="370">
        <v>40499</v>
      </c>
      <c r="E8" s="370">
        <v>40500</v>
      </c>
      <c r="F8" s="370">
        <v>40501</v>
      </c>
      <c r="G8" s="411">
        <v>40502</v>
      </c>
      <c r="H8" s="411">
        <v>40503</v>
      </c>
      <c r="I8" s="369">
        <v>6</v>
      </c>
    </row>
    <row r="9" spans="1:11">
      <c r="A9" s="369" t="s">
        <v>4133</v>
      </c>
      <c r="B9" s="370">
        <v>40504</v>
      </c>
      <c r="C9" s="370">
        <v>40505</v>
      </c>
      <c r="D9" s="370">
        <v>40506</v>
      </c>
      <c r="E9" s="370">
        <v>40507</v>
      </c>
      <c r="F9" s="370">
        <v>40508</v>
      </c>
      <c r="G9" s="411">
        <v>40509</v>
      </c>
      <c r="H9" s="411">
        <v>40510</v>
      </c>
      <c r="I9" s="369">
        <v>7</v>
      </c>
    </row>
    <row r="10" spans="1:11">
      <c r="A10" s="369" t="s">
        <v>4132</v>
      </c>
      <c r="B10" s="370">
        <v>40511</v>
      </c>
      <c r="C10" s="370">
        <v>40512</v>
      </c>
      <c r="D10" s="370">
        <v>40513</v>
      </c>
      <c r="E10" s="370">
        <v>40514</v>
      </c>
      <c r="F10" s="370">
        <v>40515</v>
      </c>
      <c r="G10" s="411">
        <v>40516</v>
      </c>
      <c r="H10" s="411">
        <v>40517</v>
      </c>
      <c r="I10" s="369">
        <v>8</v>
      </c>
    </row>
    <row r="11" spans="1:11">
      <c r="A11" s="369" t="s">
        <v>4131</v>
      </c>
      <c r="B11" s="370">
        <v>40518</v>
      </c>
      <c r="C11" s="370">
        <v>40519</v>
      </c>
      <c r="D11" s="370">
        <v>40520</v>
      </c>
      <c r="E11" s="370">
        <v>40521</v>
      </c>
      <c r="F11" s="370">
        <v>40522</v>
      </c>
      <c r="G11" s="411">
        <v>40523</v>
      </c>
      <c r="H11" s="411">
        <v>40524</v>
      </c>
      <c r="I11" s="369">
        <v>9</v>
      </c>
    </row>
    <row r="12" spans="1:11">
      <c r="A12" s="369" t="s">
        <v>4130</v>
      </c>
      <c r="B12" s="370">
        <v>40525</v>
      </c>
      <c r="C12" s="370">
        <v>40526</v>
      </c>
      <c r="D12" s="370">
        <v>40527</v>
      </c>
      <c r="E12" s="370">
        <v>40528</v>
      </c>
      <c r="F12" s="370">
        <v>40529</v>
      </c>
      <c r="G12" s="411">
        <v>40530</v>
      </c>
      <c r="H12" s="411">
        <v>40531</v>
      </c>
      <c r="I12" s="369">
        <v>10</v>
      </c>
    </row>
    <row r="13" spans="1:11">
      <c r="A13" s="369" t="s">
        <v>4129</v>
      </c>
      <c r="B13" s="370">
        <v>40532</v>
      </c>
      <c r="C13" s="370">
        <v>40533</v>
      </c>
      <c r="D13" s="370">
        <v>40534</v>
      </c>
      <c r="E13" s="370">
        <v>40535</v>
      </c>
      <c r="F13" s="370">
        <v>40536</v>
      </c>
      <c r="G13" s="411">
        <v>40537</v>
      </c>
      <c r="H13" s="411">
        <v>40538</v>
      </c>
    </row>
    <row r="14" spans="1:11">
      <c r="A14" s="369" t="s">
        <v>4128</v>
      </c>
      <c r="B14" s="370">
        <v>40539</v>
      </c>
      <c r="C14" s="370">
        <v>40540</v>
      </c>
      <c r="D14" s="370">
        <v>40541</v>
      </c>
      <c r="E14" s="370">
        <v>40542</v>
      </c>
      <c r="F14" s="370">
        <v>40543</v>
      </c>
      <c r="G14" s="411">
        <v>40544</v>
      </c>
      <c r="H14" s="411">
        <v>40545</v>
      </c>
    </row>
    <row r="15" spans="1:11">
      <c r="A15" s="369" t="s">
        <v>4127</v>
      </c>
      <c r="B15" s="370">
        <v>40546</v>
      </c>
      <c r="C15" s="370">
        <v>40547</v>
      </c>
      <c r="D15" s="370">
        <v>40548</v>
      </c>
      <c r="E15" s="370">
        <v>40549</v>
      </c>
      <c r="F15" s="370">
        <v>40550</v>
      </c>
      <c r="G15" s="411">
        <v>40551</v>
      </c>
      <c r="H15" s="411">
        <v>40552</v>
      </c>
    </row>
  </sheetData>
  <phoneticPr fontId="2" type="noConversion"/>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8B731-976B-483D-B346-F02140249D63}">
  <dimension ref="A1:H10"/>
  <sheetViews>
    <sheetView workbookViewId="0">
      <selection sqref="A1:O1"/>
    </sheetView>
  </sheetViews>
  <sheetFormatPr defaultRowHeight="14.25"/>
  <cols>
    <col min="1" max="8" width="14.625" style="413" customWidth="1"/>
    <col min="9" max="256" width="9" style="413"/>
    <col min="257" max="264" width="14.625" style="413" customWidth="1"/>
    <col min="265" max="512" width="9" style="413"/>
    <col min="513" max="520" width="14.625" style="413" customWidth="1"/>
    <col min="521" max="768" width="9" style="413"/>
    <col min="769" max="776" width="14.625" style="413" customWidth="1"/>
    <col min="777" max="1024" width="9" style="413"/>
    <col min="1025" max="1032" width="14.625" style="413" customWidth="1"/>
    <col min="1033" max="1280" width="9" style="413"/>
    <col min="1281" max="1288" width="14.625" style="413" customWidth="1"/>
    <col min="1289" max="1536" width="9" style="413"/>
    <col min="1537" max="1544" width="14.625" style="413" customWidth="1"/>
    <col min="1545" max="1792" width="9" style="413"/>
    <col min="1793" max="1800" width="14.625" style="413" customWidth="1"/>
    <col min="1801" max="2048" width="9" style="413"/>
    <col min="2049" max="2056" width="14.625" style="413" customWidth="1"/>
    <col min="2057" max="2304" width="9" style="413"/>
    <col min="2305" max="2312" width="14.625" style="413" customWidth="1"/>
    <col min="2313" max="2560" width="9" style="413"/>
    <col min="2561" max="2568" width="14.625" style="413" customWidth="1"/>
    <col min="2569" max="2816" width="9" style="413"/>
    <col min="2817" max="2824" width="14.625" style="413" customWidth="1"/>
    <col min="2825" max="3072" width="9" style="413"/>
    <col min="3073" max="3080" width="14.625" style="413" customWidth="1"/>
    <col min="3081" max="3328" width="9" style="413"/>
    <col min="3329" max="3336" width="14.625" style="413" customWidth="1"/>
    <col min="3337" max="3584" width="9" style="413"/>
    <col min="3585" max="3592" width="14.625" style="413" customWidth="1"/>
    <col min="3593" max="3840" width="9" style="413"/>
    <col min="3841" max="3848" width="14.625" style="413" customWidth="1"/>
    <col min="3849" max="4096" width="9" style="413"/>
    <col min="4097" max="4104" width="14.625" style="413" customWidth="1"/>
    <col min="4105" max="4352" width="9" style="413"/>
    <col min="4353" max="4360" width="14.625" style="413" customWidth="1"/>
    <col min="4361" max="4608" width="9" style="413"/>
    <col min="4609" max="4616" width="14.625" style="413" customWidth="1"/>
    <col min="4617" max="4864" width="9" style="413"/>
    <col min="4865" max="4872" width="14.625" style="413" customWidth="1"/>
    <col min="4873" max="5120" width="9" style="413"/>
    <col min="5121" max="5128" width="14.625" style="413" customWidth="1"/>
    <col min="5129" max="5376" width="9" style="413"/>
    <col min="5377" max="5384" width="14.625" style="413" customWidth="1"/>
    <col min="5385" max="5632" width="9" style="413"/>
    <col min="5633" max="5640" width="14.625" style="413" customWidth="1"/>
    <col min="5641" max="5888" width="9" style="413"/>
    <col min="5889" max="5896" width="14.625" style="413" customWidth="1"/>
    <col min="5897" max="6144" width="9" style="413"/>
    <col min="6145" max="6152" width="14.625" style="413" customWidth="1"/>
    <col min="6153" max="6400" width="9" style="413"/>
    <col min="6401" max="6408" width="14.625" style="413" customWidth="1"/>
    <col min="6409" max="6656" width="9" style="413"/>
    <col min="6657" max="6664" width="14.625" style="413" customWidth="1"/>
    <col min="6665" max="6912" width="9" style="413"/>
    <col min="6913" max="6920" width="14.625" style="413" customWidth="1"/>
    <col min="6921" max="7168" width="9" style="413"/>
    <col min="7169" max="7176" width="14.625" style="413" customWidth="1"/>
    <col min="7177" max="7424" width="9" style="413"/>
    <col min="7425" max="7432" width="14.625" style="413" customWidth="1"/>
    <col min="7433" max="7680" width="9" style="413"/>
    <col min="7681" max="7688" width="14.625" style="413" customWidth="1"/>
    <col min="7689" max="7936" width="9" style="413"/>
    <col min="7937" max="7944" width="14.625" style="413" customWidth="1"/>
    <col min="7945" max="8192" width="9" style="413"/>
    <col min="8193" max="8200" width="14.625" style="413" customWidth="1"/>
    <col min="8201" max="8448" width="9" style="413"/>
    <col min="8449" max="8456" width="14.625" style="413" customWidth="1"/>
    <col min="8457" max="8704" width="9" style="413"/>
    <col min="8705" max="8712" width="14.625" style="413" customWidth="1"/>
    <col min="8713" max="8960" width="9" style="413"/>
    <col min="8961" max="8968" width="14.625" style="413" customWidth="1"/>
    <col min="8969" max="9216" width="9" style="413"/>
    <col min="9217" max="9224" width="14.625" style="413" customWidth="1"/>
    <col min="9225" max="9472" width="9" style="413"/>
    <col min="9473" max="9480" width="14.625" style="413" customWidth="1"/>
    <col min="9481" max="9728" width="9" style="413"/>
    <col min="9729" max="9736" width="14.625" style="413" customWidth="1"/>
    <col min="9737" max="9984" width="9" style="413"/>
    <col min="9985" max="9992" width="14.625" style="413" customWidth="1"/>
    <col min="9993" max="10240" width="9" style="413"/>
    <col min="10241" max="10248" width="14.625" style="413" customWidth="1"/>
    <col min="10249" max="10496" width="9" style="413"/>
    <col min="10497" max="10504" width="14.625" style="413" customWidth="1"/>
    <col min="10505" max="10752" width="9" style="413"/>
    <col min="10753" max="10760" width="14.625" style="413" customWidth="1"/>
    <col min="10761" max="11008" width="9" style="413"/>
    <col min="11009" max="11016" width="14.625" style="413" customWidth="1"/>
    <col min="11017" max="11264" width="9" style="413"/>
    <col min="11265" max="11272" width="14.625" style="413" customWidth="1"/>
    <col min="11273" max="11520" width="9" style="413"/>
    <col min="11521" max="11528" width="14.625" style="413" customWidth="1"/>
    <col min="11529" max="11776" width="9" style="413"/>
    <col min="11777" max="11784" width="14.625" style="413" customWidth="1"/>
    <col min="11785" max="12032" width="9" style="413"/>
    <col min="12033" max="12040" width="14.625" style="413" customWidth="1"/>
    <col min="12041" max="12288" width="9" style="413"/>
    <col min="12289" max="12296" width="14.625" style="413" customWidth="1"/>
    <col min="12297" max="12544" width="9" style="413"/>
    <col min="12545" max="12552" width="14.625" style="413" customWidth="1"/>
    <col min="12553" max="12800" width="9" style="413"/>
    <col min="12801" max="12808" width="14.625" style="413" customWidth="1"/>
    <col min="12809" max="13056" width="9" style="413"/>
    <col min="13057" max="13064" width="14.625" style="413" customWidth="1"/>
    <col min="13065" max="13312" width="9" style="413"/>
    <col min="13313" max="13320" width="14.625" style="413" customWidth="1"/>
    <col min="13321" max="13568" width="9" style="413"/>
    <col min="13569" max="13576" width="14.625" style="413" customWidth="1"/>
    <col min="13577" max="13824" width="9" style="413"/>
    <col min="13825" max="13832" width="14.625" style="413" customWidth="1"/>
    <col min="13833" max="14080" width="9" style="413"/>
    <col min="14081" max="14088" width="14.625" style="413" customWidth="1"/>
    <col min="14089" max="14336" width="9" style="413"/>
    <col min="14337" max="14344" width="14.625" style="413" customWidth="1"/>
    <col min="14345" max="14592" width="9" style="413"/>
    <col min="14593" max="14600" width="14.625" style="413" customWidth="1"/>
    <col min="14601" max="14848" width="9" style="413"/>
    <col min="14849" max="14856" width="14.625" style="413" customWidth="1"/>
    <col min="14857" max="15104" width="9" style="413"/>
    <col min="15105" max="15112" width="14.625" style="413" customWidth="1"/>
    <col min="15113" max="15360" width="9" style="413"/>
    <col min="15361" max="15368" width="14.625" style="413" customWidth="1"/>
    <col min="15369" max="15616" width="9" style="413"/>
    <col min="15617" max="15624" width="14.625" style="413" customWidth="1"/>
    <col min="15625" max="15872" width="9" style="413"/>
    <col min="15873" max="15880" width="14.625" style="413" customWidth="1"/>
    <col min="15881" max="16128" width="9" style="413"/>
    <col min="16129" max="16136" width="14.625" style="413" customWidth="1"/>
    <col min="16137" max="16384" width="9" style="413"/>
  </cols>
  <sheetData>
    <row r="1" spans="1:8" ht="31.5">
      <c r="A1" s="420" t="s">
        <v>4150</v>
      </c>
      <c r="B1" s="420"/>
      <c r="C1" s="420"/>
      <c r="D1" s="420"/>
      <c r="E1" s="420"/>
      <c r="F1" s="420"/>
      <c r="G1" s="420"/>
      <c r="H1" s="420"/>
    </row>
    <row r="2" spans="1:8" ht="25.5">
      <c r="A2" s="414"/>
      <c r="B2" s="414"/>
      <c r="C2" s="414"/>
      <c r="D2" s="419"/>
      <c r="E2" s="414"/>
      <c r="F2" s="414"/>
      <c r="G2" s="414"/>
      <c r="H2" s="414"/>
    </row>
    <row r="3" spans="1:8" ht="25.5">
      <c r="A3" s="415"/>
      <c r="B3" s="414"/>
      <c r="C3" s="414"/>
      <c r="D3" s="417"/>
      <c r="E3" s="414"/>
      <c r="F3" s="414"/>
      <c r="G3" s="414"/>
      <c r="H3" s="414"/>
    </row>
    <row r="4" spans="1:8" ht="25.5">
      <c r="A4" s="414"/>
      <c r="B4" s="414"/>
      <c r="C4" s="414"/>
      <c r="D4" s="417"/>
      <c r="E4" s="415"/>
      <c r="F4" s="414"/>
      <c r="G4" s="414"/>
      <c r="H4" s="414"/>
    </row>
    <row r="5" spans="1:8" ht="25.5">
      <c r="A5" s="414"/>
      <c r="B5" s="418"/>
      <c r="C5" s="414"/>
      <c r="D5" s="417"/>
      <c r="E5" s="414"/>
      <c r="F5" s="414"/>
      <c r="G5" s="414"/>
      <c r="H5" s="414"/>
    </row>
    <row r="6" spans="1:8" ht="25.5">
      <c r="A6" s="415"/>
      <c r="B6" s="414"/>
      <c r="C6" s="414"/>
      <c r="D6" s="417"/>
      <c r="E6" s="418"/>
      <c r="F6" s="414"/>
      <c r="G6" s="415"/>
      <c r="H6" s="414"/>
    </row>
    <row r="7" spans="1:8" ht="25.5">
      <c r="A7" s="414"/>
      <c r="B7" s="414"/>
      <c r="C7" s="414"/>
      <c r="D7" s="417"/>
      <c r="E7" s="414"/>
      <c r="F7" s="414"/>
      <c r="G7" s="414"/>
      <c r="H7" s="414"/>
    </row>
    <row r="8" spans="1:8" ht="25.5">
      <c r="A8" s="414"/>
      <c r="B8" s="415"/>
      <c r="C8" s="414"/>
      <c r="D8" s="417"/>
      <c r="E8" s="414"/>
      <c r="F8" s="414"/>
      <c r="G8" s="415"/>
      <c r="H8" s="414"/>
    </row>
    <row r="9" spans="1:8" ht="25.5">
      <c r="A9" s="414"/>
      <c r="B9" s="414"/>
      <c r="C9" s="414"/>
      <c r="D9" s="417"/>
      <c r="E9" s="414"/>
      <c r="F9" s="414"/>
      <c r="G9" s="414"/>
      <c r="H9" s="414"/>
    </row>
    <row r="10" spans="1:8" ht="25.5">
      <c r="A10" s="414"/>
      <c r="B10" s="414"/>
      <c r="C10" s="415"/>
      <c r="D10" s="416"/>
      <c r="E10" s="415"/>
      <c r="F10" s="414"/>
      <c r="G10" s="414"/>
      <c r="H10" s="414"/>
    </row>
  </sheetData>
  <mergeCells count="1">
    <mergeCell ref="A1:H1"/>
  </mergeCells>
  <phoneticPr fontId="2" type="noConversion"/>
  <pageMargins left="0.75" right="0.75" top="1" bottom="1" header="0.5" footer="0.5"/>
  <pageSetup paperSize="9" orientation="landscape"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D9648-0CD4-41DF-9150-2D20B1BD6147}">
  <dimension ref="A1:I10"/>
  <sheetViews>
    <sheetView workbookViewId="0">
      <selection sqref="A1:E1"/>
    </sheetView>
  </sheetViews>
  <sheetFormatPr defaultRowHeight="27"/>
  <cols>
    <col min="1" max="4" width="13.625" style="423" customWidth="1"/>
    <col min="5" max="5" width="7.75" style="423" customWidth="1"/>
    <col min="6" max="9" width="13.625" style="423" customWidth="1"/>
    <col min="10" max="256" width="9" style="423"/>
    <col min="257" max="260" width="13.625" style="423" customWidth="1"/>
    <col min="261" max="261" width="7.75" style="423" customWidth="1"/>
    <col min="262" max="265" width="13.625" style="423" customWidth="1"/>
    <col min="266" max="512" width="9" style="423"/>
    <col min="513" max="516" width="13.625" style="423" customWidth="1"/>
    <col min="517" max="517" width="7.75" style="423" customWidth="1"/>
    <col min="518" max="521" width="13.625" style="423" customWidth="1"/>
    <col min="522" max="768" width="9" style="423"/>
    <col min="769" max="772" width="13.625" style="423" customWidth="1"/>
    <col min="773" max="773" width="7.75" style="423" customWidth="1"/>
    <col min="774" max="777" width="13.625" style="423" customWidth="1"/>
    <col min="778" max="1024" width="9" style="423"/>
    <col min="1025" max="1028" width="13.625" style="423" customWidth="1"/>
    <col min="1029" max="1029" width="7.75" style="423" customWidth="1"/>
    <col min="1030" max="1033" width="13.625" style="423" customWidth="1"/>
    <col min="1034" max="1280" width="9" style="423"/>
    <col min="1281" max="1284" width="13.625" style="423" customWidth="1"/>
    <col min="1285" max="1285" width="7.75" style="423" customWidth="1"/>
    <col min="1286" max="1289" width="13.625" style="423" customWidth="1"/>
    <col min="1290" max="1536" width="9" style="423"/>
    <col min="1537" max="1540" width="13.625" style="423" customWidth="1"/>
    <col min="1541" max="1541" width="7.75" style="423" customWidth="1"/>
    <col min="1542" max="1545" width="13.625" style="423" customWidth="1"/>
    <col min="1546" max="1792" width="9" style="423"/>
    <col min="1793" max="1796" width="13.625" style="423" customWidth="1"/>
    <col min="1797" max="1797" width="7.75" style="423" customWidth="1"/>
    <col min="1798" max="1801" width="13.625" style="423" customWidth="1"/>
    <col min="1802" max="2048" width="9" style="423"/>
    <col min="2049" max="2052" width="13.625" style="423" customWidth="1"/>
    <col min="2053" max="2053" width="7.75" style="423" customWidth="1"/>
    <col min="2054" max="2057" width="13.625" style="423" customWidth="1"/>
    <col min="2058" max="2304" width="9" style="423"/>
    <col min="2305" max="2308" width="13.625" style="423" customWidth="1"/>
    <col min="2309" max="2309" width="7.75" style="423" customWidth="1"/>
    <col min="2310" max="2313" width="13.625" style="423" customWidth="1"/>
    <col min="2314" max="2560" width="9" style="423"/>
    <col min="2561" max="2564" width="13.625" style="423" customWidth="1"/>
    <col min="2565" max="2565" width="7.75" style="423" customWidth="1"/>
    <col min="2566" max="2569" width="13.625" style="423" customWidth="1"/>
    <col min="2570" max="2816" width="9" style="423"/>
    <col min="2817" max="2820" width="13.625" style="423" customWidth="1"/>
    <col min="2821" max="2821" width="7.75" style="423" customWidth="1"/>
    <col min="2822" max="2825" width="13.625" style="423" customWidth="1"/>
    <col min="2826" max="3072" width="9" style="423"/>
    <col min="3073" max="3076" width="13.625" style="423" customWidth="1"/>
    <col min="3077" max="3077" width="7.75" style="423" customWidth="1"/>
    <col min="3078" max="3081" width="13.625" style="423" customWidth="1"/>
    <col min="3082" max="3328" width="9" style="423"/>
    <col min="3329" max="3332" width="13.625" style="423" customWidth="1"/>
    <col min="3333" max="3333" width="7.75" style="423" customWidth="1"/>
    <col min="3334" max="3337" width="13.625" style="423" customWidth="1"/>
    <col min="3338" max="3584" width="9" style="423"/>
    <col min="3585" max="3588" width="13.625" style="423" customWidth="1"/>
    <col min="3589" max="3589" width="7.75" style="423" customWidth="1"/>
    <col min="3590" max="3593" width="13.625" style="423" customWidth="1"/>
    <col min="3594" max="3840" width="9" style="423"/>
    <col min="3841" max="3844" width="13.625" style="423" customWidth="1"/>
    <col min="3845" max="3845" width="7.75" style="423" customWidth="1"/>
    <col min="3846" max="3849" width="13.625" style="423" customWidth="1"/>
    <col min="3850" max="4096" width="9" style="423"/>
    <col min="4097" max="4100" width="13.625" style="423" customWidth="1"/>
    <col min="4101" max="4101" width="7.75" style="423" customWidth="1"/>
    <col min="4102" max="4105" width="13.625" style="423" customWidth="1"/>
    <col min="4106" max="4352" width="9" style="423"/>
    <col min="4353" max="4356" width="13.625" style="423" customWidth="1"/>
    <col min="4357" max="4357" width="7.75" style="423" customWidth="1"/>
    <col min="4358" max="4361" width="13.625" style="423" customWidth="1"/>
    <col min="4362" max="4608" width="9" style="423"/>
    <col min="4609" max="4612" width="13.625" style="423" customWidth="1"/>
    <col min="4613" max="4613" width="7.75" style="423" customWidth="1"/>
    <col min="4614" max="4617" width="13.625" style="423" customWidth="1"/>
    <col min="4618" max="4864" width="9" style="423"/>
    <col min="4865" max="4868" width="13.625" style="423" customWidth="1"/>
    <col min="4869" max="4869" width="7.75" style="423" customWidth="1"/>
    <col min="4870" max="4873" width="13.625" style="423" customWidth="1"/>
    <col min="4874" max="5120" width="9" style="423"/>
    <col min="5121" max="5124" width="13.625" style="423" customWidth="1"/>
    <col min="5125" max="5125" width="7.75" style="423" customWidth="1"/>
    <col min="5126" max="5129" width="13.625" style="423" customWidth="1"/>
    <col min="5130" max="5376" width="9" style="423"/>
    <col min="5377" max="5380" width="13.625" style="423" customWidth="1"/>
    <col min="5381" max="5381" width="7.75" style="423" customWidth="1"/>
    <col min="5382" max="5385" width="13.625" style="423" customWidth="1"/>
    <col min="5386" max="5632" width="9" style="423"/>
    <col min="5633" max="5636" width="13.625" style="423" customWidth="1"/>
    <col min="5637" max="5637" width="7.75" style="423" customWidth="1"/>
    <col min="5638" max="5641" width="13.625" style="423" customWidth="1"/>
    <col min="5642" max="5888" width="9" style="423"/>
    <col min="5889" max="5892" width="13.625" style="423" customWidth="1"/>
    <col min="5893" max="5893" width="7.75" style="423" customWidth="1"/>
    <col min="5894" max="5897" width="13.625" style="423" customWidth="1"/>
    <col min="5898" max="6144" width="9" style="423"/>
    <col min="6145" max="6148" width="13.625" style="423" customWidth="1"/>
    <col min="6149" max="6149" width="7.75" style="423" customWidth="1"/>
    <col min="6150" max="6153" width="13.625" style="423" customWidth="1"/>
    <col min="6154" max="6400" width="9" style="423"/>
    <col min="6401" max="6404" width="13.625" style="423" customWidth="1"/>
    <col min="6405" max="6405" width="7.75" style="423" customWidth="1"/>
    <col min="6406" max="6409" width="13.625" style="423" customWidth="1"/>
    <col min="6410" max="6656" width="9" style="423"/>
    <col min="6657" max="6660" width="13.625" style="423" customWidth="1"/>
    <col min="6661" max="6661" width="7.75" style="423" customWidth="1"/>
    <col min="6662" max="6665" width="13.625" style="423" customWidth="1"/>
    <col min="6666" max="6912" width="9" style="423"/>
    <col min="6913" max="6916" width="13.625" style="423" customWidth="1"/>
    <col min="6917" max="6917" width="7.75" style="423" customWidth="1"/>
    <col min="6918" max="6921" width="13.625" style="423" customWidth="1"/>
    <col min="6922" max="7168" width="9" style="423"/>
    <col min="7169" max="7172" width="13.625" style="423" customWidth="1"/>
    <col min="7173" max="7173" width="7.75" style="423" customWidth="1"/>
    <col min="7174" max="7177" width="13.625" style="423" customWidth="1"/>
    <col min="7178" max="7424" width="9" style="423"/>
    <col min="7425" max="7428" width="13.625" style="423" customWidth="1"/>
    <col min="7429" max="7429" width="7.75" style="423" customWidth="1"/>
    <col min="7430" max="7433" width="13.625" style="423" customWidth="1"/>
    <col min="7434" max="7680" width="9" style="423"/>
    <col min="7681" max="7684" width="13.625" style="423" customWidth="1"/>
    <col min="7685" max="7685" width="7.75" style="423" customWidth="1"/>
    <col min="7686" max="7689" width="13.625" style="423" customWidth="1"/>
    <col min="7690" max="7936" width="9" style="423"/>
    <col min="7937" max="7940" width="13.625" style="423" customWidth="1"/>
    <col min="7941" max="7941" width="7.75" style="423" customWidth="1"/>
    <col min="7942" max="7945" width="13.625" style="423" customWidth="1"/>
    <col min="7946" max="8192" width="9" style="423"/>
    <col min="8193" max="8196" width="13.625" style="423" customWidth="1"/>
    <col min="8197" max="8197" width="7.75" style="423" customWidth="1"/>
    <col min="8198" max="8201" width="13.625" style="423" customWidth="1"/>
    <col min="8202" max="8448" width="9" style="423"/>
    <col min="8449" max="8452" width="13.625" style="423" customWidth="1"/>
    <col min="8453" max="8453" width="7.75" style="423" customWidth="1"/>
    <col min="8454" max="8457" width="13.625" style="423" customWidth="1"/>
    <col min="8458" max="8704" width="9" style="423"/>
    <col min="8705" max="8708" width="13.625" style="423" customWidth="1"/>
    <col min="8709" max="8709" width="7.75" style="423" customWidth="1"/>
    <col min="8710" max="8713" width="13.625" style="423" customWidth="1"/>
    <col min="8714" max="8960" width="9" style="423"/>
    <col min="8961" max="8964" width="13.625" style="423" customWidth="1"/>
    <col min="8965" max="8965" width="7.75" style="423" customWidth="1"/>
    <col min="8966" max="8969" width="13.625" style="423" customWidth="1"/>
    <col min="8970" max="9216" width="9" style="423"/>
    <col min="9217" max="9220" width="13.625" style="423" customWidth="1"/>
    <col min="9221" max="9221" width="7.75" style="423" customWidth="1"/>
    <col min="9222" max="9225" width="13.625" style="423" customWidth="1"/>
    <col min="9226" max="9472" width="9" style="423"/>
    <col min="9473" max="9476" width="13.625" style="423" customWidth="1"/>
    <col min="9477" max="9477" width="7.75" style="423" customWidth="1"/>
    <col min="9478" max="9481" width="13.625" style="423" customWidth="1"/>
    <col min="9482" max="9728" width="9" style="423"/>
    <col min="9729" max="9732" width="13.625" style="423" customWidth="1"/>
    <col min="9733" max="9733" width="7.75" style="423" customWidth="1"/>
    <col min="9734" max="9737" width="13.625" style="423" customWidth="1"/>
    <col min="9738" max="9984" width="9" style="423"/>
    <col min="9985" max="9988" width="13.625" style="423" customWidth="1"/>
    <col min="9989" max="9989" width="7.75" style="423" customWidth="1"/>
    <col min="9990" max="9993" width="13.625" style="423" customWidth="1"/>
    <col min="9994" max="10240" width="9" style="423"/>
    <col min="10241" max="10244" width="13.625" style="423" customWidth="1"/>
    <col min="10245" max="10245" width="7.75" style="423" customWidth="1"/>
    <col min="10246" max="10249" width="13.625" style="423" customWidth="1"/>
    <col min="10250" max="10496" width="9" style="423"/>
    <col min="10497" max="10500" width="13.625" style="423" customWidth="1"/>
    <col min="10501" max="10501" width="7.75" style="423" customWidth="1"/>
    <col min="10502" max="10505" width="13.625" style="423" customWidth="1"/>
    <col min="10506" max="10752" width="9" style="423"/>
    <col min="10753" max="10756" width="13.625" style="423" customWidth="1"/>
    <col min="10757" max="10757" width="7.75" style="423" customWidth="1"/>
    <col min="10758" max="10761" width="13.625" style="423" customWidth="1"/>
    <col min="10762" max="11008" width="9" style="423"/>
    <col min="11009" max="11012" width="13.625" style="423" customWidth="1"/>
    <col min="11013" max="11013" width="7.75" style="423" customWidth="1"/>
    <col min="11014" max="11017" width="13.625" style="423" customWidth="1"/>
    <col min="11018" max="11264" width="9" style="423"/>
    <col min="11265" max="11268" width="13.625" style="423" customWidth="1"/>
    <col min="11269" max="11269" width="7.75" style="423" customWidth="1"/>
    <col min="11270" max="11273" width="13.625" style="423" customWidth="1"/>
    <col min="11274" max="11520" width="9" style="423"/>
    <col min="11521" max="11524" width="13.625" style="423" customWidth="1"/>
    <col min="11525" max="11525" width="7.75" style="423" customWidth="1"/>
    <col min="11526" max="11529" width="13.625" style="423" customWidth="1"/>
    <col min="11530" max="11776" width="9" style="423"/>
    <col min="11777" max="11780" width="13.625" style="423" customWidth="1"/>
    <col min="11781" max="11781" width="7.75" style="423" customWidth="1"/>
    <col min="11782" max="11785" width="13.625" style="423" customWidth="1"/>
    <col min="11786" max="12032" width="9" style="423"/>
    <col min="12033" max="12036" width="13.625" style="423" customWidth="1"/>
    <col min="12037" max="12037" width="7.75" style="423" customWidth="1"/>
    <col min="12038" max="12041" width="13.625" style="423" customWidth="1"/>
    <col min="12042" max="12288" width="9" style="423"/>
    <col min="12289" max="12292" width="13.625" style="423" customWidth="1"/>
    <col min="12293" max="12293" width="7.75" style="423" customWidth="1"/>
    <col min="12294" max="12297" width="13.625" style="423" customWidth="1"/>
    <col min="12298" max="12544" width="9" style="423"/>
    <col min="12545" max="12548" width="13.625" style="423" customWidth="1"/>
    <col min="12549" max="12549" width="7.75" style="423" customWidth="1"/>
    <col min="12550" max="12553" width="13.625" style="423" customWidth="1"/>
    <col min="12554" max="12800" width="9" style="423"/>
    <col min="12801" max="12804" width="13.625" style="423" customWidth="1"/>
    <col min="12805" max="12805" width="7.75" style="423" customWidth="1"/>
    <col min="12806" max="12809" width="13.625" style="423" customWidth="1"/>
    <col min="12810" max="13056" width="9" style="423"/>
    <col min="13057" max="13060" width="13.625" style="423" customWidth="1"/>
    <col min="13061" max="13061" width="7.75" style="423" customWidth="1"/>
    <col min="13062" max="13065" width="13.625" style="423" customWidth="1"/>
    <col min="13066" max="13312" width="9" style="423"/>
    <col min="13313" max="13316" width="13.625" style="423" customWidth="1"/>
    <col min="13317" max="13317" width="7.75" style="423" customWidth="1"/>
    <col min="13318" max="13321" width="13.625" style="423" customWidth="1"/>
    <col min="13322" max="13568" width="9" style="423"/>
    <col min="13569" max="13572" width="13.625" style="423" customWidth="1"/>
    <col min="13573" max="13573" width="7.75" style="423" customWidth="1"/>
    <col min="13574" max="13577" width="13.625" style="423" customWidth="1"/>
    <col min="13578" max="13824" width="9" style="423"/>
    <col min="13825" max="13828" width="13.625" style="423" customWidth="1"/>
    <col min="13829" max="13829" width="7.75" style="423" customWidth="1"/>
    <col min="13830" max="13833" width="13.625" style="423" customWidth="1"/>
    <col min="13834" max="14080" width="9" style="423"/>
    <col min="14081" max="14084" width="13.625" style="423" customWidth="1"/>
    <col min="14085" max="14085" width="7.75" style="423" customWidth="1"/>
    <col min="14086" max="14089" width="13.625" style="423" customWidth="1"/>
    <col min="14090" max="14336" width="9" style="423"/>
    <col min="14337" max="14340" width="13.625" style="423" customWidth="1"/>
    <col min="14341" max="14341" width="7.75" style="423" customWidth="1"/>
    <col min="14342" max="14345" width="13.625" style="423" customWidth="1"/>
    <col min="14346" max="14592" width="9" style="423"/>
    <col min="14593" max="14596" width="13.625" style="423" customWidth="1"/>
    <col min="14597" max="14597" width="7.75" style="423" customWidth="1"/>
    <col min="14598" max="14601" width="13.625" style="423" customWidth="1"/>
    <col min="14602" max="14848" width="9" style="423"/>
    <col min="14849" max="14852" width="13.625" style="423" customWidth="1"/>
    <col min="14853" max="14853" width="7.75" style="423" customWidth="1"/>
    <col min="14854" max="14857" width="13.625" style="423" customWidth="1"/>
    <col min="14858" max="15104" width="9" style="423"/>
    <col min="15105" max="15108" width="13.625" style="423" customWidth="1"/>
    <col min="15109" max="15109" width="7.75" style="423" customWidth="1"/>
    <col min="15110" max="15113" width="13.625" style="423" customWidth="1"/>
    <col min="15114" max="15360" width="9" style="423"/>
    <col min="15361" max="15364" width="13.625" style="423" customWidth="1"/>
    <col min="15365" max="15365" width="7.75" style="423" customWidth="1"/>
    <col min="15366" max="15369" width="13.625" style="423" customWidth="1"/>
    <col min="15370" max="15616" width="9" style="423"/>
    <col min="15617" max="15620" width="13.625" style="423" customWidth="1"/>
    <col min="15621" max="15621" width="7.75" style="423" customWidth="1"/>
    <col min="15622" max="15625" width="13.625" style="423" customWidth="1"/>
    <col min="15626" max="15872" width="9" style="423"/>
    <col min="15873" max="15876" width="13.625" style="423" customWidth="1"/>
    <col min="15877" max="15877" width="7.75" style="423" customWidth="1"/>
    <col min="15878" max="15881" width="13.625" style="423" customWidth="1"/>
    <col min="15882" max="16128" width="9" style="423"/>
    <col min="16129" max="16132" width="13.625" style="423" customWidth="1"/>
    <col min="16133" max="16133" width="7.75" style="423" customWidth="1"/>
    <col min="16134" max="16137" width="13.625" style="423" customWidth="1"/>
    <col min="16138" max="16384" width="9" style="423"/>
  </cols>
  <sheetData>
    <row r="1" spans="1:9">
      <c r="A1" s="421" t="s">
        <v>4151</v>
      </c>
      <c r="B1" s="421" t="s">
        <v>4152</v>
      </c>
      <c r="C1" s="421" t="s">
        <v>4153</v>
      </c>
      <c r="D1" s="421" t="s">
        <v>4154</v>
      </c>
      <c r="E1" s="422"/>
      <c r="F1" s="421" t="s">
        <v>4155</v>
      </c>
      <c r="G1" s="421" t="s">
        <v>4156</v>
      </c>
      <c r="H1" s="421" t="s">
        <v>4157</v>
      </c>
      <c r="I1" s="421" t="s">
        <v>4158</v>
      </c>
    </row>
    <row r="2" spans="1:9">
      <c r="A2" s="424"/>
      <c r="B2" s="424"/>
      <c r="C2" s="424"/>
      <c r="D2" s="424"/>
      <c r="E2" s="425"/>
      <c r="F2" s="424"/>
      <c r="G2" s="424"/>
      <c r="H2" s="424"/>
      <c r="I2" s="424"/>
    </row>
    <row r="3" spans="1:9">
      <c r="A3" s="414"/>
      <c r="B3" s="414"/>
      <c r="C3" s="414"/>
      <c r="D3" s="414"/>
      <c r="E3" s="425"/>
      <c r="F3" s="414"/>
      <c r="G3" s="414"/>
      <c r="H3" s="414"/>
      <c r="I3" s="414"/>
    </row>
    <row r="4" spans="1:9">
      <c r="A4" s="414"/>
      <c r="B4" s="414"/>
      <c r="C4" s="414"/>
      <c r="D4" s="414"/>
      <c r="E4" s="425"/>
      <c r="F4" s="414"/>
      <c r="G4" s="414"/>
      <c r="H4" s="414"/>
      <c r="I4" s="414"/>
    </row>
    <row r="5" spans="1:9">
      <c r="A5" s="414"/>
      <c r="B5" s="414"/>
      <c r="C5" s="414"/>
      <c r="D5" s="414"/>
      <c r="E5" s="425"/>
      <c r="F5" s="414"/>
      <c r="G5" s="414"/>
      <c r="H5" s="414"/>
      <c r="I5" s="414"/>
    </row>
    <row r="6" spans="1:9">
      <c r="A6" s="414"/>
      <c r="B6" s="414"/>
      <c r="C6" s="414"/>
      <c r="D6" s="414"/>
      <c r="E6" s="425"/>
      <c r="F6" s="414"/>
      <c r="G6" s="414"/>
      <c r="H6" s="414"/>
      <c r="I6" s="414"/>
    </row>
    <row r="7" spans="1:9">
      <c r="A7" s="414"/>
      <c r="B7" s="414"/>
      <c r="C7" s="414"/>
      <c r="D7" s="414"/>
      <c r="E7" s="425"/>
      <c r="F7" s="414"/>
      <c r="G7" s="414"/>
      <c r="H7" s="414"/>
      <c r="I7" s="414"/>
    </row>
    <row r="8" spans="1:9">
      <c r="A8" s="414"/>
      <c r="B8" s="414"/>
      <c r="C8" s="426"/>
      <c r="D8" s="414"/>
      <c r="E8" s="425"/>
      <c r="F8" s="414"/>
      <c r="G8" s="414"/>
      <c r="H8" s="414"/>
      <c r="I8" s="414"/>
    </row>
    <row r="9" spans="1:9">
      <c r="A9" s="414"/>
      <c r="B9" s="414"/>
      <c r="C9" s="426"/>
      <c r="D9" s="414"/>
      <c r="E9" s="425"/>
      <c r="F9" s="414"/>
      <c r="G9" s="414"/>
      <c r="H9" s="414"/>
      <c r="I9" s="414"/>
    </row>
    <row r="10" spans="1:9">
      <c r="A10" s="427"/>
      <c r="B10" s="427"/>
      <c r="C10" s="427"/>
      <c r="D10" s="427"/>
      <c r="E10" s="425"/>
      <c r="F10" s="427"/>
      <c r="G10" s="427"/>
      <c r="H10" s="427"/>
      <c r="I10" s="427"/>
    </row>
  </sheetData>
  <mergeCells count="2">
    <mergeCell ref="A10:D10"/>
    <mergeCell ref="F10:I10"/>
  </mergeCells>
  <phoneticPr fontId="2" type="noConversion"/>
  <pageMargins left="0.75" right="0.75" top="1" bottom="1" header="0.5" footer="0.5"/>
  <pageSetup paperSize="9" orientation="landscape"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28</vt:i4>
      </vt:variant>
      <vt:variant>
        <vt:lpstr>命名范围</vt:lpstr>
      </vt:variant>
      <vt:variant>
        <vt:i4>3</vt:i4>
      </vt:variant>
    </vt:vector>
  </HeadingPairs>
  <TitlesOfParts>
    <vt:vector size="31" baseType="lpstr">
      <vt:lpstr>OnlinePlan</vt:lpstr>
      <vt:lpstr>Message</vt:lpstr>
      <vt:lpstr>News</vt:lpstr>
      <vt:lpstr>Note</vt:lpstr>
      <vt:lpstr>Link</vt:lpstr>
      <vt:lpstr>Event</vt:lpstr>
      <vt:lpstr>Media</vt:lpstr>
      <vt:lpstr>Memorandum</vt:lpstr>
      <vt:lpstr>Enterprise</vt:lpstr>
      <vt:lpstr>Product</vt:lpstr>
      <vt:lpstr>Person</vt:lpstr>
      <vt:lpstr>JOB</vt:lpstr>
      <vt:lpstr>Action</vt:lpstr>
      <vt:lpstr>Doda</vt:lpstr>
      <vt:lpstr>Type</vt:lpstr>
      <vt:lpstr>PdM</vt:lpstr>
      <vt:lpstr>Language</vt:lpstr>
      <vt:lpstr>Web</vt:lpstr>
      <vt:lpstr>MSOffice</vt:lpstr>
      <vt:lpstr>Framework</vt:lpstr>
      <vt:lpstr>Environment</vt:lpstr>
      <vt:lpstr>Training Plan</vt:lpstr>
      <vt:lpstr>Plan (2)</vt:lpstr>
      <vt:lpstr>Mainframe课程内容</vt:lpstr>
      <vt:lpstr>东软培训要求</vt:lpstr>
      <vt:lpstr>日历</vt:lpstr>
      <vt:lpstr>座位表</vt:lpstr>
      <vt:lpstr>小组</vt:lpstr>
      <vt:lpstr>Mainframe课程内容!Print_Area</vt:lpstr>
      <vt:lpstr>Mainframe课程内容!Print_Titles</vt:lpstr>
      <vt:lpstr>小组!unnamed2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 Shubin Live</dc:creator>
  <cp:lastModifiedBy>Live Sun Shubin</cp:lastModifiedBy>
  <dcterms:created xsi:type="dcterms:W3CDTF">2021-04-04T07:37:22Z</dcterms:created>
  <dcterms:modified xsi:type="dcterms:W3CDTF">2021-05-22T22:13:21Z</dcterms:modified>
</cp:coreProperties>
</file>