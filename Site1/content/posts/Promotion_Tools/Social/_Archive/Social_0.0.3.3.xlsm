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ssb-live\OneDrive\ssb-privacy@com\Social\"/>
    </mc:Choice>
  </mc:AlternateContent>
  <xr:revisionPtr revIDLastSave="0" documentId="13_ncr:1_{A5981D2F-52A0-4096-8130-589C30C19FA4}" xr6:coauthVersionLast="47" xr6:coauthVersionMax="47" xr10:uidLastSave="{00000000-0000-0000-0000-000000000000}"/>
  <bookViews>
    <workbookView xWindow="-120" yWindow="-120" windowWidth="24240" windowHeight="13020" tabRatio="754" activeTab="6" xr2:uid="{2D808D52-854E-4D80-BD4A-7D7345A3D105}"/>
  </bookViews>
  <sheets>
    <sheet name="新资源" sheetId="19" r:id="rId1"/>
    <sheet name="00Tools" sheetId="16" r:id="rId2"/>
    <sheet name="PushCycle" sheetId="17" r:id="rId3"/>
    <sheet name="活动参加者" sheetId="21" r:id="rId4"/>
    <sheet name="投资人列表" sheetId="12" r:id="rId5"/>
    <sheet name="机构列表" sheetId="13" r:id="rId6"/>
    <sheet name="Contacts" sheetId="22" r:id="rId7"/>
    <sheet name="右侧是原始" sheetId="15" r:id="rId8"/>
    <sheet name="投资人邮箱1" sheetId="1" r:id="rId9"/>
    <sheet name="投资人邮箱2" sheetId="2" r:id="rId10"/>
    <sheet name="投资人邮箱3" sheetId="3" r:id="rId11"/>
    <sheet name="投资人邮箱4" sheetId="4" r:id="rId12"/>
    <sheet name="投资人邮箱5" sheetId="5" r:id="rId13"/>
    <sheet name="投资人邮箱6" sheetId="6" r:id="rId14"/>
    <sheet name="投资人邮箱7" sheetId="7" r:id="rId15"/>
    <sheet name="投资人邮箱8" sheetId="8" r:id="rId16"/>
    <sheet name="VC" sheetId="9" r:id="rId17"/>
    <sheet name="重要VC" sheetId="10" r:id="rId18"/>
    <sheet name="机构" sheetId="11" r:id="rId19"/>
  </sheets>
  <definedNames>
    <definedName name="_xlnm._FilterDatabase" localSheetId="6" hidden="1">Contacts!$A$1:$R$142</definedName>
    <definedName name="_xlnm._FilterDatabase" localSheetId="2">PushCycle!$A$1:$J$522</definedName>
    <definedName name="_xlnm._FilterDatabase" localSheetId="5">机构列表!$A$1:$AD$171</definedName>
    <definedName name="_xlnm._FilterDatabase" localSheetId="4" hidden="1">投资人列表!$A$1:$AC$797</definedName>
    <definedName name="天使轮">机构列表!$L$1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2" i="22" l="1"/>
  <c r="J2" i="22"/>
  <c r="I3" i="22"/>
  <c r="I144" i="22" s="1"/>
  <c r="J3" i="22"/>
  <c r="I4" i="22"/>
  <c r="J4" i="22"/>
  <c r="I5" i="22"/>
  <c r="J5" i="22"/>
  <c r="I6" i="22"/>
  <c r="J6" i="22"/>
  <c r="I7" i="22"/>
  <c r="J7" i="22"/>
  <c r="I8" i="22"/>
  <c r="J8" i="22"/>
  <c r="I9" i="22"/>
  <c r="J9" i="22"/>
  <c r="I10" i="22"/>
  <c r="J10" i="22"/>
  <c r="I11" i="22"/>
  <c r="J11" i="22"/>
  <c r="I12" i="22"/>
  <c r="J12" i="22"/>
  <c r="I13" i="22"/>
  <c r="J13" i="22"/>
  <c r="I14" i="22"/>
  <c r="J14" i="22"/>
  <c r="I15" i="22"/>
  <c r="J15" i="22"/>
  <c r="I16" i="22"/>
  <c r="J16" i="22"/>
  <c r="I17" i="22"/>
  <c r="J17" i="22"/>
  <c r="I18" i="22"/>
  <c r="J18" i="22"/>
  <c r="I19" i="22"/>
  <c r="J19" i="22"/>
  <c r="I20" i="22"/>
  <c r="J20" i="22"/>
  <c r="I21" i="22"/>
  <c r="J21" i="22"/>
  <c r="I22" i="22"/>
  <c r="J22" i="22"/>
  <c r="I23" i="22"/>
  <c r="J23" i="22"/>
  <c r="I24" i="22"/>
  <c r="J24" i="22"/>
  <c r="I25" i="22"/>
  <c r="J25" i="22"/>
  <c r="I26" i="22"/>
  <c r="J26" i="22"/>
  <c r="I27" i="22"/>
  <c r="J27" i="22"/>
  <c r="I28" i="22"/>
  <c r="J28" i="22"/>
  <c r="I29" i="22"/>
  <c r="J29" i="22"/>
  <c r="I30" i="22"/>
  <c r="J30" i="22"/>
  <c r="I31" i="22"/>
  <c r="J31" i="22"/>
  <c r="I32" i="22"/>
  <c r="J32" i="22"/>
  <c r="I33" i="22"/>
  <c r="J33" i="22"/>
  <c r="I34" i="22"/>
  <c r="J34" i="22"/>
  <c r="I35" i="22"/>
  <c r="J35" i="22"/>
  <c r="I36" i="22"/>
  <c r="J36" i="22"/>
  <c r="I37" i="22"/>
  <c r="J37" i="22"/>
  <c r="I38" i="22"/>
  <c r="J38" i="22"/>
  <c r="I39" i="22"/>
  <c r="J39" i="22"/>
  <c r="I40" i="22"/>
  <c r="J40" i="22"/>
  <c r="I41" i="22"/>
  <c r="J41" i="22"/>
  <c r="I42" i="22"/>
  <c r="J42" i="22"/>
  <c r="I43" i="22"/>
  <c r="J43" i="22"/>
  <c r="I44" i="22"/>
  <c r="J44" i="22"/>
  <c r="I45" i="22"/>
  <c r="J45" i="22"/>
  <c r="I46" i="22"/>
  <c r="J46" i="22"/>
  <c r="I47" i="22"/>
  <c r="J47" i="22"/>
  <c r="I48" i="22"/>
  <c r="J48" i="22"/>
  <c r="I49" i="22"/>
  <c r="J49" i="22"/>
  <c r="I50" i="22"/>
  <c r="J50" i="22"/>
  <c r="I51" i="22"/>
  <c r="J51" i="22"/>
  <c r="I52" i="22"/>
  <c r="J52" i="22"/>
  <c r="I53" i="22"/>
  <c r="J53" i="22"/>
  <c r="I54" i="22"/>
  <c r="J54" i="22"/>
  <c r="I55" i="22"/>
  <c r="J55" i="22"/>
  <c r="I56" i="22"/>
  <c r="J56" i="22"/>
  <c r="I57" i="22"/>
  <c r="J57" i="22"/>
  <c r="I58" i="22"/>
  <c r="J58" i="22"/>
  <c r="I59" i="22"/>
  <c r="J59" i="22"/>
  <c r="I60" i="22"/>
  <c r="J60" i="22"/>
  <c r="I61" i="22"/>
  <c r="J61" i="22"/>
  <c r="I62" i="22"/>
  <c r="J62" i="22"/>
  <c r="I63" i="22"/>
  <c r="J63" i="22"/>
  <c r="I64" i="22"/>
  <c r="J64" i="22"/>
  <c r="I65" i="22"/>
  <c r="J65" i="22"/>
  <c r="I66" i="22"/>
  <c r="J66" i="22"/>
  <c r="I67" i="22"/>
  <c r="J67" i="22"/>
  <c r="I68" i="22"/>
  <c r="J68" i="22"/>
  <c r="I69" i="22"/>
  <c r="J69" i="22"/>
  <c r="I70" i="22"/>
  <c r="J70" i="22"/>
  <c r="I71" i="22"/>
  <c r="J71" i="22"/>
  <c r="I72" i="22"/>
  <c r="J72" i="22"/>
  <c r="I73" i="22"/>
  <c r="J73" i="22"/>
  <c r="I74" i="22"/>
  <c r="J74" i="22"/>
  <c r="I75" i="22"/>
  <c r="J75" i="22"/>
  <c r="I76" i="22"/>
  <c r="J76" i="22"/>
  <c r="I77" i="22"/>
  <c r="J77" i="22"/>
  <c r="I78" i="22"/>
  <c r="J78" i="22"/>
  <c r="I79" i="22"/>
  <c r="J79" i="22"/>
  <c r="I80" i="22"/>
  <c r="J80" i="22"/>
  <c r="I81" i="22"/>
  <c r="J81" i="22"/>
  <c r="I82" i="22"/>
  <c r="J82" i="22"/>
  <c r="I83" i="22"/>
  <c r="J83" i="22"/>
  <c r="I84" i="22"/>
  <c r="J84" i="22"/>
  <c r="I85" i="22"/>
  <c r="J85" i="22"/>
  <c r="I86" i="22"/>
  <c r="J86" i="22"/>
  <c r="I87" i="22"/>
  <c r="J87" i="22"/>
  <c r="I88" i="22"/>
  <c r="J88" i="22"/>
  <c r="I89" i="22"/>
  <c r="J89" i="22"/>
  <c r="I90" i="22"/>
  <c r="J90" i="22"/>
  <c r="I91" i="22"/>
  <c r="J91" i="22"/>
  <c r="I92" i="22"/>
  <c r="J92" i="22"/>
  <c r="I93" i="22"/>
  <c r="J93" i="22"/>
  <c r="I94" i="22"/>
  <c r="J94" i="22"/>
  <c r="I95" i="22"/>
  <c r="J95" i="22"/>
  <c r="I96" i="22"/>
  <c r="J96" i="22"/>
  <c r="I97" i="22"/>
  <c r="J97" i="22"/>
  <c r="I98" i="22"/>
  <c r="J98" i="22"/>
  <c r="I99" i="22"/>
  <c r="J99" i="22"/>
  <c r="I100" i="22"/>
  <c r="J100" i="22"/>
  <c r="I101" i="22"/>
  <c r="J101" i="22"/>
  <c r="I102" i="22"/>
  <c r="J102" i="22"/>
  <c r="I103" i="22"/>
  <c r="J103" i="22"/>
  <c r="I104" i="22"/>
  <c r="J104" i="22"/>
  <c r="I105" i="22"/>
  <c r="J105" i="22"/>
  <c r="I106" i="22"/>
  <c r="J106" i="22"/>
  <c r="I107" i="22"/>
  <c r="J107" i="22"/>
  <c r="I108" i="22"/>
  <c r="J108" i="22"/>
  <c r="I109" i="22"/>
  <c r="J109" i="22"/>
  <c r="I110" i="22"/>
  <c r="J110" i="22"/>
  <c r="I111" i="22"/>
  <c r="J111" i="22"/>
  <c r="I112" i="22"/>
  <c r="J112" i="22"/>
  <c r="I113" i="22"/>
  <c r="J113" i="22"/>
  <c r="I114" i="22"/>
  <c r="J114" i="22"/>
  <c r="I115" i="22"/>
  <c r="J115" i="22"/>
  <c r="I116" i="22"/>
  <c r="J116" i="22"/>
  <c r="I117" i="22"/>
  <c r="J117" i="22"/>
  <c r="I118" i="22"/>
  <c r="J118" i="22"/>
  <c r="I119" i="22"/>
  <c r="J119" i="22"/>
  <c r="I120" i="22"/>
  <c r="J120" i="22"/>
  <c r="I121" i="22"/>
  <c r="J121" i="22"/>
  <c r="I122" i="22"/>
  <c r="J122" i="22"/>
  <c r="I123" i="22"/>
  <c r="J123" i="22"/>
  <c r="I124" i="22"/>
  <c r="J124" i="22"/>
  <c r="I125" i="22"/>
  <c r="J125" i="22"/>
  <c r="I126" i="22"/>
  <c r="J126" i="22"/>
  <c r="I127" i="22"/>
  <c r="J127" i="22"/>
  <c r="I128" i="22"/>
  <c r="J128" i="22"/>
  <c r="I129" i="22"/>
  <c r="J129" i="22"/>
  <c r="I130" i="22"/>
  <c r="J130" i="22"/>
  <c r="I131" i="22"/>
  <c r="J131" i="22"/>
  <c r="I132" i="22"/>
  <c r="J132" i="22"/>
  <c r="I133" i="22"/>
  <c r="J133" i="22"/>
  <c r="I134" i="22"/>
  <c r="J134" i="22"/>
  <c r="I135" i="22"/>
  <c r="J135" i="22"/>
  <c r="I136" i="22"/>
  <c r="J136" i="22"/>
  <c r="I137" i="22"/>
  <c r="J137" i="22"/>
  <c r="I138" i="22"/>
  <c r="J138" i="22"/>
  <c r="I139" i="22"/>
  <c r="J139" i="22"/>
  <c r="I140" i="22"/>
  <c r="J140" i="22"/>
  <c r="I141" i="22"/>
  <c r="J141" i="22"/>
  <c r="I142" i="22"/>
  <c r="J142" i="22"/>
  <c r="I143" i="22"/>
  <c r="J143" i="22"/>
  <c r="K144" i="22"/>
  <c r="L144" i="22"/>
  <c r="M144" i="22"/>
  <c r="N144" i="22"/>
  <c r="O144" i="22"/>
  <c r="P144" i="22"/>
  <c r="R144" i="22"/>
  <c r="J144" i="22" l="1"/>
  <c r="I145" i="22"/>
  <c r="J145"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4"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788"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1"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1"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<sst xmlns="http://schemas.openxmlformats.org/spreadsheetml/2006/main" count="12239" uniqueCount="5106">
  <si>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</si>
  <si>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</si>
  <si>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</si>
  <si>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</si>
  <si>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</si>
  <si>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</si>
  <si>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</si>
  <si>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</si>
  <si>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</si>
  <si>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</si>
  <si>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</si>
  <si>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</si>
  <si>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</si>
  <si>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</si>
  <si>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</si>
  <si>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</si>
  <si>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</si>
  <si>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</si>
  <si>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</si>
  <si>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</si>
  <si>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</si>
  <si>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</si>
  <si>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</si>
  <si>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</si>
  <si>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</si>
  <si>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</si>
  <si>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</si>
  <si>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</si>
  <si>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</si>
  <si>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</si>
  <si>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</si>
  <si>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</si>
  <si>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</si>
  <si>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</si>
  <si>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</si>
  <si>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</si>
  <si>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</si>
  <si>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</si>
  <si>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</si>
  <si>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</si>
  <si>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</si>
  <si>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</si>
  <si>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</si>
  <si>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</si>
  <si>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</si>
  <si>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</si>
  <si>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</si>
  <si>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</si>
  <si>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</si>
  <si>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</si>
  <si>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</si>
  <si>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</si>
  <si>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</si>
  <si>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</si>
  <si>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</si>
  <si>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</si>
  <si>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</si>
  <si>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</si>
  <si>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</si>
  <si>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</si>
  <si>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</si>
  <si>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</si>
  <si>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</si>
  <si>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</si>
  <si>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</si>
  <si>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</si>
  <si>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</si>
  <si>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</si>
  <si>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</si>
  <si>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</si>
  <si>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</si>
  <si>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</si>
  <si>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</si>
  <si>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</si>
  <si>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</si>
  <si>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</si>
  <si>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</si>
  <si>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</si>
  <si>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</si>
  <si>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</si>
  <si>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</si>
  <si>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</si>
  <si>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</si>
  <si>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</si>
  <si>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</si>
  <si>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</si>
  <si>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</si>
  <si>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</si>
  <si>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</si>
  <si>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</si>
  <si>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</si>
  <si>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</si>
  <si>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</si>
  <si>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</si>
  <si>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</si>
  <si>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</si>
  <si>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</si>
  <si>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</si>
  <si>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</si>
  <si>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</si>
  <si>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</si>
  <si>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</si>
  <si>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</si>
  <si>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</si>
  <si>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</si>
  <si>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</si>
  <si>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</si>
  <si>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</si>
  <si>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</si>
  <si>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</si>
  <si>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</si>
  <si>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</si>
  <si>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</si>
  <si>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</si>
  <si>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</si>
  <si>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</si>
  <si>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</si>
  <si>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</si>
  <si>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</si>
  <si>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</si>
  <si>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</si>
  <si>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</si>
  <si>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</si>
  <si>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</si>
  <si>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</si>
  <si>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</si>
  <si>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</si>
  <si>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</si>
  <si>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</si>
  <si>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</si>
  <si>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</si>
  <si>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</si>
  <si>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</si>
  <si>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</si>
  <si>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</si>
  <si>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</si>
  <si>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</si>
  <si>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</si>
  <si>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</si>
  <si>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</si>
  <si>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</si>
  <si>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</si>
  <si>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</si>
  <si>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</si>
  <si>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</si>
  <si>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</si>
  <si>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</si>
  <si>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</si>
  <si>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</si>
  <si>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</si>
  <si>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</si>
  <si>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</si>
  <si>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</si>
  <si>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</si>
  <si>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</si>
  <si>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</si>
  <si>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</si>
  <si>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</si>
  <si>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</si>
  <si>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</si>
  <si>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</si>
  <si>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</si>
  <si>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</si>
  <si>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</si>
  <si>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</si>
  <si>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</si>
  <si>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</si>
  <si>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</si>
  <si>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</si>
  <si>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</si>
  <si>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</si>
  <si>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</si>
  <si>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</si>
  <si>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</si>
  <si>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</si>
  <si>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</si>
  <si>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</si>
  <si>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</si>
  <si>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</si>
  <si>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</si>
  <si>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</si>
  <si>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</si>
  <si>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</si>
  <si>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</si>
  <si>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</si>
  <si>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</si>
  <si>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</si>
  <si>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</si>
  <si>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</si>
  <si>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</si>
  <si>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</si>
  <si>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</si>
  <si>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</si>
  <si>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</si>
  <si>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</si>
  <si>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</si>
  <si>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</si>
  <si>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</si>
  <si>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</si>
  <si>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</si>
  <si>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</si>
  <si>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</si>
  <si>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</si>
  <si>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</si>
  <si>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</si>
  <si>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</si>
  <si>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</si>
  <si>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</si>
  <si>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</si>
  <si>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</si>
  <si>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</si>
  <si>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</si>
  <si>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</si>
  <si>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</si>
  <si>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</si>
  <si>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</si>
  <si>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</si>
  <si>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</si>
  <si>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</si>
  <si>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</si>
  <si>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</si>
  <si>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</si>
  <si>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</si>
  <si>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</si>
  <si>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</si>
  <si>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</si>
  <si>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</si>
  <si>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</si>
  <si>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</si>
  <si>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</si>
  <si>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</si>
  <si>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</si>
  <si>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</si>
  <si>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</si>
  <si>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</si>
  <si>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</si>
  <si>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</si>
  <si>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</si>
  <si>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</si>
  <si>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</si>
  <si>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</si>
  <si>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</si>
  <si>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</si>
  <si>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</si>
  <si>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</si>
  <si>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</si>
  <si>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</si>
  <si>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</si>
  <si>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</si>
  <si>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</si>
  <si>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</si>
  <si>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</si>
  <si>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</si>
  <si>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</si>
  <si>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</si>
  <si>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</si>
  <si>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</si>
  <si>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</si>
  <si>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</si>
  <si>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</si>
  <si>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</si>
  <si>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</si>
  <si>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</si>
  <si>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</si>
  <si>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</si>
  <si>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</si>
  <si>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</si>
  <si>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</si>
  <si>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</si>
  <si>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</si>
  <si>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</si>
  <si>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</si>
  <si>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</si>
  <si>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</si>
  <si>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</si>
  <si>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</si>
  <si>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</si>
  <si>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</si>
  <si>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</si>
  <si>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</si>
  <si>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</si>
  <si>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</si>
  <si>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</si>
  <si>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</si>
  <si>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</si>
  <si>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</si>
  <si>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</si>
  <si>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</si>
  <si>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</si>
  <si>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</si>
  <si>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</si>
  <si>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</si>
  <si>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</si>
  <si>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</si>
  <si>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</si>
  <si>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</si>
  <si>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</si>
  <si>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</si>
  <si>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</si>
  <si>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</si>
  <si>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</si>
  <si>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</si>
  <si>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</si>
  <si>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</si>
  <si>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</si>
  <si>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</si>
  <si>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</si>
  <si>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</si>
  <si>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</si>
  <si>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</si>
  <si>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</si>
  <si>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</si>
  <si>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</si>
  <si>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</si>
  <si>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</si>
  <si>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</si>
  <si>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</si>
  <si>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</si>
  <si>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</si>
  <si>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</si>
  <si>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</si>
  <si>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</si>
  <si>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</si>
  <si>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</si>
  <si>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</si>
  <si>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</si>
  <si>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</si>
  <si>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</si>
  <si>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</si>
  <si>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</si>
  <si>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</si>
  <si>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</si>
  <si>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</si>
  <si>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</si>
  <si>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</si>
  <si>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</si>
  <si>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</si>
  <si>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</si>
  <si>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</si>
  <si>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</si>
  <si>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</si>
  <si>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</si>
  <si>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</si>
  <si>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</si>
  <si>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</si>
  <si>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</si>
  <si>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</si>
  <si>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</si>
  <si>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</si>
  <si>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</si>
  <si>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</si>
  <si>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</si>
  <si>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</si>
  <si>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</si>
  <si>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</si>
  <si>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</si>
  <si>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</si>
  <si>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</si>
  <si>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</si>
  <si>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</si>
  <si>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</si>
  <si>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</si>
  <si>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</si>
  <si>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</si>
  <si>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</si>
  <si>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</si>
  <si>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</si>
  <si>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</si>
  <si>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</si>
  <si>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</si>
  <si>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</si>
  <si>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</si>
  <si>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</si>
  <si>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</si>
  <si>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</si>
  <si>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</si>
  <si>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</si>
  <si>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</si>
  <si>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</si>
  <si>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</si>
  <si>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</si>
  <si>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</si>
  <si>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</si>
  <si>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</si>
  <si>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</si>
  <si>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</si>
  <si>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</si>
  <si>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</si>
  <si>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</si>
  <si>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</si>
  <si>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</si>
  <si>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</si>
  <si>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</si>
  <si>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</si>
  <si>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</si>
  <si>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</si>
  <si>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</si>
  <si>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</si>
  <si>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</si>
  <si>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</si>
  <si>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</si>
  <si>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</si>
  <si>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</si>
  <si>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</si>
  <si>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</si>
  <si>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</si>
  <si>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</si>
  <si>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</si>
  <si>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</si>
  <si>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</si>
  <si>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</si>
  <si>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</si>
  <si>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</si>
  <si>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</si>
  <si>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</si>
  <si>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</si>
  <si>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</si>
  <si>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</si>
  <si>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</si>
  <si>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</si>
  <si>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</si>
  <si>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</si>
  <si>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</si>
  <si>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</si>
  <si>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</si>
  <si>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</si>
  <si>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</si>
  <si>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</si>
  <si>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</si>
  <si>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</si>
  <si>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</si>
  <si>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</si>
  <si>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</si>
  <si>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</si>
  <si>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</si>
  <si>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</si>
  <si>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</si>
  <si>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</si>
  <si>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</si>
  <si>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</si>
  <si>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</si>
  <si>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</si>
  <si>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</si>
  <si>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</si>
  <si>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</si>
  <si>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</si>
  <si>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</si>
  <si>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</si>
  <si>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</si>
  <si>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</si>
  <si>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</si>
  <si>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</si>
  <si>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</si>
  <si>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</si>
  <si>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</si>
  <si>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</si>
  <si>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</si>
  <si>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</si>
  <si>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</si>
  <si>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</si>
  <si>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</si>
  <si>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</si>
  <si>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</si>
  <si>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</si>
  <si>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</si>
  <si>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</si>
  <si>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</si>
  <si>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</si>
  <si>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</si>
  <si>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</si>
  <si>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</si>
  <si>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</si>
  <si>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</si>
  <si>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</si>
  <si>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</si>
  <si>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</si>
  <si>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</si>
  <si>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</si>
  <si>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</si>
  <si>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</si>
  <si>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</si>
  <si>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</si>
  <si>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</si>
  <si>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</si>
  <si>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</si>
  <si>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</si>
  <si>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</si>
  <si>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</si>
  <si>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</si>
  <si>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</si>
  <si>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</si>
  <si>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</si>
  <si>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</si>
  <si>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</si>
  <si>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</si>
  <si>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</si>
  <si>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</si>
  <si>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</si>
  <si>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</si>
  <si>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</si>
  <si>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</si>
  <si>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</si>
  <si>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</si>
  <si>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</si>
  <si>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</si>
  <si>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</si>
  <si>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</si>
  <si>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</si>
  <si>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</si>
  <si>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</si>
  <si>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</si>
  <si>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</si>
  <si>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</si>
  <si>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</si>
  <si>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</si>
  <si>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</si>
  <si>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</si>
  <si>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</si>
  <si>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</si>
  <si>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</si>
  <si>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</si>
  <si>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</si>
  <si>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</si>
  <si>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</si>
  <si>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</si>
  <si>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</si>
  <si>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</si>
  <si>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</si>
  <si>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</si>
  <si>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</si>
  <si>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</si>
  <si>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</si>
  <si>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</si>
  <si>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</si>
  <si>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</si>
  <si>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</si>
  <si>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</si>
  <si>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</si>
  <si>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</si>
  <si>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</si>
  <si>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</si>
  <si>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</si>
  <si>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</si>
  <si>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</si>
  <si>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</si>
  <si>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</si>
  <si>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</si>
  <si>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</si>
  <si>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</si>
  <si>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</si>
  <si>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</si>
  <si>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</si>
  <si>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</si>
  <si>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</si>
  <si>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</si>
  <si>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</si>
  <si>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</si>
  <si>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</si>
  <si>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</si>
  <si>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</si>
  <si>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</si>
  <si>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</si>
  <si>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</si>
  <si>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</si>
  <si>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</si>
  <si>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</si>
  <si>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</si>
  <si>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</si>
  <si>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</si>
  <si>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</si>
  <si>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</si>
  <si>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</si>
  <si>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</si>
  <si>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</si>
  <si>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</si>
  <si>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</si>
  <si>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</si>
  <si>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</si>
  <si>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</si>
  <si>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</si>
  <si>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</si>
  <si>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</si>
  <si>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</si>
  <si>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</si>
  <si>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</si>
  <si>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</si>
  <si>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</si>
  <si>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</si>
  <si>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</si>
  <si>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</si>
  <si>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</si>
  <si>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</si>
  <si>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</si>
  <si>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</si>
  <si>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</si>
  <si>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</si>
  <si>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</si>
  <si>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</si>
  <si>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</si>
  <si>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</si>
  <si>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</si>
  <si>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</si>
  <si>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</si>
  <si>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</si>
  <si>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</si>
  <si>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</si>
  <si>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</si>
  <si>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</si>
  <si>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</si>
  <si>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</si>
  <si>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</si>
  <si>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</si>
  <si>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</si>
  <si>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</si>
  <si>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</si>
  <si>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</si>
  <si>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</si>
  <si>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</si>
  <si>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</si>
  <si>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</si>
  <si>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</si>
  <si>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</si>
  <si>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</si>
  <si>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</si>
  <si>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</si>
  <si>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</si>
  <si>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</si>
  <si>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</si>
  <si>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</si>
  <si>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</si>
  <si>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</si>
  <si>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</si>
  <si>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</si>
  <si>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</si>
  <si>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</si>
  <si>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</si>
  <si>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</si>
  <si>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</si>
  <si>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</si>
  <si>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</si>
  <si>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</si>
  <si>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</si>
  <si>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</si>
  <si>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</si>
  <si>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</si>
  <si>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</si>
  <si>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</si>
  <si>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</si>
  <si>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</si>
  <si>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</si>
  <si>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</si>
  <si>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</si>
  <si>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</si>
  <si>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</si>
  <si>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</si>
  <si>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</si>
  <si>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</si>
  <si>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</si>
  <si>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</si>
  <si>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</si>
  <si>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</si>
  <si>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</si>
  <si>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</si>
  <si>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</si>
  <si>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</si>
  <si>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</si>
  <si>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</si>
  <si>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</si>
  <si>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</si>
  <si>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</si>
  <si>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</si>
  <si>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</si>
  <si>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</si>
  <si>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</si>
  <si>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</si>
  <si>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</si>
  <si>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</si>
  <si>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</si>
  <si>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</si>
  <si>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</si>
  <si>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</si>
  <si>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</si>
  <si>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</si>
  <si>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</si>
  <si>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</si>
  <si>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</si>
  <si>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</si>
  <si>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</si>
  <si>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</si>
  <si>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</si>
  <si>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</si>
  <si>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</si>
  <si>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</si>
  <si>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</si>
  <si>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</si>
  <si>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</si>
  <si>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</si>
  <si>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</si>
  <si>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</si>
  <si>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</si>
  <si>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</si>
  <si>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</si>
  <si>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</si>
  <si>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</si>
  <si>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</si>
  <si>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</si>
  <si>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</si>
  <si>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</si>
  <si>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</si>
  <si>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</si>
  <si>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</si>
  <si>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</si>
  <si>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</si>
  <si>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</si>
  <si>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</si>
  <si>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</si>
  <si>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</si>
  <si>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</si>
  <si>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</si>
  <si>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</si>
  <si>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</si>
  <si>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</si>
  <si>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</si>
  <si>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</si>
  <si>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</si>
  <si>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</si>
  <si>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</si>
  <si>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</si>
  <si>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</si>
  <si>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</si>
  <si>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</si>
  <si>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</si>
  <si>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</si>
  <si>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</si>
  <si>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</si>
  <si>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</si>
  <si>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</si>
  <si>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</si>
  <si>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</si>
  <si>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</si>
  <si>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</si>
  <si>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</si>
  <si>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</si>
  <si>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</si>
  <si>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</si>
  <si>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</si>
  <si>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</si>
  <si>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</si>
  <si>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</si>
  <si>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</si>
  <si>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</si>
  <si>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</si>
  <si>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</si>
  <si>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</si>
  <si>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</si>
  <si>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</si>
  <si>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</si>
  <si>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</si>
  <si>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</si>
  <si>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</si>
  <si>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</si>
  <si>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</si>
  <si>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</si>
  <si>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</si>
  <si>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</si>
  <si>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</si>
  <si>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</si>
  <si>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</si>
  <si>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</si>
  <si>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</si>
  <si>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</si>
  <si>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</si>
  <si>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</si>
  <si>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</si>
  <si>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</si>
  <si>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</si>
  <si>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</si>
  <si>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</si>
  <si>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</si>
  <si>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</si>
  <si>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</si>
  <si>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</si>
  <si>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</si>
  <si>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</si>
  <si>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</si>
  <si>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</si>
  <si>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</si>
  <si>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</si>
  <si>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</si>
  <si>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</si>
  <si>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</si>
  <si>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</si>
  <si>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</si>
  <si>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</si>
  <si>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</si>
  <si>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</si>
  <si>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</si>
  <si>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</si>
  <si>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</si>
  <si>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</si>
  <si>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</si>
  <si>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</si>
  <si>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</si>
  <si>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</si>
  <si>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</si>
  <si>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</si>
  <si>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</si>
  <si>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</si>
  <si>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</si>
  <si>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</si>
  <si>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</si>
  <si>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</si>
  <si>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</si>
  <si>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</si>
  <si>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</si>
  <si>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</si>
  <si>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</si>
  <si>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</si>
  <si>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</si>
  <si>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</si>
  <si>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</si>
  <si>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</si>
  <si>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</si>
  <si>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</si>
  <si>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</si>
  <si>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</si>
  <si>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</si>
  <si>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</si>
  <si>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</si>
  <si>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</si>
  <si>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</si>
  <si>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</si>
  <si>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</si>
  <si>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</si>
  <si>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</si>
  <si>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</si>
  <si>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</si>
  <si>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</si>
  <si>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</si>
  <si>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</si>
  <si>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</si>
  <si>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</si>
  <si>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</si>
  <si>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</si>
  <si>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</si>
  <si>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</si>
  <si>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</si>
  <si>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</si>
  <si>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</si>
  <si>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</si>
  <si>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</si>
  <si>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</si>
  <si>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</si>
  <si>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</si>
  <si>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</si>
  <si>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</si>
  <si>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</si>
  <si>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</si>
  <si>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</si>
  <si>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</si>
  <si>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</si>
  <si>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</si>
  <si>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</si>
  <si>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</si>
  <si>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</si>
  <si>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</si>
  <si>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</si>
  <si>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</si>
  <si>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</si>
  <si>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</si>
  <si>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</si>
  <si>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</si>
  <si>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</si>
  <si>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</si>
  <si>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</si>
  <si>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</si>
  <si>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</si>
  <si>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</si>
  <si>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</si>
  <si>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</si>
  <si>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</si>
  <si>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</si>
  <si>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</si>
  <si>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</si>
  <si>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</si>
  <si>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</si>
  <si>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</si>
  <si>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</si>
  <si>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</si>
  <si>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</si>
  <si>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</si>
  <si>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</si>
  <si>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</si>
  <si>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</si>
  <si>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</si>
  <si>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</si>
  <si>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</si>
  <si>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</si>
  <si>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</si>
  <si>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</si>
  <si>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</si>
  <si>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</si>
  <si>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</si>
  <si>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</si>
  <si>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</si>
  <si>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</si>
  <si>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</si>
  <si>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</si>
  <si>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</si>
  <si>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</si>
  <si>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</si>
  <si>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</si>
  <si>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</si>
  <si>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</si>
  <si>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</si>
  <si>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</si>
  <si>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</si>
  <si>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</si>
  <si>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</si>
  <si>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</si>
  <si>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</si>
  <si>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</si>
  <si>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</si>
  <si>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</si>
  <si>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</si>
  <si>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</si>
  <si>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</si>
  <si>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</si>
  <si>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</si>
  <si>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</si>
  <si>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</si>
  <si>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</si>
  <si>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</si>
  <si>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</si>
  <si>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</si>
  <si>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</si>
  <si>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</si>
  <si>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</si>
  <si>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</si>
  <si>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</si>
  <si>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</si>
  <si>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</si>
  <si>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</si>
  <si>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</si>
  <si>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</si>
  <si>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</si>
  <si>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</si>
  <si>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</si>
  <si>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</si>
  <si>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</si>
  <si>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</si>
  <si>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</si>
  <si>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</si>
  <si>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</si>
  <si>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</si>
  <si>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</si>
  <si>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</si>
  <si>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</si>
  <si>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</si>
  <si>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</si>
  <si>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</si>
  <si>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</si>
  <si>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</si>
  <si>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</si>
  <si>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</si>
  <si>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</si>
  <si>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</si>
  <si>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</si>
  <si>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</si>
  <si>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</si>
  <si>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</si>
  <si>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</si>
  <si>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</si>
  <si>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</si>
  <si>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</si>
  <si>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</si>
  <si>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</si>
  <si>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</si>
  <si>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</si>
  <si>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</si>
  <si>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</si>
  <si>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</si>
  <si>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</si>
  <si>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</si>
  <si>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</si>
  <si>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</si>
  <si>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</si>
  <si>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</si>
  <si>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</si>
  <si>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</si>
  <si>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</si>
  <si>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</si>
  <si>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</si>
  <si>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</si>
  <si>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</si>
  <si>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</si>
  <si>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</si>
  <si>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</si>
  <si>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</si>
  <si>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</si>
  <si>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</si>
  <si>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</si>
  <si>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</si>
  <si>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</si>
  <si>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</si>
  <si>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</si>
  <si>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</si>
  <si>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</si>
  <si>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</si>
  <si>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</si>
  <si>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</si>
  <si>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</si>
  <si>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</si>
  <si>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</si>
  <si>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</si>
  <si>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</si>
  <si>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</si>
  <si>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</si>
  <si>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</si>
  <si>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</si>
  <si>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</si>
  <si>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</si>
  <si>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</si>
  <si>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</si>
  <si>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</si>
  <si>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</si>
  <si>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</si>
  <si>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</si>
  <si>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</si>
  <si>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</si>
  <si>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</si>
  <si>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</si>
  <si>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</si>
  <si>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</si>
  <si>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</si>
  <si>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</si>
  <si>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</si>
  <si>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</si>
  <si>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</si>
  <si>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</si>
  <si>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</si>
  <si>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</si>
  <si>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</si>
  <si>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</si>
  <si>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</si>
  <si>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</si>
  <si>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</si>
  <si>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</si>
  <si>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</si>
  <si>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</si>
  <si>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</si>
  <si>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</si>
  <si>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</si>
  <si>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</si>
  <si>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</si>
  <si>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</si>
  <si>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</si>
  <si>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</si>
  <si>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</si>
  <si>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</si>
  <si>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</si>
  <si>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</si>
  <si>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</si>
  <si>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</si>
  <si>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</si>
  <si>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</si>
  <si>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</si>
  <si>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</si>
  <si>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</si>
  <si>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</si>
  <si>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</si>
  <si>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</si>
  <si>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</si>
  <si>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</si>
  <si>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</si>
  <si>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</si>
  <si>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</si>
  <si>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</si>
  <si>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</si>
  <si>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</si>
  <si>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</si>
  <si>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</si>
  <si>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</si>
  <si>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</si>
  <si>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</si>
  <si>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</si>
  <si>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</si>
  <si>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</si>
  <si>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</si>
  <si>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</si>
  <si>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</si>
  <si>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</si>
  <si>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</si>
  <si>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</si>
  <si>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</si>
  <si>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</si>
  <si>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</si>
  <si>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</si>
  <si>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</si>
  <si>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</si>
  <si>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</si>
  <si>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</si>
  <si>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</si>
  <si>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</si>
  <si>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</si>
  <si>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</si>
  <si>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</si>
  <si>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</si>
  <si>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</si>
  <si>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</si>
  <si>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</si>
  <si>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</si>
  <si>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</si>
  <si>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</si>
  <si>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</si>
  <si>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</si>
  <si>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</si>
  <si>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</si>
  <si>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</si>
  <si>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</si>
  <si>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</si>
  <si>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</si>
  <si>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</si>
  <si>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</si>
  <si>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</si>
  <si>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</si>
  <si>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</si>
  <si>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</si>
  <si>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</si>
  <si>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</si>
  <si>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</si>
  <si>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</si>
  <si>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</si>
  <si>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</si>
  <si>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</si>
  <si>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</si>
  <si>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</si>
  <si>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</si>
  <si>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</si>
  <si>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</si>
  <si>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</si>
  <si>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</si>
  <si>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</si>
  <si>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</si>
  <si>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</si>
  <si>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</si>
  <si>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</si>
  <si>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</si>
  <si>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</si>
  <si>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</si>
  <si>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</si>
  <si>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</si>
  <si>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</si>
  <si>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</si>
  <si>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</si>
  <si>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</si>
  <si>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</si>
  <si>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</si>
  <si>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</si>
  <si>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</si>
  <si>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</si>
  <si>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</si>
  <si>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</si>
  <si>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</si>
  <si>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</si>
  <si>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</si>
  <si>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</si>
  <si>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</si>
  <si>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</si>
  <si>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</si>
  <si>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</si>
  <si>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</si>
  <si>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</si>
  <si>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</si>
  <si>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</si>
  <si>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</si>
  <si>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</si>
  <si>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</si>
  <si>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</si>
  <si>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</si>
  <si>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</si>
  <si>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</si>
  <si>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</si>
  <si>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</si>
  <si>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</si>
  <si>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</si>
  <si>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</si>
  <si>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</si>
  <si>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</si>
  <si>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</si>
  <si>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</si>
  <si>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</si>
  <si>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</si>
  <si>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</si>
  <si>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</si>
  <si>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</si>
  <si>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</si>
  <si>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</si>
  <si>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</si>
  <si>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</si>
  <si>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</si>
  <si>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</si>
  <si>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</si>
  <si>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</si>
  <si>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</si>
  <si>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</si>
  <si>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</si>
  <si>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</si>
  <si>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</si>
  <si>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</si>
  <si>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</si>
  <si>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</si>
  <si>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</si>
  <si>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</si>
  <si>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</si>
  <si>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</si>
  <si>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</si>
  <si>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</si>
  <si>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</si>
  <si>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</si>
  <si>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</si>
  <si>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</si>
  <si>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</si>
  <si>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</si>
  <si>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</si>
  <si>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</si>
  <si>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</si>
  <si>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</si>
  <si>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</si>
  <si>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</si>
  <si>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</si>
  <si>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</si>
  <si>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</si>
  <si>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</si>
  <si>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</si>
  <si>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</si>
  <si>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</si>
  <si>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</si>
  <si>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</si>
  <si>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</si>
  <si>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</si>
  <si>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</si>
  <si>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</si>
  <si>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</si>
  <si>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</si>
  <si>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</si>
  <si>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</si>
  <si>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</si>
  <si>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</si>
  <si>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</si>
  <si>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</si>
  <si>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</si>
  <si>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</si>
  <si>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</si>
  <si>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</si>
  <si>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</si>
  <si>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</si>
  <si>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</si>
  <si>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</si>
  <si>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</si>
  <si>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</si>
  <si>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</si>
  <si>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</si>
  <si>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</si>
  <si>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</si>
  <si>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</si>
  <si>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</si>
  <si>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</si>
  <si>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</si>
  <si>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</si>
  <si>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</si>
  <si>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</si>
  <si>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</si>
  <si>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</si>
  <si>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</si>
  <si>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</si>
  <si>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</si>
  <si>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</si>
  <si>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</si>
  <si>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</si>
  <si>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</si>
  <si>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</si>
  <si>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</si>
  <si>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</si>
  <si>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</si>
  <si>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</si>
  <si>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</si>
  <si>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</si>
  <si>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</si>
  <si>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</si>
  <si>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</si>
  <si>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</si>
  <si>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</si>
  <si>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</si>
  <si>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</si>
  <si>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</si>
  <si>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</si>
  <si>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</si>
  <si>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</si>
  <si>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</si>
  <si>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</si>
  <si>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</si>
  <si>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</si>
  <si>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</si>
  <si>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</si>
  <si>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</si>
  <si>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</si>
  <si>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</si>
  <si>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</si>
  <si>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</si>
  <si>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</si>
  <si>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</si>
  <si>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</si>
  <si>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</si>
  <si>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</si>
  <si>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</si>
  <si>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</si>
  <si>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</si>
  <si>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</si>
  <si>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</si>
  <si>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</si>
  <si>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</si>
  <si>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</si>
  <si>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</si>
  <si>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</si>
  <si>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</si>
  <si>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</si>
  <si>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</si>
  <si>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</si>
  <si>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</si>
  <si>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</si>
  <si>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</si>
  <si>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</si>
  <si>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</si>
  <si>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</si>
  <si>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</si>
  <si>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</si>
  <si>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</si>
  <si>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</si>
  <si>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</si>
  <si>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</si>
  <si>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</si>
  <si>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</si>
  <si>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</si>
  <si>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</si>
  <si>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</si>
  <si>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</si>
  <si>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</si>
  <si>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</si>
  <si>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</si>
  <si>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</si>
  <si>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</si>
  <si>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</si>
  <si>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</si>
  <si>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</si>
  <si>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</si>
  <si>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</si>
  <si>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</si>
  <si>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</si>
  <si>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</si>
  <si>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</si>
  <si>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</si>
  <si>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</si>
  <si>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</si>
  <si>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</si>
  <si>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</si>
  <si>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</si>
  <si>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</si>
  <si>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</si>
  <si>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</si>
  <si>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</si>
  <si>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</si>
  <si>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</si>
  <si>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</si>
  <si>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</si>
  <si>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</si>
  <si>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</si>
  <si>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</si>
  <si>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</si>
  <si>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</si>
  <si>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</si>
  <si>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</si>
  <si>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</si>
  <si>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</si>
  <si>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</si>
  <si>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</si>
  <si>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</si>
  <si>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</si>
  <si>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</si>
  <si>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</si>
  <si>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</si>
  <si>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</si>
  <si>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</si>
  <si>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</si>
  <si>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</si>
  <si>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</si>
  <si>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</si>
  <si>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</si>
  <si>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</si>
  <si>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</si>
  <si>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</si>
  <si>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</si>
  <si>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</si>
  <si>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</si>
  <si>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</si>
  <si>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</si>
  <si>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</si>
  <si>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</si>
  <si>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</si>
  <si>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</si>
  <si>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</si>
  <si>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</si>
  <si>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</si>
  <si>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</si>
  <si>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</si>
  <si>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</si>
  <si>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</si>
  <si>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</si>
  <si>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</si>
  <si>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</si>
  <si>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</si>
  <si>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</si>
  <si>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</si>
  <si>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</si>
  <si>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</si>
  <si>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</si>
  <si>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</si>
  <si>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</si>
  <si>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</si>
  <si>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</si>
  <si>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</si>
  <si>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</si>
  <si>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</si>
  <si>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</si>
  <si>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</si>
  <si>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</si>
  <si>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</si>
  <si>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</si>
  <si>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</si>
  <si>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</si>
  <si>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</si>
  <si>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</si>
  <si>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</si>
  <si>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</si>
  <si>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</si>
  <si>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</si>
  <si>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</si>
  <si>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</si>
  <si>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</si>
  <si>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</si>
  <si>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</si>
  <si>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</si>
  <si>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</si>
  <si>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</si>
  <si>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</si>
  <si>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</si>
  <si>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</si>
  <si>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</si>
  <si>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</si>
  <si>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</si>
  <si>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</si>
  <si>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</si>
  <si>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</si>
  <si>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</si>
  <si>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</si>
  <si>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</si>
  <si>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</si>
  <si>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</si>
  <si>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</si>
  <si>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</si>
  <si>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</si>
  <si>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</si>
  <si>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</si>
  <si>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</si>
  <si>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</si>
  <si>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</si>
  <si>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</si>
  <si>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</si>
  <si>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</si>
  <si>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</si>
  <si>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</si>
  <si>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</si>
  <si>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</si>
  <si>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</si>
  <si>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</si>
  <si>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</si>
  <si>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</si>
  <si>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</si>
  <si>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</si>
  <si>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</si>
  <si>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</si>
  <si>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</si>
  <si>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</si>
  <si>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</si>
  <si>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</si>
  <si>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</si>
  <si>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</si>
  <si>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</si>
  <si>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</si>
  <si>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</si>
  <si>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</si>
  <si>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</si>
  <si>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</si>
  <si>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</si>
  <si>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</si>
  <si>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</si>
  <si>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</si>
  <si>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</si>
  <si>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</si>
  <si>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</si>
  <si>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</si>
  <si>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</si>
  <si>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</si>
  <si>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</si>
  <si>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</si>
  <si>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</si>
  <si>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</si>
  <si>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</si>
  <si>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</si>
  <si>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</si>
  <si>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</si>
  <si>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</si>
  <si>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</si>
  <si>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</si>
  <si>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</si>
  <si>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</si>
  <si>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</si>
  <si>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</si>
  <si>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</si>
  <si>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</si>
  <si>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</si>
  <si>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</si>
  <si>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</si>
  <si>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</si>
  <si>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</si>
  <si>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</si>
  <si>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</si>
  <si>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</si>
  <si>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</si>
  <si>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</si>
  <si>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</si>
  <si>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</si>
  <si>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</si>
  <si>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</si>
  <si>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</si>
  <si>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</si>
  <si>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</si>
  <si>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</si>
  <si>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</si>
  <si>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</si>
  <si>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</si>
  <si>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</si>
  <si>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</si>
  <si>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</si>
  <si>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</si>
  <si>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</si>
  <si>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</si>
  <si>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</si>
  <si>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</si>
  <si>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</si>
  <si>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</si>
  <si>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</si>
  <si>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</si>
  <si>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</si>
  <si>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</si>
  <si>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</si>
  <si>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</si>
  <si>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</si>
  <si>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</si>
  <si>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</si>
  <si>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</si>
  <si>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</si>
  <si>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</si>
  <si>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</si>
  <si>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</si>
  <si>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</si>
  <si>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</si>
  <si>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</si>
  <si>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</si>
  <si>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</si>
  <si>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</si>
  <si>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</si>
  <si>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</si>
  <si>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</si>
  <si>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</si>
  <si>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</si>
  <si>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</si>
  <si>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</si>
  <si>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</si>
  <si>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</si>
  <si>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</si>
  <si>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</si>
  <si>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</si>
  <si>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</si>
  <si>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</si>
  <si>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</si>
  <si>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</si>
  <si>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</si>
  <si>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</si>
  <si>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</si>
  <si>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</si>
  <si>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</si>
  <si>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</si>
  <si>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</si>
  <si>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</si>
  <si>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</si>
  <si>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</si>
  <si>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</si>
  <si>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</si>
  <si>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</si>
  <si>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</si>
  <si>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</si>
  <si>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</si>
  <si>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</si>
  <si>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</si>
  <si>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</si>
  <si>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</si>
  <si>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</si>
  <si>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</si>
  <si>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</si>
  <si>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</si>
  <si>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</si>
  <si>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</si>
  <si>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</si>
  <si>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</si>
  <si>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</si>
  <si>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</si>
  <si>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</si>
  <si>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</si>
  <si>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</si>
  <si>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</si>
  <si>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</si>
  <si>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</si>
  <si>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</si>
  <si>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</si>
  <si>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</si>
  <si>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</si>
  <si>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</si>
  <si>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</si>
  <si>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</si>
  <si>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</si>
  <si>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</si>
  <si>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</si>
  <si>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</si>
  <si>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</si>
  <si>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</si>
  <si>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</si>
  <si>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</si>
  <si>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</si>
  <si>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</si>
  <si>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</si>
  <si>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</si>
  <si>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</si>
  <si>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</si>
  <si>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</si>
  <si>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</si>
  <si>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</si>
  <si>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</si>
  <si>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</si>
  <si>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</si>
  <si>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</si>
  <si>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</si>
  <si>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</si>
  <si>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</si>
  <si>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</si>
  <si>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</si>
  <si>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</si>
  <si>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</si>
  <si>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</si>
  <si>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</si>
  <si>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</si>
  <si>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</si>
  <si>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</si>
  <si>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</si>
  <si>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</si>
  <si>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</si>
  <si>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</si>
  <si>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</si>
  <si>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</si>
  <si>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</si>
  <si>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</si>
  <si>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</si>
  <si>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</si>
  <si>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</si>
  <si>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</si>
  <si>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</si>
  <si>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</si>
  <si>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</si>
  <si>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</si>
  <si>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</si>
  <si>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</si>
  <si>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</si>
  <si>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</si>
  <si>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</si>
  <si>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</si>
  <si>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</si>
  <si>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</si>
  <si>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</si>
  <si>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</si>
  <si>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</si>
  <si>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</si>
  <si>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</si>
  <si>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</si>
  <si>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</si>
  <si>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</si>
  <si>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</si>
  <si>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</si>
  <si>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</si>
  <si>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</si>
  <si>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</si>
  <si>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</si>
  <si>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</si>
  <si>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</si>
  <si>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</si>
  <si>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</si>
  <si>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</si>
  <si>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</si>
  <si>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</si>
  <si>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</si>
  <si>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</si>
  <si>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</si>
  <si>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</si>
  <si>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</si>
  <si>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</si>
  <si>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</si>
  <si>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</si>
  <si>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</si>
  <si>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</si>
  <si>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</si>
  <si>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</si>
  <si>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</si>
  <si>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</si>
  <si>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</si>
  <si>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</si>
  <si>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</si>
  <si>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</si>
  <si>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</si>
  <si>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</si>
  <si>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</si>
  <si>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</si>
  <si>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</si>
  <si>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</si>
  <si>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</si>
  <si>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</si>
  <si>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</si>
  <si>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</si>
  <si>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</si>
  <si>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</si>
  <si>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</si>
  <si>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</si>
  <si>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</si>
  <si>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</si>
  <si>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</si>
  <si>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</si>
  <si>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</si>
  <si>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</si>
  <si>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</si>
  <si>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</si>
  <si>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</si>
  <si>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</si>
  <si>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</si>
  <si>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</si>
  <si>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</si>
  <si>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</si>
  <si>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</si>
  <si>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</si>
  <si>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</si>
  <si>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</si>
  <si>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</si>
  <si>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</si>
  <si>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</si>
  <si>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</si>
  <si>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</si>
  <si>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</si>
  <si>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</si>
  <si>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</si>
  <si>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</si>
  <si>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</si>
  <si>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</si>
  <si>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</si>
  <si>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</si>
  <si>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</si>
  <si>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</si>
  <si>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</si>
  <si>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</si>
  <si>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</si>
  <si>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</si>
  <si>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</si>
  <si>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</si>
  <si>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</si>
  <si>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</si>
  <si>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</si>
  <si>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</si>
  <si>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</si>
  <si>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</si>
  <si>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</si>
  <si>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</si>
  <si>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</si>
  <si>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</si>
  <si>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</si>
  <si>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</si>
  <si>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</si>
  <si>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</si>
  <si>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</si>
  <si>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</si>
  <si>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</si>
  <si>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</si>
  <si>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</si>
  <si>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</si>
  <si>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</si>
  <si>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</si>
  <si>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</si>
  <si>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</si>
  <si>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</si>
  <si>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</si>
  <si>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</si>
  <si>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</si>
  <si>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</si>
  <si>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</si>
  <si>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</si>
  <si>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</si>
  <si>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</si>
  <si>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</si>
  <si>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</si>
  <si>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</si>
  <si>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</si>
  <si>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</si>
  <si>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</si>
  <si>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</si>
  <si>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</si>
  <si>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</si>
  <si>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</si>
  <si>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</si>
  <si>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</si>
  <si>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</si>
  <si>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</si>
  <si>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</si>
  <si>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</si>
  <si>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</si>
  <si>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</si>
  <si>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</si>
  <si>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</si>
  <si>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</si>
  <si>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</si>
  <si>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</si>
  <si>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</si>
  <si>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</si>
  <si>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</si>
  <si>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</si>
  <si>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</si>
  <si>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</si>
  <si>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</si>
  <si>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</si>
  <si>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</si>
  <si>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</si>
  <si>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</si>
  <si>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</si>
  <si>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</si>
  <si>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</si>
  <si>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</si>
  <si>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</si>
  <si>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</si>
  <si>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</si>
  <si>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</si>
  <si>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</si>
  <si>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</si>
  <si>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</si>
  <si>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</si>
  <si>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</si>
  <si>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</si>
  <si>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</si>
  <si>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</si>
  <si>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</si>
  <si>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</si>
  <si>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</si>
  <si>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</si>
  <si>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</si>
  <si>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</si>
  <si>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</si>
  <si>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</si>
  <si>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</si>
  <si>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</si>
  <si>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</si>
  <si>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</si>
  <si>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</si>
  <si>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</si>
  <si>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</si>
  <si>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</si>
  <si>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</si>
  <si>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</si>
  <si>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</si>
  <si>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</si>
  <si>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</si>
  <si>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</si>
  <si>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</si>
  <si>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</si>
  <si>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</si>
  <si>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</si>
  <si>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</si>
  <si>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</si>
  <si>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</si>
  <si>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</si>
  <si>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</si>
  <si>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</si>
  <si>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</si>
  <si>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</si>
  <si>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</si>
  <si>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</si>
  <si>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</si>
  <si>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</si>
  <si>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</si>
  <si>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</si>
  <si>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</si>
  <si>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</si>
  <si>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</si>
  <si>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</si>
  <si>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</si>
  <si>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</si>
  <si>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</si>
  <si>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</si>
  <si>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</si>
  <si>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</si>
  <si>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</si>
  <si>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</si>
  <si>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</si>
  <si>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</si>
  <si>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</si>
  <si>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</si>
  <si>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</si>
  <si>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</si>
  <si>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</si>
  <si>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</si>
  <si>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</si>
  <si>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</si>
  <si>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</si>
  <si>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</si>
  <si>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</si>
  <si>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</si>
  <si>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</si>
  <si>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</si>
  <si>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</si>
  <si>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</si>
  <si>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</si>
  <si>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</si>
  <si>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</si>
  <si>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</si>
  <si>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</si>
  <si>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</si>
  <si>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</si>
  <si>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</si>
  <si>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</si>
  <si>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</si>
  <si>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</si>
  <si>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</si>
  <si>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</si>
  <si>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</si>
  <si>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</si>
  <si>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</si>
  <si>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</si>
  <si>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</si>
  <si>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</si>
  <si>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</si>
  <si>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</si>
  <si>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</si>
  <si>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</si>
  <si>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</si>
  <si>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</si>
  <si>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</si>
  <si>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</si>
  <si>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</si>
  <si>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</si>
  <si>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</si>
  <si>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</si>
  <si>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</si>
  <si>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</si>
  <si>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</si>
  <si>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</si>
  <si>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</si>
  <si>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</si>
  <si>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</si>
  <si>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</si>
  <si>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</si>
  <si>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</si>
  <si>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</si>
  <si>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</si>
  <si>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</si>
  <si>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</si>
  <si>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</si>
  <si>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</si>
  <si>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</si>
  <si>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</si>
  <si>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</si>
  <si>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</si>
  <si>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</si>
  <si>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</si>
  <si>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</si>
  <si>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</si>
  <si>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</si>
  <si>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</si>
  <si>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</si>
  <si>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</si>
  <si>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</si>
  <si>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</si>
  <si>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</si>
  <si>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</si>
  <si>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</si>
  <si>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</si>
  <si>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</si>
  <si>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</si>
  <si>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</si>
  <si>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</si>
  <si>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</si>
  <si>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</si>
  <si>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</si>
  <si>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</si>
  <si>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</si>
  <si>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</si>
  <si>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</si>
  <si>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</si>
  <si>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</si>
  <si>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</si>
  <si>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</si>
  <si>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</si>
  <si>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</si>
  <si>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</si>
  <si>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</si>
  <si>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</si>
  <si>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</si>
  <si>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</si>
  <si>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</si>
  <si>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</si>
  <si>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</si>
  <si>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</si>
  <si>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</si>
  <si>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</si>
  <si>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</si>
  <si>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</si>
  <si>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</si>
  <si>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</si>
  <si>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</si>
  <si>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</si>
  <si>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</si>
  <si>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</si>
  <si>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</si>
  <si>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</si>
  <si>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</si>
  <si>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</si>
  <si>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</si>
  <si>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</si>
  <si>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</si>
  <si>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</si>
  <si>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</si>
  <si>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</si>
  <si>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</si>
  <si>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</si>
  <si>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</si>
  <si>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</si>
  <si>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</si>
  <si>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</si>
  <si>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</si>
  <si>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</si>
  <si>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</si>
  <si>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</si>
  <si>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</si>
  <si>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</si>
  <si>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</si>
  <si>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</si>
  <si>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</si>
  <si>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</si>
  <si>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</si>
  <si>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</si>
  <si>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</si>
  <si>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</si>
  <si>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</si>
  <si>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</si>
  <si>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</si>
  <si>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</si>
  <si>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</si>
  <si>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</si>
  <si>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</si>
  <si>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</si>
  <si>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</si>
  <si>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</si>
  <si>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</si>
  <si>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</si>
  <si>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</si>
  <si>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</si>
  <si>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</si>
  <si>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</si>
  <si>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</si>
  <si>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</si>
  <si>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</si>
  <si>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</si>
  <si>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</si>
  <si>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</si>
  <si>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</si>
  <si>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</si>
  <si>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</si>
  <si>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</si>
  <si>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</si>
  <si>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</si>
  <si>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</si>
  <si>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</si>
  <si>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</si>
  <si>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</si>
  <si>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</si>
  <si>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</si>
  <si>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</si>
  <si>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</si>
  <si>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</si>
  <si>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</si>
  <si>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</si>
  <si>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</si>
  <si>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</si>
  <si>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</si>
  <si>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</si>
  <si>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</si>
  <si>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</si>
  <si>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</si>
  <si>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</si>
  <si>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</si>
  <si>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</si>
  <si>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</si>
  <si>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</si>
  <si>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</si>
  <si>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</si>
  <si>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</si>
  <si>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</si>
  <si>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</si>
  <si>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</si>
  <si>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</si>
  <si>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</si>
  <si>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</si>
  <si>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</si>
  <si>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</si>
  <si>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</si>
  <si>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</si>
  <si>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</si>
  <si>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</si>
  <si>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</si>
  <si>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</si>
  <si>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</si>
  <si>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</si>
  <si>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</si>
  <si>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</si>
  <si>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</si>
  <si>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</si>
  <si>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</si>
  <si>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</si>
  <si>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</si>
  <si>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</si>
  <si>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</si>
  <si>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</si>
  <si>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</si>
  <si>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</si>
  <si>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</si>
  <si>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</si>
  <si>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</si>
  <si>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</si>
  <si>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</si>
  <si>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</si>
  <si>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</si>
  <si>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</si>
  <si>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</si>
  <si>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</si>
  <si>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</si>
  <si>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</si>
  <si>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</si>
  <si>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</si>
  <si>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</si>
  <si>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</si>
  <si>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</si>
  <si>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</si>
  <si>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</si>
  <si>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</si>
  <si>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</si>
  <si>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</si>
  <si>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</si>
  <si>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</si>
  <si>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</si>
  <si>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</si>
  <si>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</si>
  <si>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</si>
  <si>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</si>
  <si>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</si>
  <si>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</si>
  <si>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</si>
  <si>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</si>
  <si>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</si>
  <si>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</si>
  <si>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</si>
  <si>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</si>
  <si>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</si>
  <si>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</si>
  <si>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</si>
  <si>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</si>
  <si>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</si>
  <si>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</si>
  <si>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</si>
  <si>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</si>
  <si>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</si>
  <si>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</si>
  <si>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</si>
  <si>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</si>
  <si>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</si>
  <si>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</si>
  <si>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</si>
  <si>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</si>
  <si>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</si>
  <si>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</si>
  <si>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</si>
  <si>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</si>
  <si>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</si>
  <si>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</si>
  <si>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</si>
  <si>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</si>
  <si>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</si>
  <si>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</si>
  <si>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</si>
  <si>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</si>
  <si>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</si>
  <si>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</si>
  <si>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</si>
  <si>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</si>
  <si>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1" type="noConversion"/>
  </si>
  <si>
    <t>重要度</t>
    <phoneticPr fontId="11" type="noConversion"/>
  </si>
  <si>
    <t>关注领域</t>
    <phoneticPr fontId="11" type="noConversion"/>
  </si>
  <si>
    <t>电话</t>
    <phoneticPr fontId="11" type="noConversion"/>
  </si>
  <si>
    <t>90后</t>
    <phoneticPr fontId="11" type="noConversion"/>
  </si>
  <si>
    <t>其他</t>
    <phoneticPr fontId="11" type="noConversion"/>
  </si>
  <si>
    <t>o2o</t>
    <phoneticPr fontId="11" type="noConversion"/>
  </si>
  <si>
    <t>教育</t>
    <phoneticPr fontId="11" type="noConversion"/>
  </si>
  <si>
    <t>智能硬件</t>
    <phoneticPr fontId="11" type="noConversion"/>
  </si>
  <si>
    <t>资本360</t>
  </si>
  <si>
    <t>投资副总裁</t>
    <phoneticPr fontId="11" type="noConversion"/>
  </si>
  <si>
    <t>轩邑资本</t>
    <phoneticPr fontId="11" type="noConversion"/>
  </si>
  <si>
    <t>创始合伙人</t>
    <phoneticPr fontId="11" type="noConversion"/>
  </si>
  <si>
    <t>投资经理</t>
    <phoneticPr fontId="11" type="noConversion"/>
  </si>
  <si>
    <t>首席顾问</t>
    <phoneticPr fontId="11"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</si>
  <si>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</si>
  <si>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</si>
  <si>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</si>
  <si>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</si>
  <si>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</si>
  <si>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</si>
  <si>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</si>
  <si>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</si>
  <si>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</si>
  <si>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</si>
  <si>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</si>
  <si>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</si>
  <si>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</si>
  <si>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</si>
  <si>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</si>
  <si>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</si>
  <si>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</si>
  <si>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</si>
  <si>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</si>
  <si>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</si>
  <si>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</si>
  <si>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</si>
  <si>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</si>
  <si>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</si>
  <si>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</si>
  <si>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</si>
  <si>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</si>
  <si>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</si>
  <si>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</si>
  <si>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</si>
  <si>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</si>
  <si>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</si>
  <si>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</si>
  <si>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</si>
  <si>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1" type="noConversion"/>
  </si>
  <si>
    <t>机构简称</t>
    <phoneticPr fontId="11" type="noConversion"/>
  </si>
  <si>
    <t>资本规模</t>
    <phoneticPr fontId="11" type="noConversion"/>
  </si>
  <si>
    <t>A</t>
    <phoneticPr fontId="11" type="noConversion"/>
  </si>
  <si>
    <t>B</t>
    <phoneticPr fontId="11" type="noConversion"/>
  </si>
  <si>
    <r>
      <rPr>
        <sz val="12"/>
        <color rgb="FF000000"/>
        <rFont val="Yu Gothic"/>
        <family val="2"/>
        <charset val="128"/>
      </rPr>
      <t>BP</t>
    </r>
    <r>
      <rPr>
        <sz val="12"/>
        <color rgb="FF000000"/>
        <rFont val="Microsoft YaHei"/>
        <family val="2"/>
        <charset val="134"/>
      </rPr>
      <t>投递邮箱</t>
    </r>
    <phoneticPr fontId="11" type="noConversion"/>
  </si>
  <si>
    <t>煜华中以基金</t>
    <phoneticPr fontId="11" type="noConversion"/>
  </si>
  <si>
    <t>zyjj@zhongyifund.com</t>
    <phoneticPr fontId="11" type="noConversion"/>
  </si>
  <si>
    <t>真格基金</t>
    <phoneticPr fontId="11" type="noConversion"/>
  </si>
  <si>
    <t>dream@zhenfund.com</t>
    <phoneticPr fontId="11" type="noConversion"/>
  </si>
  <si>
    <t>红衫中国</t>
    <phoneticPr fontId="11" type="noConversion"/>
  </si>
  <si>
    <t>seedbp@sequoiacap.com</t>
    <phoneticPr fontId="11" type="noConversion"/>
  </si>
  <si>
    <t>英诺天使</t>
    <phoneticPr fontId="11" type="noConversion"/>
  </si>
  <si>
    <t>bp@innoangel.com</t>
    <phoneticPr fontId="11" type="noConversion"/>
  </si>
  <si>
    <t>黑马基金</t>
  </si>
  <si>
    <t>bp@darkhorse.vc</t>
    <phoneticPr fontId="11" type="noConversion"/>
  </si>
  <si>
    <t>陈科屹</t>
    <phoneticPr fontId="11" type="noConversion"/>
  </si>
  <si>
    <t>国信弘盛</t>
    <phoneticPr fontId="11" type="noConversion"/>
  </si>
  <si>
    <t>奇虎360</t>
    <phoneticPr fontId="11" type="noConversion"/>
  </si>
  <si>
    <t>投资并购部投资分析师</t>
    <phoneticPr fontId="11" type="noConversion"/>
  </si>
  <si>
    <t>性别</t>
    <phoneticPr fontId="11" type="noConversion"/>
  </si>
  <si>
    <t>潮商资本vp</t>
    <phoneticPr fontId="11" type="noConversion"/>
  </si>
  <si>
    <t>中信资本</t>
    <phoneticPr fontId="11" type="noConversion"/>
  </si>
  <si>
    <t>创投合伙人</t>
    <phoneticPr fontId="11" type="noConversion"/>
  </si>
  <si>
    <t>部门名称</t>
    <phoneticPr fontId="11" type="noConversion"/>
  </si>
  <si>
    <t>投资银行在线</t>
    <phoneticPr fontId="11" type="noConversion"/>
  </si>
  <si>
    <t>中科赛新资本投资经理</t>
    <phoneticPr fontId="11" type="noConversion"/>
  </si>
  <si>
    <t>Adam</t>
    <phoneticPr fontId="11" type="noConversion"/>
  </si>
  <si>
    <t>提示</t>
    <phoneticPr fontId="11" type="noConversion"/>
  </si>
  <si>
    <t>种子</t>
    <phoneticPr fontId="11" type="noConversion"/>
  </si>
  <si>
    <t>天使</t>
    <phoneticPr fontId="11" type="noConversion"/>
  </si>
  <si>
    <t>charlie su</t>
    <phoneticPr fontId="11" type="noConversion"/>
  </si>
  <si>
    <t>源渡创投</t>
    <phoneticPr fontId="11" type="noConversion"/>
  </si>
  <si>
    <t>合伙人</t>
    <phoneticPr fontId="11" type="noConversion"/>
  </si>
  <si>
    <t>北极光创投</t>
    <phoneticPr fontId="11" type="noConversion"/>
  </si>
  <si>
    <t>林路</t>
    <phoneticPr fontId="11" type="noConversion"/>
  </si>
  <si>
    <t>Riseen 步</t>
    <phoneticPr fontId="11" type="noConversion"/>
  </si>
  <si>
    <t>曾之杰</t>
    <phoneticPr fontId="11" type="noConversion"/>
  </si>
  <si>
    <t>老邱</t>
    <phoneticPr fontId="11" type="noConversion"/>
  </si>
  <si>
    <t>陈慧君</t>
    <phoneticPr fontId="11" type="noConversion"/>
  </si>
  <si>
    <t>建春言行</t>
    <phoneticPr fontId="11" type="noConversion"/>
  </si>
  <si>
    <t>冯香智</t>
    <phoneticPr fontId="11" type="noConversion"/>
  </si>
  <si>
    <t>董事总经理</t>
    <phoneticPr fontId="11" type="noConversion"/>
  </si>
  <si>
    <t>清科创投</t>
    <phoneticPr fontId="11" type="noConversion"/>
  </si>
  <si>
    <t>投资总监</t>
    <phoneticPr fontId="11" type="noConversion"/>
  </si>
  <si>
    <t>副总裁</t>
    <phoneticPr fontId="11" type="noConversion"/>
  </si>
  <si>
    <t>博信资本</t>
    <phoneticPr fontId="11" type="noConversion"/>
  </si>
  <si>
    <t>投资合伙人</t>
    <phoneticPr fontId="11" type="noConversion"/>
  </si>
  <si>
    <t>紫辉投资基金</t>
    <phoneticPr fontId="11" type="noConversion"/>
  </si>
  <si>
    <t>郑贵辉</t>
    <phoneticPr fontId="11" type="noConversion"/>
  </si>
  <si>
    <t>叶滨</t>
    <phoneticPr fontId="11" type="noConversion"/>
  </si>
  <si>
    <t>赵锡峰</t>
    <phoneticPr fontId="11" type="noConversion"/>
  </si>
  <si>
    <t>郑刚</t>
    <phoneticPr fontId="11" type="noConversion"/>
  </si>
  <si>
    <t>END</t>
    <phoneticPr fontId="11" type="noConversion"/>
  </si>
  <si>
    <t>李剑威</t>
    <phoneticPr fontId="11" type="noConversion"/>
  </si>
  <si>
    <t>崔婧  Janet</t>
    <phoneticPr fontId="11" type="noConversion"/>
  </si>
  <si>
    <t>直投部</t>
    <phoneticPr fontId="11" type="noConversion"/>
  </si>
  <si>
    <t>上海中路集团</t>
    <phoneticPr fontId="11" type="noConversion"/>
  </si>
  <si>
    <t>创始管理合伙人</t>
    <phoneticPr fontId="11" type="noConversion"/>
  </si>
  <si>
    <t>2345投资基金</t>
    <phoneticPr fontId="11" type="noConversion"/>
  </si>
  <si>
    <t>张婷</t>
    <phoneticPr fontId="11" type="noConversion"/>
  </si>
  <si>
    <t>顾问</t>
    <phoneticPr fontId="11" type="noConversion"/>
  </si>
  <si>
    <t>范德国际</t>
    <phoneticPr fontId="11" type="noConversion"/>
  </si>
  <si>
    <t>流河</t>
    <phoneticPr fontId="11" type="noConversion"/>
  </si>
  <si>
    <t>红杉资本中国基金</t>
    <phoneticPr fontId="11" type="noConversion"/>
  </si>
  <si>
    <t>起源资本</t>
    <phoneticPr fontId="11" type="noConversion"/>
  </si>
  <si>
    <t>主席兼CEO</t>
    <phoneticPr fontId="11" type="noConversion"/>
  </si>
  <si>
    <t>中国长远控股</t>
    <phoneticPr fontId="11" type="noConversion"/>
  </si>
  <si>
    <t>刘小鹰</t>
    <phoneticPr fontId="11" type="noConversion"/>
  </si>
  <si>
    <t>蓝石天使</t>
    <phoneticPr fontId="11" type="noConversion"/>
  </si>
  <si>
    <t>天使投资人</t>
    <phoneticPr fontId="11" type="noConversion"/>
  </si>
  <si>
    <t>东方富海</t>
    <phoneticPr fontId="11" type="noConversion"/>
  </si>
  <si>
    <t>深圳</t>
    <phoneticPr fontId="11" type="noConversion"/>
  </si>
  <si>
    <t>PreAngel天使基金</t>
    <phoneticPr fontId="11" type="noConversion"/>
  </si>
  <si>
    <t>创新工场</t>
    <phoneticPr fontId="11" type="noConversion"/>
  </si>
  <si>
    <t>新浪微博创新基金</t>
    <phoneticPr fontId="11" type="noConversion"/>
  </si>
  <si>
    <t>蔡毅</t>
    <phoneticPr fontId="11" type="noConversion"/>
  </si>
  <si>
    <t xml:space="preserve">黄冠仪 </t>
    <phoneticPr fontId="11" type="noConversion"/>
  </si>
  <si>
    <t>上海大学生科技天使基金</t>
    <phoneticPr fontId="11" type="noConversion"/>
  </si>
  <si>
    <t>负责人</t>
    <phoneticPr fontId="11" type="noConversion"/>
  </si>
  <si>
    <t>朗玛峰创投</t>
    <phoneticPr fontId="11" type="noConversion"/>
  </si>
  <si>
    <t>李俐</t>
    <phoneticPr fontId="11" type="noConversion"/>
  </si>
  <si>
    <t>同创伟业</t>
    <phoneticPr fontId="11" type="noConversion"/>
  </si>
  <si>
    <t>鼎晖投资</t>
    <phoneticPr fontId="11" type="noConversion"/>
  </si>
  <si>
    <t>红杉资本</t>
    <phoneticPr fontId="11" type="noConversion"/>
  </si>
  <si>
    <t xml:space="preserve">华平投资 </t>
    <phoneticPr fontId="11" type="noConversion"/>
  </si>
  <si>
    <t>红杉中国</t>
    <phoneticPr fontId="11" type="noConversion"/>
  </si>
  <si>
    <t xml:space="preserve">钱伟 </t>
    <phoneticPr fontId="11" type="noConversion"/>
  </si>
  <si>
    <t xml:space="preserve">idg </t>
    <phoneticPr fontId="11" type="noConversion"/>
  </si>
  <si>
    <t>vc投资，投资经理</t>
    <phoneticPr fontId="11" type="noConversion"/>
  </si>
  <si>
    <t>创始和执行合伙人</t>
    <phoneticPr fontId="11" type="noConversion"/>
  </si>
  <si>
    <t>愉悦资本</t>
    <phoneticPr fontId="11" type="noConversion"/>
  </si>
  <si>
    <t>朱新力</t>
    <phoneticPr fontId="11" type="noConversion"/>
  </si>
  <si>
    <t xml:space="preserve">中科招商angel </t>
    <phoneticPr fontId="11" type="noConversion"/>
  </si>
  <si>
    <t>cdhvc@cdhfund.com</t>
    <phoneticPr fontId="11" type="noConversion"/>
  </si>
  <si>
    <t>决胜网</t>
    <phoneticPr fontId="11" type="noConversion"/>
  </si>
  <si>
    <t>联合创始人 CEO</t>
    <phoneticPr fontId="11" type="noConversion"/>
  </si>
  <si>
    <t>戴政</t>
    <phoneticPr fontId="11" type="noConversion"/>
  </si>
  <si>
    <t>王辛</t>
    <phoneticPr fontId="11" type="noConversion"/>
  </si>
  <si>
    <t>桂曙光</t>
    <phoneticPr fontId="11" type="noConversion"/>
  </si>
  <si>
    <t xml:space="preserve">农天小阿Paul </t>
    <phoneticPr fontId="11" type="noConversion"/>
  </si>
  <si>
    <t>光速安振中国基金</t>
    <phoneticPr fontId="11" type="noConversion"/>
  </si>
  <si>
    <t>执行董事</t>
    <phoneticPr fontId="11" type="noConversion"/>
  </si>
  <si>
    <t>韩彦</t>
    <phoneticPr fontId="11" type="noConversion"/>
  </si>
  <si>
    <t>力合创业投资</t>
    <phoneticPr fontId="11" type="noConversion"/>
  </si>
  <si>
    <t>季薇</t>
    <phoneticPr fontId="11" type="noConversion"/>
  </si>
  <si>
    <t>华映资本</t>
    <phoneticPr fontId="11" type="noConversion"/>
  </si>
  <si>
    <t>中大创投</t>
    <phoneticPr fontId="11" type="noConversion"/>
  </si>
  <si>
    <t>创始合伙人总裁</t>
    <phoneticPr fontId="11" type="noConversion"/>
  </si>
  <si>
    <t>投融资顾问</t>
    <phoneticPr fontId="11" type="noConversion"/>
  </si>
  <si>
    <t xml:space="preserve"> </t>
    <phoneticPr fontId="11" type="noConversion"/>
  </si>
  <si>
    <t>苏州创投</t>
    <phoneticPr fontId="11" type="noConversion"/>
  </si>
  <si>
    <t>管理合伙人</t>
    <phoneticPr fontId="11" type="noConversion"/>
  </si>
  <si>
    <t>纪源资本</t>
    <phoneticPr fontId="11" type="noConversion"/>
  </si>
  <si>
    <t>君联资本</t>
    <phoneticPr fontId="11" type="noConversion"/>
  </si>
  <si>
    <t>357226928@qq.com</t>
    <phoneticPr fontId="11" type="noConversion"/>
  </si>
  <si>
    <t>梅花天使创投</t>
    <phoneticPr fontId="11" type="noConversion"/>
  </si>
  <si>
    <t>bp@plumventures.cn</t>
    <phoneticPr fontId="11" type="noConversion"/>
  </si>
  <si>
    <t>ayin@sequoiacap.com</t>
    <phoneticPr fontId="11" type="noConversion"/>
  </si>
  <si>
    <t>bp@ofcapital.com</t>
    <phoneticPr fontId="11" type="noConversion"/>
  </si>
  <si>
    <t>城市</t>
    <phoneticPr fontId="11" type="noConversion"/>
  </si>
  <si>
    <t>brad@chuangxin.com</t>
    <phoneticPr fontId="11" type="noConversion"/>
  </si>
  <si>
    <t>陈嘉榕</t>
    <phoneticPr fontId="11" type="noConversion"/>
  </si>
  <si>
    <t>刘里</t>
    <phoneticPr fontId="11" type="noConversion"/>
  </si>
  <si>
    <t>bpchina@sequoiacap.com</t>
    <phoneticPr fontId="11" type="noConversion"/>
  </si>
  <si>
    <t>cwang@sequoiacap.com</t>
    <phoneticPr fontId="11" type="noConversion"/>
  </si>
  <si>
    <t>北京、上海、香港</t>
    <phoneticPr fontId="11" type="noConversion"/>
  </si>
  <si>
    <t>男</t>
    <phoneticPr fontId="11" type="noConversion"/>
  </si>
  <si>
    <t>王岑</t>
    <phoneticPr fontId="11" type="noConversion"/>
  </si>
  <si>
    <t>⚪</t>
    <phoneticPr fontId="11" type="noConversion"/>
  </si>
  <si>
    <t>18610180512	
13701108177</t>
    <phoneticPr fontId="11" type="noConversion"/>
  </si>
  <si>
    <t>微信号</t>
    <phoneticPr fontId="11" type="noConversion"/>
  </si>
  <si>
    <t>ArIeS 李晓军</t>
    <phoneticPr fontId="11" type="noConversion"/>
  </si>
  <si>
    <t xml:space="preserve"> xueqinhong</t>
    <phoneticPr fontId="11" type="noConversion"/>
  </si>
  <si>
    <t>A轮</t>
    <phoneticPr fontId="11" type="noConversion"/>
  </si>
  <si>
    <t>杭州</t>
    <phoneticPr fontId="11" type="noConversion"/>
  </si>
  <si>
    <t>Jamesni427</t>
    <phoneticPr fontId="11" type="noConversion"/>
  </si>
  <si>
    <t>高级投资经理</t>
    <phoneticPr fontId="11" type="noConversion"/>
  </si>
  <si>
    <t>亿湖股权投资基金</t>
    <phoneticPr fontId="11" type="noConversion"/>
  </si>
  <si>
    <t>黄肖恩</t>
    <phoneticPr fontId="11" type="noConversion"/>
  </si>
  <si>
    <t>daidai7801</t>
  </si>
  <si>
    <t>huqiquang999</t>
    <phoneticPr fontId="11" type="noConversion"/>
  </si>
  <si>
    <t>公众号</t>
    <phoneticPr fontId="11" type="noConversion"/>
  </si>
  <si>
    <t>荟强投资</t>
    <phoneticPr fontId="11" type="noConversion"/>
  </si>
  <si>
    <t>上海</t>
    <phoneticPr fontId="11" type="noConversion"/>
  </si>
  <si>
    <t>mick127</t>
    <phoneticPr fontId="11" type="noConversion"/>
  </si>
  <si>
    <t>13625285487
13862000416</t>
    <phoneticPr fontId="11" type="noConversion"/>
  </si>
  <si>
    <t>女</t>
    <phoneticPr fontId="11" type="noConversion"/>
  </si>
  <si>
    <t>备注</t>
    <phoneticPr fontId="11" type="noConversion"/>
  </si>
  <si>
    <t>创客邦资金量级：	5 亿，主要以创业投资和创业孵化基地为主，目前孵化
服务团队 120  多个，获得投资团队	30 多个， 4 家上市公司</t>
    <phoneticPr fontId="11" type="noConversion"/>
  </si>
  <si>
    <t>vanillazhouquan</t>
    <phoneticPr fontId="11" type="noConversion"/>
  </si>
  <si>
    <t>北京</t>
    <phoneticPr fontId="11" type="noConversion"/>
  </si>
  <si>
    <t xml:space="preserve">Michael Huang </t>
    <phoneticPr fontId="11" type="noConversion"/>
  </si>
  <si>
    <t>九洲创投GM</t>
    <phoneticPr fontId="11" type="noConversion"/>
  </si>
  <si>
    <t>中国区董事</t>
    <phoneticPr fontId="11" type="noConversion"/>
  </si>
  <si>
    <t>麦刚</t>
    <phoneticPr fontId="11" type="noConversion"/>
  </si>
  <si>
    <t>张玮</t>
    <phoneticPr fontId="11" type="noConversion"/>
  </si>
  <si>
    <t>殷明</t>
    <phoneticPr fontId="11"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</si>
  <si>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</si>
  <si>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</si>
  <si>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</si>
  <si>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</si>
  <si>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</si>
  <si>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</si>
  <si>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</si>
  <si>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</si>
  <si>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</si>
  <si>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</si>
  <si>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</si>
  <si>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</si>
  <si>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</si>
  <si>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</si>
  <si>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</si>
  <si>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</si>
  <si>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</si>
  <si>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</si>
  <si>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</si>
  <si>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</si>
  <si>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</si>
  <si>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</si>
  <si>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</si>
  <si>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</si>
  <si>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</si>
  <si>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</si>
  <si>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</si>
  <si>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</si>
  <si>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</si>
  <si>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胡卓桓</t>
  </si>
  <si>
    <t>和君资本投资总监</t>
  </si>
  <si>
    <t>Huzhuohuan@hejun.com</t>
  </si>
  <si>
    <t>石蓉</t>
  </si>
  <si>
    <t>恒牛创投投资总监</t>
  </si>
  <si>
    <t>kelly.shi@vip.163.com</t>
  </si>
  <si>
    <t>陈晓红</t>
  </si>
  <si>
    <t>华澳资本</t>
  </si>
  <si>
    <t>朱仁辉</t>
  </si>
  <si>
    <t>华道数据</t>
  </si>
  <si>
    <t>paul.choo@investorab.com</t>
  </si>
  <si>
    <t>朱玉韬</t>
  </si>
  <si>
    <t>jay.zhu@ghifinaves.com</t>
  </si>
  <si>
    <t>张明静</t>
  </si>
  <si>
    <t>胡磊</t>
  </si>
  <si>
    <t>lhu@ggv.com</t>
  </si>
  <si>
    <t>宽带资本.跟着习大大去美国的那位</t>
  </si>
  <si>
    <t>欧阳若澜</t>
  </si>
  <si>
    <t>奇石基金</t>
  </si>
  <si>
    <t>lijiang@4apple.com.cn</t>
  </si>
  <si>
    <t>彭数学</t>
  </si>
  <si>
    <t>启赋资本投资总监</t>
  </si>
  <si>
    <t>psx3751011@163.com</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</si>
  <si>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</si>
  <si>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</si>
  <si>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</si>
  <si>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</si>
  <si>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</si>
  <si>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</si>
  <si>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</si>
  <si>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</si>
  <si>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</si>
  <si>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</si>
  <si>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</si>
  <si>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</si>
  <si>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</si>
  <si>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</si>
  <si>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</si>
  <si>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</si>
  <si>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</si>
  <si>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</si>
  <si>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</si>
  <si>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</si>
  <si>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</si>
  <si>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</si>
  <si>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</si>
  <si>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</si>
  <si>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</si>
  <si>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</si>
  <si>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</si>
  <si>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</si>
  <si>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</si>
  <si>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</si>
  <si>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</si>
  <si>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</si>
  <si>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</si>
  <si>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</si>
  <si>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</si>
  <si>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</si>
  <si>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</si>
  <si>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</si>
  <si>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</si>
  <si>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</si>
  <si>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</si>
  <si>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</si>
  <si>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</si>
  <si>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</si>
  <si>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</si>
  <si>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</si>
  <si>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</si>
  <si>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</si>
  <si>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</si>
  <si>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1" type="noConversion"/>
  </si>
  <si>
    <t>胡博予</t>
    <phoneticPr fontId="11" type="noConversion"/>
  </si>
  <si>
    <t xml:space="preserve"> DCM</t>
    <phoneticPr fontId="11" type="noConversion"/>
  </si>
  <si>
    <t>雷平</t>
    <phoneticPr fontId="11" type="noConversion"/>
  </si>
  <si>
    <t xml:space="preserve">上海科技投资 </t>
    <phoneticPr fontId="11" type="noConversion"/>
  </si>
  <si>
    <t>投资部</t>
    <phoneticPr fontId="11" type="noConversion"/>
  </si>
  <si>
    <t>吴远</t>
    <phoneticPr fontId="11" type="noConversion"/>
  </si>
  <si>
    <t>王求乐</t>
    <phoneticPr fontId="11" type="noConversion"/>
  </si>
  <si>
    <t xml:space="preserve">董江勇 </t>
    <phoneticPr fontId="11" type="noConversion"/>
  </si>
  <si>
    <t>北京卓众传媒</t>
    <phoneticPr fontId="11" type="noConversion"/>
  </si>
  <si>
    <t>总裁</t>
    <phoneticPr fontId="11" type="noConversion"/>
  </si>
  <si>
    <t xml:space="preserve">凌代鸿 </t>
    <phoneticPr fontId="11" type="noConversion"/>
  </si>
  <si>
    <t>旦恩创投</t>
    <phoneticPr fontId="11" type="noConversion"/>
  </si>
  <si>
    <t>bp-beijing@chuangxin.com</t>
    <phoneticPr fontId="11" type="noConversion"/>
  </si>
  <si>
    <t>创新工场华北</t>
    <phoneticPr fontId="11" type="noConversion"/>
  </si>
  <si>
    <t>bp-shanghai@chuangxin.com</t>
    <phoneticPr fontId="11" type="noConversion"/>
  </si>
  <si>
    <t>创新工场华东</t>
    <phoneticPr fontId="11" type="noConversion"/>
  </si>
  <si>
    <t>bp-shenzhen@chuangxin.com</t>
    <phoneticPr fontId="11" type="noConversion"/>
  </si>
  <si>
    <t>创新工场华南</t>
    <phoneticPr fontId="11" type="noConversion"/>
  </si>
  <si>
    <t>国金投资</t>
    <phoneticPr fontId="11" type="noConversion"/>
  </si>
  <si>
    <t>bp@guojin.com</t>
    <phoneticPr fontId="11"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</si>
  <si>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1" type="noConversion"/>
  </si>
  <si>
    <t>hr-2@ sinowisdom.cn</t>
    <phoneticPr fontId="11" type="noConversion"/>
  </si>
  <si>
    <t>联系人</t>
    <phoneticPr fontId="11" type="noConversion"/>
  </si>
  <si>
    <t>联系电话</t>
    <phoneticPr fontId="11" type="noConversion"/>
  </si>
  <si>
    <r>
      <rPr>
        <sz val="11"/>
        <color rgb="FF000000"/>
        <rFont val="微软雅黑"/>
        <family val="2"/>
        <charset val="134"/>
      </rPr>
      <t>徐鹏先生</t>
    </r>
    <r>
      <rPr>
        <sz val="11"/>
        <color rgb="FF000000"/>
        <rFont val="Tahoma"/>
        <family val="2"/>
      </rPr>
      <t xml:space="preserve"> </t>
    </r>
    <phoneticPr fontId="11" type="noConversion"/>
  </si>
  <si>
    <t>●</t>
  </si>
  <si>
    <t>http://www.zhenfund.com/</t>
    <phoneticPr fontId="11" type="noConversion"/>
  </si>
  <si>
    <t>公司主页</t>
    <phoneticPr fontId="11" type="noConversion"/>
  </si>
  <si>
    <t>专注于TMT行业、包括物联网、移动互联、游戏、O2O、电子商务等</t>
    <phoneticPr fontId="11" type="noConversion"/>
  </si>
  <si>
    <t>投资案例</t>
    <phoneticPr fontId="11" type="noConversion"/>
  </si>
  <si>
    <t>世纪佳缘、兰亭集势、聚美优品、小红书、蜜芽、美菜网、罗计物流、大姨吗等</t>
  </si>
  <si>
    <t>机构简介</t>
    <phoneticPr fontId="11" type="noConversion"/>
  </si>
  <si>
    <t>http://www.chuangxin.com/</t>
    <phoneticPr fontId="11" type="noConversion"/>
  </si>
  <si>
    <t>美图、知乎、暴走漫画、知乎、小鱼在家、豌豆荚等</t>
    <phoneticPr fontId="11"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</si>
  <si>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1" type="noConversion"/>
  </si>
  <si>
    <t>86 021-33626655</t>
    <phoneticPr fontId="11" type="noConversion"/>
  </si>
  <si>
    <t>险峰长青</t>
    <phoneticPr fontId="11" type="noConversion"/>
  </si>
  <si>
    <t>http://www.k2vc.com/</t>
    <phoneticPr fontId="11" type="noConversion"/>
  </si>
  <si>
    <t>互联网、移动互联网等</t>
    <phoneticPr fontId="11" type="noConversion"/>
  </si>
  <si>
    <t>聚美优品、美乐乐、找钢网、分期乐、美柚、团车网、有缘网、辣妈帮、蜜芽宝贝、墨迹天气等</t>
    <phoneticPr fontId="11"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</si>
  <si>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1" type="noConversion"/>
  </si>
  <si>
    <t>hi@k2vc.com</t>
    <phoneticPr fontId="11" type="noConversion"/>
  </si>
  <si>
    <t>英诺天使基金</t>
    <phoneticPr fontId="11" type="noConversion"/>
  </si>
  <si>
    <t>梦想加、洗衣邦、恋爱说、趣皮士、目的地旅行网、调果师、人人湘、约拍啦、心跳等</t>
    <phoneticPr fontId="11"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</si>
  <si>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1" type="noConversion"/>
  </si>
  <si>
    <t>隆领投资</t>
    <phoneticPr fontId="11" type="noConversion"/>
  </si>
  <si>
    <t>xm@longling.com</t>
    <phoneticPr fontId="11" type="noConversion"/>
  </si>
  <si>
    <t>移动互联网、游戏、O2O、金融等</t>
    <phoneticPr fontId="11" type="noConversion"/>
  </si>
  <si>
    <t>电子商务、企业服务、生活消费、游戏、医疗等</t>
    <phoneticPr fontId="11" type="noConversion"/>
  </si>
  <si>
    <t>移动互联网，数字娱乐、智能硬件、智能商务、云计算、电子商务等</t>
    <phoneticPr fontId="11" type="noConversion"/>
  </si>
  <si>
    <t>暴风影音、飞鱼科技、58同城、美图秀秀、寻医问药网、4399游戏等</t>
    <phoneticPr fontId="11"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</si>
  <si>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1" type="noConversion"/>
  </si>
  <si>
    <t>洪泰基金</t>
    <phoneticPr fontId="11" type="noConversion"/>
  </si>
  <si>
    <t>http://www.apluscap.com/</t>
    <phoneticPr fontId="11" type="noConversion"/>
  </si>
  <si>
    <t>互联网、文化娱乐、体育、健康、金融、游戏、企业服务、社交网络</t>
    <phoneticPr fontId="11" type="noConversion"/>
  </si>
  <si>
    <t>八分量、易点租、纸箱哥、创客星球、银河酷娱火星情报局等</t>
    <phoneticPr fontId="11"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</si>
  <si>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1" type="noConversion"/>
  </si>
  <si>
    <t>bp@apluscap.com</t>
    <phoneticPr fontId="11" type="noConversion"/>
  </si>
  <si>
    <t>联想之星</t>
    <phoneticPr fontId="11" type="noConversion"/>
  </si>
  <si>
    <t>http://www.legendstar.com.cn/</t>
    <phoneticPr fontId="11" type="noConversion"/>
  </si>
  <si>
    <t>聚焦TMT和医疗健康行业</t>
    <phoneticPr fontId="11" type="noConversion"/>
  </si>
  <si>
    <t>思必驰、15分、知果果、有壹手、云丁、ABLECLOUD、住百家、作业盒子、初炼、乐驾等</t>
    <phoneticPr fontId="11"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</si>
  <si>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1" type="noConversion"/>
  </si>
  <si>
    <t>angel@legendstar.com.cn</t>
    <phoneticPr fontId="11" type="noConversion"/>
  </si>
  <si>
    <t>阿米巴资本</t>
    <phoneticPr fontId="11" type="noConversion"/>
  </si>
  <si>
    <t>http://www.amebacapital.com/#/</t>
    <phoneticPr fontId="11" type="noConversion"/>
  </si>
  <si>
    <t>C</t>
    <phoneticPr fontId="11" type="noConversion"/>
  </si>
  <si>
    <t>电商、大数据、企业服务、互联网金融等</t>
    <phoneticPr fontId="11" type="noConversion"/>
  </si>
  <si>
    <t>:快的打车、蘑菇街、孩子学啥、抠电影、淘实惠、决胜网、火辣健身、传课、挖财等</t>
    <phoneticPr fontId="11" type="noConversion"/>
  </si>
  <si>
    <t>amebacapital@amebacapital.com</t>
    <phoneticPr fontId="11" type="noConversion"/>
  </si>
  <si>
    <t>九合创投</t>
    <phoneticPr fontId="11" type="noConversion"/>
  </si>
  <si>
    <t>http://www.unityvc.com/#page5</t>
    <phoneticPr fontId="11" type="noConversion"/>
  </si>
  <si>
    <t>TMT领域为主</t>
  </si>
  <si>
    <t>36KR、下厨房、91金融、黄油相机、蓝犀牛、极客学院、星空琴行等</t>
    <phoneticPr fontId="11"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</si>
  <si>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1" type="noConversion"/>
  </si>
  <si>
    <t>contatc@unityvc.com</t>
    <phoneticPr fontId="11" type="noConversion"/>
  </si>
  <si>
    <t>http://www.plumventures.cn/</t>
    <phoneticPr fontId="11" type="noConversion"/>
  </si>
  <si>
    <t>互联网、移动互联网、现代服务、传媒新媒体、文化创意、电子半导体、游戏等</t>
    <phoneticPr fontId="11" type="noConversion"/>
  </si>
  <si>
    <t>大掌门、唱吧、趣分期、FILL耳机、小牛电动车等</t>
    <phoneticPr fontId="11"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</si>
  <si>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1" type="noConversion"/>
  </si>
  <si>
    <t>bp@idgcapital.com</t>
    <phoneticPr fontId="11" type="noConversion"/>
  </si>
  <si>
    <t>IDG</t>
    <phoneticPr fontId="11" type="noConversion"/>
  </si>
  <si>
    <t>投资人</t>
    <phoneticPr fontId="11" type="noConversion"/>
  </si>
  <si>
    <t>基金机构</t>
    <phoneticPr fontId="11" type="noConversion"/>
  </si>
  <si>
    <t>电子邮箱</t>
    <phoneticPr fontId="11" type="noConversion"/>
  </si>
  <si>
    <t>推送日期</t>
    <phoneticPr fontId="11" type="noConversion"/>
  </si>
  <si>
    <t>PushCycle Date</t>
    <phoneticPr fontId="11" type="noConversion"/>
  </si>
  <si>
    <t>IDG资本</t>
    <phoneticPr fontId="11" type="noConversion"/>
  </si>
  <si>
    <t>华睿投资</t>
    <phoneticPr fontId="11" type="noConversion"/>
  </si>
  <si>
    <t>拒收</t>
    <phoneticPr fontId="11" type="noConversion"/>
  </si>
  <si>
    <t>不存在</t>
    <phoneticPr fontId="11" type="noConversion"/>
  </si>
  <si>
    <t>顾旻曼</t>
    <phoneticPr fontId="11" type="noConversion"/>
  </si>
  <si>
    <t>grace@zhenfund.com</t>
    <phoneticPr fontId="11" type="noConversion"/>
  </si>
  <si>
    <t>机构</t>
    <phoneticPr fontId="11" type="noConversion"/>
  </si>
  <si>
    <t>charlie.cao@gmail.com</t>
    <phoneticPr fontId="11" type="noConversion"/>
  </si>
  <si>
    <t>符绩勋</t>
    <phoneticPr fontId="11" type="noConversion"/>
  </si>
  <si>
    <t>jfoo@ggvc.com</t>
    <phoneticPr fontId="11" type="noConversion"/>
  </si>
  <si>
    <t>荟强投资（上海）</t>
    <phoneticPr fontId="11" type="noConversion"/>
  </si>
  <si>
    <t>胡启强</t>
    <phoneticPr fontId="11" type="noConversion"/>
  </si>
  <si>
    <t>hqq@shhqtzfz.com</t>
    <phoneticPr fontId="11" type="noConversion"/>
  </si>
  <si>
    <t>创客邦（孵化+投资）</t>
    <phoneticPr fontId="11" type="noConversion"/>
  </si>
  <si>
    <t>叶明霞</t>
    <phoneticPr fontId="11" type="noConversion"/>
  </si>
  <si>
    <t>新东方</t>
    <phoneticPr fontId="11" type="noConversion"/>
  </si>
  <si>
    <t>俞敏洪</t>
    <phoneticPr fontId="11" type="noConversion"/>
  </si>
  <si>
    <t>yuminhong@XDF.cn</t>
    <phoneticPr fontId="11" type="noConversion"/>
  </si>
  <si>
    <t>高瓴资本</t>
    <phoneticPr fontId="11" type="noConversion"/>
  </si>
  <si>
    <t>洪婧</t>
    <phoneticPr fontId="11" type="noConversion"/>
  </si>
  <si>
    <t>jhong@hillhousetca.com</t>
    <phoneticPr fontId="11" type="noConversion"/>
  </si>
  <si>
    <t>张春晖</t>
    <phoneticPr fontId="11" type="noConversion"/>
  </si>
  <si>
    <t>18081@qq.com</t>
    <phoneticPr fontId="11" type="noConversion"/>
  </si>
  <si>
    <t>陈浩</t>
    <phoneticPr fontId="11" type="noConversion"/>
  </si>
  <si>
    <t>chenhao@legendcapital.com.cn</t>
    <phoneticPr fontId="11" type="noConversion"/>
  </si>
  <si>
    <t>cuijing@360.cn</t>
    <phoneticPr fontId="11" type="noConversion"/>
  </si>
  <si>
    <t>chenhuijun@360.cn</t>
    <phoneticPr fontId="11" type="noConversion"/>
  </si>
  <si>
    <t>经纬中国</t>
    <phoneticPr fontId="11" type="noConversion"/>
  </si>
  <si>
    <t>张颖</t>
    <phoneticPr fontId="11" type="noConversion"/>
  </si>
  <si>
    <t>david.zhang@matrixpartners.com.cn</t>
    <phoneticPr fontId="11" type="noConversion"/>
  </si>
  <si>
    <t>金沙江创业投资基金</t>
    <phoneticPr fontId="11" type="noConversion"/>
  </si>
  <si>
    <t>丁健</t>
    <phoneticPr fontId="11" type="noConversion"/>
  </si>
  <si>
    <t>ding@gsrventures.com</t>
    <phoneticPr fontId="11" type="noConversion"/>
  </si>
  <si>
    <t>孙动先</t>
    <phoneticPr fontId="11" type="noConversion"/>
  </si>
  <si>
    <t>飞马旅风险</t>
    <phoneticPr fontId="11" type="noConversion"/>
  </si>
  <si>
    <t>PEVC投资中路</t>
    <phoneticPr fontId="11" type="noConversion"/>
  </si>
  <si>
    <t>孙骏</t>
    <phoneticPr fontId="11" type="noConversion"/>
  </si>
  <si>
    <t xml:space="preserve">顾泉Piers </t>
    <phoneticPr fontId="11" type="noConversion"/>
  </si>
  <si>
    <t>北大汇丰天使投资会</t>
    <phoneticPr fontId="11" type="noConversion"/>
  </si>
  <si>
    <t>秘书</t>
    <phoneticPr fontId="11" type="noConversion"/>
  </si>
  <si>
    <t>董事合伙人</t>
    <phoneticPr fontId="11" type="noConversion"/>
  </si>
  <si>
    <t>域名不存在</t>
    <phoneticPr fontId="11" type="noConversion"/>
  </si>
  <si>
    <t>地址错误</t>
    <phoneticPr fontId="11" type="noConversion"/>
  </si>
  <si>
    <t>邮箱溢出</t>
    <phoneticPr fontId="11" type="noConversion"/>
  </si>
  <si>
    <t>自动回复</t>
    <phoneticPr fontId="11" type="noConversion"/>
  </si>
  <si>
    <t>无法送达</t>
    <phoneticPr fontId="11" type="noConversion"/>
  </si>
  <si>
    <t>地址不存在</t>
    <phoneticPr fontId="11" type="noConversion"/>
  </si>
  <si>
    <t>已退职</t>
    <phoneticPr fontId="11" type="noConversion"/>
  </si>
  <si>
    <t>lzhang@waldenintl.com</t>
    <phoneticPr fontId="11" type="noConversion"/>
  </si>
  <si>
    <t>Lilian Zhang</t>
    <phoneticPr fontId="11" type="noConversion"/>
  </si>
  <si>
    <t>暂停使用</t>
    <phoneticPr fontId="11" type="noConversion"/>
  </si>
  <si>
    <t>联合创始人</t>
    <phoneticPr fontId="11" type="noConversion"/>
  </si>
  <si>
    <t>退回</t>
    <phoneticPr fontId="11" type="noConversion"/>
  </si>
  <si>
    <t>阅读</t>
    <phoneticPr fontId="11" type="noConversion"/>
  </si>
  <si>
    <t>冯晓娜</t>
    <phoneticPr fontId="11" type="noConversion"/>
  </si>
  <si>
    <t>fengxiaona@chuangxin.com</t>
    <phoneticPr fontId="11" type="noConversion"/>
  </si>
  <si>
    <t>businessplan@chuangxin.com</t>
    <phoneticPr fontId="11" type="noConversion"/>
  </si>
  <si>
    <t>故障</t>
    <phoneticPr fontId="11" type="noConversion"/>
  </si>
  <si>
    <t>preangelpartners.com</t>
  </si>
  <si>
    <t>已弃用</t>
    <phoneticPr fontId="11" type="noConversion"/>
  </si>
  <si>
    <t>暂停服务</t>
    <phoneticPr fontId="11" type="noConversion"/>
  </si>
  <si>
    <t>刘燕</t>
    <phoneticPr fontId="11" type="noConversion"/>
  </si>
  <si>
    <t>365无法送达</t>
    <phoneticPr fontId="11" type="noConversion"/>
  </si>
  <si>
    <t>误判垃圾</t>
    <phoneticPr fontId="11" type="noConversion"/>
  </si>
  <si>
    <t>送达OK</t>
    <phoneticPr fontId="11" type="noConversion"/>
  </si>
  <si>
    <t>送达NG</t>
    <phoneticPr fontId="11" type="noConversion"/>
  </si>
  <si>
    <t>好未来</t>
    <phoneticPr fontId="11" type="noConversion"/>
  </si>
  <si>
    <t>touzibubp@100tal.com</t>
    <phoneticPr fontId="11" type="noConversion"/>
  </si>
  <si>
    <t>机构全称</t>
    <phoneticPr fontId="11" type="noConversion"/>
  </si>
  <si>
    <t>http://www.100tal.com/investment/</t>
  </si>
  <si>
    <t>地址</t>
    <phoneticPr fontId="11" type="noConversion"/>
  </si>
  <si>
    <t>北京市海淀区丹棱街6号丹棱soho15层</t>
  </si>
  <si>
    <t>http://capital.xdf.cn/index.html</t>
    <phoneticPr fontId="11" type="noConversion"/>
  </si>
  <si>
    <t>investment@iedufund.com</t>
    <phoneticPr fontId="11" type="noConversion"/>
  </si>
  <si>
    <t>新东方创投</t>
    <phoneticPr fontId="11"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</si>
  <si>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1" type="noConversion"/>
  </si>
  <si>
    <t>顺为资本</t>
    <phoneticPr fontId="11" type="noConversion"/>
  </si>
  <si>
    <t>deals@shunwei.com</t>
    <phoneticPr fontId="11"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</si>
  <si>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1"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</si>
  <si>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1" type="noConversion"/>
  </si>
  <si>
    <t>涌铧投资</t>
    <phoneticPr fontId="11" type="noConversion"/>
  </si>
  <si>
    <t>Yonghua@yonghuacapital.com.cn</t>
    <phoneticPr fontId="11"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</si>
  <si>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1" type="noConversion"/>
  </si>
  <si>
    <t>青松基金</t>
    <phoneticPr fontId="11" type="noConversion"/>
  </si>
  <si>
    <t>上海、深圳</t>
    <phoneticPr fontId="11" type="noConversion"/>
  </si>
  <si>
    <t>qingsongfund@qingsongfund.com</t>
    <phoneticPr fontId="11"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</si>
  <si>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1" type="noConversion"/>
  </si>
  <si>
    <t>紫金科创</t>
    <phoneticPr fontId="11" type="noConversion"/>
  </si>
  <si>
    <t>南京</t>
    <phoneticPr fontId="11"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</si>
  <si>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</si>
  <si>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1"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</si>
  <si>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</si>
  <si>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1" type="noConversion"/>
  </si>
  <si>
    <t>单笔平均</t>
    <phoneticPr fontId="11" type="noConversion"/>
  </si>
  <si>
    <t>北京、上海</t>
  </si>
  <si>
    <t>bp@bertelsmann.com</t>
    <phoneticPr fontId="11"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</si>
  <si>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1" type="noConversion"/>
  </si>
  <si>
    <t>伟高达投资</t>
    <phoneticPr fontId="11" type="noConversion"/>
  </si>
  <si>
    <t>上海、新加坡、美国加洲</t>
    <phoneticPr fontId="11" type="noConversion"/>
  </si>
  <si>
    <t>D</t>
    <phoneticPr fontId="11" type="noConversion"/>
  </si>
  <si>
    <t>jeff.chi@vickersventure.com</t>
    <phoneticPr fontId="11"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</si>
  <si>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1" type="noConversion"/>
  </si>
  <si>
    <t>慕华投资</t>
    <phoneticPr fontId="11" type="noConversion"/>
  </si>
  <si>
    <t>战略</t>
    <phoneticPr fontId="11" type="noConversion"/>
  </si>
  <si>
    <t>财务</t>
    <phoneticPr fontId="11"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</si>
  <si>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</si>
  <si>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1" type="noConversion"/>
  </si>
  <si>
    <t>纽信创投</t>
    <phoneticPr fontId="11"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</si>
  <si>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1" type="noConversion"/>
  </si>
  <si>
    <t>北京、上海、深圳</t>
    <phoneticPr fontId="11" type="noConversion"/>
  </si>
  <si>
    <t xml:space="preserve">bp@newsionvc.com </t>
    <phoneticPr fontId="11" type="noConversion"/>
  </si>
  <si>
    <t>盈信投资</t>
    <phoneticPr fontId="11"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</si>
  <si>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1" type="noConversion"/>
  </si>
  <si>
    <t xml:space="preserve">777@ginkgo.net.cn </t>
    <phoneticPr fontId="11" type="noConversion"/>
  </si>
  <si>
    <t xml:space="preserve">bp@puhuacapital.com </t>
    <phoneticPr fontId="11" type="noConversion"/>
  </si>
  <si>
    <t>普华资本</t>
    <phoneticPr fontId="11" type="noConversion"/>
  </si>
  <si>
    <t>http://www.puhuacapital.com</t>
    <phoneticPr fontId="11" type="noConversion"/>
  </si>
  <si>
    <t>http://www.yonghuacapital.com.cn</t>
  </si>
  <si>
    <t>兴旺投资</t>
    <phoneticPr fontId="11" type="noConversion"/>
  </si>
  <si>
    <t>bp@preangelfund.cn</t>
    <phoneticPr fontId="11" type="noConversion"/>
  </si>
  <si>
    <t>PreAngel</t>
    <phoneticPr fontId="11"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</si>
  <si>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1" type="noConversion"/>
  </si>
  <si>
    <t>zj@xwinvest.com.cn</t>
    <phoneticPr fontId="11" type="noConversion"/>
  </si>
  <si>
    <t>顺融投资</t>
    <phoneticPr fontId="11"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</si>
  <si>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1" type="noConversion"/>
  </si>
  <si>
    <t>苏州、杭州</t>
    <phoneticPr fontId="11" type="noConversion"/>
  </si>
  <si>
    <t>bp@shunrongvc.com</t>
    <phoneticPr fontId="11" type="noConversion"/>
  </si>
  <si>
    <t>单独发送</t>
    <phoneticPr fontId="11" type="noConversion"/>
  </si>
  <si>
    <t>国科嘉和</t>
    <phoneticPr fontId="11"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</si>
  <si>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1" type="noConversion"/>
  </si>
  <si>
    <t xml:space="preserve">tmt@cashcapital.cn </t>
    <phoneticPr fontId="11" type="noConversion"/>
  </si>
  <si>
    <t>bp@ibecapital.com</t>
    <phoneticPr fontId="11" type="noConversion"/>
  </si>
  <si>
    <t>蓝象资本</t>
    <phoneticPr fontId="11" type="noConversion"/>
  </si>
  <si>
    <t>http://www.ibecapital.com</t>
    <phoneticPr fontId="11" type="noConversion"/>
  </si>
  <si>
    <t>蓝湖资本</t>
    <phoneticPr fontId="11" type="noConversion"/>
  </si>
  <si>
    <t>bp@bluelakecap.com</t>
    <phoneticPr fontId="11" type="noConversion"/>
  </si>
  <si>
    <t>http://www.bluelakecap.com</t>
    <phoneticPr fontId="11" type="noConversion"/>
  </si>
  <si>
    <r>
      <rPr>
        <sz val="11"/>
        <color rgb="FF000000"/>
        <rFont val="宋体"/>
        <family val="2"/>
        <charset val="134"/>
      </rPr>
      <t>经纬</t>
    </r>
    <r>
      <rPr>
        <sz val="11"/>
        <color rgb="FF000000"/>
        <rFont val="Yu Gothic"/>
        <family val="2"/>
        <charset val="128"/>
      </rPr>
      <t>中国</t>
    </r>
    <phoneticPr fontId="11" type="noConversion"/>
  </si>
  <si>
    <t>https://www.matrixpartners.com.cn</t>
    <phoneticPr fontId="11" type="noConversion"/>
  </si>
  <si>
    <t>阅读回执</t>
    <phoneticPr fontId="11" type="noConversion"/>
  </si>
  <si>
    <t>chinahk@waldenintl.com</t>
    <phoneticPr fontId="11"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</si>
  <si>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1" type="noConversion"/>
  </si>
  <si>
    <t>xiangmu@ziben360.com</t>
    <phoneticPr fontId="11" type="noConversion"/>
  </si>
  <si>
    <t>回信</t>
    <phoneticPr fontId="11" type="noConversion"/>
  </si>
  <si>
    <t>停用</t>
    <phoneticPr fontId="11" type="noConversion"/>
  </si>
  <si>
    <t>投资人定位</t>
    <phoneticPr fontId="11" type="noConversion"/>
  </si>
  <si>
    <t>机构定位</t>
    <phoneticPr fontId="11" type="noConversion"/>
  </si>
  <si>
    <t>chenzhenduke@163.com</t>
    <phoneticPr fontId="11" type="noConversion"/>
  </si>
  <si>
    <t>sun@sequoiacap.com</t>
    <phoneticPr fontId="11" type="noConversion"/>
  </si>
  <si>
    <t>孙谦</t>
    <phoneticPr fontId="11" type="noConversion"/>
  </si>
  <si>
    <t>info@leboxcap.com</t>
    <phoneticPr fontId="11" type="noConversion"/>
  </si>
  <si>
    <t>wb1981922@gmail.com</t>
    <phoneticPr fontId="11" type="noConversion"/>
  </si>
  <si>
    <t>jason@decentcapital.com</t>
    <phoneticPr fontId="11" type="noConversion"/>
  </si>
  <si>
    <t>11303@guosen.com.cn</t>
    <phoneticPr fontId="11" type="noConversion"/>
  </si>
  <si>
    <t>caiyi@weibovc.com</t>
    <phoneticPr fontId="11" type="noConversion"/>
  </si>
  <si>
    <t>zejunquan@yeah.net</t>
    <phoneticPr fontId="11" type="noConversion"/>
  </si>
  <si>
    <t>tlkoh@shunwei.com</t>
    <phoneticPr fontId="11" type="noConversion"/>
  </si>
  <si>
    <t>allen@gsrventures.cn</t>
    <phoneticPr fontId="11" type="noConversion"/>
  </si>
  <si>
    <t>simonv@gsrventures.com</t>
    <phoneticPr fontId="11" type="noConversion"/>
  </si>
  <si>
    <t>sonny@gsrventures.com</t>
    <phoneticPr fontId="11" type="noConversion"/>
  </si>
  <si>
    <t>herryhan@gmail.com</t>
    <phoneticPr fontId="11" type="noConversion"/>
  </si>
  <si>
    <t>panxiangchina@gmail.com</t>
    <phoneticPr fontId="11" type="noConversion"/>
  </si>
  <si>
    <t>ventures@asbvchina.com</t>
    <phoneticPr fontId="11" type="noConversion"/>
  </si>
  <si>
    <t>zoux@szgig.com</t>
    <phoneticPr fontId="11" type="noConversion"/>
  </si>
  <si>
    <t>ysb@fhcapital.com</t>
    <phoneticPr fontId="11" type="noConversion"/>
  </si>
  <si>
    <t>don@gobivc.com</t>
    <phoneticPr fontId="11" type="noConversion"/>
  </si>
  <si>
    <t>michael@gobivc.com</t>
    <phoneticPr fontId="11" type="noConversion"/>
  </si>
  <si>
    <t>tom@gobivc.com</t>
    <phoneticPr fontId="11" type="noConversion"/>
  </si>
  <si>
    <t>mail@gobivc.com</t>
    <phoneticPr fontId="11" type="noConversion"/>
  </si>
  <si>
    <t>zhangyunpeng@sina.com</t>
    <phoneticPr fontId="11" type="noConversion"/>
  </si>
  <si>
    <t>wusz@cdhfund.com</t>
    <phoneticPr fontId="11" type="noConversion"/>
  </si>
  <si>
    <t>rzeng@dcm.com</t>
    <phoneticPr fontId="11" type="noConversion"/>
  </si>
  <si>
    <t>hurst@dcmvc.com</t>
    <phoneticPr fontId="11" type="noConversion"/>
  </si>
  <si>
    <t>dchao@dcmvc.com</t>
    <phoneticPr fontId="11" type="noConversion"/>
  </si>
  <si>
    <t>businessplan@dcm.com</t>
    <phoneticPr fontId="11" type="noConversion"/>
  </si>
  <si>
    <t>rlu@dcm.com</t>
    <phoneticPr fontId="11" type="noConversion"/>
  </si>
  <si>
    <t>zhen_zhang@banyanvc.com</t>
    <phoneticPr fontId="11" type="noConversion"/>
  </si>
  <si>
    <t>kyeh@hcp.com</t>
    <phoneticPr fontId="11" type="noConversion"/>
  </si>
  <si>
    <t>duane@qimingventures.com</t>
    <phoneticPr fontId="11" type="noConversion"/>
  </si>
  <si>
    <t>gary@qimingventures.com</t>
    <phoneticPr fontId="11" type="noConversion"/>
  </si>
  <si>
    <t>hyx881012@hotmail.com</t>
    <phoneticPr fontId="11" type="noConversion"/>
  </si>
  <si>
    <t>dyang@sbaif.com</t>
    <phoneticPr fontId="11" type="noConversion"/>
  </si>
  <si>
    <t>info@sbaif.com</t>
    <phoneticPr fontId="11" type="noConversion"/>
  </si>
  <si>
    <t>tmt@nlvc.com</t>
    <phoneticPr fontId="11" type="noConversion"/>
  </si>
  <si>
    <t>yhli@panlincap.com</t>
    <phoneticPr fontId="11" type="noConversion"/>
  </si>
  <si>
    <t>chenchen@greenwoodsasset.com</t>
    <phoneticPr fontId="11" type="noConversion"/>
  </si>
  <si>
    <t>niulixong@gmail.com</t>
    <phoneticPr fontId="11" type="noConversion"/>
  </si>
  <si>
    <t>wangxiao@unityvc.com</t>
    <phoneticPr fontId="11" type="noConversion"/>
  </si>
  <si>
    <t>tiandsheng@163.com</t>
    <phoneticPr fontId="11" type="noConversion"/>
  </si>
  <si>
    <t>zting613@hotmail.com</t>
    <phoneticPr fontId="11" type="noConversion"/>
  </si>
  <si>
    <t>fulj@wuyuecapital.com</t>
    <phoneticPr fontId="11" type="noConversion"/>
  </si>
  <si>
    <t>ellaz@kpcb.com</t>
    <phoneticPr fontId="11" type="noConversion"/>
  </si>
  <si>
    <t>weiz@kpcb.com</t>
    <phoneticPr fontId="11" type="noConversion"/>
  </si>
  <si>
    <t>vleung@kpcb.com</t>
    <phoneticPr fontId="11" type="noConversion"/>
  </si>
  <si>
    <t>tinaj@kpcb.com</t>
    <phoneticPr fontId="11" type="noConversion"/>
  </si>
  <si>
    <t>young_guo@idgvc.com</t>
    <phoneticPr fontId="11" type="noConversion"/>
  </si>
  <si>
    <t>economization@163.com</t>
    <phoneticPr fontId="11" type="noConversion"/>
  </si>
  <si>
    <t>zhenfund@zhenfund.com</t>
    <phoneticPr fontId="11" type="noConversion"/>
  </si>
  <si>
    <t>ninthf@gmail.com</t>
    <phoneticPr fontId="11" type="noConversion"/>
  </si>
  <si>
    <t>dzbin@qingsongfund.com</t>
    <phoneticPr fontId="11" type="noConversion"/>
  </si>
  <si>
    <t>lyy@newsionvc.com</t>
    <phoneticPr fontId="11" type="noConversion"/>
  </si>
  <si>
    <t>zf@leaguercapital.com</t>
    <phoneticPr fontId="11" type="noConversion"/>
  </si>
  <si>
    <t>pxw@tisiwi.com</t>
    <phoneticPr fontId="11" type="noConversion"/>
  </si>
  <si>
    <t>ydd@tisiwi.com</t>
    <phoneticPr fontId="11" type="noConversion"/>
  </si>
  <si>
    <t>pan@sequoiacap.com</t>
    <phoneticPr fontId="11" type="noConversion"/>
  </si>
  <si>
    <t>wufang9099@126.com</t>
    <phoneticPr fontId="11" type="noConversion"/>
  </si>
  <si>
    <t>168lwm@163.com</t>
    <phoneticPr fontId="11" type="noConversion"/>
  </si>
  <si>
    <t>kejivc@126.com</t>
    <phoneticPr fontId="11" type="noConversion"/>
  </si>
  <si>
    <t>cindysun99@yahoo.com</t>
    <phoneticPr fontId="11" type="noConversion"/>
  </si>
  <si>
    <t>huangbinglong@hotmail.com</t>
    <phoneticPr fontId="11" type="noConversion"/>
  </si>
  <si>
    <t>jesse@tallwoodvc.com</t>
    <phoneticPr fontId="11" type="noConversion"/>
  </si>
  <si>
    <t>small2black@21cn.com</t>
    <phoneticPr fontId="11" type="noConversion"/>
  </si>
  <si>
    <t>chuan@hcp.com</t>
    <phoneticPr fontId="11" type="noConversion"/>
  </si>
  <si>
    <t>darren@suhehui.com</t>
    <phoneticPr fontId="11" type="noConversion"/>
  </si>
  <si>
    <t>shuhongzhuo@163.com</t>
    <phoneticPr fontId="11" type="noConversion"/>
  </si>
  <si>
    <t>liangt@rlequities.com</t>
    <phoneticPr fontId="11" type="noConversion"/>
  </si>
  <si>
    <t>chenlei_th@hotmail.com</t>
    <phoneticPr fontId="11" type="noConversion"/>
  </si>
  <si>
    <t>lhu@ggv.com</t>
    <phoneticPr fontId="11" type="noConversion"/>
  </si>
  <si>
    <t>wyc@entrue.cn</t>
    <phoneticPr fontId="11" type="noConversion"/>
  </si>
  <si>
    <t>larry@tsingcapital.com</t>
    <phoneticPr fontId="11" type="noConversion"/>
  </si>
  <si>
    <t>bp@tsingcapital.com</t>
    <phoneticPr fontId="11" type="noConversion"/>
  </si>
  <si>
    <t>jli@sequoiacap.com</t>
    <phoneticPr fontId="11" type="noConversion"/>
  </si>
  <si>
    <t>shen@sequoiacap.com</t>
    <phoneticPr fontId="11" type="noConversion"/>
  </si>
  <si>
    <t>liu@sequoiacap.com</t>
    <phoneticPr fontId="11" type="noConversion"/>
  </si>
  <si>
    <t>xiao@sequoiacap.com</t>
    <phoneticPr fontId="11" type="noConversion"/>
  </si>
  <si>
    <t>joezhou@keytonevc.com</t>
    <phoneticPr fontId="11" type="noConversion"/>
  </si>
  <si>
    <t>1330800@qq.com</t>
    <phoneticPr fontId="11" type="noConversion"/>
  </si>
  <si>
    <t>powerinvestment@hotmail.com</t>
    <phoneticPr fontId="11" type="noConversion"/>
  </si>
  <si>
    <t>yhuang720@163.com</t>
    <phoneticPr fontId="11" type="noConversion"/>
  </si>
  <si>
    <t>tourongzi@qq.com</t>
    <phoneticPr fontId="11" type="noConversion"/>
  </si>
  <si>
    <t>yang@cyberagentventures.com</t>
    <phoneticPr fontId="11" type="noConversion"/>
  </si>
  <si>
    <t>wing@gobivc.com</t>
    <phoneticPr fontId="11" type="noConversion"/>
  </si>
  <si>
    <t>leizhonghui@gmail.com</t>
    <phoneticPr fontId="11" type="noConversion"/>
  </si>
  <si>
    <t>chenlei8228@163.com</t>
    <phoneticPr fontId="11" type="noConversion"/>
  </si>
  <si>
    <t>yf188@188.com</t>
    <phoneticPr fontId="11" type="noConversion"/>
  </si>
  <si>
    <t>63145233@qq.com</t>
    <phoneticPr fontId="11" type="noConversion"/>
  </si>
  <si>
    <t>wangguanxiong@gmail.com</t>
    <phoneticPr fontId="11" type="noConversion"/>
  </si>
  <si>
    <t>xuguangyuan@360.cn</t>
    <phoneticPr fontId="11" type="noConversion"/>
  </si>
  <si>
    <t>zhangye@hwazing.com</t>
    <phoneticPr fontId="11" type="noConversion"/>
  </si>
  <si>
    <t>capital_kara@163.com</t>
    <phoneticPr fontId="11" type="noConversion"/>
  </si>
  <si>
    <t>david010@foxmail.com</t>
    <phoneticPr fontId="11" type="noConversion"/>
  </si>
  <si>
    <t>case@cowincapital.com</t>
    <phoneticPr fontId="11" type="noConversion"/>
  </si>
  <si>
    <t>w_tian@hotmail.com</t>
    <phoneticPr fontId="11" type="noConversion"/>
  </si>
  <si>
    <t>raymond@atomvc.com</t>
    <phoneticPr fontId="11" type="noConversion"/>
  </si>
  <si>
    <t>13957101733@qq.com</t>
    <phoneticPr fontId="11" type="noConversion"/>
  </si>
  <si>
    <t>mycamel@188.com</t>
    <phoneticPr fontId="11" type="noConversion"/>
  </si>
  <si>
    <t>xlu@easternlinkcapital.com</t>
    <phoneticPr fontId="11" type="noConversion"/>
  </si>
  <si>
    <t>pkuangel@126.com</t>
    <phoneticPr fontId="11" type="noConversion"/>
  </si>
  <si>
    <t>tophzh@126.com</t>
    <phoneticPr fontId="11" type="noConversion"/>
  </si>
  <si>
    <t>zhuominqiu@foxmail.com</t>
    <phoneticPr fontId="11" type="noConversion"/>
  </si>
  <si>
    <t>chinavc@outlook.com</t>
    <phoneticPr fontId="11" type="noConversion"/>
  </si>
  <si>
    <t>zhaoxifeng@foxmail.com</t>
    <phoneticPr fontId="11" type="noConversion"/>
  </si>
  <si>
    <t>car55@qq.com</t>
    <phoneticPr fontId="11" type="noConversion"/>
  </si>
  <si>
    <t>interdali@126.com</t>
    <phoneticPr fontId="11" type="noConversion"/>
  </si>
  <si>
    <t>prrlibra@gmail.com</t>
    <phoneticPr fontId="11" type="noConversion"/>
  </si>
  <si>
    <t>chentianqiao@qq.com</t>
    <phoneticPr fontId="11" type="noConversion"/>
  </si>
  <si>
    <t>costone_jishi@hotmail.com</t>
    <phoneticPr fontId="11" type="noConversion"/>
  </si>
  <si>
    <t>szfvc@szfvc.com</t>
    <phoneticPr fontId="11" type="noConversion"/>
  </si>
  <si>
    <t>csun@warburgpincus.com</t>
    <phoneticPr fontId="11" type="noConversion"/>
  </si>
  <si>
    <t>wangsheng@cmschina.com</t>
    <phoneticPr fontId="11" type="noConversion"/>
  </si>
  <si>
    <t>njzjkc2012@163.com</t>
    <phoneticPr fontId="11" type="noConversion"/>
  </si>
  <si>
    <t>angel@cgcvc.com</t>
    <phoneticPr fontId="11" type="noConversion"/>
  </si>
  <si>
    <t>office@mooc-cn.com</t>
    <phoneticPr fontId="11" type="noConversion"/>
  </si>
  <si>
    <t>bp@puhuacapital.com</t>
    <phoneticPr fontId="11" type="noConversion"/>
  </si>
  <si>
    <t>13590422395@139.com</t>
    <phoneticPr fontId="11" type="noConversion"/>
  </si>
  <si>
    <t>13601088518lsi@263.net</t>
    <phoneticPr fontId="11" type="noConversion"/>
  </si>
  <si>
    <t>13602368958@163.com</t>
    <phoneticPr fontId="11" type="noConversion"/>
  </si>
  <si>
    <t>13810511518@163.com</t>
    <phoneticPr fontId="11" type="noConversion"/>
  </si>
  <si>
    <t>1538247388@qq.com </t>
    <phoneticPr fontId="11" type="noConversion"/>
  </si>
  <si>
    <t>18717855716@163.com</t>
    <phoneticPr fontId="11" type="noConversion"/>
  </si>
  <si>
    <t>2354673172@qq.com</t>
    <phoneticPr fontId="11" type="noConversion"/>
  </si>
  <si>
    <t>268xiaohu@sina.com</t>
    <phoneticPr fontId="11" type="noConversion"/>
  </si>
  <si>
    <t>326371883@qq.com</t>
    <phoneticPr fontId="11" type="noConversion"/>
  </si>
  <si>
    <t>363754@qq.com</t>
    <phoneticPr fontId="11" type="noConversion"/>
  </si>
  <si>
    <t>389963395@qq.com</t>
    <phoneticPr fontId="11" type="noConversion"/>
  </si>
  <si>
    <t>63145233@qq.com </t>
    <phoneticPr fontId="11" type="noConversion"/>
  </si>
  <si>
    <t>709401053@qq.com</t>
    <phoneticPr fontId="11" type="noConversion"/>
  </si>
  <si>
    <t>99999@9d999.com</t>
    <phoneticPr fontId="11" type="noConversion"/>
  </si>
  <si>
    <t>aaronzhang@huaxing.com</t>
    <phoneticPr fontId="11" type="noConversion"/>
  </si>
  <si>
    <t>ac@matrixpartners.com.cn</t>
    <phoneticPr fontId="11" type="noConversion"/>
  </si>
  <si>
    <t>adam.wan@china-icapital.com</t>
    <phoneticPr fontId="11" type="noConversion"/>
  </si>
  <si>
    <t>alan.bai@crcicapital.com</t>
    <phoneticPr fontId="11" type="noConversion"/>
  </si>
  <si>
    <t>alex33@163.net</t>
    <phoneticPr fontId="11" type="noConversion"/>
  </si>
  <si>
    <t>alex33@vip.tom.com</t>
    <phoneticPr fontId="11" type="noConversion"/>
  </si>
  <si>
    <t>andyyan@sbaif.com</t>
    <phoneticPr fontId="11" type="noConversion"/>
  </si>
  <si>
    <t>Annabelle.long@bertelsmann.com</t>
    <phoneticPr fontId="11" type="noConversion"/>
  </si>
  <si>
    <t>asb.vc@alcatel-sbell.com.cn</t>
    <phoneticPr fontId="11" type="noConversion"/>
  </si>
  <si>
    <t>aventures@163.com</t>
    <phoneticPr fontId="11" type="noConversion"/>
  </si>
  <si>
    <t>awang@sbaif.com</t>
    <phoneticPr fontId="11" type="noConversion"/>
  </si>
  <si>
    <t>baiyaming@msqz.com</t>
    <phoneticPr fontId="11" type="noConversion"/>
  </si>
  <si>
    <t>beijingcapital@beijingcapital.com.cn</t>
    <phoneticPr fontId="11" type="noConversion"/>
  </si>
  <si>
    <t>benson.xia@grand-gold.com.cn</t>
    <phoneticPr fontId="11" type="noConversion"/>
  </si>
  <si>
    <t>benson882@gmail.com</t>
    <phoneticPr fontId="11" type="noConversion"/>
  </si>
  <si>
    <t>benye@zero2ipo.com.cn</t>
    <phoneticPr fontId="11" type="noConversion"/>
  </si>
  <si>
    <t>bhu@dcm.com</t>
    <phoneticPr fontId="11" type="noConversion"/>
  </si>
  <si>
    <t>bill@crk2.com</t>
    <phoneticPr fontId="11" type="noConversion"/>
  </si>
  <si>
    <t>binneyduan@gmail.com</t>
    <phoneticPr fontId="11" type="noConversion"/>
  </si>
  <si>
    <t>biz@jovanventures.com </t>
    <phoneticPr fontId="11" type="noConversion"/>
  </si>
  <si>
    <t>bizplan@tigervc.com partner@tigervc.com </t>
    <phoneticPr fontId="11" type="noConversion"/>
  </si>
  <si>
    <t>boontoo@126.com</t>
    <phoneticPr fontId="11" type="noConversion"/>
  </si>
  <si>
    <t>bosstozq@126.com</t>
    <phoneticPr fontId="11" type="noConversion"/>
  </si>
  <si>
    <t>bp@aid.com.cn</t>
    <phoneticPr fontId="11" type="noConversion"/>
  </si>
  <si>
    <t>bp@eaglesfund.com</t>
    <phoneticPr fontId="11" type="noConversion"/>
  </si>
  <si>
    <t>bp@LandsAngels.com</t>
    <phoneticPr fontId="11" type="noConversion"/>
  </si>
  <si>
    <t>bp@nonoidea.com</t>
    <phoneticPr fontId="11" type="noConversion"/>
  </si>
  <si>
    <t>bp@pre-angel.com</t>
    <phoneticPr fontId="11" type="noConversion"/>
  </si>
  <si>
    <t>BP@sycapital.cn</t>
    <phoneticPr fontId="11" type="noConversion"/>
  </si>
  <si>
    <t>bragg.bai@cdf-capital.com</t>
    <phoneticPr fontId="11" type="noConversion"/>
  </si>
  <si>
    <t>bruce@gobivc.com</t>
    <phoneticPr fontId="11" type="noConversion"/>
  </si>
  <si>
    <t>burixin@sxcapital.cn</t>
    <phoneticPr fontId="11" type="noConversion"/>
  </si>
  <si>
    <t>buruixin@sxcapital.cn</t>
    <phoneticPr fontId="11" type="noConversion"/>
  </si>
  <si>
    <t>byam@sbaif.com</t>
    <phoneticPr fontId="11" type="noConversion"/>
  </si>
  <si>
    <t>by-captial@hotmail.com</t>
    <phoneticPr fontId="11" type="noConversion"/>
  </si>
  <si>
    <t>calvin.huang@gmail.com</t>
    <phoneticPr fontId="11" type="noConversion"/>
  </si>
  <si>
    <t>canming510@sina.com</t>
    <phoneticPr fontId="11" type="noConversion"/>
  </si>
  <si>
    <t>cao@matrixpartners.com.cn</t>
    <phoneticPr fontId="11" type="noConversion"/>
  </si>
  <si>
    <t>cao@orizoncapital.com</t>
    <phoneticPr fontId="11" type="noConversion"/>
  </si>
  <si>
    <t>caorihui@gmail.com</t>
    <phoneticPr fontId="11" type="noConversion"/>
  </si>
  <si>
    <t>caoxipku@foxmail.com</t>
    <phoneticPr fontId="11" type="noConversion"/>
  </si>
  <si>
    <t>caozhy@vangoocapital.com</t>
    <phoneticPr fontId="11" type="noConversion"/>
  </si>
  <si>
    <t>car55@qq.com </t>
    <phoneticPr fontId="11" type="noConversion"/>
  </si>
  <si>
    <t>ccp@cdcgroup.com </t>
    <phoneticPr fontId="11" type="noConversion"/>
  </si>
  <si>
    <t>ccvpdeals@citiccapital.com</t>
    <phoneticPr fontId="11" type="noConversion"/>
  </si>
  <si>
    <t>cefszo@163.com</t>
    <phoneticPr fontId="11" type="noConversion"/>
  </si>
  <si>
    <t>chalimail@gmail.com</t>
    <phoneticPr fontId="11" type="noConversion"/>
  </si>
  <si>
    <t>changbin@jiudingcapital.com</t>
    <phoneticPr fontId="11" type="noConversion"/>
  </si>
  <si>
    <t>changliang06@gmail.com</t>
    <phoneticPr fontId="11" type="noConversion"/>
  </si>
  <si>
    <t>chao.j.zhao@gmail.com</t>
    <phoneticPr fontId="11" type="noConversion"/>
  </si>
  <si>
    <t>chareleson@sbaif.com</t>
    <phoneticPr fontId="11" type="noConversion"/>
  </si>
  <si>
    <t>charles.deng@theific.com</t>
    <phoneticPr fontId="11" type="noConversion"/>
  </si>
  <si>
    <t>charlesxuebp@gmail.com</t>
    <phoneticPr fontId="11" type="noConversion"/>
  </si>
  <si>
    <t>charlesxuesub@gmail.com</t>
    <phoneticPr fontId="11" type="noConversion"/>
  </si>
  <si>
    <t>chen_bosi@163.com</t>
    <phoneticPr fontId="11" type="noConversion"/>
  </si>
  <si>
    <t>chencq@ghzq.com.cn</t>
    <phoneticPr fontId="11" type="noConversion"/>
  </si>
  <si>
    <t>chengtianqiao@qq.com</t>
    <phoneticPr fontId="11" type="noConversion"/>
  </si>
  <si>
    <t>chenhao@legendcapital.com.cn </t>
    <phoneticPr fontId="11" type="noConversion"/>
  </si>
  <si>
    <t>chenli@zhislandcap.com</t>
    <phoneticPr fontId="11" type="noConversion"/>
  </si>
  <si>
    <t>chenrg@asto.com.cn</t>
    <phoneticPr fontId="11" type="noConversion"/>
  </si>
  <si>
    <t>chenxiangdong@tiantu.com.cn</t>
    <phoneticPr fontId="11" type="noConversion"/>
  </si>
  <si>
    <t>chenzenghao@guofuyuan.com.cn</t>
    <phoneticPr fontId="11" type="noConversion"/>
  </si>
  <si>
    <t>chihiro@cyberagentventures.com</t>
    <phoneticPr fontId="11" type="noConversion"/>
  </si>
  <si>
    <t>china@sequoiacap.com</t>
    <phoneticPr fontId="11" type="noConversion"/>
  </si>
  <si>
    <t>Chinamkt@126.com</t>
    <phoneticPr fontId="11" type="noConversion"/>
  </si>
  <si>
    <t>chyjr@chyjr.com</t>
    <phoneticPr fontId="11" type="noConversion"/>
  </si>
  <si>
    <t>claire.kang@icanccapital.com</t>
    <phoneticPr fontId="11" type="noConversion"/>
  </si>
  <si>
    <t>claire.lin@matrixpartners.com.cn</t>
    <phoneticPr fontId="11" type="noConversion"/>
  </si>
  <si>
    <t>claire.zhang@matrixpartners.com.cn</t>
    <phoneticPr fontId="11" type="noConversion"/>
  </si>
  <si>
    <t>Clong@my089.net</t>
    <phoneticPr fontId="11" type="noConversion"/>
  </si>
  <si>
    <t>cn@kchtz.com</t>
    <phoneticPr fontId="11" type="noConversion"/>
  </si>
  <si>
    <t>contact@acervc.com.cn </t>
    <phoneticPr fontId="11" type="noConversion"/>
  </si>
  <si>
    <t>contact@cybernaut.com.cn</t>
    <phoneticPr fontId="11" type="noConversion"/>
  </si>
  <si>
    <t>contact@sbcvc.com </t>
    <phoneticPr fontId="11" type="noConversion"/>
  </si>
  <si>
    <t>contact@tdfcapital.com </t>
    <phoneticPr fontId="11" type="noConversion"/>
  </si>
  <si>
    <t>corporatefinance@macquarie.com</t>
    <phoneticPr fontId="11" type="noConversion"/>
  </si>
  <si>
    <t>csli@szvc.com.cn</t>
    <phoneticPr fontId="11" type="noConversion"/>
  </si>
  <si>
    <t>csm@boleyuma.com</t>
    <phoneticPr fontId="11" type="noConversion"/>
  </si>
  <si>
    <t>cuizy@lenovo.com</t>
    <phoneticPr fontId="11" type="noConversion"/>
  </si>
  <si>
    <t>cvcc@c-vcc.com </t>
    <phoneticPr fontId="11" type="noConversion"/>
  </si>
  <si>
    <t>cwei@brv.com</t>
    <phoneticPr fontId="11" type="noConversion"/>
  </si>
  <si>
    <t>cxh@cac-capital.com</t>
    <phoneticPr fontId="11" type="noConversion"/>
  </si>
  <si>
    <t>cynthia.qiu@fangfund.com</t>
    <phoneticPr fontId="11" type="noConversion"/>
  </si>
  <si>
    <t>cynthia.tan@shiningfund.com</t>
    <phoneticPr fontId="11" type="noConversion"/>
  </si>
  <si>
    <t>cywang@chinaequity.net </t>
    <phoneticPr fontId="11" type="noConversion"/>
  </si>
  <si>
    <t>cyy@stefg.org</t>
    <phoneticPr fontId="11" type="noConversion"/>
  </si>
  <si>
    <t>dagang.feng@matrixpartners.com.cn</t>
    <phoneticPr fontId="11" type="noConversion"/>
  </si>
  <si>
    <t>dali@cfcfund.com</t>
    <phoneticPr fontId="11" type="noConversion"/>
  </si>
  <si>
    <t>daniel@zhenfund.com</t>
    <phoneticPr fontId="11" type="noConversion"/>
  </si>
  <si>
    <t>dannylui@authosisvc.com</t>
    <phoneticPr fontId="11" type="noConversion"/>
  </si>
  <si>
    <t>david.qian@cdf-capital.com</t>
    <phoneticPr fontId="11" type="noConversion"/>
  </si>
  <si>
    <t>david@danenventures.com</t>
    <phoneticPr fontId="11" type="noConversion"/>
  </si>
  <si>
    <t>david@vkc-partners.com</t>
    <phoneticPr fontId="11" type="noConversion"/>
  </si>
  <si>
    <t>Davidling1967@gmail.com</t>
    <phoneticPr fontId="11" type="noConversion"/>
  </si>
  <si>
    <t>dchen99@gsb.columbia.edu</t>
    <phoneticPr fontId="11" type="noConversion"/>
  </si>
  <si>
    <t>dfy@vip.163.com</t>
    <phoneticPr fontId="11" type="noConversion"/>
  </si>
  <si>
    <t>dgx@zhongguochuangtou.com</t>
    <phoneticPr fontId="11" type="noConversion"/>
  </si>
  <si>
    <t>dingcheng01@163.com</t>
    <phoneticPr fontId="11" type="noConversion"/>
  </si>
  <si>
    <t>dixon@juesheng.com</t>
    <phoneticPr fontId="11" type="noConversion"/>
  </si>
  <si>
    <t>dj@entrue.cn</t>
    <phoneticPr fontId="11" type="noConversion"/>
  </si>
  <si>
    <t>dongping.li@haiyinfund.com</t>
    <phoneticPr fontId="11" type="noConversion"/>
  </si>
  <si>
    <t>drmdong@gmail.com</t>
    <phoneticPr fontId="11" type="noConversion"/>
  </si>
  <si>
    <t>dundas@dmidas.com</t>
    <phoneticPr fontId="11" type="noConversion"/>
  </si>
  <si>
    <t>ella.zhang@hotmail.com</t>
    <phoneticPr fontId="11" type="noConversion"/>
  </si>
  <si>
    <t>elton.jiang@nlightvc.com</t>
    <phoneticPr fontId="11" type="noConversion"/>
  </si>
  <si>
    <t>elwinyuan@morningside.com.cn</t>
    <phoneticPr fontId="11" type="noConversion"/>
  </si>
  <si>
    <t>enquiry@sihl.com.hk </t>
    <phoneticPr fontId="11" type="noConversion"/>
  </si>
  <si>
    <t>erhailiu@gmail.com</t>
    <phoneticPr fontId="11" type="noConversion"/>
  </si>
  <si>
    <t>Ericyang@glory－ventures.com</t>
    <phoneticPr fontId="11" type="noConversion"/>
  </si>
  <si>
    <t>eyang@smc-capital.com</t>
    <phoneticPr fontId="11" type="noConversion"/>
  </si>
  <si>
    <t>fanfei@gf.com.cn</t>
    <phoneticPr fontId="11" type="noConversion"/>
  </si>
  <si>
    <t>fanyinliang@thearenacapital.com</t>
    <phoneticPr fontId="11" type="noConversion"/>
  </si>
  <si>
    <t>fanyoupeng@hotmail.com</t>
    <phoneticPr fontId="11" type="noConversion"/>
  </si>
  <si>
    <t>feng.deng@nlightvc.com</t>
    <phoneticPr fontId="11" type="noConversion"/>
  </si>
  <si>
    <t>feng.deng@nlvc.com</t>
    <phoneticPr fontId="11" type="noConversion"/>
  </si>
  <si>
    <t>feng.gao@meridiancapital.com.cn</t>
    <phoneticPr fontId="11" type="noConversion"/>
  </si>
  <si>
    <t>feng_li@idgvc.com.cn</t>
    <phoneticPr fontId="11" type="noConversion"/>
  </si>
  <si>
    <t>figo.zhang@nlvc.com</t>
    <phoneticPr fontId="11" type="noConversion"/>
  </si>
  <si>
    <t>fiona@tendencevc.com</t>
    <phoneticPr fontId="11" type="noConversion"/>
  </si>
  <si>
    <t>fjcool@gmail.com</t>
    <phoneticPr fontId="11" type="noConversion"/>
  </si>
  <si>
    <t>Fortune@fortunevc.com</t>
    <phoneticPr fontId="11" type="noConversion"/>
  </si>
  <si>
    <t>fwu@brv.com</t>
    <phoneticPr fontId="11" type="noConversion"/>
  </si>
  <si>
    <t>fxz@newsionvc.com</t>
    <phoneticPr fontId="11" type="noConversion"/>
  </si>
  <si>
    <t>fzhong@srivercapital.com</t>
    <phoneticPr fontId="11" type="noConversion"/>
  </si>
  <si>
    <t>fzhong@xingcap.com</t>
    <phoneticPr fontId="11" type="noConversion"/>
  </si>
  <si>
    <t>ganli@topcapital.com.cn</t>
    <phoneticPr fontId="11" type="noConversion"/>
  </si>
  <si>
    <t>gaoshaoxing@shunwei.com</t>
    <phoneticPr fontId="11" type="noConversion"/>
  </si>
  <si>
    <t>gavinni@zero2ipo.com.cn</t>
    <phoneticPr fontId="11" type="noConversion"/>
  </si>
  <si>
    <t>gavinzhang@zero2ipo.com.cn</t>
    <phoneticPr fontId="11" type="noConversion"/>
  </si>
  <si>
    <t>ge_3000@sina.com</t>
    <phoneticPr fontId="11" type="noConversion"/>
  </si>
  <si>
    <t>general@asimco.com.cn</t>
    <phoneticPr fontId="11" type="noConversion"/>
  </si>
  <si>
    <t>george.zhao@morningside.com.cn </t>
    <phoneticPr fontId="11" type="noConversion"/>
  </si>
  <si>
    <t>georgelicn@126.com</t>
    <phoneticPr fontId="11" type="noConversion"/>
  </si>
  <si>
    <t>gjr@yinhuacapital.com</t>
    <phoneticPr fontId="11" type="noConversion"/>
  </si>
  <si>
    <t>glpddkelly@hotmail.com</t>
    <phoneticPr fontId="11" type="noConversion"/>
  </si>
  <si>
    <t>goodxp@gmail.com</t>
    <phoneticPr fontId="11" type="noConversion"/>
  </si>
  <si>
    <t>gouguoju@gmail.com</t>
    <phoneticPr fontId="11" type="noConversion"/>
  </si>
  <si>
    <t>gqhuang@ofcapital.com</t>
    <phoneticPr fontId="11" type="noConversion"/>
  </si>
  <si>
    <t>greg@delta-capital.cn</t>
    <phoneticPr fontId="11" type="noConversion"/>
  </si>
  <si>
    <t>gtvc@gtvc.com</t>
    <phoneticPr fontId="11" type="noConversion"/>
  </si>
  <si>
    <t>guandf@zsvc.com.cn</t>
    <phoneticPr fontId="11" type="noConversion"/>
  </si>
  <si>
    <t>guishuguang@sina.cn</t>
    <phoneticPr fontId="11" type="noConversion"/>
  </si>
  <si>
    <t>guoang@lidajijin.com</t>
    <phoneticPr fontId="11" type="noConversion"/>
  </si>
  <si>
    <t>guofuyuanvc@163.com</t>
    <phoneticPr fontId="11" type="noConversion"/>
  </si>
  <si>
    <t>guoht@szgig.com</t>
    <phoneticPr fontId="11" type="noConversion"/>
  </si>
  <si>
    <t>guolinchuan@cowincapital.com</t>
    <phoneticPr fontId="11" type="noConversion"/>
  </si>
  <si>
    <t>gxu@hinagroup.com</t>
    <phoneticPr fontId="11" type="noConversion"/>
  </si>
  <si>
    <t>han.shen@nlightvc.com</t>
    <phoneticPr fontId="11" type="noConversion"/>
  </si>
  <si>
    <t>han.yin@sunnysky-capital.com</t>
    <phoneticPr fontId="11" type="noConversion"/>
  </si>
  <si>
    <t>hansxu@zsvc.com.cn</t>
    <phoneticPr fontId="11" type="noConversion"/>
  </si>
  <si>
    <t>hanxd58@sina.com</t>
    <phoneticPr fontId="11" type="noConversion"/>
  </si>
  <si>
    <t>haohaiy@gmail.com</t>
    <phoneticPr fontId="11" type="noConversion"/>
  </si>
  <si>
    <t>harry.man@matrixpartners.com.cn</t>
    <phoneticPr fontId="11" type="noConversion"/>
  </si>
  <si>
    <t>hbcheng@ofcapital.com</t>
    <phoneticPr fontId="11" type="noConversion"/>
  </si>
  <si>
    <t>hchen@hinagroup.com</t>
    <phoneticPr fontId="11" type="noConversion"/>
  </si>
  <si>
    <t>hdan@sequoiacap.com</t>
    <phoneticPr fontId="11" type="noConversion"/>
  </si>
  <si>
    <t>helen.chiu@intel.com</t>
    <phoneticPr fontId="11" type="noConversion"/>
  </si>
  <si>
    <t>heng.deng@matrixpartners.com.cn</t>
    <phoneticPr fontId="11" type="noConversion"/>
  </si>
  <si>
    <t>heping@haiyinfund.com</t>
    <phoneticPr fontId="11" type="noConversion"/>
  </si>
  <si>
    <t>herryhan@lightspeedvp.com</t>
    <phoneticPr fontId="11" type="noConversion"/>
  </si>
  <si>
    <t>hhao@lightspeedcp.com</t>
    <phoneticPr fontId="11" type="noConversion"/>
  </si>
  <si>
    <t>hjm@hovc.cn</t>
    <phoneticPr fontId="11" type="noConversion"/>
  </si>
  <si>
    <t>hli@ggvc.com</t>
    <phoneticPr fontId="11" type="noConversion"/>
  </si>
  <si>
    <t>hlin@dcm.com</t>
    <phoneticPr fontId="11" type="noConversion"/>
  </si>
  <si>
    <t>hm@hhtvc.com</t>
    <phoneticPr fontId="11" type="noConversion"/>
  </si>
  <si>
    <t>86-10-65391365 、86-10-65391367</t>
    <phoneticPr fontId="11" type="noConversion"/>
  </si>
  <si>
    <t>德迅投资.腾讯创始5虎之一</t>
  </si>
  <si>
    <t>lzhang@waldenintl.com</t>
  </si>
  <si>
    <t>Push</t>
    <phoneticPr fontId="11" type="noConversion"/>
  </si>
  <si>
    <t>深圳市迅合投资管理有限公司</t>
    <phoneticPr fontId="11" type="noConversion"/>
  </si>
  <si>
    <t>hoganchao@gloryhopeventures.com</t>
    <phoneticPr fontId="11" type="noConversion"/>
  </si>
  <si>
    <t>hr@youku.com</t>
    <phoneticPr fontId="11" type="noConversion"/>
  </si>
  <si>
    <t>huadong.wang@matrixpartners.com.cn</t>
    <phoneticPr fontId="11" type="noConversion"/>
  </si>
  <si>
    <t>huangchong@cowincapital.com</t>
    <phoneticPr fontId="11" type="noConversion"/>
  </si>
  <si>
    <t>huangjun1205@gmail.com</t>
    <phoneticPr fontId="11" type="noConversion"/>
  </si>
  <si>
    <t>vicky@ventureslab.com</t>
  </si>
  <si>
    <t>zhencunchen@gmail.com</t>
  </si>
  <si>
    <t xml:space="preserve">info@hustvc.com.cn </t>
    <phoneticPr fontId="11" type="noConversion"/>
  </si>
  <si>
    <t>花小花</t>
    <phoneticPr fontId="11" type="noConversion"/>
  </si>
  <si>
    <t>刘雨梅 </t>
    <phoneticPr fontId="11" type="noConversion"/>
  </si>
  <si>
    <t xml:space="preserve">royfan@hqap.com.cn </t>
    <phoneticPr fontId="11" type="noConversion"/>
  </si>
  <si>
    <t>mayliu@hqap.com.cn </t>
    <phoneticPr fontId="11" type="noConversion"/>
  </si>
  <si>
    <t>zhangyuanlinx@gmail.com</t>
    <phoneticPr fontId="11" type="noConversion"/>
  </si>
  <si>
    <t>enquiry@sihl.com.hk</t>
    <phoneticPr fontId="11" type="noConversion"/>
  </si>
  <si>
    <t>1538247388@qq.com</t>
    <phoneticPr fontId="11" type="noConversion"/>
  </si>
  <si>
    <t>fei_yang@idgvc.com.cn</t>
    <phoneticPr fontId="11" type="noConversion"/>
  </si>
  <si>
    <t>中路投资vc/pe</t>
    <phoneticPr fontId="11" type="noConversion"/>
  </si>
  <si>
    <t>info@capitaltoday.com</t>
    <phoneticPr fontId="11" type="noConversion"/>
  </si>
  <si>
    <t>021-50988886</t>
    <phoneticPr fontId="11" type="noConversion"/>
  </si>
  <si>
    <t>达晨创投</t>
    <phoneticPr fontId="11" type="noConversion"/>
  </si>
  <si>
    <t>程仁田</t>
    <phoneticPr fontId="11" type="noConversion"/>
  </si>
  <si>
    <t>mike.peng@crystalstreamcap.com</t>
    <phoneticPr fontId="11" type="noConversion"/>
  </si>
  <si>
    <t>meng_lian@idgvc.com.cn</t>
    <phoneticPr fontId="11" type="noConversion"/>
  </si>
  <si>
    <t>德丰杰正道风险合伙人</t>
    <phoneticPr fontId="11" type="noConversion"/>
  </si>
  <si>
    <t>经纬创投</t>
    <phoneticPr fontId="11" type="noConversion"/>
  </si>
  <si>
    <t>王华东</t>
    <phoneticPr fontId="11" type="noConversion"/>
  </si>
  <si>
    <t>迅合投资</t>
    <phoneticPr fontId="11" type="noConversion"/>
  </si>
  <si>
    <t>乐博资本（创始合伙人）</t>
    <phoneticPr fontId="11" type="noConversion"/>
  </si>
  <si>
    <t>vincent@cuberagentventures.com</t>
    <phoneticPr fontId="11" type="noConversion"/>
  </si>
  <si>
    <t>CA创投</t>
    <phoneticPr fontId="11" type="noConversion"/>
  </si>
  <si>
    <t>杨溢</t>
    <phoneticPr fontId="11" type="noConversion"/>
  </si>
  <si>
    <t>北极光创业投资基金</t>
    <phoneticPr fontId="11" type="noConversion"/>
  </si>
  <si>
    <t>丁宇翔 </t>
    <phoneticPr fontId="11" type="noConversion"/>
  </si>
  <si>
    <t>marc.li@bertelsmann.com </t>
    <phoneticPr fontId="11" type="noConversion"/>
  </si>
  <si>
    <t>春晓资本</t>
    <phoneticPr fontId="11" type="noConversion"/>
  </si>
  <si>
    <t>合伙人特别助理</t>
    <phoneticPr fontId="11" type="noConversion"/>
  </si>
  <si>
    <t>域名不存在</t>
  </si>
  <si>
    <t>hustvc@public.wh.hb.cn</t>
    <phoneticPr fontId="11" type="noConversion"/>
  </si>
  <si>
    <t>info@br-china.com</t>
    <phoneticPr fontId="11" type="noConversion"/>
  </si>
  <si>
    <t>内部故障</t>
    <phoneticPr fontId="11" type="noConversion"/>
  </si>
  <si>
    <t>010-65309900 、86-65308839</t>
    <phoneticPr fontId="11" type="noConversion"/>
  </si>
  <si>
    <t>IDGVC</t>
    <phoneticPr fontId="11" type="noConversion"/>
  </si>
  <si>
    <t>yueyu@chinagrowthcapital.com</t>
    <phoneticPr fontId="11" type="noConversion"/>
  </si>
  <si>
    <t>垃圾</t>
    <phoneticPr fontId="11" type="noConversion"/>
  </si>
  <si>
    <t>CA创</t>
    <phoneticPr fontId="11" type="noConversion"/>
  </si>
  <si>
    <t xml:space="preserve">徐光远 </t>
    <phoneticPr fontId="11" type="noConversion"/>
  </si>
  <si>
    <t>鲁潇</t>
    <phoneticPr fontId="11" type="noConversion"/>
  </si>
  <si>
    <t>易联资本</t>
    <phoneticPr fontId="11" type="noConversion"/>
  </si>
  <si>
    <t>助理副总裁</t>
    <phoneticPr fontId="11" type="noConversion"/>
  </si>
  <si>
    <t>肖茉莉</t>
    <phoneticPr fontId="11" type="noConversion"/>
  </si>
  <si>
    <t>天使湾创投</t>
    <phoneticPr fontId="11" type="noConversion"/>
  </si>
  <si>
    <t>子皮</t>
    <phoneticPr fontId="11" type="noConversion"/>
  </si>
  <si>
    <t>张元林</t>
    <phoneticPr fontId="11" type="noConversion"/>
  </si>
  <si>
    <t>中国文化产业投资基金</t>
    <phoneticPr fontId="11" type="noConversion"/>
  </si>
  <si>
    <t>投资分析师</t>
    <phoneticPr fontId="11" type="noConversion"/>
  </si>
  <si>
    <t>银河创新资本 投资总监</t>
    <phoneticPr fontId="11" type="noConversion"/>
  </si>
  <si>
    <t>张野</t>
    <phoneticPr fontId="11" type="noConversion"/>
  </si>
  <si>
    <t>北京华璟海纳国际投资管理</t>
    <phoneticPr fontId="11" type="noConversion"/>
  </si>
  <si>
    <t>创始人</t>
    <phoneticPr fontId="11" type="noConversion"/>
  </si>
  <si>
    <t>清科创投.</t>
    <phoneticPr fontId="11" type="noConversion"/>
  </si>
  <si>
    <t>判为垃圾</t>
    <phoneticPr fontId="11" type="noConversion"/>
  </si>
  <si>
    <t>晨兴资本</t>
    <phoneticPr fontId="11" type="noConversion"/>
  </si>
  <si>
    <t>梁维弘</t>
    <phoneticPr fontId="11" type="noConversion"/>
  </si>
  <si>
    <t>高良平</t>
    <phoneticPr fontId="11" type="noConversion"/>
  </si>
  <si>
    <t>中路投资vc/pe</t>
  </si>
  <si>
    <t>崔靖雯</t>
    <phoneticPr fontId="11" type="noConversion"/>
  </si>
  <si>
    <t>ventech china 分析师</t>
    <phoneticPr fontId="11" type="noConversion"/>
  </si>
  <si>
    <t>雷中辉</t>
    <phoneticPr fontId="11" type="noConversion"/>
  </si>
  <si>
    <t>肖敏</t>
    <phoneticPr fontId="11" type="noConversion"/>
  </si>
  <si>
    <t>黄云刚</t>
    <phoneticPr fontId="11" type="noConversion"/>
  </si>
  <si>
    <t>崔恺 </t>
    <phoneticPr fontId="11" type="noConversion"/>
  </si>
  <si>
    <t>硅谷银行</t>
    <phoneticPr fontId="11" type="noConversion"/>
  </si>
  <si>
    <t>范若愚</t>
    <phoneticPr fontId="11" type="noConversion"/>
  </si>
  <si>
    <t>邮箱域名</t>
    <phoneticPr fontId="11" type="noConversion"/>
  </si>
  <si>
    <t>删除</t>
    <phoneticPr fontId="11" type="noConversion"/>
  </si>
  <si>
    <t>暂停</t>
    <phoneticPr fontId="11" type="noConversion"/>
  </si>
  <si>
    <t>云创投资</t>
    <phoneticPr fontId="11" type="noConversion"/>
  </si>
  <si>
    <t>宋希平</t>
    <phoneticPr fontId="11" type="noConversion"/>
  </si>
  <si>
    <t>洋葱基金</t>
    <phoneticPr fontId="11" type="noConversion"/>
  </si>
  <si>
    <t>陆茂华</t>
    <phoneticPr fontId="11" type="noConversion"/>
  </si>
  <si>
    <t>陈柒霖</t>
    <phoneticPr fontId="11" type="noConversion"/>
  </si>
  <si>
    <t>黑马岛创投</t>
    <phoneticPr fontId="11" type="noConversion"/>
  </si>
  <si>
    <t>bp@heimadao.com</t>
    <phoneticPr fontId="11" type="noConversion"/>
  </si>
  <si>
    <t>张仲</t>
    <phoneticPr fontId="11" type="noConversion"/>
  </si>
  <si>
    <t>英特尔有限公司</t>
    <phoneticPr fontId="11" type="noConversion"/>
  </si>
  <si>
    <t>总监</t>
    <phoneticPr fontId="11" type="noConversion"/>
  </si>
  <si>
    <t>(852)28444565
(852)94319469</t>
    <phoneticPr fontId="11" type="noConversion"/>
  </si>
  <si>
    <t>cadol.cheung@intel.com</t>
    <phoneticPr fontId="11" type="noConversion"/>
  </si>
  <si>
    <t>kenny.qian</t>
    <phoneticPr fontId="11" type="noConversion"/>
  </si>
  <si>
    <t>钱章忠</t>
    <phoneticPr fontId="11" type="noConversion"/>
  </si>
  <si>
    <t>屈卫东</t>
    <phoneticPr fontId="11" type="noConversion"/>
  </si>
  <si>
    <t>徐新</t>
    <phoneticPr fontId="11" type="noConversion"/>
  </si>
  <si>
    <t>今日资本</t>
    <phoneticPr fontId="11" type="noConversion"/>
  </si>
  <si>
    <t>kathyxu@capitaltoday.com</t>
    <phoneticPr fontId="11" type="noConversion"/>
  </si>
  <si>
    <t>852-28685526
852-93287839</t>
    <phoneticPr fontId="11" type="noConversion"/>
  </si>
  <si>
    <t>任 林</t>
    <phoneticPr fontId="11" type="noConversion"/>
  </si>
  <si>
    <t>中曼资本</t>
    <phoneticPr fontId="11" type="noConversion"/>
  </si>
  <si>
    <t>手机</t>
    <phoneticPr fontId="11" type="noConversion"/>
  </si>
  <si>
    <t>orionrl@sina.cn</t>
    <phoneticPr fontId="11" type="noConversion"/>
  </si>
  <si>
    <t>郑爱民</t>
    <phoneticPr fontId="11" type="noConversion"/>
  </si>
  <si>
    <t>软银中国创业投资有限公司</t>
    <phoneticPr fontId="11" type="noConversion"/>
  </si>
  <si>
    <t>ayeh@sbcvc.com</t>
    <phoneticPr fontId="11" type="noConversion"/>
  </si>
  <si>
    <t>杨奔</t>
    <phoneticPr fontId="11" type="noConversion"/>
  </si>
  <si>
    <t>yangben@360.cn</t>
    <phoneticPr fontId="11" type="noConversion"/>
  </si>
  <si>
    <t>周鸿祎</t>
    <phoneticPr fontId="11" type="noConversion"/>
  </si>
  <si>
    <t>zhouhongyi@360.cn</t>
    <phoneticPr fontId="11" type="noConversion"/>
  </si>
  <si>
    <t> IDG</t>
    <phoneticPr fontId="11" type="noConversion"/>
  </si>
  <si>
    <t>连萌</t>
    <phoneticPr fontId="11" type="noConversion"/>
  </si>
  <si>
    <t>21世纪天使资本</t>
    <phoneticPr fontId="11" type="noConversion"/>
  </si>
  <si>
    <t>楊玉明</t>
    <phoneticPr fontId="11" type="noConversion"/>
  </si>
  <si>
    <t>yuming@21vc.com</t>
    <phoneticPr fontId="11" type="noConversion"/>
  </si>
  <si>
    <t>DCM资本</t>
    <phoneticPr fontId="11" type="noConversion"/>
  </si>
  <si>
    <t>赵克仁</t>
    <phoneticPr fontId="11" type="noConversion"/>
  </si>
  <si>
    <t>曾振宇</t>
    <phoneticPr fontId="11" type="noConversion"/>
  </si>
  <si>
    <t>DCM资本.50强第34</t>
    <phoneticPr fontId="11" type="noConversion"/>
  </si>
  <si>
    <t>林欣禾</t>
    <phoneticPr fontId="11" type="noConversion"/>
  </si>
  <si>
    <t>DCM资本.50强第49</t>
    <phoneticPr fontId="11" type="noConversion"/>
  </si>
  <si>
    <t>卢蓉Ruby</t>
    <phoneticPr fontId="11" type="noConversion"/>
  </si>
  <si>
    <t>GGV </t>
    <phoneticPr fontId="11" type="noConversion"/>
  </si>
  <si>
    <t>李浩军</t>
    <phoneticPr fontId="11" type="noConversion"/>
  </si>
  <si>
    <t>Granite Global Ventures </t>
    <phoneticPr fontId="11" type="noConversion"/>
  </si>
  <si>
    <t>info@ggvc.com</t>
    <phoneticPr fontId="11" type="noConversion"/>
  </si>
  <si>
    <t>杨飞</t>
    <phoneticPr fontId="11" type="noConversion"/>
  </si>
  <si>
    <t>idg</t>
    <phoneticPr fontId="11" type="noConversion"/>
  </si>
  <si>
    <t>IDG技术创业投资基金</t>
    <phoneticPr fontId="11" type="noConversion"/>
  </si>
  <si>
    <t>周全 </t>
    <phoneticPr fontId="11" type="noConversion"/>
  </si>
  <si>
    <t>idgvc@idgvc.com </t>
    <phoneticPr fontId="11" type="noConversion"/>
  </si>
  <si>
    <t>毛丞宇</t>
    <phoneticPr fontId="11" type="noConversion"/>
  </si>
  <si>
    <t>michael_mao@idgvc.com.cn</t>
    <phoneticPr fontId="11" type="noConversion"/>
  </si>
  <si>
    <t>过以宏</t>
    <phoneticPr fontId="11" type="noConversion"/>
  </si>
  <si>
    <t>李丰</t>
    <phoneticPr fontId="11" type="noConversion"/>
  </si>
  <si>
    <t>章苏阳</t>
    <phoneticPr fontId="11" type="noConversion"/>
  </si>
  <si>
    <t>suyang_zhang@idgvc.com.cn</t>
    <phoneticPr fontId="11" type="noConversion"/>
  </si>
  <si>
    <t>李骁军</t>
    <phoneticPr fontId="11" type="noConversion"/>
  </si>
  <si>
    <t>xiaojun_li@idgvc.com.cn</t>
    <phoneticPr fontId="11" type="noConversion"/>
  </si>
  <si>
    <t>IDG资本.50强第12</t>
    <phoneticPr fontId="11" type="noConversion"/>
  </si>
  <si>
    <t>熊晓鸽</t>
    <phoneticPr fontId="11" type="noConversion"/>
  </si>
  <si>
    <t>idgvc@idgvc.com.cn</t>
    <phoneticPr fontId="11" type="noConversion"/>
  </si>
  <si>
    <t>KPCB</t>
    <phoneticPr fontId="11" type="noConversion"/>
  </si>
  <si>
    <t>张灵</t>
    <phoneticPr fontId="11" type="noConversion"/>
  </si>
  <si>
    <t>LB投资</t>
    <phoneticPr fontId="11" type="noConversion"/>
  </si>
  <si>
    <t>赵俊超</t>
    <phoneticPr fontId="11" type="noConversion"/>
  </si>
  <si>
    <t>李卓桓</t>
    <phoneticPr fontId="11" type="noConversion"/>
  </si>
  <si>
    <t>Sierra Ventures</t>
    <phoneticPr fontId="11" type="noConversion"/>
  </si>
  <si>
    <t>info@sierraventures.com</t>
    <phoneticPr fontId="11" type="noConversion"/>
  </si>
  <si>
    <t>TCL创业投资有限公司</t>
    <phoneticPr fontId="11" type="noConversion"/>
  </si>
  <si>
    <t>郑翔予</t>
    <phoneticPr fontId="11" type="noConversion"/>
  </si>
  <si>
    <t>james.zheng@tcl.com</t>
    <phoneticPr fontId="11" type="noConversion"/>
  </si>
  <si>
    <t>TCL多媒体</t>
    <phoneticPr fontId="11" type="noConversion"/>
  </si>
  <si>
    <t>张志春（Eric）</t>
    <phoneticPr fontId="11" type="noConversion"/>
  </si>
  <si>
    <t>zhangzc@tcl.com</t>
    <phoneticPr fontId="11" type="noConversion"/>
  </si>
  <si>
    <t>澳银资本</t>
    <phoneticPr fontId="11" type="noConversion"/>
  </si>
  <si>
    <t>孙集平</t>
    <phoneticPr fontId="11" type="noConversion"/>
  </si>
  <si>
    <t>顾泉Piers</t>
    <phoneticPr fontId="11" type="noConversion"/>
  </si>
  <si>
    <t>北极光</t>
    <phoneticPr fontId="11" type="noConversion"/>
  </si>
  <si>
    <t>姜皓天</t>
    <phoneticPr fontId="11" type="noConversion"/>
  </si>
  <si>
    <t>邓锋</t>
    <phoneticPr fontId="11" type="noConversion"/>
  </si>
  <si>
    <t>沈寒</t>
    <phoneticPr fontId="11" type="noConversion"/>
  </si>
  <si>
    <t>lu.lin@nlvc.com</t>
    <phoneticPr fontId="11" type="noConversion"/>
  </si>
  <si>
    <t>吴峰</t>
    <phoneticPr fontId="11" type="noConversion"/>
  </si>
  <si>
    <t>tony.wu@nlvc.com</t>
    <phoneticPr fontId="11" type="noConversion"/>
  </si>
  <si>
    <t>王颖</t>
    <phoneticPr fontId="11" type="noConversion"/>
  </si>
  <si>
    <t>ying.wang@nlightvc.com</t>
    <phoneticPr fontId="11" type="noConversion"/>
  </si>
  <si>
    <t>张朋</t>
    <phoneticPr fontId="11" type="noConversion"/>
  </si>
  <si>
    <t>北极光创投基金</t>
    <phoneticPr fontId="11" type="noConversion"/>
  </si>
  <si>
    <t>杨镭</t>
    <phoneticPr fontId="11" type="noConversion"/>
  </si>
  <si>
    <t>info@nlightvc.com</t>
    <phoneticPr fontId="11" type="noConversion"/>
  </si>
  <si>
    <t>iris.ding@nlightvc.com </t>
    <phoneticPr fontId="11" type="noConversion"/>
  </si>
  <si>
    <t>北京鼎晖创业投资中心</t>
    <phoneticPr fontId="11" type="noConversion"/>
  </si>
  <si>
    <t>焦震 </t>
    <phoneticPr fontId="11" type="noConversion"/>
  </si>
  <si>
    <t>jiaozhen@cdhfund.com</t>
    <phoneticPr fontId="11" type="noConversion"/>
  </si>
  <si>
    <t>北京宏邦投资</t>
    <phoneticPr fontId="11" type="noConversion"/>
  </si>
  <si>
    <t>王伟</t>
    <phoneticPr fontId="11" type="noConversion"/>
  </si>
  <si>
    <t>北京科技风险投资股份有限公司</t>
    <phoneticPr fontId="11" type="noConversion"/>
  </si>
  <si>
    <t>彭捷 钱辉 </t>
    <phoneticPr fontId="11" type="noConversion"/>
  </si>
  <si>
    <t>qianhui@bvcc.com.cn </t>
    <phoneticPr fontId="11" type="noConversion"/>
  </si>
  <si>
    <t>北京晟弘凯恩投资有限公司</t>
    <phoneticPr fontId="11" type="noConversion"/>
  </si>
  <si>
    <t>唐旭</t>
    <phoneticPr fontId="11" type="noConversion"/>
  </si>
  <si>
    <t>北京用友幸福投资管理有限公司</t>
    <phoneticPr fontId="11" type="noConversion"/>
  </si>
  <si>
    <t>寇双翔</t>
    <phoneticPr fontId="11" type="noConversion"/>
  </si>
  <si>
    <t>ksx@yonyou.com</t>
    <phoneticPr fontId="11" type="noConversion"/>
  </si>
  <si>
    <t>董江勇</t>
    <phoneticPr fontId="11" type="noConversion"/>
  </si>
  <si>
    <t>北软天使 </t>
    <phoneticPr fontId="11" type="noConversion"/>
  </si>
  <si>
    <t>北猿资本</t>
    <phoneticPr fontId="11" type="noConversion"/>
  </si>
  <si>
    <t>林辉云</t>
    <phoneticPr fontId="11" type="noConversion"/>
  </si>
  <si>
    <t>lin_hui_yun@163.com</t>
    <phoneticPr fontId="11" type="noConversion"/>
  </si>
  <si>
    <t>贝塔斯曼</t>
    <phoneticPr fontId="11" type="noConversion"/>
  </si>
  <si>
    <t>汪天凡</t>
    <phoneticPr fontId="11" type="noConversion"/>
  </si>
  <si>
    <t>will.wang@bertelsmann.com</t>
    <phoneticPr fontId="11" type="noConversion"/>
  </si>
  <si>
    <t>贝塔斯曼亚洲投资基金</t>
    <phoneticPr fontId="11" type="noConversion"/>
  </si>
  <si>
    <t>龙宇</t>
    <phoneticPr fontId="11" type="noConversion"/>
  </si>
  <si>
    <t>潮商</t>
    <phoneticPr fontId="11" type="noConversion"/>
  </si>
  <si>
    <t>成为基金</t>
    <phoneticPr fontId="11" type="noConversion"/>
  </si>
  <si>
    <t>汪浒</t>
    <phoneticPr fontId="11" type="noConversion"/>
  </si>
  <si>
    <t>wanghu@chengwei.com</t>
    <phoneticPr fontId="11" type="noConversion"/>
  </si>
  <si>
    <t>崇德基金投资有限公司</t>
    <phoneticPr fontId="11" type="noConversion"/>
  </si>
  <si>
    <t>白玮</t>
    <phoneticPr fontId="11" type="noConversion"/>
  </si>
  <si>
    <t>初创投资</t>
    <phoneticPr fontId="11" type="noConversion"/>
  </si>
  <si>
    <t>代晋</t>
    <phoneticPr fontId="11" type="noConversion"/>
  </si>
  <si>
    <t>雏菊机构</t>
    <phoneticPr fontId="11" type="noConversion"/>
  </si>
  <si>
    <t>庞权</t>
    <phoneticPr fontId="11" type="noConversion"/>
  </si>
  <si>
    <t>创东方投资</t>
    <phoneticPr fontId="11" type="noConversion"/>
  </si>
  <si>
    <t>刘起发</t>
    <phoneticPr fontId="11" type="noConversion"/>
  </si>
  <si>
    <t>jeff.liu@cdf-capital.com</t>
    <phoneticPr fontId="11" type="noConversion"/>
  </si>
  <si>
    <t>康文胜</t>
    <phoneticPr fontId="11" type="noConversion"/>
  </si>
  <si>
    <t>kangwensheng@gmail.com</t>
    <phoneticPr fontId="11" type="noConversion"/>
  </si>
  <si>
    <t>肖水龙</t>
    <phoneticPr fontId="11" type="noConversion"/>
  </si>
  <si>
    <t>stanley.xiao@cdf-capital.com</t>
    <phoneticPr fontId="11" type="noConversion"/>
  </si>
  <si>
    <t>李享</t>
    <phoneticPr fontId="11" type="noConversion"/>
  </si>
  <si>
    <t>xiang.li@cdf-capital.com</t>
    <phoneticPr fontId="11" type="noConversion"/>
  </si>
  <si>
    <t>创势资本</t>
    <phoneticPr fontId="11" type="noConversion"/>
  </si>
  <si>
    <t>汤旭东</t>
    <phoneticPr fontId="11" type="noConversion"/>
  </si>
  <si>
    <t>tangxudong128@sina.com</t>
    <phoneticPr fontId="11" type="noConversion"/>
  </si>
  <si>
    <t>创业邦</t>
    <phoneticPr fontId="11" type="noConversion"/>
  </si>
  <si>
    <t>南立新  </t>
    <phoneticPr fontId="11" type="noConversion"/>
  </si>
  <si>
    <t>mary.nan@cyzone.cn</t>
    <phoneticPr fontId="11" type="noConversion"/>
  </si>
  <si>
    <t>创业工厂</t>
    <phoneticPr fontId="11" type="noConversion"/>
  </si>
  <si>
    <t>vicky@ventureslab.com</t>
    <phoneticPr fontId="11" type="noConversion"/>
  </si>
  <si>
    <t>创业工场</t>
    <phoneticPr fontId="11" type="noConversion"/>
  </si>
  <si>
    <t>mark@ventureslab.com</t>
    <phoneticPr fontId="11" type="noConversion"/>
  </si>
  <si>
    <t>迮钧达</t>
    <phoneticPr fontId="11" type="noConversion"/>
  </si>
  <si>
    <t>于浩海</t>
    <phoneticPr fontId="11" type="noConversion"/>
  </si>
  <si>
    <t>mypevc@163.com</t>
    <phoneticPr fontId="11" type="noConversion"/>
  </si>
  <si>
    <t>达泰资本</t>
    <phoneticPr fontId="11" type="noConversion"/>
  </si>
  <si>
    <t>江铮毅</t>
    <phoneticPr fontId="11" type="noConversion"/>
  </si>
  <si>
    <t>jiang@delta-capital.cn</t>
    <phoneticPr fontId="11" type="noConversion"/>
  </si>
  <si>
    <t>大连国创投资</t>
    <phoneticPr fontId="11" type="noConversion"/>
  </si>
  <si>
    <t>岳阳</t>
    <phoneticPr fontId="11" type="noConversion"/>
  </si>
  <si>
    <t>yue.yang@sohu.com</t>
    <phoneticPr fontId="11" type="noConversion"/>
  </si>
  <si>
    <t>凌代鸿</t>
    <phoneticPr fontId="11" type="noConversion"/>
  </si>
  <si>
    <t>新纪夫</t>
    <phoneticPr fontId="11" type="noConversion"/>
  </si>
  <si>
    <t>tristan@danenventures.com</t>
    <phoneticPr fontId="11" type="noConversion"/>
  </si>
  <si>
    <t>氘氚创投</t>
    <phoneticPr fontId="11" type="noConversion"/>
  </si>
  <si>
    <t>夏红健</t>
    <phoneticPr fontId="11" type="noConversion"/>
  </si>
  <si>
    <t>德创投资</t>
    <phoneticPr fontId="11" type="noConversion"/>
  </si>
  <si>
    <t>阚治东</t>
    <phoneticPr fontId="11" type="noConversion"/>
  </si>
  <si>
    <t>kanzd@orica.com.cn</t>
    <phoneticPr fontId="11" type="noConversion"/>
  </si>
  <si>
    <t>李嵩波</t>
    <phoneticPr fontId="11" type="noConversion"/>
  </si>
  <si>
    <t>songbo@gmail.com</t>
    <phoneticPr fontId="11" type="noConversion"/>
  </si>
  <si>
    <t>德同中国投资基金（DT Capital Partners）</t>
    <phoneticPr fontId="11" type="noConversion"/>
  </si>
  <si>
    <t>info@dtcap.com</t>
    <phoneticPr fontId="11" type="noConversion"/>
  </si>
  <si>
    <t>德同资本</t>
    <phoneticPr fontId="11" type="noConversion"/>
  </si>
  <si>
    <t>郑凯还</t>
    <phoneticPr fontId="11" type="noConversion"/>
  </si>
  <si>
    <t>kelvin.zheng@dtcap.com</t>
    <phoneticPr fontId="11" type="noConversion"/>
  </si>
  <si>
    <t>德迅投资</t>
    <phoneticPr fontId="11" type="noConversion"/>
  </si>
  <si>
    <t>曾李青</t>
    <phoneticPr fontId="11" type="noConversion"/>
  </si>
  <si>
    <t>点石投资</t>
    <phoneticPr fontId="11" type="noConversion"/>
  </si>
  <si>
    <t>吴芳</t>
    <phoneticPr fontId="11" type="noConversion"/>
  </si>
  <si>
    <t>touchwood@touchwood-pe.com</t>
    <phoneticPr fontId="11" type="noConversion"/>
  </si>
  <si>
    <t>吴尚志</t>
    <phoneticPr fontId="11" type="noConversion"/>
  </si>
  <si>
    <t>鼎聚投资</t>
    <phoneticPr fontId="11" type="noConversion"/>
  </si>
  <si>
    <t>柳阳</t>
    <phoneticPr fontId="11" type="noConversion"/>
  </si>
  <si>
    <t>victor.liuyang@gmail.com</t>
    <phoneticPr fontId="11" type="noConversion"/>
  </si>
  <si>
    <t>东方汇富</t>
    <phoneticPr fontId="11" type="noConversion"/>
  </si>
  <si>
    <t>深圳东方汇富</t>
    <phoneticPr fontId="11" type="noConversion"/>
  </si>
  <si>
    <t>orica@orica.com.cn</t>
    <phoneticPr fontId="11" type="noConversion"/>
  </si>
  <si>
    <t>东方汇富创投</t>
    <phoneticPr fontId="11" type="noConversion"/>
  </si>
  <si>
    <t>苟国举</t>
    <phoneticPr fontId="11" type="noConversion"/>
  </si>
  <si>
    <t>恩颐投资</t>
    <phoneticPr fontId="11" type="noConversion"/>
  </si>
  <si>
    <t>朱敏</t>
    <phoneticPr fontId="11" type="noConversion"/>
  </si>
  <si>
    <t>min.zhu@cybernaut.com.cn</t>
    <phoneticPr fontId="11" type="noConversion"/>
  </si>
  <si>
    <t>二十一世纪天使资本</t>
    <phoneticPr fontId="11" type="noConversion"/>
  </si>
  <si>
    <t>王博</t>
    <phoneticPr fontId="11" type="noConversion"/>
  </si>
  <si>
    <t>方创FA</t>
    <phoneticPr fontId="11" type="noConversion"/>
  </si>
  <si>
    <t>刘尚杰</t>
    <phoneticPr fontId="11" type="noConversion"/>
  </si>
  <si>
    <t>jason@favalue.com</t>
    <phoneticPr fontId="11" type="noConversion"/>
  </si>
  <si>
    <t>谢连福</t>
    <phoneticPr fontId="11" type="noConversion"/>
  </si>
  <si>
    <t>michael@favalue.com</t>
    <phoneticPr fontId="11" type="noConversion"/>
  </si>
  <si>
    <t>飞马投资顾问</t>
    <phoneticPr fontId="11" type="noConversion"/>
  </si>
  <si>
    <t>向荣华</t>
    <phoneticPr fontId="11" type="noConversion"/>
  </si>
  <si>
    <t>lope.xiang@gmail.com</t>
    <phoneticPr fontId="11" type="noConversion"/>
  </si>
  <si>
    <t>丰厚资本</t>
    <phoneticPr fontId="11" type="noConversion"/>
  </si>
  <si>
    <t>杨守彬</t>
    <phoneticPr fontId="11" type="noConversion"/>
  </si>
  <si>
    <t>蜂鸟资本</t>
    <phoneticPr fontId="11" type="noConversion"/>
  </si>
  <si>
    <t>黄振华</t>
    <phoneticPr fontId="11" type="noConversion"/>
  </si>
  <si>
    <t>富坤创投</t>
    <phoneticPr fontId="11" type="noConversion"/>
  </si>
  <si>
    <t>粱彤</t>
    <phoneticPr fontId="11" type="noConversion"/>
  </si>
  <si>
    <t>富年科技</t>
    <phoneticPr fontId="11" type="noConversion"/>
  </si>
  <si>
    <t>龚虹嘉</t>
    <phoneticPr fontId="11" type="noConversion"/>
  </si>
  <si>
    <t>market@funinhand.com</t>
    <phoneticPr fontId="11" type="noConversion"/>
  </si>
  <si>
    <t>高榕资本</t>
    <phoneticPr fontId="11" type="noConversion"/>
  </si>
  <si>
    <t>张震</t>
    <phoneticPr fontId="11" type="noConversion"/>
  </si>
  <si>
    <t>高通</t>
    <phoneticPr fontId="11" type="noConversion"/>
  </si>
  <si>
    <t>沈劲</t>
    <phoneticPr fontId="11" type="noConversion"/>
  </si>
  <si>
    <t>jings@qti.qualcomm.com</t>
    <phoneticPr fontId="11" type="noConversion"/>
  </si>
  <si>
    <t>李研</t>
    <phoneticPr fontId="11" type="noConversion"/>
  </si>
  <si>
    <t>liy@qti.qualcomm.com</t>
    <phoneticPr fontId="11" type="noConversion"/>
  </si>
  <si>
    <t>高原资本</t>
    <phoneticPr fontId="11" type="noConversion"/>
  </si>
  <si>
    <t>涂鸿川</t>
    <phoneticPr fontId="11" type="noConversion"/>
  </si>
  <si>
    <t>高瞻</t>
    <phoneticPr fontId="11" type="noConversion"/>
  </si>
  <si>
    <t>白杰先</t>
    <phoneticPr fontId="11" type="noConversion"/>
  </si>
  <si>
    <t>戈壁合伙人有限公司</t>
    <phoneticPr fontId="11" type="noConversion"/>
  </si>
  <si>
    <t>徐晨</t>
    <phoneticPr fontId="11" type="noConversion"/>
  </si>
  <si>
    <t>ken@gobivc.com</t>
    <phoneticPr fontId="11" type="noConversion"/>
  </si>
  <si>
    <t>戈壁合伙人有限公司 </t>
    <phoneticPr fontId="11" type="noConversion"/>
  </si>
  <si>
    <t>朱璘</t>
    <phoneticPr fontId="11" type="noConversion"/>
  </si>
  <si>
    <t>michael@gobi.cn</t>
    <phoneticPr fontId="11" type="noConversion"/>
  </si>
  <si>
    <t>戈壁投资</t>
    <phoneticPr fontId="11" type="noConversion"/>
  </si>
  <si>
    <t>蒋涛</t>
    <phoneticPr fontId="11" type="noConversion"/>
  </si>
  <si>
    <t>官方邮箱</t>
    <phoneticPr fontId="11" type="noConversion"/>
  </si>
  <si>
    <t>曹嘉泰</t>
    <phoneticPr fontId="11" type="noConversion"/>
  </si>
  <si>
    <t>胡唐骏</t>
    <phoneticPr fontId="11" type="noConversion"/>
  </si>
  <si>
    <t>戈壁资本</t>
    <phoneticPr fontId="11" type="noConversion"/>
  </si>
  <si>
    <t>jiangtao@me.com </t>
    <phoneticPr fontId="11" type="noConversion"/>
  </si>
  <si>
    <t>光大控股创业投资管理(深圳)有限公司</t>
    <phoneticPr fontId="11" type="noConversion"/>
  </si>
  <si>
    <t>丁承</t>
    <phoneticPr fontId="11" type="noConversion"/>
  </si>
  <si>
    <t>光速创投</t>
    <phoneticPr fontId="11" type="noConversion"/>
  </si>
  <si>
    <t>潘翔</t>
    <phoneticPr fontId="11" type="noConversion"/>
  </si>
  <si>
    <t>郝玮</t>
    <phoneticPr fontId="11" type="noConversion"/>
  </si>
  <si>
    <t>广东股权投资协会</t>
    <phoneticPr fontId="11" type="noConversion"/>
  </si>
  <si>
    <t>詹晓锋</t>
    <phoneticPr fontId="11" type="noConversion"/>
  </si>
  <si>
    <t>zxf@gdpe.org</t>
    <phoneticPr fontId="11" type="noConversion"/>
  </si>
  <si>
    <t>广发信德投资管理有限公司</t>
    <phoneticPr fontId="11" type="noConversion"/>
  </si>
  <si>
    <t>樊飞</t>
    <phoneticPr fontId="11" type="noConversion"/>
  </si>
  <si>
    <t>广州鼎银投资有限公司</t>
    <phoneticPr fontId="11" type="noConversion"/>
  </si>
  <si>
    <t>铁元初</t>
    <phoneticPr fontId="11" type="noConversion"/>
  </si>
  <si>
    <t>tieyc@126.com</t>
    <phoneticPr fontId="11" type="noConversion"/>
  </si>
  <si>
    <t>硅谷、东京</t>
    <phoneticPr fontId="11" type="noConversion"/>
  </si>
  <si>
    <t>国富源投资</t>
    <phoneticPr fontId="11" type="noConversion"/>
  </si>
  <si>
    <t>梁佳（看不穿）</t>
    <phoneticPr fontId="11" type="noConversion"/>
  </si>
  <si>
    <t>梁佳</t>
    <phoneticPr fontId="11" type="noConversion"/>
  </si>
  <si>
    <t>liangjia@guofuyuan.com.cn</t>
    <phoneticPr fontId="11" type="noConversion"/>
  </si>
  <si>
    <t>哈尔滨创新投</t>
    <phoneticPr fontId="11" type="noConversion"/>
  </si>
  <si>
    <t>李文茂</t>
    <phoneticPr fontId="11" type="noConversion"/>
  </si>
  <si>
    <t>王树勋</t>
    <phoneticPr fontId="11" type="noConversion"/>
  </si>
  <si>
    <t>海银资本</t>
    <phoneticPr fontId="11" type="noConversion"/>
  </si>
  <si>
    <t>李东平</t>
    <phoneticPr fontId="11" type="noConversion"/>
  </si>
  <si>
    <t>吴晓梅</t>
    <phoneticPr fontId="11" type="noConversion"/>
  </si>
  <si>
    <t>may.wu@haiyinfund.com</t>
    <phoneticPr fontId="11" type="noConversion"/>
  </si>
  <si>
    <t>王煜全</t>
    <phoneticPr fontId="11" type="noConversion"/>
  </si>
  <si>
    <t>yuquan.wang@haiyinfund.com</t>
    <phoneticPr fontId="11" type="noConversion"/>
  </si>
  <si>
    <t>汉能投资集团</t>
    <phoneticPr fontId="11" type="noConversion"/>
  </si>
  <si>
    <t>陈宏</t>
    <phoneticPr fontId="11" type="noConversion"/>
  </si>
  <si>
    <t>info@hinagroup.com</t>
    <phoneticPr fontId="11" type="noConversion"/>
  </si>
  <si>
    <t>董征</t>
    <phoneticPr fontId="11" type="noConversion"/>
  </si>
  <si>
    <t>zdong@hinagroup.com</t>
    <phoneticPr fontId="11" type="noConversion"/>
  </si>
  <si>
    <t>翰潭投资</t>
    <phoneticPr fontId="11" type="noConversion"/>
  </si>
  <si>
    <t>徐营营</t>
    <phoneticPr fontId="11" type="noConversion"/>
  </si>
  <si>
    <t>xuyy@hantancapital.com</t>
    <phoneticPr fontId="11" type="noConversion"/>
  </si>
  <si>
    <t>杭州士兰控股有限公司</t>
    <phoneticPr fontId="11" type="noConversion"/>
  </si>
  <si>
    <t>陈向明</t>
    <phoneticPr fontId="11" type="noConversion"/>
  </si>
  <si>
    <t>xmchen@silan.com.cn</t>
    <phoneticPr fontId="11" type="noConversion"/>
  </si>
  <si>
    <t>杭州文广创业投资有限公司</t>
    <phoneticPr fontId="11" type="noConversion"/>
  </si>
  <si>
    <t>李振</t>
    <phoneticPr fontId="11" type="noConversion"/>
  </si>
  <si>
    <t>sinicli@126.com</t>
    <phoneticPr fontId="11" type="noConversion"/>
  </si>
  <si>
    <t>黑马基金</t>
    <phoneticPr fontId="11" type="noConversion"/>
  </si>
  <si>
    <t>沈南鹏</t>
    <phoneticPr fontId="11" type="noConversion"/>
  </si>
  <si>
    <t>nshen@sequoiacap.com</t>
    <phoneticPr fontId="11" type="noConversion"/>
  </si>
  <si>
    <t>刘星</t>
    <phoneticPr fontId="11" type="noConversion"/>
  </si>
  <si>
    <t>胡丹</t>
    <phoneticPr fontId="11" type="noConversion"/>
  </si>
  <si>
    <t>梁杰  </t>
    <phoneticPr fontId="11" type="noConversion"/>
  </si>
  <si>
    <t>liang@sequoiacap.com</t>
    <phoneticPr fontId="11" type="noConversion"/>
  </si>
  <si>
    <t>郑庆生</t>
    <phoneticPr fontId="11" type="noConversion"/>
  </si>
  <si>
    <t>qzheng@sequoiacap.com</t>
    <phoneticPr fontId="11" type="noConversion"/>
  </si>
  <si>
    <t>计越</t>
    <phoneticPr fontId="11" type="noConversion"/>
  </si>
  <si>
    <t>sji@sequoiacap.com</t>
    <phoneticPr fontId="11" type="noConversion"/>
  </si>
  <si>
    <t>周逵</t>
    <phoneticPr fontId="11" type="noConversion"/>
  </si>
  <si>
    <t>zhou@sequoiacap.com</t>
    <phoneticPr fontId="11" type="noConversion"/>
  </si>
  <si>
    <t>虎童基金</t>
    <phoneticPr fontId="11" type="noConversion"/>
  </si>
  <si>
    <t>王震國</t>
    <phoneticPr fontId="11" type="noConversion"/>
  </si>
  <si>
    <t>wangzhg@tigercub.com.cn</t>
    <phoneticPr fontId="11" type="noConversion"/>
  </si>
  <si>
    <t>互联网战略与天使投资</t>
    <phoneticPr fontId="11" type="noConversion"/>
  </si>
  <si>
    <t>陈世鸿</t>
    <phoneticPr fontId="11" type="noConversion"/>
  </si>
  <si>
    <t>thinker.chn@gmail.com</t>
    <phoneticPr fontId="11" type="noConversion"/>
  </si>
  <si>
    <t>华创资本</t>
    <phoneticPr fontId="11" type="noConversion"/>
  </si>
  <si>
    <t>唐宁</t>
    <phoneticPr fontId="11" type="noConversion"/>
  </si>
  <si>
    <t>ningtang@chinagrowthcapital.com</t>
    <phoneticPr fontId="11" type="noConversion"/>
  </si>
  <si>
    <t>华登国际</t>
    <phoneticPr fontId="11" type="noConversion"/>
  </si>
  <si>
    <t>华璟海纳</t>
    <phoneticPr fontId="11" type="noConversion"/>
  </si>
  <si>
    <t>华瓯创投</t>
    <phoneticPr fontId="11" type="noConversion"/>
  </si>
  <si>
    <t>黄金明</t>
    <phoneticPr fontId="11" type="noConversion"/>
  </si>
  <si>
    <t>华平投资</t>
    <phoneticPr fontId="11" type="noConversion"/>
  </si>
  <si>
    <t>华兴资本</t>
    <phoneticPr fontId="11" type="noConversion"/>
  </si>
  <si>
    <t>包凡</t>
    <phoneticPr fontId="11" type="noConversion"/>
  </si>
  <si>
    <t>info@chinarenaissance.com</t>
    <phoneticPr fontId="11" type="noConversion"/>
  </si>
  <si>
    <t>高峰 </t>
    <phoneticPr fontId="11" type="noConversion"/>
  </si>
  <si>
    <t>info@meridiancapital.com.cn</t>
    <phoneticPr fontId="11" type="noConversion"/>
  </si>
  <si>
    <t>汇丰直接投资（亚洲）有限公司 </t>
    <phoneticPr fontId="11" type="noConversion"/>
  </si>
  <si>
    <t>胡磊</t>
    <phoneticPr fontId="11" type="noConversion"/>
  </si>
  <si>
    <t>姚睿</t>
    <phoneticPr fontId="11" type="noConversion"/>
  </si>
  <si>
    <t>ryao@ggvc.com</t>
    <phoneticPr fontId="11" type="noConversion"/>
  </si>
  <si>
    <t>加成移民投资咨询顾问有限公司</t>
    <phoneticPr fontId="11" type="noConversion"/>
  </si>
  <si>
    <t>何明辉</t>
    <phoneticPr fontId="11" type="noConversion"/>
  </si>
  <si>
    <t>michael@canachieve.net</t>
    <phoneticPr fontId="11" type="noConversion"/>
  </si>
  <si>
    <t>江苏后桑百货</t>
    <phoneticPr fontId="11" type="noConversion"/>
  </si>
  <si>
    <t>叶飞</t>
    <phoneticPr fontId="11" type="noConversion"/>
  </si>
  <si>
    <t>杰斯财富</t>
    <phoneticPr fontId="11" type="noConversion"/>
  </si>
  <si>
    <t>康渃浠</t>
    <phoneticPr fontId="11" type="noConversion"/>
  </si>
  <si>
    <t>蒋卫强</t>
    <phoneticPr fontId="11" type="noConversion"/>
  </si>
  <si>
    <t>jasperjiang@capitaltoday.com</t>
    <phoneticPr fontId="11" type="noConversion"/>
  </si>
  <si>
    <t>今日资本总裁.50强第2</t>
    <phoneticPr fontId="11" type="noConversion"/>
  </si>
  <si>
    <t>金浦投资</t>
    <phoneticPr fontId="11" type="noConversion"/>
  </si>
  <si>
    <t>孙欣</t>
    <phoneticPr fontId="11" type="noConversion"/>
  </si>
  <si>
    <t>金沙江创投</t>
    <phoneticPr fontId="11" type="noConversion"/>
  </si>
  <si>
    <t>朱啸虎</t>
    <phoneticPr fontId="11" type="noConversion"/>
  </si>
  <si>
    <t>李显弘</t>
    <phoneticPr fontId="11" type="noConversion"/>
  </si>
  <si>
    <t>伍伸俊</t>
    <phoneticPr fontId="11" type="noConversion"/>
  </si>
  <si>
    <t>金通恒业股权投资</t>
    <phoneticPr fontId="11" type="noConversion"/>
  </si>
  <si>
    <t>郑奇国</t>
    <phoneticPr fontId="11" type="noConversion"/>
  </si>
  <si>
    <t>zhengqiguo2006@126.com</t>
    <phoneticPr fontId="11" type="noConversion"/>
  </si>
  <si>
    <t>锦聚投资</t>
    <phoneticPr fontId="11" type="noConversion"/>
  </si>
  <si>
    <t>王英才</t>
    <phoneticPr fontId="11" type="noConversion"/>
  </si>
  <si>
    <t>wyc0571@sina.com</t>
    <phoneticPr fontId="11" type="noConversion"/>
  </si>
  <si>
    <t>张胤</t>
    <phoneticPr fontId="11" type="noConversion"/>
  </si>
  <si>
    <t>kevin.zhang@matrixpartners.com.cn</t>
    <phoneticPr fontId="11" type="noConversion"/>
  </si>
  <si>
    <t>whadonce@gmail.com</t>
    <phoneticPr fontId="11" type="noConversion"/>
  </si>
  <si>
    <t>牛立雄</t>
    <phoneticPr fontId="11" type="noConversion"/>
  </si>
  <si>
    <t>萬浩基</t>
    <phoneticPr fontId="11" type="noConversion"/>
  </si>
  <si>
    <t>Kevin</t>
    <phoneticPr fontId="11" type="noConversion"/>
  </si>
  <si>
    <t>kevin.xiong@matrixpartners.com.cn</t>
    <phoneticPr fontId="11" type="noConversion"/>
  </si>
  <si>
    <t>min.xiao@matrixpartners.com.cn</t>
    <phoneticPr fontId="11" type="noConversion"/>
  </si>
  <si>
    <t>庄明浩</t>
    <phoneticPr fontId="11" type="noConversion"/>
  </si>
  <si>
    <t>minghao.zhuang@matrixpartners.com.cn</t>
    <phoneticPr fontId="11" type="noConversion"/>
  </si>
  <si>
    <t>九鼎投资</t>
    <phoneticPr fontId="11" type="noConversion"/>
  </si>
  <si>
    <t>九鼎投资 副总裁</t>
    <phoneticPr fontId="11" type="noConversion"/>
  </si>
  <si>
    <t>oliver.ran@foxmail.com</t>
    <phoneticPr fontId="11" type="noConversion"/>
  </si>
  <si>
    <t>王啸</t>
    <phoneticPr fontId="11" type="noConversion"/>
  </si>
  <si>
    <t>九州创投</t>
    <phoneticPr fontId="11" type="noConversion"/>
  </si>
  <si>
    <t>Michael Huang</t>
    <phoneticPr fontId="11" type="noConversion"/>
  </si>
  <si>
    <t>君鼎投资</t>
    <phoneticPr fontId="11" type="noConversion"/>
  </si>
  <si>
    <t>Cohiba</t>
    <phoneticPr fontId="11" type="noConversion"/>
  </si>
  <si>
    <t>Wallstreet@139.com</t>
    <phoneticPr fontId="11" type="noConversion"/>
  </si>
  <si>
    <t>陈震</t>
    <phoneticPr fontId="11" type="noConversion"/>
  </si>
  <si>
    <t>master@legendcapital.com.cn</t>
    <phoneticPr fontId="11" type="noConversion"/>
  </si>
  <si>
    <t>欧阳浩</t>
    <phoneticPr fontId="11" type="noConversion"/>
  </si>
  <si>
    <t>oyh@legendcapital.com.cn</t>
    <phoneticPr fontId="11" type="noConversion"/>
  </si>
  <si>
    <t>沙重九</t>
    <phoneticPr fontId="11" type="noConversion"/>
  </si>
  <si>
    <t>shacj@legendcapital.com.cn</t>
    <phoneticPr fontId="11" type="noConversion"/>
  </si>
  <si>
    <t>王能光</t>
    <phoneticPr fontId="11" type="noConversion"/>
  </si>
  <si>
    <t>wangng@legendcapital.com.cn</t>
    <phoneticPr fontId="11" type="noConversion"/>
  </si>
  <si>
    <t>朱立南</t>
    <phoneticPr fontId="11" type="noConversion"/>
  </si>
  <si>
    <t>zhuln@legendholdings.com.cn</t>
    <phoneticPr fontId="11" type="noConversion"/>
  </si>
  <si>
    <t>君廉资本</t>
    <phoneticPr fontId="11" type="noConversion"/>
  </si>
  <si>
    <t>罗丹</t>
    <phoneticPr fontId="11" type="noConversion"/>
  </si>
  <si>
    <t>君盛投资</t>
    <phoneticPr fontId="11" type="noConversion"/>
  </si>
  <si>
    <t>黄宇</t>
    <phoneticPr fontId="11" type="noConversion"/>
  </si>
  <si>
    <t>君沃资本（上海）</t>
    <phoneticPr fontId="11" type="noConversion"/>
  </si>
  <si>
    <t>陈智</t>
    <phoneticPr fontId="11" type="noConversion"/>
  </si>
  <si>
    <t>开物投资</t>
    <phoneticPr fontId="11" type="noConversion"/>
  </si>
  <si>
    <t>刘千叶</t>
    <phoneticPr fontId="11" type="noConversion"/>
  </si>
  <si>
    <t>karen.liu@kaiwucapital.com</t>
    <phoneticPr fontId="11" type="noConversion"/>
  </si>
  <si>
    <t>楼厦</t>
    <phoneticPr fontId="11" type="noConversion"/>
  </si>
  <si>
    <t>sha.lou@kaiwucapital.com</t>
    <phoneticPr fontId="11" type="noConversion"/>
  </si>
  <si>
    <t>周树华</t>
    <phoneticPr fontId="11" type="noConversion"/>
  </si>
  <si>
    <t>shuhua.zhou@kaiwucapital.com</t>
    <phoneticPr fontId="11" type="noConversion"/>
  </si>
  <si>
    <t>凯鹏华盈</t>
    <phoneticPr fontId="11" type="noConversion"/>
  </si>
  <si>
    <t>汝林琪</t>
    <phoneticPr fontId="11" type="noConversion"/>
  </si>
  <si>
    <t>梁英杰</t>
    <phoneticPr fontId="11" type="noConversion"/>
  </si>
  <si>
    <t>周炜</t>
    <phoneticPr fontId="11" type="noConversion"/>
  </si>
  <si>
    <t>凯鹏华盈创业投资</t>
    <phoneticPr fontId="11" type="noConversion"/>
  </si>
  <si>
    <t>wzhou@kpcb.com</t>
    <phoneticPr fontId="11" type="noConversion"/>
  </si>
  <si>
    <t>凯石资本</t>
    <phoneticPr fontId="11" type="noConversion"/>
  </si>
  <si>
    <t>潘旻</t>
    <phoneticPr fontId="11" type="noConversion"/>
  </si>
  <si>
    <t>凯旋创投</t>
    <phoneticPr fontId="11" type="noConversion"/>
  </si>
  <si>
    <t>周志雄</t>
    <phoneticPr fontId="11" type="noConversion"/>
  </si>
  <si>
    <t>凯亚投资控股有限公司</t>
    <phoneticPr fontId="11" type="noConversion"/>
  </si>
  <si>
    <t>吴连华</t>
    <phoneticPr fontId="11" type="noConversion"/>
  </si>
  <si>
    <t>leo_wu@capitalasia.com</t>
    <phoneticPr fontId="11" type="noConversion"/>
  </si>
  <si>
    <t>科创资本</t>
    <phoneticPr fontId="11" type="noConversion"/>
  </si>
  <si>
    <t>于晗     </t>
    <phoneticPr fontId="11" type="noConversion"/>
  </si>
  <si>
    <t>yuhan@tiholding.cn</t>
    <phoneticPr fontId="11" type="noConversion"/>
  </si>
  <si>
    <t>空中网</t>
    <phoneticPr fontId="11" type="noConversion"/>
  </si>
  <si>
    <t>杨宁</t>
    <phoneticPr fontId="11" type="noConversion"/>
  </si>
  <si>
    <t>nick@kongzhong.com</t>
    <phoneticPr fontId="11" type="noConversion"/>
  </si>
  <si>
    <t>宽带资本</t>
    <phoneticPr fontId="11" type="noConversion"/>
  </si>
  <si>
    <t>田溯宁</t>
    <phoneticPr fontId="11" type="noConversion"/>
  </si>
  <si>
    <t>tiansn@cbc-capital.com</t>
    <phoneticPr fontId="11" type="noConversion"/>
  </si>
  <si>
    <t>乐博资本</t>
    <phoneticPr fontId="11" type="noConversion"/>
  </si>
  <si>
    <t>乔顺昌</t>
    <phoneticPr fontId="11" type="noConversion"/>
  </si>
  <si>
    <t>nickyang@leboxcap.com</t>
    <phoneticPr fontId="11" type="noConversion"/>
  </si>
  <si>
    <t>雷雨资本</t>
    <phoneticPr fontId="11" type="noConversion"/>
  </si>
  <si>
    <t>俞文辉</t>
    <phoneticPr fontId="11" type="noConversion"/>
  </si>
  <si>
    <t>vcscut@126.com</t>
    <phoneticPr fontId="11" type="noConversion"/>
  </si>
  <si>
    <t>力鼎资本</t>
    <phoneticPr fontId="11" type="noConversion"/>
  </si>
  <si>
    <t>蒋萌</t>
    <phoneticPr fontId="11" type="noConversion"/>
  </si>
  <si>
    <t>力合创投</t>
    <phoneticPr fontId="11" type="noConversion"/>
  </si>
  <si>
    <t>冯杰</t>
    <phoneticPr fontId="11" type="noConversion"/>
  </si>
  <si>
    <t>乐坤久 </t>
    <phoneticPr fontId="11" type="noConversion"/>
  </si>
  <si>
    <t>info@leaguer.com.cn</t>
    <phoneticPr fontId="11" type="noConversion"/>
  </si>
  <si>
    <t>力合华睿</t>
    <phoneticPr fontId="11" type="noConversion"/>
  </si>
  <si>
    <t>胡林平</t>
    <phoneticPr fontId="11" type="noConversion"/>
  </si>
  <si>
    <t>hulinping@hotmail.com</t>
    <phoneticPr fontId="11" type="noConversion"/>
  </si>
  <si>
    <t>力合清源创投</t>
    <phoneticPr fontId="11" type="noConversion"/>
  </si>
  <si>
    <t>朱方</t>
    <phoneticPr fontId="11" type="noConversion"/>
  </si>
  <si>
    <t>联创策源投资咨询(北京)有限公司</t>
    <phoneticPr fontId="11" type="noConversion"/>
  </si>
  <si>
    <t>孙翀</t>
    <phoneticPr fontId="11" type="noConversion"/>
  </si>
  <si>
    <t>sunchong@ceyuan.com</t>
    <phoneticPr fontId="11" type="noConversion"/>
  </si>
  <si>
    <t>联想投资有限公司</t>
    <phoneticPr fontId="11" type="noConversion"/>
  </si>
  <si>
    <t>陆刚</t>
    <phoneticPr fontId="11" type="noConversion"/>
  </si>
  <si>
    <t>lugang@legendholdings.com.cn</t>
    <phoneticPr fontId="11" type="noConversion"/>
  </si>
  <si>
    <t>唐旭东</t>
    <phoneticPr fontId="11" type="noConversion"/>
  </si>
  <si>
    <t>tangxd@legendholdings.com.cn</t>
    <phoneticPr fontId="11" type="noConversion"/>
  </si>
  <si>
    <t>王明耀</t>
    <phoneticPr fontId="11" type="noConversion"/>
  </si>
  <si>
    <t>wangmy@legendholdings.com.cn</t>
    <phoneticPr fontId="11" type="noConversion"/>
  </si>
  <si>
    <t>龙翌资本</t>
    <phoneticPr fontId="11" type="noConversion"/>
  </si>
  <si>
    <t>李俊伟</t>
    <phoneticPr fontId="11" type="noConversion"/>
  </si>
  <si>
    <t>迈达斯股权投资基金管理有限公司</t>
    <phoneticPr fontId="11" type="noConversion"/>
  </si>
  <si>
    <t>邓京晶</t>
    <phoneticPr fontId="11" type="noConversion"/>
  </si>
  <si>
    <t>张筱燕</t>
    <phoneticPr fontId="11" type="noConversion"/>
  </si>
  <si>
    <t>梦工场创投</t>
    <phoneticPr fontId="11" type="noConversion"/>
  </si>
  <si>
    <t>杨轩</t>
    <phoneticPr fontId="11" type="noConversion"/>
  </si>
  <si>
    <t>topiori@gmail.com</t>
    <phoneticPr fontId="11" type="noConversion"/>
  </si>
  <si>
    <t>明势资本</t>
    <phoneticPr fontId="11" type="noConversion"/>
  </si>
  <si>
    <t>黄明明</t>
    <phoneticPr fontId="11" type="noConversion"/>
  </si>
  <si>
    <t>mmhuang@future-cap.com</t>
    <phoneticPr fontId="11" type="noConversion"/>
  </si>
  <si>
    <t>南丰长瑞股权投资</t>
    <phoneticPr fontId="11" type="noConversion"/>
  </si>
  <si>
    <t>黄庆伟</t>
    <phoneticPr fontId="11" type="noConversion"/>
  </si>
  <si>
    <t>huangqingwei2008@gmail.com</t>
    <phoneticPr fontId="11" type="noConversion"/>
  </si>
  <si>
    <t>宁波伯乐遇马天使投资有限公司</t>
    <phoneticPr fontId="11" type="noConversion"/>
  </si>
  <si>
    <t>陈世明</t>
    <phoneticPr fontId="11" type="noConversion"/>
  </si>
  <si>
    <t>郭召林</t>
    <phoneticPr fontId="11" type="noConversion"/>
  </si>
  <si>
    <t>zach66@126.com</t>
    <phoneticPr fontId="11" type="noConversion"/>
  </si>
  <si>
    <t>李悠扬</t>
    <phoneticPr fontId="11" type="noConversion"/>
  </si>
  <si>
    <t>欧奈尔投</t>
    <phoneticPr fontId="11" type="noConversion"/>
  </si>
  <si>
    <t>刘疆     </t>
    <phoneticPr fontId="11" type="noConversion"/>
  </si>
  <si>
    <t>liujiang88@gmail.com</t>
    <phoneticPr fontId="11" type="noConversion"/>
  </si>
  <si>
    <t>盘古创富</t>
    <phoneticPr fontId="11" type="noConversion"/>
  </si>
  <si>
    <t>刘凯</t>
    <phoneticPr fontId="11" type="noConversion"/>
  </si>
  <si>
    <t>liukai@vangoocapital.com</t>
    <phoneticPr fontId="11" type="noConversion"/>
  </si>
  <si>
    <t>磐霖资本</t>
    <phoneticPr fontId="11" type="noConversion"/>
  </si>
  <si>
    <t>李宇辉</t>
    <phoneticPr fontId="11" type="noConversion"/>
  </si>
  <si>
    <t>平安财智投资</t>
    <phoneticPr fontId="11" type="noConversion"/>
  </si>
  <si>
    <t>李忠智</t>
    <phoneticPr fontId="11" type="noConversion"/>
  </si>
  <si>
    <t>lizhongzhi001@pingan.com.cn</t>
    <phoneticPr fontId="11" type="noConversion"/>
  </si>
  <si>
    <t>崔婧 Janet</t>
    <phoneticPr fontId="11" type="noConversion"/>
  </si>
  <si>
    <t>徐光远</t>
    <phoneticPr fontId="11" type="noConversion"/>
  </si>
  <si>
    <t>启迪创投</t>
    <phoneticPr fontId="11" type="noConversion"/>
  </si>
  <si>
    <t>陈垒</t>
    <phoneticPr fontId="11" type="noConversion"/>
  </si>
  <si>
    <t>启赋资本投资总监</t>
    <phoneticPr fontId="11" type="noConversion"/>
  </si>
  <si>
    <t>彭数学</t>
    <phoneticPr fontId="11" type="noConversion"/>
  </si>
  <si>
    <t>psx3751011@163.com</t>
    <phoneticPr fontId="11" type="noConversion"/>
  </si>
  <si>
    <t>启明创投</t>
    <phoneticPr fontId="11" type="noConversion"/>
  </si>
  <si>
    <t>邝子平</t>
    <phoneticPr fontId="11" type="noConversion"/>
  </si>
  <si>
    <t>Gary Rieschel</t>
    <phoneticPr fontId="11" type="noConversion"/>
  </si>
  <si>
    <t>叶冠泰</t>
    <phoneticPr fontId="11" type="noConversion"/>
  </si>
  <si>
    <t>起点创投</t>
    <phoneticPr fontId="11" type="noConversion"/>
  </si>
  <si>
    <t>甄灿明</t>
    <phoneticPr fontId="11" type="noConversion"/>
  </si>
  <si>
    <t>查立</t>
    <phoneticPr fontId="11" type="noConversion"/>
  </si>
  <si>
    <t>冉立之</t>
    <phoneticPr fontId="11" type="noConversion"/>
  </si>
  <si>
    <t>rlz@vc8.cn</t>
    <phoneticPr fontId="11" type="noConversion"/>
  </si>
  <si>
    <t>董占斌</t>
    <phoneticPr fontId="11" type="noConversion"/>
  </si>
  <si>
    <t>青云创投</t>
    <phoneticPr fontId="11" type="noConversion"/>
  </si>
  <si>
    <t>张立辉</t>
    <phoneticPr fontId="11" type="noConversion"/>
  </si>
  <si>
    <t>倪正东</t>
    <phoneticPr fontId="11" type="noConversion"/>
  </si>
  <si>
    <t>张炜嘉</t>
    <phoneticPr fontId="11" type="noConversion"/>
  </si>
  <si>
    <t>仁达投资</t>
    <phoneticPr fontId="11" type="noConversion"/>
  </si>
  <si>
    <t>张权</t>
    <phoneticPr fontId="11" type="noConversion"/>
  </si>
  <si>
    <t>荣盛创投</t>
    <phoneticPr fontId="11" type="noConversion"/>
  </si>
  <si>
    <t>柯韶峰</t>
    <phoneticPr fontId="11" type="noConversion"/>
  </si>
  <si>
    <t>kesf@rong-sheng.com</t>
    <phoneticPr fontId="11" type="noConversion"/>
  </si>
  <si>
    <t>融创天下联合创始人 深圳移盟创办人 </t>
    <phoneticPr fontId="11" type="noConversion"/>
  </si>
  <si>
    <t>江小军</t>
    <phoneticPr fontId="11" type="noConversion"/>
  </si>
  <si>
    <t>jharry169@gmail.com</t>
    <phoneticPr fontId="11" type="noConversion"/>
  </si>
  <si>
    <t>如山创投</t>
    <phoneticPr fontId="11" type="noConversion"/>
  </si>
  <si>
    <t>朱琼</t>
    <phoneticPr fontId="11" type="noConversion"/>
  </si>
  <si>
    <t>zhuq5@dunan.cn</t>
    <phoneticPr fontId="11" type="noConversion"/>
  </si>
  <si>
    <t>软银中国创业投资有限公司 </t>
    <phoneticPr fontId="11" type="noConversion"/>
  </si>
  <si>
    <t>华平</t>
    <phoneticPr fontId="11" type="noConversion"/>
  </si>
  <si>
    <t>赛博纳特孵化创业投资管理有限公司</t>
    <phoneticPr fontId="11" type="noConversion"/>
  </si>
  <si>
    <t>赛富投资</t>
    <phoneticPr fontId="11" type="noConversion"/>
  </si>
  <si>
    <t>羊东</t>
    <phoneticPr fontId="11" type="noConversion"/>
  </si>
  <si>
    <t>阎焱</t>
    <phoneticPr fontId="11" type="noConversion"/>
  </si>
  <si>
    <t>赛富投资基金（北京）</t>
    <phoneticPr fontId="11" type="noConversion"/>
  </si>
  <si>
    <t>赛富亚洲投资基金管理公司 </t>
    <phoneticPr fontId="11" type="noConversion"/>
  </si>
  <si>
    <t>周志雄 </t>
    <phoneticPr fontId="11" type="noConversion"/>
  </si>
  <si>
    <t>jzhou@sbaif.com </t>
    <phoneticPr fontId="11" type="noConversion"/>
  </si>
  <si>
    <t>赛马资本</t>
    <phoneticPr fontId="11" type="noConversion"/>
  </si>
  <si>
    <t>张林利</t>
    <phoneticPr fontId="11" type="noConversion"/>
  </si>
  <si>
    <t>zllyes@yeah.net</t>
    <phoneticPr fontId="11" type="noConversion"/>
  </si>
  <si>
    <t>山东创鑫投资有限公司</t>
    <phoneticPr fontId="11" type="noConversion"/>
  </si>
  <si>
    <t>刘磊</t>
    <phoneticPr fontId="11" type="noConversion"/>
  </si>
  <si>
    <t>qibing969@sohu.com</t>
    <phoneticPr fontId="11" type="noConversion"/>
  </si>
  <si>
    <t>杉杉投资控股有限公司</t>
    <phoneticPr fontId="11" type="noConversion"/>
  </si>
  <si>
    <t>庄巍</t>
    <phoneticPr fontId="11" type="noConversion"/>
  </si>
  <si>
    <t>zhuangwei@firs.com.cn</t>
    <phoneticPr fontId="11" type="noConversion"/>
  </si>
  <si>
    <t>上创信德</t>
    <phoneticPr fontId="11" type="noConversion"/>
  </si>
  <si>
    <t>秦曦</t>
    <phoneticPr fontId="11" type="noConversion"/>
  </si>
  <si>
    <t>qinxi@shcapital.com.cn</t>
    <phoneticPr fontId="11" type="noConversion"/>
  </si>
  <si>
    <t>上海爱塔投资管理有限公司</t>
    <phoneticPr fontId="11" type="noConversion"/>
  </si>
  <si>
    <t>陈虎</t>
    <phoneticPr fontId="11" type="noConversion"/>
  </si>
  <si>
    <t>vcaitacafe@163.com</t>
    <phoneticPr fontId="11" type="noConversion"/>
  </si>
  <si>
    <t>上海传实投资顾问有限公司</t>
    <phoneticPr fontId="11" type="noConversion"/>
  </si>
  <si>
    <t>王侃</t>
    <phoneticPr fontId="11" type="noConversion"/>
  </si>
  <si>
    <t>kwang@transworldgroups.com</t>
    <phoneticPr fontId="11" type="noConversion"/>
  </si>
  <si>
    <t>上海科技投资</t>
    <phoneticPr fontId="11" type="noConversion"/>
  </si>
  <si>
    <t>上海联创投资管理有限公司 </t>
    <phoneticPr fontId="11" type="noConversion"/>
  </si>
  <si>
    <t>慕磊</t>
    <phoneticPr fontId="11" type="noConversion"/>
  </si>
  <si>
    <t>julius@newmargin.com</t>
    <phoneticPr fontId="11" type="noConversion"/>
  </si>
  <si>
    <t>上海普陀科技投资有限公司</t>
    <phoneticPr fontId="11" type="noConversion"/>
  </si>
  <si>
    <t>步勇捷</t>
    <phoneticPr fontId="11" type="noConversion"/>
  </si>
  <si>
    <t>上海盛基创业投资管理有限公司</t>
    <phoneticPr fontId="11" type="noConversion"/>
  </si>
  <si>
    <t>张伟</t>
    <phoneticPr fontId="11" type="noConversion"/>
  </si>
  <si>
    <t>zhangw@siic.com</t>
    <phoneticPr fontId="11" type="noConversion"/>
  </si>
  <si>
    <t>上海实业控股有限公司 </t>
    <phoneticPr fontId="11" type="noConversion"/>
  </si>
  <si>
    <t>上海致景投资管理有限公司</t>
    <phoneticPr fontId="11" type="noConversion"/>
  </si>
  <si>
    <t>张川</t>
    <phoneticPr fontId="11" type="noConversion"/>
  </si>
  <si>
    <t>michael_zhang21@hotmail.com</t>
    <phoneticPr fontId="11" type="noConversion"/>
  </si>
  <si>
    <t>深港产学研</t>
    <phoneticPr fontId="11" type="noConversion"/>
  </si>
  <si>
    <t>厉伟</t>
    <phoneticPr fontId="11" type="noConversion"/>
  </si>
  <si>
    <t>liwei@pinevc.com.cn</t>
    <phoneticPr fontId="11" type="noConversion"/>
  </si>
  <si>
    <t>罗飞</t>
    <phoneticPr fontId="11" type="noConversion"/>
  </si>
  <si>
    <t>luofei@pinevc.com.cn</t>
    <phoneticPr fontId="11" type="noConversion"/>
  </si>
  <si>
    <t>深港投资促进中心</t>
    <phoneticPr fontId="11" type="noConversion"/>
  </si>
  <si>
    <t>罗剑</t>
    <phoneticPr fontId="11" type="noConversion"/>
  </si>
  <si>
    <t>深圳财富创投</t>
    <phoneticPr fontId="11" type="noConversion"/>
  </si>
  <si>
    <t>深圳分享投资</t>
    <phoneticPr fontId="11" type="noConversion"/>
  </si>
  <si>
    <t>崔欣欣</t>
    <phoneticPr fontId="11" type="noConversion"/>
  </si>
  <si>
    <t>samcui@sharecapital.cn</t>
    <phoneticPr fontId="11" type="noConversion"/>
  </si>
  <si>
    <t>深圳高特佳</t>
    <phoneticPr fontId="11" type="noConversion"/>
  </si>
  <si>
    <t>邹欣</t>
    <phoneticPr fontId="11" type="noConversion"/>
  </si>
  <si>
    <t>深圳基石创投</t>
    <phoneticPr fontId="11" type="noConversion"/>
  </si>
  <si>
    <t>深圳启赋资本</t>
    <phoneticPr fontId="11" type="noConversion"/>
  </si>
  <si>
    <t>王长振</t>
    <phoneticPr fontId="11" type="noConversion"/>
  </si>
  <si>
    <t>wangcz@qfcapital.com.cn</t>
    <phoneticPr fontId="11" type="noConversion"/>
  </si>
  <si>
    <t>深圳市创新投资集团</t>
    <phoneticPr fontId="11" type="noConversion"/>
  </si>
  <si>
    <t>李程晟</t>
    <phoneticPr fontId="11" type="noConversion"/>
  </si>
  <si>
    <t>李程胜</t>
    <phoneticPr fontId="11" type="noConversion"/>
  </si>
  <si>
    <t>reallcs1943@163.com</t>
    <phoneticPr fontId="11" type="noConversion"/>
  </si>
  <si>
    <t>深圳市帝金源投资发展有限公司</t>
    <phoneticPr fontId="11" type="noConversion"/>
  </si>
  <si>
    <t>熊钊</t>
    <phoneticPr fontId="11" type="noConversion"/>
  </si>
  <si>
    <t>深圳市東方富海投資</t>
    <phoneticPr fontId="11" type="noConversion"/>
  </si>
  <si>
    <t>程厚博</t>
    <phoneticPr fontId="11" type="noConversion"/>
  </si>
  <si>
    <t>深圳市康成亨投资有限公司</t>
    <phoneticPr fontId="11" type="noConversion"/>
  </si>
  <si>
    <t>袁亚康</t>
    <phoneticPr fontId="11" type="noConversion"/>
  </si>
  <si>
    <t>深圳市蓝海鸿图投资管理有限公司</t>
    <phoneticPr fontId="11" type="noConversion"/>
  </si>
  <si>
    <t>李立东</t>
    <phoneticPr fontId="11" type="noConversion"/>
  </si>
  <si>
    <t>lidong.li@gmail.com</t>
    <phoneticPr fontId="11" type="noConversion"/>
  </si>
  <si>
    <t>深圳市南海成长创业投资有限合伙企业</t>
    <phoneticPr fontId="11" type="noConversion"/>
  </si>
  <si>
    <t>童子平</t>
    <phoneticPr fontId="11" type="noConversion"/>
  </si>
  <si>
    <t>tongziping@cowincapital.com</t>
    <phoneticPr fontId="11" type="noConversion"/>
  </si>
  <si>
    <t>深圳市旗丰投资有限公司</t>
    <phoneticPr fontId="11" type="noConversion"/>
  </si>
  <si>
    <t>陈小辉</t>
    <phoneticPr fontId="11" type="noConversion"/>
  </si>
  <si>
    <t>tom.chen@firstflag.com.cn</t>
    <phoneticPr fontId="11" type="noConversion"/>
  </si>
  <si>
    <t>深圳市三度投资管理有限公司</t>
    <phoneticPr fontId="11" type="noConversion"/>
  </si>
  <si>
    <t>王沛</t>
    <phoneticPr fontId="11" type="noConversion"/>
  </si>
  <si>
    <t>peiwww@126.com</t>
    <phoneticPr fontId="11" type="noConversion"/>
  </si>
  <si>
    <t>深圳市松禾资本管理有限公司</t>
    <phoneticPr fontId="11" type="noConversion"/>
  </si>
  <si>
    <t>liuyan@pinevc.com.cn</t>
    <phoneticPr fontId="11" type="noConversion"/>
  </si>
  <si>
    <t>深圳市同创伟业创业</t>
    <phoneticPr fontId="11" type="noConversion"/>
  </si>
  <si>
    <t>郑伟鹤</t>
    <phoneticPr fontId="11" type="noConversion"/>
  </si>
  <si>
    <t>深圳市同创伟业创业投资有限公司</t>
    <phoneticPr fontId="11" type="noConversion"/>
  </si>
  <si>
    <t>国林川</t>
    <phoneticPr fontId="11" type="noConversion"/>
  </si>
  <si>
    <t>季忠</t>
    <phoneticPr fontId="11" type="noConversion"/>
  </si>
  <si>
    <t>jizhong@cowincapital.com</t>
    <phoneticPr fontId="11" type="noConversion"/>
  </si>
  <si>
    <t>杨洁</t>
    <phoneticPr fontId="11" type="noConversion"/>
  </si>
  <si>
    <t>yangjie@cowincapital.com</t>
    <phoneticPr fontId="11" type="noConversion"/>
  </si>
  <si>
    <t>张鹏</t>
    <phoneticPr fontId="11" type="noConversion"/>
  </si>
  <si>
    <t>zhangpeng@cowincapital.com</t>
    <phoneticPr fontId="11" type="noConversion"/>
  </si>
  <si>
    <t>深圳市喜银资本管理有限公司</t>
    <phoneticPr fontId="11" type="noConversion"/>
  </si>
  <si>
    <t>朱楚生</t>
    <phoneticPr fontId="11" type="noConversion"/>
  </si>
  <si>
    <t>zcs1101@163.com</t>
    <phoneticPr fontId="11" type="noConversion"/>
  </si>
  <si>
    <t>深圳市新简道投资发展有限公司</t>
    <phoneticPr fontId="11" type="noConversion"/>
  </si>
  <si>
    <t>刘德伟</t>
    <phoneticPr fontId="11" type="noConversion"/>
  </si>
  <si>
    <t>  白云帆 （帆影）</t>
    <phoneticPr fontId="11" type="noConversion"/>
  </si>
  <si>
    <t>深圳市意添龙投资发展有限公司</t>
    <phoneticPr fontId="11" type="noConversion"/>
  </si>
  <si>
    <t>熊伟洋</t>
    <phoneticPr fontId="11" type="noConversion"/>
  </si>
  <si>
    <t>xayang1168@163.com</t>
    <phoneticPr fontId="11" type="noConversion"/>
  </si>
  <si>
    <t>深圳市中兴创业投资基金管理有限公司</t>
    <phoneticPr fontId="11" type="noConversion"/>
  </si>
  <si>
    <t>林强</t>
    <phoneticPr fontId="11" type="noConversion"/>
  </si>
  <si>
    <t>linqiang@zte.com.cn</t>
    <phoneticPr fontId="11" type="noConversion"/>
  </si>
  <si>
    <t>赵樱</t>
    <phoneticPr fontId="11" type="noConversion"/>
  </si>
  <si>
    <t>zhaoying@zte.com.cn</t>
    <phoneticPr fontId="11" type="noConversion"/>
  </si>
  <si>
    <t>深圳银桦投资</t>
    <phoneticPr fontId="11" type="noConversion"/>
  </si>
  <si>
    <t>龚继荣（灵感）</t>
    <phoneticPr fontId="11" type="noConversion"/>
  </si>
  <si>
    <t>世铭投资</t>
    <phoneticPr fontId="11" type="noConversion"/>
  </si>
  <si>
    <t>杨光</t>
    <phoneticPr fontId="11" type="noConversion"/>
  </si>
  <si>
    <t>双流县投资促进局</t>
    <phoneticPr fontId="11" type="noConversion"/>
  </si>
  <si>
    <t>蒲贵森</t>
    <phoneticPr fontId="11" type="noConversion"/>
  </si>
  <si>
    <t>slkfb@163.com</t>
    <phoneticPr fontId="11" type="noConversion"/>
  </si>
  <si>
    <t>顺为基金</t>
    <phoneticPr fontId="11" type="noConversion"/>
  </si>
  <si>
    <t>许达来</t>
    <phoneticPr fontId="11" type="noConversion"/>
  </si>
  <si>
    <t>松禾资本</t>
    <phoneticPr fontId="11" type="noConversion"/>
  </si>
  <si>
    <t>张云鹏</t>
    <phoneticPr fontId="11" type="noConversion"/>
  </si>
  <si>
    <t>pinevc@pinevc.com.cn</t>
    <phoneticPr fontId="11" type="noConversion"/>
  </si>
  <si>
    <t>搜钱网</t>
    <phoneticPr fontId="11" type="noConversion"/>
  </si>
  <si>
    <t>李群</t>
    <phoneticPr fontId="11" type="noConversion"/>
  </si>
  <si>
    <t>苏河汇</t>
    <phoneticPr fontId="11" type="noConversion"/>
  </si>
  <si>
    <t>罗钥</t>
    <phoneticPr fontId="11" type="noConversion"/>
  </si>
  <si>
    <t>太美生命投资</t>
    <phoneticPr fontId="11" type="noConversion"/>
  </si>
  <si>
    <t>胡世辉</t>
    <phoneticPr fontId="11" type="noConversion"/>
  </si>
  <si>
    <t>hushihui@triptm.com</t>
    <phoneticPr fontId="11" type="noConversion"/>
  </si>
  <si>
    <t>太平洋投资</t>
    <phoneticPr fontId="11" type="noConversion"/>
  </si>
  <si>
    <t>天禄琳琅文化股权投资</t>
    <phoneticPr fontId="11" type="noConversion"/>
  </si>
  <si>
    <t>叶强</t>
    <phoneticPr fontId="11" type="noConversion"/>
  </si>
  <si>
    <t>y49363@me.com</t>
    <phoneticPr fontId="11" type="noConversion"/>
  </si>
  <si>
    <t>天使汇合伙人</t>
    <phoneticPr fontId="11" type="noConversion"/>
  </si>
  <si>
    <t>zixia@Pre-Angel.com</t>
    <phoneticPr fontId="11" type="noConversion"/>
  </si>
  <si>
    <t>天使投资</t>
    <phoneticPr fontId="11" type="noConversion"/>
  </si>
  <si>
    <t>陈磊</t>
    <phoneticPr fontId="11" type="noConversion"/>
  </si>
  <si>
    <t>杜雪骞</t>
    <phoneticPr fontId="11" type="noConversion"/>
  </si>
  <si>
    <t>潘溶融</t>
    <phoneticPr fontId="11" type="noConversion"/>
  </si>
  <si>
    <t>王映初</t>
    <phoneticPr fontId="11" type="noConversion"/>
  </si>
  <si>
    <t>庞小伟</t>
    <phoneticPr fontId="11" type="noConversion"/>
  </si>
  <si>
    <t>天图资本</t>
    <phoneticPr fontId="11" type="noConversion"/>
  </si>
  <si>
    <t>陈向东</t>
    <phoneticPr fontId="11" type="noConversion"/>
  </si>
  <si>
    <t>李康林</t>
    <phoneticPr fontId="11" type="noConversion"/>
  </si>
  <si>
    <t>likanglin@tiantu.com.cn</t>
    <phoneticPr fontId="11" type="noConversion"/>
  </si>
  <si>
    <t>汤志敏</t>
    <phoneticPr fontId="11" type="noConversion"/>
  </si>
  <si>
    <t>tangzhimin@tiantu.com.cn</t>
    <phoneticPr fontId="11" type="noConversion"/>
  </si>
  <si>
    <t>魏国兴</t>
    <phoneticPr fontId="11" type="noConversion"/>
  </si>
  <si>
    <t>weiguoxing@tiantu.com.cn</t>
    <phoneticPr fontId="11" type="noConversion"/>
  </si>
  <si>
    <t>张海燕</t>
    <phoneticPr fontId="11" type="noConversion"/>
  </si>
  <si>
    <t>zhanghaiyan@tiantu.com.cn</t>
    <phoneticPr fontId="11" type="noConversion"/>
  </si>
  <si>
    <t>天鹰资本</t>
    <phoneticPr fontId="11" type="noConversion"/>
  </si>
  <si>
    <t>范友鹏</t>
    <phoneticPr fontId="11" type="noConversion"/>
  </si>
  <si>
    <t>王维</t>
    <phoneticPr fontId="11" type="noConversion"/>
  </si>
  <si>
    <t>田文</t>
    <phoneticPr fontId="11" type="noConversion"/>
  </si>
  <si>
    <t>东明</t>
    <phoneticPr fontId="11" type="noConversion"/>
  </si>
  <si>
    <t>黄冲  </t>
    <phoneticPr fontId="11" type="noConversion"/>
  </si>
  <si>
    <t>王冠雄</t>
    <phoneticPr fontId="11" type="noConversion"/>
  </si>
  <si>
    <t>网软投资公司</t>
    <phoneticPr fontId="11" type="noConversion"/>
  </si>
  <si>
    <t>马勇</t>
    <phoneticPr fontId="11" type="noConversion"/>
  </si>
  <si>
    <t>mayongg@hotmail.com</t>
    <phoneticPr fontId="11" type="noConversion"/>
  </si>
  <si>
    <t>维思投资</t>
    <phoneticPr fontId="11" type="noConversion"/>
  </si>
  <si>
    <t>郭旭升</t>
    <phoneticPr fontId="11" type="noConversion"/>
  </si>
  <si>
    <t>samsonguo@sina.com</t>
    <phoneticPr fontId="11" type="noConversion"/>
  </si>
  <si>
    <t>维新力特资本</t>
    <phoneticPr fontId="11" type="noConversion"/>
  </si>
  <si>
    <t>卫哲</t>
    <phoneticPr fontId="11" type="noConversion"/>
  </si>
  <si>
    <t>温莎资本</t>
    <phoneticPr fontId="11" type="noConversion"/>
  </si>
  <si>
    <t>简毅</t>
    <phoneticPr fontId="11" type="noConversion"/>
  </si>
  <si>
    <t>无穹创投投资总监</t>
    <phoneticPr fontId="11" type="noConversion"/>
  </si>
  <si>
    <t>徐声</t>
    <phoneticPr fontId="11" type="noConversion"/>
  </si>
  <si>
    <t>xusheng@wuqiongvc.com</t>
    <phoneticPr fontId="11" type="noConversion"/>
  </si>
  <si>
    <t>梧桐树</t>
    <phoneticPr fontId="11" type="noConversion"/>
  </si>
  <si>
    <t>童玮亮</t>
    <phoneticPr fontId="11" type="noConversion"/>
  </si>
  <si>
    <t>ongweiliang@gmail.com</t>
    <phoneticPr fontId="11" type="noConversion"/>
  </si>
  <si>
    <t>五岳投资</t>
    <phoneticPr fontId="11" type="noConversion"/>
  </si>
  <si>
    <t>符麟军</t>
    <phoneticPr fontId="11" type="noConversion"/>
  </si>
  <si>
    <t>小米</t>
    <phoneticPr fontId="11" type="noConversion"/>
  </si>
  <si>
    <t>雷军</t>
    <phoneticPr fontId="11" type="noConversion"/>
  </si>
  <si>
    <t>leijun@gmail.com</t>
    <phoneticPr fontId="11" type="noConversion"/>
  </si>
  <si>
    <t>新东方学校</t>
    <phoneticPr fontId="11" type="noConversion"/>
  </si>
  <si>
    <t>钱永强</t>
    <phoneticPr fontId="11" type="noConversion"/>
  </si>
  <si>
    <t>president@neworiental.org</t>
    <phoneticPr fontId="11" type="noConversion"/>
  </si>
  <si>
    <t>信智资本天使基金</t>
    <phoneticPr fontId="11" type="noConversion"/>
  </si>
  <si>
    <t>陈可言</t>
    <phoneticPr fontId="11" type="noConversion"/>
  </si>
  <si>
    <t>rchan@ironfirecapital.com</t>
    <phoneticPr fontId="11" type="noConversion"/>
  </si>
  <si>
    <t>信中利投资集团公司 </t>
    <phoneticPr fontId="11" type="noConversion"/>
  </si>
  <si>
    <t>汪潮涌 </t>
    <phoneticPr fontId="11" type="noConversion"/>
  </si>
  <si>
    <t>兴业投资</t>
    <phoneticPr fontId="11" type="noConversion"/>
  </si>
  <si>
    <t>邱玉芳</t>
    <phoneticPr fontId="11" type="noConversion"/>
  </si>
  <si>
    <t>亚洲战略投资管理公司</t>
    <phoneticPr fontId="11" type="noConversion"/>
  </si>
  <si>
    <t>亚洲资讯投资有限公司</t>
    <phoneticPr fontId="11" type="noConversion"/>
  </si>
  <si>
    <t>谢诗贤</t>
    <phoneticPr fontId="11" type="noConversion"/>
  </si>
  <si>
    <t>tsesyjohn@yahoo.com</t>
    <phoneticPr fontId="11" type="noConversion"/>
  </si>
  <si>
    <t>洋葱基金.合伙人</t>
    <phoneticPr fontId="11" type="noConversion"/>
  </si>
  <si>
    <t>张本伟</t>
    <phoneticPr fontId="11" type="noConversion"/>
  </si>
  <si>
    <t>zhangbenwei@onionsfund.com</t>
    <phoneticPr fontId="11" type="noConversion"/>
  </si>
  <si>
    <t>亿胡股权投资基金</t>
    <phoneticPr fontId="11" type="noConversion"/>
  </si>
  <si>
    <t>nju.hxl@163.com</t>
    <phoneticPr fontId="11" type="noConversion"/>
  </si>
  <si>
    <t>Nju.hxl@163.com</t>
    <phoneticPr fontId="11" type="noConversion"/>
  </si>
  <si>
    <t>亿腾投资集团</t>
    <phoneticPr fontId="11" type="noConversion"/>
  </si>
  <si>
    <t>陈大江</t>
    <phoneticPr fontId="11" type="noConversion"/>
  </si>
  <si>
    <t>王冉</t>
    <phoneticPr fontId="11" type="noConversion"/>
  </si>
  <si>
    <t>银河创新资本</t>
    <phoneticPr fontId="11" type="noConversion"/>
  </si>
  <si>
    <t>zhangmengxia@chinastock.com.cn</t>
    <phoneticPr fontId="11" type="noConversion"/>
  </si>
  <si>
    <t>胤锋资本</t>
    <phoneticPr fontId="11" type="noConversion"/>
  </si>
  <si>
    <t>练志霆</t>
    <phoneticPr fontId="11" type="noConversion"/>
  </si>
  <si>
    <t>intop@vip.qq.com</t>
    <phoneticPr fontId="11" type="noConversion"/>
  </si>
  <si>
    <t>英飞尼迪</t>
    <phoneticPr fontId="11" type="noConversion"/>
  </si>
  <si>
    <t>胡斌</t>
    <phoneticPr fontId="11" type="noConversion"/>
  </si>
  <si>
    <t>robert.hu@infinity-equity.com</t>
    <phoneticPr fontId="11" type="noConversion"/>
  </si>
  <si>
    <t>黄鹂鸣</t>
    <phoneticPr fontId="11" type="noConversion"/>
  </si>
  <si>
    <t>Teresaworkmail@gmail.com</t>
    <phoneticPr fontId="11" type="noConversion"/>
  </si>
  <si>
    <t>李竹</t>
    <phoneticPr fontId="11" type="noConversion"/>
  </si>
  <si>
    <t>liz@uusee.com</t>
    <phoneticPr fontId="11" type="noConversion"/>
  </si>
  <si>
    <t>刘二海</t>
    <phoneticPr fontId="11" type="noConversion"/>
  </si>
  <si>
    <t>元景创投</t>
    <phoneticPr fontId="11" type="noConversion"/>
  </si>
  <si>
    <t>黄炳龙</t>
    <phoneticPr fontId="11" type="noConversion"/>
  </si>
  <si>
    <t>沅渡创投</t>
    <phoneticPr fontId="11" type="noConversion"/>
  </si>
  <si>
    <t>王学峰</t>
    <phoneticPr fontId="11" type="noConversion"/>
  </si>
  <si>
    <t>xuefeng.wang@ferryvc.com </t>
    <phoneticPr fontId="11" type="noConversion"/>
  </si>
  <si>
    <t>原子创投</t>
    <phoneticPr fontId="11" type="noConversion"/>
  </si>
  <si>
    <t>冯一名</t>
    <phoneticPr fontId="11" type="noConversion"/>
  </si>
  <si>
    <t>常亮</t>
    <phoneticPr fontId="11" type="noConversion"/>
  </si>
  <si>
    <t>粤商创投</t>
    <phoneticPr fontId="11" type="noConversion"/>
  </si>
  <si>
    <t>卓曙虹</t>
    <phoneticPr fontId="11" type="noConversion"/>
  </si>
  <si>
    <t>云峰基金</t>
    <phoneticPr fontId="11" type="noConversion"/>
  </si>
  <si>
    <t>李娜</t>
    <phoneticPr fontId="11" type="noConversion"/>
  </si>
  <si>
    <t>lina@yfc.cn</t>
    <phoneticPr fontId="11" type="noConversion"/>
  </si>
  <si>
    <t>云启创投</t>
    <phoneticPr fontId="11" type="noConversion"/>
  </si>
  <si>
    <t>mmao@yunqi.vc</t>
    <phoneticPr fontId="11" type="noConversion"/>
  </si>
  <si>
    <t>夏欢</t>
    <phoneticPr fontId="11" type="noConversion"/>
  </si>
  <si>
    <t>vxia@yunqi.vc</t>
    <phoneticPr fontId="11" type="noConversion"/>
  </si>
  <si>
    <t>云天使基金投资经理</t>
    <phoneticPr fontId="11" type="noConversion"/>
  </si>
  <si>
    <t>张舒尧</t>
    <phoneticPr fontId="11" type="noConversion"/>
  </si>
  <si>
    <t>zhangsy@cloudangelfunds.com</t>
    <phoneticPr fontId="11" type="noConversion"/>
  </si>
  <si>
    <t>泽图投资</t>
    <phoneticPr fontId="11" type="noConversion"/>
  </si>
  <si>
    <t>桑迪红</t>
    <phoneticPr fontId="11" type="noConversion"/>
  </si>
  <si>
    <t>kbsdh@163.com</t>
    <phoneticPr fontId="11" type="noConversion"/>
  </si>
  <si>
    <t>长城国汇</t>
    <phoneticPr fontId="11" type="noConversion"/>
  </si>
  <si>
    <t>肖乐涛</t>
    <phoneticPr fontId="11" type="noConversion"/>
  </si>
  <si>
    <t>招商致远资本</t>
    <phoneticPr fontId="11" type="noConversion"/>
  </si>
  <si>
    <t>浙江创投</t>
    <phoneticPr fontId="11" type="noConversion"/>
  </si>
  <si>
    <t>李先文</t>
    <phoneticPr fontId="11" type="noConversion"/>
  </si>
  <si>
    <t>浙商创投</t>
    <phoneticPr fontId="11" type="noConversion"/>
  </si>
  <si>
    <t>李军华</t>
    <phoneticPr fontId="11" type="noConversion"/>
  </si>
  <si>
    <t>徐汉杰</t>
    <phoneticPr fontId="11" type="noConversion"/>
  </si>
  <si>
    <t>寇波</t>
    <phoneticPr fontId="11" type="noConversion"/>
  </si>
  <si>
    <t>kb@zsvc.com.cn</t>
    <phoneticPr fontId="11" type="noConversion"/>
  </si>
  <si>
    <t>李祝捷</t>
    <phoneticPr fontId="11" type="noConversion"/>
  </si>
  <si>
    <t>正和岛</t>
    <phoneticPr fontId="11" type="noConversion"/>
  </si>
  <si>
    <t>止卓投资</t>
    <phoneticPr fontId="11" type="noConversion"/>
  </si>
  <si>
    <t>田力</t>
    <phoneticPr fontId="11" type="noConversion"/>
  </si>
  <si>
    <t>info@zdvc.com.cn</t>
    <phoneticPr fontId="11" type="noConversion"/>
  </si>
  <si>
    <t>zgh@zdvc.com.cn</t>
    <phoneticPr fontId="11" type="noConversion"/>
  </si>
  <si>
    <t>中国火炬高新技术产业投资公司</t>
    <phoneticPr fontId="11" type="noConversion"/>
  </si>
  <si>
    <t>韩旭东</t>
    <phoneticPr fontId="11" type="noConversion"/>
  </si>
  <si>
    <t>中科招商angel</t>
    <phoneticPr fontId="11" type="noConversion"/>
  </si>
  <si>
    <t>zxl.angel@hotmail.com</t>
    <phoneticPr fontId="11" type="noConversion"/>
  </si>
  <si>
    <t>中路资本</t>
    <phoneticPr fontId="11" type="noConversion"/>
  </si>
  <si>
    <t>田东升</t>
    <phoneticPr fontId="11" type="noConversion"/>
  </si>
  <si>
    <t>中青创投</t>
    <phoneticPr fontId="11" type="noConversion"/>
  </si>
  <si>
    <t>付岩</t>
    <phoneticPr fontId="11" type="noConversion"/>
  </si>
  <si>
    <t>rockfu@139.com</t>
    <phoneticPr fontId="11" type="noConversion"/>
  </si>
  <si>
    <t>中新力合</t>
    <phoneticPr fontId="11" type="noConversion"/>
  </si>
  <si>
    <t>金晓康</t>
    <phoneticPr fontId="11" type="noConversion"/>
  </si>
  <si>
    <t>jinxiaokang@upg.cn </t>
    <phoneticPr fontId="11" type="noConversion"/>
  </si>
  <si>
    <t>重庆大石投资管理有限公司</t>
    <phoneticPr fontId="11" type="noConversion"/>
  </si>
  <si>
    <t>戴伟国</t>
    <phoneticPr fontId="11" type="noConversion"/>
  </si>
  <si>
    <t>wilburtai@gemvc.com</t>
    <phoneticPr fontId="11" type="noConversion"/>
  </si>
  <si>
    <t>重庆易一天使投资有限公司</t>
    <phoneticPr fontId="11" type="noConversion"/>
  </si>
  <si>
    <t>曹日辉</t>
    <phoneticPr fontId="11" type="noConversion"/>
  </si>
  <si>
    <t>卓凡创业投资公司 </t>
    <phoneticPr fontId="11" type="noConversion"/>
  </si>
  <si>
    <t>卓越教育投资</t>
    <phoneticPr fontId="11" type="noConversion"/>
  </si>
  <si>
    <t>梁颖琳</t>
    <phoneticPr fontId="11" type="noConversion"/>
  </si>
  <si>
    <t>Liangyinglin @zy.com</t>
    <phoneticPr fontId="11" type="noConversion"/>
  </si>
  <si>
    <t>liangyinglin@zy.com</t>
    <phoneticPr fontId="11" type="noConversion"/>
  </si>
  <si>
    <t>忻诚中</t>
    <phoneticPr fontId="11" type="noConversion"/>
  </si>
  <si>
    <t>Jason</t>
    <phoneticPr fontId="11" type="noConversion"/>
  </si>
  <si>
    <t>李金宇</t>
    <phoneticPr fontId="11" type="noConversion"/>
  </si>
  <si>
    <t>薛蛮子</t>
    <phoneticPr fontId="11" type="noConversion"/>
  </si>
  <si>
    <t>陈博思 MEHECO高级投资经理</t>
    <phoneticPr fontId="11" type="noConversion"/>
  </si>
  <si>
    <t>海银财富管理</t>
    <phoneticPr fontId="11" type="noConversion"/>
  </si>
  <si>
    <t>黄国强</t>
    <phoneticPr fontId="11" type="noConversion"/>
  </si>
  <si>
    <t>info-china@hcp.com</t>
    <phoneticPr fontId="11" type="noConversion"/>
  </si>
  <si>
    <t>金炳土</t>
    <phoneticPr fontId="11" type="noConversion"/>
  </si>
  <si>
    <t>jinbingtu@163.com</t>
    <phoneticPr fontId="11" type="noConversion"/>
  </si>
  <si>
    <t>keyi@crk2.com</t>
    <phoneticPr fontId="11" type="noConversion"/>
  </si>
  <si>
    <t>lixiong.niu@matrixpartners.com.cn</t>
    <phoneticPr fontId="11" type="noConversion"/>
  </si>
  <si>
    <t>主桅</t>
    <phoneticPr fontId="11" type="noConversion"/>
  </si>
  <si>
    <t>mainmast@gmail.com</t>
    <phoneticPr fontId="11" type="noConversion"/>
  </si>
  <si>
    <t>马源</t>
    <phoneticPr fontId="11" type="noConversion"/>
  </si>
  <si>
    <t>Mayuan168@gmail.com</t>
    <phoneticPr fontId="11" type="noConversion"/>
  </si>
  <si>
    <t>梅松</t>
    <phoneticPr fontId="11" type="noConversion"/>
  </si>
  <si>
    <t>song.mei@matrixpartners.com.cn</t>
    <phoneticPr fontId="11" type="noConversion"/>
  </si>
  <si>
    <t>TMT@nlvc.com</t>
    <phoneticPr fontId="11" type="noConversion"/>
  </si>
  <si>
    <t>叶忻</t>
    <phoneticPr fontId="11" type="noConversion"/>
  </si>
  <si>
    <t>ye_xin@hotmail.com</t>
    <phoneticPr fontId="11" type="noConversion"/>
  </si>
  <si>
    <t>黎竹岩</t>
    <phoneticPr fontId="11" type="noConversion"/>
  </si>
  <si>
    <t>zhuyan.li@matrixpartners.com.cn</t>
    <phoneticPr fontId="11" type="noConversion"/>
  </si>
  <si>
    <t>朱跃龙</t>
    <phoneticPr fontId="11" type="noConversion"/>
  </si>
  <si>
    <t>zhu-yuelong@163.com</t>
    <phoneticPr fontId="11" type="noConversion"/>
  </si>
  <si>
    <t>软银赛富首席合伙人.50强第5</t>
    <phoneticPr fontId="11" type="noConversion"/>
  </si>
  <si>
    <t>jingwen.cui@ventechchina.com</t>
    <phoneticPr fontId="11" type="noConversion"/>
  </si>
  <si>
    <t>李程</t>
    <phoneticPr fontId="11" type="noConversion"/>
  </si>
  <si>
    <t>清流资本</t>
    <phoneticPr fontId="11" type="noConversion"/>
  </si>
  <si>
    <t>彭创</t>
    <phoneticPr fontId="11" type="noConversion"/>
  </si>
  <si>
    <t>QQ:476802016 hyx881012@hotmail.com</t>
    <phoneticPr fontId="11" type="noConversion"/>
  </si>
  <si>
    <t>samuel.huang@matrixpartners.com.cn </t>
    <phoneticPr fontId="11" type="noConversion"/>
  </si>
  <si>
    <t>童玮亮 梧桐树资本创始合伙人</t>
    <phoneticPr fontId="11" type="noConversion"/>
  </si>
  <si>
    <t>tongweiliang@gmail.com</t>
    <phoneticPr fontId="11" type="noConversion"/>
  </si>
  <si>
    <t>天图资本魏国兴</t>
    <phoneticPr fontId="11" type="noConversion"/>
  </si>
  <si>
    <t>Weiguoxing@tiantu.com.cn</t>
    <phoneticPr fontId="11" type="noConversion"/>
  </si>
  <si>
    <t>willianqu@zero2ipo.com.cn</t>
    <phoneticPr fontId="11" type="noConversion"/>
  </si>
  <si>
    <t>余跃</t>
    <phoneticPr fontId="11" type="noConversion"/>
  </si>
  <si>
    <t>4机构不一致</t>
  </si>
  <si>
    <t>7机构不一致</t>
  </si>
  <si>
    <t>5机构不一致</t>
  </si>
  <si>
    <t>businessplan@gsrventures.com</t>
    <phoneticPr fontId="11" type="noConversion"/>
  </si>
  <si>
    <t>华欧创投</t>
    <phoneticPr fontId="11" type="noConversion"/>
  </si>
  <si>
    <t>bpsubmit@hgifinaves.com</t>
    <phoneticPr fontId="11" type="noConversion"/>
  </si>
  <si>
    <t>汉鼎亚太</t>
    <phoneticPr fontId="11" type="noConversion"/>
  </si>
  <si>
    <t>hqbj@hqap.com.cn</t>
    <phoneticPr fontId="11" type="noConversion"/>
  </si>
  <si>
    <t>启峰资金管理有限公司</t>
    <phoneticPr fontId="11" type="noConversion"/>
  </si>
  <si>
    <t>proposals@asiatechgroup.com</t>
    <phoneticPr fontId="11" type="noConversion"/>
  </si>
  <si>
    <t>祥峰投资管理集团</t>
    <phoneticPr fontId="11" type="noConversion"/>
  </si>
  <si>
    <t>cbneo@vertexmgt.com</t>
    <phoneticPr fontId="11" type="noConversion"/>
  </si>
  <si>
    <t>上海联创北京办事处</t>
    <phoneticPr fontId="11" type="noConversion"/>
  </si>
  <si>
    <t>zhiyong@newmargin.com</t>
    <phoneticPr fontId="11" type="noConversion"/>
  </si>
  <si>
    <t>yuanwu@263.net</t>
    <phoneticPr fontId="11" type="noConversion"/>
  </si>
  <si>
    <t>北京中关村青年科技创业投资有限公司</t>
    <phoneticPr fontId="11" type="noConversion"/>
  </si>
  <si>
    <t>bjcvc@bjcvc.com.cn</t>
    <phoneticPr fontId="11" type="noConversion"/>
  </si>
  <si>
    <t>世纪方舟投资有限公司</t>
    <phoneticPr fontId="11" type="noConversion"/>
  </si>
  <si>
    <t>ark@millenniumark.com.cn</t>
    <phoneticPr fontId="11" type="noConversion"/>
  </si>
  <si>
    <t>北京聚宝龙国际投资咨询有限公司</t>
    <phoneticPr fontId="11" type="noConversion"/>
  </si>
  <si>
    <t>pjchina01@jublon.com</t>
    <phoneticPr fontId="11" type="noConversion"/>
  </si>
  <si>
    <t>清华科技创业投资有限公司</t>
    <phoneticPr fontId="11" type="noConversion"/>
  </si>
  <si>
    <t>betty@tsinghuavc.com</t>
    <phoneticPr fontId="11" type="noConversion"/>
  </si>
  <si>
    <t xml:space="preserve"> 84应删除</t>
  </si>
  <si>
    <t>蔡翔</t>
    <phoneticPr fontId="11" type="noConversion"/>
  </si>
  <si>
    <t>教育产业基金</t>
    <phoneticPr fontId="11" type="noConversion"/>
  </si>
  <si>
    <t>CTO兼开放平台事业部总裁</t>
    <phoneticPr fontId="11" type="noConversion"/>
  </si>
  <si>
    <t>黄琰</t>
    <phoneticPr fontId="11" type="noConversion"/>
  </si>
  <si>
    <t>副总裁兼教育产业基金总裁</t>
    <phoneticPr fontId="11" type="noConversion"/>
  </si>
  <si>
    <t>开放平台事业部</t>
  </si>
  <si>
    <t>鑫牛投资</t>
    <phoneticPr fontId="11" type="noConversion"/>
  </si>
  <si>
    <t>ran.wang@ceccapitalgroup.com</t>
    <phoneticPr fontId="11" type="noConversion"/>
  </si>
  <si>
    <t>投资助理</t>
    <phoneticPr fontId="11" type="noConversion"/>
  </si>
  <si>
    <t>sean.song@hinagroup.com</t>
    <phoneticPr fontId="11" type="noConversion"/>
  </si>
  <si>
    <t>宋绍奎</t>
    <phoneticPr fontId="11" type="noConversion"/>
  </si>
  <si>
    <t>suyang_zhang@idgcapital.com</t>
    <phoneticPr fontId="11" type="noConversion"/>
  </si>
  <si>
    <t>光大控股</t>
    <phoneticPr fontId="11" type="noConversion"/>
  </si>
  <si>
    <t>Shuang.Chen@everbright.com</t>
    <phoneticPr fontId="11" type="noConversion"/>
  </si>
  <si>
    <t>shuang.chen@cimc.com</t>
    <phoneticPr fontId="11" type="noConversion"/>
  </si>
  <si>
    <t>中集集团</t>
    <phoneticPr fontId="11" type="noConversion"/>
  </si>
  <si>
    <t>lugang@legendstar.com.cn</t>
    <phoneticPr fontId="11" type="noConversion"/>
  </si>
  <si>
    <t>Fiona(YiFei) Zhang  张一菲</t>
    <phoneticPr fontId="11" type="noConversion"/>
  </si>
  <si>
    <t>fiona.zhang@hinagroup.com</t>
    <phoneticPr fontId="11" type="noConversion"/>
  </si>
  <si>
    <t>险峰</t>
    <phoneticPr fontId="11" type="noConversion"/>
  </si>
  <si>
    <t>keyi@k2vc.com</t>
    <phoneticPr fontId="11" type="noConversion"/>
  </si>
  <si>
    <t>分类</t>
    <phoneticPr fontId="11" type="noConversion"/>
  </si>
  <si>
    <t>个人</t>
    <phoneticPr fontId="11"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</si>
  <si>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1" type="noConversion"/>
  </si>
  <si>
    <t>投资者邮箱</t>
    <phoneticPr fontId="11" type="noConversion"/>
  </si>
  <si>
    <t>ir@k2vc.com</t>
    <phoneticPr fontId="11" type="noConversion"/>
  </si>
  <si>
    <t>商务合作</t>
    <phoneticPr fontId="11" type="noConversion"/>
  </si>
  <si>
    <t>k2vcsev@k2vc.com</t>
    <phoneticPr fontId="11" type="noConversion"/>
  </si>
  <si>
    <t>86 10 85879969</t>
    <phoneticPr fontId="11" type="noConversion"/>
  </si>
  <si>
    <t>http://k2vc.com</t>
  </si>
  <si>
    <t>idgvc@idgcapital.com</t>
    <phoneticPr fontId="11" type="noConversion"/>
  </si>
  <si>
    <r>
      <rPr>
        <sz val="11"/>
        <color rgb="FF000000"/>
        <rFont val="宋体"/>
        <family val="2"/>
        <charset val="134"/>
      </rPr>
      <t>自动</t>
    </r>
    <r>
      <rPr>
        <sz val="11"/>
        <color rgb="FF000000"/>
        <rFont val="Yu Gothic"/>
        <family val="2"/>
        <charset val="128"/>
      </rPr>
      <t>回复</t>
    </r>
    <phoneticPr fontId="11" type="noConversion"/>
  </si>
  <si>
    <t>资本360</t>
    <phoneticPr fontId="11" type="noConversion"/>
  </si>
  <si>
    <t>农天资本</t>
    <phoneticPr fontId="11" type="noConversion"/>
  </si>
  <si>
    <t>软银中国</t>
    <phoneticPr fontId="11" type="noConversion"/>
  </si>
  <si>
    <t>contact@sbcvc.com</t>
    <phoneticPr fontId="11" type="noConversion"/>
  </si>
  <si>
    <t>海纳亚洲</t>
    <phoneticPr fontId="11" type="noConversion"/>
  </si>
  <si>
    <t>info@sig-china.com</t>
    <phoneticPr fontId="11" type="noConversion"/>
  </si>
  <si>
    <t>诚信创投</t>
    <phoneticPr fontId="11" type="noConversion"/>
  </si>
  <si>
    <t>postmaster@chengxinvc.com</t>
    <phoneticPr fontId="11" type="noConversion"/>
  </si>
  <si>
    <r>
      <t>3W</t>
    </r>
    <r>
      <rPr>
        <sz val="11"/>
        <color rgb="FF000000"/>
        <rFont val="Yu Gothic"/>
        <family val="2"/>
        <charset val="128"/>
      </rPr>
      <t>基金</t>
    </r>
    <phoneticPr fontId="11" type="noConversion"/>
  </si>
  <si>
    <t>wilson@3wcoffee.com</t>
    <phoneticPr fontId="11" type="noConversion"/>
  </si>
  <si>
    <t>创新资本</t>
    <phoneticPr fontId="11" type="noConversion"/>
  </si>
  <si>
    <t>master@szvc.com.cn</t>
    <phoneticPr fontId="11" type="noConversion"/>
  </si>
  <si>
    <t>上海天使投资</t>
    <phoneticPr fontId="11" type="noConversion"/>
  </si>
  <si>
    <t>vcangelbp@gmail.com</t>
    <phoneticPr fontId="11" type="noConversion"/>
  </si>
  <si>
    <t>孙文海</t>
    <phoneticPr fontId="11" type="noConversion"/>
  </si>
  <si>
    <t>德丰杰全球创业投资基金</t>
    <phoneticPr fontId="11" type="noConversion"/>
  </si>
  <si>
    <t>高级副总裁</t>
  </si>
  <si>
    <t>alvin@dfj.com</t>
    <phoneticPr fontId="11" type="noConversion"/>
  </si>
  <si>
    <t xml:space="preserve">曹嘉泰 </t>
  </si>
  <si>
    <t>wusy@junsancapitial.com</t>
  </si>
  <si>
    <t>davidling1967@gmail.com</t>
  </si>
  <si>
    <t>陈博思</t>
  </si>
  <si>
    <t>MEHECO</t>
  </si>
  <si>
    <t>chen_bosi@!63.com</t>
  </si>
  <si>
    <t>公司：NTT DoCoMo, Inc.</t>
  </si>
  <si>
    <t>负责人：佐野升</t>
  </si>
  <si>
    <t>网址：  http://www.nttdocomo.com/</t>
  </si>
  <si>
    <t>邮箱：chinainfo@nttdocomo.com.cn</t>
  </si>
  <si>
    <t>公司：德意志银行股份有限公司</t>
  </si>
  <si>
    <t>负责人：</t>
  </si>
  <si>
    <t>网址：  http://www.db.com</t>
  </si>
  <si>
    <t>邮箱：hqapsh@hqapsh.com</t>
  </si>
  <si>
    <t>电话：+86-21-68878080</t>
  </si>
  <si>
    <t>传真：+86-21-68878011</t>
  </si>
  <si>
    <t>英特尔公司</t>
  </si>
  <si>
    <t>网址：http://www.intel.com/cd/corporate/home/apac/zho/347426.htm</t>
  </si>
  <si>
    <t>邮件：intel.capital.proposals@intel.com</t>
  </si>
  <si>
    <t>公司：工银国际控股有限公司</t>
  </si>
  <si>
    <t>网址： http://www.icbci.com.hk/home/zh/</t>
  </si>
  <si>
    <t>邮箱：enquiry@icbci.com.hk</t>
  </si>
  <si>
    <t>电话：+852-26833888</t>
  </si>
  <si>
    <t>传真：+852-26833900</t>
  </si>
  <si>
    <t>公司：基石创投</t>
  </si>
  <si>
    <t>负责人：邹林林(合伙人)</t>
  </si>
  <si>
    <t>网址： http://www.keystonevc.com.cn</t>
  </si>
  <si>
    <t>邮箱：business@keystonevc.com.cn (不是邹的邮箱)</t>
  </si>
  <si>
    <t>电话：+86-21-61943999</t>
  </si>
  <si>
    <t>传真：+86-21-51687997</t>
  </si>
  <si>
    <t>公司：李嘉诚基金会有限公司</t>
  </si>
  <si>
    <t>网址： http://www.lksf.org</t>
  </si>
  <si>
    <t>邮箱：general@lksf.org</t>
  </si>
  <si>
    <t>公司：联想投资有限公司</t>
  </si>
  <si>
    <t>负责人：隋梅</t>
  </si>
  <si>
    <t>网址：http://www.legendcapital.com.cn</t>
  </si>
  <si>
    <t>邮箱：master@legendcapital.com.cn</t>
  </si>
  <si>
    <t>电话：+86-10-62508000</t>
  </si>
  <si>
    <t>传真：+86-10-62509100</t>
  </si>
  <si>
    <t>公司：IDG资本(北京)</t>
  </si>
  <si>
    <t>网址： http://www.idgvc.com</t>
  </si>
  <si>
    <t>邮箱：idgvc@idgvc.com.cn</t>
  </si>
  <si>
    <t>电话：+86-10-65262400</t>
  </si>
  <si>
    <t>传真：+86-10-65260700</t>
  </si>
  <si>
    <t>公司：华兴资本</t>
  </si>
  <si>
    <t>网址： http://www.chinarenaissance.com</t>
  </si>
  <si>
    <t>邮箱：info@chinarenaissance.com</t>
  </si>
  <si>
    <t>电话：+86-10-58700011</t>
  </si>
  <si>
    <t>传真：+86-10-58700660</t>
  </si>
  <si>
    <t>公司：北京软银赛富投资顾问有限公司</t>
  </si>
  <si>
    <t>网址： http://www.sbaif.com</t>
  </si>
  <si>
    <t>邮箱：info@sbaif.com</t>
  </si>
  <si>
    <t>电话：+86-10-65630202</t>
  </si>
  <si>
    <t>传真：+86-10-65630252</t>
  </si>
  <si>
    <t>公司：鼎晖投资</t>
  </si>
  <si>
    <t>负责人：焦震</t>
  </si>
  <si>
    <t>网址： http://www.cdhfund.com/</t>
  </si>
  <si>
    <t>邮箱：jiaozhen@cdhfund.com</t>
  </si>
  <si>
    <t>电话：+86-10-65818388</t>
  </si>
  <si>
    <t>传真：+86-10-65819969</t>
  </si>
  <si>
    <t>公司：乾龙创投</t>
  </si>
  <si>
    <t>负责人：查立</t>
  </si>
  <si>
    <t>网址： http://www.dragonvestpartners.com.cn/</t>
  </si>
  <si>
    <t>邮箱：chali@dragonvestpartners.com</t>
  </si>
  <si>
    <t>电话：+86-21-61423234</t>
  </si>
  <si>
    <t>传真：+86-21-61423239</t>
  </si>
  <si>
    <t>公司：</t>
  </si>
  <si>
    <t>网址：</t>
  </si>
  <si>
    <t>邮箱：</t>
  </si>
  <si>
    <t>电话：</t>
  </si>
  <si>
    <t>传真：</t>
  </si>
  <si>
    <t>成妙绮</t>
  </si>
  <si>
    <t>中关村科学院南路2号融科咨讯中心</t>
  </si>
  <si>
    <t>商务手机:13701207100</t>
  </si>
  <si>
    <t>商务电话:010-62508000</t>
  </si>
  <si>
    <t>商务EMAIL:chengmq@legendcapital.com.cn</t>
  </si>
  <si>
    <t>何昊</t>
  </si>
  <si>
    <t>投资部</t>
  </si>
  <si>
    <t>广州珠江新城华普广场东塔2702</t>
  </si>
  <si>
    <t>商务手机:13352819680</t>
  </si>
  <si>
    <t>商务电话:020-38295116-802</t>
  </si>
  <si>
    <t>商务EMAIL:hao_he@idgvc.com</t>
  </si>
  <si>
    <t>商务传真:020-38295139</t>
  </si>
  <si>
    <t>VC联络方式大公开2006年10月17日 13:10姓名： 计越</t>
  </si>
  <si>
    <t>性别： 男</t>
  </si>
  <si>
    <t>公司： 红杉资本中国基金</t>
  </si>
  <si>
    <t>职位： 副总裁</t>
  </si>
  <si>
    <t>电话： 010-84475668</t>
  </si>
  <si>
    <t>手机： 13501943278</t>
  </si>
  <si>
    <t>Email： sji@sequoiacap.com</t>
  </si>
  <si>
    <t>姓名： 徐新</t>
  </si>
  <si>
    <t>性别： 女</t>
  </si>
  <si>
    <t>公司： 今日资本</t>
  </si>
  <si>
    <t>职位： 总裁</t>
  </si>
  <si>
    <t>电话： 852-28685526</t>
  </si>
  <si>
    <t>手机： 852-93287839</t>
  </si>
  <si>
    <t>Email： kathyxu@capitaltoday.com----邮件地址错误？</t>
  </si>
  <si>
    <t>姓名： 郑爱民</t>
  </si>
  <si>
    <t>公司： 软银中国创业投资有限公司</t>
  </si>
  <si>
    <t>电话： 52400718</t>
  </si>
  <si>
    <t>手机： 13701973472</t>
  </si>
  <si>
    <t>Email： ayeh@sbcvc.com</t>
  </si>
  <si>
    <t>姓名： 孙文海</t>
  </si>
  <si>
    <t>公司： 德丰杰全球创业投资基金</t>
  </si>
  <si>
    <t>职位： 高级副总裁</t>
  </si>
  <si>
    <t>电话： 02152929911</t>
  </si>
  <si>
    <t>手机： 13911120217</t>
  </si>
  <si>
    <t>Email： alvin@dfj.com</t>
  </si>
  <si>
    <t>姓名： 刘琳</t>
  </si>
  <si>
    <t>公司： 北京汉风国际传媒投资有限公司</t>
  </si>
  <si>
    <t>职位： 董事长助理</t>
  </si>
  <si>
    <t>电话： 01085187022转8801</t>
  </si>
  <si>
    <t>手机： 13910280725</t>
  </si>
  <si>
    <t>Email： liulin@handia.com.cn</t>
  </si>
  <si>
    <t>姓名： 梁热</t>
  </si>
  <si>
    <t>公司： 美国中经合集团</t>
  </si>
  <si>
    <t>职位： 分析师</t>
  </si>
  <si>
    <t>电话： 01065391366转822</t>
  </si>
  <si>
    <t>手机： 13911265195</t>
  </si>
  <si>
    <t>Email： re.liang@wiharper.com.cn</t>
  </si>
  <si>
    <t>姓名： 王青云</t>
  </si>
  <si>
    <t>职位： 投资经理</t>
  </si>
  <si>
    <t>电话： 01065391366转810</t>
  </si>
  <si>
    <t>手机： 13501068973</t>
  </si>
  <si>
    <t>Email： marc.wang@wiharper.com.cn</t>
  </si>
  <si>
    <t>姓名： 魏平</t>
  </si>
  <si>
    <t>电话： 01065391366</t>
  </si>
  <si>
    <t>手机： 13910838661</t>
  </si>
  <si>
    <t>Email： ping.wei@wiharper.com.cn</t>
  </si>
  <si>
    <t>姓名： 谢娜</t>
  </si>
  <si>
    <t>电话： 01084475668</t>
  </si>
  <si>
    <t>手机： 13901108145</t>
  </si>
  <si>
    <t>Email： xie@sequoiacap.com</t>
  </si>
  <si>
    <t>姓名： 徐哲</t>
  </si>
  <si>
    <t>公司： 北京软银赛富投资顾问有限公司</t>
  </si>
  <si>
    <t>电话： 01085192025</t>
  </si>
  <si>
    <t>手机： 13601224670</t>
  </si>
  <si>
    <t>Email： exu@sbaif.com</t>
  </si>
  <si>
    <t>姓名： 鲁庆丰</t>
  </si>
  <si>
    <t>公司： 信中利投资咨询有限公司</t>
  </si>
  <si>
    <t>职位： 分析员</t>
  </si>
  <si>
    <t>电话： 01065056280</t>
  </si>
  <si>
    <t>手机： 13366861631</t>
  </si>
  <si>
    <t>Email： lqf@chinaequity.net</t>
  </si>
  <si>
    <t>姓名： 曹嬿</t>
  </si>
  <si>
    <t>公司： 中科招商投资（基金）管理公司</t>
  </si>
  <si>
    <t>职位： 投资管理总监</t>
  </si>
  <si>
    <t>电话： 01082252360</t>
  </si>
  <si>
    <t>手机： 13301217798</t>
  </si>
  <si>
    <t>Email： yanC@leadvc.com</t>
  </si>
  <si>
    <t>姓名： 李宏玮</t>
  </si>
  <si>
    <t>公司： 寰慧投资 GGV</t>
  </si>
  <si>
    <t>职位： 执行董事</t>
  </si>
  <si>
    <t>电话： 02154047882</t>
  </si>
  <si>
    <t>手机： 13818972862</t>
  </si>
  <si>
    <t>Email： jlee@ggvc.com</t>
  </si>
  <si>
    <t>姓名： 高申</t>
  </si>
  <si>
    <t>公司： 上海联创投资管理有限公司</t>
  </si>
  <si>
    <t>电话： 01084022999</t>
  </si>
  <si>
    <t>手机： 13501170969</t>
  </si>
  <si>
    <t>Email： gaoshen@newmargin.com</t>
  </si>
  <si>
    <t>姓名： 杨飞</t>
  </si>
  <si>
    <t>公司： IDG技术创业投资基金</t>
  </si>
  <si>
    <t>电话： 65262400</t>
  </si>
  <si>
    <t>Email： fei_yang@idgvc.com.cn</t>
  </si>
  <si>
    <t>姓名： 周志雄</t>
  </si>
  <si>
    <t>公司： 软银赛富亚洲投资基金</t>
  </si>
  <si>
    <t>职位： 合伙人</t>
  </si>
  <si>
    <t>电话： 85192021/49</t>
  </si>
  <si>
    <t>手机： 13901108948</t>
  </si>
  <si>
    <t>Email： jzhou@sbaif.com</t>
  </si>
  <si>
    <t>姓名： 陈友忠</t>
  </si>
  <si>
    <t>公司： 智基创投股份有限公司</t>
  </si>
  <si>
    <t>职位： 总经理</t>
  </si>
  <si>
    <t>电话： 021-63868708转20</t>
  </si>
  <si>
    <t>手机： 13501961458</t>
  </si>
  <si>
    <t>Email： yorkchen@idtechventures.com.cn</t>
  </si>
  <si>
    <t>姓名： 潘晓峰</t>
  </si>
  <si>
    <t>公司： 金沙江创业投资基金</t>
  </si>
  <si>
    <t>职位： 基金合伙人</t>
  </si>
  <si>
    <t>电话： 82358811</t>
  </si>
  <si>
    <t>手机： 13601085616</t>
  </si>
  <si>
    <t>Email： Alex@GSRventures.com</t>
  </si>
  <si>
    <t>姓名： 王钧</t>
  </si>
  <si>
    <t>公司： 启峰资金管理有限公司</t>
  </si>
  <si>
    <t>电话： 010-65052368/78/88</t>
  </si>
  <si>
    <t>Email： jwang@asiatechgrop.com</t>
  </si>
  <si>
    <t>姓名： 刘二海</t>
  </si>
  <si>
    <t>公司： 联想投资有限公司</t>
  </si>
  <si>
    <t>电话： 01062509142</t>
  </si>
  <si>
    <t>手机： 13901368944</t>
  </si>
  <si>
    <t>Email： liueh@legendcapital.com.cn</t>
  </si>
  <si>
    <t>姓名： 胡乃蝶</t>
  </si>
  <si>
    <t>公司： 欧洲高宝集团</t>
  </si>
  <si>
    <t>职位： 金融顾问</t>
  </si>
  <si>
    <t>电话： 01085185215</t>
  </si>
  <si>
    <t>Email： ned.fox@global.cn</t>
  </si>
  <si>
    <t>姓名： 张航</t>
  </si>
  <si>
    <t>职位： 助理项目经理</t>
  </si>
  <si>
    <t>Email： hang.zhang@global.cn</t>
  </si>
  <si>
    <t>姓名： 盛甫鑫</t>
  </si>
  <si>
    <t>职位： 中国区项目经理</t>
  </si>
  <si>
    <t>Email： fuxin.sheng@global.cn</t>
  </si>
  <si>
    <t>姓名： 朴俊红</t>
  </si>
  <si>
    <t>公司： 鼎晖投资</t>
  </si>
  <si>
    <t>职位： 合伙人、总经理助理</t>
  </si>
  <si>
    <t>电话： 01065818388转360</t>
  </si>
  <si>
    <t>手机： 13911328670</t>
  </si>
  <si>
    <t>Email： nancypark@cdhfund.com</t>
  </si>
  <si>
    <t>姓名： 柳井 宇志</t>
  </si>
  <si>
    <t>公司： 戈壁合伙人有限公司</t>
  </si>
  <si>
    <t>电话： 02152929729</t>
  </si>
  <si>
    <t>手机： 13816502942</t>
  </si>
  <si>
    <t>Email： yanai@gobivc.com</t>
  </si>
  <si>
    <t>姓名： 汪潮涌</t>
  </si>
  <si>
    <t>公司： 信中利投资集团公司</t>
  </si>
  <si>
    <t>电话： 10-65056280</t>
  </si>
  <si>
    <t>姓名： 陈浩</t>
  </si>
  <si>
    <t>电话： 86-10-62508000</t>
  </si>
  <si>
    <t>姓名： 周全</t>
  </si>
  <si>
    <t>电话： 86-10-65262400</t>
  </si>
  <si>
    <t>姓名： 马启元</t>
  </si>
  <si>
    <t>公司： 时代投资</t>
  </si>
  <si>
    <t>职位： 董事长</t>
  </si>
  <si>
    <t>电话： 2150803282</t>
  </si>
  <si>
    <t>Email： qyma@time-iv.com</t>
  </si>
  <si>
    <t>姓名： 陈立辉</t>
  </si>
  <si>
    <t>公司： GREENBRIDGE CAPITAL</t>
  </si>
  <si>
    <t>电话： 85891018</t>
  </si>
  <si>
    <t>手机： 13701266660</t>
  </si>
  <si>
    <t>姓名： 梁英杰</t>
  </si>
  <si>
    <t>公司： 汇丰</t>
  </si>
  <si>
    <t>职位： 投资董事</t>
  </si>
  <si>
    <t>电话： 085228457688</t>
  </si>
  <si>
    <t>手机： 28418320</t>
  </si>
  <si>
    <t>Email： victorleung@hsbc.com.hk</t>
  </si>
  <si>
    <t>姓名： 张鲤鳗</t>
  </si>
  <si>
    <t>公司： 环球新产业投资有限公司</t>
  </si>
  <si>
    <t>职位： 北京代表处</t>
  </si>
  <si>
    <t>电话： 01085892495-201</t>
  </si>
  <si>
    <t>手机： 13717905583</t>
  </si>
  <si>
    <t>Email： nrlt@ni-vc.com</t>
  </si>
  <si>
    <t>姓名： 黄天来</t>
  </si>
  <si>
    <t>性别：</t>
  </si>
  <si>
    <t>公司： 橡子园创业投资管理</t>
  </si>
  <si>
    <t>部门：</t>
  </si>
  <si>
    <t>电话： 2150806686</t>
  </si>
  <si>
    <t>手机： 13817826928</t>
  </si>
  <si>
    <t>Email： thwang@acorncampus.com</t>
  </si>
  <si>
    <t>姓名： 奕奕</t>
  </si>
  <si>
    <t>公司： 北京德业投资</t>
  </si>
  <si>
    <t>电话： 62978195</t>
  </si>
  <si>
    <t>手机： 13601223291</t>
  </si>
  <si>
    <t>Email： lucyluan@rogers.com</t>
  </si>
  <si>
    <t>姓名： 胡航</t>
  </si>
  <si>
    <t>公司： 北京华安信合投资咨询</t>
  </si>
  <si>
    <t>电话： 01065156571</t>
  </si>
  <si>
    <t>手机： 13901382009</t>
  </si>
  <si>
    <t>Email： harry@hdconsulting.com.cn</t>
  </si>
  <si>
    <t>姓名： 谢勇</t>
  </si>
  <si>
    <t>公司： 中科招商投资基金</t>
  </si>
  <si>
    <t>电话： 82252306</t>
  </si>
  <si>
    <t>手机： 13911339905</t>
  </si>
  <si>
    <t>Email： xiey@leadvc.com</t>
  </si>
  <si>
    <t>姓名： 胡均</t>
  </si>
  <si>
    <t>公司： 四川时代鑫行投资顾问</t>
  </si>
  <si>
    <t>电话： 02866001239</t>
  </si>
  <si>
    <t>手机： 13808236319</t>
  </si>
  <si>
    <t>姓名： 王景红</t>
  </si>
  <si>
    <t>公司： Sopae Group</t>
  </si>
  <si>
    <t>电话： 02162883916</t>
  </si>
  <si>
    <t>手机： 13901957159</t>
  </si>
  <si>
    <t>Email： jwang@sopafgroup.it</t>
  </si>
  <si>
    <t>姓名： 陈玮</t>
  </si>
  <si>
    <t>公司： 深圳创业投资</t>
  </si>
  <si>
    <t>电话： 0775-82912888</t>
  </si>
  <si>
    <t>Email： wchen@szvc.com.cn</t>
  </si>
  <si>
    <t>姓名： 赵薇</t>
  </si>
  <si>
    <t>公司： 美国第一联邦集团</t>
  </si>
  <si>
    <t>电话： 024-22505325</t>
  </si>
  <si>
    <t>手机： 13904204146</t>
  </si>
  <si>
    <t>Email： sy@ffgci.com.cn</t>
  </si>
  <si>
    <t>姓名： 黄佩华</t>
  </si>
  <si>
    <t>公司： 宝慧投资</t>
  </si>
  <si>
    <t>电话： 02154049855</t>
  </si>
  <si>
    <t>手机： 13816136383</t>
  </si>
  <si>
    <t>Email： hwong@ggvc.com</t>
  </si>
  <si>
    <t>姓名： 朱韦</t>
  </si>
  <si>
    <t>电话： 85891019</t>
  </si>
  <si>
    <t>手机： 13911805107</t>
  </si>
  <si>
    <t>Email： robin@gbpartner.com</t>
  </si>
  <si>
    <t>姓名： 海洋</t>
  </si>
  <si>
    <t>公司： 鼎晖创业投资</t>
  </si>
  <si>
    <t>电话： 65818388-327</t>
  </si>
  <si>
    <t>Email： haiyang@cdhfund.com</t>
  </si>
  <si>
    <t>姓名： 麦世泽</t>
  </si>
  <si>
    <t>公司： 华登投资</t>
  </si>
  <si>
    <t>电话： +852-9035 3713 +86-139 1021 9562</t>
  </si>
  <si>
    <t>Email： scmak1@gmail.com</t>
  </si>
  <si>
    <t>姓名： 刘莹</t>
  </si>
  <si>
    <t>公司： 投中投咨询公司</t>
  </si>
  <si>
    <t>电话： 85892273-11</t>
  </si>
  <si>
    <t>手机： 13141288136</t>
  </si>
  <si>
    <t>Email： eva@chinaventure.com.cn</t>
  </si>
  <si>
    <t>姓名： 钟小平</t>
  </si>
  <si>
    <t>公司： 美国亿威斯国际投资有限公司</t>
  </si>
  <si>
    <t>电话： 64961596</t>
  </si>
  <si>
    <t>手机： 13911885333</t>
  </si>
  <si>
    <t>Email： zxp008@sina.com</t>
  </si>
  <si>
    <t>姓名： 宋岩</t>
  </si>
  <si>
    <t>公司： 美国华尔街投资银行雷曼投资</t>
  </si>
  <si>
    <t>手机： 139011177984</t>
  </si>
  <si>
    <t>Email： yan.song@lehman.com</t>
  </si>
  <si>
    <t>姓名： 赵贵麟</t>
  </si>
  <si>
    <t>公司： 北京中资大有投资有限公司</t>
  </si>
  <si>
    <t>电话： 63262612</t>
  </si>
  <si>
    <t>手机： 13901195680</t>
  </si>
  <si>
    <t>Email： zhaobin01@vip.sina.com</t>
  </si>
  <si>
    <t>姓名： 于素丽</t>
  </si>
  <si>
    <t>公司： 伟豪投资有限公司</t>
  </si>
  <si>
    <t>电话： 68948909</t>
  </si>
  <si>
    <t>手机： 13911818398</t>
  </si>
  <si>
    <t>Email： yusuli@sohu.com</t>
  </si>
  <si>
    <t>姓名： 彭彦利</t>
  </si>
  <si>
    <t>公司： 博德产权集团公司</t>
  </si>
  <si>
    <t>电话： 51261816-8819</t>
  </si>
  <si>
    <t>手机： 13521686422</t>
  </si>
  <si>
    <t>Email： bode_pyl@sina.com</t>
  </si>
  <si>
    <t>姓名： 元野</t>
  </si>
  <si>
    <t>公司： 联创策源</t>
  </si>
  <si>
    <t>手机： 13718581818</t>
  </si>
  <si>
    <t>Email： ye@ceyuanvc.com</t>
  </si>
  <si>
    <t>姓名： 汪剑飞</t>
  </si>
  <si>
    <t>职位： 投资助理</t>
  </si>
  <si>
    <t>电话： 01062509109</t>
  </si>
  <si>
    <t>手机： 13501258077</t>
  </si>
  <si>
    <t>姓名： 殷轩</t>
  </si>
  <si>
    <t>公司： 北京八景投资有限公司</t>
  </si>
  <si>
    <t>职位： 总裁秘书</t>
  </si>
  <si>
    <t>电话： 010－64465771、72</t>
  </si>
  <si>
    <t>手机： 13366277054</t>
  </si>
  <si>
    <t>姓名： 钟博义</t>
  </si>
  <si>
    <t>公司： 冠誉创业投资管理（深圳）有限公司</t>
  </si>
  <si>
    <t>电话： 0755-82876572</t>
  </si>
  <si>
    <t>手机： 13502815235</t>
  </si>
  <si>
    <t>Email： boyd@itechvc.com</t>
  </si>
  <si>
    <t>姓名： 李世宏</t>
  </si>
  <si>
    <t>公司： 网路家庭投资顾问股份有限公司</t>
  </si>
  <si>
    <t>职位： 执行副总裁</t>
  </si>
  <si>
    <t>电话： (02)25178811-808</t>
  </si>
  <si>
    <t>姓名： 张鸽</t>
  </si>
  <si>
    <t>公司： 西门子通信投资公司</t>
  </si>
  <si>
    <t>职位： 亚太区投资合伙人</t>
  </si>
  <si>
    <t>电话： 010-64721888转8828</t>
  </si>
  <si>
    <t>Email： zhang@siemens.com</t>
  </si>
  <si>
    <t>姓名： 王刚</t>
  </si>
  <si>
    <t>公司： 法国NBP亚洲投资基金</t>
  </si>
  <si>
    <t>职位： 董事、中国区首席代表</t>
  </si>
  <si>
    <t>电话： 021-62171862</t>
  </si>
  <si>
    <t>手机： 13585858089</t>
  </si>
  <si>
    <t>Email： gang_kevin_wang@yahoo.com</t>
  </si>
  <si>
    <t>姓名： 贺祖泽</t>
  </si>
  <si>
    <t>公司： 丰梁（上海）投资管理有限公司</t>
  </si>
  <si>
    <t>职位： 董事总经理</t>
  </si>
  <si>
    <t>电话： 021-62104809</t>
  </si>
  <si>
    <t>手机： 13120667638</t>
  </si>
  <si>
    <t>Email： davidaia@tom.com</t>
  </si>
  <si>
    <t>姓名： 刘激扬</t>
  </si>
  <si>
    <t>公司： 赛富成长（天津）创业投资管理有限公司</t>
  </si>
  <si>
    <t>电话： 022-28408552</t>
  </si>
  <si>
    <t>手机： 13352082180</t>
  </si>
  <si>
    <t>Email： jliu@sbaif.com</t>
  </si>
  <si>
    <t>姓名： 高未</t>
  </si>
  <si>
    <t>职位： 执行经理</t>
  </si>
  <si>
    <t>电话： 010-85192043</t>
  </si>
  <si>
    <t>手机： 13910390588</t>
  </si>
  <si>
    <t>Email： sgao@sbaif.com</t>
  </si>
  <si>
    <t>姓名： 李佳</t>
  </si>
  <si>
    <t>职位： 投资分析师</t>
  </si>
  <si>
    <t>电话： 010-85192046</t>
  </si>
  <si>
    <t>手机： 13601264056</t>
  </si>
  <si>
    <t>Email： jli@sbaif.com</t>
  </si>
  <si>
    <t>姓名： 徐婧</t>
  </si>
  <si>
    <t>职位： 执行助理</t>
  </si>
  <si>
    <t>电话： 010-85192041</t>
  </si>
  <si>
    <t>手机： 13910691211</t>
  </si>
  <si>
    <t>Email： jxu@sbaif.com</t>
  </si>
  <si>
    <t>姓名： 赵延超</t>
  </si>
  <si>
    <t>电话： 010-85192062</t>
  </si>
  <si>
    <t>手机： 13910820663</t>
  </si>
  <si>
    <t>Email： yzhao@sbaif.com</t>
  </si>
  <si>
    <t>姓名： 赵钧</t>
  </si>
  <si>
    <t>职位： 分析师—项目管理</t>
  </si>
  <si>
    <t>电话： 010-85192042</t>
  </si>
  <si>
    <t>手机： 13601386773</t>
  </si>
  <si>
    <t>Email： fzhao@sbaif.com</t>
  </si>
  <si>
    <t>姓名： 羊东</t>
  </si>
  <si>
    <t>电话： 010-85192022</t>
  </si>
  <si>
    <t>Email： dyang@sbaif.com</t>
  </si>
  <si>
    <t>姓名： 张帆</t>
  </si>
  <si>
    <t>职位： 创始合伙人</t>
  </si>
  <si>
    <t>Email： zhang@sequoiacap.com</t>
  </si>
  <si>
    <t>姓名： 桂曙光</t>
  </si>
  <si>
    <t>公司： 北京清科创业投资顾问有限公司</t>
  </si>
  <si>
    <t>职位： 高级项目经理</t>
  </si>
  <si>
    <t>电话： 010-68717047转8011</t>
  </si>
  <si>
    <t>手机： 13501031402</t>
  </si>
  <si>
    <t>Email： guishg@zero2ipo.com.cn</t>
  </si>
  <si>
    <t>姓名： 王利朋</t>
  </si>
  <si>
    <t>职位： 项目经理</t>
  </si>
  <si>
    <t>电话： 010-68717047转8024</t>
  </si>
  <si>
    <t>手机： 13811464099</t>
  </si>
  <si>
    <t>Email： wanglp@zero2ipo.com.cn</t>
  </si>
  <si>
    <t>姓名： 王功权</t>
  </si>
  <si>
    <t>职位： 合伙人总经理</t>
  </si>
  <si>
    <t>电话： 010-65818388转357</t>
  </si>
  <si>
    <t>Email： wanggq@cdhfund.com</t>
  </si>
  <si>
    <t>姓名： 康中迈</t>
  </si>
  <si>
    <t>公司： 北京清科信息咨询有限公司</t>
  </si>
  <si>
    <t>职位： 总监</t>
  </si>
  <si>
    <t>电话： 010-68717155/56</t>
  </si>
  <si>
    <t>手机： 13522857746</t>
  </si>
  <si>
    <t>Email： kangzhm@zero2ipo.com.cn</t>
  </si>
  <si>
    <t>姓名： 章苏杨</t>
  </si>
  <si>
    <t>公司： 上海太平洋技术创业有限公司</t>
  </si>
  <si>
    <t>电话： 021-62375408</t>
  </si>
  <si>
    <t>手机： 62375409-12</t>
  </si>
  <si>
    <t>Email： suyang_zhang@idgvc.com.cn</t>
  </si>
  <si>
    <t>电话： 021-63868708-20</t>
  </si>
  <si>
    <t>姓名： 张仲</t>
  </si>
  <si>
    <t>公司： 英特尔有限公司</t>
  </si>
  <si>
    <t>电话： (852)28444565</t>
  </si>
  <si>
    <t>手机： (852)94319469</t>
  </si>
  <si>
    <t>Email： cadol.cheung@intel.com</t>
  </si>
  <si>
    <t>姓名： 何启动</t>
  </si>
  <si>
    <t>公司： 智基创投管理顾问股份有限公司</t>
  </si>
  <si>
    <t>职位： 资深投资经理</t>
  </si>
  <si>
    <t>电话： 02-35183915</t>
  </si>
  <si>
    <t>手机： 0928-258901</t>
  </si>
  <si>
    <t>Email： LesterHo@idtechventures.com.tw</t>
  </si>
  <si>
    <t>姓名： 李咪咪</t>
  </si>
  <si>
    <t>公司： 英特尔（中国）有限公司</t>
  </si>
  <si>
    <t>职位： 亚洲区市场经理</t>
  </si>
  <si>
    <t>电话： 010-85298800-1520</t>
  </si>
  <si>
    <t>手机： 13910899310</t>
  </si>
  <si>
    <t>Email： mimi.li@intel.com</t>
  </si>
  <si>
    <t>姓名： 叶冠泰</t>
  </si>
  <si>
    <t>职位： 联席总监</t>
  </si>
  <si>
    <t>电话： 021-52574545-1962</t>
  </si>
  <si>
    <t>手机： 13817876930</t>
  </si>
  <si>
    <t>Email： kuantai.yeh@intel.com</t>
  </si>
  <si>
    <t>姓名： 林坤铭</t>
  </si>
  <si>
    <t>公司： 坤基创业投资股份有限公司</t>
  </si>
  <si>
    <t>电话： 02-27022870</t>
  </si>
  <si>
    <t>姓名： 杨敏</t>
  </si>
  <si>
    <t>手机： 13910003371</t>
  </si>
  <si>
    <t>Email： yangm@zero2ipo.com.cn</t>
  </si>
  <si>
    <t>姓名： 倪彬</t>
  </si>
  <si>
    <t>公司： 环球银行业务（花旗环球金融亚洲有限公司）</t>
  </si>
  <si>
    <t>电话： 852-25012810</t>
  </si>
  <si>
    <t>手机： 852-90284260</t>
  </si>
  <si>
    <t>Email： ben.ngai@citigroup.com</t>
  </si>
  <si>
    <t>姓名： 吴建民</t>
  </si>
  <si>
    <t>公司： 亚洲药业投资有限公司</t>
  </si>
  <si>
    <t>职位： 投资部经理</t>
  </si>
  <si>
    <t>电话： 021-62376350/51</t>
  </si>
  <si>
    <t>手机： 13817727091</t>
  </si>
  <si>
    <t>Email： wujm@asiapharm.biz</t>
  </si>
  <si>
    <t>姓名： 朱滔</t>
  </si>
  <si>
    <t>公司： 高能投资有限公司</t>
  </si>
  <si>
    <t>职位： 高级经理</t>
  </si>
  <si>
    <t>电话： 0592-2682688-26</t>
  </si>
  <si>
    <t>手机： 13606012260</t>
  </si>
  <si>
    <t>Email： zhutao@0101go.com</t>
  </si>
  <si>
    <t>姓名： 周新乾</t>
  </si>
  <si>
    <t>公司： 深霖国际控股（集团）有限公司</t>
  </si>
  <si>
    <t>电话： 85229712899</t>
  </si>
  <si>
    <t>手机： 13916229222</t>
  </si>
  <si>
    <t>Email： xqz@shenlingroup.com</t>
  </si>
  <si>
    <t>姓名： 朱怡平</t>
  </si>
  <si>
    <t>公司： 龙桥投资</t>
  </si>
  <si>
    <t>手机： 13331889399</t>
  </si>
  <si>
    <t>Email： yiping@dragonbridgecapital.com</t>
  </si>
  <si>
    <t>姓名： 张晨为</t>
  </si>
  <si>
    <t>公司： 杰富瑞美国投资银行</t>
  </si>
  <si>
    <t>手机： 13918306556</t>
  </si>
  <si>
    <t>Email： whopeman@jefferies.com</t>
  </si>
  <si>
    <t>姓名： 史煜</t>
  </si>
  <si>
    <t>公司： 宏基技术投资亚太有限公司</t>
  </si>
  <si>
    <t>职位： 投资副总</t>
  </si>
  <si>
    <t>电话： 021-63868708-15</t>
  </si>
  <si>
    <t>手机： 13817896997</t>
  </si>
  <si>
    <t>Email： BarryChung@idtechventures.com.tw</t>
  </si>
  <si>
    <t>姓名： 梁晓刚</t>
  </si>
  <si>
    <t>电话： 02-35183917</t>
  </si>
  <si>
    <t>手机： 0911-450256</t>
  </si>
  <si>
    <t>Email： EdwardLeung@idtechventures.com.tw</t>
  </si>
  <si>
    <t>姓名： 张秋煌</t>
  </si>
  <si>
    <t>电话： 35183901</t>
  </si>
  <si>
    <t>手机： 0932-385920</t>
  </si>
  <si>
    <t>Email： Richardchang@idtechventures.com.tw</t>
  </si>
  <si>
    <t>姓名： 周宏斌</t>
  </si>
  <si>
    <t>电话： 010-62509109 021-538</t>
  </si>
  <si>
    <t>手机： 13601873755</t>
  </si>
  <si>
    <t>Email： zhouhb@legendcapital.com.cn</t>
  </si>
  <si>
    <t>姓名： 朱方</t>
  </si>
  <si>
    <t>公司： 深圳清华力合创业投资有限公司</t>
  </si>
  <si>
    <t>电话： 0755-26711968</t>
  </si>
  <si>
    <t>手机： 13332955380</t>
  </si>
  <si>
    <t>Email： zhuf@tsinghua-sz.edu.cn</t>
  </si>
  <si>
    <t>姓名： 江善颂</t>
  </si>
  <si>
    <t>公司： 华登太平洋创业投资管理有限公司上海代表处</t>
  </si>
  <si>
    <t>电话： 021-62798201</t>
  </si>
  <si>
    <t>手机： 13917388339</t>
  </si>
  <si>
    <t>Email： bchiang@waldenintl.com</t>
  </si>
  <si>
    <t>姓名： 陈石</t>
  </si>
  <si>
    <t>职位： 首席运营官</t>
  </si>
  <si>
    <t>电话： 0592-2682688-36</t>
  </si>
  <si>
    <t>手机： 13950133110</t>
  </si>
  <si>
    <t>MSN： 133110@sina.com</t>
  </si>
  <si>
    <t>姓名： 沈南鹏</t>
  </si>
  <si>
    <t>手机： 852-25015241</t>
  </si>
  <si>
    <t>Email： shen@sequoiacap.com</t>
  </si>
  <si>
    <t>姓名： 李夏</t>
  </si>
  <si>
    <t>公司： 深圳市创新投资集团有限公司</t>
  </si>
  <si>
    <t>职位： 研究策划总部-副部长、博士后工作站-办公室主任</t>
  </si>
  <si>
    <t>电话： 0755-82912582</t>
  </si>
  <si>
    <t>手机： 13500055668</t>
  </si>
  <si>
    <t>Email： xli@szvc.com,cn</t>
  </si>
  <si>
    <t>姓名： 王忠</t>
  </si>
  <si>
    <t>公司： 江苏省苏高新风险投资股份有限公司</t>
  </si>
  <si>
    <t>职位： 财务总监、董事会秘书</t>
  </si>
  <si>
    <t>电话： 0512-68244179</t>
  </si>
  <si>
    <t>手机： 13506219525</t>
  </si>
  <si>
    <t>Email： wang.z@c-snd.com</t>
  </si>
  <si>
    <t>姓名： 林岳志</t>
  </si>
  <si>
    <t>职位： 投资总监</t>
  </si>
  <si>
    <t>电话： 0933-858976</t>
  </si>
  <si>
    <t>手机： 13161562578</t>
  </si>
  <si>
    <t>Email： york@staff.pchome.com.tw</t>
  </si>
  <si>
    <t>姓名： 陈立武</t>
  </si>
  <si>
    <t>公司： 华登国际投资集团</t>
  </si>
  <si>
    <t>电话： (415)7657100 (650)3</t>
  </si>
  <si>
    <t>Email： lbtan@waldenintl.com</t>
  </si>
  <si>
    <t>姓名： 邵俊</t>
  </si>
  <si>
    <t>公司： 龙 科创业投资管理有限公司</t>
  </si>
  <si>
    <t>电话： 852 28017333</t>
  </si>
  <si>
    <t>手机： 13701655000</t>
  </si>
  <si>
    <t>Email： roman.shaw@dragontechventures.com</t>
  </si>
  <si>
    <t>公司： 寰慧投资咨询（上海）有限公司</t>
  </si>
  <si>
    <t>电话： 021-54049855</t>
  </si>
  <si>
    <t>姓名： 汝林琪</t>
  </si>
  <si>
    <t>公司： 华盈创投</t>
  </si>
  <si>
    <t>电话： 021-54049885</t>
  </si>
  <si>
    <t>手机： 13817511121</t>
  </si>
  <si>
    <t>Email： tina@tdfcapital.com</t>
  </si>
  <si>
    <t>姓名： 柯道格</t>
  </si>
  <si>
    <t>公司： 世界银行集团国际金融公司</t>
  </si>
  <si>
    <t>职位： 高级投资官员</t>
  </si>
  <si>
    <t>电话： 85225098140</t>
  </si>
  <si>
    <t>手机： 85290387685</t>
  </si>
  <si>
    <t>Email： dcoulter@ifc.org</t>
  </si>
  <si>
    <t>姓名： 邱文友</t>
  </si>
  <si>
    <t>公司： 美林（亚太）有限公司</t>
  </si>
  <si>
    <t>职位： 董事</t>
  </si>
  <si>
    <t>电话： 85225363238</t>
  </si>
  <si>
    <t>手机： 85298390200</t>
  </si>
  <si>
    <t>Email： robert_chiu@ml.com</t>
  </si>
  <si>
    <t>姓名： 钟伟智</t>
  </si>
  <si>
    <t>公司： 清科控股有限公司</t>
  </si>
  <si>
    <t>职位： 首席执行官</t>
  </si>
  <si>
    <t>电话： 852 29604611</t>
  </si>
  <si>
    <t>Email： dannychung@zero2ipo.com.cn</t>
  </si>
  <si>
    <t>姓名： 陈镇洪</t>
  </si>
  <si>
    <t>公司： 集富亚洲投资</t>
  </si>
  <si>
    <t>职位： 董事，北亚主管</t>
  </si>
  <si>
    <t>电话： 852-25691960 253619</t>
  </si>
  <si>
    <t>手机： 13923829956</t>
  </si>
  <si>
    <t>Email： vincent.chan@jafcoasia.com</t>
  </si>
  <si>
    <t>姓名： 乐文勇</t>
  </si>
  <si>
    <t>公司： 集富亚洲投资北京代表处</t>
  </si>
  <si>
    <t>职位： 常驻代表</t>
  </si>
  <si>
    <t>电话： 65909730 8529038891</t>
  </si>
  <si>
    <t>手机： 1352054813</t>
  </si>
  <si>
    <t>Email： wenyong.le@jafcoasia.com</t>
  </si>
  <si>
    <t>公司： 北京软银赛富</t>
  </si>
  <si>
    <t>电话： 85192021 85192049</t>
  </si>
  <si>
    <t>姓名： 李煌</t>
  </si>
  <si>
    <t>公司： 华登国际</t>
  </si>
  <si>
    <t>电话： 02162798200</t>
  </si>
  <si>
    <t>手机： 13911560951</t>
  </si>
  <si>
    <t>Email： hli@waldenintl.com</t>
  </si>
  <si>
    <t>姓名： 吕谭平</t>
  </si>
  <si>
    <t>公司： 清科控股</t>
  </si>
  <si>
    <t>职位： 副董事长</t>
  </si>
  <si>
    <t>电话： 85229604611</t>
  </si>
  <si>
    <t>Email： dannylui@zero2ipo.com.cn</t>
  </si>
  <si>
    <t>姓名： 钟晓林</t>
  </si>
  <si>
    <t>公司： 华盈创业投资</t>
  </si>
  <si>
    <t>电话： 02154049558</t>
  </si>
  <si>
    <t>手机： 13818975498</t>
  </si>
  <si>
    <t>Email： forrest@tdfcapital.com</t>
  </si>
  <si>
    <t>姓名： 王洋</t>
  </si>
  <si>
    <t>公司： 坤茂国际投资</t>
  </si>
  <si>
    <t>电话： 021-52580292</t>
  </si>
  <si>
    <t>手机： 13601125946</t>
  </si>
  <si>
    <t>Email： ansenwang@ebicc.com</t>
  </si>
  <si>
    <t>姓名： 沈超</t>
  </si>
  <si>
    <t>手机： 13801352070</t>
  </si>
  <si>
    <t>Email： shawnshen@ebicc.com</t>
  </si>
  <si>
    <t>姓名： 陈希</t>
  </si>
  <si>
    <t>公司： TTS</t>
  </si>
  <si>
    <t>电话： 408-236-7480</t>
  </si>
  <si>
    <t>手机： 0926-119700</t>
  </si>
  <si>
    <t>Email： steve.chen@TTSCentral.com</t>
  </si>
  <si>
    <t>姓名： 徐晨</t>
  </si>
  <si>
    <t>公司： 戈壁合伙人</t>
  </si>
  <si>
    <t>电话： 02152929420</t>
  </si>
  <si>
    <t>手机： 13817605135</t>
  </si>
  <si>
    <t>Email： ken@gobi.cn</t>
  </si>
  <si>
    <t>姓名： 杨瑞荣</t>
  </si>
  <si>
    <t>公司： 兰馨亚洲投资</t>
  </si>
  <si>
    <t>电话： 02152986447</t>
  </si>
  <si>
    <t>手机： 13817834117</t>
  </si>
  <si>
    <t>Email： ryang@orchidasia.com</t>
  </si>
  <si>
    <t>姓名： 郭德宏</t>
  </si>
  <si>
    <t>公司： 兰馨亚洲投资集团</t>
  </si>
  <si>
    <t>电话： 021-52986222-188</t>
  </si>
  <si>
    <t>手机： 13825171451</t>
  </si>
  <si>
    <t>Email： skwok@orchidasia.com</t>
  </si>
  <si>
    <t>姓名： 曾光宇</t>
  </si>
  <si>
    <t>公司： 霸菱亚洲投资</t>
  </si>
  <si>
    <t>职位： 执行董事，注册金融分析师</t>
  </si>
  <si>
    <t>电话： 85228439300</t>
  </si>
  <si>
    <t>手机： 13670296066</t>
  </si>
  <si>
    <t>Email： conradtsang@bpepasia.com</t>
  </si>
  <si>
    <t>姓名： 陈少晖</t>
  </si>
  <si>
    <t>电话： 65391366-818</t>
  </si>
  <si>
    <t>手机： 13501130450</t>
  </si>
  <si>
    <t>Email： shaohui.chen@wiharper.com.cn</t>
  </si>
  <si>
    <t>姓名： 徐传升</t>
  </si>
  <si>
    <t>公司： T|D|F capital</t>
  </si>
  <si>
    <t>电话： 02154670500</t>
  </si>
  <si>
    <t>手机： 13916661132</t>
  </si>
  <si>
    <t>Email： david@tdfcapital.com</t>
  </si>
  <si>
    <t>姓名： 童士豪</t>
  </si>
  <si>
    <t>公司： BESSEMER</t>
  </si>
  <si>
    <t>职位： VENTURE PARTNERS</t>
  </si>
  <si>
    <t>电话： 65028387</t>
  </si>
  <si>
    <t>手机： 13661795779</t>
  </si>
  <si>
    <t>Email： hans@bvp.com</t>
  </si>
  <si>
    <t>姓名： 谢忠高</t>
  </si>
  <si>
    <t>公司： 永威投资公司 北京代表处</t>
  </si>
  <si>
    <t>电话： 010-64108068</t>
  </si>
  <si>
    <t>Email： peter.hsieh@asiavest.com</t>
  </si>
  <si>
    <t>姓名： 夏晓宁</t>
  </si>
  <si>
    <t>公司： AIF Capital（殷库资本有限公司）</t>
  </si>
  <si>
    <t>电话： 85229127817</t>
  </si>
  <si>
    <t>Email： xiaoning.xia@aifcapital.com</t>
  </si>
  <si>
    <t>姓名： 欧阳翔宇</t>
  </si>
  <si>
    <t>公司： LEGEND CAPITAL</t>
  </si>
  <si>
    <t>电话： 62509285</t>
  </si>
  <si>
    <t>手机： 13801288415</t>
  </si>
  <si>
    <t>Email： ouyxy@legendcapital.com.cn</t>
  </si>
  <si>
    <t>姓名： 津田折也</t>
  </si>
  <si>
    <t>公司： 日本亚洲投资（香港）有限公司上海代表处</t>
  </si>
  <si>
    <t>职位： 首席代表</t>
  </si>
  <si>
    <t>Email： tsuda@jaic.com.hk</t>
  </si>
  <si>
    <t>姓名： 孙慧</t>
  </si>
  <si>
    <t>电话： 02162798635</t>
  </si>
  <si>
    <t>手机： 13818979244</t>
  </si>
  <si>
    <t>Email： unee@jaic.com.hk</t>
  </si>
  <si>
    <t>姓名： 任 林</t>
  </si>
  <si>
    <t>公司：  希盟资本</t>
  </si>
  <si>
    <t>手机： 15202180470</t>
  </si>
  <si>
    <t>Email：  orionrl@sina.cn</t>
  </si>
  <si>
    <t>Email： chenshi@0101go.com</t>
  </si>
  <si>
    <t>姓名： 计越</t>
  </si>
  <si>
    <t>Email： kathyxu@capitaltoday.com</t>
  </si>
  <si>
    <t>Email： vczhouquan@gmail.com</t>
  </si>
  <si>
    <t>姓名： 黎嘉</t>
  </si>
  <si>
    <t>电话： 52400719</t>
  </si>
  <si>
    <t>Email： queenlijia@gmail.com</t>
  </si>
  <si>
    <t>姓名： 柳井宇志</t>
  </si>
  <si>
    <t>电话： 85192519</t>
  </si>
  <si>
    <t>Email： scmak@waldenintl.com</t>
  </si>
  <si>
    <t>Email： esterHo@idtechventures.com.tw"&gt;LesterHo@idtechventures.com.tw</t>
  </si>
  <si>
    <t xml:space="preserve">bizplan@tigervc.com </t>
    <phoneticPr fontId="11" type="noConversion"/>
  </si>
  <si>
    <t>partner@tigervc.com </t>
    <phoneticPr fontId="11" type="noConversion"/>
  </si>
  <si>
    <t xml:space="preserve"> 47重复行 要确认2</t>
  </si>
  <si>
    <t xml:space="preserve"> 658重复行 要确认2</t>
  </si>
  <si>
    <t>839 重复行 要确认1</t>
  </si>
  <si>
    <t>839 重复行 要确认1849 重复行 要确认1</t>
    <phoneticPr fontId="11" type="noConversion"/>
  </si>
  <si>
    <t>分析师</t>
    <phoneticPr fontId="11" type="noConversion"/>
  </si>
  <si>
    <t xml:space="preserve"> 副总裁</t>
    <phoneticPr fontId="11" type="noConversion"/>
  </si>
  <si>
    <t>Kevin 熊飞</t>
    <phoneticPr fontId="11" type="noConversion"/>
  </si>
  <si>
    <t>德丰杰全球创业投资基金</t>
  </si>
  <si>
    <t>孙文海</t>
  </si>
  <si>
    <t>alvin@dfj.com</t>
  </si>
  <si>
    <t xml:space="preserve">bizplan@tigervc.com </t>
  </si>
  <si>
    <t>partner@tigervc.com </t>
  </si>
  <si>
    <t>251机构不一致</t>
  </si>
  <si>
    <t>258机构不一致</t>
  </si>
  <si>
    <t>lugang@legendstar.com.cn</t>
  </si>
  <si>
    <t>ran.wang@ceccapitalgroup.com</t>
  </si>
  <si>
    <t>6机构不一致</t>
  </si>
  <si>
    <t>黑马岛创投</t>
  </si>
  <si>
    <t>bp@heimadao.com</t>
  </si>
  <si>
    <t>29机构不一致</t>
  </si>
  <si>
    <t>37机构不一致</t>
  </si>
  <si>
    <t>70机构不一致</t>
  </si>
  <si>
    <t>83机构不一致</t>
  </si>
  <si>
    <t>IDG</t>
  </si>
  <si>
    <t>idgvc@idgcapital.com</t>
  </si>
  <si>
    <t>98机构不一致</t>
  </si>
  <si>
    <t>泰山天使</t>
    <phoneticPr fontId="11" type="noConversion"/>
  </si>
  <si>
    <r>
      <rPr>
        <sz val="11"/>
        <color rgb="FF000000"/>
        <rFont val="宋体"/>
        <family val="2"/>
        <charset val="134"/>
      </rPr>
      <t>邮箱</t>
    </r>
    <r>
      <rPr>
        <sz val="11"/>
        <color rgb="FF000000"/>
        <rFont val="Yu Gothic"/>
        <family val="2"/>
        <charset val="128"/>
      </rPr>
      <t>溢出</t>
    </r>
    <phoneticPr fontId="11" type="noConversion"/>
  </si>
  <si>
    <t>invest@taishanangel.com</t>
    <phoneticPr fontId="11" type="noConversion"/>
  </si>
  <si>
    <r>
      <rPr>
        <sz val="11"/>
        <color rgb="FF000000"/>
        <rFont val="宋体"/>
        <family val="2"/>
        <charset val="134"/>
      </rPr>
      <t>判为</t>
    </r>
    <r>
      <rPr>
        <sz val="11"/>
        <color rgb="FF000000"/>
        <rFont val="Yu Gothic"/>
        <family val="2"/>
        <charset val="128"/>
      </rPr>
      <t>垃圾</t>
    </r>
    <phoneticPr fontId="11" type="noConversion"/>
  </si>
  <si>
    <t>海通开元</t>
    <phoneticPr fontId="11" type="noConversion"/>
  </si>
  <si>
    <t>huyi@htcc.sh.cn</t>
    <phoneticPr fontId="11" type="noConversion"/>
  </si>
  <si>
    <t>261机构不一致</t>
  </si>
  <si>
    <t>568机构不一致</t>
  </si>
  <si>
    <t>53机构不一致</t>
  </si>
  <si>
    <t>63机构不一致</t>
  </si>
  <si>
    <t>77机构不一致</t>
  </si>
  <si>
    <t>125投资人不一致</t>
  </si>
  <si>
    <t>174机构不一致</t>
  </si>
  <si>
    <t>226机构不一致</t>
  </si>
  <si>
    <t>245机构不一致</t>
  </si>
  <si>
    <t>271机构不一致</t>
  </si>
  <si>
    <t>277机构不一致</t>
  </si>
  <si>
    <t>335投资人不一致</t>
  </si>
  <si>
    <t>338机构不一致</t>
  </si>
  <si>
    <t>397机构不一致</t>
  </si>
  <si>
    <t>418投资人不一致</t>
  </si>
  <si>
    <t>429机构不一致</t>
  </si>
  <si>
    <t>439机构不一致投资人不一致</t>
    <phoneticPr fontId="11" type="noConversion"/>
  </si>
  <si>
    <t>451投资人不一致</t>
  </si>
  <si>
    <t>454机构不一致投资人不一致</t>
    <phoneticPr fontId="11" type="noConversion"/>
  </si>
  <si>
    <t>493机构不一致</t>
  </si>
  <si>
    <t>540机构不一致投资人不一致</t>
    <phoneticPr fontId="11" type="noConversion"/>
  </si>
  <si>
    <t>565机构不一致</t>
  </si>
  <si>
    <t>586投资人不一致</t>
  </si>
  <si>
    <t>587机构不一致</t>
  </si>
  <si>
    <t>597投资人不一致</t>
  </si>
  <si>
    <t>637机构不一致</t>
  </si>
  <si>
    <t>677机构不一致</t>
  </si>
  <si>
    <t>678机构不一致</t>
  </si>
  <si>
    <t>716机构不一致</t>
  </si>
  <si>
    <t>721投资人不一致</t>
  </si>
  <si>
    <t>727机构不一致</t>
  </si>
  <si>
    <t>746机构不一致</t>
  </si>
  <si>
    <t>757机构不一致</t>
  </si>
  <si>
    <t>好未来未来之星</t>
    <phoneticPr fontId="11" type="noConversion"/>
  </si>
  <si>
    <t>人工智能</t>
    <phoneticPr fontId="11" type="noConversion"/>
  </si>
  <si>
    <t>峰岚投资</t>
    <phoneticPr fontId="11" type="noConversion"/>
  </si>
  <si>
    <t>润加速产业加速器</t>
    <phoneticPr fontId="11" type="noConversion"/>
  </si>
  <si>
    <t>将门创投</t>
    <phoneticPr fontId="11" type="noConversion"/>
  </si>
  <si>
    <t>中关村大河资本</t>
    <phoneticPr fontId="11" type="noConversion"/>
  </si>
  <si>
    <t>优客工场</t>
    <phoneticPr fontId="11" type="noConversion"/>
  </si>
  <si>
    <t>中金资本</t>
    <phoneticPr fontId="11" type="noConversion"/>
  </si>
  <si>
    <t>天使VC投资家</t>
    <phoneticPr fontId="11" type="noConversion"/>
  </si>
  <si>
    <t>天津股权投资基金协会</t>
    <phoneticPr fontId="11" type="noConversion"/>
  </si>
  <si>
    <t>煜华尚和</t>
    <phoneticPr fontId="11" type="noConversion"/>
  </si>
  <si>
    <t>银杏谷资本</t>
    <phoneticPr fontId="11" type="noConversion"/>
  </si>
  <si>
    <t>初心资本</t>
    <phoneticPr fontId="11" type="noConversion"/>
  </si>
  <si>
    <t>嘉程资本</t>
    <phoneticPr fontId="11" type="noConversion"/>
  </si>
  <si>
    <t>赛伯乐</t>
    <phoneticPr fontId="11" type="noConversion"/>
  </si>
  <si>
    <t>渶策资本</t>
    <phoneticPr fontId="11" type="noConversion"/>
  </si>
  <si>
    <t>天使投资人中心</t>
    <phoneticPr fontId="11" type="noConversion"/>
  </si>
  <si>
    <t>天使百人会</t>
    <phoneticPr fontId="11" type="noConversion"/>
  </si>
  <si>
    <t>领势</t>
    <phoneticPr fontId="11" type="noConversion"/>
  </si>
  <si>
    <t>万融资本</t>
    <phoneticPr fontId="11" type="noConversion"/>
  </si>
  <si>
    <t>华辰资本</t>
    <phoneticPr fontId="11" type="noConversion"/>
  </si>
  <si>
    <t>春华资本</t>
    <phoneticPr fontId="11" type="noConversion"/>
  </si>
  <si>
    <t>坚果资本</t>
    <phoneticPr fontId="11" type="noConversion"/>
  </si>
  <si>
    <t>长石资本</t>
    <phoneticPr fontId="11" type="noConversion"/>
  </si>
  <si>
    <t>深圳天使投资引导基金管理公司</t>
    <phoneticPr fontId="11" type="noConversion"/>
  </si>
  <si>
    <t>赛富投资基金</t>
    <phoneticPr fontId="11" type="noConversion"/>
  </si>
  <si>
    <t>bp@chuxincapital.com</t>
    <phoneticPr fontId="11" type="noConversion"/>
  </si>
  <si>
    <t>http://www.primavera-capital.com</t>
    <phoneticPr fontId="11" type="noConversion"/>
  </si>
  <si>
    <t>https://www.fenglaninvest.com</t>
    <phoneticPr fontId="11" type="noConversion"/>
  </si>
  <si>
    <t>hrtz@sinowisdom.cn</t>
    <phoneticPr fontId="11" type="noConversion"/>
  </si>
  <si>
    <t>huiqiang@shhqtzfz.com</t>
    <phoneticPr fontId="11" type="noConversion"/>
  </si>
  <si>
    <t>http://www.shhqtzfz.com</t>
    <phoneticPr fontId="11" type="noConversion"/>
  </si>
  <si>
    <t>BP@jiachengcap.com</t>
    <phoneticPr fontId="11" type="noConversion"/>
  </si>
  <si>
    <t>https://www.capitalnuts.com</t>
    <phoneticPr fontId="11" type="noConversion"/>
  </si>
  <si>
    <t>value@capitalnuts.com</t>
    <phoneticPr fontId="11" type="noConversion"/>
  </si>
  <si>
    <t>http://www.thejiangmen.com</t>
    <phoneticPr fontId="11" type="noConversion"/>
  </si>
  <si>
    <t>bp@thejiangmen.com</t>
    <phoneticPr fontId="11" type="noConversion"/>
  </si>
  <si>
    <t>http://www.legendcapital.com.cn</t>
    <phoneticPr fontId="11" type="noConversion"/>
  </si>
  <si>
    <r>
      <t>梅花</t>
    </r>
    <r>
      <rPr>
        <sz val="11"/>
        <color rgb="FF000000"/>
        <rFont val="宋体"/>
        <family val="2"/>
        <charset val="134"/>
      </rPr>
      <t>创投</t>
    </r>
    <phoneticPr fontId="11" type="noConversion"/>
  </si>
  <si>
    <t>lingshitouziBP@163.com</t>
    <phoneticPr fontId="11" type="noConversion"/>
  </si>
  <si>
    <t>bp@future-cap.com</t>
    <phoneticPr fontId="11" type="noConversion"/>
  </si>
  <si>
    <t>http://www.future-cap.com</t>
    <phoneticPr fontId="11" type="noConversion"/>
  </si>
  <si>
    <t>分领域</t>
    <phoneticPr fontId="11" type="noConversion"/>
  </si>
  <si>
    <t>王兆乾</t>
    <phoneticPr fontId="11" type="noConversion"/>
  </si>
  <si>
    <t>互联网教育</t>
    <phoneticPr fontId="11" type="noConversion"/>
  </si>
  <si>
    <t>创新技术</t>
    <phoneticPr fontId="11" type="noConversion"/>
  </si>
  <si>
    <t>TMT</t>
    <phoneticPr fontId="11" type="noConversion"/>
  </si>
  <si>
    <t>智能设备</t>
    <phoneticPr fontId="11" type="noConversion"/>
  </si>
  <si>
    <t>SNS</t>
    <phoneticPr fontId="11" type="noConversion"/>
  </si>
  <si>
    <t>健康医疗</t>
    <phoneticPr fontId="11" type="noConversion"/>
  </si>
  <si>
    <t>ren.bp@qingsongfund.com</t>
    <phoneticPr fontId="11" type="noConversion"/>
  </si>
  <si>
    <t>张晨</t>
    <phoneticPr fontId="11" type="noConversion"/>
  </si>
  <si>
    <t>ci.zhang@qingsongfund.com</t>
    <phoneticPr fontId="11" type="noConversion"/>
  </si>
  <si>
    <t>文化体育、消费升级</t>
    <phoneticPr fontId="11" type="noConversion"/>
  </si>
  <si>
    <t>张放</t>
  </si>
  <si>
    <t>sherry.zhang@qingsongfund.com</t>
    <phoneticPr fontId="11" type="noConversion"/>
  </si>
  <si>
    <t>文化娱乐、内容、消费升级、信息服务等</t>
    <phoneticPr fontId="11" type="noConversion"/>
  </si>
  <si>
    <t>deyang.bp@qingsongfund.com</t>
    <phoneticPr fontId="11" type="noConversion"/>
  </si>
  <si>
    <t>孟德洋</t>
    <phoneticPr fontId="11" type="noConversion"/>
  </si>
  <si>
    <t>TMT、泛娱乐、教育</t>
    <phoneticPr fontId="11" type="noConversion"/>
  </si>
  <si>
    <t>非关注教育</t>
    <phoneticPr fontId="11" type="noConversion"/>
  </si>
  <si>
    <t>刘航琦</t>
    <phoneticPr fontId="11" type="noConversion"/>
  </si>
  <si>
    <t>hangqi.liu@qingsongfund.com</t>
    <phoneticPr fontId="11" type="noConversion"/>
  </si>
  <si>
    <t>TMT、泛娱乐、消费升级</t>
    <phoneticPr fontId="11" type="noConversion"/>
  </si>
  <si>
    <t>娄华菁</t>
    <phoneticPr fontId="11" type="noConversion"/>
  </si>
  <si>
    <t>huajing.lou@qingsongfund.com</t>
  </si>
  <si>
    <t>泛娱乐、消费</t>
    <phoneticPr fontId="11" type="noConversion"/>
  </si>
  <si>
    <t>abner.bp@qingsongfund.com</t>
    <phoneticPr fontId="11" type="noConversion"/>
  </si>
  <si>
    <t>熊浩然</t>
    <phoneticPr fontId="11" type="noConversion"/>
  </si>
  <si>
    <t>消费升级、TMT、教育</t>
    <phoneticPr fontId="11" type="noConversion"/>
  </si>
  <si>
    <t>ning.gao@qingsongfund.com</t>
    <phoneticPr fontId="11" type="noConversion"/>
  </si>
  <si>
    <t>高宁</t>
    <phoneticPr fontId="11" type="noConversion"/>
  </si>
  <si>
    <t>消费升级、TMT、B2B</t>
    <phoneticPr fontId="11" type="noConversion"/>
  </si>
  <si>
    <t>非天使</t>
    <phoneticPr fontId="11" type="noConversion"/>
  </si>
  <si>
    <t>bp@jingbei.com.cn</t>
    <phoneticPr fontId="11" type="noConversion"/>
  </si>
  <si>
    <t>brirenhui111@vip.sina.com</t>
    <phoneticPr fontId="11" type="noConversion"/>
  </si>
  <si>
    <t>bp@zckj.net</t>
    <phoneticPr fontId="11" type="noConversion"/>
  </si>
  <si>
    <t>education@wr-capital.com</t>
    <phoneticPr fontId="11" type="noConversion"/>
  </si>
  <si>
    <t>教育科技（业务信息化、管理信息化、内容数据化、自适应学习、双师课堂、在线教育），教育服务（K-12培优、素质教育、职业教育）</t>
    <phoneticPr fontId="11" type="noConversion"/>
  </si>
  <si>
    <t>大数据、人工智能、企业服务、B2B、金融科技</t>
    <phoneticPr fontId="11" type="noConversion"/>
  </si>
  <si>
    <t>TMT@wr-capital.com</t>
    <phoneticPr fontId="11" type="noConversion"/>
  </si>
  <si>
    <t>medical@wr-capital.com</t>
    <phoneticPr fontId="11" type="noConversion"/>
  </si>
  <si>
    <t>医疗</t>
    <phoneticPr fontId="11" type="noConversion"/>
  </si>
  <si>
    <t>以药物研发及研发服务CRO（药物发现及研发服务CRO平台，肿瘤免疫治疗，细胞治疗，基因治疗，靶向药物等）、医疗器械（高值耗材，体外诊断，微创手术，创新给药方式等）、医疗消费升级（精准医疗，医疗大数据，预防及康复医疗等）为主要关注领域，覆盖包括医疗服务、诊断和医疗信息在内的整个生物医疗行业
•投资阶段涵盖初创期、成长期及上市前</t>
    <phoneticPr fontId="11" type="noConversion"/>
  </si>
  <si>
    <t>IM@wr-capital.com</t>
    <phoneticPr fontId="11" type="noConversion"/>
  </si>
  <si>
    <t>自动化（自动化生产线、智能工厂总包、机器人、数控机床、其他自动化集成装备）；信息化（工业软件、数据库）；互联化（工业以太网、芯片、传感器、RFID等）、智能化（3D打印、机器视觉）</t>
    <phoneticPr fontId="11" type="noConversion"/>
  </si>
  <si>
    <t>石油:勘探开发区块、专业油服公司、设备制造；国际市场上对勘探开发区块、港口、管线、专业油服公司等的投资和并购
天然气:工商业用气、民用气、交通用气、天然气分布式能源、LNG加工厂、LNG物流、储备、终端销售；
新能源:光伏、风电、储能、生物发电；新能源汽车相关产业；锂电上下游</t>
    <phoneticPr fontId="11" type="noConversion"/>
  </si>
  <si>
    <t>energy@wr-capital.com</t>
    <phoneticPr fontId="11" type="noConversion"/>
  </si>
  <si>
    <t>media@wr-capital.com</t>
    <phoneticPr fontId="11" type="noConversion"/>
  </si>
  <si>
    <t>文化体育、数字营销、广告技术、内容制作、IP孵化、影视娱乐、媒体渠道、线下场馆（剧院、影院、游乐场等）等</t>
    <phoneticPr fontId="11" type="noConversion"/>
  </si>
  <si>
    <r>
      <t>bp@yxgzb</t>
    </r>
    <r>
      <rPr>
        <u/>
        <sz val="11"/>
        <color theme="10"/>
        <rFont val="等线"/>
        <family val="3"/>
        <charset val="134"/>
        <scheme val="minor"/>
      </rPr>
      <t>。Com</t>
    </r>
    <phoneticPr fontId="11" type="noConversion"/>
  </si>
  <si>
    <t>空间</t>
    <phoneticPr fontId="11" type="noConversion"/>
  </si>
  <si>
    <t>bp@joycapital.com.cn</t>
    <phoneticPr fontId="11" type="noConversion"/>
  </si>
  <si>
    <t>bp@longcapital.cn</t>
    <phoneticPr fontId="11" type="noConversion"/>
  </si>
  <si>
    <t>bp@rivervc.com</t>
    <phoneticPr fontId="11" type="noConversion"/>
  </si>
  <si>
    <r>
      <rPr>
        <sz val="10"/>
        <color rgb="FF000000"/>
        <rFont val="Microsoft YaHei"/>
        <family val="2"/>
        <charset val="134"/>
      </rPr>
      <t>乡村致力研究中心研究院</t>
    </r>
    <phoneticPr fontId="67" type="noConversion"/>
  </si>
  <si>
    <r>
      <rPr>
        <sz val="10"/>
        <color rgb="FF000000"/>
        <rFont val="Microsoft YaHei"/>
        <family val="2"/>
        <charset val="134"/>
      </rPr>
      <t>公共管理学院教授</t>
    </r>
    <phoneticPr fontId="67" type="noConversion"/>
  </si>
  <si>
    <r>
      <rPr>
        <sz val="10"/>
        <color rgb="FF000000"/>
        <rFont val="Microsoft YaHei"/>
        <family val="2"/>
        <charset val="134"/>
      </rPr>
      <t>中国人民大学</t>
    </r>
    <phoneticPr fontId="67" type="noConversion"/>
  </si>
  <si>
    <r>
      <rPr>
        <sz val="10"/>
        <color rgb="FF000000"/>
        <rFont val="Microsoft YaHei"/>
        <family val="2"/>
        <charset val="134"/>
      </rPr>
      <t>郐艳丽</t>
    </r>
    <phoneticPr fontId="67" type="noConversion"/>
  </si>
  <si>
    <r>
      <rPr>
        <sz val="10"/>
        <color rgb="FF000000"/>
        <rFont val="Microsoft YaHei"/>
        <family val="2"/>
        <charset val="134"/>
      </rPr>
      <t>教授</t>
    </r>
    <phoneticPr fontId="67" type="noConversion"/>
  </si>
  <si>
    <r>
      <rPr>
        <sz val="10"/>
        <color rgb="FF000000"/>
        <rFont val="Microsoft YaHei"/>
        <family val="2"/>
        <charset val="134"/>
      </rPr>
      <t>金融学院</t>
    </r>
    <phoneticPr fontId="67" type="noConversion"/>
  </si>
  <si>
    <r>
      <rPr>
        <sz val="10"/>
        <color rgb="FF000000"/>
        <rFont val="Microsoft YaHei"/>
        <family val="2"/>
        <charset val="134"/>
      </rPr>
      <t>对外经济贸易大学</t>
    </r>
    <phoneticPr fontId="67" type="noConversion"/>
  </si>
  <si>
    <r>
      <rPr>
        <sz val="10"/>
        <color rgb="FF000000"/>
        <rFont val="Microsoft YaHei"/>
        <family val="2"/>
        <charset val="134"/>
      </rPr>
      <t>王建锋</t>
    </r>
    <phoneticPr fontId="67" type="noConversion"/>
  </si>
  <si>
    <r>
      <rPr>
        <sz val="10"/>
        <color rgb="FF000000"/>
        <rFont val="Microsoft YaHei"/>
        <family val="2"/>
        <charset val="134"/>
      </rPr>
      <t>董事长</t>
    </r>
    <phoneticPr fontId="67" type="noConversion"/>
  </si>
  <si>
    <r>
      <rPr>
        <sz val="10"/>
        <color rgb="FF000000"/>
        <rFont val="Microsoft YaHei"/>
        <family val="2"/>
        <charset val="134"/>
      </rPr>
      <t>中民乡邻三农科技有限公司</t>
    </r>
    <phoneticPr fontId="67" type="noConversion"/>
  </si>
  <si>
    <r>
      <rPr>
        <sz val="10"/>
        <color rgb="FF000000"/>
        <rFont val="Microsoft YaHei"/>
        <family val="2"/>
        <charset val="134"/>
      </rPr>
      <t>鞠利</t>
    </r>
    <phoneticPr fontId="67" type="noConversion"/>
  </si>
  <si>
    <r>
      <rPr>
        <sz val="10"/>
        <color rgb="FF000000"/>
        <rFont val="Microsoft YaHei"/>
        <family val="2"/>
        <charset val="134"/>
      </rPr>
      <t>河南省林州市文化旅游局局长</t>
    </r>
    <phoneticPr fontId="67" type="noConversion"/>
  </si>
  <si>
    <r>
      <rPr>
        <sz val="10"/>
        <color rgb="FF000000"/>
        <rFont val="Microsoft YaHei"/>
        <family val="2"/>
        <charset val="134"/>
      </rPr>
      <t>徐学军</t>
    </r>
    <phoneticPr fontId="67" type="noConversion"/>
  </si>
  <si>
    <r>
      <rPr>
        <sz val="10"/>
        <color rgb="FF000000"/>
        <rFont val="Microsoft YaHei"/>
        <family val="2"/>
        <charset val="134"/>
      </rPr>
      <t>节目总策划</t>
    </r>
    <phoneticPr fontId="67" type="noConversion"/>
  </si>
  <si>
    <r>
      <rPr>
        <sz val="10"/>
        <color rgb="FF000000"/>
        <rFont val="Microsoft YaHei"/>
        <family val="2"/>
        <charset val="134"/>
      </rPr>
      <t>乡村振兴大家谈</t>
    </r>
    <phoneticPr fontId="67" type="noConversion"/>
  </si>
  <si>
    <r>
      <rPr>
        <sz val="10"/>
        <color rgb="FF000000"/>
        <rFont val="Microsoft YaHei"/>
        <family val="2"/>
        <charset val="134"/>
      </rPr>
      <t>中央农广校</t>
    </r>
    <phoneticPr fontId="67" type="noConversion"/>
  </si>
  <si>
    <r>
      <rPr>
        <sz val="10"/>
        <color rgb="FF000000"/>
        <rFont val="Microsoft YaHei"/>
        <family val="2"/>
        <charset val="134"/>
      </rPr>
      <t>王龙泉</t>
    </r>
    <phoneticPr fontId="67" type="noConversion"/>
  </si>
  <si>
    <r>
      <rPr>
        <sz val="10"/>
        <color rgb="FF000000"/>
        <rFont val="Microsoft YaHei"/>
        <family val="2"/>
        <charset val="134"/>
      </rPr>
      <t>技术总监</t>
    </r>
    <phoneticPr fontId="67" type="noConversion"/>
  </si>
  <si>
    <r>
      <rPr>
        <sz val="10"/>
        <color rgb="FF000000"/>
        <rFont val="Microsoft YaHei"/>
        <family val="2"/>
        <charset val="134"/>
      </rPr>
      <t>四川迈高旅游资源开发有限公司</t>
    </r>
    <phoneticPr fontId="67" type="noConversion"/>
  </si>
  <si>
    <r>
      <rPr>
        <sz val="10"/>
        <color rgb="FF000000"/>
        <rFont val="Microsoft YaHei"/>
        <family val="2"/>
        <charset val="134"/>
      </rPr>
      <t>蒋宜芝</t>
    </r>
    <phoneticPr fontId="67" type="noConversion"/>
  </si>
  <si>
    <r>
      <rPr>
        <sz val="10"/>
        <color rgb="FF000000"/>
        <rFont val="Microsoft YaHei"/>
        <family val="2"/>
        <charset val="134"/>
      </rPr>
      <t>书记</t>
    </r>
    <phoneticPr fontId="67" type="noConversion"/>
  </si>
  <si>
    <r>
      <rPr>
        <sz val="10"/>
        <color rgb="FF000000"/>
        <rFont val="Microsoft YaHei"/>
        <family val="2"/>
        <charset val="134"/>
      </rPr>
      <t>江苏省南京市浦口区永宁街道水墨大埝村</t>
    </r>
    <phoneticPr fontId="67" type="noConversion"/>
  </si>
  <si>
    <r>
      <rPr>
        <sz val="10"/>
        <color rgb="FF000000"/>
        <rFont val="Microsoft YaHei"/>
        <family val="2"/>
        <charset val="134"/>
      </rPr>
      <t>刘明海</t>
    </r>
    <phoneticPr fontId="67" type="noConversion"/>
  </si>
  <si>
    <r>
      <rPr>
        <sz val="10"/>
        <color rgb="FF000000"/>
        <rFont val="Microsoft YaHei"/>
        <family val="2"/>
        <charset val="134"/>
      </rPr>
      <t>乡村治理研究中心主任</t>
    </r>
    <phoneticPr fontId="67" type="noConversion"/>
  </si>
  <si>
    <r>
      <rPr>
        <sz val="10"/>
        <color rgb="FF000000"/>
        <rFont val="Microsoft YaHei"/>
        <family val="2"/>
        <charset val="134"/>
      </rPr>
      <t>农业与农村发展学院教授</t>
    </r>
    <phoneticPr fontId="67" type="noConversion"/>
  </si>
  <si>
    <r>
      <rPr>
        <sz val="10"/>
        <color rgb="FF000000"/>
        <rFont val="Microsoft YaHei"/>
        <family val="2"/>
        <charset val="134"/>
      </rPr>
      <t>仝志辉</t>
    </r>
    <phoneticPr fontId="67" type="noConversion"/>
  </si>
  <si>
    <r>
      <rPr>
        <sz val="10"/>
        <color rgb="FF000000"/>
        <rFont val="Microsoft YaHei"/>
        <family val="2"/>
        <charset val="134"/>
      </rPr>
      <t>中共大连市委党校</t>
    </r>
    <phoneticPr fontId="67" type="noConversion"/>
  </si>
  <si>
    <r>
      <rPr>
        <sz val="10"/>
        <color rgb="FF000000"/>
        <rFont val="Microsoft YaHei"/>
        <family val="2"/>
        <charset val="134"/>
      </rPr>
      <t>杨晓猛</t>
    </r>
    <phoneticPr fontId="67" type="noConversion"/>
  </si>
  <si>
    <r>
      <rPr>
        <sz val="10"/>
        <color rgb="FF000000"/>
        <rFont val="Microsoft YaHei"/>
        <family val="2"/>
        <charset val="134"/>
      </rPr>
      <t>大连创业工坊</t>
    </r>
    <phoneticPr fontId="67" type="noConversion"/>
  </si>
  <si>
    <r>
      <rPr>
        <sz val="10"/>
        <color rgb="FF000000"/>
        <rFont val="Microsoft YaHei"/>
        <family val="2"/>
        <charset val="134"/>
      </rPr>
      <t>胡剑锋</t>
    </r>
    <phoneticPr fontId="67" type="noConversion"/>
  </si>
  <si>
    <r>
      <rPr>
        <sz val="10"/>
        <color rgb="FF000000"/>
        <rFont val="Microsoft YaHei"/>
        <family val="2"/>
        <charset val="134"/>
      </rPr>
      <t>副教授</t>
    </r>
    <phoneticPr fontId="67" type="noConversion"/>
  </si>
  <si>
    <r>
      <rPr>
        <sz val="10"/>
        <color rgb="FF000000"/>
        <rFont val="Microsoft YaHei"/>
        <family val="2"/>
        <charset val="134"/>
      </rPr>
      <t>工商管理学院市场营销系</t>
    </r>
    <phoneticPr fontId="67" type="noConversion"/>
  </si>
  <si>
    <r>
      <rPr>
        <sz val="10"/>
        <color rgb="FF000000"/>
        <rFont val="Microsoft YaHei"/>
        <family val="2"/>
        <charset val="134"/>
      </rPr>
      <t>东北财经大学</t>
    </r>
    <phoneticPr fontId="67" type="noConversion"/>
  </si>
  <si>
    <r>
      <rPr>
        <sz val="10"/>
        <color rgb="FF000000"/>
        <rFont val="Microsoft YaHei"/>
        <family val="2"/>
        <charset val="134"/>
      </rPr>
      <t>刘宝宏</t>
    </r>
    <phoneticPr fontId="67" type="noConversion"/>
  </si>
  <si>
    <r>
      <rPr>
        <sz val="10"/>
        <color rgb="FF000000"/>
        <rFont val="Microsoft YaHei"/>
        <family val="2"/>
        <charset val="134"/>
      </rPr>
      <t>瓦房店市永宁镇杨树底村第一书记</t>
    </r>
    <phoneticPr fontId="67" type="noConversion"/>
  </si>
  <si>
    <r>
      <rPr>
        <sz val="10"/>
        <color rgb="FF000000"/>
        <rFont val="Microsoft YaHei"/>
        <family val="2"/>
        <charset val="134"/>
      </rPr>
      <t>袁野</t>
    </r>
    <phoneticPr fontId="67" type="noConversion"/>
  </si>
  <si>
    <r>
      <rPr>
        <sz val="10"/>
        <color rgb="FF000000"/>
        <rFont val="Microsoft YaHei"/>
        <family val="2"/>
        <charset val="134"/>
      </rPr>
      <t>创始人</t>
    </r>
    <phoneticPr fontId="67" type="noConversion"/>
  </si>
  <si>
    <r>
      <rPr>
        <sz val="10"/>
        <color rgb="FF000000"/>
        <rFont val="Microsoft YaHei"/>
        <family val="2"/>
        <charset val="134"/>
      </rPr>
      <t>大连早道教育</t>
    </r>
    <phoneticPr fontId="67" type="noConversion"/>
  </si>
  <si>
    <r>
      <rPr>
        <sz val="10"/>
        <color rgb="FF000000"/>
        <rFont val="Microsoft YaHei"/>
        <family val="2"/>
        <charset val="134"/>
      </rPr>
      <t>杨海斌</t>
    </r>
    <phoneticPr fontId="67" type="noConversion"/>
  </si>
  <si>
    <r>
      <rPr>
        <sz val="10"/>
        <color rgb="FF000000"/>
        <rFont val="Microsoft YaHei"/>
        <family val="2"/>
        <charset val="134"/>
      </rPr>
      <t>时尚社交电商工具ONEONE</t>
    </r>
    <phoneticPr fontId="67" type="noConversion"/>
  </si>
  <si>
    <r>
      <rPr>
        <sz val="10"/>
        <color rgb="FF000000"/>
        <rFont val="Microsoft YaHei"/>
        <family val="2"/>
        <charset val="134"/>
      </rPr>
      <t>陈雨航</t>
    </r>
    <phoneticPr fontId="67" type="noConversion"/>
  </si>
  <si>
    <r>
      <rPr>
        <sz val="10"/>
        <color rgb="FF000000"/>
        <rFont val="Microsoft YaHei"/>
        <family val="2"/>
        <charset val="134"/>
      </rPr>
      <t>副总裁</t>
    </r>
    <phoneticPr fontId="67" type="noConversion"/>
  </si>
  <si>
    <r>
      <rPr>
        <sz val="10"/>
        <color rgb="FF000000"/>
        <rFont val="Microsoft YaHei"/>
        <family val="2"/>
        <charset val="134"/>
      </rPr>
      <t>诚建餐饮集团电商资本</t>
    </r>
    <phoneticPr fontId="67" type="noConversion"/>
  </si>
  <si>
    <r>
      <rPr>
        <sz val="10"/>
        <color rgb="FF000000"/>
        <rFont val="Microsoft YaHei"/>
        <family val="2"/>
        <charset val="134"/>
      </rPr>
      <t>陈焕新</t>
    </r>
    <phoneticPr fontId="67" type="noConversion"/>
  </si>
  <si>
    <r>
      <rPr>
        <sz val="10"/>
        <color rgb="FF000000"/>
        <rFont val="Microsoft YaHei"/>
        <family val="2"/>
        <charset val="134"/>
      </rPr>
      <t>总经理</t>
    </r>
    <phoneticPr fontId="67" type="noConversion"/>
  </si>
  <si>
    <r>
      <rPr>
        <sz val="10"/>
        <color rgb="FF000000"/>
        <rFont val="Microsoft YaHei"/>
        <family val="2"/>
        <charset val="134"/>
      </rPr>
      <t>微晒（深圳）科技有限公司</t>
    </r>
    <phoneticPr fontId="67" type="noConversion"/>
  </si>
  <si>
    <r>
      <rPr>
        <sz val="10"/>
        <color rgb="FF000000"/>
        <rFont val="Microsoft YaHei"/>
        <family val="2"/>
        <charset val="134"/>
      </rPr>
      <t>张晓东</t>
    </r>
    <phoneticPr fontId="67" type="noConversion"/>
  </si>
  <si>
    <r>
      <rPr>
        <sz val="10"/>
        <color rgb="FF000000"/>
        <rFont val="Microsoft YaHei"/>
        <family val="2"/>
        <charset val="134"/>
      </rPr>
      <t>川途传媒</t>
    </r>
    <phoneticPr fontId="67" type="noConversion"/>
  </si>
  <si>
    <r>
      <rPr>
        <sz val="10"/>
        <color rgb="FF000000"/>
        <rFont val="Microsoft YaHei"/>
        <family val="2"/>
        <charset val="134"/>
      </rPr>
      <t>多来福</t>
    </r>
    <phoneticPr fontId="67" type="noConversion"/>
  </si>
  <si>
    <r>
      <rPr>
        <sz val="10"/>
        <color rgb="FF000000"/>
        <rFont val="Microsoft YaHei"/>
        <family val="2"/>
        <charset val="134"/>
      </rPr>
      <t>乡村治理与发展</t>
    </r>
    <phoneticPr fontId="67" type="noConversion"/>
  </si>
  <si>
    <r>
      <rPr>
        <sz val="10"/>
        <color rgb="FF000000"/>
        <rFont val="Microsoft YaHei"/>
        <family val="2"/>
        <charset val="134"/>
      </rPr>
      <t>第一书记</t>
    </r>
    <phoneticPr fontId="67" type="noConversion"/>
  </si>
  <si>
    <r>
      <rPr>
        <sz val="10"/>
        <color rgb="FF000000"/>
        <rFont val="Microsoft YaHei"/>
        <family val="2"/>
        <charset val="134"/>
      </rPr>
      <t>胡说八道</t>
    </r>
    <phoneticPr fontId="67" type="noConversion"/>
  </si>
  <si>
    <r>
      <rPr>
        <sz val="10"/>
        <color rgb="FF000000"/>
        <rFont val="Microsoft YaHei"/>
        <family val="2"/>
        <charset val="134"/>
      </rPr>
      <t>备注</t>
    </r>
    <phoneticPr fontId="67" type="noConversion"/>
  </si>
  <si>
    <r>
      <rPr>
        <sz val="10"/>
        <color rgb="FF000000"/>
        <rFont val="Microsoft YaHei"/>
        <family val="2"/>
        <charset val="134"/>
      </rPr>
      <t>行业</t>
    </r>
    <phoneticPr fontId="67" type="noConversion"/>
  </si>
  <si>
    <r>
      <rPr>
        <sz val="10"/>
        <color rgb="FF000000"/>
        <rFont val="Microsoft YaHei"/>
        <family val="2"/>
        <charset val="134"/>
      </rPr>
      <t>职务2</t>
    </r>
    <phoneticPr fontId="67" type="noConversion"/>
  </si>
  <si>
    <r>
      <rPr>
        <sz val="10"/>
        <color rgb="FF000000"/>
        <rFont val="Microsoft YaHei"/>
        <family val="2"/>
        <charset val="134"/>
      </rPr>
      <t>职务1</t>
    </r>
    <phoneticPr fontId="67" type="noConversion"/>
  </si>
  <si>
    <r>
      <rPr>
        <sz val="10"/>
        <color rgb="FF000000"/>
        <rFont val="Microsoft YaHei"/>
        <family val="2"/>
        <charset val="134"/>
      </rPr>
      <t>部门</t>
    </r>
    <phoneticPr fontId="67" type="noConversion"/>
  </si>
  <si>
    <r>
      <rPr>
        <sz val="10"/>
        <color rgb="FF000000"/>
        <rFont val="Microsoft YaHei"/>
        <family val="2"/>
        <charset val="134"/>
      </rPr>
      <t>组织名称</t>
    </r>
    <phoneticPr fontId="67" type="noConversion"/>
  </si>
  <si>
    <r>
      <rPr>
        <sz val="10"/>
        <color rgb="FF000000"/>
        <rFont val="Microsoft YaHei"/>
        <family val="2"/>
        <charset val="134"/>
      </rPr>
      <t>姓名</t>
    </r>
    <phoneticPr fontId="67" type="noConversion"/>
  </si>
  <si>
    <t>SUM</t>
    <phoneticPr fontId="68" type="noConversion"/>
  </si>
  <si>
    <t>yuxiaoqilin</t>
    <phoneticPr fontId="68" type="noConversion"/>
  </si>
  <si>
    <t>xinger4003</t>
    <phoneticPr fontId="68" type="noConversion"/>
  </si>
  <si>
    <t>mangopurin</t>
    <phoneticPr fontId="68" type="noConversion"/>
  </si>
  <si>
    <t>株）PGLK 金银花</t>
  </si>
  <si>
    <t>遇见</t>
  </si>
  <si>
    <t>雨林</t>
  </si>
  <si>
    <t>rijihei</t>
    <phoneticPr fontId="68" type="noConversion"/>
  </si>
  <si>
    <t>有点烟草味</t>
  </si>
  <si>
    <t>英（ペタテック）🦋</t>
  </si>
  <si>
    <t>杨雯</t>
  </si>
  <si>
    <t>gg-576350650</t>
    <phoneticPr fontId="68" type="noConversion"/>
  </si>
  <si>
    <t>邢瑞@SFDC</t>
  </si>
  <si>
    <t>晓晓^_</t>
  </si>
  <si>
    <t>小木@SFDC资询</t>
  </si>
  <si>
    <t xml:space="preserve">小妹 </t>
    <phoneticPr fontId="68" type="noConversion"/>
  </si>
  <si>
    <t>小马哥</t>
  </si>
  <si>
    <t>小家鞋铺</t>
    <phoneticPr fontId="68" type="noConversion"/>
  </si>
  <si>
    <t>香川@SFDC</t>
  </si>
  <si>
    <t>gebiyunyan</t>
    <phoneticPr fontId="68" type="noConversion"/>
  </si>
  <si>
    <t>武金友@SFDC3</t>
  </si>
  <si>
    <t>五里雾中@SFDC</t>
  </si>
  <si>
    <t>dingjh8</t>
    <phoneticPr fontId="68" type="noConversion"/>
  </si>
  <si>
    <t>王为盛@SFDC1&amp;amp;amp;3</t>
  </si>
  <si>
    <t>王仟谕</t>
  </si>
  <si>
    <t>天涯浪子</t>
    <phoneticPr fontId="68" type="noConversion"/>
  </si>
  <si>
    <t>天涯浪子</t>
  </si>
  <si>
    <t>luyl007</t>
    <phoneticPr fontId="68" type="noConversion"/>
  </si>
  <si>
    <t>天涯</t>
  </si>
  <si>
    <t>孙迪@SFDC</t>
  </si>
  <si>
    <t>誰說世界早已沒有選擇</t>
  </si>
  <si>
    <t>邵毅</t>
  </si>
  <si>
    <t>骚年，在路上••• •••@SFDC</t>
  </si>
  <si>
    <t>瑞德</t>
  </si>
  <si>
    <t>SmallFishWEIXIN</t>
    <phoneticPr fontId="68" type="noConversion"/>
  </si>
  <si>
    <t>日進ー王</t>
  </si>
  <si>
    <t>qin_wei_</t>
    <phoneticPr fontId="68" type="noConversion"/>
  </si>
  <si>
    <t>秦巍＠SFDC応募者</t>
  </si>
  <si>
    <t>噢修@SFDC</t>
  </si>
  <si>
    <t>木木@SFDC入门咨询</t>
  </si>
  <si>
    <t>马姗姗</t>
    <phoneticPr fontId="68" type="noConversion"/>
  </si>
  <si>
    <t>luanshubin55</t>
    <phoneticPr fontId="68" type="noConversion"/>
  </si>
  <si>
    <t>栾书滨@SFDC5</t>
  </si>
  <si>
    <t>rohou_sendai</t>
    <phoneticPr fontId="68" type="noConversion"/>
  </si>
  <si>
    <t>鲁峰@SFDC3</t>
  </si>
  <si>
    <t>劉志輝</t>
  </si>
  <si>
    <t>刘祥海</t>
    <phoneticPr fontId="68" type="noConversion"/>
  </si>
  <si>
    <t>梁@SFDC入门</t>
  </si>
  <si>
    <t>l405434074</t>
    <phoneticPr fontId="68" type="noConversion"/>
  </si>
  <si>
    <t>李震@SFDC</t>
  </si>
  <si>
    <t>李哲</t>
  </si>
  <si>
    <t>李全双@天時SFDC3</t>
  </si>
  <si>
    <t>雷楊</t>
  </si>
  <si>
    <t>iameyama</t>
    <phoneticPr fontId="68" type="noConversion"/>
  </si>
  <si>
    <t>井新民@SFDC2</t>
  </si>
  <si>
    <t>黄冰@SFDC3</t>
  </si>
  <si>
    <t>鶴</t>
  </si>
  <si>
    <t>和谐号</t>
    <phoneticPr fontId="68" type="noConversion"/>
  </si>
  <si>
    <t>和谐号</t>
  </si>
  <si>
    <t>id_wangxu</t>
    <phoneticPr fontId="68" type="noConversion"/>
  </si>
  <si>
    <t>和平@营业</t>
  </si>
  <si>
    <t>皓释</t>
  </si>
  <si>
    <t>fxs1007</t>
    <phoneticPr fontId="68" type="noConversion"/>
  </si>
  <si>
    <t>果果@SFDC6乔瑾</t>
  </si>
  <si>
    <t>谷松@天時SFDC3</t>
  </si>
  <si>
    <t>傅勇</t>
  </si>
  <si>
    <t>メロンパン</t>
    <phoneticPr fontId="68" type="noConversion"/>
  </si>
  <si>
    <t>风林火山@SFDC6咨询</t>
  </si>
  <si>
    <t>huangked</t>
    <phoneticPr fontId="68" type="noConversion"/>
  </si>
  <si>
    <t>狒狒</t>
  </si>
  <si>
    <t>大海</t>
  </si>
  <si>
    <t>崔小龙</t>
  </si>
  <si>
    <t>成蓓@SFDC</t>
  </si>
  <si>
    <t>陳 達利@日進サイエンティア</t>
  </si>
  <si>
    <t>aypzg94</t>
    <phoneticPr fontId="68" type="noConversion"/>
  </si>
  <si>
    <t>陈家麟</t>
  </si>
  <si>
    <t>班长</t>
  </si>
  <si>
    <t>alcxx8182</t>
    <phoneticPr fontId="68" type="noConversion"/>
  </si>
  <si>
    <t>安東良</t>
  </si>
  <si>
    <t>🌲树@SFDC</t>
  </si>
  <si>
    <t>リスウホ(賃貸、売買、派遣)</t>
  </si>
  <si>
    <t>zhangxiaowen_13146</t>
    <phoneticPr fontId="68" type="noConversion"/>
  </si>
  <si>
    <t>ポニュー</t>
  </si>
  <si>
    <t>サリー酱</t>
  </si>
  <si>
    <t>おう＊シ*ン@SFDC5咨询</t>
  </si>
  <si>
    <t>Zzzl思念漫太古</t>
  </si>
  <si>
    <t>linhan1986</t>
    <phoneticPr fontId="68" type="noConversion"/>
  </si>
  <si>
    <t>zhai zg@SFDC</t>
  </si>
  <si>
    <t>Z_Hurting…#_#</t>
  </si>
  <si>
    <t>tony</t>
  </si>
  <si>
    <t>SunMika111</t>
    <phoneticPr fontId="68" type="noConversion"/>
  </si>
  <si>
    <t>Tommy</t>
  </si>
  <si>
    <t>SYB.Sunshubin@Asia.World</t>
  </si>
  <si>
    <t>xingrui_911</t>
    <phoneticPr fontId="68" type="noConversion"/>
  </si>
  <si>
    <t>sunmika@AWS咨询</t>
  </si>
  <si>
    <t>sun@SF培训</t>
  </si>
  <si>
    <t>qiuyin423159</t>
    <phoneticPr fontId="68" type="noConversion"/>
  </si>
  <si>
    <t>Seikou</t>
  </si>
  <si>
    <t>RUKA</t>
  </si>
  <si>
    <t>Leongbin</t>
    <phoneticPr fontId="68" type="noConversion"/>
  </si>
  <si>
    <t>Rin</t>
  </si>
  <si>
    <t>R</t>
  </si>
  <si>
    <t>songfeifei1984</t>
    <phoneticPr fontId="68" type="noConversion"/>
  </si>
  <si>
    <t>Mr.Chin</t>
  </si>
  <si>
    <t>lemon16@SFDC</t>
  </si>
  <si>
    <t>lalala</t>
  </si>
  <si>
    <t>kiku酱</t>
  </si>
  <si>
    <t>K</t>
  </si>
  <si>
    <t>Jason</t>
    <phoneticPr fontId="68" type="noConversion"/>
  </si>
  <si>
    <t>abin-5200</t>
    <phoneticPr fontId="68" type="noConversion"/>
  </si>
  <si>
    <t>IT&amp;UR团地营业阿斌</t>
    <phoneticPr fontId="68" type="noConversion"/>
  </si>
  <si>
    <t>wxid_7eni3wevcrft11</t>
    <phoneticPr fontId="68" type="noConversion"/>
  </si>
  <si>
    <t>hello</t>
  </si>
  <si>
    <t>fukushun.ka</t>
    <phoneticPr fontId="68" type="noConversion"/>
  </si>
  <si>
    <t>tong_xingxing</t>
    <phoneticPr fontId="68" type="noConversion"/>
  </si>
  <si>
    <t>Faye 冯</t>
  </si>
  <si>
    <t>Dannyriff</t>
  </si>
  <si>
    <t>djbdc666</t>
    <phoneticPr fontId="68" type="noConversion"/>
  </si>
  <si>
    <t>A樱木_小海</t>
  </si>
  <si>
    <t>afish81</t>
    <phoneticPr fontId="68" type="noConversion"/>
  </si>
  <si>
    <t>a-YOU</t>
  </si>
  <si>
    <t>Antares</t>
    <phoneticPr fontId="68" type="noConversion"/>
  </si>
  <si>
    <t>aiueok@SFDC</t>
  </si>
  <si>
    <t>aixiaozhicom</t>
    <phoneticPr fontId="68" type="noConversion"/>
  </si>
  <si>
    <t>Agent美@SFDC</t>
  </si>
  <si>
    <t>chenbinly</t>
    <phoneticPr fontId="68" type="noConversion"/>
  </si>
  <si>
    <t>A“(´･ω･`)”A</t>
  </si>
  <si>
    <t>@SFDC6予约</t>
  </si>
  <si>
    <t>チョウウ</t>
    <phoneticPr fontId="68" type="noConversion"/>
  </si>
  <si>
    <t>理想</t>
    <phoneticPr fontId="68" type="noConversion"/>
  </si>
  <si>
    <t>十三13</t>
    <phoneticPr fontId="68" type="noConversion"/>
  </si>
  <si>
    <t>ランボ</t>
    <phoneticPr fontId="68" type="noConversion"/>
  </si>
  <si>
    <t>飛</t>
    <phoneticPr fontId="68" type="noConversion"/>
  </si>
  <si>
    <t>周鹏</t>
    <phoneticPr fontId="68" type="noConversion"/>
  </si>
  <si>
    <t>笑宇</t>
    <phoneticPr fontId="68" type="noConversion"/>
  </si>
  <si>
    <t>小妖精</t>
    <phoneticPr fontId="68" type="noConversion"/>
  </si>
  <si>
    <t>佳佳</t>
    <phoneticPr fontId="68" type="noConversion"/>
  </si>
  <si>
    <t>个人技术者董</t>
    <phoneticPr fontId="68" type="noConversion"/>
  </si>
  <si>
    <t>リシン</t>
    <phoneticPr fontId="68" type="noConversion"/>
  </si>
  <si>
    <t>zhujie0518</t>
    <phoneticPr fontId="68" type="noConversion"/>
  </si>
  <si>
    <t>祝杰</t>
  </si>
  <si>
    <t>竹车已真</t>
  </si>
  <si>
    <t>z919269630</t>
    <phoneticPr fontId="68" type="noConversion"/>
  </si>
  <si>
    <t>赵丹</t>
    <phoneticPr fontId="68" type="noConversion"/>
  </si>
  <si>
    <t>yangtian719</t>
    <phoneticPr fontId="68" type="noConversion"/>
  </si>
  <si>
    <t>杨田</t>
    <phoneticPr fontId="68" type="noConversion"/>
  </si>
  <si>
    <t>杨峰@SFDC</t>
  </si>
  <si>
    <t>谢行勇</t>
    <phoneticPr fontId="68" type="noConversion"/>
  </si>
  <si>
    <t>小刘</t>
    <phoneticPr fontId="68" type="noConversion"/>
  </si>
  <si>
    <t>toyko2013</t>
    <phoneticPr fontId="68" type="noConversion"/>
  </si>
  <si>
    <t>王小布</t>
    <phoneticPr fontId="68" type="noConversion"/>
  </si>
  <si>
    <t>深海@SFDC</t>
  </si>
  <si>
    <t>面包片</t>
    <phoneticPr fontId="68" type="noConversion"/>
  </si>
  <si>
    <t>漫步人生路</t>
    <phoneticPr fontId="68" type="noConversion"/>
  </si>
  <si>
    <t>skyblue365</t>
    <phoneticPr fontId="68" type="noConversion"/>
  </si>
  <si>
    <t>路友林@SFDC2</t>
  </si>
  <si>
    <t>梁学广@SFDC</t>
  </si>
  <si>
    <t>M34421511</t>
    <phoneticPr fontId="68" type="noConversion"/>
  </si>
  <si>
    <t>老⁶</t>
  </si>
  <si>
    <t>九日木杉</t>
    <phoneticPr fontId="68" type="noConversion"/>
  </si>
  <si>
    <t>九日木杉</t>
  </si>
  <si>
    <t>黄克东@trex</t>
  </si>
  <si>
    <t>wangqi77qi</t>
    <phoneticPr fontId="68" type="noConversion"/>
  </si>
  <si>
    <t>橙汁</t>
  </si>
  <si>
    <t>zoe@SFDC</t>
  </si>
  <si>
    <t>TianChao2015</t>
    <phoneticPr fontId="68" type="noConversion"/>
  </si>
  <si>
    <t>TianChao</t>
  </si>
  <si>
    <t>TGKW</t>
  </si>
  <si>
    <t>lampsy_tyq</t>
    <phoneticPr fontId="68" type="noConversion"/>
  </si>
  <si>
    <t>jango</t>
    <phoneticPr fontId="68" type="noConversion"/>
  </si>
  <si>
    <t>Delahoya</t>
    <phoneticPr fontId="68" type="noConversion"/>
  </si>
  <si>
    <t>saki1987</t>
    <phoneticPr fontId="68" type="noConversion"/>
  </si>
  <si>
    <t>niieika</t>
    <phoneticPr fontId="68" type="noConversion"/>
  </si>
  <si>
    <t>倪永华</t>
    <phoneticPr fontId="68" type="noConversion"/>
  </si>
  <si>
    <t>soho_visa</t>
    <phoneticPr fontId="68" type="noConversion"/>
  </si>
  <si>
    <t>海阔天空</t>
  </si>
  <si>
    <t>jesuslovejoy</t>
    <phoneticPr fontId="68" type="noConversion"/>
  </si>
  <si>
    <t>郝泽萱</t>
    <phoneticPr fontId="68" type="noConversion"/>
  </si>
  <si>
    <t>SF6</t>
  </si>
  <si>
    <t>SF5</t>
    <phoneticPr fontId="68" type="noConversion"/>
  </si>
  <si>
    <t>SF4</t>
    <phoneticPr fontId="68" type="noConversion"/>
  </si>
  <si>
    <t>SF3</t>
    <phoneticPr fontId="68" type="noConversion"/>
  </si>
  <si>
    <t>SF2</t>
    <phoneticPr fontId="68" type="noConversion"/>
  </si>
  <si>
    <t>SF1</t>
    <phoneticPr fontId="68" type="noConversion"/>
  </si>
  <si>
    <t>SF0</t>
    <phoneticPr fontId="68" type="noConversion"/>
  </si>
  <si>
    <t>Japanese</t>
    <phoneticPr fontId="68" type="noConversion"/>
  </si>
  <si>
    <t>QQ号</t>
    <phoneticPr fontId="68" type="noConversion"/>
  </si>
  <si>
    <t>微信号</t>
    <phoneticPr fontId="68" type="noConversion"/>
  </si>
  <si>
    <t>职位</t>
    <phoneticPr fontId="68" type="noConversion"/>
  </si>
  <si>
    <t>所属</t>
    <phoneticPr fontId="6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</si>
</sst>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d;@"/>
    <numFmt numFmtId="177" formatCode="0_ ;[Red]\-0\ "/>
    <numFmt numFmtId="178" formatCode="h:mm;@"/>
    <numFmt numFmtId="179" formatCode="m&quot;月&quot;d&quot;日&quot;;@"/>
  </numFmts>
  <fonts count="70">
    <font>
      <sz val="11"/>
      <color theme="1"/>
      <name val="等线"/>
      <family val="2"/>
      <charset val="134"/>
      <scheme val="minor"/>
    </font>
    <font>
      <sz val="11"/>
      <color theme="1"/>
      <name val="等线"/>
      <family val="2"/>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等线"/>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等线"/>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等线"/>
      <family val="3"/>
      <charset val="134"/>
      <scheme val="minor"/>
    </font>
    <font>
      <u/>
      <sz val="11"/>
      <color theme="10"/>
      <name val="等线"/>
      <family val="3"/>
      <charset val="134"/>
      <scheme val="minor"/>
    </font>
    <font>
      <sz val="11"/>
      <color rgb="FF000000"/>
      <name val="微软雅黑"/>
      <family val="2"/>
      <charset val="134"/>
    </font>
    <font>
      <sz val="12"/>
      <color theme="1"/>
      <name val="宋体"/>
      <family val="3"/>
      <charset val="134"/>
    </font>
    <font>
      <sz val="12"/>
      <name val="等线"/>
      <family val="3"/>
      <charset val="134"/>
      <scheme val="minor"/>
    </font>
    <font>
      <sz val="11"/>
      <color theme="1"/>
      <name val="等线"/>
      <family val="3"/>
      <charset val="134"/>
      <scheme val="minor"/>
    </font>
    <font>
      <sz val="11"/>
      <color rgb="FF000000"/>
      <name val="Microsoft JhengHei"/>
      <family val="2"/>
      <charset val="136"/>
    </font>
    <font>
      <b/>
      <sz val="11"/>
      <color theme="1"/>
      <name val="等线"/>
      <family val="3"/>
      <charset val="134"/>
      <scheme val="minor"/>
    </font>
    <font>
      <sz val="11"/>
      <color rgb="FF000000"/>
      <name val="Microsoft YaHei UI"/>
      <family val="2"/>
      <charset val="134"/>
    </font>
    <font>
      <sz val="11"/>
      <color rgb="FF000000"/>
      <name val="等线"/>
      <family val="3"/>
      <charset val="134"/>
      <scheme val="minor"/>
    </font>
    <font>
      <sz val="12"/>
      <color rgb="FF000000"/>
      <name val="等线"/>
      <family val="3"/>
      <charset val="134"/>
      <scheme val="minor"/>
    </font>
    <font>
      <sz val="12"/>
      <color theme="1"/>
      <name val="等线"/>
      <family val="3"/>
      <charset val="134"/>
      <scheme val="minor"/>
    </font>
    <font>
      <sz val="12"/>
      <color rgb="FF333333"/>
      <name val="等线"/>
      <family val="3"/>
      <charset val="134"/>
      <scheme val="minor"/>
    </font>
    <font>
      <u/>
      <sz val="12"/>
      <color rgb="FF000000"/>
      <name val="等线"/>
      <family val="3"/>
      <charset val="134"/>
      <scheme val="minor"/>
    </font>
    <font>
      <sz val="12"/>
      <color rgb="FF000000"/>
      <name val="宋体"/>
      <family val="3"/>
      <charset val="134"/>
    </font>
    <font>
      <sz val="11"/>
      <color theme="1"/>
      <name val="Segoe UI Symbol"/>
      <family val="2"/>
    </font>
    <font>
      <sz val="11"/>
      <color theme="1"/>
      <name val="宋体"/>
      <family val="3"/>
      <charset val="134"/>
    </font>
    <font>
      <u/>
      <sz val="12"/>
      <color theme="10"/>
      <name val="等线"/>
      <family val="3"/>
      <charset val="134"/>
      <scheme val="minor"/>
    </font>
    <font>
      <b/>
      <sz val="12"/>
      <color theme="1"/>
      <name val="等线"/>
      <family val="3"/>
      <charset val="134"/>
      <scheme val="minor"/>
    </font>
    <font>
      <sz val="11"/>
      <color theme="1"/>
      <name val="微软雅黑"/>
      <family val="2"/>
      <charset val="134"/>
    </font>
    <font>
      <sz val="12"/>
      <color rgb="FF000000"/>
      <name val="Segoe UI Symbol"/>
      <family val="3"/>
    </font>
    <font>
      <sz val="11"/>
      <color rgb="FF3F3F3F"/>
      <name val="Microsoft YaHei UI"/>
      <family val="2"/>
      <charset val="134"/>
    </font>
    <font>
      <sz val="12"/>
      <color theme="1"/>
      <name val="等线"/>
      <family val="2"/>
      <scheme val="minor"/>
    </font>
    <font>
      <sz val="6"/>
      <name val="等线"/>
      <family val="3"/>
      <charset val="128"/>
      <scheme val="minor"/>
    </font>
    <font>
      <sz val="10"/>
      <color rgb="FF000000"/>
      <name val="微软雅黑"/>
      <family val="2"/>
      <charset val="134"/>
    </font>
    <font>
      <sz val="10"/>
      <color rgb="FF000000"/>
      <name val="Microsoft YaHei"/>
      <family val="2"/>
      <charset val="134"/>
    </font>
    <font>
      <sz val="12"/>
      <color theme="1"/>
      <name val="微软雅黑"/>
      <family val="2"/>
      <charset val="134"/>
    </font>
    <font>
      <sz val="9"/>
      <name val="等线"/>
      <family val="3"/>
      <charset val="134"/>
      <scheme val="minor"/>
    </font>
    <font>
      <sz val="11"/>
      <color rgb="FF000000"/>
      <name val="等线"/>
      <family val="3"/>
      <charset val="134"/>
    </font>
  </fonts>
  <fills count="7">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s>
  <borders count="14">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s>
  <cellStyleXfs count="4">
    <xf numFmtId="0" fontId="0" fillId="0" borderId="0">
      <alignment vertical="center"/>
    </xf>
    <xf numFmtId="0" fontId="37" fillId="0" borderId="0" applyNumberFormat="0" applyFill="0" applyBorder="0" applyAlignment="0" applyProtection="0">
      <alignment vertical="center"/>
    </xf>
    <xf numFmtId="0" fontId="63" fillId="0" borderId="0">
      <alignment vertical="center"/>
    </xf>
    <xf numFmtId="0" fontId="1" fillId="0" borderId="0"/>
  </cellStyleXfs>
  <cellXfs count="240">
    <xf numFmtId="0" fontId="0" fillId="0" borderId="0" xfId="0">
      <alignment vertical="center"/>
    </xf>
    <xf numFmtId="0" fontId="3" fillId="2" borderId="1" xfId="0" applyFont="1" applyFill="1" applyBorder="1" applyAlignment="1">
      <alignment horizontal="left" vertical="center"/>
    </xf>
    <xf numFmtId="0" fontId="3" fillId="0" borderId="1" xfId="0" applyFont="1" applyBorder="1" applyAlignment="1">
      <alignment horizontal="left" vertical="center"/>
    </xf>
    <xf numFmtId="0" fontId="4" fillId="0" borderId="1" xfId="0" applyFont="1" applyBorder="1" applyAlignment="1">
      <alignment vertical="center" wrapText="1"/>
    </xf>
    <xf numFmtId="0" fontId="5" fillId="0" borderId="0" xfId="0" applyFont="1" applyAlignment="1">
      <alignment horizontal="center" vertical="center"/>
    </xf>
    <xf numFmtId="0" fontId="6" fillId="0" borderId="0" xfId="0" applyFont="1" applyAlignment="1">
      <alignment horizontal="left" vertical="center"/>
    </xf>
    <xf numFmtId="0" fontId="7" fillId="0" borderId="0" xfId="0" applyFont="1" applyAlignment="1">
      <alignment horizontal="left" vertical="center"/>
    </xf>
    <xf numFmtId="0" fontId="2" fillId="0" borderId="0" xfId="0" applyFont="1" applyAlignment="1">
      <alignment vertical="center" wrapText="1"/>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0" borderId="4" xfId="0" applyFont="1" applyBorder="1" applyAlignment="1">
      <alignment horizontal="center" vertical="center" wrapText="1"/>
    </xf>
    <xf numFmtId="0" fontId="8" fillId="0" borderId="5"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5" xfId="0" applyFont="1" applyBorder="1" applyAlignment="1">
      <alignment horizontal="center" vertical="center" wrapText="1"/>
    </xf>
    <xf numFmtId="0" fontId="12" fillId="4" borderId="6" xfId="0" applyFont="1" applyFill="1" applyBorder="1" applyAlignment="1">
      <alignment horizontal="center" vertical="center" wrapText="1"/>
    </xf>
    <xf numFmtId="0" fontId="9" fillId="0" borderId="7" xfId="0" applyFont="1" applyBorder="1" applyAlignment="1">
      <alignment horizontal="center" vertical="center"/>
    </xf>
    <xf numFmtId="0" fontId="13" fillId="4" borderId="8" xfId="0" applyFont="1" applyFill="1" applyBorder="1" applyAlignment="1">
      <alignment horizontal="center" vertical="center" wrapText="1"/>
    </xf>
    <xf numFmtId="0" fontId="8" fillId="0" borderId="9" xfId="0" applyFont="1" applyBorder="1" applyAlignment="1">
      <alignment horizontal="center" vertical="center" wrapText="1"/>
    </xf>
    <xf numFmtId="0" fontId="14" fillId="0" borderId="9" xfId="0" applyFont="1" applyBorder="1" applyAlignment="1">
      <alignment vertical="center" wrapText="1"/>
    </xf>
    <xf numFmtId="0" fontId="14" fillId="0" borderId="9" xfId="0" applyFont="1" applyBorder="1" applyAlignment="1">
      <alignment horizontal="center" vertical="center" wrapText="1"/>
    </xf>
    <xf numFmtId="0" fontId="13" fillId="4" borderId="6" xfId="0" applyFont="1" applyFill="1" applyBorder="1" applyAlignment="1">
      <alignment horizontal="center" vertical="center" wrapText="1"/>
    </xf>
    <xf numFmtId="0" fontId="8" fillId="0" borderId="7" xfId="0" applyFont="1" applyBorder="1" applyAlignment="1">
      <alignment horizontal="center" vertical="center" wrapText="1"/>
    </xf>
    <xf numFmtId="0" fontId="14" fillId="0" borderId="7" xfId="0" applyFont="1" applyBorder="1" applyAlignment="1">
      <alignment horizontal="center" vertical="center" wrapText="1"/>
    </xf>
    <xf numFmtId="0" fontId="15" fillId="0" borderId="1" xfId="0" applyFont="1" applyBorder="1" applyAlignment="1">
      <alignment horizontal="center" vertical="center"/>
    </xf>
    <xf numFmtId="0" fontId="16" fillId="0" borderId="1" xfId="0" applyFont="1" applyBorder="1" applyAlignment="1">
      <alignment horizontal="center" vertical="center"/>
    </xf>
    <xf numFmtId="0" fontId="17" fillId="0" borderId="1" xfId="0" applyFont="1" applyBorder="1">
      <alignment vertical="center"/>
    </xf>
    <xf numFmtId="0" fontId="3" fillId="2" borderId="1" xfId="0" applyFont="1" applyFill="1" applyBorder="1">
      <alignment vertical="center"/>
    </xf>
    <xf numFmtId="0" fontId="3" fillId="0" borderId="1" xfId="0" applyFont="1" applyBorder="1">
      <alignment vertical="center"/>
    </xf>
    <xf numFmtId="0" fontId="17" fillId="2" borderId="1" xfId="0" applyFont="1" applyFill="1" applyBorder="1" applyAlignment="1">
      <alignment horizontal="center" vertical="center"/>
    </xf>
    <xf numFmtId="0" fontId="20" fillId="0" borderId="1" xfId="0" applyFont="1" applyBorder="1" applyAlignment="1">
      <alignment horizontal="center" vertical="center"/>
    </xf>
    <xf numFmtId="0" fontId="3" fillId="2" borderId="1" xfId="0" applyFont="1" applyFill="1" applyBorder="1" applyAlignment="1">
      <alignment horizontal="center" vertical="center"/>
    </xf>
    <xf numFmtId="0" fontId="3" fillId="0" borderId="1" xfId="0" applyFont="1" applyBorder="1" applyAlignment="1">
      <alignment horizontal="center" vertical="center"/>
    </xf>
    <xf numFmtId="0" fontId="22" fillId="0" borderId="1" xfId="0" applyFont="1" applyBorder="1" applyAlignment="1">
      <alignment horizontal="left" vertical="center"/>
    </xf>
    <xf numFmtId="0" fontId="22" fillId="0" borderId="1" xfId="0" applyFont="1" applyBorder="1" applyAlignment="1">
      <alignment horizontal="center" vertical="center"/>
    </xf>
    <xf numFmtId="0" fontId="22" fillId="0" borderId="1" xfId="0" applyFont="1" applyBorder="1" applyAlignment="1">
      <alignment horizontal="center" vertical="center" wrapText="1"/>
    </xf>
    <xf numFmtId="0" fontId="23" fillId="0" borderId="1" xfId="0" applyFont="1" applyBorder="1" applyAlignment="1">
      <alignment horizontal="left" vertical="center" wrapText="1"/>
    </xf>
    <xf numFmtId="0" fontId="24" fillId="0" borderId="1" xfId="0" applyFont="1" applyBorder="1" applyAlignment="1">
      <alignment horizontal="left" vertical="center" wrapText="1"/>
    </xf>
    <xf numFmtId="0" fontId="22" fillId="0" borderId="0" xfId="0" applyFont="1" applyAlignment="1">
      <alignment horizontal="center" vertical="center"/>
    </xf>
    <xf numFmtId="0" fontId="25" fillId="0" borderId="1" xfId="0" applyFont="1" applyBorder="1" applyAlignment="1">
      <alignment horizontal="center" vertical="center" wrapText="1"/>
    </xf>
    <xf numFmtId="0" fontId="25" fillId="0" borderId="0" xfId="0" applyFont="1" applyAlignment="1">
      <alignment horizontal="center" vertical="center"/>
    </xf>
    <xf numFmtId="0" fontId="26" fillId="0" borderId="0" xfId="0" applyFont="1" applyBorder="1" applyAlignment="1">
      <alignment horizontal="center" vertical="center"/>
    </xf>
    <xf numFmtId="0" fontId="28" fillId="0" borderId="0" xfId="0" applyFont="1" applyBorder="1" applyAlignment="1">
      <alignment horizontal="left" vertical="center" wrapText="1"/>
    </xf>
    <xf numFmtId="0" fontId="29" fillId="0" borderId="0" xfId="0" applyFont="1">
      <alignment vertical="center"/>
    </xf>
    <xf numFmtId="0" fontId="27" fillId="0" borderId="0" xfId="0" applyFont="1" applyBorder="1" applyAlignment="1">
      <alignment horizontal="center" vertical="center" wrapText="1"/>
    </xf>
    <xf numFmtId="0" fontId="0" fillId="0" borderId="0" xfId="0" applyAlignment="1">
      <alignment vertical="center" wrapText="1"/>
    </xf>
    <xf numFmtId="0" fontId="32" fillId="2" borderId="1" xfId="0" applyFont="1" applyFill="1" applyBorder="1" applyAlignment="1">
      <alignment horizontal="center" vertical="center"/>
    </xf>
    <xf numFmtId="0" fontId="3" fillId="2" borderId="10" xfId="0" applyFont="1" applyFill="1" applyBorder="1" applyAlignment="1">
      <alignment horizontal="center" vertical="center"/>
    </xf>
    <xf numFmtId="0" fontId="0" fillId="0" borderId="0" xfId="0" applyAlignment="1">
      <alignment horizontal="center" vertical="center"/>
    </xf>
    <xf numFmtId="0" fontId="3" fillId="0" borderId="11" xfId="0" applyFont="1" applyBorder="1">
      <alignment vertical="center"/>
    </xf>
    <xf numFmtId="0" fontId="33" fillId="0" borderId="11" xfId="0" applyFont="1" applyBorder="1" applyAlignment="1">
      <alignment vertical="center" wrapText="1"/>
    </xf>
    <xf numFmtId="0" fontId="2"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29" fillId="0" borderId="0" xfId="0" applyFont="1" applyAlignment="1">
      <alignment vertical="center" wrapText="1"/>
    </xf>
    <xf numFmtId="0" fontId="29" fillId="0" borderId="0" xfId="0" applyFont="1" applyAlignment="1">
      <alignment horizontal="center" vertical="center"/>
    </xf>
    <xf numFmtId="0" fontId="0" fillId="0" borderId="0" xfId="0" applyFill="1">
      <alignment vertical="center"/>
    </xf>
    <xf numFmtId="0" fontId="41" fillId="0" borderId="0" xfId="0" applyFont="1" applyAlignment="1">
      <alignment vertical="center" wrapText="1"/>
    </xf>
    <xf numFmtId="0" fontId="37" fillId="0" borderId="0" xfId="1" applyAlignment="1">
      <alignment vertical="center" wrapText="1"/>
    </xf>
    <xf numFmtId="0" fontId="0" fillId="0" borderId="1" xfId="0" applyBorder="1" applyAlignment="1">
      <alignment vertical="center" wrapText="1"/>
    </xf>
    <xf numFmtId="0" fontId="41" fillId="0" borderId="1" xfId="0" applyFont="1" applyBorder="1" applyAlignment="1">
      <alignment vertical="center" wrapText="1"/>
    </xf>
    <xf numFmtId="0" fontId="37"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2" fillId="2" borderId="0" xfId="0" applyFont="1" applyFill="1" applyAlignment="1">
      <alignment vertical="center" wrapText="1"/>
    </xf>
    <xf numFmtId="0" fontId="0" fillId="2" borderId="0" xfId="0" applyFill="1">
      <alignment vertical="center"/>
    </xf>
    <xf numFmtId="0" fontId="30" fillId="2" borderId="0" xfId="0" applyFont="1" applyFill="1">
      <alignment vertical="center"/>
    </xf>
    <xf numFmtId="0" fontId="33" fillId="0" borderId="1" xfId="0" applyFont="1" applyBorder="1" applyAlignment="1">
      <alignment vertical="center" wrapText="1"/>
    </xf>
    <xf numFmtId="0" fontId="2" fillId="0" borderId="1" xfId="0" applyFont="1" applyBorder="1" applyAlignment="1">
      <alignment vertical="center" wrapText="1"/>
    </xf>
    <xf numFmtId="0" fontId="3" fillId="0" borderId="0" xfId="0" applyFont="1" applyBorder="1">
      <alignment vertical="center"/>
    </xf>
    <xf numFmtId="0" fontId="2" fillId="0" borderId="12" xfId="0" applyFont="1" applyBorder="1" applyAlignment="1">
      <alignment vertical="center" wrapText="1"/>
    </xf>
    <xf numFmtId="0" fontId="3" fillId="0" borderId="11" xfId="0" applyFont="1" applyBorder="1" applyAlignment="1">
      <alignment horizontal="left" vertical="center"/>
    </xf>
    <xf numFmtId="0" fontId="0" fillId="0" borderId="0" xfId="0" applyBorder="1">
      <alignment vertical="center"/>
    </xf>
    <xf numFmtId="0" fontId="2" fillId="0" borderId="0" xfId="0" applyFont="1" applyBorder="1" applyAlignment="1">
      <alignment vertical="center" wrapText="1"/>
    </xf>
    <xf numFmtId="0" fontId="37" fillId="0" borderId="0" xfId="1" applyBorder="1" applyAlignment="1">
      <alignment vertical="center" wrapText="1"/>
    </xf>
    <xf numFmtId="0" fontId="43" fillId="0" borderId="0" xfId="0" applyFont="1" applyBorder="1" applyAlignment="1">
      <alignment vertical="center" wrapText="1"/>
    </xf>
    <xf numFmtId="0" fontId="35" fillId="0" borderId="0" xfId="0" applyFont="1" applyBorder="1" applyAlignment="1">
      <alignment vertical="center" wrapText="1"/>
    </xf>
    <xf numFmtId="0" fontId="3" fillId="2" borderId="1" xfId="0" applyFont="1" applyFill="1" applyBorder="1" applyAlignment="1">
      <alignment horizontal="center" vertical="center" wrapText="1"/>
    </xf>
    <xf numFmtId="0" fontId="3" fillId="0" borderId="11" xfId="0" applyFont="1" applyBorder="1" applyAlignment="1">
      <alignment vertical="center" wrapText="1"/>
    </xf>
    <xf numFmtId="0" fontId="3" fillId="0" borderId="0" xfId="0" applyFont="1" applyBorder="1" applyAlignment="1">
      <alignment vertical="center" wrapText="1"/>
    </xf>
    <xf numFmtId="0" fontId="3" fillId="0" borderId="1" xfId="0" applyFont="1" applyBorder="1" applyAlignment="1">
      <alignment vertical="center" wrapText="1"/>
    </xf>
    <xf numFmtId="0" fontId="3"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3" fillId="2" borderId="10" xfId="0" applyFont="1" applyFill="1" applyBorder="1" applyAlignment="1">
      <alignment horizontal="center" vertical="center" wrapText="1"/>
    </xf>
    <xf numFmtId="0" fontId="44" fillId="0" borderId="0" xfId="0" applyFont="1" applyAlignment="1">
      <alignment vertical="center" wrapText="1"/>
    </xf>
    <xf numFmtId="0" fontId="35" fillId="0" borderId="1" xfId="0" applyFont="1" applyBorder="1" applyAlignment="1">
      <alignment vertical="center" wrapText="1"/>
    </xf>
    <xf numFmtId="0" fontId="34" fillId="0" borderId="0" xfId="0" applyFont="1" applyBorder="1" applyAlignment="1">
      <alignment vertical="center" wrapText="1"/>
    </xf>
    <xf numFmtId="0" fontId="44" fillId="0" borderId="0" xfId="0" applyFont="1">
      <alignment vertical="center"/>
    </xf>
    <xf numFmtId="176" fontId="0" fillId="0" borderId="0" xfId="0" applyNumberFormat="1">
      <alignment vertical="center"/>
    </xf>
    <xf numFmtId="14" fontId="0" fillId="0" borderId="0" xfId="0" applyNumberFormat="1">
      <alignment vertical="center"/>
    </xf>
    <xf numFmtId="0" fontId="34" fillId="0" borderId="11" xfId="0" applyFont="1" applyBorder="1" applyAlignment="1">
      <alignment vertical="center" wrapText="1"/>
    </xf>
    <xf numFmtId="0" fontId="45" fillId="2" borderId="0" xfId="0" applyFont="1" applyFill="1" applyAlignment="1">
      <alignment horizontal="center" vertical="center" wrapText="1"/>
    </xf>
    <xf numFmtId="0" fontId="37" fillId="0" borderId="0" xfId="1">
      <alignment vertical="center"/>
    </xf>
    <xf numFmtId="0" fontId="38" fillId="0" borderId="0" xfId="0" applyFont="1" applyAlignment="1">
      <alignment vertical="center" wrapText="1"/>
    </xf>
    <xf numFmtId="0" fontId="0" fillId="5" borderId="0" xfId="0" applyFill="1" applyAlignment="1">
      <alignment horizontal="center" vertical="center"/>
    </xf>
    <xf numFmtId="0" fontId="34" fillId="0" borderId="0" xfId="0" applyFont="1" applyAlignment="1">
      <alignment vertical="center" wrapText="1"/>
    </xf>
    <xf numFmtId="0" fontId="35" fillId="0" borderId="0" xfId="0" applyFont="1" applyAlignment="1">
      <alignment vertical="center" wrapText="1"/>
    </xf>
    <xf numFmtId="0" fontId="33" fillId="0" borderId="0" xfId="0" applyFont="1" applyAlignment="1">
      <alignment vertical="center" wrapText="1"/>
    </xf>
    <xf numFmtId="0" fontId="43" fillId="0" borderId="0" xfId="0" applyFont="1" applyAlignment="1">
      <alignment vertical="center" wrapText="1"/>
    </xf>
    <xf numFmtId="0" fontId="38" fillId="0" borderId="0" xfId="0" applyFont="1" applyBorder="1" applyAlignment="1">
      <alignment vertical="center" wrapText="1"/>
    </xf>
    <xf numFmtId="0" fontId="49" fillId="0" borderId="0" xfId="0" applyFont="1" applyAlignment="1">
      <alignment vertical="center" wrapText="1"/>
    </xf>
    <xf numFmtId="0" fontId="26" fillId="0" borderId="0" xfId="0" applyFont="1" applyBorder="1" applyAlignment="1">
      <alignment horizontal="left" vertical="center"/>
    </xf>
    <xf numFmtId="0" fontId="51" fillId="2" borderId="0" xfId="0" applyFont="1" applyFill="1" applyAlignment="1">
      <alignment horizontal="center" vertical="center" wrapText="1"/>
    </xf>
    <xf numFmtId="0" fontId="51" fillId="2" borderId="0" xfId="0" applyFont="1" applyFill="1" applyAlignment="1">
      <alignment horizontal="center" vertical="center"/>
    </xf>
    <xf numFmtId="0" fontId="52" fillId="2" borderId="0" xfId="0" applyFont="1" applyFill="1" applyAlignment="1">
      <alignment horizontal="center" vertical="center"/>
    </xf>
    <xf numFmtId="0" fontId="52" fillId="0" borderId="0" xfId="0" applyFont="1">
      <alignment vertical="center"/>
    </xf>
    <xf numFmtId="0" fontId="51" fillId="0" borderId="1" xfId="0" applyFont="1" applyBorder="1" applyAlignment="1">
      <alignment horizontal="center" vertical="center"/>
    </xf>
    <xf numFmtId="0" fontId="45" fillId="0" borderId="0" xfId="0" applyFont="1" applyBorder="1" applyAlignment="1">
      <alignment horizontal="left" vertical="center" wrapText="1"/>
    </xf>
    <xf numFmtId="0" fontId="52" fillId="0" borderId="0" xfId="0" applyFont="1" applyAlignment="1">
      <alignment horizontal="center" vertical="center"/>
    </xf>
    <xf numFmtId="0" fontId="52" fillId="0" borderId="0" xfId="0" applyFont="1" applyBorder="1" applyAlignment="1">
      <alignment vertical="center" wrapText="1"/>
    </xf>
    <xf numFmtId="0" fontId="52" fillId="0" borderId="1" xfId="0" applyFont="1" applyBorder="1" applyAlignment="1">
      <alignment horizontal="center" vertical="center"/>
    </xf>
    <xf numFmtId="0" fontId="52" fillId="0" borderId="0" xfId="0" applyFont="1" applyAlignment="1">
      <alignment vertical="center" wrapText="1"/>
    </xf>
    <xf numFmtId="0" fontId="53" fillId="0" borderId="1" xfId="0" applyFont="1" applyBorder="1" applyAlignment="1">
      <alignment horizontal="center" vertical="center" wrapText="1"/>
    </xf>
    <xf numFmtId="0" fontId="51" fillId="0" borderId="1" xfId="0" applyFont="1" applyBorder="1" applyAlignment="1">
      <alignment horizontal="center" vertical="center" wrapText="1"/>
    </xf>
    <xf numFmtId="0" fontId="51" fillId="0" borderId="0" xfId="0" applyFont="1" applyBorder="1" applyAlignment="1">
      <alignment horizontal="center" vertical="center" wrapText="1"/>
    </xf>
    <xf numFmtId="0" fontId="52" fillId="0" borderId="0" xfId="0" applyFont="1" applyBorder="1" applyAlignment="1">
      <alignment horizontal="center" vertical="center"/>
    </xf>
    <xf numFmtId="0" fontId="46" fillId="0" borderId="1" xfId="0" applyFont="1" applyBorder="1" applyAlignment="1">
      <alignment vertical="center" wrapText="1"/>
    </xf>
    <xf numFmtId="0" fontId="46" fillId="0" borderId="0" xfId="0" applyFont="1" applyBorder="1" applyAlignment="1">
      <alignment vertical="center" wrapText="1"/>
    </xf>
    <xf numFmtId="0" fontId="46" fillId="0" borderId="0" xfId="0" applyFont="1" applyAlignment="1">
      <alignment vertical="center" wrapText="1"/>
    </xf>
    <xf numFmtId="0" fontId="46" fillId="0" borderId="0" xfId="0" applyFont="1">
      <alignment vertical="center"/>
    </xf>
    <xf numFmtId="0" fontId="46" fillId="0" borderId="0" xfId="0" applyFont="1" applyFill="1" applyBorder="1">
      <alignment vertical="center"/>
    </xf>
    <xf numFmtId="0" fontId="51"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Border="1" applyAlignment="1">
      <alignment horizontal="center" vertical="center" wrapText="1"/>
    </xf>
    <xf numFmtId="0" fontId="52" fillId="0" borderId="1" xfId="0" applyFont="1" applyBorder="1" applyAlignment="1">
      <alignment vertical="center" wrapText="1"/>
    </xf>
    <xf numFmtId="0" fontId="46" fillId="0" borderId="1" xfId="0" applyFont="1" applyBorder="1">
      <alignment vertical="center"/>
    </xf>
    <xf numFmtId="0" fontId="51" fillId="0" borderId="0" xfId="0" applyFont="1" applyBorder="1" applyAlignment="1">
      <alignment horizontal="center" vertical="center"/>
    </xf>
    <xf numFmtId="0" fontId="51" fillId="0" borderId="1" xfId="0" applyFont="1" applyBorder="1" applyAlignment="1">
      <alignment vertical="center" wrapText="1"/>
    </xf>
    <xf numFmtId="0" fontId="51" fillId="0" borderId="0" xfId="0" applyFont="1" applyAlignment="1">
      <alignment horizontal="left" vertical="center" wrapText="1"/>
    </xf>
    <xf numFmtId="0" fontId="42" fillId="0" borderId="0" xfId="1" applyFont="1" applyBorder="1" applyAlignment="1">
      <alignment horizontal="left" vertical="center" wrapText="1"/>
    </xf>
    <xf numFmtId="0" fontId="53" fillId="0" borderId="0" xfId="0" applyFont="1" applyBorder="1" applyAlignment="1">
      <alignment horizontal="center" vertical="center"/>
    </xf>
    <xf numFmtId="0" fontId="46" fillId="0" borderId="0" xfId="0" applyFont="1" applyFill="1">
      <alignment vertical="center"/>
    </xf>
    <xf numFmtId="0" fontId="54" fillId="0" borderId="0" xfId="0" applyFont="1" applyBorder="1" applyAlignment="1">
      <alignment horizontal="left" vertical="center" wrapText="1"/>
    </xf>
    <xf numFmtId="0" fontId="51" fillId="0" borderId="0" xfId="0" applyFont="1" applyBorder="1" applyAlignment="1">
      <alignment horizontal="left" vertical="center" wrapText="1"/>
    </xf>
    <xf numFmtId="0" fontId="42" fillId="0" borderId="0" xfId="1" applyFont="1" applyAlignment="1">
      <alignment vertical="center" wrapText="1"/>
    </xf>
    <xf numFmtId="0" fontId="52" fillId="0" borderId="0" xfId="0" applyFont="1" applyBorder="1" applyAlignment="1">
      <alignment horizontal="center" vertical="center" wrapText="1"/>
    </xf>
    <xf numFmtId="0" fontId="45" fillId="0" borderId="0" xfId="0" applyFont="1" applyFill="1" applyBorder="1" applyAlignment="1">
      <alignment vertical="center" wrapText="1"/>
    </xf>
    <xf numFmtId="0" fontId="52" fillId="2" borderId="0" xfId="0" applyFont="1" applyFill="1">
      <alignment vertical="center"/>
    </xf>
    <xf numFmtId="177" fontId="45" fillId="0" borderId="0" xfId="0" applyNumberFormat="1" applyFont="1" applyBorder="1" applyAlignment="1">
      <alignment horizontal="center" vertical="center" wrapText="1"/>
    </xf>
    <xf numFmtId="177" fontId="46" fillId="0" borderId="0" xfId="0" applyNumberFormat="1" applyFont="1" applyBorder="1" applyAlignment="1">
      <alignment horizontal="center" vertical="center" wrapText="1"/>
    </xf>
    <xf numFmtId="177" fontId="46" fillId="0" borderId="0" xfId="0" applyNumberFormat="1" applyFont="1" applyFill="1" applyBorder="1" applyAlignment="1">
      <alignment horizontal="center" vertical="center"/>
    </xf>
    <xf numFmtId="177" fontId="42" fillId="0" borderId="0" xfId="1" applyNumberFormat="1" applyFont="1" applyBorder="1" applyAlignment="1">
      <alignment horizontal="center" vertical="center" wrapText="1"/>
    </xf>
    <xf numFmtId="177" fontId="45" fillId="0" borderId="0" xfId="0" applyNumberFormat="1" applyFont="1" applyFill="1" applyBorder="1" applyAlignment="1">
      <alignment horizontal="center" vertical="center" wrapText="1"/>
    </xf>
    <xf numFmtId="177" fontId="45" fillId="2" borderId="0" xfId="0" applyNumberFormat="1" applyFont="1" applyFill="1" applyBorder="1" applyAlignment="1">
      <alignment horizontal="center" vertical="center" wrapText="1"/>
    </xf>
    <xf numFmtId="49" fontId="45" fillId="0" borderId="0" xfId="0" applyNumberFormat="1" applyFont="1" applyBorder="1" applyAlignment="1">
      <alignment horizontal="left" vertical="center" wrapText="1"/>
    </xf>
    <xf numFmtId="0" fontId="51" fillId="0" borderId="0" xfId="0" applyFont="1" applyFill="1" applyBorder="1" applyAlignment="1">
      <alignment vertical="center" wrapText="1"/>
    </xf>
    <xf numFmtId="0" fontId="45" fillId="6" borderId="0" xfId="0" applyFont="1" applyFill="1" applyBorder="1" applyAlignment="1">
      <alignment horizontal="left" vertical="center" wrapText="1"/>
    </xf>
    <xf numFmtId="177" fontId="45" fillId="6" borderId="0" xfId="0" applyNumberFormat="1" applyFont="1" applyFill="1" applyBorder="1" applyAlignment="1">
      <alignment horizontal="center" vertical="center" wrapText="1"/>
    </xf>
    <xf numFmtId="0" fontId="42" fillId="0" borderId="0" xfId="1" applyFont="1" applyBorder="1" applyAlignment="1">
      <alignment vertical="center" wrapText="1"/>
    </xf>
    <xf numFmtId="0" fontId="46" fillId="0" borderId="0" xfId="0" applyFont="1" applyBorder="1" applyAlignment="1">
      <alignment horizontal="center" vertical="center" wrapText="1"/>
    </xf>
    <xf numFmtId="49" fontId="46" fillId="0" borderId="0" xfId="0" applyNumberFormat="1" applyFont="1" applyBorder="1" applyAlignment="1">
      <alignment vertical="center" wrapText="1"/>
    </xf>
    <xf numFmtId="49" fontId="42" fillId="0" borderId="0" xfId="1" applyNumberFormat="1" applyFont="1" applyBorder="1" applyAlignment="1">
      <alignment horizontal="left" vertical="center" wrapText="1"/>
    </xf>
    <xf numFmtId="49" fontId="46" fillId="0" borderId="0" xfId="0" applyNumberFormat="1" applyFont="1" applyFill="1" applyBorder="1" applyAlignment="1">
      <alignment vertical="center" wrapText="1"/>
    </xf>
    <xf numFmtId="0" fontId="41" fillId="0" borderId="0" xfId="0" applyFont="1" applyBorder="1" applyAlignment="1">
      <alignment vertical="center" wrapText="1"/>
    </xf>
    <xf numFmtId="0" fontId="46" fillId="0" borderId="0" xfId="0" applyFont="1" applyBorder="1">
      <alignment vertical="center"/>
    </xf>
    <xf numFmtId="49" fontId="37" fillId="0" borderId="0" xfId="1" applyNumberFormat="1" applyBorder="1" applyAlignment="1">
      <alignment horizontal="left" vertical="center" wrapText="1"/>
    </xf>
    <xf numFmtId="0" fontId="37" fillId="0" borderId="1" xfId="1" applyBorder="1">
      <alignment vertical="center"/>
    </xf>
    <xf numFmtId="0" fontId="46" fillId="0" borderId="13" xfId="0" applyFont="1" applyBorder="1" applyAlignment="1">
      <alignment vertical="center" wrapText="1"/>
    </xf>
    <xf numFmtId="0" fontId="51" fillId="0" borderId="13" xfId="0" applyFont="1" applyBorder="1" applyAlignment="1">
      <alignment horizontal="center" vertical="center" wrapText="1"/>
    </xf>
    <xf numFmtId="0" fontId="52" fillId="0" borderId="13" xfId="0" applyFont="1" applyBorder="1" applyAlignment="1">
      <alignment horizontal="center" vertical="center"/>
    </xf>
    <xf numFmtId="0" fontId="41" fillId="0" borderId="13" xfId="0" applyFont="1" applyBorder="1" applyAlignment="1">
      <alignment vertical="center" wrapText="1"/>
    </xf>
    <xf numFmtId="0" fontId="51" fillId="0" borderId="13" xfId="0" applyFont="1" applyBorder="1" applyAlignment="1">
      <alignment horizontal="center" vertical="center"/>
    </xf>
    <xf numFmtId="0" fontId="51" fillId="2" borderId="0" xfId="0" applyFont="1" applyFill="1" applyBorder="1" applyAlignment="1">
      <alignment horizontal="center" vertical="center" wrapText="1"/>
    </xf>
    <xf numFmtId="0" fontId="51" fillId="2" borderId="0" xfId="0" applyFont="1" applyFill="1" applyBorder="1" applyAlignment="1">
      <alignment horizontal="center" vertical="center"/>
    </xf>
    <xf numFmtId="49" fontId="45" fillId="2" borderId="0" xfId="0" applyNumberFormat="1" applyFont="1" applyFill="1" applyBorder="1" applyAlignment="1">
      <alignment horizontal="center" vertical="center" wrapText="1"/>
    </xf>
    <xf numFmtId="0" fontId="45" fillId="2" borderId="0" xfId="0" applyFont="1" applyFill="1" applyBorder="1" applyAlignment="1">
      <alignment horizontal="center" vertical="center" wrapText="1"/>
    </xf>
    <xf numFmtId="0" fontId="0" fillId="0" borderId="0" xfId="0" applyFill="1" applyBorder="1">
      <alignment vertical="center"/>
    </xf>
    <xf numFmtId="0" fontId="41" fillId="0" borderId="0" xfId="0" applyFont="1" applyBorder="1" applyAlignment="1">
      <alignment horizontal="center" vertical="center" wrapText="1"/>
    </xf>
    <xf numFmtId="0" fontId="0" fillId="0" borderId="0" xfId="0" applyFill="1" applyBorder="1" applyAlignment="1">
      <alignment vertical="center" wrapText="1"/>
    </xf>
    <xf numFmtId="49" fontId="45" fillId="0" borderId="0" xfId="0" applyNumberFormat="1" applyFont="1" applyFill="1" applyBorder="1" applyAlignment="1">
      <alignment vertical="center" wrapText="1"/>
    </xf>
    <xf numFmtId="177" fontId="46" fillId="0" borderId="0" xfId="0" applyNumberFormat="1" applyFont="1" applyBorder="1" applyAlignment="1">
      <alignment horizontal="center" vertical="center"/>
    </xf>
    <xf numFmtId="49" fontId="50" fillId="0" borderId="0" xfId="0" applyNumberFormat="1" applyFont="1" applyBorder="1" applyAlignment="1">
      <alignment vertical="center" wrapText="1"/>
    </xf>
    <xf numFmtId="0" fontId="52" fillId="2" borderId="0" xfId="0" applyFont="1" applyFill="1" applyBorder="1" applyAlignment="1">
      <alignment horizontal="center" vertical="center" wrapText="1"/>
    </xf>
    <xf numFmtId="0" fontId="0" fillId="0" borderId="0" xfId="0" applyFill="1" applyAlignment="1">
      <alignment horizontal="center" vertical="center"/>
    </xf>
    <xf numFmtId="0" fontId="52" fillId="0" borderId="0" xfId="0" applyFont="1" applyAlignment="1">
      <alignment horizontal="center" vertical="center" wrapText="1"/>
    </xf>
    <xf numFmtId="0" fontId="53" fillId="0" borderId="0" xfId="0" applyFont="1" applyFill="1" applyBorder="1" applyAlignment="1">
      <alignment horizontal="center" vertical="center" wrapText="1"/>
    </xf>
    <xf numFmtId="0" fontId="52" fillId="0" borderId="13" xfId="0" applyFont="1" applyBorder="1" applyAlignment="1">
      <alignment vertical="center" wrapText="1"/>
    </xf>
    <xf numFmtId="0" fontId="46" fillId="0" borderId="13" xfId="0" applyFont="1" applyBorder="1">
      <alignment vertical="center"/>
    </xf>
    <xf numFmtId="0" fontId="51" fillId="0" borderId="13" xfId="0" applyFont="1" applyBorder="1" applyAlignment="1">
      <alignment vertical="center" wrapText="1"/>
    </xf>
    <xf numFmtId="0" fontId="43" fillId="0" borderId="11" xfId="0" applyFont="1" applyBorder="1" applyAlignment="1">
      <alignment vertical="center" wrapText="1"/>
    </xf>
    <xf numFmtId="0" fontId="33" fillId="0" borderId="0" xfId="0" applyFont="1" applyBorder="1" applyAlignment="1">
      <alignment vertical="center" wrapText="1"/>
    </xf>
    <xf numFmtId="0" fontId="48" fillId="0" borderId="11" xfId="0" applyFont="1" applyBorder="1">
      <alignment vertical="center"/>
    </xf>
    <xf numFmtId="0" fontId="37" fillId="0" borderId="11" xfId="1" applyBorder="1" applyAlignment="1">
      <alignment vertical="center" wrapText="1"/>
    </xf>
    <xf numFmtId="49" fontId="45" fillId="0" borderId="1" xfId="0" applyNumberFormat="1" applyFont="1" applyBorder="1" applyAlignment="1">
      <alignment horizontal="left" vertical="center" wrapText="1"/>
    </xf>
    <xf numFmtId="0" fontId="37" fillId="0" borderId="0" xfId="1" applyFill="1" applyBorder="1">
      <alignment vertical="center"/>
    </xf>
    <xf numFmtId="0" fontId="49" fillId="0" borderId="0" xfId="0" applyFont="1" applyBorder="1" applyAlignment="1">
      <alignment vertical="center" wrapText="1"/>
    </xf>
    <xf numFmtId="176" fontId="0" fillId="0" borderId="1" xfId="0" applyNumberFormat="1" applyBorder="1">
      <alignment vertical="center"/>
    </xf>
    <xf numFmtId="0" fontId="45" fillId="0" borderId="1" xfId="0" applyFont="1" applyBorder="1" applyAlignment="1">
      <alignment horizontal="left" vertical="center" wrapText="1"/>
    </xf>
    <xf numFmtId="0" fontId="55" fillId="0" borderId="0" xfId="0" applyFont="1" applyFill="1" applyBorder="1" applyAlignment="1">
      <alignment horizontal="left" vertical="center" wrapText="1" readingOrder="1"/>
    </xf>
    <xf numFmtId="0" fontId="36" fillId="0" borderId="1" xfId="0" applyFont="1" applyBorder="1" applyAlignment="1">
      <alignment vertical="center" wrapText="1"/>
    </xf>
    <xf numFmtId="0" fontId="52" fillId="0" borderId="12" xfId="0" applyFont="1" applyBorder="1" applyAlignment="1">
      <alignment horizontal="center" vertical="center" wrapText="1"/>
    </xf>
    <xf numFmtId="0" fontId="51" fillId="0" borderId="11" xfId="0" applyFont="1" applyBorder="1" applyAlignment="1">
      <alignment horizontal="center" vertical="center" wrapText="1"/>
    </xf>
    <xf numFmtId="0" fontId="53" fillId="0" borderId="11" xfId="0" applyFont="1" applyBorder="1" applyAlignment="1">
      <alignment horizontal="center" vertical="center" wrapText="1"/>
    </xf>
    <xf numFmtId="49" fontId="45" fillId="0" borderId="12" xfId="0" applyNumberFormat="1" applyFont="1" applyBorder="1" applyAlignment="1">
      <alignment horizontal="left" vertical="center" wrapText="1"/>
    </xf>
    <xf numFmtId="49" fontId="45" fillId="0" borderId="11" xfId="0" applyNumberFormat="1" applyFont="1" applyBorder="1" applyAlignment="1">
      <alignment horizontal="left" vertical="center" wrapText="1"/>
    </xf>
    <xf numFmtId="0" fontId="45" fillId="0" borderId="12" xfId="0" applyFont="1" applyBorder="1" applyAlignment="1">
      <alignment horizontal="left" vertical="center" wrapText="1"/>
    </xf>
    <xf numFmtId="0" fontId="45" fillId="0" borderId="11" xfId="0" applyFont="1" applyBorder="1" applyAlignment="1">
      <alignment horizontal="left" vertical="center" wrapText="1"/>
    </xf>
    <xf numFmtId="0" fontId="3" fillId="0" borderId="13" xfId="0" applyFont="1" applyBorder="1">
      <alignment vertical="center"/>
    </xf>
    <xf numFmtId="0" fontId="51" fillId="0" borderId="11" xfId="0" applyFont="1" applyBorder="1" applyAlignment="1">
      <alignment horizontal="center" vertical="center"/>
    </xf>
    <xf numFmtId="0" fontId="29" fillId="0" borderId="1" xfId="0" applyFont="1" applyBorder="1" applyAlignment="1">
      <alignment vertical="center" wrapText="1"/>
    </xf>
    <xf numFmtId="0" fontId="51" fillId="0" borderId="11" xfId="0" applyFont="1" applyBorder="1" applyAlignment="1">
      <alignment vertical="center" wrapText="1"/>
    </xf>
    <xf numFmtId="0" fontId="35" fillId="0" borderId="11" xfId="0" applyFont="1" applyBorder="1" applyAlignment="1">
      <alignment vertical="center" wrapText="1"/>
    </xf>
    <xf numFmtId="0" fontId="0" fillId="0" borderId="13" xfId="0" applyBorder="1">
      <alignment vertical="center"/>
    </xf>
    <xf numFmtId="0" fontId="44" fillId="0" borderId="1" xfId="0" applyFont="1" applyBorder="1">
      <alignment vertical="center"/>
    </xf>
    <xf numFmtId="0" fontId="57" fillId="0" borderId="0" xfId="0" applyFont="1">
      <alignment vertical="center"/>
    </xf>
    <xf numFmtId="0" fontId="53" fillId="0" borderId="0" xfId="0" applyFont="1" applyBorder="1" applyAlignment="1">
      <alignment horizontal="left" vertical="center" wrapText="1"/>
    </xf>
    <xf numFmtId="0" fontId="51" fillId="0" borderId="0" xfId="0" applyFont="1" applyBorder="1" applyAlignment="1">
      <alignment horizontal="left" vertical="center"/>
    </xf>
    <xf numFmtId="176" fontId="52" fillId="0" borderId="0" xfId="0" applyNumberFormat="1" applyFont="1" applyAlignment="1">
      <alignment horizontal="right" vertical="center"/>
    </xf>
    <xf numFmtId="176" fontId="52" fillId="0" borderId="0" xfId="0" applyNumberFormat="1" applyFont="1">
      <alignment vertical="center"/>
    </xf>
    <xf numFmtId="0" fontId="52" fillId="0" borderId="0" xfId="0" applyNumberFormat="1" applyFont="1">
      <alignment vertical="center"/>
    </xf>
    <xf numFmtId="0" fontId="52" fillId="0" borderId="0" xfId="0" applyFont="1" applyFill="1">
      <alignment vertical="center"/>
    </xf>
    <xf numFmtId="0" fontId="58" fillId="0" borderId="0" xfId="1" applyFont="1">
      <alignment vertical="center"/>
    </xf>
    <xf numFmtId="0" fontId="59" fillId="0" borderId="0" xfId="0" applyFont="1">
      <alignment vertical="center"/>
    </xf>
    <xf numFmtId="0" fontId="52" fillId="0" borderId="1" xfId="0" applyFont="1" applyBorder="1">
      <alignment vertical="center"/>
    </xf>
    <xf numFmtId="0" fontId="52" fillId="0" borderId="0" xfId="0" applyFont="1" applyBorder="1">
      <alignment vertical="center"/>
    </xf>
    <xf numFmtId="0" fontId="58" fillId="0" borderId="0" xfId="1" applyFont="1" applyFill="1">
      <alignment vertical="center"/>
    </xf>
    <xf numFmtId="0" fontId="51" fillId="0" borderId="0" xfId="0" applyFont="1" applyAlignment="1">
      <alignment vertical="center" wrapText="1"/>
    </xf>
    <xf numFmtId="0" fontId="37" fillId="0" borderId="0" xfId="1" applyFill="1">
      <alignment vertical="center"/>
    </xf>
    <xf numFmtId="0" fontId="56" fillId="0" borderId="0" xfId="0" applyFont="1">
      <alignment vertical="center"/>
    </xf>
    <xf numFmtId="0" fontId="61" fillId="0" borderId="0" xfId="0" applyFont="1" applyBorder="1" applyAlignment="1">
      <alignment horizontal="center" vertical="center" wrapText="1"/>
    </xf>
    <xf numFmtId="0" fontId="61" fillId="0" borderId="0" xfId="0" applyFont="1" applyAlignment="1">
      <alignment horizontal="left" vertical="center" wrapText="1"/>
    </xf>
    <xf numFmtId="0" fontId="62" fillId="0" borderId="0" xfId="0" applyFont="1">
      <alignment vertical="center"/>
    </xf>
    <xf numFmtId="0" fontId="56" fillId="0" borderId="0" xfId="0" applyFont="1" applyAlignment="1">
      <alignment horizontal="center" vertical="center"/>
    </xf>
    <xf numFmtId="0" fontId="63" fillId="0" borderId="0" xfId="2">
      <alignment vertical="center"/>
    </xf>
    <xf numFmtId="0" fontId="65" fillId="0" borderId="0" xfId="2" applyFont="1">
      <alignment vertical="center"/>
    </xf>
    <xf numFmtId="0" fontId="66" fillId="0" borderId="0" xfId="2" applyFont="1">
      <alignment vertical="center"/>
    </xf>
    <xf numFmtId="178" fontId="65" fillId="0" borderId="0" xfId="2" applyNumberFormat="1" applyFont="1">
      <alignment vertical="center"/>
    </xf>
    <xf numFmtId="178" fontId="66" fillId="0" borderId="0" xfId="2" applyNumberFormat="1" applyFont="1">
      <alignment vertical="center"/>
    </xf>
    <xf numFmtId="179" fontId="66" fillId="0" borderId="0" xfId="2" applyNumberFormat="1" applyFont="1">
      <alignment vertical="center"/>
    </xf>
    <xf numFmtId="0" fontId="65" fillId="0" borderId="0" xfId="2" applyFont="1" applyAlignment="1">
      <alignment horizontal="center" vertical="center"/>
    </xf>
    <xf numFmtId="0" fontId="66" fillId="0" borderId="0" xfId="2" applyFont="1" applyAlignment="1">
      <alignment horizontal="center" vertical="center"/>
    </xf>
    <xf numFmtId="0" fontId="1" fillId="0" borderId="0" xfId="3"/>
    <xf numFmtId="0" fontId="1" fillId="0" borderId="0" xfId="3" applyAlignment="1">
      <alignment horizontal="left"/>
    </xf>
    <xf numFmtId="0" fontId="1" fillId="2" borderId="0" xfId="3" applyFill="1" applyAlignment="1">
      <alignment horizontal="left"/>
    </xf>
    <xf numFmtId="0" fontId="1" fillId="2" borderId="0" xfId="3" applyFill="1"/>
    <xf numFmtId="0" fontId="60" fillId="0" borderId="0" xfId="3" applyFont="1" applyAlignment="1">
      <alignment horizontal="left"/>
    </xf>
    <xf numFmtId="0" fontId="30" fillId="0" borderId="0" xfId="3" applyFont="1"/>
    <xf numFmtId="176" fontId="1" fillId="2" borderId="0" xfId="3" applyNumberFormat="1" applyFill="1" applyAlignment="1">
      <alignment horizontal="left" vertical="center"/>
    </xf>
    <xf numFmtId="0" fontId="1" fillId="2" borderId="0" xfId="3" applyFill="1" applyAlignment="1">
      <alignment horizontal="center" vertical="center"/>
    </xf>
  </cellXfs>
  <cellStyles count="4">
    <cellStyle name="常规" xfId="0" builtinId="0"/>
    <cellStyle name="常规 2" xfId="2" xr:uid="{B4D44F78-A479-44D3-AB60-6DBB008679A1}"/>
    <cellStyle name="常规 3" xfId="3" xr:uid="{1B9574BF-7467-4BEF-98FB-F3305DAF01E7}"/>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bbs.ziye114.com/detail/mailtnancypark@cdhfund.com" TargetMode="External"/><Relationship Id="rId21" Type="http://schemas.openxmlformats.org/officeDocument/2006/relationships/hyperlink" Target="mailto:orionrl@sina.cn" TargetMode="External"/><Relationship Id="rId42" Type="http://schemas.openxmlformats.org/officeDocument/2006/relationships/hyperlink" Target="mailto:yiping@dragonbridgecapital.com" TargetMode="External"/><Relationship Id="rId63" Type="http://schemas.openxmlformats.org/officeDocument/2006/relationships/hyperlink" Target="mailto:dannychung@zero2ipo.com.cn" TargetMode="External"/><Relationship Id="rId84" Type="http://schemas.openxmlformats.org/officeDocument/2006/relationships/hyperlink" Target="mailto:ouyxy@legendcapital.com.cn" TargetMode="External"/><Relationship Id="rId138" Type="http://schemas.openxmlformats.org/officeDocument/2006/relationships/hyperlink" Target="http://bbs.ziye114.com/detail/mailtyusuli@sohu.com" TargetMode="External"/><Relationship Id="rId107" Type="http://schemas.openxmlformats.org/officeDocument/2006/relationships/hyperlink" Target="http://bbs.ziye114.com/detail/mailtgaoshen@newmargin.com" TargetMode="External"/><Relationship Id="rId11" Type="http://schemas.openxmlformats.org/officeDocument/2006/relationships/hyperlink" Target="mailto:xie@sequoiacap.com" TargetMode="External"/><Relationship Id="rId32" Type="http://schemas.openxmlformats.org/officeDocument/2006/relationships/hyperlink" Target="mailto:yorkchen@idtechventures.com.cn" TargetMode="External"/><Relationship Id="rId53" Type="http://schemas.openxmlformats.org/officeDocument/2006/relationships/hyperlink" Target="mailto:xli@szvc.com,cn" TargetMode="External"/><Relationship Id="rId74" Type="http://schemas.openxmlformats.org/officeDocument/2006/relationships/hyperlink" Target="mailto:ken@gobi.cn" TargetMode="External"/><Relationship Id="rId128" Type="http://schemas.openxmlformats.org/officeDocument/2006/relationships/hyperlink" Target="http://bbs.ziye114.com/detail/mailtwchen@szvc.com.cn" TargetMode="External"/><Relationship Id="rId149" Type="http://schemas.openxmlformats.org/officeDocument/2006/relationships/hyperlink" Target="http://bbs.ziye114.com/detail/mailtfzhao@sbaif.com" TargetMode="External"/><Relationship Id="rId5" Type="http://schemas.openxmlformats.org/officeDocument/2006/relationships/hyperlink" Target="http://www.dragonvestpartners.com.cn/" TargetMode="External"/><Relationship Id="rId95" Type="http://schemas.openxmlformats.org/officeDocument/2006/relationships/hyperlink" Target="http://bbs.ziye114.com/detail/mailtqueenlijia@gmail.com" TargetMode="External"/><Relationship Id="rId22" Type="http://schemas.openxmlformats.org/officeDocument/2006/relationships/hyperlink" Target="mailto:jwang@asiatechgrop.com" TargetMode="External"/><Relationship Id="rId43" Type="http://schemas.openxmlformats.org/officeDocument/2006/relationships/hyperlink" Target="mailto:whopeman@jefferies.com" TargetMode="External"/><Relationship Id="rId64" Type="http://schemas.openxmlformats.org/officeDocument/2006/relationships/hyperlink" Target="mailto:vincent.chan@jafcoasia.com" TargetMode="External"/><Relationship Id="rId118" Type="http://schemas.openxmlformats.org/officeDocument/2006/relationships/hyperlink" Target="http://bbs.ziye114.com/detail/mailtyanai@gobivc.com" TargetMode="External"/><Relationship Id="rId139" Type="http://schemas.openxmlformats.org/officeDocument/2006/relationships/hyperlink" Target="http://bbs.ziye114.com/detail/mailtbode_pyl@sina.com" TargetMode="External"/><Relationship Id="rId80" Type="http://schemas.openxmlformats.org/officeDocument/2006/relationships/hyperlink" Target="mailto:david@tdfcapital.com" TargetMode="External"/><Relationship Id="rId85" Type="http://schemas.openxmlformats.org/officeDocument/2006/relationships/hyperlink" Target="mailto:tsuda@jaic.com.hk" TargetMode="External"/><Relationship Id="rId150" Type="http://schemas.openxmlformats.org/officeDocument/2006/relationships/hyperlink" Target="http://bbs.ziye114.com/detail/mailtdyang@sbaif.com" TargetMode="External"/><Relationship Id="rId155" Type="http://schemas.openxmlformats.org/officeDocument/2006/relationships/hyperlink" Target="http://bbs.ziye114.com/detail/mailtkangzhm@zero2ipo.com.cn" TargetMode="External"/><Relationship Id="rId12" Type="http://schemas.openxmlformats.org/officeDocument/2006/relationships/hyperlink" Target="mailto:exu@sbaif.com" TargetMode="External"/><Relationship Id="rId17" Type="http://schemas.openxmlformats.org/officeDocument/2006/relationships/hyperlink" Target="mailto:fei_yang@idgvc.com.cn" TargetMode="External"/><Relationship Id="rId33" Type="http://schemas.openxmlformats.org/officeDocument/2006/relationships/hyperlink" Target="mailto:cadol.cheung@intel.com" TargetMode="External"/><Relationship Id="rId38" Type="http://schemas.openxmlformats.org/officeDocument/2006/relationships/hyperlink" Target="mailto:ben.ngai@citigroup.com" TargetMode="External"/><Relationship Id="rId59" Type="http://schemas.openxmlformats.org/officeDocument/2006/relationships/hyperlink" Target="mailto:orionrl@sina.cn" TargetMode="External"/><Relationship Id="rId103" Type="http://schemas.openxmlformats.org/officeDocument/2006/relationships/hyperlink" Target="http://bbs.ziye114.com/detail/mailtlqf@chinaequity.net" TargetMode="External"/><Relationship Id="rId108" Type="http://schemas.openxmlformats.org/officeDocument/2006/relationships/hyperlink" Target="http://bbs.ziye114.com/detail/mailtfei_yang@idgvc.com.cn" TargetMode="External"/><Relationship Id="rId124" Type="http://schemas.openxmlformats.org/officeDocument/2006/relationships/hyperlink" Target="http://bbs.ziye114.com/detail/mailtlucyluan@rogers.com" TargetMode="External"/><Relationship Id="rId129" Type="http://schemas.openxmlformats.org/officeDocument/2006/relationships/hyperlink" Target="http://bbs.ziye114.com/detail/mailtsy@ffgci.com.cn" TargetMode="External"/><Relationship Id="rId54" Type="http://schemas.openxmlformats.org/officeDocument/2006/relationships/hyperlink" Target="mailto:wang.z@c-snd.com" TargetMode="External"/><Relationship Id="rId70" Type="http://schemas.openxmlformats.org/officeDocument/2006/relationships/hyperlink" Target="mailto:forrest@tdfcapital.com" TargetMode="External"/><Relationship Id="rId75" Type="http://schemas.openxmlformats.org/officeDocument/2006/relationships/hyperlink" Target="mailto:ryang@orchidasia.com" TargetMode="External"/><Relationship Id="rId91" Type="http://schemas.openxmlformats.org/officeDocument/2006/relationships/hyperlink" Target="http://bbs.ziye114.com/detail/mailtsji@sequoiacap.com" TargetMode="External"/><Relationship Id="rId96" Type="http://schemas.openxmlformats.org/officeDocument/2006/relationships/hyperlink" Target="http://bbs.ziye114.com/detail/mailtalvin@dfj.com" TargetMode="External"/><Relationship Id="rId140" Type="http://schemas.openxmlformats.org/officeDocument/2006/relationships/hyperlink" Target="http://bbs.ziye114.com/detail/mailtye@ceyuanvc.com" TargetMode="External"/><Relationship Id="rId145" Type="http://schemas.openxmlformats.org/officeDocument/2006/relationships/hyperlink" Target="http://bbs.ziye114.com/detail/mailtjliu@sbaif.com" TargetMode="External"/><Relationship Id="rId1" Type="http://schemas.openxmlformats.org/officeDocument/2006/relationships/hyperlink" Target="mailto:intel.capital.proposals@intel.com" TargetMode="External"/><Relationship Id="rId6" Type="http://schemas.openxmlformats.org/officeDocument/2006/relationships/hyperlink" Target="mailto:kathyxu@capitaltoday.com----" TargetMode="External"/><Relationship Id="rId23" Type="http://schemas.openxmlformats.org/officeDocument/2006/relationships/hyperlink" Target="mailto:liueh@legendcapital.com.cn" TargetMode="External"/><Relationship Id="rId28" Type="http://schemas.openxmlformats.org/officeDocument/2006/relationships/hyperlink" Target="mailto:yanai@gobivc.com" TargetMode="External"/><Relationship Id="rId49" Type="http://schemas.openxmlformats.org/officeDocument/2006/relationships/hyperlink" Target="mailto:bchiang@waldenintl.com" TargetMode="External"/><Relationship Id="rId114" Type="http://schemas.openxmlformats.org/officeDocument/2006/relationships/hyperlink" Target="http://bbs.ziye114.com/detail/mailtned.fox@global.cn" TargetMode="External"/><Relationship Id="rId119" Type="http://schemas.openxmlformats.org/officeDocument/2006/relationships/hyperlink" Target="http://bbs.ziye114.com/detail/mailtqyma@time-iv.com" TargetMode="External"/><Relationship Id="rId44" Type="http://schemas.openxmlformats.org/officeDocument/2006/relationships/hyperlink" Target="mailto:BarryChung@idtechventures.com.tw" TargetMode="External"/><Relationship Id="rId60" Type="http://schemas.openxmlformats.org/officeDocument/2006/relationships/hyperlink" Target="mailto:tina@tdfcapital.com" TargetMode="External"/><Relationship Id="rId65" Type="http://schemas.openxmlformats.org/officeDocument/2006/relationships/hyperlink" Target="mailto:wenyong.le@jafcoasia.com" TargetMode="External"/><Relationship Id="rId81" Type="http://schemas.openxmlformats.org/officeDocument/2006/relationships/hyperlink" Target="mailto:hans@bvp.com" TargetMode="External"/><Relationship Id="rId86" Type="http://schemas.openxmlformats.org/officeDocument/2006/relationships/hyperlink" Target="mailto:unee@jaic.com.hk" TargetMode="External"/><Relationship Id="rId130" Type="http://schemas.openxmlformats.org/officeDocument/2006/relationships/hyperlink" Target="http://bbs.ziye114.com/detail/mailthwong@ggvc.com" TargetMode="External"/><Relationship Id="rId135" Type="http://schemas.openxmlformats.org/officeDocument/2006/relationships/hyperlink" Target="http://bbs.ziye114.com/detail/mailtzxp008@sina.com" TargetMode="External"/><Relationship Id="rId151" Type="http://schemas.openxmlformats.org/officeDocument/2006/relationships/hyperlink" Target="http://bbs.ziye114.com/detail/mailtzhang@sequoiacap.com" TargetMode="External"/><Relationship Id="rId156" Type="http://schemas.openxmlformats.org/officeDocument/2006/relationships/hyperlink" Target="http://bbs.ziye114.com/detail/mailtsuyang_zhang@idgvc.com.cn" TargetMode="External"/><Relationship Id="rId13" Type="http://schemas.openxmlformats.org/officeDocument/2006/relationships/hyperlink" Target="mailto:lqf@chinaequity.net" TargetMode="External"/><Relationship Id="rId18" Type="http://schemas.openxmlformats.org/officeDocument/2006/relationships/hyperlink" Target="mailto:jzhou@sbaif.com" TargetMode="External"/><Relationship Id="rId39" Type="http://schemas.openxmlformats.org/officeDocument/2006/relationships/hyperlink" Target="mailto:wujm@asiapharm.biz" TargetMode="External"/><Relationship Id="rId109" Type="http://schemas.openxmlformats.org/officeDocument/2006/relationships/hyperlink" Target="http://bbs.ziye114.com/detail/mailtjzhou@sbaif.com" TargetMode="External"/><Relationship Id="rId34" Type="http://schemas.openxmlformats.org/officeDocument/2006/relationships/hyperlink" Target="mailto:LesterHo@idtechventures.com.tw" TargetMode="External"/><Relationship Id="rId50" Type="http://schemas.openxmlformats.org/officeDocument/2006/relationships/hyperlink" Target="mailto:chenshi@0101go.com" TargetMode="External"/><Relationship Id="rId55" Type="http://schemas.openxmlformats.org/officeDocument/2006/relationships/hyperlink" Target="mailto:york@staff.pchome.com.tw" TargetMode="External"/><Relationship Id="rId76" Type="http://schemas.openxmlformats.org/officeDocument/2006/relationships/hyperlink" Target="mailto:orionrl@sina.cn" TargetMode="External"/><Relationship Id="rId97" Type="http://schemas.openxmlformats.org/officeDocument/2006/relationships/hyperlink" Target="http://bbs.ziye114.com/detail/mailtliulin@handia.com.cn" TargetMode="External"/><Relationship Id="rId104" Type="http://schemas.openxmlformats.org/officeDocument/2006/relationships/hyperlink" Target="mailto:orionrl@sina.cn" TargetMode="External"/><Relationship Id="rId120" Type="http://schemas.openxmlformats.org/officeDocument/2006/relationships/hyperlink" Target="http://bbs.ziye114.com/detail/mailtAlex@GSRventures.com" TargetMode="External"/><Relationship Id="rId125" Type="http://schemas.openxmlformats.org/officeDocument/2006/relationships/hyperlink" Target="http://bbs.ziye114.com/detail/mailtharry@hdconsulting.com.cn" TargetMode="External"/><Relationship Id="rId141" Type="http://schemas.openxmlformats.org/officeDocument/2006/relationships/hyperlink" Target="http://bbs.ziye114.com/detail/mailtboyd@itechvc.com" TargetMode="External"/><Relationship Id="rId146" Type="http://schemas.openxmlformats.org/officeDocument/2006/relationships/hyperlink" Target="http://bbs.ziye114.com/detail/mailtsgao@sbaif.com" TargetMode="External"/><Relationship Id="rId7" Type="http://schemas.openxmlformats.org/officeDocument/2006/relationships/hyperlink" Target="mailto:liulin@handia.com.cn" TargetMode="External"/><Relationship Id="rId71" Type="http://schemas.openxmlformats.org/officeDocument/2006/relationships/hyperlink" Target="mailto:ansenwang@ebicc.com" TargetMode="External"/><Relationship Id="rId92" Type="http://schemas.openxmlformats.org/officeDocument/2006/relationships/hyperlink" Target="http://bbs.ziye114.com/detail/mailtkathyxu@capitaltoday.com" TargetMode="External"/><Relationship Id="rId2" Type="http://schemas.openxmlformats.org/officeDocument/2006/relationships/hyperlink" Target="http://www.idgvc.com/" TargetMode="External"/><Relationship Id="rId29" Type="http://schemas.openxmlformats.org/officeDocument/2006/relationships/hyperlink" Target="mailto:wanggq@cdhfund.com" TargetMode="External"/><Relationship Id="rId24" Type="http://schemas.openxmlformats.org/officeDocument/2006/relationships/hyperlink" Target="mailto:ned.fox@global.cn" TargetMode="External"/><Relationship Id="rId40" Type="http://schemas.openxmlformats.org/officeDocument/2006/relationships/hyperlink" Target="mailto:zhutao@0101go.com" TargetMode="External"/><Relationship Id="rId45" Type="http://schemas.openxmlformats.org/officeDocument/2006/relationships/hyperlink" Target="mailto:EdwardLeung@idtechventures.com.tw" TargetMode="External"/><Relationship Id="rId66" Type="http://schemas.openxmlformats.org/officeDocument/2006/relationships/hyperlink" Target="mailto:jzhou@sbaif.com" TargetMode="External"/><Relationship Id="rId87" Type="http://schemas.openxmlformats.org/officeDocument/2006/relationships/hyperlink" Target="mailto:fei_yang@idgvc.com.cn" TargetMode="External"/><Relationship Id="rId110" Type="http://schemas.openxmlformats.org/officeDocument/2006/relationships/hyperlink" Target="http://bbs.ziye114.com/detail/mailtyorkchen@idtechventures.com.cn" TargetMode="External"/><Relationship Id="rId115" Type="http://schemas.openxmlformats.org/officeDocument/2006/relationships/hyperlink" Target="http://bbs.ziye114.com/detail/mailthang.zhang@global.cn" TargetMode="External"/><Relationship Id="rId131" Type="http://schemas.openxmlformats.org/officeDocument/2006/relationships/hyperlink" Target="http://bbs.ziye114.com/detail/mailtrobin@gbpartner.com" TargetMode="External"/><Relationship Id="rId136" Type="http://schemas.openxmlformats.org/officeDocument/2006/relationships/hyperlink" Target="http://bbs.ziye114.com/detail/mailtyan.song@lehman.com" TargetMode="External"/><Relationship Id="rId157" Type="http://schemas.openxmlformats.org/officeDocument/2006/relationships/hyperlink" Target="http://bbs.ziye114.com/detail/mailtyorkchen@idtechventures.com.cn" TargetMode="External"/><Relationship Id="rId61" Type="http://schemas.openxmlformats.org/officeDocument/2006/relationships/hyperlink" Target="mailto:dcoulter@ifc.org" TargetMode="External"/><Relationship Id="rId82" Type="http://schemas.openxmlformats.org/officeDocument/2006/relationships/hyperlink" Target="mailto:peter.hsieh@asiavest.com" TargetMode="External"/><Relationship Id="rId152" Type="http://schemas.openxmlformats.org/officeDocument/2006/relationships/hyperlink" Target="http://bbs.ziye114.com/detail/mailtguishg@zero2ipo.com.cn" TargetMode="External"/><Relationship Id="rId19" Type="http://schemas.openxmlformats.org/officeDocument/2006/relationships/hyperlink" Target="mailto:yorkchen@idtechventures.com.cn" TargetMode="External"/><Relationship Id="rId14" Type="http://schemas.openxmlformats.org/officeDocument/2006/relationships/hyperlink" Target="mailto:yanC@leadvc.com" TargetMode="External"/><Relationship Id="rId30" Type="http://schemas.openxmlformats.org/officeDocument/2006/relationships/hyperlink" Target="mailto:kangzhm@zero2ipo.com.cn" TargetMode="External"/><Relationship Id="rId35" Type="http://schemas.openxmlformats.org/officeDocument/2006/relationships/hyperlink" Target="mailto:mimi.li@intel.com" TargetMode="External"/><Relationship Id="rId56" Type="http://schemas.openxmlformats.org/officeDocument/2006/relationships/hyperlink" Target="mailto:lbtan@waldenintl.com" TargetMode="External"/><Relationship Id="rId77" Type="http://schemas.openxmlformats.org/officeDocument/2006/relationships/hyperlink" Target="mailto:skwok@orchidasia.com" TargetMode="External"/><Relationship Id="rId100" Type="http://schemas.openxmlformats.org/officeDocument/2006/relationships/hyperlink" Target="http://bbs.ziye114.com/detail/mailtping.wei@wiharper.com.cn" TargetMode="External"/><Relationship Id="rId105" Type="http://schemas.openxmlformats.org/officeDocument/2006/relationships/hyperlink" Target="http://bbs.ziye114.com/detail/mailtyanC@leadvc.com" TargetMode="External"/><Relationship Id="rId126" Type="http://schemas.openxmlformats.org/officeDocument/2006/relationships/hyperlink" Target="http://bbs.ziye114.com/detail/mailtxiey@leadvc.com" TargetMode="External"/><Relationship Id="rId147" Type="http://schemas.openxmlformats.org/officeDocument/2006/relationships/hyperlink" Target="http://bbs.ziye114.com/detail/mailtjxu@sbaif.com" TargetMode="External"/><Relationship Id="rId8" Type="http://schemas.openxmlformats.org/officeDocument/2006/relationships/hyperlink" Target="mailto:re.liang@wiharper.com.cn" TargetMode="External"/><Relationship Id="rId51" Type="http://schemas.openxmlformats.org/officeDocument/2006/relationships/hyperlink" Target="mailto:133110@sina.com" TargetMode="External"/><Relationship Id="rId72" Type="http://schemas.openxmlformats.org/officeDocument/2006/relationships/hyperlink" Target="mailto:shawnshen@ebicc.com" TargetMode="External"/><Relationship Id="rId93" Type="http://schemas.openxmlformats.org/officeDocument/2006/relationships/hyperlink" Target="http://bbs.ziye114.com/detail/mailtvczhouquan@gmail.com" TargetMode="External"/><Relationship Id="rId98" Type="http://schemas.openxmlformats.org/officeDocument/2006/relationships/hyperlink" Target="http://bbs.ziye114.com/detail/mailtre.liang@wiharper.com.cn" TargetMode="External"/><Relationship Id="rId121" Type="http://schemas.openxmlformats.org/officeDocument/2006/relationships/hyperlink" Target="http://bbs.ziye114.com/detail/mailtvictorleung@hsbc.com.hk" TargetMode="External"/><Relationship Id="rId142" Type="http://schemas.openxmlformats.org/officeDocument/2006/relationships/hyperlink" Target="http://bbs.ziye114.com/detail/mailtzhang@siemens.com" TargetMode="External"/><Relationship Id="rId3" Type="http://schemas.openxmlformats.org/officeDocument/2006/relationships/hyperlink" Target="http://www.sbaif.com/" TargetMode="External"/><Relationship Id="rId25" Type="http://schemas.openxmlformats.org/officeDocument/2006/relationships/hyperlink" Target="mailto:hang.zhang@global.cn" TargetMode="External"/><Relationship Id="rId46" Type="http://schemas.openxmlformats.org/officeDocument/2006/relationships/hyperlink" Target="mailto:Richardchang@idtechventures.com.tw" TargetMode="External"/><Relationship Id="rId67" Type="http://schemas.openxmlformats.org/officeDocument/2006/relationships/hyperlink" Target="mailto:hli@waldenintl.com" TargetMode="External"/><Relationship Id="rId116" Type="http://schemas.openxmlformats.org/officeDocument/2006/relationships/hyperlink" Target="http://bbs.ziye114.com/detail/mailtfuxin.sheng@global.cn" TargetMode="External"/><Relationship Id="rId137" Type="http://schemas.openxmlformats.org/officeDocument/2006/relationships/hyperlink" Target="http://bbs.ziye114.com/detail/mailtzhaobin01@vip.sina.com" TargetMode="External"/><Relationship Id="rId20" Type="http://schemas.openxmlformats.org/officeDocument/2006/relationships/hyperlink" Target="mailto:Alex@GSRventures.com" TargetMode="External"/><Relationship Id="rId41" Type="http://schemas.openxmlformats.org/officeDocument/2006/relationships/hyperlink" Target="mailto:xqz@shenlingroup.com" TargetMode="External"/><Relationship Id="rId62" Type="http://schemas.openxmlformats.org/officeDocument/2006/relationships/hyperlink" Target="mailto:robert_chiu@ml.com" TargetMode="External"/><Relationship Id="rId83" Type="http://schemas.openxmlformats.org/officeDocument/2006/relationships/hyperlink" Target="mailto:xiaoning.xia@aifcapital.com" TargetMode="External"/><Relationship Id="rId88" Type="http://schemas.openxmlformats.org/officeDocument/2006/relationships/hyperlink" Target="mailto:alvin@dfj.com" TargetMode="External"/><Relationship Id="rId111" Type="http://schemas.openxmlformats.org/officeDocument/2006/relationships/hyperlink" Target="http://bbs.ziye114.com/detail/mailtAlex@GSRventures.com" TargetMode="External"/><Relationship Id="rId132" Type="http://schemas.openxmlformats.org/officeDocument/2006/relationships/hyperlink" Target="http://bbs.ziye114.com/detail/mailthaiyang@cdhfund.com" TargetMode="External"/><Relationship Id="rId153" Type="http://schemas.openxmlformats.org/officeDocument/2006/relationships/hyperlink" Target="http://bbs.ziye114.com/detail/mailtwanglp@zero2ipo.com.cn" TargetMode="External"/><Relationship Id="rId15" Type="http://schemas.openxmlformats.org/officeDocument/2006/relationships/hyperlink" Target="mailto:jlee@ggvc.com" TargetMode="External"/><Relationship Id="rId36" Type="http://schemas.openxmlformats.org/officeDocument/2006/relationships/hyperlink" Target="mailto:kuantai.yeh@intel.com" TargetMode="External"/><Relationship Id="rId57" Type="http://schemas.openxmlformats.org/officeDocument/2006/relationships/hyperlink" Target="mailto:roman.shaw@dragontechventures.com" TargetMode="External"/><Relationship Id="rId106" Type="http://schemas.openxmlformats.org/officeDocument/2006/relationships/hyperlink" Target="http://bbs.ziye114.com/detail/mailtjlee@ggvc.com" TargetMode="External"/><Relationship Id="rId127" Type="http://schemas.openxmlformats.org/officeDocument/2006/relationships/hyperlink" Target="http://bbs.ziye114.com/detail/mailtjwang@sopafgroup.it" TargetMode="External"/><Relationship Id="rId10" Type="http://schemas.openxmlformats.org/officeDocument/2006/relationships/hyperlink" Target="mailto:ping.wei@wiharper.com.cn" TargetMode="External"/><Relationship Id="rId31" Type="http://schemas.openxmlformats.org/officeDocument/2006/relationships/hyperlink" Target="mailto:suyang_zhang@idgvc.com.cn" TargetMode="External"/><Relationship Id="rId52" Type="http://schemas.openxmlformats.org/officeDocument/2006/relationships/hyperlink" Target="mailto:shen@sequoiacap.com" TargetMode="External"/><Relationship Id="rId73" Type="http://schemas.openxmlformats.org/officeDocument/2006/relationships/hyperlink" Target="mailto:steve.chen@TTSCentral.com" TargetMode="External"/><Relationship Id="rId78" Type="http://schemas.openxmlformats.org/officeDocument/2006/relationships/hyperlink" Target="mailto:conradtsang@bpepasia.com" TargetMode="External"/><Relationship Id="rId94" Type="http://schemas.openxmlformats.org/officeDocument/2006/relationships/hyperlink" Target="http://bbs.ziye114.com/detail/mailtayeh@sbcvc.com" TargetMode="External"/><Relationship Id="rId99" Type="http://schemas.openxmlformats.org/officeDocument/2006/relationships/hyperlink" Target="http://bbs.ziye114.com/detail/mailtmarc.wang@wiharper.com.cn" TargetMode="External"/><Relationship Id="rId101" Type="http://schemas.openxmlformats.org/officeDocument/2006/relationships/hyperlink" Target="http://bbs.ziye114.com/detail/mailtxie@sequoiacap.com" TargetMode="External"/><Relationship Id="rId122" Type="http://schemas.openxmlformats.org/officeDocument/2006/relationships/hyperlink" Target="http://bbs.ziye114.com/detail/mailtnrlt@ni-vc.com" TargetMode="External"/><Relationship Id="rId143" Type="http://schemas.openxmlformats.org/officeDocument/2006/relationships/hyperlink" Target="http://bbs.ziye114.com/detail/mailtgang_kevin_wang@yahoo.com" TargetMode="External"/><Relationship Id="rId148" Type="http://schemas.openxmlformats.org/officeDocument/2006/relationships/hyperlink" Target="http://bbs.ziye114.com/detail/mailtyzhao@sbaif.com" TargetMode="External"/><Relationship Id="rId4" Type="http://schemas.openxmlformats.org/officeDocument/2006/relationships/hyperlink" Target="http://www.cdhfund.com/" TargetMode="External"/><Relationship Id="rId9" Type="http://schemas.openxmlformats.org/officeDocument/2006/relationships/hyperlink" Target="mailto:marc.wang@wiharper.com.cn" TargetMode="External"/><Relationship Id="rId26" Type="http://schemas.openxmlformats.org/officeDocument/2006/relationships/hyperlink" Target="mailto:fuxin.sheng@global.cn" TargetMode="External"/><Relationship Id="rId47" Type="http://schemas.openxmlformats.org/officeDocument/2006/relationships/hyperlink" Target="mailto:zhouhb@legendcapital.com.cn" TargetMode="External"/><Relationship Id="rId68" Type="http://schemas.openxmlformats.org/officeDocument/2006/relationships/hyperlink" Target="mailto:dannylui@zero2ipo.com.cn" TargetMode="External"/><Relationship Id="rId89" Type="http://schemas.openxmlformats.org/officeDocument/2006/relationships/hyperlink" Target="mailto:jlee@ggvc.com" TargetMode="External"/><Relationship Id="rId112" Type="http://schemas.openxmlformats.org/officeDocument/2006/relationships/hyperlink" Target="http://bbs.ziye114.com/detail/mailtjwang@asiatechgrop.com" TargetMode="External"/><Relationship Id="rId133" Type="http://schemas.openxmlformats.org/officeDocument/2006/relationships/hyperlink" Target="http://bbs.ziye114.com/detail/mailtscmak@waldenintl.com" TargetMode="External"/><Relationship Id="rId154" Type="http://schemas.openxmlformats.org/officeDocument/2006/relationships/hyperlink" Target="http://bbs.ziye114.com/detail/mailtwanggq@cdhfund.com" TargetMode="External"/><Relationship Id="rId16" Type="http://schemas.openxmlformats.org/officeDocument/2006/relationships/hyperlink" Target="mailto:gaoshen@newmargin.com" TargetMode="External"/><Relationship Id="rId37" Type="http://schemas.openxmlformats.org/officeDocument/2006/relationships/hyperlink" Target="mailto:yangm@zero2ipo.com.cn" TargetMode="External"/><Relationship Id="rId58" Type="http://schemas.openxmlformats.org/officeDocument/2006/relationships/hyperlink" Target="mailto:hwong@ggvc.com" TargetMode="External"/><Relationship Id="rId79" Type="http://schemas.openxmlformats.org/officeDocument/2006/relationships/hyperlink" Target="mailto:shaohui.chen@wiharper.com.cn" TargetMode="External"/><Relationship Id="rId102" Type="http://schemas.openxmlformats.org/officeDocument/2006/relationships/hyperlink" Target="http://bbs.ziye114.com/detail/mailtexu@sbaif.com" TargetMode="External"/><Relationship Id="rId123" Type="http://schemas.openxmlformats.org/officeDocument/2006/relationships/hyperlink" Target="http://bbs.ziye114.com/detail/mailtthwang@acorncampus.com" TargetMode="External"/><Relationship Id="rId144" Type="http://schemas.openxmlformats.org/officeDocument/2006/relationships/hyperlink" Target="http://bbs.ziye114.com/detail/mailtdavidaia@tom.com" TargetMode="External"/><Relationship Id="rId90" Type="http://schemas.openxmlformats.org/officeDocument/2006/relationships/hyperlink" Target="mailto:ayeh@sbcvc.com" TargetMode="External"/><Relationship Id="rId27" Type="http://schemas.openxmlformats.org/officeDocument/2006/relationships/hyperlink" Target="mailto:nancypark@cdhfund.com" TargetMode="External"/><Relationship Id="rId48" Type="http://schemas.openxmlformats.org/officeDocument/2006/relationships/hyperlink" Target="mailto:zhuf@tsinghua-sz.edu.cn" TargetMode="External"/><Relationship Id="rId69" Type="http://schemas.openxmlformats.org/officeDocument/2006/relationships/hyperlink" Target="mailto:orionrl@sina.cn" TargetMode="External"/><Relationship Id="rId113" Type="http://schemas.openxmlformats.org/officeDocument/2006/relationships/hyperlink" Target="http://bbs.ziye114.com/detail/mailtliueh@legendcapital.com.cn" TargetMode="External"/><Relationship Id="rId134" Type="http://schemas.openxmlformats.org/officeDocument/2006/relationships/hyperlink" Target="http://bbs.ziye114.com/detail/mailteva@chinaventure.com.cn"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mailto:invest@taishanangel.com" TargetMode="External"/><Relationship Id="rId13" Type="http://schemas.openxmlformats.org/officeDocument/2006/relationships/hyperlink" Target="mailto:xiangmu@ziben360.com" TargetMode="External"/><Relationship Id="rId3" Type="http://schemas.openxmlformats.org/officeDocument/2006/relationships/hyperlink" Target="mailto:jason@decentcapital.com" TargetMode="External"/><Relationship Id="rId7" Type="http://schemas.openxmlformats.org/officeDocument/2006/relationships/hyperlink" Target="mailto:info@capitaltoday.com" TargetMode="External"/><Relationship Id="rId12" Type="http://schemas.openxmlformats.org/officeDocument/2006/relationships/hyperlink" Target="mailto:businessplan@dcm.com"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11" Type="http://schemas.openxmlformats.org/officeDocument/2006/relationships/hyperlink" Target="mailto:bp@tsingcapital.com" TargetMode="External"/><Relationship Id="rId5" Type="http://schemas.openxmlformats.org/officeDocument/2006/relationships/hyperlink" Target="mailto:chenhuijun@360.cn" TargetMode="External"/><Relationship Id="rId15" Type="http://schemas.openxmlformats.org/officeDocument/2006/relationships/printerSettings" Target="../printerSettings/printerSettings2.bin"/><Relationship Id="rId10" Type="http://schemas.openxmlformats.org/officeDocument/2006/relationships/hyperlink" Target="mailto:baiyaming@msqz.com" TargetMode="External"/><Relationship Id="rId4" Type="http://schemas.openxmlformats.org/officeDocument/2006/relationships/hyperlink" Target="mailto:chao.j.zhao@gmail.com" TargetMode="External"/><Relationship Id="rId9" Type="http://schemas.openxmlformats.org/officeDocument/2006/relationships/hyperlink" Target="mailto:huyi@htcc.sh.cn" TargetMode="External"/><Relationship Id="rId14" Type="http://schemas.openxmlformats.org/officeDocument/2006/relationships/hyperlink" Target="mailto:wangsheng@cmschina.co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sherry.zhang@qingsongfund.com" TargetMode="External"/><Relationship Id="rId13" Type="http://schemas.openxmlformats.org/officeDocument/2006/relationships/printerSettings" Target="../printerSettings/printerSettings3.bin"/><Relationship Id="rId3" Type="http://schemas.openxmlformats.org/officeDocument/2006/relationships/hyperlink" Target="mailto:fei_yang@idgvc.com.cn" TargetMode="External"/><Relationship Id="rId7" Type="http://schemas.openxmlformats.org/officeDocument/2006/relationships/hyperlink" Target="mailto:ci.zhang@qingsongfund.com" TargetMode="External"/><Relationship Id="rId12" Type="http://schemas.openxmlformats.org/officeDocument/2006/relationships/hyperlink" Target="mailto:ning.gao@qingsongfund.com" TargetMode="Externa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hyperlink" Target="mailto:ren.bp@qingsongfund.com" TargetMode="External"/><Relationship Id="rId11" Type="http://schemas.openxmlformats.org/officeDocument/2006/relationships/hyperlink" Target="mailto:abner.bp@qingsongfund.com" TargetMode="External"/><Relationship Id="rId5" Type="http://schemas.openxmlformats.org/officeDocument/2006/relationships/hyperlink" Target="mailto:alvin@dfj.com" TargetMode="External"/><Relationship Id="rId15" Type="http://schemas.openxmlformats.org/officeDocument/2006/relationships/comments" Target="../comments1.xml"/><Relationship Id="rId10" Type="http://schemas.openxmlformats.org/officeDocument/2006/relationships/hyperlink" Target="mailto:hangqi.liu@qingsongfund.com" TargetMode="External"/><Relationship Id="rId4" Type="http://schemas.openxmlformats.org/officeDocument/2006/relationships/hyperlink" Target="mailto:ayeh@sbcvc.com" TargetMode="External"/><Relationship Id="rId9" Type="http://schemas.openxmlformats.org/officeDocument/2006/relationships/hyperlink" Target="mailto:deyang.bp@qingsongfund.com" TargetMode="External"/><Relationship Id="rId1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6" Type="http://schemas.openxmlformats.org/officeDocument/2006/relationships/hyperlink" Target="mailto:777@ginkgo.net.cn" TargetMode="External"/><Relationship Id="rId21" Type="http://schemas.openxmlformats.org/officeDocument/2006/relationships/hyperlink" Target="mailto:Yonghua@yonghuacapital.com.cn" TargetMode="External"/><Relationship Id="rId34" Type="http://schemas.openxmlformats.org/officeDocument/2006/relationships/hyperlink" Target="https://www.matrixpartners.com.cn/" TargetMode="External"/><Relationship Id="rId42" Type="http://schemas.openxmlformats.org/officeDocument/2006/relationships/hyperlink" Target="mailto:wilson@3wcoffee.com" TargetMode="External"/><Relationship Id="rId47" Type="http://schemas.openxmlformats.org/officeDocument/2006/relationships/hyperlink" Target="http://www.shhqtzfz.com/" TargetMode="External"/><Relationship Id="rId50" Type="http://schemas.openxmlformats.org/officeDocument/2006/relationships/hyperlink" Target="http://www.legendcapital.com.cn/" TargetMode="External"/><Relationship Id="rId55" Type="http://schemas.openxmlformats.org/officeDocument/2006/relationships/hyperlink" Target="mailto:bp@zckj.net" TargetMode="External"/><Relationship Id="rId63" Type="http://schemas.openxmlformats.org/officeDocument/2006/relationships/hyperlink" Target="mailto:bp@joycapital.com.cn" TargetMode="External"/><Relationship Id="rId68" Type="http://schemas.openxmlformats.org/officeDocument/2006/relationships/comments" Target="../comments2.xml"/><Relationship Id="rId7" Type="http://schemas.openxmlformats.org/officeDocument/2006/relationships/hyperlink" Target="mailto:xm@longling.com" TargetMode="External"/><Relationship Id="rId2" Type="http://schemas.openxmlformats.org/officeDocument/2006/relationships/hyperlink" Target="http://www.zhenfund.com/" TargetMode="External"/><Relationship Id="rId16" Type="http://schemas.openxmlformats.org/officeDocument/2006/relationships/hyperlink" Target="http://www.plumventures.cn/" TargetMode="External"/><Relationship Id="rId29" Type="http://schemas.openxmlformats.org/officeDocument/2006/relationships/hyperlink" Target="mailto:tmt@cashcapital.cn" TargetMode="External"/><Relationship Id="rId11" Type="http://schemas.openxmlformats.org/officeDocument/2006/relationships/hyperlink" Target="mailto:angel@legendstar.com.cn" TargetMode="External"/><Relationship Id="rId24" Type="http://schemas.openxmlformats.org/officeDocument/2006/relationships/hyperlink" Target="mailto:jeff.chi@vickersventure.com" TargetMode="External"/><Relationship Id="rId32" Type="http://schemas.openxmlformats.org/officeDocument/2006/relationships/hyperlink" Target="mailto:bp@bluelakecap.com" TargetMode="External"/><Relationship Id="rId37" Type="http://schemas.openxmlformats.org/officeDocument/2006/relationships/hyperlink" Target="mailto:info@capitaltoday.com" TargetMode="External"/><Relationship Id="rId40" Type="http://schemas.openxmlformats.org/officeDocument/2006/relationships/hyperlink" Target="mailto:costone_jishi@hotmail.com" TargetMode="External"/><Relationship Id="rId45" Type="http://schemas.openxmlformats.org/officeDocument/2006/relationships/hyperlink" Target="mailto:vcangelbp@gmail.com" TargetMode="External"/><Relationship Id="rId53" Type="http://schemas.openxmlformats.org/officeDocument/2006/relationships/hyperlink" Target="mailto:bp@jingbei.com.cn" TargetMode="External"/><Relationship Id="rId58" Type="http://schemas.openxmlformats.org/officeDocument/2006/relationships/hyperlink" Target="mailto:medical@wr-capital.com" TargetMode="External"/><Relationship Id="rId66" Type="http://schemas.openxmlformats.org/officeDocument/2006/relationships/printerSettings" Target="../printerSettings/printerSettings4.bin"/><Relationship Id="rId5" Type="http://schemas.openxmlformats.org/officeDocument/2006/relationships/hyperlink" Target="mailto:hi@k2vc.com" TargetMode="External"/><Relationship Id="rId61" Type="http://schemas.openxmlformats.org/officeDocument/2006/relationships/hyperlink" Target="mailto:media@wr-capital.com" TargetMode="External"/><Relationship Id="rId19" Type="http://schemas.openxmlformats.org/officeDocument/2006/relationships/hyperlink" Target="http://capital.xdf.cn/index.html" TargetMode="External"/><Relationship Id="rId14" Type="http://schemas.openxmlformats.org/officeDocument/2006/relationships/hyperlink" Target="http://www.unityvc.com/" TargetMode="External"/><Relationship Id="rId22" Type="http://schemas.openxmlformats.org/officeDocument/2006/relationships/hyperlink" Target="mailto:qingsongfund@qingsongfund.com" TargetMode="External"/><Relationship Id="rId27" Type="http://schemas.openxmlformats.org/officeDocument/2006/relationships/hyperlink" Target="mailto:zj@xwinvest.com.cn" TargetMode="External"/><Relationship Id="rId30" Type="http://schemas.openxmlformats.org/officeDocument/2006/relationships/hyperlink" Target="mailto:bp@ibecapital.com" TargetMode="External"/><Relationship Id="rId35" Type="http://schemas.openxmlformats.org/officeDocument/2006/relationships/hyperlink" Target="mailto:bp@preangelfund.cn" TargetMode="External"/><Relationship Id="rId43" Type="http://schemas.openxmlformats.org/officeDocument/2006/relationships/hyperlink" Target="mailto:szfvc@szfvc.com" TargetMode="External"/><Relationship Id="rId48" Type="http://schemas.openxmlformats.org/officeDocument/2006/relationships/hyperlink" Target="https://www.capitalnuts.com/" TargetMode="External"/><Relationship Id="rId56" Type="http://schemas.openxmlformats.org/officeDocument/2006/relationships/hyperlink" Target="mailto:education@wr-capital.com" TargetMode="External"/><Relationship Id="rId64" Type="http://schemas.openxmlformats.org/officeDocument/2006/relationships/hyperlink" Target="mailto:bp@longcapital.cn" TargetMode="External"/><Relationship Id="rId8" Type="http://schemas.openxmlformats.org/officeDocument/2006/relationships/hyperlink" Target="http://www.apluscap.com/" TargetMode="External"/><Relationship Id="rId51" Type="http://schemas.openxmlformats.org/officeDocument/2006/relationships/hyperlink" Target="mailto:bp@future-cap.com" TargetMode="External"/><Relationship Id="rId3" Type="http://schemas.openxmlformats.org/officeDocument/2006/relationships/hyperlink" Target="http://www.chuangxin.com/" TargetMode="External"/><Relationship Id="rId12" Type="http://schemas.openxmlformats.org/officeDocument/2006/relationships/hyperlink" Target="http://www.amebacapital.com/" TargetMode="External"/><Relationship Id="rId17" Type="http://schemas.openxmlformats.org/officeDocument/2006/relationships/hyperlink" Target="mailto:bp@idgcapital.com" TargetMode="External"/><Relationship Id="rId25" Type="http://schemas.openxmlformats.org/officeDocument/2006/relationships/hyperlink" Target="mailto:bp@newsionvc.com" TargetMode="External"/><Relationship Id="rId33" Type="http://schemas.openxmlformats.org/officeDocument/2006/relationships/hyperlink" Target="http://www.bluelakecap.com/" TargetMode="External"/><Relationship Id="rId38" Type="http://schemas.openxmlformats.org/officeDocument/2006/relationships/hyperlink" Target="mailto:contact@sbcvc.com" TargetMode="External"/><Relationship Id="rId46" Type="http://schemas.openxmlformats.org/officeDocument/2006/relationships/hyperlink" Target="https://www.fenglaninvest.com/" TargetMode="External"/><Relationship Id="rId59" Type="http://schemas.openxmlformats.org/officeDocument/2006/relationships/hyperlink" Target="mailto:IM@wr-capital.com" TargetMode="External"/><Relationship Id="rId67" Type="http://schemas.openxmlformats.org/officeDocument/2006/relationships/vmlDrawing" Target="../drawings/vmlDrawing3.vml"/><Relationship Id="rId20" Type="http://schemas.openxmlformats.org/officeDocument/2006/relationships/hyperlink" Target="mailto:deals@shunwei.com" TargetMode="External"/><Relationship Id="rId41" Type="http://schemas.openxmlformats.org/officeDocument/2006/relationships/hyperlink" Target="mailto:postmaster@chengxinvc.com" TargetMode="External"/><Relationship Id="rId54" Type="http://schemas.openxmlformats.org/officeDocument/2006/relationships/hyperlink" Target="mailto:brirenhui111@vip.sina.com" TargetMode="External"/><Relationship Id="rId62" Type="http://schemas.openxmlformats.org/officeDocument/2006/relationships/hyperlink" Target="mailto:bp@yxgzb&#12290;Com" TargetMode="External"/><Relationship Id="rId1" Type="http://schemas.openxmlformats.org/officeDocument/2006/relationships/hyperlink" Target="mailto:bp-shenzhen@chuangxin.com" TargetMode="External"/><Relationship Id="rId6" Type="http://schemas.openxmlformats.org/officeDocument/2006/relationships/hyperlink" Target="mailto:bp@innoangel.com" TargetMode="External"/><Relationship Id="rId15" Type="http://schemas.openxmlformats.org/officeDocument/2006/relationships/hyperlink" Target="mailto:contatc@unityvc.com" TargetMode="External"/><Relationship Id="rId23" Type="http://schemas.openxmlformats.org/officeDocument/2006/relationships/hyperlink" Target="mailto:bp@bertelsmann.com" TargetMode="External"/><Relationship Id="rId28" Type="http://schemas.openxmlformats.org/officeDocument/2006/relationships/hyperlink" Target="mailto:bp@shunrongvc.com" TargetMode="External"/><Relationship Id="rId36" Type="http://schemas.openxmlformats.org/officeDocument/2006/relationships/hyperlink" Target="mailto:chinahk@waldenintl.com" TargetMode="External"/><Relationship Id="rId49" Type="http://schemas.openxmlformats.org/officeDocument/2006/relationships/hyperlink" Target="http://www.thejiangmen.com/" TargetMode="External"/><Relationship Id="rId57" Type="http://schemas.openxmlformats.org/officeDocument/2006/relationships/hyperlink" Target="mailto:TMT@wr-capital.com" TargetMode="External"/><Relationship Id="rId10" Type="http://schemas.openxmlformats.org/officeDocument/2006/relationships/hyperlink" Target="http://www.legendstar.com.cn/" TargetMode="External"/><Relationship Id="rId31" Type="http://schemas.openxmlformats.org/officeDocument/2006/relationships/hyperlink" Target="http://www.ibecapital.com/" TargetMode="External"/><Relationship Id="rId44" Type="http://schemas.openxmlformats.org/officeDocument/2006/relationships/hyperlink" Target="mailto:master@szvc.com.cn" TargetMode="External"/><Relationship Id="rId52" Type="http://schemas.openxmlformats.org/officeDocument/2006/relationships/hyperlink" Target="http://www.future-cap.com/" TargetMode="External"/><Relationship Id="rId60" Type="http://schemas.openxmlformats.org/officeDocument/2006/relationships/hyperlink" Target="mailto:energy@wr-capital.com" TargetMode="External"/><Relationship Id="rId65" Type="http://schemas.openxmlformats.org/officeDocument/2006/relationships/hyperlink" Target="mailto:bp@rivervc.com" TargetMode="External"/><Relationship Id="rId4" Type="http://schemas.openxmlformats.org/officeDocument/2006/relationships/hyperlink" Target="http://www.k2vc.com/" TargetMode="External"/><Relationship Id="rId9" Type="http://schemas.openxmlformats.org/officeDocument/2006/relationships/hyperlink" Target="mailto:bp@apluscap.com" TargetMode="External"/><Relationship Id="rId13" Type="http://schemas.openxmlformats.org/officeDocument/2006/relationships/hyperlink" Target="mailto:amebacapital@amebacapital.com" TargetMode="External"/><Relationship Id="rId18" Type="http://schemas.openxmlformats.org/officeDocument/2006/relationships/hyperlink" Target="mailto:dream@zhenfund.com" TargetMode="External"/><Relationship Id="rId39" Type="http://schemas.openxmlformats.org/officeDocument/2006/relationships/hyperlink" Target="mailto:info@sig-china.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A2423"/>
  <sheetViews>
    <sheetView topLeftCell="A97" workbookViewId="0">
      <selection activeCell="A11" sqref="A11"/>
    </sheetView>
  </sheetViews>
  <sheetFormatPr defaultRowHeight="14.25"/>
  <cols>
    <col min="1" max="1" width="26.5" customWidth="1"/>
    <col min="2" max="2" width="13.625" customWidth="1"/>
    <col min="3" max="3" width="24.25" customWidth="1"/>
  </cols>
  <sheetData>
    <row r="1" spans="1:1">
      <c r="A1" s="88" t="s">
        <v>4014</v>
      </c>
    </row>
    <row r="3" spans="1:1">
      <c r="A3" s="88" t="s">
        <v>4015</v>
      </c>
    </row>
    <row r="5" spans="1:1">
      <c r="A5" s="88" t="s">
        <v>4016</v>
      </c>
    </row>
    <row r="7" spans="1:1">
      <c r="A7" s="88" t="s">
        <v>4017</v>
      </c>
    </row>
    <row r="9" spans="1:1">
      <c r="A9" s="88" t="s">
        <v>4018</v>
      </c>
    </row>
    <row r="11" spans="1:1">
      <c r="A11" s="88" t="s">
        <v>4019</v>
      </c>
    </row>
    <row r="13" spans="1:1">
      <c r="A13" s="88" t="s">
        <v>4020</v>
      </c>
    </row>
    <row r="15" spans="1:1">
      <c r="A15" s="88" t="s">
        <v>4021</v>
      </c>
    </row>
    <row r="17" spans="1:1">
      <c r="A17" s="88" t="s">
        <v>4022</v>
      </c>
    </row>
    <row r="19" spans="1:1">
      <c r="A19" s="88" t="s">
        <v>4023</v>
      </c>
    </row>
    <row r="21" spans="1:1">
      <c r="A21" s="88"/>
    </row>
    <row r="23" spans="1:1">
      <c r="A23" s="88" t="s">
        <v>4024</v>
      </c>
    </row>
    <row r="25" spans="1:1">
      <c r="A25" s="88" t="s">
        <v>4025</v>
      </c>
    </row>
    <row r="27" spans="1:1">
      <c r="A27" s="93" t="s">
        <v>4026</v>
      </c>
    </row>
    <row r="29" spans="1:1">
      <c r="A29" s="88"/>
    </row>
    <row r="31" spans="1:1">
      <c r="A31" s="88" t="s">
        <v>4027</v>
      </c>
    </row>
    <row r="33" spans="1:1">
      <c r="A33" s="88" t="s">
        <v>4028</v>
      </c>
    </row>
    <row r="35" spans="1:1">
      <c r="A35" s="88" t="s">
        <v>4029</v>
      </c>
    </row>
    <row r="37" spans="1:1">
      <c r="A37" s="88" t="s">
        <v>4030</v>
      </c>
    </row>
    <row r="39" spans="1:1">
      <c r="A39" s="88" t="s">
        <v>4031</v>
      </c>
    </row>
    <row r="41" spans="1:1">
      <c r="A41" s="88" t="s">
        <v>4032</v>
      </c>
    </row>
    <row r="43" spans="1:1">
      <c r="A43" s="88" t="s">
        <v>4033</v>
      </c>
    </row>
    <row r="45" spans="1:1">
      <c r="A45" s="88" t="s">
        <v>4034</v>
      </c>
    </row>
    <row r="47" spans="1:1">
      <c r="A47" s="88" t="s">
        <v>4035</v>
      </c>
    </row>
    <row r="49" spans="1:1">
      <c r="A49" s="88" t="s">
        <v>4036</v>
      </c>
    </row>
    <row r="51" spans="1:1">
      <c r="A51" s="88" t="s">
        <v>4037</v>
      </c>
    </row>
    <row r="53" spans="1:1">
      <c r="A53" s="88" t="s">
        <v>4038</v>
      </c>
    </row>
    <row r="55" spans="1:1">
      <c r="A55" s="88" t="s">
        <v>4039</v>
      </c>
    </row>
    <row r="57" spans="1:1">
      <c r="A57" s="88" t="s">
        <v>4040</v>
      </c>
    </row>
    <row r="59" spans="1:1">
      <c r="A59" s="88" t="s">
        <v>4041</v>
      </c>
    </row>
    <row r="61" spans="1:1">
      <c r="A61" s="88" t="s">
        <v>4042</v>
      </c>
    </row>
    <row r="63" spans="1:1">
      <c r="A63" s="88" t="s">
        <v>4043</v>
      </c>
    </row>
    <row r="65" spans="1:1">
      <c r="A65" s="88" t="s">
        <v>4044</v>
      </c>
    </row>
    <row r="67" spans="1:1">
      <c r="A67" s="88" t="s">
        <v>4045</v>
      </c>
    </row>
    <row r="69" spans="1:1">
      <c r="A69" s="88" t="s">
        <v>4046</v>
      </c>
    </row>
    <row r="71" spans="1:1">
      <c r="A71" s="88" t="s">
        <v>4047</v>
      </c>
    </row>
    <row r="73" spans="1:1">
      <c r="A73" s="93" t="s">
        <v>4048</v>
      </c>
    </row>
    <row r="75" spans="1:1">
      <c r="A75" s="88" t="s">
        <v>4049</v>
      </c>
    </row>
    <row r="77" spans="1:1">
      <c r="A77" s="88" t="s">
        <v>4050</v>
      </c>
    </row>
    <row r="79" spans="1:1">
      <c r="A79" s="88" t="s">
        <v>4051</v>
      </c>
    </row>
    <row r="81" spans="1:1">
      <c r="A81" s="88" t="s">
        <v>4052</v>
      </c>
    </row>
    <row r="83" spans="1:1">
      <c r="A83" s="88" t="s">
        <v>4053</v>
      </c>
    </row>
    <row r="85" spans="1:1">
      <c r="A85" s="88" t="s">
        <v>4054</v>
      </c>
    </row>
    <row r="87" spans="1:1">
      <c r="A87" s="88" t="s">
        <v>4055</v>
      </c>
    </row>
    <row r="89" spans="1:1">
      <c r="A89" s="88" t="s">
        <v>4056</v>
      </c>
    </row>
    <row r="91" spans="1:1">
      <c r="A91" s="88" t="s">
        <v>4057</v>
      </c>
    </row>
    <row r="93" spans="1:1">
      <c r="A93" s="93" t="s">
        <v>4058</v>
      </c>
    </row>
    <row r="95" spans="1:1">
      <c r="A95" s="88" t="s">
        <v>4059</v>
      </c>
    </row>
    <row r="97" spans="1:1">
      <c r="A97" s="88" t="s">
        <v>4060</v>
      </c>
    </row>
    <row r="99" spans="1:1">
      <c r="A99" s="88" t="s">
        <v>4061</v>
      </c>
    </row>
    <row r="101" spans="1:1">
      <c r="A101" s="88" t="s">
        <v>4062</v>
      </c>
    </row>
    <row r="103" spans="1:1">
      <c r="A103" s="88" t="s">
        <v>4063</v>
      </c>
    </row>
    <row r="105" spans="1:1">
      <c r="A105" s="93" t="s">
        <v>4064</v>
      </c>
    </row>
    <row r="107" spans="1:1">
      <c r="A107" s="88" t="s">
        <v>4065</v>
      </c>
    </row>
    <row r="109" spans="1:1">
      <c r="A109" s="88" t="s">
        <v>4066</v>
      </c>
    </row>
    <row r="111" spans="1:1">
      <c r="A111" s="88" t="s">
        <v>4067</v>
      </c>
    </row>
    <row r="113" spans="1:1">
      <c r="A113" s="88" t="s">
        <v>4068</v>
      </c>
    </row>
    <row r="115" spans="1:1">
      <c r="A115" s="88" t="s">
        <v>4069</v>
      </c>
    </row>
    <row r="117" spans="1:1">
      <c r="A117" s="93" t="s">
        <v>4070</v>
      </c>
    </row>
    <row r="119" spans="1:1">
      <c r="A119" s="88" t="s">
        <v>4071</v>
      </c>
    </row>
    <row r="121" spans="1:1">
      <c r="A121" s="88" t="s">
        <v>4072</v>
      </c>
    </row>
    <row r="123" spans="1:1">
      <c r="A123" s="88" t="s">
        <v>4073</v>
      </c>
    </row>
    <row r="125" spans="1:1">
      <c r="A125" s="88" t="s">
        <v>4074</v>
      </c>
    </row>
    <row r="127" spans="1:1">
      <c r="A127" s="88" t="s">
        <v>4019</v>
      </c>
    </row>
    <row r="129" spans="1:1">
      <c r="A129" s="88" t="s">
        <v>4075</v>
      </c>
    </row>
    <row r="131" spans="1:1">
      <c r="A131" s="88" t="s">
        <v>4076</v>
      </c>
    </row>
    <row r="133" spans="1:1">
      <c r="A133" s="88" t="s">
        <v>4077</v>
      </c>
    </row>
    <row r="135" spans="1:1">
      <c r="A135" s="88" t="s">
        <v>4078</v>
      </c>
    </row>
    <row r="137" spans="1:1">
      <c r="A137" s="88"/>
    </row>
    <row r="139" spans="1:1">
      <c r="A139" s="88"/>
    </row>
    <row r="141" spans="1:1">
      <c r="A141" s="88" t="s">
        <v>4079</v>
      </c>
    </row>
    <row r="142" spans="1:1">
      <c r="A142" s="88" t="s">
        <v>1895</v>
      </c>
    </row>
    <row r="143" spans="1:1">
      <c r="A143" s="88" t="s">
        <v>1267</v>
      </c>
    </row>
    <row r="144" spans="1:1">
      <c r="A144" s="88" t="s">
        <v>4080</v>
      </c>
    </row>
    <row r="145" spans="1:1">
      <c r="A145" s="88" t="s">
        <v>4081</v>
      </c>
    </row>
    <row r="146" spans="1:1">
      <c r="A146" s="88" t="s">
        <v>4082</v>
      </c>
    </row>
    <row r="147" spans="1:1">
      <c r="A147" s="88" t="s">
        <v>4083</v>
      </c>
    </row>
    <row r="149" spans="1:1">
      <c r="A149" s="88" t="s">
        <v>4084</v>
      </c>
    </row>
    <row r="150" spans="1:1">
      <c r="A150" s="88" t="s">
        <v>1699</v>
      </c>
    </row>
    <row r="151" spans="1:1">
      <c r="A151" s="88" t="s">
        <v>4085</v>
      </c>
    </row>
    <row r="152" spans="1:1">
      <c r="A152" s="88" t="s">
        <v>1263</v>
      </c>
    </row>
    <row r="153" spans="1:1">
      <c r="A153" s="88" t="s">
        <v>4086</v>
      </c>
    </row>
    <row r="154" spans="1:1">
      <c r="A154" s="88" t="s">
        <v>4087</v>
      </c>
    </row>
    <row r="155" spans="1:1">
      <c r="A155" s="88" t="s">
        <v>4088</v>
      </c>
    </row>
    <row r="156" spans="1:1">
      <c r="A156" s="88" t="s">
        <v>4089</v>
      </c>
    </row>
    <row r="157" spans="1:1">
      <c r="A157" s="88" t="s">
        <v>4090</v>
      </c>
    </row>
    <row r="159" spans="1:1">
      <c r="A159" s="88" t="s">
        <v>4091</v>
      </c>
    </row>
    <row r="160" spans="1:1">
      <c r="A160" s="88" t="s">
        <v>4092</v>
      </c>
    </row>
    <row r="161" spans="1:1">
      <c r="A161" s="88" t="s">
        <v>4093</v>
      </c>
    </row>
    <row r="162" spans="1:1">
      <c r="A162" s="88" t="s">
        <v>4094</v>
      </c>
    </row>
    <row r="163" spans="1:1">
      <c r="A163" s="88" t="s">
        <v>4095</v>
      </c>
    </row>
    <row r="164" spans="1:1">
      <c r="A164" s="88" t="s">
        <v>4096</v>
      </c>
    </row>
    <row r="165" spans="1:1">
      <c r="A165" s="88" t="s">
        <v>4097</v>
      </c>
    </row>
    <row r="167" spans="1:1">
      <c r="A167" s="88" t="s">
        <v>4098</v>
      </c>
    </row>
    <row r="168" spans="1:1">
      <c r="A168" s="88" t="s">
        <v>4099</v>
      </c>
    </row>
    <row r="169" spans="1:1">
      <c r="A169" s="88" t="s">
        <v>4100</v>
      </c>
    </row>
    <row r="170" spans="1:1">
      <c r="A170" s="88" t="s">
        <v>4101</v>
      </c>
    </row>
    <row r="171" spans="1:1">
      <c r="A171" s="88" t="s">
        <v>4102</v>
      </c>
    </row>
    <row r="172" spans="1:1">
      <c r="A172" s="88" t="s">
        <v>4103</v>
      </c>
    </row>
    <row r="173" spans="1:1">
      <c r="A173" s="93" t="s">
        <v>4104</v>
      </c>
    </row>
    <row r="175" spans="1:1">
      <c r="A175" s="88" t="s">
        <v>4105</v>
      </c>
    </row>
    <row r="176" spans="1:1">
      <c r="A176" s="88" t="s">
        <v>4092</v>
      </c>
    </row>
    <row r="177" spans="1:1">
      <c r="A177" s="88" t="s">
        <v>4106</v>
      </c>
    </row>
    <row r="178" spans="1:1">
      <c r="A178" s="88" t="s">
        <v>4094</v>
      </c>
    </row>
    <row r="179" spans="1:1">
      <c r="A179" s="88" t="s">
        <v>4107</v>
      </c>
    </row>
    <row r="180" spans="1:1">
      <c r="A180" s="88" t="s">
        <v>4108</v>
      </c>
    </row>
    <row r="181" spans="1:1">
      <c r="A181" s="88" t="s">
        <v>4109</v>
      </c>
    </row>
    <row r="183" spans="1:1">
      <c r="A183" s="88" t="s">
        <v>4110</v>
      </c>
    </row>
    <row r="184" spans="1:1">
      <c r="A184" s="88" t="s">
        <v>4092</v>
      </c>
    </row>
    <row r="185" spans="1:1">
      <c r="A185" s="88" t="s">
        <v>4111</v>
      </c>
    </row>
    <row r="186" spans="1:1">
      <c r="A186" s="88" t="s">
        <v>4112</v>
      </c>
    </row>
    <row r="187" spans="1:1">
      <c r="A187" s="88" t="s">
        <v>4113</v>
      </c>
    </row>
    <row r="188" spans="1:1">
      <c r="A188" s="88" t="s">
        <v>4114</v>
      </c>
    </row>
    <row r="189" spans="1:1">
      <c r="A189" s="88" t="s">
        <v>4115</v>
      </c>
    </row>
    <row r="191" spans="1:1">
      <c r="A191" s="88" t="s">
        <v>4116</v>
      </c>
    </row>
    <row r="192" spans="1:1">
      <c r="A192" s="88" t="s">
        <v>4099</v>
      </c>
    </row>
    <row r="193" spans="1:1">
      <c r="A193" s="88" t="s">
        <v>4117</v>
      </c>
    </row>
    <row r="194" spans="1:1">
      <c r="A194" s="88" t="s">
        <v>4118</v>
      </c>
    </row>
    <row r="195" spans="1:1">
      <c r="A195" s="88" t="s">
        <v>4119</v>
      </c>
    </row>
    <row r="196" spans="1:1">
      <c r="A196" s="88" t="s">
        <v>4120</v>
      </c>
    </row>
    <row r="197" spans="1:1">
      <c r="A197" s="88" t="s">
        <v>4121</v>
      </c>
    </row>
    <row r="199" spans="1:1">
      <c r="A199" s="88" t="s">
        <v>4122</v>
      </c>
    </row>
    <row r="200" spans="1:1">
      <c r="A200" s="88" t="s">
        <v>4123</v>
      </c>
    </row>
    <row r="201" spans="1:1">
      <c r="A201" s="88" t="s">
        <v>4124</v>
      </c>
    </row>
    <row r="202" spans="1:1">
      <c r="A202" s="88" t="s">
        <v>4125</v>
      </c>
    </row>
    <row r="203" spans="1:1">
      <c r="A203" s="88" t="s">
        <v>4126</v>
      </c>
    </row>
    <row r="204" spans="1:1">
      <c r="A204" s="88" t="s">
        <v>4127</v>
      </c>
    </row>
    <row r="206" spans="1:1">
      <c r="A206" s="88" t="s">
        <v>4128</v>
      </c>
    </row>
    <row r="207" spans="1:1">
      <c r="A207" s="88" t="s">
        <v>4123</v>
      </c>
    </row>
    <row r="208" spans="1:1">
      <c r="A208" s="88" t="s">
        <v>4129</v>
      </c>
    </row>
    <row r="209" spans="1:1">
      <c r="A209" s="88" t="s">
        <v>4130</v>
      </c>
    </row>
    <row r="210" spans="1:1">
      <c r="A210" s="88" t="s">
        <v>4131</v>
      </c>
    </row>
    <row r="211" spans="1:1">
      <c r="A211" s="88" t="s">
        <v>4132</v>
      </c>
    </row>
    <row r="213" spans="1:1">
      <c r="A213" s="88" t="s">
        <v>4133</v>
      </c>
    </row>
    <row r="214" spans="1:1">
      <c r="A214" s="88" t="s">
        <v>4123</v>
      </c>
    </row>
    <row r="215" spans="1:1">
      <c r="A215" s="88" t="s">
        <v>4124</v>
      </c>
    </row>
    <row r="216" spans="1:1">
      <c r="A216" s="88" t="s">
        <v>4134</v>
      </c>
    </row>
    <row r="217" spans="1:1">
      <c r="A217" s="88" t="s">
        <v>4135</v>
      </c>
    </row>
    <row r="218" spans="1:1">
      <c r="A218" s="88" t="s">
        <v>4136</v>
      </c>
    </row>
    <row r="220" spans="1:1">
      <c r="A220" s="88" t="s">
        <v>4137</v>
      </c>
    </row>
    <row r="221" spans="1:1">
      <c r="A221" s="88" t="s">
        <v>4099</v>
      </c>
    </row>
    <row r="222" spans="1:1">
      <c r="A222" s="88" t="s">
        <v>4093</v>
      </c>
    </row>
    <row r="223" spans="1:1">
      <c r="A223" s="88" t="s">
        <v>4129</v>
      </c>
    </row>
    <row r="224" spans="1:1">
      <c r="A224" s="88" t="s">
        <v>4138</v>
      </c>
    </row>
    <row r="225" spans="1:1">
      <c r="A225" s="88" t="s">
        <v>4139</v>
      </c>
    </row>
    <row r="226" spans="1:1">
      <c r="A226" s="88" t="s">
        <v>4140</v>
      </c>
    </row>
    <row r="228" spans="1:1">
      <c r="A228" s="88" t="s">
        <v>4141</v>
      </c>
    </row>
    <row r="229" spans="1:1">
      <c r="A229" s="88" t="s">
        <v>4142</v>
      </c>
    </row>
    <row r="230" spans="1:1">
      <c r="A230" s="88" t="s">
        <v>4129</v>
      </c>
    </row>
    <row r="231" spans="1:1">
      <c r="A231" s="88" t="s">
        <v>4143</v>
      </c>
    </row>
    <row r="232" spans="1:1">
      <c r="A232" s="88" t="s">
        <v>4144</v>
      </c>
    </row>
    <row r="233" spans="1:1">
      <c r="A233" s="88" t="s">
        <v>4145</v>
      </c>
    </row>
    <row r="235" spans="1:1">
      <c r="A235" s="88" t="s">
        <v>4146</v>
      </c>
    </row>
    <row r="236" spans="1:1">
      <c r="A236" s="88" t="s">
        <v>4147</v>
      </c>
    </row>
    <row r="237" spans="1:1">
      <c r="A237" s="88" t="s">
        <v>4148</v>
      </c>
    </row>
    <row r="238" spans="1:1">
      <c r="A238" s="88" t="s">
        <v>4149</v>
      </c>
    </row>
    <row r="239" spans="1:1">
      <c r="A239" s="88" t="s">
        <v>4150</v>
      </c>
    </row>
    <row r="240" spans="1:1">
      <c r="A240" s="88" t="s">
        <v>4151</v>
      </c>
    </row>
    <row r="242" spans="1:1">
      <c r="A242" s="88" t="s">
        <v>4152</v>
      </c>
    </row>
    <row r="243" spans="1:1">
      <c r="A243" s="88" t="s">
        <v>4099</v>
      </c>
    </row>
    <row r="244" spans="1:1">
      <c r="A244" s="88" t="s">
        <v>4153</v>
      </c>
    </row>
    <row r="245" spans="1:1">
      <c r="A245" s="88" t="s">
        <v>4154</v>
      </c>
    </row>
    <row r="246" spans="1:1">
      <c r="A246" s="88" t="s">
        <v>4155</v>
      </c>
    </row>
    <row r="247" spans="1:1">
      <c r="A247" s="88" t="s">
        <v>4156</v>
      </c>
    </row>
    <row r="248" spans="1:1">
      <c r="A248" s="88" t="s">
        <v>4157</v>
      </c>
    </row>
    <row r="250" spans="1:1">
      <c r="A250" s="88" t="s">
        <v>4158</v>
      </c>
    </row>
    <row r="251" spans="1:1">
      <c r="A251" s="88" t="s">
        <v>4099</v>
      </c>
    </row>
    <row r="252" spans="1:1">
      <c r="A252" s="88" t="s">
        <v>4159</v>
      </c>
    </row>
    <row r="253" spans="1:1">
      <c r="A253" s="88" t="s">
        <v>4160</v>
      </c>
    </row>
    <row r="254" spans="1:1">
      <c r="A254" s="88" t="s">
        <v>4161</v>
      </c>
    </row>
    <row r="255" spans="1:1">
      <c r="A255" s="88" t="s">
        <v>4162</v>
      </c>
    </row>
    <row r="256" spans="1:1">
      <c r="A256" s="88" t="s">
        <v>4163</v>
      </c>
    </row>
    <row r="258" spans="1:1">
      <c r="A258" s="88" t="s">
        <v>4164</v>
      </c>
    </row>
    <row r="259" spans="1:1">
      <c r="A259" s="88" t="s">
        <v>4165</v>
      </c>
    </row>
    <row r="260" spans="1:1">
      <c r="A260" s="88" t="s">
        <v>4166</v>
      </c>
    </row>
    <row r="261" spans="1:1">
      <c r="A261" s="88" t="s">
        <v>4167</v>
      </c>
    </row>
    <row r="262" spans="1:1">
      <c r="A262" s="88" t="s">
        <v>4168</v>
      </c>
    </row>
    <row r="264" spans="1:1">
      <c r="A264" s="88" t="s">
        <v>4169</v>
      </c>
    </row>
    <row r="265" spans="1:1">
      <c r="A265" s="88" t="s">
        <v>4092</v>
      </c>
    </row>
    <row r="266" spans="1:1">
      <c r="A266" s="88" t="s">
        <v>4170</v>
      </c>
    </row>
    <row r="267" spans="1:1">
      <c r="A267" s="88" t="s">
        <v>4094</v>
      </c>
    </row>
    <row r="268" spans="1:1">
      <c r="A268" s="88" t="s">
        <v>4171</v>
      </c>
    </row>
    <row r="269" spans="1:1">
      <c r="A269" s="88" t="s">
        <v>4172</v>
      </c>
    </row>
    <row r="271" spans="1:1">
      <c r="A271" s="88" t="s">
        <v>4173</v>
      </c>
    </row>
    <row r="272" spans="1:1">
      <c r="A272" s="88" t="s">
        <v>4092</v>
      </c>
    </row>
    <row r="273" spans="1:1">
      <c r="A273" s="88" t="s">
        <v>4174</v>
      </c>
    </row>
    <row r="274" spans="1:1">
      <c r="A274" s="88" t="s">
        <v>4175</v>
      </c>
    </row>
    <row r="275" spans="1:1">
      <c r="A275" s="88" t="s">
        <v>4176</v>
      </c>
    </row>
    <row r="276" spans="1:1">
      <c r="A276" s="88" t="s">
        <v>4177</v>
      </c>
    </row>
    <row r="277" spans="1:1">
      <c r="A277" s="88" t="s">
        <v>4178</v>
      </c>
    </row>
    <row r="279" spans="1:1">
      <c r="A279" s="88" t="s">
        <v>4179</v>
      </c>
    </row>
    <row r="280" spans="1:1">
      <c r="A280" s="88" t="s">
        <v>4092</v>
      </c>
    </row>
    <row r="281" spans="1:1">
      <c r="A281" s="88" t="s">
        <v>4180</v>
      </c>
    </row>
    <row r="282" spans="1:1">
      <c r="A282" s="88" t="s">
        <v>4181</v>
      </c>
    </row>
    <row r="283" spans="1:1">
      <c r="A283" s="88" t="s">
        <v>4182</v>
      </c>
    </row>
    <row r="284" spans="1:1">
      <c r="A284" s="88" t="s">
        <v>4183</v>
      </c>
    </row>
    <row r="285" spans="1:1">
      <c r="A285" s="88" t="s">
        <v>4184</v>
      </c>
    </row>
    <row r="287" spans="1:1">
      <c r="A287" s="88" t="s">
        <v>4185</v>
      </c>
    </row>
    <row r="288" spans="1:1">
      <c r="A288" s="88" t="s">
        <v>4092</v>
      </c>
    </row>
    <row r="289" spans="1:1">
      <c r="A289" s="88" t="s">
        <v>4186</v>
      </c>
    </row>
    <row r="290" spans="1:1">
      <c r="A290" s="88" t="s">
        <v>4187</v>
      </c>
    </row>
    <row r="291" spans="1:1">
      <c r="A291" s="88" t="s">
        <v>4188</v>
      </c>
    </row>
    <row r="292" spans="1:1">
      <c r="A292" s="88" t="s">
        <v>4189</v>
      </c>
    </row>
    <row r="293" spans="1:1">
      <c r="A293" s="88" t="s">
        <v>4190</v>
      </c>
    </row>
    <row r="295" spans="1:1">
      <c r="A295" s="88" t="s">
        <v>4191</v>
      </c>
    </row>
    <row r="296" spans="1:1">
      <c r="A296" s="88" t="s">
        <v>4092</v>
      </c>
    </row>
    <row r="297" spans="1:1">
      <c r="A297" s="88" t="s">
        <v>4192</v>
      </c>
    </row>
    <row r="298" spans="1:1">
      <c r="A298" s="88" t="s">
        <v>4094</v>
      </c>
    </row>
    <row r="299" spans="1:1">
      <c r="A299" s="88" t="s">
        <v>4193</v>
      </c>
    </row>
    <row r="300" spans="1:1">
      <c r="A300" s="88" t="s">
        <v>4194</v>
      </c>
    </row>
    <row r="302" spans="1:1">
      <c r="A302" s="88" t="s">
        <v>4195</v>
      </c>
    </row>
    <row r="303" spans="1:1">
      <c r="A303" s="88" t="s">
        <v>4092</v>
      </c>
    </row>
    <row r="304" spans="1:1">
      <c r="A304" s="88" t="s">
        <v>4196</v>
      </c>
    </row>
    <row r="305" spans="1:1">
      <c r="A305" s="88" t="s">
        <v>4160</v>
      </c>
    </row>
    <row r="306" spans="1:1">
      <c r="A306" s="88" t="s">
        <v>4197</v>
      </c>
    </row>
    <row r="307" spans="1:1">
      <c r="A307" s="88" t="s">
        <v>4198</v>
      </c>
    </row>
    <row r="308" spans="1:1">
      <c r="A308" s="88" t="s">
        <v>4199</v>
      </c>
    </row>
    <row r="310" spans="1:1">
      <c r="A310" s="88" t="s">
        <v>4200</v>
      </c>
    </row>
    <row r="311" spans="1:1">
      <c r="A311" s="88" t="s">
        <v>4099</v>
      </c>
    </row>
    <row r="312" spans="1:1">
      <c r="A312" s="88" t="s">
        <v>4201</v>
      </c>
    </row>
    <row r="313" spans="1:1">
      <c r="A313" s="88" t="s">
        <v>4202</v>
      </c>
    </row>
    <row r="314" spans="1:1">
      <c r="A314" s="88" t="s">
        <v>4203</v>
      </c>
    </row>
    <row r="315" spans="1:1">
      <c r="A315" s="88" t="s">
        <v>4204</v>
      </c>
    </row>
    <row r="317" spans="1:1">
      <c r="A317" s="88" t="s">
        <v>4205</v>
      </c>
    </row>
    <row r="318" spans="1:1">
      <c r="A318" s="88" t="s">
        <v>4201</v>
      </c>
    </row>
    <row r="319" spans="1:1">
      <c r="A319" s="88" t="s">
        <v>4206</v>
      </c>
    </row>
    <row r="320" spans="1:1">
      <c r="A320" s="88" t="s">
        <v>4203</v>
      </c>
    </row>
    <row r="321" spans="1:1">
      <c r="A321" s="88" t="s">
        <v>4207</v>
      </c>
    </row>
    <row r="323" spans="1:1">
      <c r="A323" s="88" t="s">
        <v>4208</v>
      </c>
    </row>
    <row r="324" spans="1:1">
      <c r="A324" s="88" t="s">
        <v>4201</v>
      </c>
    </row>
    <row r="325" spans="1:1">
      <c r="A325" s="88" t="s">
        <v>4209</v>
      </c>
    </row>
    <row r="326" spans="1:1">
      <c r="A326" s="88" t="s">
        <v>4203</v>
      </c>
    </row>
    <row r="327" spans="1:1">
      <c r="A327" s="88" t="s">
        <v>4210</v>
      </c>
    </row>
    <row r="329" spans="1:1">
      <c r="A329" s="88" t="s">
        <v>4211</v>
      </c>
    </row>
    <row r="330" spans="1:1">
      <c r="A330" s="88" t="s">
        <v>4212</v>
      </c>
    </row>
    <row r="331" spans="1:1">
      <c r="A331" s="88" t="s">
        <v>4213</v>
      </c>
    </row>
    <row r="332" spans="1:1">
      <c r="A332" s="88" t="s">
        <v>4214</v>
      </c>
    </row>
    <row r="333" spans="1:1">
      <c r="A333" s="88" t="s">
        <v>4215</v>
      </c>
    </row>
    <row r="334" spans="1:1">
      <c r="A334" s="88" t="s">
        <v>4216</v>
      </c>
    </row>
    <row r="336" spans="1:1">
      <c r="A336" s="88" t="s">
        <v>4217</v>
      </c>
    </row>
    <row r="337" spans="1:1">
      <c r="A337" s="88" t="s">
        <v>4218</v>
      </c>
    </row>
    <row r="338" spans="1:1">
      <c r="A338" s="88" t="s">
        <v>4094</v>
      </c>
    </row>
    <row r="339" spans="1:1">
      <c r="A339" s="88" t="s">
        <v>4219</v>
      </c>
    </row>
    <row r="340" spans="1:1">
      <c r="A340" s="88" t="s">
        <v>4220</v>
      </c>
    </row>
    <row r="341" spans="1:1">
      <c r="A341" s="88" t="s">
        <v>4221</v>
      </c>
    </row>
    <row r="343" spans="1:1">
      <c r="A343" s="88" t="s">
        <v>4222</v>
      </c>
    </row>
    <row r="344" spans="1:1">
      <c r="A344" s="88" t="s">
        <v>4223</v>
      </c>
    </row>
    <row r="345" spans="1:1">
      <c r="A345" s="88" t="s">
        <v>4224</v>
      </c>
    </row>
    <row r="347" spans="1:1">
      <c r="A347" s="88" t="s">
        <v>4225</v>
      </c>
    </row>
    <row r="348" spans="1:1">
      <c r="A348" s="88" t="s">
        <v>4196</v>
      </c>
    </row>
    <row r="349" spans="1:1">
      <c r="A349" s="88" t="s">
        <v>4226</v>
      </c>
    </row>
    <row r="351" spans="1:1">
      <c r="A351" s="88" t="s">
        <v>4227</v>
      </c>
    </row>
    <row r="352" spans="1:1">
      <c r="A352" s="88" t="s">
        <v>4170</v>
      </c>
    </row>
    <row r="353" spans="1:1">
      <c r="A353" s="88" t="s">
        <v>4228</v>
      </c>
    </row>
    <row r="355" spans="1:1">
      <c r="A355" s="88" t="s">
        <v>4229</v>
      </c>
    </row>
    <row r="356" spans="1:1">
      <c r="A356" s="88" t="s">
        <v>4230</v>
      </c>
    </row>
    <row r="357" spans="1:1">
      <c r="A357" s="88" t="s">
        <v>4231</v>
      </c>
    </row>
    <row r="358" spans="1:1">
      <c r="A358" s="88" t="s">
        <v>4232</v>
      </c>
    </row>
    <row r="359" spans="1:1">
      <c r="A359" s="88" t="s">
        <v>4233</v>
      </c>
    </row>
    <row r="361" spans="1:1">
      <c r="A361" s="88" t="s">
        <v>4234</v>
      </c>
    </row>
    <row r="362" spans="1:1">
      <c r="A362" s="88" t="s">
        <v>4235</v>
      </c>
    </row>
    <row r="363" spans="1:1">
      <c r="A363" s="88" t="s">
        <v>4175</v>
      </c>
    </row>
    <row r="364" spans="1:1">
      <c r="A364" s="88" t="s">
        <v>4236</v>
      </c>
    </row>
    <row r="365" spans="1:1">
      <c r="A365" s="88" t="s">
        <v>4237</v>
      </c>
    </row>
    <row r="366" spans="1:1">
      <c r="A366" s="88" t="s">
        <v>4190</v>
      </c>
    </row>
    <row r="368" spans="1:1">
      <c r="A368" s="88" t="s">
        <v>4238</v>
      </c>
    </row>
    <row r="369" spans="1:1">
      <c r="A369" s="88" t="s">
        <v>4239</v>
      </c>
    </row>
    <row r="370" spans="1:1">
      <c r="A370" s="88" t="s">
        <v>4240</v>
      </c>
    </row>
    <row r="371" spans="1:1">
      <c r="A371" s="88" t="s">
        <v>4241</v>
      </c>
    </row>
    <row r="372" spans="1:1">
      <c r="A372" s="88" t="s">
        <v>4242</v>
      </c>
    </row>
    <row r="373" spans="1:1">
      <c r="A373" s="88" t="s">
        <v>4243</v>
      </c>
    </row>
    <row r="375" spans="1:1">
      <c r="A375" s="88" t="s">
        <v>4244</v>
      </c>
    </row>
    <row r="376" spans="1:1">
      <c r="A376" s="88" t="s">
        <v>4245</v>
      </c>
    </row>
    <row r="377" spans="1:1">
      <c r="A377" s="88" t="s">
        <v>4246</v>
      </c>
    </row>
    <row r="378" spans="1:1">
      <c r="A378" s="88" t="s">
        <v>4247</v>
      </c>
    </row>
    <row r="379" spans="1:1">
      <c r="A379" s="88" t="s">
        <v>4248</v>
      </c>
    </row>
    <row r="380" spans="1:1">
      <c r="A380" s="88" t="s">
        <v>4249</v>
      </c>
    </row>
    <row r="382" spans="1:1">
      <c r="A382" s="88" t="s">
        <v>4250</v>
      </c>
    </row>
    <row r="383" spans="1:1">
      <c r="A383" s="88" t="s">
        <v>4251</v>
      </c>
    </row>
    <row r="384" spans="1:1">
      <c r="A384" s="88" t="s">
        <v>4252</v>
      </c>
    </row>
    <row r="385" spans="1:1">
      <c r="A385" s="88" t="s">
        <v>4231</v>
      </c>
    </row>
    <row r="386" spans="1:1">
      <c r="A386" s="88" t="s">
        <v>4253</v>
      </c>
    </row>
    <row r="387" spans="1:1">
      <c r="A387" s="88" t="s">
        <v>4254</v>
      </c>
    </row>
    <row r="388" spans="1:1">
      <c r="A388" s="88" t="s">
        <v>4255</v>
      </c>
    </row>
    <row r="389" spans="1:1">
      <c r="A389" s="88" t="s">
        <v>4256</v>
      </c>
    </row>
    <row r="391" spans="1:1">
      <c r="A391" s="88" t="s">
        <v>4257</v>
      </c>
    </row>
    <row r="392" spans="1:1">
      <c r="A392" s="88" t="s">
        <v>4092</v>
      </c>
    </row>
    <row r="393" spans="1:1">
      <c r="A393" s="88" t="s">
        <v>4258</v>
      </c>
    </row>
    <row r="394" spans="1:1">
      <c r="A394" s="88" t="s">
        <v>4231</v>
      </c>
    </row>
    <row r="395" spans="1:1">
      <c r="A395" s="88" t="s">
        <v>4253</v>
      </c>
    </row>
    <row r="396" spans="1:1">
      <c r="A396" s="88" t="s">
        <v>4259</v>
      </c>
    </row>
    <row r="397" spans="1:1">
      <c r="A397" s="88" t="s">
        <v>4260</v>
      </c>
    </row>
    <row r="398" spans="1:1">
      <c r="A398" s="88" t="s">
        <v>4261</v>
      </c>
    </row>
    <row r="400" spans="1:1">
      <c r="A400" s="88" t="s">
        <v>4262</v>
      </c>
    </row>
    <row r="401" spans="1:1">
      <c r="A401" s="88" t="s">
        <v>4263</v>
      </c>
    </row>
    <row r="402" spans="1:1">
      <c r="A402" s="88" t="s">
        <v>4231</v>
      </c>
    </row>
    <row r="403" spans="1:1">
      <c r="A403" s="88" t="s">
        <v>4264</v>
      </c>
    </row>
    <row r="404" spans="1:1">
      <c r="A404" s="88" t="s">
        <v>4265</v>
      </c>
    </row>
    <row r="405" spans="1:1">
      <c r="A405" s="88" t="s">
        <v>4266</v>
      </c>
    </row>
    <row r="407" spans="1:1">
      <c r="A407" s="88" t="s">
        <v>4267</v>
      </c>
    </row>
    <row r="408" spans="1:1">
      <c r="A408" s="88" t="s">
        <v>4268</v>
      </c>
    </row>
    <row r="409" spans="1:1">
      <c r="A409" s="88" t="s">
        <v>4094</v>
      </c>
    </row>
    <row r="410" spans="1:1">
      <c r="A410" s="88" t="s">
        <v>4269</v>
      </c>
    </row>
    <row r="411" spans="1:1">
      <c r="A411" s="88" t="s">
        <v>4270</v>
      </c>
    </row>
    <row r="412" spans="1:1">
      <c r="A412" s="88" t="s">
        <v>4271</v>
      </c>
    </row>
    <row r="414" spans="1:1">
      <c r="A414" s="88" t="s">
        <v>4272</v>
      </c>
    </row>
    <row r="415" spans="1:1">
      <c r="A415" s="88" t="s">
        <v>4251</v>
      </c>
    </row>
    <row r="416" spans="1:1">
      <c r="A416" s="88" t="s">
        <v>4273</v>
      </c>
    </row>
    <row r="417" spans="1:1">
      <c r="A417" s="88" t="s">
        <v>4181</v>
      </c>
    </row>
    <row r="418" spans="1:1">
      <c r="A418" s="88" t="s">
        <v>4253</v>
      </c>
    </row>
    <row r="419" spans="1:1">
      <c r="A419" s="88" t="s">
        <v>4274</v>
      </c>
    </row>
    <row r="420" spans="1:1">
      <c r="A420" s="88" t="s">
        <v>4275</v>
      </c>
    </row>
    <row r="422" spans="1:1">
      <c r="A422" s="88" t="s">
        <v>4276</v>
      </c>
    </row>
    <row r="423" spans="1:1">
      <c r="A423" s="88" t="s">
        <v>4277</v>
      </c>
    </row>
    <row r="424" spans="1:1">
      <c r="A424" s="88" t="s">
        <v>4278</v>
      </c>
    </row>
    <row r="425" spans="1:1">
      <c r="A425" s="88" t="s">
        <v>4279</v>
      </c>
    </row>
    <row r="426" spans="1:1">
      <c r="A426" s="88" t="s">
        <v>4280</v>
      </c>
    </row>
    <row r="428" spans="1:1">
      <c r="A428" s="88"/>
    </row>
    <row r="430" spans="1:1">
      <c r="A430" s="88" t="s">
        <v>4281</v>
      </c>
    </row>
    <row r="431" spans="1:1">
      <c r="A431" s="88" t="s">
        <v>4282</v>
      </c>
    </row>
    <row r="432" spans="1:1">
      <c r="A432" s="88" t="s">
        <v>4283</v>
      </c>
    </row>
    <row r="433" spans="1:1">
      <c r="A433" s="88" t="s">
        <v>4284</v>
      </c>
    </row>
    <row r="435" spans="1:1">
      <c r="A435" s="88" t="s">
        <v>4285</v>
      </c>
    </row>
    <row r="436" spans="1:1">
      <c r="A436" s="88" t="s">
        <v>4286</v>
      </c>
    </row>
    <row r="437" spans="1:1">
      <c r="A437" s="88" t="s">
        <v>4287</v>
      </c>
    </row>
    <row r="438" spans="1:1">
      <c r="A438" s="88" t="s">
        <v>4288</v>
      </c>
    </row>
    <row r="439" spans="1:1">
      <c r="A439" s="88" t="s">
        <v>4289</v>
      </c>
    </row>
    <row r="441" spans="1:1">
      <c r="A441" s="88" t="s">
        <v>4290</v>
      </c>
    </row>
    <row r="442" spans="1:1">
      <c r="A442" s="88" t="s">
        <v>4291</v>
      </c>
    </row>
    <row r="443" spans="1:1">
      <c r="A443" s="88" t="s">
        <v>4292</v>
      </c>
    </row>
    <row r="444" spans="1:1">
      <c r="A444" s="88" t="s">
        <v>4293</v>
      </c>
    </row>
    <row r="445" spans="1:1">
      <c r="A445" s="88" t="s">
        <v>4294</v>
      </c>
    </row>
    <row r="448" spans="1:1">
      <c r="A448" s="88" t="s">
        <v>4295</v>
      </c>
    </row>
    <row r="449" spans="1:1">
      <c r="A449" s="88" t="s">
        <v>4235</v>
      </c>
    </row>
    <row r="450" spans="1:1">
      <c r="A450" s="88" t="s">
        <v>4296</v>
      </c>
    </row>
    <row r="451" spans="1:1">
      <c r="A451" s="88" t="s">
        <v>4297</v>
      </c>
    </row>
    <row r="452" spans="1:1">
      <c r="A452" s="88" t="s">
        <v>4298</v>
      </c>
    </row>
    <row r="454" spans="1:1">
      <c r="A454" s="88" t="s">
        <v>4299</v>
      </c>
    </row>
    <row r="455" spans="1:1">
      <c r="A455" s="88" t="s">
        <v>4300</v>
      </c>
    </row>
    <row r="456" spans="1:1">
      <c r="A456" s="88" t="s">
        <v>4301</v>
      </c>
    </row>
    <row r="457" spans="1:1">
      <c r="A457" s="88" t="s">
        <v>4302</v>
      </c>
    </row>
    <row r="459" spans="1:1">
      <c r="A459" s="88" t="s">
        <v>4303</v>
      </c>
    </row>
    <row r="460" spans="1:1">
      <c r="A460" s="88" t="s">
        <v>4304</v>
      </c>
    </row>
    <row r="461" spans="1:1">
      <c r="A461" s="88" t="s">
        <v>4305</v>
      </c>
    </row>
    <row r="462" spans="1:1">
      <c r="A462" s="88" t="s">
        <v>4306</v>
      </c>
    </row>
    <row r="464" spans="1:1">
      <c r="A464" s="88" t="s">
        <v>4307</v>
      </c>
    </row>
    <row r="465" spans="1:1">
      <c r="A465" s="88" t="s">
        <v>4308</v>
      </c>
    </row>
    <row r="466" spans="1:1">
      <c r="A466" s="88" t="s">
        <v>4309</v>
      </c>
    </row>
    <row r="467" spans="1:1">
      <c r="A467" s="88" t="s">
        <v>4310</v>
      </c>
    </row>
    <row r="468" spans="1:1">
      <c r="A468" s="88" t="s">
        <v>4311</v>
      </c>
    </row>
    <row r="470" spans="1:1">
      <c r="A470" s="88" t="s">
        <v>4312</v>
      </c>
    </row>
    <row r="471" spans="1:1">
      <c r="A471" s="88" t="s">
        <v>4313</v>
      </c>
    </row>
    <row r="472" spans="1:1">
      <c r="A472" s="88" t="s">
        <v>4314</v>
      </c>
    </row>
    <row r="473" spans="1:1">
      <c r="A473" s="88" t="s">
        <v>4315</v>
      </c>
    </row>
    <row r="474" spans="1:1">
      <c r="A474" s="88" t="s">
        <v>4316</v>
      </c>
    </row>
    <row r="476" spans="1:1">
      <c r="A476" s="88" t="s">
        <v>4317</v>
      </c>
    </row>
    <row r="477" spans="1:1">
      <c r="A477" s="88" t="s">
        <v>4318</v>
      </c>
    </row>
    <row r="478" spans="1:1">
      <c r="A478" s="88" t="s">
        <v>4319</v>
      </c>
    </row>
    <row r="479" spans="1:1">
      <c r="A479" s="88" t="s">
        <v>4320</v>
      </c>
    </row>
    <row r="481" spans="1:1">
      <c r="A481" s="88" t="s">
        <v>4321</v>
      </c>
    </row>
    <row r="482" spans="1:1">
      <c r="A482" s="88" t="s">
        <v>4322</v>
      </c>
    </row>
    <row r="483" spans="1:1">
      <c r="A483" s="88" t="s">
        <v>4323</v>
      </c>
    </row>
    <row r="484" spans="1:1">
      <c r="A484" s="88" t="s">
        <v>4324</v>
      </c>
    </row>
    <row r="485" spans="1:1">
      <c r="A485" s="88" t="s">
        <v>4325</v>
      </c>
    </row>
    <row r="487" spans="1:1">
      <c r="A487" s="88" t="s">
        <v>4326</v>
      </c>
    </row>
    <row r="488" spans="1:1">
      <c r="A488" s="88" t="s">
        <v>4327</v>
      </c>
    </row>
    <row r="489" spans="1:1">
      <c r="A489" s="88" t="s">
        <v>4328</v>
      </c>
    </row>
    <row r="490" spans="1:1">
      <c r="A490" s="88" t="s">
        <v>4329</v>
      </c>
    </row>
    <row r="491" spans="1:1">
      <c r="A491" s="88" t="s">
        <v>4330</v>
      </c>
    </row>
    <row r="493" spans="1:1">
      <c r="A493" s="88" t="s">
        <v>4331</v>
      </c>
    </row>
    <row r="494" spans="1:1">
      <c r="A494" s="88" t="s">
        <v>4332</v>
      </c>
    </row>
    <row r="495" spans="1:1">
      <c r="A495" s="88" t="s">
        <v>4333</v>
      </c>
    </row>
    <row r="496" spans="1:1">
      <c r="A496" s="88" t="s">
        <v>4334</v>
      </c>
    </row>
    <row r="497" spans="1:1">
      <c r="A497" s="88" t="s">
        <v>4335</v>
      </c>
    </row>
    <row r="499" spans="1:1">
      <c r="A499" s="88" t="s">
        <v>4336</v>
      </c>
    </row>
    <row r="500" spans="1:1">
      <c r="A500" s="88" t="s">
        <v>4337</v>
      </c>
    </row>
    <row r="501" spans="1:1">
      <c r="A501" s="88" t="s">
        <v>4338</v>
      </c>
    </row>
    <row r="502" spans="1:1">
      <c r="A502" s="88" t="s">
        <v>4339</v>
      </c>
    </row>
    <row r="504" spans="1:1">
      <c r="A504" s="88" t="s">
        <v>4340</v>
      </c>
    </row>
    <row r="505" spans="1:1">
      <c r="A505" s="88" t="s">
        <v>4196</v>
      </c>
    </row>
    <row r="506" spans="1:1">
      <c r="A506" s="88" t="s">
        <v>4341</v>
      </c>
    </row>
    <row r="507" spans="1:1">
      <c r="A507" s="88" t="s">
        <v>4342</v>
      </c>
    </row>
    <row r="508" spans="1:1">
      <c r="A508" s="88" t="s">
        <v>4343</v>
      </c>
    </row>
    <row r="510" spans="1:1">
      <c r="A510" s="88" t="s">
        <v>4344</v>
      </c>
    </row>
    <row r="511" spans="1:1">
      <c r="A511" s="88" t="s">
        <v>4345</v>
      </c>
    </row>
    <row r="512" spans="1:1">
      <c r="A512" s="88" t="s">
        <v>4346</v>
      </c>
    </row>
    <row r="513" spans="1:1">
      <c r="A513" s="88" t="s">
        <v>4347</v>
      </c>
    </row>
    <row r="514" spans="1:1">
      <c r="A514" s="88" t="s">
        <v>4348</v>
      </c>
    </row>
    <row r="516" spans="1:1">
      <c r="A516" s="88" t="s">
        <v>4349</v>
      </c>
    </row>
    <row r="517" spans="1:1">
      <c r="A517" s="88" t="s">
        <v>4350</v>
      </c>
    </row>
    <row r="518" spans="1:1">
      <c r="A518" s="88" t="s">
        <v>4181</v>
      </c>
    </row>
    <row r="519" spans="1:1">
      <c r="A519" s="88" t="s">
        <v>4351</v>
      </c>
    </row>
    <row r="520" spans="1:1">
      <c r="A520" s="88" t="s">
        <v>4352</v>
      </c>
    </row>
    <row r="521" spans="1:1">
      <c r="A521" s="88" t="s">
        <v>4353</v>
      </c>
    </row>
    <row r="523" spans="1:1">
      <c r="A523" s="88" t="s">
        <v>4354</v>
      </c>
    </row>
    <row r="524" spans="1:1">
      <c r="A524" s="88" t="s">
        <v>4355</v>
      </c>
    </row>
    <row r="525" spans="1:1">
      <c r="A525" s="88" t="s">
        <v>4356</v>
      </c>
    </row>
    <row r="526" spans="1:1">
      <c r="A526" s="88" t="s">
        <v>4357</v>
      </c>
    </row>
    <row r="528" spans="1:1">
      <c r="A528" s="88" t="s">
        <v>4358</v>
      </c>
    </row>
    <row r="529" spans="1:1">
      <c r="A529" s="88" t="s">
        <v>4359</v>
      </c>
    </row>
    <row r="530" spans="1:1">
      <c r="A530" s="88" t="s">
        <v>4360</v>
      </c>
    </row>
    <row r="531" spans="1:1">
      <c r="A531" s="88" t="s">
        <v>4361</v>
      </c>
    </row>
    <row r="532" spans="1:1">
      <c r="A532" s="88" t="s">
        <v>4362</v>
      </c>
    </row>
    <row r="534" spans="1:1">
      <c r="A534" s="88" t="s">
        <v>4363</v>
      </c>
    </row>
    <row r="535" spans="1:1">
      <c r="A535" s="88" t="s">
        <v>4364</v>
      </c>
    </row>
    <row r="536" spans="1:1">
      <c r="A536" s="88" t="s">
        <v>4365</v>
      </c>
    </row>
    <row r="537" spans="1:1">
      <c r="A537" s="88" t="s">
        <v>4366</v>
      </c>
    </row>
    <row r="538" spans="1:1">
      <c r="A538" s="88" t="s">
        <v>4367</v>
      </c>
    </row>
    <row r="539" spans="1:1">
      <c r="A539" s="88" t="s">
        <v>4368</v>
      </c>
    </row>
    <row r="541" spans="1:1">
      <c r="A541" s="88" t="s">
        <v>4369</v>
      </c>
    </row>
    <row r="542" spans="1:1">
      <c r="A542" s="88" t="s">
        <v>4370</v>
      </c>
    </row>
    <row r="543" spans="1:1">
      <c r="A543" s="88" t="s">
        <v>4371</v>
      </c>
    </row>
    <row r="544" spans="1:1">
      <c r="A544" s="88" t="s">
        <v>4372</v>
      </c>
    </row>
    <row r="545" spans="1:1">
      <c r="A545" s="88" t="s">
        <v>4373</v>
      </c>
    </row>
    <row r="546" spans="1:1">
      <c r="A546" s="88" t="s">
        <v>4374</v>
      </c>
    </row>
    <row r="548" spans="1:1">
      <c r="A548" s="88" t="s">
        <v>4375</v>
      </c>
    </row>
    <row r="549" spans="1:1">
      <c r="A549" s="88" t="s">
        <v>4376</v>
      </c>
    </row>
    <row r="550" spans="1:1">
      <c r="A550" s="88" t="s">
        <v>4129</v>
      </c>
    </row>
    <row r="551" spans="1:1">
      <c r="A551" s="88" t="s">
        <v>4377</v>
      </c>
    </row>
    <row r="552" spans="1:1">
      <c r="A552" s="88" t="s">
        <v>4378</v>
      </c>
    </row>
    <row r="553" spans="1:1">
      <c r="A553" s="88" t="s">
        <v>4379</v>
      </c>
    </row>
    <row r="555" spans="1:1">
      <c r="A555" s="88" t="s">
        <v>4380</v>
      </c>
    </row>
    <row r="556" spans="1:1">
      <c r="A556" s="88" t="s">
        <v>4142</v>
      </c>
    </row>
    <row r="557" spans="1:1">
      <c r="A557" s="88" t="s">
        <v>4381</v>
      </c>
    </row>
    <row r="558" spans="1:1">
      <c r="A558" s="88" t="s">
        <v>4382</v>
      </c>
    </row>
    <row r="559" spans="1:1">
      <c r="A559" s="88" t="s">
        <v>4383</v>
      </c>
    </row>
    <row r="560" spans="1:1">
      <c r="A560" s="88" t="s">
        <v>4384</v>
      </c>
    </row>
    <row r="562" spans="1:1">
      <c r="A562" s="88" t="s">
        <v>4385</v>
      </c>
    </row>
    <row r="563" spans="1:1">
      <c r="A563" s="88" t="s">
        <v>4142</v>
      </c>
    </row>
    <row r="564" spans="1:1">
      <c r="A564" s="88" t="s">
        <v>4386</v>
      </c>
    </row>
    <row r="565" spans="1:1">
      <c r="A565" s="88" t="s">
        <v>4387</v>
      </c>
    </row>
    <row r="566" spans="1:1">
      <c r="A566" s="88" t="s">
        <v>4388</v>
      </c>
    </row>
    <row r="567" spans="1:1">
      <c r="A567" s="88" t="s">
        <v>4389</v>
      </c>
    </row>
    <row r="569" spans="1:1">
      <c r="A569" s="88" t="s">
        <v>4390</v>
      </c>
    </row>
    <row r="570" spans="1:1">
      <c r="A570" s="88" t="s">
        <v>4142</v>
      </c>
    </row>
    <row r="571" spans="1:1">
      <c r="A571" s="88" t="s">
        <v>4391</v>
      </c>
    </row>
    <row r="572" spans="1:1">
      <c r="A572" s="88" t="s">
        <v>4392</v>
      </c>
    </row>
    <row r="573" spans="1:1">
      <c r="A573" s="88" t="s">
        <v>4393</v>
      </c>
    </row>
    <row r="574" spans="1:1">
      <c r="A574" s="88" t="s">
        <v>4394</v>
      </c>
    </row>
    <row r="576" spans="1:1">
      <c r="A576" s="88" t="s">
        <v>4395</v>
      </c>
    </row>
    <row r="577" spans="1:1">
      <c r="A577" s="88" t="s">
        <v>4142</v>
      </c>
    </row>
    <row r="578" spans="1:1">
      <c r="A578" s="88" t="s">
        <v>4129</v>
      </c>
    </row>
    <row r="579" spans="1:1">
      <c r="A579" s="88" t="s">
        <v>4396</v>
      </c>
    </row>
    <row r="580" spans="1:1">
      <c r="A580" s="88" t="s">
        <v>4397</v>
      </c>
    </row>
    <row r="581" spans="1:1">
      <c r="A581" s="88" t="s">
        <v>4398</v>
      </c>
    </row>
    <row r="583" spans="1:1">
      <c r="A583" s="88" t="s">
        <v>4399</v>
      </c>
    </row>
    <row r="584" spans="1:1">
      <c r="A584" s="88" t="s">
        <v>4142</v>
      </c>
    </row>
    <row r="585" spans="1:1">
      <c r="A585" s="88" t="s">
        <v>4400</v>
      </c>
    </row>
    <row r="586" spans="1:1">
      <c r="A586" s="88" t="s">
        <v>4401</v>
      </c>
    </row>
    <row r="587" spans="1:1">
      <c r="A587" s="88" t="s">
        <v>4402</v>
      </c>
    </row>
    <row r="588" spans="1:1">
      <c r="A588" s="88" t="s">
        <v>4403</v>
      </c>
    </row>
    <row r="590" spans="1:1">
      <c r="A590" s="88" t="s">
        <v>4404</v>
      </c>
    </row>
    <row r="591" spans="1:1">
      <c r="A591" s="88" t="s">
        <v>4142</v>
      </c>
    </row>
    <row r="592" spans="1:1">
      <c r="A592" s="88" t="s">
        <v>4175</v>
      </c>
    </row>
    <row r="593" spans="1:1">
      <c r="A593" s="88" t="s">
        <v>4405</v>
      </c>
    </row>
    <row r="594" spans="1:1">
      <c r="A594" s="88" t="s">
        <v>4406</v>
      </c>
    </row>
    <row r="596" spans="1:1">
      <c r="A596" s="88" t="s">
        <v>4407</v>
      </c>
    </row>
    <row r="597" spans="1:1">
      <c r="A597" s="88" t="s">
        <v>4093</v>
      </c>
    </row>
    <row r="598" spans="1:1">
      <c r="A598" s="88" t="s">
        <v>4408</v>
      </c>
    </row>
    <row r="599" spans="1:1">
      <c r="A599" s="88" t="s">
        <v>4095</v>
      </c>
    </row>
    <row r="600" spans="1:1">
      <c r="A600" s="88" t="s">
        <v>4409</v>
      </c>
    </row>
    <row r="602" spans="1:1">
      <c r="A602" s="88" t="s">
        <v>4410</v>
      </c>
    </row>
    <row r="603" spans="1:1">
      <c r="A603" s="88" t="s">
        <v>4411</v>
      </c>
    </row>
    <row r="604" spans="1:1">
      <c r="A604" s="88" t="s">
        <v>4412</v>
      </c>
    </row>
    <row r="605" spans="1:1">
      <c r="A605" s="88" t="s">
        <v>4413</v>
      </c>
    </row>
    <row r="606" spans="1:1">
      <c r="A606" s="88" t="s">
        <v>4414</v>
      </c>
    </row>
    <row r="607" spans="1:1">
      <c r="A607" s="88" t="s">
        <v>4415</v>
      </c>
    </row>
    <row r="609" spans="1:1">
      <c r="A609" s="88" t="s">
        <v>4416</v>
      </c>
    </row>
    <row r="610" spans="1:1">
      <c r="A610" s="88" t="s">
        <v>4411</v>
      </c>
    </row>
    <row r="611" spans="1:1">
      <c r="A611" s="88" t="s">
        <v>4417</v>
      </c>
    </row>
    <row r="612" spans="1:1">
      <c r="A612" s="88" t="s">
        <v>4418</v>
      </c>
    </row>
    <row r="613" spans="1:1">
      <c r="A613" s="88" t="s">
        <v>4419</v>
      </c>
    </row>
    <row r="614" spans="1:1">
      <c r="A614" s="88" t="s">
        <v>4420</v>
      </c>
    </row>
    <row r="616" spans="1:1">
      <c r="A616" s="88" t="s">
        <v>4421</v>
      </c>
    </row>
    <row r="617" spans="1:1">
      <c r="A617" s="88" t="s">
        <v>4300</v>
      </c>
    </row>
    <row r="618" spans="1:1">
      <c r="A618" s="88" t="s">
        <v>4422</v>
      </c>
    </row>
    <row r="619" spans="1:1">
      <c r="A619" s="88" t="s">
        <v>4423</v>
      </c>
    </row>
    <row r="620" spans="1:1">
      <c r="A620" s="88" t="s">
        <v>4424</v>
      </c>
    </row>
    <row r="622" spans="1:1">
      <c r="A622" s="88" t="s">
        <v>4425</v>
      </c>
    </row>
    <row r="623" spans="1:1">
      <c r="A623" s="88" t="s">
        <v>4426</v>
      </c>
    </row>
    <row r="624" spans="1:1">
      <c r="A624" s="88" t="s">
        <v>4427</v>
      </c>
    </row>
    <row r="625" spans="1:1">
      <c r="A625" s="88" t="s">
        <v>4428</v>
      </c>
    </row>
    <row r="626" spans="1:1">
      <c r="A626" s="88" t="s">
        <v>4429</v>
      </c>
    </row>
    <row r="627" spans="1:1">
      <c r="A627" s="88" t="s">
        <v>4430</v>
      </c>
    </row>
    <row r="629" spans="1:1">
      <c r="A629" s="205" t="s">
        <v>4431</v>
      </c>
    </row>
    <row r="630" spans="1:1">
      <c r="A630" s="205" t="s">
        <v>4251</v>
      </c>
    </row>
    <row r="631" spans="1:1">
      <c r="A631" s="205" t="s">
        <v>4432</v>
      </c>
    </row>
    <row r="632" spans="1:1">
      <c r="A632" s="205" t="s">
        <v>4181</v>
      </c>
    </row>
    <row r="633" spans="1:1">
      <c r="A633" s="205" t="s">
        <v>4253</v>
      </c>
    </row>
    <row r="634" spans="1:1">
      <c r="A634" s="205" t="s">
        <v>4433</v>
      </c>
    </row>
    <row r="635" spans="1:1">
      <c r="A635" s="205" t="s">
        <v>4434</v>
      </c>
    </row>
    <row r="636" spans="1:1">
      <c r="A636" s="205" t="s">
        <v>4435</v>
      </c>
    </row>
    <row r="638" spans="1:1">
      <c r="A638" s="88"/>
    </row>
    <row r="639" spans="1:1">
      <c r="A639" s="88"/>
    </row>
    <row r="640" spans="1:1">
      <c r="A640" s="88" t="s">
        <v>4179</v>
      </c>
    </row>
    <row r="641" spans="1:1">
      <c r="A641" s="88" t="s">
        <v>4180</v>
      </c>
    </row>
    <row r="642" spans="1:1">
      <c r="A642" s="88" t="s">
        <v>4181</v>
      </c>
    </row>
    <row r="643" spans="1:1">
      <c r="A643" s="88" t="s">
        <v>4436</v>
      </c>
    </row>
    <row r="644" spans="1:1">
      <c r="A644" s="88" t="s">
        <v>4183</v>
      </c>
    </row>
    <row r="645" spans="1:1">
      <c r="A645" s="88" t="s">
        <v>4184</v>
      </c>
    </row>
    <row r="646" spans="1:1">
      <c r="A646" s="88" t="s">
        <v>4437</v>
      </c>
    </row>
    <row r="647" spans="1:1">
      <c r="A647" s="88" t="s">
        <v>4438</v>
      </c>
    </row>
    <row r="648" spans="1:1">
      <c r="A648" s="88" t="s">
        <v>4427</v>
      </c>
    </row>
    <row r="649" spans="1:1">
      <c r="A649" s="88" t="s">
        <v>4439</v>
      </c>
    </row>
    <row r="650" spans="1:1">
      <c r="A650" s="88" t="s">
        <v>4440</v>
      </c>
    </row>
    <row r="651" spans="1:1">
      <c r="A651" s="88" t="s">
        <v>4441</v>
      </c>
    </row>
    <row r="652" spans="1:1">
      <c r="A652" s="88" t="s">
        <v>4442</v>
      </c>
    </row>
    <row r="653" spans="1:1">
      <c r="A653" s="88" t="s">
        <v>4443</v>
      </c>
    </row>
    <row r="654" spans="1:1">
      <c r="A654" s="88" t="s">
        <v>4444</v>
      </c>
    </row>
    <row r="655" spans="1:1">
      <c r="A655" s="88" t="s">
        <v>4445</v>
      </c>
    </row>
    <row r="656" spans="1:1">
      <c r="A656" s="88" t="s">
        <v>4446</v>
      </c>
    </row>
    <row r="657" spans="1:1">
      <c r="A657" s="88" t="s">
        <v>4447</v>
      </c>
    </row>
    <row r="658" spans="1:1">
      <c r="A658" s="88" t="s">
        <v>4448</v>
      </c>
    </row>
    <row r="659" spans="1:1">
      <c r="A659" s="88" t="s">
        <v>4449</v>
      </c>
    </row>
    <row r="660" spans="1:1">
      <c r="A660" s="88" t="s">
        <v>4450</v>
      </c>
    </row>
    <row r="661" spans="1:1">
      <c r="A661" s="88" t="s">
        <v>4451</v>
      </c>
    </row>
    <row r="662" spans="1:1">
      <c r="A662" s="88" t="s">
        <v>4452</v>
      </c>
    </row>
    <row r="663" spans="1:1">
      <c r="A663" s="88" t="s">
        <v>4453</v>
      </c>
    </row>
    <row r="664" spans="1:1">
      <c r="A664" s="88" t="s">
        <v>4454</v>
      </c>
    </row>
    <row r="665" spans="1:1">
      <c r="A665" s="88" t="s">
        <v>4449</v>
      </c>
    </row>
    <row r="666" spans="1:1">
      <c r="A666" s="88" t="s">
        <v>4455</v>
      </c>
    </row>
    <row r="667" spans="1:1">
      <c r="A667" s="88" t="s">
        <v>4456</v>
      </c>
    </row>
    <row r="668" spans="1:1">
      <c r="A668" s="88" t="s">
        <v>4457</v>
      </c>
    </row>
    <row r="669" spans="1:1">
      <c r="A669" s="88" t="s">
        <v>4458</v>
      </c>
    </row>
    <row r="671" spans="1:1">
      <c r="A671" s="88" t="s">
        <v>4459</v>
      </c>
    </row>
    <row r="672" spans="1:1">
      <c r="A672" s="88" t="s">
        <v>4460</v>
      </c>
    </row>
    <row r="673" spans="1:1">
      <c r="A673" s="88" t="s">
        <v>4181</v>
      </c>
    </row>
    <row r="674" spans="1:1">
      <c r="A674" s="88" t="s">
        <v>4461</v>
      </c>
    </row>
    <row r="675" spans="1:1">
      <c r="A675" s="88" t="s">
        <v>4462</v>
      </c>
    </row>
    <row r="676" spans="1:1">
      <c r="A676" s="88" t="s">
        <v>4411</v>
      </c>
    </row>
    <row r="677" spans="1:1">
      <c r="A677" s="88" t="s">
        <v>4094</v>
      </c>
    </row>
    <row r="678" spans="1:1">
      <c r="A678" s="88" t="s">
        <v>4428</v>
      </c>
    </row>
    <row r="679" spans="1:1">
      <c r="A679" s="88" t="s">
        <v>4463</v>
      </c>
    </row>
    <row r="680" spans="1:1">
      <c r="A680" s="88" t="s">
        <v>4464</v>
      </c>
    </row>
    <row r="681" spans="1:1">
      <c r="A681" s="88" t="s">
        <v>4465</v>
      </c>
    </row>
    <row r="682" spans="1:1">
      <c r="A682" s="88" t="s">
        <v>4466</v>
      </c>
    </row>
    <row r="683" spans="1:1">
      <c r="A683" s="88" t="s">
        <v>4094</v>
      </c>
    </row>
    <row r="684" spans="1:1">
      <c r="A684" s="88" t="s">
        <v>4467</v>
      </c>
    </row>
    <row r="685" spans="1:1">
      <c r="A685" s="88" t="s">
        <v>4468</v>
      </c>
    </row>
    <row r="686" spans="1:1">
      <c r="A686" s="88" t="s">
        <v>4469</v>
      </c>
    </row>
    <row r="687" spans="1:1">
      <c r="A687" s="88" t="s">
        <v>4470</v>
      </c>
    </row>
    <row r="688" spans="1:1">
      <c r="A688" s="88" t="s">
        <v>4471</v>
      </c>
    </row>
    <row r="689" spans="1:1">
      <c r="A689" s="88" t="s">
        <v>4472</v>
      </c>
    </row>
    <row r="690" spans="1:1">
      <c r="A690" s="88" t="s">
        <v>4473</v>
      </c>
    </row>
    <row r="691" spans="1:1">
      <c r="A691" s="88" t="s">
        <v>4474</v>
      </c>
    </row>
    <row r="692" spans="1:1">
      <c r="A692" s="88" t="s">
        <v>4475</v>
      </c>
    </row>
    <row r="693" spans="1:1">
      <c r="A693" s="88" t="s">
        <v>4476</v>
      </c>
    </row>
    <row r="694" spans="1:1">
      <c r="A694" s="88" t="s">
        <v>4477</v>
      </c>
    </row>
    <row r="695" spans="1:1">
      <c r="A695" s="88" t="s">
        <v>4478</v>
      </c>
    </row>
    <row r="696" spans="1:1">
      <c r="A696" s="88" t="s">
        <v>4479</v>
      </c>
    </row>
    <row r="697" spans="1:1">
      <c r="A697" s="88" t="s">
        <v>4480</v>
      </c>
    </row>
    <row r="698" spans="1:1">
      <c r="A698" s="88" t="s">
        <v>4481</v>
      </c>
    </row>
    <row r="699" spans="1:1">
      <c r="A699" s="88" t="s">
        <v>4482</v>
      </c>
    </row>
    <row r="700" spans="1:1">
      <c r="A700" s="88" t="s">
        <v>4483</v>
      </c>
    </row>
    <row r="701" spans="1:1">
      <c r="A701" s="88" t="s">
        <v>4231</v>
      </c>
    </row>
    <row r="702" spans="1:1">
      <c r="A702" s="88" t="s">
        <v>4484</v>
      </c>
    </row>
    <row r="703" spans="1:1">
      <c r="A703" s="88" t="s">
        <v>4485</v>
      </c>
    </row>
    <row r="704" spans="1:1">
      <c r="A704" s="88" t="s">
        <v>4486</v>
      </c>
    </row>
    <row r="705" spans="1:1">
      <c r="A705" s="88" t="s">
        <v>4487</v>
      </c>
    </row>
    <row r="706" spans="1:1">
      <c r="A706" s="88" t="s">
        <v>4488</v>
      </c>
    </row>
    <row r="707" spans="1:1">
      <c r="A707" s="88" t="s">
        <v>4175</v>
      </c>
    </row>
    <row r="708" spans="1:1">
      <c r="A708" s="88" t="s">
        <v>4489</v>
      </c>
    </row>
    <row r="709" spans="1:1">
      <c r="A709" s="88" t="s">
        <v>4490</v>
      </c>
    </row>
    <row r="710" spans="1:1">
      <c r="A710" s="88" t="s">
        <v>4491</v>
      </c>
    </row>
    <row r="711" spans="1:1">
      <c r="A711" s="88" t="s">
        <v>4492</v>
      </c>
    </row>
    <row r="712" spans="1:1">
      <c r="A712" s="88" t="s">
        <v>4094</v>
      </c>
    </row>
    <row r="713" spans="1:1">
      <c r="A713" s="88" t="s">
        <v>4493</v>
      </c>
    </row>
    <row r="714" spans="1:1">
      <c r="A714" s="88" t="s">
        <v>4494</v>
      </c>
    </row>
    <row r="715" spans="1:1">
      <c r="A715" s="88" t="s">
        <v>4495</v>
      </c>
    </row>
    <row r="716" spans="1:1">
      <c r="A716" s="88" t="s">
        <v>4496</v>
      </c>
    </row>
    <row r="717" spans="1:1">
      <c r="A717" s="88" t="s">
        <v>4497</v>
      </c>
    </row>
    <row r="718" spans="1:1">
      <c r="A718" s="88" t="s">
        <v>4498</v>
      </c>
    </row>
    <row r="719" spans="1:1">
      <c r="A719" s="88" t="s">
        <v>4499</v>
      </c>
    </row>
    <row r="720" spans="1:1">
      <c r="A720" s="88" t="s">
        <v>4500</v>
      </c>
    </row>
    <row r="721" spans="1:1">
      <c r="A721" s="88" t="s">
        <v>4501</v>
      </c>
    </row>
    <row r="722" spans="1:1">
      <c r="A722" s="88" t="s">
        <v>4443</v>
      </c>
    </row>
    <row r="723" spans="1:1">
      <c r="A723" s="88" t="s">
        <v>4175</v>
      </c>
    </row>
    <row r="724" spans="1:1">
      <c r="A724" s="88" t="s">
        <v>4502</v>
      </c>
    </row>
    <row r="725" spans="1:1">
      <c r="A725" s="88" t="s">
        <v>4503</v>
      </c>
    </row>
    <row r="726" spans="1:1">
      <c r="A726" s="88" t="s">
        <v>4504</v>
      </c>
    </row>
    <row r="727" spans="1:1">
      <c r="A727" s="88" t="s">
        <v>4505</v>
      </c>
    </row>
    <row r="728" spans="1:1">
      <c r="A728" s="88" t="s">
        <v>4443</v>
      </c>
    </row>
    <row r="729" spans="1:1">
      <c r="A729" s="88" t="s">
        <v>4181</v>
      </c>
    </row>
    <row r="730" spans="1:1">
      <c r="A730" s="88" t="s">
        <v>4506</v>
      </c>
    </row>
    <row r="731" spans="1:1">
      <c r="A731" s="88" t="s">
        <v>4507</v>
      </c>
    </row>
    <row r="732" spans="1:1">
      <c r="A732" s="88" t="s">
        <v>4508</v>
      </c>
    </row>
    <row r="733" spans="1:1">
      <c r="A733" s="88" t="s">
        <v>4509</v>
      </c>
    </row>
    <row r="734" spans="1:1">
      <c r="A734" s="88" t="s">
        <v>4196</v>
      </c>
    </row>
    <row r="735" spans="1:1">
      <c r="A735" s="88" t="s">
        <v>4341</v>
      </c>
    </row>
    <row r="736" spans="1:1">
      <c r="A736" s="88" t="s">
        <v>4510</v>
      </c>
    </row>
    <row r="737" spans="1:1">
      <c r="A737" s="88" t="s">
        <v>4511</v>
      </c>
    </row>
    <row r="738" spans="1:1">
      <c r="A738" s="88" t="s">
        <v>4512</v>
      </c>
    </row>
    <row r="739" spans="1:1">
      <c r="A739" s="88" t="s">
        <v>4513</v>
      </c>
    </row>
    <row r="740" spans="1:1">
      <c r="A740" s="88" t="s">
        <v>4514</v>
      </c>
    </row>
    <row r="741" spans="1:1">
      <c r="A741" s="88" t="s">
        <v>4181</v>
      </c>
    </row>
    <row r="742" spans="1:1">
      <c r="A742" s="88" t="s">
        <v>4515</v>
      </c>
    </row>
    <row r="743" spans="1:1">
      <c r="A743" s="88" t="s">
        <v>4516</v>
      </c>
    </row>
    <row r="744" spans="1:1">
      <c r="A744" s="88" t="s">
        <v>4517</v>
      </c>
    </row>
    <row r="745" spans="1:1">
      <c r="A745" s="88" t="s">
        <v>4518</v>
      </c>
    </row>
    <row r="746" spans="1:1">
      <c r="A746" s="88" t="s">
        <v>4519</v>
      </c>
    </row>
    <row r="747" spans="1:1">
      <c r="A747" s="88" t="s">
        <v>4371</v>
      </c>
    </row>
    <row r="748" spans="1:1">
      <c r="A748" s="88" t="s">
        <v>4520</v>
      </c>
    </row>
    <row r="749" spans="1:1">
      <c r="A749" s="88" t="s">
        <v>4521</v>
      </c>
    </row>
    <row r="750" spans="1:1">
      <c r="A750" s="88" t="s">
        <v>4522</v>
      </c>
    </row>
    <row r="751" spans="1:1">
      <c r="A751" s="88" t="s">
        <v>4523</v>
      </c>
    </row>
    <row r="752" spans="1:1">
      <c r="A752" s="88" t="s">
        <v>4477</v>
      </c>
    </row>
    <row r="753" spans="1:1">
      <c r="A753" s="88" t="s">
        <v>4524</v>
      </c>
    </row>
    <row r="754" spans="1:1">
      <c r="A754" s="88" t="s">
        <v>4525</v>
      </c>
    </row>
    <row r="755" spans="1:1">
      <c r="A755" s="88" t="s">
        <v>4526</v>
      </c>
    </row>
    <row r="756" spans="1:1">
      <c r="A756" s="88" t="s">
        <v>4527</v>
      </c>
    </row>
    <row r="757" spans="1:1">
      <c r="A757" s="88" t="s">
        <v>4528</v>
      </c>
    </row>
    <row r="758" spans="1:1">
      <c r="A758" s="88" t="s">
        <v>4092</v>
      </c>
    </row>
    <row r="759" spans="1:1">
      <c r="A759" s="88" t="s">
        <v>4093</v>
      </c>
    </row>
    <row r="760" spans="1:1">
      <c r="A760" s="88" t="s">
        <v>4408</v>
      </c>
    </row>
    <row r="761" spans="1:1">
      <c r="A761" s="88" t="s">
        <v>4095</v>
      </c>
    </row>
    <row r="762" spans="1:1">
      <c r="A762" s="88" t="s">
        <v>4529</v>
      </c>
    </row>
    <row r="763" spans="1:1">
      <c r="A763" s="88" t="s">
        <v>4530</v>
      </c>
    </row>
    <row r="764" spans="1:1">
      <c r="A764" s="88" t="s">
        <v>4531</v>
      </c>
    </row>
    <row r="765" spans="1:1">
      <c r="A765" s="88" t="s">
        <v>4532</v>
      </c>
    </row>
    <row r="766" spans="1:1">
      <c r="A766" s="88" t="s">
        <v>4533</v>
      </c>
    </row>
    <row r="767" spans="1:1">
      <c r="A767" s="88" t="s">
        <v>4534</v>
      </c>
    </row>
    <row r="768" spans="1:1">
      <c r="A768" s="88" t="s">
        <v>4535</v>
      </c>
    </row>
    <row r="769" spans="1:1">
      <c r="A769" s="88" t="s">
        <v>4536</v>
      </c>
    </row>
    <row r="770" spans="1:1">
      <c r="A770" s="88" t="s">
        <v>4537</v>
      </c>
    </row>
    <row r="771" spans="1:1">
      <c r="A771" s="88" t="s">
        <v>4538</v>
      </c>
    </row>
    <row r="772" spans="1:1">
      <c r="A772" s="88" t="s">
        <v>4539</v>
      </c>
    </row>
    <row r="773" spans="1:1">
      <c r="A773" s="88" t="s">
        <v>4540</v>
      </c>
    </row>
    <row r="774" spans="1:1">
      <c r="A774" s="88" t="s">
        <v>4541</v>
      </c>
    </row>
    <row r="775" spans="1:1">
      <c r="A775" s="88" t="s">
        <v>4542</v>
      </c>
    </row>
    <row r="776" spans="1:1">
      <c r="A776" s="88" t="s">
        <v>4543</v>
      </c>
    </row>
    <row r="777" spans="1:1">
      <c r="A777" s="88" t="s">
        <v>4355</v>
      </c>
    </row>
    <row r="778" spans="1:1">
      <c r="A778" s="88" t="s">
        <v>4544</v>
      </c>
    </row>
    <row r="779" spans="1:1">
      <c r="A779" s="88" t="s">
        <v>4545</v>
      </c>
    </row>
    <row r="780" spans="1:1">
      <c r="A780" s="88" t="s">
        <v>4546</v>
      </c>
    </row>
    <row r="781" spans="1:1">
      <c r="A781" s="88" t="s">
        <v>4547</v>
      </c>
    </row>
    <row r="782" spans="1:1">
      <c r="A782" s="88" t="s">
        <v>4548</v>
      </c>
    </row>
    <row r="783" spans="1:1">
      <c r="A783" s="88" t="s">
        <v>4549</v>
      </c>
    </row>
    <row r="784" spans="1:1">
      <c r="A784" s="88" t="s">
        <v>4231</v>
      </c>
    </row>
    <row r="785" spans="1:1">
      <c r="A785" s="88" t="s">
        <v>4550</v>
      </c>
    </row>
    <row r="786" spans="1:1">
      <c r="A786" s="88" t="s">
        <v>4551</v>
      </c>
    </row>
    <row r="787" spans="1:1">
      <c r="A787" s="88" t="s">
        <v>4552</v>
      </c>
    </row>
    <row r="788" spans="1:1">
      <c r="A788" s="88" t="s">
        <v>4553</v>
      </c>
    </row>
    <row r="789" spans="1:1">
      <c r="A789" s="88" t="s">
        <v>4101</v>
      </c>
    </row>
    <row r="790" spans="1:1">
      <c r="A790" s="88" t="s">
        <v>4554</v>
      </c>
    </row>
    <row r="791" spans="1:1">
      <c r="A791" s="88" t="s">
        <v>4555</v>
      </c>
    </row>
    <row r="792" spans="1:1">
      <c r="A792" s="88" t="s">
        <v>4556</v>
      </c>
    </row>
    <row r="793" spans="1:1">
      <c r="A793" s="88" t="s">
        <v>4290</v>
      </c>
    </row>
    <row r="794" spans="1:1">
      <c r="A794" s="88" t="s">
        <v>4557</v>
      </c>
    </row>
    <row r="795" spans="1:1">
      <c r="A795" s="88" t="s">
        <v>4094</v>
      </c>
    </row>
    <row r="796" spans="1:1">
      <c r="A796" s="88" t="s">
        <v>4558</v>
      </c>
    </row>
    <row r="797" spans="1:1">
      <c r="A797" s="88" t="s">
        <v>4293</v>
      </c>
    </row>
    <row r="798" spans="1:1">
      <c r="A798" s="88" t="s">
        <v>4294</v>
      </c>
    </row>
    <row r="799" spans="1:1">
      <c r="A799" s="88" t="s">
        <v>4559</v>
      </c>
    </row>
    <row r="800" spans="1:1">
      <c r="A800" s="88" t="s">
        <v>4099</v>
      </c>
    </row>
    <row r="801" spans="1:1">
      <c r="A801" s="88" t="s">
        <v>4560</v>
      </c>
    </row>
    <row r="802" spans="1:1">
      <c r="A802" s="88" t="s">
        <v>4561</v>
      </c>
    </row>
    <row r="803" spans="1:1">
      <c r="A803" s="88" t="s">
        <v>4562</v>
      </c>
    </row>
    <row r="804" spans="1:1">
      <c r="A804" s="88" t="s">
        <v>4563</v>
      </c>
    </row>
    <row r="805" spans="1:1">
      <c r="A805" s="88" t="s">
        <v>4564</v>
      </c>
    </row>
    <row r="806" spans="1:1">
      <c r="A806" s="88" t="s">
        <v>4092</v>
      </c>
    </row>
    <row r="807" spans="1:1">
      <c r="A807" s="88" t="s">
        <v>4565</v>
      </c>
    </row>
    <row r="808" spans="1:1">
      <c r="A808" s="88" t="s">
        <v>4566</v>
      </c>
    </row>
    <row r="809" spans="1:1">
      <c r="A809" s="88" t="s">
        <v>4567</v>
      </c>
    </row>
    <row r="810" spans="1:1">
      <c r="A810" s="88" t="s">
        <v>4568</v>
      </c>
    </row>
    <row r="811" spans="1:1">
      <c r="A811" s="88" t="s">
        <v>4569</v>
      </c>
    </row>
    <row r="812" spans="1:1">
      <c r="A812" s="88" t="s">
        <v>4570</v>
      </c>
    </row>
    <row r="813" spans="1:1">
      <c r="A813" s="88" t="s">
        <v>4092</v>
      </c>
    </row>
    <row r="814" spans="1:1">
      <c r="A814" s="88" t="s">
        <v>4571</v>
      </c>
    </row>
    <row r="815" spans="1:1">
      <c r="A815" s="88" t="s">
        <v>4572</v>
      </c>
    </row>
    <row r="816" spans="1:1">
      <c r="A816" s="88" t="s">
        <v>4573</v>
      </c>
    </row>
    <row r="817" spans="1:1">
      <c r="A817" s="88" t="s">
        <v>4574</v>
      </c>
    </row>
    <row r="818" spans="1:1">
      <c r="A818" s="88" t="s">
        <v>4575</v>
      </c>
    </row>
    <row r="819" spans="1:1">
      <c r="A819" s="88" t="s">
        <v>4576</v>
      </c>
    </row>
    <row r="820" spans="1:1">
      <c r="A820" s="88" t="s">
        <v>4092</v>
      </c>
    </row>
    <row r="821" spans="1:1">
      <c r="A821" s="88" t="s">
        <v>4577</v>
      </c>
    </row>
    <row r="822" spans="1:1">
      <c r="A822" s="88" t="s">
        <v>4578</v>
      </c>
    </row>
    <row r="823" spans="1:1">
      <c r="A823" s="88" t="s">
        <v>4579</v>
      </c>
    </row>
    <row r="824" spans="1:1">
      <c r="A824" s="88" t="s">
        <v>4580</v>
      </c>
    </row>
    <row r="825" spans="1:1">
      <c r="A825" s="88" t="s">
        <v>4581</v>
      </c>
    </row>
    <row r="826" spans="1:1">
      <c r="A826" s="88" t="s">
        <v>4092</v>
      </c>
    </row>
    <row r="827" spans="1:1">
      <c r="A827" s="88" t="s">
        <v>4582</v>
      </c>
    </row>
    <row r="828" spans="1:1">
      <c r="A828" s="88" t="s">
        <v>4583</v>
      </c>
    </row>
    <row r="829" spans="1:1">
      <c r="A829" s="88" t="s">
        <v>4584</v>
      </c>
    </row>
    <row r="830" spans="1:1">
      <c r="A830" s="88" t="s">
        <v>4585</v>
      </c>
    </row>
    <row r="831" spans="1:1">
      <c r="A831" s="88" t="s">
        <v>4586</v>
      </c>
    </row>
    <row r="832" spans="1:1">
      <c r="A832" s="88" t="s">
        <v>4587</v>
      </c>
    </row>
    <row r="833" spans="1:1">
      <c r="A833" s="88" t="s">
        <v>4092</v>
      </c>
    </row>
    <row r="834" spans="1:1">
      <c r="A834" s="88" t="s">
        <v>4588</v>
      </c>
    </row>
    <row r="835" spans="1:1">
      <c r="A835" s="88" t="s">
        <v>4589</v>
      </c>
    </row>
    <row r="836" spans="1:1">
      <c r="A836" s="88" t="s">
        <v>4590</v>
      </c>
    </row>
    <row r="837" spans="1:1">
      <c r="A837" s="88" t="s">
        <v>4591</v>
      </c>
    </row>
    <row r="838" spans="1:1">
      <c r="A838" s="88" t="s">
        <v>4592</v>
      </c>
    </row>
    <row r="839" spans="1:1">
      <c r="A839" s="88" t="s">
        <v>4173</v>
      </c>
    </row>
    <row r="840" spans="1:1">
      <c r="A840" s="88" t="s">
        <v>4092</v>
      </c>
    </row>
    <row r="841" spans="1:1">
      <c r="A841" s="88" t="s">
        <v>4593</v>
      </c>
    </row>
    <row r="842" spans="1:1">
      <c r="A842" s="88" t="s">
        <v>4175</v>
      </c>
    </row>
    <row r="843" spans="1:1">
      <c r="A843" s="88" t="s">
        <v>4594</v>
      </c>
    </row>
    <row r="844" spans="1:1">
      <c r="A844" s="88" t="s">
        <v>4177</v>
      </c>
    </row>
    <row r="845" spans="1:1">
      <c r="A845" s="88" t="s">
        <v>4178</v>
      </c>
    </row>
    <row r="846" spans="1:1">
      <c r="A846" s="88" t="s">
        <v>4595</v>
      </c>
    </row>
    <row r="847" spans="1:1">
      <c r="A847" s="88" t="s">
        <v>4092</v>
      </c>
    </row>
    <row r="848" spans="1:1">
      <c r="A848" s="88" t="s">
        <v>4596</v>
      </c>
    </row>
    <row r="849" spans="1:1">
      <c r="A849" s="88" t="s">
        <v>4129</v>
      </c>
    </row>
    <row r="850" spans="1:1">
      <c r="A850" s="88" t="s">
        <v>4597</v>
      </c>
    </row>
    <row r="851" spans="1:1">
      <c r="A851" s="88" t="s">
        <v>4598</v>
      </c>
    </row>
    <row r="852" spans="1:1">
      <c r="A852" s="88" t="s">
        <v>4599</v>
      </c>
    </row>
    <row r="853" spans="1:1">
      <c r="A853" s="88" t="s">
        <v>4600</v>
      </c>
    </row>
    <row r="854" spans="1:1">
      <c r="A854" s="88" t="s">
        <v>4092</v>
      </c>
    </row>
    <row r="855" spans="1:1">
      <c r="A855" s="88" t="s">
        <v>4601</v>
      </c>
    </row>
    <row r="856" spans="1:1">
      <c r="A856" s="88" t="s">
        <v>4602</v>
      </c>
    </row>
    <row r="857" spans="1:1">
      <c r="A857" s="88" t="s">
        <v>4603</v>
      </c>
    </row>
    <row r="858" spans="1:1">
      <c r="A858" s="88" t="s">
        <v>4604</v>
      </c>
    </row>
    <row r="859" spans="1:1">
      <c r="A859" s="88" t="s">
        <v>4605</v>
      </c>
    </row>
    <row r="860" spans="1:1">
      <c r="A860" s="88" t="s">
        <v>4092</v>
      </c>
    </row>
    <row r="861" spans="1:1">
      <c r="A861" s="88" t="s">
        <v>4606</v>
      </c>
    </row>
    <row r="862" spans="1:1">
      <c r="A862" s="88" t="s">
        <v>4175</v>
      </c>
    </row>
    <row r="863" spans="1:1">
      <c r="A863" s="88" t="s">
        <v>4607</v>
      </c>
    </row>
    <row r="864" spans="1:1">
      <c r="A864" s="88" t="s">
        <v>4608</v>
      </c>
    </row>
    <row r="865" spans="1:1">
      <c r="A865" s="88" t="s">
        <v>4609</v>
      </c>
    </row>
    <row r="866" spans="1:1">
      <c r="A866" s="88" t="s">
        <v>4610</v>
      </c>
    </row>
    <row r="867" spans="1:1">
      <c r="A867" s="88" t="s">
        <v>4092</v>
      </c>
    </row>
    <row r="868" spans="1:1">
      <c r="A868" s="88" t="s">
        <v>4611</v>
      </c>
    </row>
    <row r="869" spans="1:1">
      <c r="A869" s="88" t="s">
        <v>4478</v>
      </c>
    </row>
    <row r="870" spans="1:1">
      <c r="A870" s="88" t="s">
        <v>4612</v>
      </c>
    </row>
    <row r="871" spans="1:1">
      <c r="A871" s="88" t="s">
        <v>4613</v>
      </c>
    </row>
    <row r="872" spans="1:1">
      <c r="A872" s="88" t="s">
        <v>4614</v>
      </c>
    </row>
    <row r="873" spans="1:1">
      <c r="A873" s="88" t="s">
        <v>4615</v>
      </c>
    </row>
    <row r="874" spans="1:1">
      <c r="A874" s="88" t="s">
        <v>4092</v>
      </c>
    </row>
    <row r="875" spans="1:1">
      <c r="A875" s="88" t="s">
        <v>4611</v>
      </c>
    </row>
    <row r="876" spans="1:1">
      <c r="A876" s="88" t="s">
        <v>4478</v>
      </c>
    </row>
    <row r="877" spans="1:1">
      <c r="A877" s="88" t="s">
        <v>4612</v>
      </c>
    </row>
    <row r="878" spans="1:1">
      <c r="A878" s="88" t="s">
        <v>4616</v>
      </c>
    </row>
    <row r="879" spans="1:1">
      <c r="A879" s="88" t="s">
        <v>4617</v>
      </c>
    </row>
    <row r="880" spans="1:1">
      <c r="A880" s="88" t="s">
        <v>4618</v>
      </c>
    </row>
    <row r="881" spans="1:1">
      <c r="A881" s="88" t="s">
        <v>4092</v>
      </c>
    </row>
    <row r="882" spans="1:1">
      <c r="A882" s="88" t="s">
        <v>4619</v>
      </c>
    </row>
    <row r="883" spans="1:1">
      <c r="A883" s="88" t="s">
        <v>4620</v>
      </c>
    </row>
    <row r="884" spans="1:1">
      <c r="A884" s="88" t="s">
        <v>4621</v>
      </c>
    </row>
    <row r="885" spans="1:1">
      <c r="A885" s="88" t="s">
        <v>4622</v>
      </c>
    </row>
    <row r="886" spans="1:1">
      <c r="A886" s="88" t="s">
        <v>4623</v>
      </c>
    </row>
    <row r="887" spans="1:1">
      <c r="A887" s="88" t="s">
        <v>4092</v>
      </c>
    </row>
    <row r="888" spans="1:1">
      <c r="A888" s="88" t="s">
        <v>4624</v>
      </c>
    </row>
    <row r="889" spans="1:1">
      <c r="A889" s="88" t="s">
        <v>4094</v>
      </c>
    </row>
    <row r="890" spans="1:1">
      <c r="A890" s="88" t="s">
        <v>4625</v>
      </c>
    </row>
    <row r="891" spans="1:1">
      <c r="A891" s="88" t="s">
        <v>4626</v>
      </c>
    </row>
    <row r="892" spans="1:1">
      <c r="A892" s="88" t="s">
        <v>4627</v>
      </c>
    </row>
    <row r="893" spans="1:1">
      <c r="A893" s="88" t="s">
        <v>4628</v>
      </c>
    </row>
    <row r="894" spans="1:1">
      <c r="A894" s="88" t="s">
        <v>4092</v>
      </c>
    </row>
    <row r="895" spans="1:1">
      <c r="A895" s="88" t="s">
        <v>4629</v>
      </c>
    </row>
    <row r="896" spans="1:1">
      <c r="A896" s="88" t="s">
        <v>4094</v>
      </c>
    </row>
    <row r="897" spans="1:1">
      <c r="A897" s="88" t="s">
        <v>4630</v>
      </c>
    </row>
    <row r="898" spans="1:1">
      <c r="A898" s="88" t="s">
        <v>4631</v>
      </c>
    </row>
    <row r="899" spans="1:1">
      <c r="A899" s="88" t="s">
        <v>4632</v>
      </c>
    </row>
    <row r="900" spans="1:1">
      <c r="A900" s="88" t="s">
        <v>4633</v>
      </c>
    </row>
    <row r="901" spans="1:1">
      <c r="A901" s="88" t="s">
        <v>4092</v>
      </c>
    </row>
    <row r="902" spans="1:1">
      <c r="A902" s="88" t="s">
        <v>4634</v>
      </c>
    </row>
    <row r="903" spans="1:1">
      <c r="A903" s="88" t="s">
        <v>4175</v>
      </c>
    </row>
    <row r="904" spans="1:1">
      <c r="A904" s="88" t="s">
        <v>4635</v>
      </c>
    </row>
    <row r="905" spans="1:1">
      <c r="A905" s="88" t="s">
        <v>4636</v>
      </c>
    </row>
    <row r="906" spans="1:1">
      <c r="A906" s="88" t="s">
        <v>4637</v>
      </c>
    </row>
    <row r="907" spans="1:1">
      <c r="A907" s="88" t="s">
        <v>4638</v>
      </c>
    </row>
    <row r="908" spans="1:1">
      <c r="A908" s="88" t="s">
        <v>4092</v>
      </c>
    </row>
    <row r="909" spans="1:1">
      <c r="A909" s="88" t="s">
        <v>4639</v>
      </c>
    </row>
    <row r="910" spans="1:1">
      <c r="A910" s="88" t="s">
        <v>4640</v>
      </c>
    </row>
    <row r="911" spans="1:1">
      <c r="A911" s="88" t="s">
        <v>4641</v>
      </c>
    </row>
    <row r="912" spans="1:1">
      <c r="A912" s="88" t="s">
        <v>4642</v>
      </c>
    </row>
    <row r="913" spans="1:1">
      <c r="A913" s="88" t="s">
        <v>4643</v>
      </c>
    </row>
    <row r="914" spans="1:1">
      <c r="A914" s="88" t="s">
        <v>4644</v>
      </c>
    </row>
    <row r="915" spans="1:1">
      <c r="A915" s="88" t="s">
        <v>4092</v>
      </c>
    </row>
    <row r="916" spans="1:1">
      <c r="A916" s="88" t="s">
        <v>4123</v>
      </c>
    </row>
    <row r="917" spans="1:1">
      <c r="A917" s="88" t="s">
        <v>4124</v>
      </c>
    </row>
    <row r="918" spans="1:1">
      <c r="A918" s="88" t="s">
        <v>4645</v>
      </c>
    </row>
    <row r="919" spans="1:1">
      <c r="A919" s="88" t="s">
        <v>4646</v>
      </c>
    </row>
    <row r="920" spans="1:1">
      <c r="A920" s="88" t="s">
        <v>4647</v>
      </c>
    </row>
    <row r="921" spans="1:1">
      <c r="A921" s="88" t="s">
        <v>4648</v>
      </c>
    </row>
    <row r="922" spans="1:1">
      <c r="A922" s="88" t="s">
        <v>4092</v>
      </c>
    </row>
    <row r="923" spans="1:1">
      <c r="A923" s="88" t="s">
        <v>4649</v>
      </c>
    </row>
    <row r="924" spans="1:1">
      <c r="A924" s="88" t="s">
        <v>4175</v>
      </c>
    </row>
    <row r="925" spans="1:1">
      <c r="A925" s="88" t="s">
        <v>4650</v>
      </c>
    </row>
    <row r="926" spans="1:1">
      <c r="A926" s="88" t="s">
        <v>4651</v>
      </c>
    </row>
    <row r="927" spans="1:1">
      <c r="A927" s="88" t="s">
        <v>4652</v>
      </c>
    </row>
    <row r="928" spans="1:1">
      <c r="A928" s="88" t="s">
        <v>4653</v>
      </c>
    </row>
    <row r="929" spans="1:1">
      <c r="A929" s="88" t="s">
        <v>4092</v>
      </c>
    </row>
    <row r="930" spans="1:1">
      <c r="A930" s="88" t="s">
        <v>4654</v>
      </c>
    </row>
    <row r="931" spans="1:1">
      <c r="A931" s="88" t="s">
        <v>4655</v>
      </c>
    </row>
    <row r="932" spans="1:1">
      <c r="A932" s="88" t="s">
        <v>4656</v>
      </c>
    </row>
    <row r="933" spans="1:1">
      <c r="A933" s="88" t="s">
        <v>4657</v>
      </c>
    </row>
    <row r="934" spans="1:1">
      <c r="A934" s="88" t="s">
        <v>4658</v>
      </c>
    </row>
    <row r="935" spans="1:1">
      <c r="A935" s="88" t="s">
        <v>4659</v>
      </c>
    </row>
    <row r="936" spans="1:1">
      <c r="A936" s="88" t="s">
        <v>4092</v>
      </c>
    </row>
    <row r="937" spans="1:1">
      <c r="A937" s="88" t="s">
        <v>4660</v>
      </c>
    </row>
    <row r="938" spans="1:1">
      <c r="A938" s="88" t="s">
        <v>4181</v>
      </c>
    </row>
    <row r="939" spans="1:1">
      <c r="A939" s="88" t="s">
        <v>4661</v>
      </c>
    </row>
    <row r="940" spans="1:1">
      <c r="A940" s="88" t="s">
        <v>4662</v>
      </c>
    </row>
    <row r="941" spans="1:1">
      <c r="A941" s="88" t="s">
        <v>4663</v>
      </c>
    </row>
    <row r="942" spans="1:1">
      <c r="A942" s="88" t="s">
        <v>4092</v>
      </c>
    </row>
    <row r="943" spans="1:1">
      <c r="A943" s="88" t="s">
        <v>4664</v>
      </c>
    </row>
    <row r="944" spans="1:1">
      <c r="A944" s="88" t="s">
        <v>4371</v>
      </c>
    </row>
    <row r="945" spans="1:1">
      <c r="A945" s="88" t="s">
        <v>4665</v>
      </c>
    </row>
    <row r="946" spans="1:1">
      <c r="A946" s="88" t="s">
        <v>4666</v>
      </c>
    </row>
    <row r="947" spans="1:1">
      <c r="A947" s="88" t="s">
        <v>4667</v>
      </c>
    </row>
    <row r="948" spans="1:1">
      <c r="A948" s="88" t="s">
        <v>4092</v>
      </c>
    </row>
    <row r="949" spans="1:1">
      <c r="A949" s="88" t="s">
        <v>4668</v>
      </c>
    </row>
    <row r="950" spans="1:1">
      <c r="A950" s="88" t="s">
        <v>4371</v>
      </c>
    </row>
    <row r="951" spans="1:1">
      <c r="A951" s="88" t="s">
        <v>4669</v>
      </c>
    </row>
    <row r="952" spans="1:1">
      <c r="A952" s="88" t="s">
        <v>4670</v>
      </c>
    </row>
    <row r="953" spans="1:1">
      <c r="A953" s="88" t="s">
        <v>4671</v>
      </c>
    </row>
    <row r="954" spans="1:1">
      <c r="A954" s="88" t="s">
        <v>4672</v>
      </c>
    </row>
    <row r="955" spans="1:1">
      <c r="A955" s="88" t="s">
        <v>4092</v>
      </c>
    </row>
    <row r="956" spans="1:1">
      <c r="A956" s="88" t="s">
        <v>4673</v>
      </c>
    </row>
    <row r="957" spans="1:1">
      <c r="A957" s="88" t="s">
        <v>4674</v>
      </c>
    </row>
    <row r="958" spans="1:1">
      <c r="A958" s="88" t="s">
        <v>4675</v>
      </c>
    </row>
    <row r="959" spans="1:1">
      <c r="A959" s="88" t="s">
        <v>4676</v>
      </c>
    </row>
    <row r="960" spans="1:1">
      <c r="A960" s="88" t="s">
        <v>4099</v>
      </c>
    </row>
    <row r="961" spans="1:1">
      <c r="A961" s="88" t="s">
        <v>4673</v>
      </c>
    </row>
    <row r="962" spans="1:1">
      <c r="A962" s="88" t="s">
        <v>4129</v>
      </c>
    </row>
    <row r="963" spans="1:1">
      <c r="A963" s="88" t="s">
        <v>4677</v>
      </c>
    </row>
    <row r="964" spans="1:1">
      <c r="A964" s="88" t="s">
        <v>4678</v>
      </c>
    </row>
    <row r="965" spans="1:1">
      <c r="A965" s="88" t="s">
        <v>4679</v>
      </c>
    </row>
    <row r="966" spans="1:1">
      <c r="A966" s="88" t="s">
        <v>4169</v>
      </c>
    </row>
    <row r="967" spans="1:1">
      <c r="A967" s="88" t="s">
        <v>4092</v>
      </c>
    </row>
    <row r="968" spans="1:1">
      <c r="A968" s="88" t="s">
        <v>4170</v>
      </c>
    </row>
    <row r="969" spans="1:1">
      <c r="A969" s="88" t="s">
        <v>4094</v>
      </c>
    </row>
    <row r="970" spans="1:1">
      <c r="A970" s="88" t="s">
        <v>4171</v>
      </c>
    </row>
    <row r="971" spans="1:1">
      <c r="A971" s="88" t="s">
        <v>4172</v>
      </c>
    </row>
    <row r="972" spans="1:1">
      <c r="A972" s="88" t="s">
        <v>4110</v>
      </c>
    </row>
    <row r="973" spans="1:1">
      <c r="A973" s="88" t="s">
        <v>4092</v>
      </c>
    </row>
    <row r="974" spans="1:1">
      <c r="A974" s="88" t="s">
        <v>4111</v>
      </c>
    </row>
    <row r="975" spans="1:1">
      <c r="A975" s="88" t="s">
        <v>4112</v>
      </c>
    </row>
    <row r="976" spans="1:1">
      <c r="A976" s="88" t="s">
        <v>4113</v>
      </c>
    </row>
    <row r="977" spans="1:1">
      <c r="A977" s="88" t="s">
        <v>4114</v>
      </c>
    </row>
    <row r="978" spans="1:1">
      <c r="A978" s="88" t="s">
        <v>4115</v>
      </c>
    </row>
    <row r="979" spans="1:1">
      <c r="A979" s="88" t="s">
        <v>4158</v>
      </c>
    </row>
    <row r="980" spans="1:1">
      <c r="A980" s="88" t="s">
        <v>4099</v>
      </c>
    </row>
    <row r="981" spans="1:1">
      <c r="A981" s="88" t="s">
        <v>4159</v>
      </c>
    </row>
    <row r="982" spans="1:1">
      <c r="A982" s="88" t="s">
        <v>4160</v>
      </c>
    </row>
    <row r="983" spans="1:1">
      <c r="A983" s="88" t="s">
        <v>4161</v>
      </c>
    </row>
    <row r="984" spans="1:1">
      <c r="A984" s="88" t="s">
        <v>4162</v>
      </c>
    </row>
    <row r="985" spans="1:1">
      <c r="A985" s="88" t="s">
        <v>4163</v>
      </c>
    </row>
    <row r="986" spans="1:1">
      <c r="A986" s="88" t="s">
        <v>4105</v>
      </c>
    </row>
    <row r="987" spans="1:1">
      <c r="A987" s="88" t="s">
        <v>4092</v>
      </c>
    </row>
    <row r="988" spans="1:1">
      <c r="A988" s="88" t="s">
        <v>4106</v>
      </c>
    </row>
    <row r="989" spans="1:1">
      <c r="A989" s="88" t="s">
        <v>4094</v>
      </c>
    </row>
    <row r="990" spans="1:1">
      <c r="A990" s="88" t="s">
        <v>4107</v>
      </c>
    </row>
    <row r="991" spans="1:1">
      <c r="A991" s="88" t="s">
        <v>4108</v>
      </c>
    </row>
    <row r="992" spans="1:1">
      <c r="A992" s="88" t="s">
        <v>4109</v>
      </c>
    </row>
    <row r="993" spans="1:1">
      <c r="A993" s="88"/>
    </row>
    <row r="994" spans="1:1">
      <c r="A994" s="88"/>
    </row>
    <row r="995" spans="1:1">
      <c r="A995" s="88"/>
    </row>
    <row r="996" spans="1:1">
      <c r="A996" s="88" t="s">
        <v>4116</v>
      </c>
    </row>
    <row r="997" spans="1:1">
      <c r="A997" s="88" t="s">
        <v>4099</v>
      </c>
    </row>
    <row r="998" spans="1:1">
      <c r="A998" s="88" t="s">
        <v>4117</v>
      </c>
    </row>
    <row r="999" spans="1:1">
      <c r="A999" s="88" t="s">
        <v>4118</v>
      </c>
    </row>
    <row r="1000" spans="1:1">
      <c r="A1000" s="88" t="s">
        <v>4119</v>
      </c>
    </row>
    <row r="1001" spans="1:1">
      <c r="A1001" s="88" t="s">
        <v>4120</v>
      </c>
    </row>
    <row r="1002" spans="1:1">
      <c r="A1002" s="93" t="s">
        <v>4121</v>
      </c>
    </row>
    <row r="1003" spans="1:1">
      <c r="A1003" s="88" t="s">
        <v>4122</v>
      </c>
    </row>
    <row r="1004" spans="1:1">
      <c r="A1004" s="88" t="s">
        <v>4123</v>
      </c>
    </row>
    <row r="1005" spans="1:1">
      <c r="A1005" s="88" t="s">
        <v>4124</v>
      </c>
    </row>
    <row r="1006" spans="1:1">
      <c r="A1006" s="88" t="s">
        <v>4125</v>
      </c>
    </row>
    <row r="1007" spans="1:1">
      <c r="A1007" s="88" t="s">
        <v>4126</v>
      </c>
    </row>
    <row r="1008" spans="1:1">
      <c r="A1008" s="93" t="s">
        <v>4127</v>
      </c>
    </row>
    <row r="1009" spans="1:1">
      <c r="A1009" s="88" t="s">
        <v>4128</v>
      </c>
    </row>
    <row r="1010" spans="1:1">
      <c r="A1010" s="88" t="s">
        <v>4123</v>
      </c>
    </row>
    <row r="1011" spans="1:1">
      <c r="A1011" s="88" t="s">
        <v>4129</v>
      </c>
    </row>
    <row r="1012" spans="1:1">
      <c r="A1012" s="88" t="s">
        <v>4130</v>
      </c>
    </row>
    <row r="1013" spans="1:1">
      <c r="A1013" s="88" t="s">
        <v>4131</v>
      </c>
    </row>
    <row r="1014" spans="1:1">
      <c r="A1014" s="93" t="s">
        <v>4132</v>
      </c>
    </row>
    <row r="1015" spans="1:1">
      <c r="A1015" s="88" t="s">
        <v>4133</v>
      </c>
    </row>
    <row r="1016" spans="1:1">
      <c r="A1016" s="88" t="s">
        <v>4123</v>
      </c>
    </row>
    <row r="1017" spans="1:1">
      <c r="A1017" s="88" t="s">
        <v>4124</v>
      </c>
    </row>
    <row r="1018" spans="1:1">
      <c r="A1018" s="88" t="s">
        <v>4134</v>
      </c>
    </row>
    <row r="1019" spans="1:1">
      <c r="A1019" s="88" t="s">
        <v>4135</v>
      </c>
    </row>
    <row r="1020" spans="1:1">
      <c r="A1020" s="93" t="s">
        <v>4136</v>
      </c>
    </row>
    <row r="1021" spans="1:1">
      <c r="A1021" s="88" t="s">
        <v>4137</v>
      </c>
    </row>
    <row r="1022" spans="1:1">
      <c r="A1022" s="88" t="s">
        <v>4099</v>
      </c>
    </row>
    <row r="1023" spans="1:1">
      <c r="A1023" s="88" t="s">
        <v>4093</v>
      </c>
    </row>
    <row r="1024" spans="1:1">
      <c r="A1024" s="88" t="s">
        <v>4129</v>
      </c>
    </row>
    <row r="1025" spans="1:1">
      <c r="A1025" s="88" t="s">
        <v>4138</v>
      </c>
    </row>
    <row r="1026" spans="1:1">
      <c r="A1026" s="88" t="s">
        <v>4139</v>
      </c>
    </row>
    <row r="1027" spans="1:1">
      <c r="A1027" s="93" t="s">
        <v>4140</v>
      </c>
    </row>
    <row r="1028" spans="1:1">
      <c r="A1028" s="88" t="s">
        <v>4141</v>
      </c>
    </row>
    <row r="1029" spans="1:1">
      <c r="A1029" s="88" t="s">
        <v>4142</v>
      </c>
    </row>
    <row r="1030" spans="1:1">
      <c r="A1030" s="88" t="s">
        <v>4129</v>
      </c>
    </row>
    <row r="1031" spans="1:1">
      <c r="A1031" s="88" t="s">
        <v>4143</v>
      </c>
    </row>
    <row r="1032" spans="1:1">
      <c r="A1032" s="88" t="s">
        <v>4144</v>
      </c>
    </row>
    <row r="1033" spans="1:1">
      <c r="A1033" s="93" t="s">
        <v>4145</v>
      </c>
    </row>
    <row r="1034" spans="1:1">
      <c r="A1034" s="88" t="s">
        <v>4146</v>
      </c>
    </row>
    <row r="1035" spans="1:1">
      <c r="A1035" s="88" t="s">
        <v>4147</v>
      </c>
    </row>
    <row r="1036" spans="1:1">
      <c r="A1036" s="88" t="s">
        <v>4148</v>
      </c>
    </row>
    <row r="1037" spans="1:1">
      <c r="A1037" s="88" t="s">
        <v>4149</v>
      </c>
    </row>
    <row r="1038" spans="1:1">
      <c r="A1038" s="88" t="s">
        <v>4150</v>
      </c>
    </row>
    <row r="1039" spans="1:1">
      <c r="A1039" s="93" t="s">
        <v>4151</v>
      </c>
    </row>
    <row r="1040" spans="1:1">
      <c r="A1040" s="88" t="s">
        <v>4152</v>
      </c>
    </row>
    <row r="1041" spans="1:1">
      <c r="A1041" s="88" t="s">
        <v>4099</v>
      </c>
    </row>
    <row r="1042" spans="1:1">
      <c r="A1042" s="88" t="s">
        <v>4153</v>
      </c>
    </row>
    <row r="1043" spans="1:1">
      <c r="A1043" s="88" t="s">
        <v>4154</v>
      </c>
    </row>
    <row r="1044" spans="1:1">
      <c r="A1044" s="88" t="s">
        <v>4155</v>
      </c>
    </row>
    <row r="1045" spans="1:1">
      <c r="A1045" s="88" t="s">
        <v>4156</v>
      </c>
    </row>
    <row r="1046" spans="1:1">
      <c r="A1046" s="93" t="s">
        <v>4157</v>
      </c>
    </row>
    <row r="1047" spans="1:1">
      <c r="A1047" s="88" t="s">
        <v>4158</v>
      </c>
    </row>
    <row r="1048" spans="1:1">
      <c r="A1048" s="88" t="s">
        <v>4099</v>
      </c>
    </row>
    <row r="1049" spans="1:1">
      <c r="A1049" s="88" t="s">
        <v>4159</v>
      </c>
    </row>
    <row r="1050" spans="1:1">
      <c r="A1050" s="88" t="s">
        <v>4160</v>
      </c>
    </row>
    <row r="1051" spans="1:1">
      <c r="A1051" s="88" t="s">
        <v>4161</v>
      </c>
    </row>
    <row r="1052" spans="1:1">
      <c r="A1052" s="88" t="s">
        <v>4162</v>
      </c>
    </row>
    <row r="1053" spans="1:1">
      <c r="A1053" s="93" t="s">
        <v>4163</v>
      </c>
    </row>
    <row r="1054" spans="1:1">
      <c r="A1054" s="88" t="s">
        <v>4164</v>
      </c>
    </row>
    <row r="1055" spans="1:1">
      <c r="A1055" s="88" t="s">
        <v>4165</v>
      </c>
    </row>
    <row r="1056" spans="1:1">
      <c r="A1056" s="88" t="s">
        <v>4166</v>
      </c>
    </row>
    <row r="1057" spans="1:1">
      <c r="A1057" s="88" t="s">
        <v>4167</v>
      </c>
    </row>
    <row r="1058" spans="1:1">
      <c r="A1058" s="93" t="s">
        <v>4168</v>
      </c>
    </row>
    <row r="1059" spans="1:1">
      <c r="A1059" s="88" t="s">
        <v>4169</v>
      </c>
    </row>
    <row r="1060" spans="1:1">
      <c r="A1060" s="88" t="s">
        <v>4092</v>
      </c>
    </row>
    <row r="1061" spans="1:1">
      <c r="A1061" s="88" t="s">
        <v>4170</v>
      </c>
    </row>
    <row r="1062" spans="1:1">
      <c r="A1062" s="88" t="s">
        <v>4094</v>
      </c>
    </row>
    <row r="1063" spans="1:1">
      <c r="A1063" s="88" t="s">
        <v>4171</v>
      </c>
    </row>
    <row r="1064" spans="1:1">
      <c r="A1064" s="93" t="s">
        <v>4172</v>
      </c>
    </row>
    <row r="1065" spans="1:1">
      <c r="A1065" s="88" t="s">
        <v>4173</v>
      </c>
    </row>
    <row r="1066" spans="1:1">
      <c r="A1066" s="88" t="s">
        <v>4092</v>
      </c>
    </row>
    <row r="1067" spans="1:1">
      <c r="A1067" s="88" t="s">
        <v>4174</v>
      </c>
    </row>
    <row r="1068" spans="1:1">
      <c r="A1068" s="88" t="s">
        <v>4175</v>
      </c>
    </row>
    <row r="1069" spans="1:1">
      <c r="A1069" s="88" t="s">
        <v>4176</v>
      </c>
    </row>
    <row r="1070" spans="1:1">
      <c r="A1070" s="88" t="s">
        <v>4177</v>
      </c>
    </row>
    <row r="1071" spans="1:1">
      <c r="A1071" s="93" t="s">
        <v>4178</v>
      </c>
    </row>
    <row r="1072" spans="1:1">
      <c r="A1072" s="88" t="s">
        <v>4179</v>
      </c>
    </row>
    <row r="1073" spans="1:1">
      <c r="A1073" s="88" t="s">
        <v>4092</v>
      </c>
    </row>
    <row r="1074" spans="1:1">
      <c r="A1074" s="88" t="s">
        <v>4180</v>
      </c>
    </row>
    <row r="1075" spans="1:1">
      <c r="A1075" s="88" t="s">
        <v>4181</v>
      </c>
    </row>
    <row r="1076" spans="1:1">
      <c r="A1076" s="88" t="s">
        <v>4182</v>
      </c>
    </row>
    <row r="1077" spans="1:1">
      <c r="A1077" s="88" t="s">
        <v>4183</v>
      </c>
    </row>
    <row r="1078" spans="1:1">
      <c r="A1078" s="93" t="s">
        <v>4184</v>
      </c>
    </row>
    <row r="1079" spans="1:1">
      <c r="A1079" s="88" t="s">
        <v>4185</v>
      </c>
    </row>
    <row r="1080" spans="1:1">
      <c r="A1080" s="88" t="s">
        <v>4092</v>
      </c>
    </row>
    <row r="1081" spans="1:1">
      <c r="A1081" s="88" t="s">
        <v>4186</v>
      </c>
    </row>
    <row r="1082" spans="1:1">
      <c r="A1082" s="88" t="s">
        <v>4187</v>
      </c>
    </row>
    <row r="1083" spans="1:1">
      <c r="A1083" s="88" t="s">
        <v>4188</v>
      </c>
    </row>
    <row r="1084" spans="1:1">
      <c r="A1084" s="88" t="s">
        <v>4189</v>
      </c>
    </row>
    <row r="1085" spans="1:1">
      <c r="A1085" s="93" t="s">
        <v>4190</v>
      </c>
    </row>
    <row r="1086" spans="1:1">
      <c r="A1086" s="88" t="s">
        <v>4680</v>
      </c>
    </row>
    <row r="1087" spans="1:1">
      <c r="A1087" s="88" t="s">
        <v>4092</v>
      </c>
    </row>
    <row r="1088" spans="1:1">
      <c r="A1088" s="88" t="s">
        <v>4681</v>
      </c>
    </row>
    <row r="1089" spans="1:1">
      <c r="A1089" s="88" t="s">
        <v>4427</v>
      </c>
    </row>
    <row r="1090" spans="1:1">
      <c r="A1090" s="88" t="s">
        <v>4682</v>
      </c>
    </row>
    <row r="1091" spans="1:1">
      <c r="A1091" s="93" t="s">
        <v>4683</v>
      </c>
    </row>
    <row r="1092" spans="1:1">
      <c r="A1092" s="88" t="s">
        <v>4191</v>
      </c>
    </row>
    <row r="1093" spans="1:1">
      <c r="A1093" s="88" t="s">
        <v>4092</v>
      </c>
    </row>
    <row r="1094" spans="1:1">
      <c r="A1094" s="88" t="s">
        <v>4192</v>
      </c>
    </row>
    <row r="1095" spans="1:1">
      <c r="A1095" s="88" t="s">
        <v>4094</v>
      </c>
    </row>
    <row r="1096" spans="1:1">
      <c r="A1096" s="88" t="s">
        <v>4193</v>
      </c>
    </row>
    <row r="1097" spans="1:1">
      <c r="A1097" s="93" t="s">
        <v>4194</v>
      </c>
    </row>
    <row r="1098" spans="1:1">
      <c r="A1098" s="88" t="s">
        <v>4195</v>
      </c>
    </row>
    <row r="1099" spans="1:1">
      <c r="A1099" s="88" t="s">
        <v>4092</v>
      </c>
    </row>
    <row r="1100" spans="1:1">
      <c r="A1100" s="88" t="s">
        <v>4196</v>
      </c>
    </row>
    <row r="1101" spans="1:1">
      <c r="A1101" s="88" t="s">
        <v>4160</v>
      </c>
    </row>
    <row r="1102" spans="1:1">
      <c r="A1102" s="88" t="s">
        <v>4197</v>
      </c>
    </row>
    <row r="1103" spans="1:1">
      <c r="A1103" s="88" t="s">
        <v>4198</v>
      </c>
    </row>
    <row r="1104" spans="1:1">
      <c r="A1104" s="93" t="s">
        <v>4199</v>
      </c>
    </row>
    <row r="1105" spans="1:1">
      <c r="A1105" s="88" t="s">
        <v>4200</v>
      </c>
    </row>
    <row r="1106" spans="1:1">
      <c r="A1106" s="88" t="s">
        <v>4099</v>
      </c>
    </row>
    <row r="1107" spans="1:1">
      <c r="A1107" s="88" t="s">
        <v>4201</v>
      </c>
    </row>
    <row r="1108" spans="1:1">
      <c r="A1108" s="88" t="s">
        <v>4202</v>
      </c>
    </row>
    <row r="1109" spans="1:1">
      <c r="A1109" s="88" t="s">
        <v>4203</v>
      </c>
    </row>
    <row r="1110" spans="1:1">
      <c r="A1110" s="93" t="s">
        <v>4204</v>
      </c>
    </row>
    <row r="1111" spans="1:1">
      <c r="A1111" s="88" t="s">
        <v>4205</v>
      </c>
    </row>
    <row r="1112" spans="1:1">
      <c r="A1112" s="88" t="s">
        <v>4201</v>
      </c>
    </row>
    <row r="1113" spans="1:1">
      <c r="A1113" s="88" t="s">
        <v>4206</v>
      </c>
    </row>
    <row r="1114" spans="1:1">
      <c r="A1114" s="88" t="s">
        <v>4203</v>
      </c>
    </row>
    <row r="1115" spans="1:1">
      <c r="A1115" s="93" t="s">
        <v>4207</v>
      </c>
    </row>
    <row r="1116" spans="1:1">
      <c r="A1116" s="88" t="s">
        <v>4208</v>
      </c>
    </row>
    <row r="1117" spans="1:1">
      <c r="A1117" s="88" t="s">
        <v>4201</v>
      </c>
    </row>
    <row r="1118" spans="1:1">
      <c r="A1118" s="88" t="s">
        <v>4209</v>
      </c>
    </row>
    <row r="1119" spans="1:1">
      <c r="A1119" s="88" t="s">
        <v>4203</v>
      </c>
    </row>
    <row r="1120" spans="1:1">
      <c r="A1120" s="93" t="s">
        <v>4210</v>
      </c>
    </row>
    <row r="1121" spans="1:1">
      <c r="A1121" s="88" t="s">
        <v>4211</v>
      </c>
    </row>
    <row r="1122" spans="1:1">
      <c r="A1122" s="88" t="s">
        <v>4212</v>
      </c>
    </row>
    <row r="1123" spans="1:1">
      <c r="A1123" s="88" t="s">
        <v>4213</v>
      </c>
    </row>
    <row r="1124" spans="1:1">
      <c r="A1124" s="88" t="s">
        <v>4214</v>
      </c>
    </row>
    <row r="1125" spans="1:1">
      <c r="A1125" s="88" t="s">
        <v>4215</v>
      </c>
    </row>
    <row r="1126" spans="1:1">
      <c r="A1126" s="93" t="s">
        <v>4216</v>
      </c>
    </row>
    <row r="1127" spans="1:1">
      <c r="A1127" s="88" t="s">
        <v>4217</v>
      </c>
    </row>
    <row r="1128" spans="1:1">
      <c r="A1128" s="88" t="s">
        <v>4218</v>
      </c>
    </row>
    <row r="1129" spans="1:1">
      <c r="A1129" s="88" t="s">
        <v>4094</v>
      </c>
    </row>
    <row r="1130" spans="1:1">
      <c r="A1130" s="88" t="s">
        <v>4219</v>
      </c>
    </row>
    <row r="1131" spans="1:1">
      <c r="A1131" s="88" t="s">
        <v>4220</v>
      </c>
    </row>
    <row r="1132" spans="1:1">
      <c r="A1132" s="93" t="s">
        <v>4221</v>
      </c>
    </row>
    <row r="1133" spans="1:1">
      <c r="A1133" s="88" t="s">
        <v>4222</v>
      </c>
    </row>
    <row r="1134" spans="1:1">
      <c r="A1134" s="88" t="s">
        <v>4223</v>
      </c>
    </row>
    <row r="1135" spans="1:1">
      <c r="A1135" s="88" t="s">
        <v>4224</v>
      </c>
    </row>
    <row r="1136" spans="1:1">
      <c r="A1136" s="88" t="s">
        <v>4421</v>
      </c>
    </row>
    <row r="1137" spans="1:1">
      <c r="A1137" s="88" t="s">
        <v>4300</v>
      </c>
    </row>
    <row r="1138" spans="1:1">
      <c r="A1138" s="88" t="s">
        <v>4422</v>
      </c>
    </row>
    <row r="1139" spans="1:1">
      <c r="A1139" s="88" t="s">
        <v>4423</v>
      </c>
    </row>
    <row r="1140" spans="1:1">
      <c r="A1140" s="93" t="s">
        <v>4424</v>
      </c>
    </row>
    <row r="1141" spans="1:1">
      <c r="A1141" s="88" t="s">
        <v>4425</v>
      </c>
    </row>
    <row r="1142" spans="1:1">
      <c r="A1142" s="88" t="s">
        <v>4426</v>
      </c>
    </row>
    <row r="1143" spans="1:1">
      <c r="A1143" s="88" t="s">
        <v>4427</v>
      </c>
    </row>
    <row r="1144" spans="1:1">
      <c r="A1144" s="88" t="s">
        <v>4428</v>
      </c>
    </row>
    <row r="1145" spans="1:1">
      <c r="A1145" s="88" t="s">
        <v>4429</v>
      </c>
    </row>
    <row r="1146" spans="1:1">
      <c r="A1146" s="93" t="s">
        <v>4430</v>
      </c>
    </row>
    <row r="1147" spans="1:1">
      <c r="A1147" s="88" t="s">
        <v>4431</v>
      </c>
    </row>
    <row r="1148" spans="1:1">
      <c r="A1148" s="88" t="s">
        <v>4251</v>
      </c>
    </row>
    <row r="1149" spans="1:1">
      <c r="A1149" s="88" t="s">
        <v>4432</v>
      </c>
    </row>
    <row r="1150" spans="1:1">
      <c r="A1150" s="88" t="s">
        <v>4181</v>
      </c>
    </row>
    <row r="1151" spans="1:1">
      <c r="A1151" s="88" t="s">
        <v>4253</v>
      </c>
    </row>
    <row r="1152" spans="1:1">
      <c r="A1152" s="88" t="s">
        <v>4433</v>
      </c>
    </row>
    <row r="1153" spans="1:1">
      <c r="A1153" s="88" t="s">
        <v>4434</v>
      </c>
    </row>
    <row r="1154" spans="1:1">
      <c r="A1154" s="93" t="s">
        <v>4435</v>
      </c>
    </row>
    <row r="1155" spans="1:1">
      <c r="A1155" s="88" t="s">
        <v>4179</v>
      </c>
    </row>
    <row r="1156" spans="1:1">
      <c r="A1156" s="88" t="s">
        <v>4180</v>
      </c>
    </row>
    <row r="1157" spans="1:1">
      <c r="A1157" s="88" t="s">
        <v>4181</v>
      </c>
    </row>
    <row r="1158" spans="1:1">
      <c r="A1158" s="88" t="s">
        <v>4436</v>
      </c>
    </row>
    <row r="1159" spans="1:1">
      <c r="A1159" s="88" t="s">
        <v>4183</v>
      </c>
    </row>
    <row r="1160" spans="1:1">
      <c r="A1160" s="93" t="s">
        <v>4184</v>
      </c>
    </row>
    <row r="1161" spans="1:1">
      <c r="A1161" s="88" t="s">
        <v>4437</v>
      </c>
    </row>
    <row r="1162" spans="1:1">
      <c r="A1162" s="88" t="s">
        <v>4438</v>
      </c>
    </row>
    <row r="1163" spans="1:1">
      <c r="A1163" s="88" t="s">
        <v>4427</v>
      </c>
    </row>
    <row r="1164" spans="1:1">
      <c r="A1164" s="88" t="s">
        <v>4439</v>
      </c>
    </row>
    <row r="1165" spans="1:1">
      <c r="A1165" s="88" t="s">
        <v>4440</v>
      </c>
    </row>
    <row r="1166" spans="1:1">
      <c r="A1166" s="93" t="s">
        <v>4441</v>
      </c>
    </row>
    <row r="1167" spans="1:1">
      <c r="A1167" s="88" t="s">
        <v>4442</v>
      </c>
    </row>
    <row r="1168" spans="1:1">
      <c r="A1168" s="88" t="s">
        <v>4443</v>
      </c>
    </row>
    <row r="1169" spans="1:1">
      <c r="A1169" s="88" t="s">
        <v>4444</v>
      </c>
    </row>
    <row r="1170" spans="1:1">
      <c r="A1170" s="88" t="s">
        <v>4445</v>
      </c>
    </row>
    <row r="1171" spans="1:1">
      <c r="A1171" s="88" t="s">
        <v>4446</v>
      </c>
    </row>
    <row r="1172" spans="1:1">
      <c r="A1172" s="93" t="s">
        <v>4447</v>
      </c>
    </row>
    <row r="1173" spans="1:1">
      <c r="A1173" s="88" t="s">
        <v>4448</v>
      </c>
    </row>
    <row r="1174" spans="1:1">
      <c r="A1174" s="88" t="s">
        <v>4449</v>
      </c>
    </row>
    <row r="1175" spans="1:1">
      <c r="A1175" s="88" t="s">
        <v>4450</v>
      </c>
    </row>
    <row r="1176" spans="1:1">
      <c r="A1176" s="88" t="s">
        <v>4451</v>
      </c>
    </row>
    <row r="1177" spans="1:1">
      <c r="A1177" s="88" t="s">
        <v>4452</v>
      </c>
    </row>
    <row r="1178" spans="1:1">
      <c r="A1178" s="93" t="s">
        <v>4453</v>
      </c>
    </row>
    <row r="1179" spans="1:1">
      <c r="A1179" s="88" t="s">
        <v>4454</v>
      </c>
    </row>
    <row r="1180" spans="1:1">
      <c r="A1180" s="88" t="s">
        <v>4449</v>
      </c>
    </row>
    <row r="1181" spans="1:1">
      <c r="A1181" s="88" t="s">
        <v>4455</v>
      </c>
    </row>
    <row r="1182" spans="1:1">
      <c r="A1182" s="88" t="s">
        <v>4456</v>
      </c>
    </row>
    <row r="1183" spans="1:1">
      <c r="A1183" s="88" t="s">
        <v>4457</v>
      </c>
    </row>
    <row r="1184" spans="1:1">
      <c r="A1184" s="93" t="s">
        <v>4458</v>
      </c>
    </row>
    <row r="1186" spans="1:1">
      <c r="A1186" s="88" t="s">
        <v>4459</v>
      </c>
    </row>
    <row r="1187" spans="1:1">
      <c r="A1187" s="88" t="s">
        <v>4460</v>
      </c>
    </row>
    <row r="1188" spans="1:1">
      <c r="A1188" s="88" t="s">
        <v>4181</v>
      </c>
    </row>
    <row r="1189" spans="1:1">
      <c r="A1189" s="88" t="s">
        <v>4461</v>
      </c>
    </row>
    <row r="1190" spans="1:1">
      <c r="A1190" s="88" t="s">
        <v>4462</v>
      </c>
    </row>
    <row r="1191" spans="1:1">
      <c r="A1191" s="88" t="s">
        <v>4411</v>
      </c>
    </row>
    <row r="1192" spans="1:1">
      <c r="A1192" s="88" t="s">
        <v>4094</v>
      </c>
    </row>
    <row r="1193" spans="1:1">
      <c r="A1193" s="88" t="s">
        <v>4428</v>
      </c>
    </row>
    <row r="1194" spans="1:1">
      <c r="A1194" s="88" t="s">
        <v>4463</v>
      </c>
    </row>
    <row r="1195" spans="1:1">
      <c r="A1195" s="93" t="s">
        <v>4464</v>
      </c>
    </row>
    <row r="1196" spans="1:1">
      <c r="A1196" s="88" t="s">
        <v>4465</v>
      </c>
    </row>
    <row r="1197" spans="1:1">
      <c r="A1197" s="88" t="s">
        <v>4466</v>
      </c>
    </row>
    <row r="1198" spans="1:1">
      <c r="A1198" s="88" t="s">
        <v>4094</v>
      </c>
    </row>
    <row r="1199" spans="1:1">
      <c r="A1199" s="88" t="s">
        <v>4467</v>
      </c>
    </row>
    <row r="1200" spans="1:1">
      <c r="A1200" s="88" t="s">
        <v>4468</v>
      </c>
    </row>
    <row r="1201" spans="1:1">
      <c r="A1201" s="93" t="s">
        <v>4469</v>
      </c>
    </row>
    <row r="1202" spans="1:1">
      <c r="A1202" s="88" t="s">
        <v>4470</v>
      </c>
    </row>
    <row r="1203" spans="1:1">
      <c r="A1203" s="88" t="s">
        <v>4471</v>
      </c>
    </row>
    <row r="1204" spans="1:1">
      <c r="A1204" s="88" t="s">
        <v>4472</v>
      </c>
    </row>
    <row r="1205" spans="1:1">
      <c r="A1205" s="88" t="s">
        <v>4473</v>
      </c>
    </row>
    <row r="1206" spans="1:1">
      <c r="A1206" s="88" t="s">
        <v>4474</v>
      </c>
    </row>
    <row r="1207" spans="1:1">
      <c r="A1207" s="93" t="s">
        <v>4475</v>
      </c>
    </row>
    <row r="1208" spans="1:1">
      <c r="A1208" s="88" t="s">
        <v>4476</v>
      </c>
    </row>
    <row r="1209" spans="1:1">
      <c r="A1209" s="88" t="s">
        <v>4477</v>
      </c>
    </row>
    <row r="1210" spans="1:1">
      <c r="A1210" s="88" t="s">
        <v>4478</v>
      </c>
    </row>
    <row r="1211" spans="1:1">
      <c r="A1211" s="88" t="s">
        <v>4479</v>
      </c>
    </row>
    <row r="1212" spans="1:1">
      <c r="A1212" s="88" t="s">
        <v>4480</v>
      </c>
    </row>
    <row r="1213" spans="1:1">
      <c r="A1213" s="93" t="s">
        <v>4481</v>
      </c>
    </row>
    <row r="1214" spans="1:1">
      <c r="A1214" s="88" t="s">
        <v>4482</v>
      </c>
    </row>
    <row r="1215" spans="1:1">
      <c r="A1215" s="88" t="s">
        <v>4483</v>
      </c>
    </row>
    <row r="1216" spans="1:1">
      <c r="A1216" s="88" t="s">
        <v>4231</v>
      </c>
    </row>
    <row r="1217" spans="1:1">
      <c r="A1217" s="88" t="s">
        <v>4484</v>
      </c>
    </row>
    <row r="1218" spans="1:1">
      <c r="A1218" s="88" t="s">
        <v>4485</v>
      </c>
    </row>
    <row r="1219" spans="1:1">
      <c r="A1219" s="93" t="s">
        <v>4486</v>
      </c>
    </row>
    <row r="1220" spans="1:1">
      <c r="A1220" s="88" t="s">
        <v>4487</v>
      </c>
    </row>
    <row r="1221" spans="1:1">
      <c r="A1221" s="88" t="s">
        <v>4488</v>
      </c>
    </row>
    <row r="1222" spans="1:1">
      <c r="A1222" s="88" t="s">
        <v>4175</v>
      </c>
    </row>
    <row r="1223" spans="1:1">
      <c r="A1223" s="88" t="s">
        <v>4489</v>
      </c>
    </row>
    <row r="1224" spans="1:1">
      <c r="A1224" s="93" t="s">
        <v>4490</v>
      </c>
    </row>
    <row r="1225" spans="1:1">
      <c r="A1225" s="88" t="s">
        <v>4491</v>
      </c>
    </row>
    <row r="1226" spans="1:1">
      <c r="A1226" s="88" t="s">
        <v>4492</v>
      </c>
    </row>
    <row r="1227" spans="1:1">
      <c r="A1227" s="88" t="s">
        <v>4094</v>
      </c>
    </row>
    <row r="1228" spans="1:1">
      <c r="A1228" s="88" t="s">
        <v>4493</v>
      </c>
    </row>
    <row r="1229" spans="1:1">
      <c r="A1229" s="93" t="s">
        <v>4494</v>
      </c>
    </row>
    <row r="1230" spans="1:1">
      <c r="A1230" s="88" t="s">
        <v>4495</v>
      </c>
    </row>
    <row r="1231" spans="1:1">
      <c r="A1231" s="88" t="s">
        <v>4496</v>
      </c>
    </row>
    <row r="1232" spans="1:1">
      <c r="A1232" s="88" t="s">
        <v>4497</v>
      </c>
    </row>
    <row r="1233" spans="1:1">
      <c r="A1233" s="88" t="s">
        <v>4498</v>
      </c>
    </row>
    <row r="1234" spans="1:1">
      <c r="A1234" s="88" t="s">
        <v>4499</v>
      </c>
    </row>
    <row r="1235" spans="1:1">
      <c r="A1235" s="93" t="s">
        <v>4500</v>
      </c>
    </row>
    <row r="1236" spans="1:1">
      <c r="A1236" s="88" t="s">
        <v>4501</v>
      </c>
    </row>
    <row r="1237" spans="1:1">
      <c r="A1237" s="88" t="s">
        <v>4443</v>
      </c>
    </row>
    <row r="1238" spans="1:1">
      <c r="A1238" s="88" t="s">
        <v>4175</v>
      </c>
    </row>
    <row r="1239" spans="1:1">
      <c r="A1239" s="88" t="s">
        <v>4502</v>
      </c>
    </row>
    <row r="1240" spans="1:1">
      <c r="A1240" s="88" t="s">
        <v>4503</v>
      </c>
    </row>
    <row r="1241" spans="1:1">
      <c r="A1241" s="93" t="s">
        <v>4504</v>
      </c>
    </row>
    <row r="1242" spans="1:1">
      <c r="A1242" s="88" t="s">
        <v>4505</v>
      </c>
    </row>
    <row r="1243" spans="1:1">
      <c r="A1243" s="88" t="s">
        <v>4443</v>
      </c>
    </row>
    <row r="1244" spans="1:1">
      <c r="A1244" s="88" t="s">
        <v>4181</v>
      </c>
    </row>
    <row r="1245" spans="1:1">
      <c r="A1245" s="88" t="s">
        <v>4506</v>
      </c>
    </row>
    <row r="1246" spans="1:1">
      <c r="A1246" s="88" t="s">
        <v>4507</v>
      </c>
    </row>
    <row r="1247" spans="1:1">
      <c r="A1247" s="93" t="s">
        <v>4508</v>
      </c>
    </row>
    <row r="1248" spans="1:1">
      <c r="A1248" s="88" t="s">
        <v>4509</v>
      </c>
    </row>
    <row r="1249" spans="1:1">
      <c r="A1249" s="88" t="s">
        <v>4196</v>
      </c>
    </row>
    <row r="1250" spans="1:1">
      <c r="A1250" s="88" t="s">
        <v>4341</v>
      </c>
    </row>
    <row r="1251" spans="1:1">
      <c r="A1251" s="88" t="s">
        <v>4510</v>
      </c>
    </row>
    <row r="1252" spans="1:1">
      <c r="A1252" s="88" t="s">
        <v>4511</v>
      </c>
    </row>
    <row r="1253" spans="1:1">
      <c r="A1253" s="93" t="s">
        <v>4512</v>
      </c>
    </row>
    <row r="1254" spans="1:1">
      <c r="A1254" s="88" t="s">
        <v>4513</v>
      </c>
    </row>
    <row r="1255" spans="1:1">
      <c r="A1255" s="88" t="s">
        <v>4514</v>
      </c>
    </row>
    <row r="1256" spans="1:1">
      <c r="A1256" s="88" t="s">
        <v>4181</v>
      </c>
    </row>
    <row r="1257" spans="1:1">
      <c r="A1257" s="88" t="s">
        <v>4515</v>
      </c>
    </row>
    <row r="1258" spans="1:1">
      <c r="A1258" s="88" t="s">
        <v>4516</v>
      </c>
    </row>
    <row r="1259" spans="1:1">
      <c r="A1259" s="93" t="s">
        <v>4517</v>
      </c>
    </row>
    <row r="1260" spans="1:1">
      <c r="A1260" s="88" t="s">
        <v>4518</v>
      </c>
    </row>
    <row r="1261" spans="1:1">
      <c r="A1261" s="88" t="s">
        <v>4519</v>
      </c>
    </row>
    <row r="1262" spans="1:1">
      <c r="A1262" s="88" t="s">
        <v>4371</v>
      </c>
    </row>
    <row r="1263" spans="1:1">
      <c r="A1263" s="88" t="s">
        <v>4520</v>
      </c>
    </row>
    <row r="1264" spans="1:1">
      <c r="A1264" s="88" t="s">
        <v>4521</v>
      </c>
    </row>
    <row r="1265" spans="1:1">
      <c r="A1265" s="93" t="s">
        <v>4522</v>
      </c>
    </row>
    <row r="1266" spans="1:1">
      <c r="A1266" s="88" t="s">
        <v>4523</v>
      </c>
    </row>
    <row r="1267" spans="1:1">
      <c r="A1267" s="88" t="s">
        <v>4477</v>
      </c>
    </row>
    <row r="1268" spans="1:1">
      <c r="A1268" s="88" t="s">
        <v>4524</v>
      </c>
    </row>
    <row r="1269" spans="1:1">
      <c r="A1269" s="88" t="s">
        <v>4525</v>
      </c>
    </row>
    <row r="1270" spans="1:1">
      <c r="A1270" s="88" t="s">
        <v>4526</v>
      </c>
    </row>
    <row r="1271" spans="1:1">
      <c r="A1271" s="93" t="s">
        <v>4684</v>
      </c>
    </row>
    <row r="1272" spans="1:1">
      <c r="A1272" s="93" t="s">
        <v>4527</v>
      </c>
    </row>
    <row r="1273" spans="1:1">
      <c r="A1273" s="88" t="s">
        <v>4528</v>
      </c>
    </row>
    <row r="1274" spans="1:1">
      <c r="A1274" s="88" t="s">
        <v>4092</v>
      </c>
    </row>
    <row r="1275" spans="1:1">
      <c r="A1275" s="88" t="s">
        <v>4093</v>
      </c>
    </row>
    <row r="1276" spans="1:1">
      <c r="A1276" s="88" t="s">
        <v>4408</v>
      </c>
    </row>
    <row r="1277" spans="1:1">
      <c r="A1277" s="88" t="s">
        <v>4095</v>
      </c>
    </row>
    <row r="1278" spans="1:1">
      <c r="A1278" s="88" t="s">
        <v>4529</v>
      </c>
    </row>
    <row r="1279" spans="1:1">
      <c r="A1279" s="93" t="s">
        <v>4530</v>
      </c>
    </row>
    <row r="1280" spans="1:1">
      <c r="A1280" s="88" t="s">
        <v>4531</v>
      </c>
    </row>
    <row r="1281" spans="1:1">
      <c r="A1281" s="88" t="s">
        <v>4532</v>
      </c>
    </row>
    <row r="1282" spans="1:1">
      <c r="A1282" s="88" t="s">
        <v>4533</v>
      </c>
    </row>
    <row r="1283" spans="1:1">
      <c r="A1283" s="88" t="s">
        <v>4534</v>
      </c>
    </row>
    <row r="1284" spans="1:1">
      <c r="A1284" s="88" t="s">
        <v>4535</v>
      </c>
    </row>
    <row r="1285" spans="1:1">
      <c r="A1285" s="93" t="s">
        <v>4536</v>
      </c>
    </row>
    <row r="1286" spans="1:1">
      <c r="A1286" s="88" t="s">
        <v>4537</v>
      </c>
    </row>
    <row r="1287" spans="1:1">
      <c r="A1287" s="88" t="s">
        <v>4538</v>
      </c>
    </row>
    <row r="1288" spans="1:1">
      <c r="A1288" s="88" t="s">
        <v>4539</v>
      </c>
    </row>
    <row r="1289" spans="1:1">
      <c r="A1289" s="88" t="s">
        <v>4540</v>
      </c>
    </row>
    <row r="1290" spans="1:1">
      <c r="A1290" s="88" t="s">
        <v>4541</v>
      </c>
    </row>
    <row r="1291" spans="1:1">
      <c r="A1291" s="93" t="s">
        <v>4542</v>
      </c>
    </row>
    <row r="1292" spans="1:1">
      <c r="A1292" s="88" t="s">
        <v>4543</v>
      </c>
    </row>
    <row r="1293" spans="1:1">
      <c r="A1293" s="88" t="s">
        <v>4355</v>
      </c>
    </row>
    <row r="1294" spans="1:1">
      <c r="A1294" s="88" t="s">
        <v>4544</v>
      </c>
    </row>
    <row r="1295" spans="1:1">
      <c r="A1295" s="88" t="s">
        <v>4545</v>
      </c>
    </row>
    <row r="1296" spans="1:1">
      <c r="A1296" s="88" t="s">
        <v>4546</v>
      </c>
    </row>
    <row r="1297" spans="1:1">
      <c r="A1297" s="93" t="s">
        <v>4547</v>
      </c>
    </row>
    <row r="1298" spans="1:1">
      <c r="A1298" s="88" t="s">
        <v>4548</v>
      </c>
    </row>
    <row r="1299" spans="1:1">
      <c r="A1299" s="88" t="s">
        <v>4549</v>
      </c>
    </row>
    <row r="1300" spans="1:1">
      <c r="A1300" s="88" t="s">
        <v>4231</v>
      </c>
    </row>
    <row r="1301" spans="1:1">
      <c r="A1301" s="88" t="s">
        <v>4550</v>
      </c>
    </row>
    <row r="1302" spans="1:1">
      <c r="A1302" s="93" t="s">
        <v>4551</v>
      </c>
    </row>
    <row r="1303" spans="1:1">
      <c r="A1303" s="88" t="s">
        <v>4552</v>
      </c>
    </row>
    <row r="1304" spans="1:1">
      <c r="A1304" s="88" t="s">
        <v>4553</v>
      </c>
    </row>
    <row r="1305" spans="1:1">
      <c r="A1305" s="88" t="s">
        <v>4101</v>
      </c>
    </row>
    <row r="1306" spans="1:1">
      <c r="A1306" s="88" t="s">
        <v>4554</v>
      </c>
    </row>
    <row r="1307" spans="1:1">
      <c r="A1307" s="88" t="s">
        <v>4555</v>
      </c>
    </row>
    <row r="1308" spans="1:1">
      <c r="A1308" s="93" t="s">
        <v>4556</v>
      </c>
    </row>
    <row r="1309" spans="1:1">
      <c r="A1309" s="88" t="s">
        <v>4290</v>
      </c>
    </row>
    <row r="1310" spans="1:1">
      <c r="A1310" s="88" t="s">
        <v>4557</v>
      </c>
    </row>
    <row r="1311" spans="1:1">
      <c r="A1311" s="88" t="s">
        <v>4094</v>
      </c>
    </row>
    <row r="1312" spans="1:1">
      <c r="A1312" s="88" t="s">
        <v>4558</v>
      </c>
    </row>
    <row r="1313" spans="1:1">
      <c r="A1313" s="88" t="s">
        <v>4293</v>
      </c>
    </row>
    <row r="1314" spans="1:1">
      <c r="A1314" s="93" t="s">
        <v>4294</v>
      </c>
    </row>
    <row r="1315" spans="1:1">
      <c r="A1315" s="88" t="s">
        <v>4680</v>
      </c>
    </row>
    <row r="1316" spans="1:1">
      <c r="A1316" s="88" t="s">
        <v>4092</v>
      </c>
    </row>
    <row r="1317" spans="1:1">
      <c r="A1317" s="88" t="s">
        <v>4681</v>
      </c>
    </row>
    <row r="1318" spans="1:1">
      <c r="A1318" s="88" t="s">
        <v>4427</v>
      </c>
    </row>
    <row r="1319" spans="1:1">
      <c r="A1319" s="88" t="s">
        <v>4682</v>
      </c>
    </row>
    <row r="1320" spans="1:1">
      <c r="A1320" s="93" t="s">
        <v>4683</v>
      </c>
    </row>
    <row r="1321" spans="1:1">
      <c r="A1321" s="88" t="s">
        <v>4559</v>
      </c>
    </row>
    <row r="1322" spans="1:1">
      <c r="A1322" s="88" t="s">
        <v>4099</v>
      </c>
    </row>
    <row r="1323" spans="1:1">
      <c r="A1323" s="88" t="s">
        <v>4560</v>
      </c>
    </row>
    <row r="1324" spans="1:1">
      <c r="A1324" s="88" t="s">
        <v>4561</v>
      </c>
    </row>
    <row r="1325" spans="1:1">
      <c r="A1325" s="88" t="s">
        <v>4562</v>
      </c>
    </row>
    <row r="1326" spans="1:1">
      <c r="A1326" s="93" t="s">
        <v>4563</v>
      </c>
    </row>
    <row r="1327" spans="1:1">
      <c r="A1327" s="88" t="s">
        <v>4564</v>
      </c>
    </row>
    <row r="1328" spans="1:1">
      <c r="A1328" s="88" t="s">
        <v>4092</v>
      </c>
    </row>
    <row r="1329" spans="1:1">
      <c r="A1329" s="88" t="s">
        <v>4565</v>
      </c>
    </row>
    <row r="1330" spans="1:1">
      <c r="A1330" s="88" t="s">
        <v>4566</v>
      </c>
    </row>
    <row r="1331" spans="1:1">
      <c r="A1331" s="88" t="s">
        <v>4567</v>
      </c>
    </row>
    <row r="1332" spans="1:1">
      <c r="A1332" s="88" t="s">
        <v>4568</v>
      </c>
    </row>
    <row r="1333" spans="1:1">
      <c r="A1333" s="93" t="s">
        <v>4569</v>
      </c>
    </row>
    <row r="1334" spans="1:1">
      <c r="A1334" s="88" t="s">
        <v>4570</v>
      </c>
    </row>
    <row r="1335" spans="1:1">
      <c r="A1335" s="88" t="s">
        <v>4092</v>
      </c>
    </row>
    <row r="1336" spans="1:1">
      <c r="A1336" s="88" t="s">
        <v>4571</v>
      </c>
    </row>
    <row r="1337" spans="1:1">
      <c r="A1337" s="88" t="s">
        <v>4572</v>
      </c>
    </row>
    <row r="1338" spans="1:1">
      <c r="A1338" s="88" t="s">
        <v>4573</v>
      </c>
    </row>
    <row r="1339" spans="1:1">
      <c r="A1339" s="88" t="s">
        <v>4574</v>
      </c>
    </row>
    <row r="1340" spans="1:1">
      <c r="A1340" s="93" t="s">
        <v>4575</v>
      </c>
    </row>
    <row r="1341" spans="1:1">
      <c r="A1341" s="88" t="s">
        <v>4576</v>
      </c>
    </row>
    <row r="1342" spans="1:1">
      <c r="A1342" s="88" t="s">
        <v>4092</v>
      </c>
    </row>
    <row r="1343" spans="1:1">
      <c r="A1343" s="88" t="s">
        <v>4577</v>
      </c>
    </row>
    <row r="1344" spans="1:1">
      <c r="A1344" s="88" t="s">
        <v>4578</v>
      </c>
    </row>
    <row r="1345" spans="1:1">
      <c r="A1345" s="88" t="s">
        <v>4579</v>
      </c>
    </row>
    <row r="1346" spans="1:1">
      <c r="A1346" s="93" t="s">
        <v>4580</v>
      </c>
    </row>
    <row r="1347" spans="1:1">
      <c r="A1347" s="88" t="s">
        <v>4581</v>
      </c>
    </row>
    <row r="1348" spans="1:1">
      <c r="A1348" s="88" t="s">
        <v>4092</v>
      </c>
    </row>
    <row r="1349" spans="1:1">
      <c r="A1349" s="88" t="s">
        <v>4582</v>
      </c>
    </row>
    <row r="1350" spans="1:1">
      <c r="A1350" s="88" t="s">
        <v>4583</v>
      </c>
    </row>
    <row r="1351" spans="1:1">
      <c r="A1351" s="88" t="s">
        <v>4584</v>
      </c>
    </row>
    <row r="1352" spans="1:1">
      <c r="A1352" s="88" t="s">
        <v>4585</v>
      </c>
    </row>
    <row r="1353" spans="1:1">
      <c r="A1353" s="93" t="s">
        <v>4586</v>
      </c>
    </row>
    <row r="1354" spans="1:1">
      <c r="A1354" s="88" t="s">
        <v>4587</v>
      </c>
    </row>
    <row r="1355" spans="1:1">
      <c r="A1355" s="88" t="s">
        <v>4092</v>
      </c>
    </row>
    <row r="1356" spans="1:1">
      <c r="A1356" s="88" t="s">
        <v>4588</v>
      </c>
    </row>
    <row r="1357" spans="1:1">
      <c r="A1357" s="88" t="s">
        <v>4589</v>
      </c>
    </row>
    <row r="1358" spans="1:1">
      <c r="A1358" s="88" t="s">
        <v>4590</v>
      </c>
    </row>
    <row r="1359" spans="1:1">
      <c r="A1359" s="88" t="s">
        <v>4591</v>
      </c>
    </row>
    <row r="1360" spans="1:1">
      <c r="A1360" s="93" t="s">
        <v>4592</v>
      </c>
    </row>
    <row r="1361" spans="1:1">
      <c r="A1361" s="88" t="s">
        <v>4173</v>
      </c>
    </row>
    <row r="1362" spans="1:1">
      <c r="A1362" s="88" t="s">
        <v>4092</v>
      </c>
    </row>
    <row r="1363" spans="1:1">
      <c r="A1363" s="88" t="s">
        <v>4593</v>
      </c>
    </row>
    <row r="1364" spans="1:1">
      <c r="A1364" s="88" t="s">
        <v>4175</v>
      </c>
    </row>
    <row r="1365" spans="1:1">
      <c r="A1365" s="88" t="s">
        <v>4594</v>
      </c>
    </row>
    <row r="1366" spans="1:1">
      <c r="A1366" s="88" t="s">
        <v>4177</v>
      </c>
    </row>
    <row r="1367" spans="1:1">
      <c r="A1367" s="93" t="s">
        <v>4178</v>
      </c>
    </row>
    <row r="1368" spans="1:1">
      <c r="A1368" s="88" t="s">
        <v>4595</v>
      </c>
    </row>
    <row r="1369" spans="1:1">
      <c r="A1369" s="88" t="s">
        <v>4092</v>
      </c>
    </row>
    <row r="1370" spans="1:1">
      <c r="A1370" s="88" t="s">
        <v>4596</v>
      </c>
    </row>
    <row r="1371" spans="1:1">
      <c r="A1371" s="88" t="s">
        <v>4129</v>
      </c>
    </row>
    <row r="1372" spans="1:1">
      <c r="A1372" s="88" t="s">
        <v>4597</v>
      </c>
    </row>
    <row r="1373" spans="1:1">
      <c r="A1373" s="88" t="s">
        <v>4598</v>
      </c>
    </row>
    <row r="1374" spans="1:1">
      <c r="A1374" s="93" t="s">
        <v>4599</v>
      </c>
    </row>
    <row r="1375" spans="1:1">
      <c r="A1375" s="88" t="s">
        <v>4600</v>
      </c>
    </row>
    <row r="1376" spans="1:1">
      <c r="A1376" s="88" t="s">
        <v>4092</v>
      </c>
    </row>
    <row r="1377" spans="1:1">
      <c r="A1377" s="88" t="s">
        <v>4601</v>
      </c>
    </row>
    <row r="1378" spans="1:1">
      <c r="A1378" s="88" t="s">
        <v>4602</v>
      </c>
    </row>
    <row r="1379" spans="1:1">
      <c r="A1379" s="88" t="s">
        <v>4603</v>
      </c>
    </row>
    <row r="1380" spans="1:1">
      <c r="A1380" s="93" t="s">
        <v>4604</v>
      </c>
    </row>
    <row r="1381" spans="1:1">
      <c r="A1381" s="88" t="s">
        <v>4680</v>
      </c>
    </row>
    <row r="1382" spans="1:1">
      <c r="A1382" s="88" t="s">
        <v>4092</v>
      </c>
    </row>
    <row r="1383" spans="1:1">
      <c r="A1383" s="88" t="s">
        <v>4681</v>
      </c>
    </row>
    <row r="1384" spans="1:1">
      <c r="A1384" s="88" t="s">
        <v>4427</v>
      </c>
    </row>
    <row r="1385" spans="1:1">
      <c r="A1385" s="88" t="s">
        <v>4682</v>
      </c>
    </row>
    <row r="1386" spans="1:1">
      <c r="A1386" s="93" t="s">
        <v>4683</v>
      </c>
    </row>
    <row r="1387" spans="1:1">
      <c r="A1387" s="88" t="s">
        <v>4605</v>
      </c>
    </row>
    <row r="1388" spans="1:1">
      <c r="A1388" s="88" t="s">
        <v>4092</v>
      </c>
    </row>
    <row r="1389" spans="1:1">
      <c r="A1389" s="88" t="s">
        <v>4606</v>
      </c>
    </row>
    <row r="1390" spans="1:1">
      <c r="A1390" s="88" t="s">
        <v>4175</v>
      </c>
    </row>
    <row r="1391" spans="1:1">
      <c r="A1391" s="88" t="s">
        <v>4607</v>
      </c>
    </row>
    <row r="1392" spans="1:1">
      <c r="A1392" s="88" t="s">
        <v>4608</v>
      </c>
    </row>
    <row r="1393" spans="1:1">
      <c r="A1393" s="93" t="s">
        <v>4609</v>
      </c>
    </row>
    <row r="1394" spans="1:1">
      <c r="A1394" s="88" t="s">
        <v>4610</v>
      </c>
    </row>
    <row r="1395" spans="1:1">
      <c r="A1395" s="88" t="s">
        <v>4092</v>
      </c>
    </row>
    <row r="1396" spans="1:1">
      <c r="A1396" s="88" t="s">
        <v>4611</v>
      </c>
    </row>
    <row r="1397" spans="1:1">
      <c r="A1397" s="88" t="s">
        <v>4478</v>
      </c>
    </row>
    <row r="1398" spans="1:1">
      <c r="A1398" s="88" t="s">
        <v>4612</v>
      </c>
    </row>
    <row r="1399" spans="1:1">
      <c r="A1399" s="88" t="s">
        <v>4613</v>
      </c>
    </row>
    <row r="1400" spans="1:1">
      <c r="A1400" s="93" t="s">
        <v>4614</v>
      </c>
    </row>
    <row r="1401" spans="1:1">
      <c r="A1401" s="88" t="s">
        <v>4615</v>
      </c>
    </row>
    <row r="1402" spans="1:1">
      <c r="A1402" s="88" t="s">
        <v>4092</v>
      </c>
    </row>
    <row r="1403" spans="1:1">
      <c r="A1403" s="88" t="s">
        <v>4611</v>
      </c>
    </row>
    <row r="1404" spans="1:1">
      <c r="A1404" s="88" t="s">
        <v>4478</v>
      </c>
    </row>
    <row r="1405" spans="1:1">
      <c r="A1405" s="88" t="s">
        <v>4612</v>
      </c>
    </row>
    <row r="1406" spans="1:1">
      <c r="A1406" s="88" t="s">
        <v>4616</v>
      </c>
    </row>
    <row r="1407" spans="1:1">
      <c r="A1407" s="93" t="s">
        <v>4617</v>
      </c>
    </row>
    <row r="1408" spans="1:1">
      <c r="A1408" s="88" t="s">
        <v>4618</v>
      </c>
    </row>
    <row r="1409" spans="1:1">
      <c r="A1409" s="88" t="s">
        <v>4092</v>
      </c>
    </row>
    <row r="1410" spans="1:1">
      <c r="A1410" s="88" t="s">
        <v>4619</v>
      </c>
    </row>
    <row r="1411" spans="1:1">
      <c r="A1411" s="88" t="s">
        <v>4620</v>
      </c>
    </row>
    <row r="1412" spans="1:1">
      <c r="A1412" s="88" t="s">
        <v>4621</v>
      </c>
    </row>
    <row r="1413" spans="1:1">
      <c r="A1413" s="93" t="s">
        <v>4622</v>
      </c>
    </row>
    <row r="1414" spans="1:1">
      <c r="A1414" s="88" t="s">
        <v>4623</v>
      </c>
    </row>
    <row r="1415" spans="1:1">
      <c r="A1415" s="88" t="s">
        <v>4092</v>
      </c>
    </row>
    <row r="1416" spans="1:1">
      <c r="A1416" s="88" t="s">
        <v>4624</v>
      </c>
    </row>
    <row r="1417" spans="1:1">
      <c r="A1417" s="88" t="s">
        <v>4094</v>
      </c>
    </row>
    <row r="1418" spans="1:1">
      <c r="A1418" s="88" t="s">
        <v>4625</v>
      </c>
    </row>
    <row r="1419" spans="1:1">
      <c r="A1419" s="88" t="s">
        <v>4626</v>
      </c>
    </row>
    <row r="1420" spans="1:1">
      <c r="A1420" s="93" t="s">
        <v>4627</v>
      </c>
    </row>
    <row r="1421" spans="1:1">
      <c r="A1421" s="88" t="s">
        <v>4628</v>
      </c>
    </row>
    <row r="1422" spans="1:1">
      <c r="A1422" s="88" t="s">
        <v>4092</v>
      </c>
    </row>
    <row r="1423" spans="1:1">
      <c r="A1423" s="88" t="s">
        <v>4629</v>
      </c>
    </row>
    <row r="1424" spans="1:1">
      <c r="A1424" s="88" t="s">
        <v>4094</v>
      </c>
    </row>
    <row r="1425" spans="1:1">
      <c r="A1425" s="88" t="s">
        <v>4630</v>
      </c>
    </row>
    <row r="1426" spans="1:1">
      <c r="A1426" s="88" t="s">
        <v>4631</v>
      </c>
    </row>
    <row r="1427" spans="1:1">
      <c r="A1427" s="93" t="s">
        <v>4632</v>
      </c>
    </row>
    <row r="1428" spans="1:1">
      <c r="A1428" s="88" t="s">
        <v>4680</v>
      </c>
    </row>
    <row r="1429" spans="1:1">
      <c r="A1429" s="88" t="s">
        <v>4092</v>
      </c>
    </row>
    <row r="1430" spans="1:1">
      <c r="A1430" s="88" t="s">
        <v>4681</v>
      </c>
    </row>
    <row r="1431" spans="1:1">
      <c r="A1431" s="88" t="s">
        <v>4427</v>
      </c>
    </row>
    <row r="1432" spans="1:1">
      <c r="A1432" s="88" t="s">
        <v>4682</v>
      </c>
    </row>
    <row r="1433" spans="1:1">
      <c r="A1433" s="93" t="s">
        <v>4683</v>
      </c>
    </row>
    <row r="1434" spans="1:1">
      <c r="A1434" s="88" t="s">
        <v>4633</v>
      </c>
    </row>
    <row r="1435" spans="1:1">
      <c r="A1435" s="88" t="s">
        <v>4092</v>
      </c>
    </row>
    <row r="1436" spans="1:1">
      <c r="A1436" s="88" t="s">
        <v>4634</v>
      </c>
    </row>
    <row r="1437" spans="1:1">
      <c r="A1437" s="88" t="s">
        <v>4175</v>
      </c>
    </row>
    <row r="1438" spans="1:1">
      <c r="A1438" s="88" t="s">
        <v>4635</v>
      </c>
    </row>
    <row r="1439" spans="1:1">
      <c r="A1439" s="88" t="s">
        <v>4636</v>
      </c>
    </row>
    <row r="1440" spans="1:1">
      <c r="A1440" s="93" t="s">
        <v>4637</v>
      </c>
    </row>
    <row r="1441" spans="1:1">
      <c r="A1441" s="88" t="s">
        <v>4638</v>
      </c>
    </row>
    <row r="1442" spans="1:1">
      <c r="A1442" s="88" t="s">
        <v>4092</v>
      </c>
    </row>
    <row r="1443" spans="1:1">
      <c r="A1443" s="88" t="s">
        <v>4639</v>
      </c>
    </row>
    <row r="1444" spans="1:1">
      <c r="A1444" s="88" t="s">
        <v>4640</v>
      </c>
    </row>
    <row r="1445" spans="1:1">
      <c r="A1445" s="88" t="s">
        <v>4641</v>
      </c>
    </row>
    <row r="1446" spans="1:1">
      <c r="A1446" s="88" t="s">
        <v>4642</v>
      </c>
    </row>
    <row r="1447" spans="1:1">
      <c r="A1447" s="93" t="s">
        <v>4643</v>
      </c>
    </row>
    <row r="1448" spans="1:1">
      <c r="A1448" s="88" t="s">
        <v>4644</v>
      </c>
    </row>
    <row r="1449" spans="1:1">
      <c r="A1449" s="88" t="s">
        <v>4092</v>
      </c>
    </row>
    <row r="1450" spans="1:1">
      <c r="A1450" s="88" t="s">
        <v>4123</v>
      </c>
    </row>
    <row r="1451" spans="1:1">
      <c r="A1451" s="88" t="s">
        <v>4124</v>
      </c>
    </row>
    <row r="1452" spans="1:1">
      <c r="A1452" s="88" t="s">
        <v>4645</v>
      </c>
    </row>
    <row r="1453" spans="1:1">
      <c r="A1453" s="88" t="s">
        <v>4646</v>
      </c>
    </row>
    <row r="1454" spans="1:1">
      <c r="A1454" s="93" t="s">
        <v>4647</v>
      </c>
    </row>
    <row r="1455" spans="1:1">
      <c r="A1455" s="88" t="s">
        <v>4648</v>
      </c>
    </row>
    <row r="1456" spans="1:1">
      <c r="A1456" s="88" t="s">
        <v>4092</v>
      </c>
    </row>
    <row r="1457" spans="1:1">
      <c r="A1457" s="88" t="s">
        <v>4649</v>
      </c>
    </row>
    <row r="1458" spans="1:1">
      <c r="A1458" s="88" t="s">
        <v>4175</v>
      </c>
    </row>
    <row r="1459" spans="1:1">
      <c r="A1459" s="88" t="s">
        <v>4650</v>
      </c>
    </row>
    <row r="1460" spans="1:1">
      <c r="A1460" s="88" t="s">
        <v>4651</v>
      </c>
    </row>
    <row r="1461" spans="1:1">
      <c r="A1461" s="93" t="s">
        <v>4652</v>
      </c>
    </row>
    <row r="1462" spans="1:1">
      <c r="A1462" s="88" t="s">
        <v>4653</v>
      </c>
    </row>
    <row r="1463" spans="1:1">
      <c r="A1463" s="88" t="s">
        <v>4092</v>
      </c>
    </row>
    <row r="1464" spans="1:1">
      <c r="A1464" s="88" t="s">
        <v>4654</v>
      </c>
    </row>
    <row r="1465" spans="1:1">
      <c r="A1465" s="88" t="s">
        <v>4655</v>
      </c>
    </row>
    <row r="1466" spans="1:1">
      <c r="A1466" s="88" t="s">
        <v>4656</v>
      </c>
    </row>
    <row r="1467" spans="1:1">
      <c r="A1467" s="88" t="s">
        <v>4657</v>
      </c>
    </row>
    <row r="1468" spans="1:1">
      <c r="A1468" s="93" t="s">
        <v>4658</v>
      </c>
    </row>
    <row r="1469" spans="1:1">
      <c r="A1469" s="88" t="s">
        <v>4659</v>
      </c>
    </row>
    <row r="1470" spans="1:1">
      <c r="A1470" s="88" t="s">
        <v>4092</v>
      </c>
    </row>
    <row r="1471" spans="1:1">
      <c r="A1471" s="88" t="s">
        <v>4660</v>
      </c>
    </row>
    <row r="1472" spans="1:1">
      <c r="A1472" s="88" t="s">
        <v>4181</v>
      </c>
    </row>
    <row r="1473" spans="1:1">
      <c r="A1473" s="88" t="s">
        <v>4661</v>
      </c>
    </row>
    <row r="1474" spans="1:1">
      <c r="A1474" s="93" t="s">
        <v>4662</v>
      </c>
    </row>
    <row r="1475" spans="1:1">
      <c r="A1475" s="88" t="s">
        <v>4663</v>
      </c>
    </row>
    <row r="1476" spans="1:1">
      <c r="A1476" s="88" t="s">
        <v>4092</v>
      </c>
    </row>
    <row r="1477" spans="1:1">
      <c r="A1477" s="88" t="s">
        <v>4664</v>
      </c>
    </row>
    <row r="1478" spans="1:1">
      <c r="A1478" s="88" t="s">
        <v>4371</v>
      </c>
    </row>
    <row r="1479" spans="1:1">
      <c r="A1479" s="88" t="s">
        <v>4665</v>
      </c>
    </row>
    <row r="1480" spans="1:1">
      <c r="A1480" s="93" t="s">
        <v>4666</v>
      </c>
    </row>
    <row r="1481" spans="1:1">
      <c r="A1481" s="88" t="s">
        <v>4667</v>
      </c>
    </row>
    <row r="1482" spans="1:1">
      <c r="A1482" s="88" t="s">
        <v>4092</v>
      </c>
    </row>
    <row r="1483" spans="1:1">
      <c r="A1483" s="88" t="s">
        <v>4668</v>
      </c>
    </row>
    <row r="1484" spans="1:1">
      <c r="A1484" s="88" t="s">
        <v>4371</v>
      </c>
    </row>
    <row r="1485" spans="1:1">
      <c r="A1485" s="88" t="s">
        <v>4669</v>
      </c>
    </row>
    <row r="1486" spans="1:1">
      <c r="A1486" s="88" t="s">
        <v>4670</v>
      </c>
    </row>
    <row r="1487" spans="1:1">
      <c r="A1487" s="93" t="s">
        <v>4671</v>
      </c>
    </row>
    <row r="1488" spans="1:1">
      <c r="A1488" s="88" t="s">
        <v>4672</v>
      </c>
    </row>
    <row r="1489" spans="1:1">
      <c r="A1489" s="88" t="s">
        <v>4092</v>
      </c>
    </row>
    <row r="1490" spans="1:1">
      <c r="A1490" s="88" t="s">
        <v>4673</v>
      </c>
    </row>
    <row r="1491" spans="1:1">
      <c r="A1491" s="88" t="s">
        <v>4674</v>
      </c>
    </row>
    <row r="1492" spans="1:1">
      <c r="A1492" s="93" t="s">
        <v>4675</v>
      </c>
    </row>
    <row r="1493" spans="1:1">
      <c r="A1493" s="88" t="s">
        <v>4676</v>
      </c>
    </row>
    <row r="1494" spans="1:1">
      <c r="A1494" s="88" t="s">
        <v>4099</v>
      </c>
    </row>
    <row r="1495" spans="1:1">
      <c r="A1495" s="88" t="s">
        <v>4673</v>
      </c>
    </row>
    <row r="1496" spans="1:1">
      <c r="A1496" s="88" t="s">
        <v>4129</v>
      </c>
    </row>
    <row r="1497" spans="1:1">
      <c r="A1497" s="88" t="s">
        <v>4677</v>
      </c>
    </row>
    <row r="1498" spans="1:1">
      <c r="A1498" s="88" t="s">
        <v>4678</v>
      </c>
    </row>
    <row r="1499" spans="1:1">
      <c r="A1499" s="93" t="s">
        <v>4679</v>
      </c>
    </row>
    <row r="1500" spans="1:1">
      <c r="A1500" s="88" t="s">
        <v>4169</v>
      </c>
    </row>
    <row r="1501" spans="1:1">
      <c r="A1501" s="88" t="s">
        <v>4092</v>
      </c>
    </row>
    <row r="1502" spans="1:1">
      <c r="A1502" s="88" t="s">
        <v>4170</v>
      </c>
    </row>
    <row r="1503" spans="1:1">
      <c r="A1503" s="88" t="s">
        <v>4094</v>
      </c>
    </row>
    <row r="1504" spans="1:1">
      <c r="A1504" s="88" t="s">
        <v>4171</v>
      </c>
    </row>
    <row r="1505" spans="1:1">
      <c r="A1505" s="93" t="s">
        <v>4172</v>
      </c>
    </row>
    <row r="1506" spans="1:1">
      <c r="A1506" s="88" t="s">
        <v>4110</v>
      </c>
    </row>
    <row r="1507" spans="1:1">
      <c r="A1507" s="88" t="s">
        <v>4092</v>
      </c>
    </row>
    <row r="1508" spans="1:1">
      <c r="A1508" s="88" t="s">
        <v>4111</v>
      </c>
    </row>
    <row r="1509" spans="1:1">
      <c r="A1509" s="88" t="s">
        <v>4112</v>
      </c>
    </row>
    <row r="1510" spans="1:1">
      <c r="A1510" s="88" t="s">
        <v>4113</v>
      </c>
    </row>
    <row r="1511" spans="1:1">
      <c r="A1511" s="88" t="s">
        <v>4114</v>
      </c>
    </row>
    <row r="1512" spans="1:1">
      <c r="A1512" s="93" t="s">
        <v>4115</v>
      </c>
    </row>
    <row r="1513" spans="1:1">
      <c r="A1513" s="88" t="s">
        <v>4158</v>
      </c>
    </row>
    <row r="1514" spans="1:1">
      <c r="A1514" s="88" t="s">
        <v>4099</v>
      </c>
    </row>
    <row r="1515" spans="1:1">
      <c r="A1515" s="88" t="s">
        <v>4159</v>
      </c>
    </row>
    <row r="1516" spans="1:1">
      <c r="A1516" s="88" t="s">
        <v>4160</v>
      </c>
    </row>
    <row r="1517" spans="1:1">
      <c r="A1517" s="88" t="s">
        <v>4161</v>
      </c>
    </row>
    <row r="1518" spans="1:1">
      <c r="A1518" s="88" t="s">
        <v>4162</v>
      </c>
    </row>
    <row r="1519" spans="1:1">
      <c r="A1519" s="93" t="s">
        <v>4163</v>
      </c>
    </row>
    <row r="1520" spans="1:1">
      <c r="A1520" s="88" t="s">
        <v>4105</v>
      </c>
    </row>
    <row r="1521" spans="1:1">
      <c r="A1521" s="88" t="s">
        <v>4092</v>
      </c>
    </row>
    <row r="1522" spans="1:1">
      <c r="A1522" s="88" t="s">
        <v>4106</v>
      </c>
    </row>
    <row r="1523" spans="1:1">
      <c r="A1523" s="88" t="s">
        <v>4094</v>
      </c>
    </row>
    <row r="1524" spans="1:1">
      <c r="A1524" s="88" t="s">
        <v>4107</v>
      </c>
    </row>
    <row r="1525" spans="1:1">
      <c r="A1525" s="88" t="s">
        <v>4108</v>
      </c>
    </row>
    <row r="1526" spans="1:1">
      <c r="A1526" s="93" t="s">
        <v>4109</v>
      </c>
    </row>
    <row r="1527" spans="1:1">
      <c r="A1527" s="88"/>
    </row>
    <row r="1528" spans="1:1">
      <c r="A1528" s="88"/>
    </row>
    <row r="1529" spans="1:1">
      <c r="A1529" s="88"/>
    </row>
    <row r="1530" spans="1:1">
      <c r="A1530" s="88"/>
    </row>
    <row r="1531" spans="1:1">
      <c r="A1531" s="88" t="s">
        <v>4685</v>
      </c>
    </row>
    <row r="1532" spans="1:1">
      <c r="A1532" s="88" t="s">
        <v>4092</v>
      </c>
    </row>
    <row r="1533" spans="1:1">
      <c r="A1533" s="88" t="s">
        <v>4093</v>
      </c>
    </row>
    <row r="1534" spans="1:1">
      <c r="A1534" s="88" t="s">
        <v>4094</v>
      </c>
    </row>
    <row r="1535" spans="1:1">
      <c r="A1535" s="88" t="s">
        <v>4095</v>
      </c>
    </row>
    <row r="1536" spans="1:1">
      <c r="A1536" s="88" t="s">
        <v>4096</v>
      </c>
    </row>
    <row r="1537" spans="1:1">
      <c r="A1537" s="93" t="s">
        <v>4097</v>
      </c>
    </row>
    <row r="1539" spans="1:1">
      <c r="A1539" s="88" t="s">
        <v>4098</v>
      </c>
    </row>
    <row r="1540" spans="1:1">
      <c r="A1540" s="88" t="s">
        <v>4099</v>
      </c>
    </row>
    <row r="1541" spans="1:1">
      <c r="A1541" s="88" t="s">
        <v>4100</v>
      </c>
    </row>
    <row r="1542" spans="1:1">
      <c r="A1542" s="88" t="s">
        <v>4101</v>
      </c>
    </row>
    <row r="1543" spans="1:1">
      <c r="A1543" s="88" t="s">
        <v>4102</v>
      </c>
    </row>
    <row r="1544" spans="1:1">
      <c r="A1544" s="88" t="s">
        <v>4103</v>
      </c>
    </row>
    <row r="1545" spans="1:1">
      <c r="A1545" s="93" t="s">
        <v>4686</v>
      </c>
    </row>
    <row r="1547" spans="1:1">
      <c r="A1547" s="88" t="s">
        <v>4227</v>
      </c>
    </row>
    <row r="1548" spans="1:1">
      <c r="A1548" s="88" t="s">
        <v>4092</v>
      </c>
    </row>
    <row r="1549" spans="1:1">
      <c r="A1549" s="88" t="s">
        <v>4170</v>
      </c>
    </row>
    <row r="1550" spans="1:1">
      <c r="A1550" s="88" t="s">
        <v>4101</v>
      </c>
    </row>
    <row r="1551" spans="1:1">
      <c r="A1551" s="88" t="s">
        <v>4171</v>
      </c>
    </row>
    <row r="1552" spans="1:1">
      <c r="A1552" s="93" t="s">
        <v>4687</v>
      </c>
    </row>
    <row r="1554" spans="1:1">
      <c r="A1554" s="88" t="s">
        <v>4105</v>
      </c>
    </row>
    <row r="1555" spans="1:1">
      <c r="A1555" s="88" t="s">
        <v>4092</v>
      </c>
    </row>
    <row r="1556" spans="1:1">
      <c r="A1556" s="88" t="s">
        <v>4106</v>
      </c>
    </row>
    <row r="1557" spans="1:1">
      <c r="A1557" s="88" t="s">
        <v>4094</v>
      </c>
    </row>
    <row r="1558" spans="1:1">
      <c r="A1558" s="88" t="s">
        <v>4107</v>
      </c>
    </row>
    <row r="1559" spans="1:1">
      <c r="A1559" s="88" t="s">
        <v>4108</v>
      </c>
    </row>
    <row r="1560" spans="1:1">
      <c r="A1560" s="93" t="s">
        <v>4109</v>
      </c>
    </row>
    <row r="1562" spans="1:1">
      <c r="A1562" s="88" t="s">
        <v>4688</v>
      </c>
    </row>
    <row r="1563" spans="1:1">
      <c r="A1563" s="88" t="s">
        <v>4099</v>
      </c>
    </row>
    <row r="1564" spans="1:1">
      <c r="A1564" s="88" t="s">
        <v>4106</v>
      </c>
    </row>
    <row r="1565" spans="1:1">
      <c r="A1565" s="88" t="s">
        <v>4417</v>
      </c>
    </row>
    <row r="1566" spans="1:1">
      <c r="A1566" s="88" t="s">
        <v>4689</v>
      </c>
    </row>
    <row r="1567" spans="1:1">
      <c r="A1567" s="93" t="s">
        <v>4690</v>
      </c>
    </row>
    <row r="1569" spans="1:1">
      <c r="A1569" s="88" t="s">
        <v>4110</v>
      </c>
    </row>
    <row r="1570" spans="1:1">
      <c r="A1570" s="88" t="s">
        <v>4092</v>
      </c>
    </row>
    <row r="1571" spans="1:1">
      <c r="A1571" s="88" t="s">
        <v>4111</v>
      </c>
    </row>
    <row r="1572" spans="1:1">
      <c r="A1572" s="88" t="s">
        <v>4112</v>
      </c>
    </row>
    <row r="1573" spans="1:1">
      <c r="A1573" s="88" t="s">
        <v>4113</v>
      </c>
    </row>
    <row r="1574" spans="1:1">
      <c r="A1574" s="88" t="s">
        <v>4114</v>
      </c>
    </row>
    <row r="1575" spans="1:1">
      <c r="A1575" s="93" t="s">
        <v>4115</v>
      </c>
    </row>
    <row r="1577" spans="1:1">
      <c r="A1577" s="88" t="s">
        <v>4116</v>
      </c>
    </row>
    <row r="1578" spans="1:1">
      <c r="A1578" s="88" t="s">
        <v>4099</v>
      </c>
    </row>
    <row r="1579" spans="1:1">
      <c r="A1579" s="88" t="s">
        <v>4117</v>
      </c>
    </row>
    <row r="1580" spans="1:1">
      <c r="A1580" s="88" t="s">
        <v>4118</v>
      </c>
    </row>
    <row r="1581" spans="1:1">
      <c r="A1581" s="88" t="s">
        <v>4119</v>
      </c>
    </row>
    <row r="1582" spans="1:1">
      <c r="A1582" s="88" t="s">
        <v>4120</v>
      </c>
    </row>
    <row r="1583" spans="1:1">
      <c r="A1583" s="93" t="s">
        <v>4121</v>
      </c>
    </row>
    <row r="1585" spans="1:1">
      <c r="A1585" s="88" t="s">
        <v>4122</v>
      </c>
    </row>
    <row r="1586" spans="1:1">
      <c r="A1586" s="88" t="s">
        <v>4123</v>
      </c>
    </row>
    <row r="1587" spans="1:1">
      <c r="A1587" s="88" t="s">
        <v>4124</v>
      </c>
    </row>
    <row r="1588" spans="1:1">
      <c r="A1588" s="88" t="s">
        <v>4125</v>
      </c>
    </row>
    <row r="1589" spans="1:1">
      <c r="A1589" s="88" t="s">
        <v>4126</v>
      </c>
    </row>
    <row r="1590" spans="1:1">
      <c r="A1590" s="93" t="s">
        <v>4127</v>
      </c>
    </row>
    <row r="1592" spans="1:1">
      <c r="A1592" s="88" t="s">
        <v>4128</v>
      </c>
    </row>
    <row r="1593" spans="1:1">
      <c r="A1593" s="88" t="s">
        <v>4123</v>
      </c>
    </row>
    <row r="1594" spans="1:1">
      <c r="A1594" s="88" t="s">
        <v>4129</v>
      </c>
    </row>
    <row r="1595" spans="1:1">
      <c r="A1595" s="88" t="s">
        <v>4130</v>
      </c>
    </row>
    <row r="1596" spans="1:1">
      <c r="A1596" s="88" t="s">
        <v>4131</v>
      </c>
    </row>
    <row r="1597" spans="1:1">
      <c r="A1597" s="93" t="s">
        <v>4132</v>
      </c>
    </row>
    <row r="1599" spans="1:1">
      <c r="A1599" s="88" t="s">
        <v>4133</v>
      </c>
    </row>
    <row r="1600" spans="1:1">
      <c r="A1600" s="88" t="s">
        <v>4123</v>
      </c>
    </row>
    <row r="1601" spans="1:1">
      <c r="A1601" s="88" t="s">
        <v>4124</v>
      </c>
    </row>
    <row r="1602" spans="1:1">
      <c r="A1602" s="88" t="s">
        <v>4134</v>
      </c>
    </row>
    <row r="1603" spans="1:1">
      <c r="A1603" s="88" t="s">
        <v>4135</v>
      </c>
    </row>
    <row r="1604" spans="1:1">
      <c r="A1604" s="93" t="s">
        <v>4136</v>
      </c>
    </row>
    <row r="1606" spans="1:1">
      <c r="A1606" s="88" t="s">
        <v>4137</v>
      </c>
    </row>
    <row r="1607" spans="1:1">
      <c r="A1607" s="88" t="s">
        <v>4099</v>
      </c>
    </row>
    <row r="1608" spans="1:1">
      <c r="A1608" s="88" t="s">
        <v>4093</v>
      </c>
    </row>
    <row r="1609" spans="1:1">
      <c r="A1609" s="88" t="s">
        <v>4129</v>
      </c>
    </row>
    <row r="1610" spans="1:1">
      <c r="A1610" s="88" t="s">
        <v>4138</v>
      </c>
    </row>
    <row r="1611" spans="1:1">
      <c r="A1611" s="88" t="s">
        <v>4139</v>
      </c>
    </row>
    <row r="1612" spans="1:1">
      <c r="A1612" s="93" t="s">
        <v>4140</v>
      </c>
    </row>
    <row r="1614" spans="1:1">
      <c r="A1614" s="88" t="s">
        <v>4141</v>
      </c>
    </row>
    <row r="1615" spans="1:1">
      <c r="A1615" s="88" t="s">
        <v>4142</v>
      </c>
    </row>
    <row r="1616" spans="1:1">
      <c r="A1616" s="88" t="s">
        <v>4129</v>
      </c>
    </row>
    <row r="1617" spans="1:1">
      <c r="A1617" s="88" t="s">
        <v>4143</v>
      </c>
    </row>
    <row r="1618" spans="1:1">
      <c r="A1618" s="88" t="s">
        <v>4144</v>
      </c>
    </row>
    <row r="1619" spans="1:1">
      <c r="A1619" s="93" t="s">
        <v>4145</v>
      </c>
    </row>
    <row r="1621" spans="1:1">
      <c r="A1621" s="88" t="s">
        <v>4146</v>
      </c>
    </row>
    <row r="1622" spans="1:1">
      <c r="A1622" s="88" t="s">
        <v>4147</v>
      </c>
    </row>
    <row r="1623" spans="1:1">
      <c r="A1623" s="88" t="s">
        <v>4148</v>
      </c>
    </row>
    <row r="1624" spans="1:1">
      <c r="A1624" s="88" t="s">
        <v>4149</v>
      </c>
    </row>
    <row r="1625" spans="1:1">
      <c r="A1625" s="88" t="s">
        <v>4150</v>
      </c>
    </row>
    <row r="1626" spans="1:1">
      <c r="A1626" s="93" t="s">
        <v>4151</v>
      </c>
    </row>
    <row r="1627" spans="1:1">
      <c r="A1627" s="88"/>
    </row>
    <row r="1629" spans="1:1">
      <c r="A1629" s="88" t="s">
        <v>4680</v>
      </c>
    </row>
    <row r="1630" spans="1:1">
      <c r="A1630" s="88" t="s">
        <v>4092</v>
      </c>
    </row>
    <row r="1631" spans="1:1">
      <c r="A1631" s="88" t="s">
        <v>4681</v>
      </c>
    </row>
    <row r="1632" spans="1:1">
      <c r="A1632" s="88" t="s">
        <v>4427</v>
      </c>
    </row>
    <row r="1633" spans="1:1">
      <c r="A1633" s="88" t="s">
        <v>4682</v>
      </c>
    </row>
    <row r="1634" spans="1:1">
      <c r="A1634" s="93" t="s">
        <v>4683</v>
      </c>
    </row>
    <row r="1636" spans="1:1">
      <c r="A1636" s="88" t="s">
        <v>4152</v>
      </c>
    </row>
    <row r="1637" spans="1:1">
      <c r="A1637" s="88" t="s">
        <v>4099</v>
      </c>
    </row>
    <row r="1638" spans="1:1">
      <c r="A1638" s="88" t="s">
        <v>4153</v>
      </c>
    </row>
    <row r="1639" spans="1:1">
      <c r="A1639" s="88" t="s">
        <v>4154</v>
      </c>
    </row>
    <row r="1640" spans="1:1">
      <c r="A1640" s="88" t="s">
        <v>4155</v>
      </c>
    </row>
    <row r="1641" spans="1:1">
      <c r="A1641" s="88" t="s">
        <v>4156</v>
      </c>
    </row>
    <row r="1642" spans="1:1">
      <c r="A1642" s="93" t="s">
        <v>4157</v>
      </c>
    </row>
    <row r="1644" spans="1:1">
      <c r="A1644" s="88" t="s">
        <v>4158</v>
      </c>
    </row>
    <row r="1645" spans="1:1">
      <c r="A1645" s="88" t="s">
        <v>4099</v>
      </c>
    </row>
    <row r="1646" spans="1:1">
      <c r="A1646" s="88" t="s">
        <v>4159</v>
      </c>
    </row>
    <row r="1647" spans="1:1">
      <c r="A1647" s="88" t="s">
        <v>4160</v>
      </c>
    </row>
    <row r="1648" spans="1:1">
      <c r="A1648" s="88" t="s">
        <v>4161</v>
      </c>
    </row>
    <row r="1649" spans="1:1">
      <c r="A1649" s="88" t="s">
        <v>4162</v>
      </c>
    </row>
    <row r="1650" spans="1:1">
      <c r="A1650" s="93" t="s">
        <v>4163</v>
      </c>
    </row>
    <row r="1652" spans="1:1">
      <c r="A1652" s="88" t="s">
        <v>4164</v>
      </c>
    </row>
    <row r="1653" spans="1:1">
      <c r="A1653" s="88" t="s">
        <v>4165</v>
      </c>
    </row>
    <row r="1654" spans="1:1">
      <c r="A1654" s="88" t="s">
        <v>4166</v>
      </c>
    </row>
    <row r="1655" spans="1:1">
      <c r="A1655" s="88" t="s">
        <v>4167</v>
      </c>
    </row>
    <row r="1656" spans="1:1">
      <c r="A1656" s="93" t="s">
        <v>4168</v>
      </c>
    </row>
    <row r="1658" spans="1:1">
      <c r="A1658" s="88" t="s">
        <v>4169</v>
      </c>
    </row>
    <row r="1659" spans="1:1">
      <c r="A1659" s="88" t="s">
        <v>4092</v>
      </c>
    </row>
    <row r="1660" spans="1:1">
      <c r="A1660" s="88" t="s">
        <v>4170</v>
      </c>
    </row>
    <row r="1661" spans="1:1">
      <c r="A1661" s="88" t="s">
        <v>4094</v>
      </c>
    </row>
    <row r="1662" spans="1:1">
      <c r="A1662" s="88" t="s">
        <v>4171</v>
      </c>
    </row>
    <row r="1663" spans="1:1">
      <c r="A1663" s="93" t="s">
        <v>4172</v>
      </c>
    </row>
    <row r="1665" spans="1:1">
      <c r="A1665" s="88" t="s">
        <v>4173</v>
      </c>
    </row>
    <row r="1666" spans="1:1">
      <c r="A1666" s="88" t="s">
        <v>4092</v>
      </c>
    </row>
    <row r="1667" spans="1:1">
      <c r="A1667" s="88" t="s">
        <v>4174</v>
      </c>
    </row>
    <row r="1668" spans="1:1">
      <c r="A1668" s="88" t="s">
        <v>4175</v>
      </c>
    </row>
    <row r="1669" spans="1:1">
      <c r="A1669" s="88" t="s">
        <v>4176</v>
      </c>
    </row>
    <row r="1670" spans="1:1">
      <c r="A1670" s="88" t="s">
        <v>4177</v>
      </c>
    </row>
    <row r="1671" spans="1:1">
      <c r="A1671" s="93" t="s">
        <v>4178</v>
      </c>
    </row>
    <row r="1673" spans="1:1">
      <c r="A1673" s="88" t="s">
        <v>4179</v>
      </c>
    </row>
    <row r="1674" spans="1:1">
      <c r="A1674" s="88" t="s">
        <v>4092</v>
      </c>
    </row>
    <row r="1675" spans="1:1">
      <c r="A1675" s="88" t="s">
        <v>4180</v>
      </c>
    </row>
    <row r="1676" spans="1:1">
      <c r="A1676" s="88" t="s">
        <v>4181</v>
      </c>
    </row>
    <row r="1677" spans="1:1">
      <c r="A1677" s="88" t="s">
        <v>4182</v>
      </c>
    </row>
    <row r="1678" spans="1:1">
      <c r="A1678" s="88" t="s">
        <v>4183</v>
      </c>
    </row>
    <row r="1679" spans="1:1">
      <c r="A1679" s="93" t="s">
        <v>4184</v>
      </c>
    </row>
    <row r="1681" spans="1:1">
      <c r="A1681" s="88" t="s">
        <v>4185</v>
      </c>
    </row>
    <row r="1682" spans="1:1">
      <c r="A1682" s="88" t="s">
        <v>4092</v>
      </c>
    </row>
    <row r="1683" spans="1:1">
      <c r="A1683" s="88" t="s">
        <v>4186</v>
      </c>
    </row>
    <row r="1684" spans="1:1">
      <c r="A1684" s="88" t="s">
        <v>4187</v>
      </c>
    </row>
    <row r="1685" spans="1:1">
      <c r="A1685" s="88" t="s">
        <v>4188</v>
      </c>
    </row>
    <row r="1686" spans="1:1">
      <c r="A1686" s="88" t="s">
        <v>4189</v>
      </c>
    </row>
    <row r="1687" spans="1:1">
      <c r="A1687" s="93" t="s">
        <v>4190</v>
      </c>
    </row>
    <row r="1689" spans="1:1">
      <c r="A1689" s="88" t="s">
        <v>4191</v>
      </c>
    </row>
    <row r="1690" spans="1:1">
      <c r="A1690" s="88" t="s">
        <v>4092</v>
      </c>
    </row>
    <row r="1691" spans="1:1">
      <c r="A1691" s="88" t="s">
        <v>4192</v>
      </c>
    </row>
    <row r="1692" spans="1:1">
      <c r="A1692" s="88" t="s">
        <v>4094</v>
      </c>
    </row>
    <row r="1693" spans="1:1">
      <c r="A1693" s="88" t="s">
        <v>4193</v>
      </c>
    </row>
    <row r="1694" spans="1:1">
      <c r="A1694" s="93" t="s">
        <v>4194</v>
      </c>
    </row>
    <row r="1696" spans="1:1">
      <c r="A1696" s="88" t="s">
        <v>4195</v>
      </c>
    </row>
    <row r="1697" spans="1:1">
      <c r="A1697" s="88" t="s">
        <v>4092</v>
      </c>
    </row>
    <row r="1698" spans="1:1">
      <c r="A1698" s="88" t="s">
        <v>4196</v>
      </c>
    </row>
    <row r="1699" spans="1:1">
      <c r="A1699" s="88" t="s">
        <v>4160</v>
      </c>
    </row>
    <row r="1700" spans="1:1">
      <c r="A1700" s="88" t="s">
        <v>4197</v>
      </c>
    </row>
    <row r="1701" spans="1:1">
      <c r="A1701" s="88" t="s">
        <v>4198</v>
      </c>
    </row>
    <row r="1702" spans="1:1">
      <c r="A1702" s="93" t="s">
        <v>4199</v>
      </c>
    </row>
    <row r="1704" spans="1:1">
      <c r="A1704" s="88" t="s">
        <v>4200</v>
      </c>
    </row>
    <row r="1705" spans="1:1">
      <c r="A1705" s="88" t="s">
        <v>4099</v>
      </c>
    </row>
    <row r="1706" spans="1:1">
      <c r="A1706" s="88" t="s">
        <v>4201</v>
      </c>
    </row>
    <row r="1707" spans="1:1">
      <c r="A1707" s="88" t="s">
        <v>4202</v>
      </c>
    </row>
    <row r="1708" spans="1:1">
      <c r="A1708" s="88" t="s">
        <v>4203</v>
      </c>
    </row>
    <row r="1709" spans="1:1">
      <c r="A1709" s="93" t="s">
        <v>4204</v>
      </c>
    </row>
    <row r="1711" spans="1:1">
      <c r="A1711" s="88" t="s">
        <v>4205</v>
      </c>
    </row>
    <row r="1712" spans="1:1">
      <c r="A1712" s="88" t="s">
        <v>4201</v>
      </c>
    </row>
    <row r="1713" spans="1:1">
      <c r="A1713" s="88" t="s">
        <v>4206</v>
      </c>
    </row>
    <row r="1714" spans="1:1">
      <c r="A1714" s="88" t="s">
        <v>4203</v>
      </c>
    </row>
    <row r="1715" spans="1:1">
      <c r="A1715" s="93" t="s">
        <v>4207</v>
      </c>
    </row>
    <row r="1717" spans="1:1">
      <c r="A1717" s="88" t="s">
        <v>4208</v>
      </c>
    </row>
    <row r="1718" spans="1:1">
      <c r="A1718" s="88" t="s">
        <v>4201</v>
      </c>
    </row>
    <row r="1719" spans="1:1">
      <c r="A1719" s="88" t="s">
        <v>4209</v>
      </c>
    </row>
    <row r="1720" spans="1:1">
      <c r="A1720" s="88" t="s">
        <v>4203</v>
      </c>
    </row>
    <row r="1721" spans="1:1">
      <c r="A1721" s="93" t="s">
        <v>4210</v>
      </c>
    </row>
    <row r="1723" spans="1:1">
      <c r="A1723" s="88" t="s">
        <v>4211</v>
      </c>
    </row>
    <row r="1724" spans="1:1">
      <c r="A1724" s="88" t="s">
        <v>4212</v>
      </c>
    </row>
    <row r="1725" spans="1:1">
      <c r="A1725" s="88" t="s">
        <v>4213</v>
      </c>
    </row>
    <row r="1726" spans="1:1">
      <c r="A1726" s="88" t="s">
        <v>4214</v>
      </c>
    </row>
    <row r="1727" spans="1:1">
      <c r="A1727" s="88" t="s">
        <v>4215</v>
      </c>
    </row>
    <row r="1728" spans="1:1">
      <c r="A1728" s="93" t="s">
        <v>4216</v>
      </c>
    </row>
    <row r="1730" spans="1:1">
      <c r="A1730" s="88" t="s">
        <v>4691</v>
      </c>
    </row>
    <row r="1731" spans="1:1">
      <c r="A1731" s="88" t="s">
        <v>4218</v>
      </c>
    </row>
    <row r="1732" spans="1:1">
      <c r="A1732" s="88" t="s">
        <v>4094</v>
      </c>
    </row>
    <row r="1733" spans="1:1">
      <c r="A1733" s="88" t="s">
        <v>4219</v>
      </c>
    </row>
    <row r="1734" spans="1:1">
      <c r="A1734" s="88" t="s">
        <v>4220</v>
      </c>
    </row>
    <row r="1735" spans="1:1">
      <c r="A1735" s="93" t="s">
        <v>4221</v>
      </c>
    </row>
    <row r="1737" spans="1:1">
      <c r="A1737" s="88" t="s">
        <v>4222</v>
      </c>
    </row>
    <row r="1738" spans="1:1">
      <c r="A1738" s="88" t="s">
        <v>4223</v>
      </c>
    </row>
    <row r="1739" spans="1:1">
      <c r="A1739" s="88" t="s">
        <v>4224</v>
      </c>
    </row>
    <row r="1741" spans="1:1">
      <c r="A1741" s="88" t="s">
        <v>4225</v>
      </c>
    </row>
    <row r="1742" spans="1:1">
      <c r="A1742" s="88" t="s">
        <v>4196</v>
      </c>
    </row>
    <row r="1743" spans="1:1">
      <c r="A1743" s="88" t="s">
        <v>4226</v>
      </c>
    </row>
    <row r="1745" spans="1:1">
      <c r="A1745" s="88" t="s">
        <v>4229</v>
      </c>
    </row>
    <row r="1746" spans="1:1">
      <c r="A1746" s="88" t="s">
        <v>4230</v>
      </c>
    </row>
    <row r="1747" spans="1:1">
      <c r="A1747" s="88" t="s">
        <v>4231</v>
      </c>
    </row>
    <row r="1748" spans="1:1">
      <c r="A1748" s="88" t="s">
        <v>4232</v>
      </c>
    </row>
    <row r="1749" spans="1:1">
      <c r="A1749" s="93" t="s">
        <v>4233</v>
      </c>
    </row>
    <row r="1751" spans="1:1">
      <c r="A1751" s="88" t="s">
        <v>4234</v>
      </c>
    </row>
    <row r="1752" spans="1:1">
      <c r="A1752" s="88" t="s">
        <v>4235</v>
      </c>
    </row>
    <row r="1753" spans="1:1">
      <c r="A1753" s="88" t="s">
        <v>4175</v>
      </c>
    </row>
    <row r="1754" spans="1:1">
      <c r="A1754" s="88" t="s">
        <v>4236</v>
      </c>
    </row>
    <row r="1755" spans="1:1">
      <c r="A1755" s="88" t="s">
        <v>4237</v>
      </c>
    </row>
    <row r="1756" spans="1:1">
      <c r="A1756" s="93" t="s">
        <v>4190</v>
      </c>
    </row>
    <row r="1758" spans="1:1">
      <c r="A1758" s="88" t="s">
        <v>4238</v>
      </c>
    </row>
    <row r="1759" spans="1:1">
      <c r="A1759" s="88" t="s">
        <v>4239</v>
      </c>
    </row>
    <row r="1760" spans="1:1">
      <c r="A1760" s="88" t="s">
        <v>4240</v>
      </c>
    </row>
    <row r="1761" spans="1:1">
      <c r="A1761" s="88" t="s">
        <v>4241</v>
      </c>
    </row>
    <row r="1762" spans="1:1">
      <c r="A1762" s="88" t="s">
        <v>4242</v>
      </c>
    </row>
    <row r="1763" spans="1:1">
      <c r="A1763" s="93" t="s">
        <v>4243</v>
      </c>
    </row>
    <row r="1765" spans="1:1">
      <c r="A1765" s="88" t="s">
        <v>4244</v>
      </c>
    </row>
    <row r="1766" spans="1:1">
      <c r="A1766" s="88" t="s">
        <v>4245</v>
      </c>
    </row>
    <row r="1767" spans="1:1">
      <c r="A1767" s="88" t="s">
        <v>4246</v>
      </c>
    </row>
    <row r="1768" spans="1:1">
      <c r="A1768" s="88" t="s">
        <v>4247</v>
      </c>
    </row>
    <row r="1769" spans="1:1">
      <c r="A1769" s="88" t="s">
        <v>4248</v>
      </c>
    </row>
    <row r="1770" spans="1:1">
      <c r="A1770" s="93" t="s">
        <v>4249</v>
      </c>
    </row>
    <row r="1772" spans="1:1">
      <c r="A1772" s="88" t="s">
        <v>4250</v>
      </c>
    </row>
    <row r="1773" spans="1:1">
      <c r="A1773" s="88" t="s">
        <v>4251</v>
      </c>
    </row>
    <row r="1774" spans="1:1">
      <c r="A1774" s="88" t="s">
        <v>4252</v>
      </c>
    </row>
    <row r="1775" spans="1:1">
      <c r="A1775" s="88" t="s">
        <v>4231</v>
      </c>
    </row>
    <row r="1776" spans="1:1">
      <c r="A1776" s="88" t="s">
        <v>4253</v>
      </c>
    </row>
    <row r="1777" spans="1:1">
      <c r="A1777" s="88" t="s">
        <v>4254</v>
      </c>
    </row>
    <row r="1778" spans="1:1">
      <c r="A1778" s="88" t="s">
        <v>4255</v>
      </c>
    </row>
    <row r="1779" spans="1:1">
      <c r="A1779" s="93" t="s">
        <v>4256</v>
      </c>
    </row>
    <row r="1781" spans="1:1">
      <c r="A1781" s="88" t="s">
        <v>4257</v>
      </c>
    </row>
    <row r="1782" spans="1:1">
      <c r="A1782" s="88" t="s">
        <v>4092</v>
      </c>
    </row>
    <row r="1783" spans="1:1">
      <c r="A1783" s="88" t="s">
        <v>4258</v>
      </c>
    </row>
    <row r="1784" spans="1:1">
      <c r="A1784" s="88" t="s">
        <v>4231</v>
      </c>
    </row>
    <row r="1785" spans="1:1">
      <c r="A1785" s="88" t="s">
        <v>4253</v>
      </c>
    </row>
    <row r="1786" spans="1:1">
      <c r="A1786" s="88" t="s">
        <v>4259</v>
      </c>
    </row>
    <row r="1787" spans="1:1">
      <c r="A1787" s="88" t="s">
        <v>4260</v>
      </c>
    </row>
    <row r="1788" spans="1:1">
      <c r="A1788" s="93" t="s">
        <v>4261</v>
      </c>
    </row>
    <row r="1790" spans="1:1">
      <c r="A1790" s="88" t="s">
        <v>4262</v>
      </c>
    </row>
    <row r="1791" spans="1:1">
      <c r="A1791" s="88" t="s">
        <v>4263</v>
      </c>
    </row>
    <row r="1792" spans="1:1">
      <c r="A1792" s="88" t="s">
        <v>4231</v>
      </c>
    </row>
    <row r="1793" spans="1:1">
      <c r="A1793" s="88" t="s">
        <v>4264</v>
      </c>
    </row>
    <row r="1794" spans="1:1">
      <c r="A1794" s="88" t="s">
        <v>4265</v>
      </c>
    </row>
    <row r="1795" spans="1:1">
      <c r="A1795" s="93" t="s">
        <v>4266</v>
      </c>
    </row>
    <row r="1797" spans="1:1">
      <c r="A1797" s="88" t="s">
        <v>4267</v>
      </c>
    </row>
    <row r="1798" spans="1:1">
      <c r="A1798" s="88" t="s">
        <v>4268</v>
      </c>
    </row>
    <row r="1799" spans="1:1">
      <c r="A1799" s="88" t="s">
        <v>4094</v>
      </c>
    </row>
    <row r="1800" spans="1:1">
      <c r="A1800" s="88" t="s">
        <v>4269</v>
      </c>
    </row>
    <row r="1801" spans="1:1">
      <c r="A1801" s="88" t="s">
        <v>4270</v>
      </c>
    </row>
    <row r="1802" spans="1:1">
      <c r="A1802" s="93" t="s">
        <v>4271</v>
      </c>
    </row>
    <row r="1804" spans="1:1">
      <c r="A1804" s="88" t="s">
        <v>4272</v>
      </c>
    </row>
    <row r="1805" spans="1:1">
      <c r="A1805" s="88" t="s">
        <v>4251</v>
      </c>
    </row>
    <row r="1806" spans="1:1">
      <c r="A1806" s="88" t="s">
        <v>4273</v>
      </c>
    </row>
    <row r="1807" spans="1:1">
      <c r="A1807" s="88" t="s">
        <v>4181</v>
      </c>
    </row>
    <row r="1808" spans="1:1">
      <c r="A1808" s="88" t="s">
        <v>4253</v>
      </c>
    </row>
    <row r="1809" spans="1:1">
      <c r="A1809" s="88" t="s">
        <v>4274</v>
      </c>
    </row>
    <row r="1810" spans="1:1">
      <c r="A1810" s="88" t="s">
        <v>4275</v>
      </c>
    </row>
    <row r="1812" spans="1:1">
      <c r="A1812" s="88" t="s">
        <v>4276</v>
      </c>
    </row>
    <row r="1813" spans="1:1">
      <c r="A1813" s="88" t="s">
        <v>4277</v>
      </c>
    </row>
    <row r="1814" spans="1:1">
      <c r="A1814" s="88" t="s">
        <v>4278</v>
      </c>
    </row>
    <row r="1815" spans="1:1">
      <c r="A1815" s="88" t="s">
        <v>4279</v>
      </c>
    </row>
    <row r="1816" spans="1:1">
      <c r="A1816" s="93" t="s">
        <v>4280</v>
      </c>
    </row>
    <row r="1818" spans="1:1">
      <c r="A1818" s="88" t="s">
        <v>4281</v>
      </c>
    </row>
    <row r="1819" spans="1:1">
      <c r="A1819" s="88" t="s">
        <v>4282</v>
      </c>
    </row>
    <row r="1820" spans="1:1">
      <c r="A1820" s="88" t="s">
        <v>4283</v>
      </c>
    </row>
    <row r="1821" spans="1:1">
      <c r="A1821" s="93" t="s">
        <v>4284</v>
      </c>
    </row>
    <row r="1823" spans="1:1">
      <c r="A1823" s="88" t="s">
        <v>4285</v>
      </c>
    </row>
    <row r="1824" spans="1:1">
      <c r="A1824" s="88" t="s">
        <v>4286</v>
      </c>
    </row>
    <row r="1825" spans="1:1">
      <c r="A1825" s="88" t="s">
        <v>4287</v>
      </c>
    </row>
    <row r="1826" spans="1:1">
      <c r="A1826" s="88" t="s">
        <v>4288</v>
      </c>
    </row>
    <row r="1827" spans="1:1">
      <c r="A1827" s="93" t="s">
        <v>4289</v>
      </c>
    </row>
    <row r="1829" spans="1:1">
      <c r="A1829" s="88" t="s">
        <v>4290</v>
      </c>
    </row>
    <row r="1830" spans="1:1">
      <c r="A1830" s="88" t="s">
        <v>4291</v>
      </c>
    </row>
    <row r="1831" spans="1:1">
      <c r="A1831" s="88" t="s">
        <v>4292</v>
      </c>
    </row>
    <row r="1832" spans="1:1">
      <c r="A1832" s="88" t="s">
        <v>4293</v>
      </c>
    </row>
    <row r="1833" spans="1:1">
      <c r="A1833" s="93" t="s">
        <v>4294</v>
      </c>
    </row>
    <row r="1836" spans="1:1">
      <c r="A1836" s="88" t="s">
        <v>4295</v>
      </c>
    </row>
    <row r="1837" spans="1:1">
      <c r="A1837" s="88" t="s">
        <v>4235</v>
      </c>
    </row>
    <row r="1838" spans="1:1">
      <c r="A1838" s="88" t="s">
        <v>4296</v>
      </c>
    </row>
    <row r="1839" spans="1:1">
      <c r="A1839" s="88" t="s">
        <v>4297</v>
      </c>
    </row>
    <row r="1840" spans="1:1">
      <c r="A1840" s="93" t="s">
        <v>4298</v>
      </c>
    </row>
    <row r="1842" spans="1:1">
      <c r="A1842" s="88" t="s">
        <v>4299</v>
      </c>
    </row>
    <row r="1843" spans="1:1">
      <c r="A1843" s="88" t="s">
        <v>4300</v>
      </c>
    </row>
    <row r="1844" spans="1:1">
      <c r="A1844" s="88" t="s">
        <v>4301</v>
      </c>
    </row>
    <row r="1845" spans="1:1">
      <c r="A1845" s="93" t="s">
        <v>4302</v>
      </c>
    </row>
    <row r="1847" spans="1:1">
      <c r="A1847" s="88" t="s">
        <v>4303</v>
      </c>
    </row>
    <row r="1848" spans="1:1">
      <c r="A1848" s="88" t="s">
        <v>4304</v>
      </c>
    </row>
    <row r="1849" spans="1:1">
      <c r="A1849" s="88" t="s">
        <v>4692</v>
      </c>
    </row>
    <row r="1850" spans="1:1">
      <c r="A1850" s="93" t="s">
        <v>4693</v>
      </c>
    </row>
    <row r="1852" spans="1:1">
      <c r="A1852" s="88" t="s">
        <v>4307</v>
      </c>
    </row>
    <row r="1853" spans="1:1">
      <c r="A1853" s="88" t="s">
        <v>4308</v>
      </c>
    </row>
    <row r="1854" spans="1:1">
      <c r="A1854" s="88" t="s">
        <v>4309</v>
      </c>
    </row>
    <row r="1855" spans="1:1">
      <c r="A1855" s="88" t="s">
        <v>4310</v>
      </c>
    </row>
    <row r="1856" spans="1:1">
      <c r="A1856" s="93" t="s">
        <v>4311</v>
      </c>
    </row>
    <row r="1858" spans="1:1">
      <c r="A1858" s="88" t="s">
        <v>4312</v>
      </c>
    </row>
    <row r="1859" spans="1:1">
      <c r="A1859" s="88" t="s">
        <v>4313</v>
      </c>
    </row>
    <row r="1860" spans="1:1">
      <c r="A1860" s="88" t="s">
        <v>4314</v>
      </c>
    </row>
    <row r="1861" spans="1:1">
      <c r="A1861" s="88" t="s">
        <v>4315</v>
      </c>
    </row>
    <row r="1862" spans="1:1">
      <c r="A1862" s="93" t="s">
        <v>4316</v>
      </c>
    </row>
    <row r="1864" spans="1:1">
      <c r="A1864" s="88" t="s">
        <v>4317</v>
      </c>
    </row>
    <row r="1865" spans="1:1">
      <c r="A1865" s="88" t="s">
        <v>4318</v>
      </c>
    </row>
    <row r="1866" spans="1:1">
      <c r="A1866" s="88" t="s">
        <v>4319</v>
      </c>
    </row>
    <row r="1867" spans="1:1">
      <c r="A1867" s="93" t="s">
        <v>4320</v>
      </c>
    </row>
    <row r="1869" spans="1:1">
      <c r="A1869" s="88" t="s">
        <v>4321</v>
      </c>
    </row>
    <row r="1870" spans="1:1">
      <c r="A1870" s="88" t="s">
        <v>4322</v>
      </c>
    </row>
    <row r="1871" spans="1:1">
      <c r="A1871" s="88" t="s">
        <v>4323</v>
      </c>
    </row>
    <row r="1872" spans="1:1">
      <c r="A1872" s="88" t="s">
        <v>4324</v>
      </c>
    </row>
    <row r="1873" spans="1:1">
      <c r="A1873" s="93" t="s">
        <v>4325</v>
      </c>
    </row>
    <row r="1875" spans="1:1">
      <c r="A1875" s="88" t="s">
        <v>4326</v>
      </c>
    </row>
    <row r="1876" spans="1:1">
      <c r="A1876" s="88" t="s">
        <v>4327</v>
      </c>
    </row>
    <row r="1877" spans="1:1">
      <c r="A1877" s="88" t="s">
        <v>4328</v>
      </c>
    </row>
    <row r="1878" spans="1:1">
      <c r="A1878" s="88" t="s">
        <v>4329</v>
      </c>
    </row>
    <row r="1879" spans="1:1">
      <c r="A1879" s="93" t="s">
        <v>4330</v>
      </c>
    </row>
    <row r="1881" spans="1:1">
      <c r="A1881" s="88" t="s">
        <v>4331</v>
      </c>
    </row>
    <row r="1882" spans="1:1">
      <c r="A1882" s="88" t="s">
        <v>4332</v>
      </c>
    </row>
    <row r="1883" spans="1:1">
      <c r="A1883" s="88" t="s">
        <v>4333</v>
      </c>
    </row>
    <row r="1884" spans="1:1">
      <c r="A1884" s="88" t="s">
        <v>4334</v>
      </c>
    </row>
    <row r="1885" spans="1:1">
      <c r="A1885" s="93" t="s">
        <v>4335</v>
      </c>
    </row>
    <row r="1887" spans="1:1">
      <c r="A1887" s="88" t="s">
        <v>4336</v>
      </c>
    </row>
    <row r="1888" spans="1:1">
      <c r="A1888" s="88" t="s">
        <v>4337</v>
      </c>
    </row>
    <row r="1889" spans="1:1">
      <c r="A1889" s="88" t="s">
        <v>4338</v>
      </c>
    </row>
    <row r="1890" spans="1:1">
      <c r="A1890" s="93" t="s">
        <v>4339</v>
      </c>
    </row>
    <row r="1892" spans="1:1">
      <c r="A1892" s="88" t="s">
        <v>4340</v>
      </c>
    </row>
    <row r="1893" spans="1:1">
      <c r="A1893" s="88" t="s">
        <v>4196</v>
      </c>
    </row>
    <row r="1894" spans="1:1">
      <c r="A1894" s="88" t="s">
        <v>4341</v>
      </c>
    </row>
    <row r="1895" spans="1:1">
      <c r="A1895" s="88" t="s">
        <v>4342</v>
      </c>
    </row>
    <row r="1896" spans="1:1">
      <c r="A1896" s="88" t="s">
        <v>4343</v>
      </c>
    </row>
    <row r="1898" spans="1:1">
      <c r="A1898" s="88" t="s">
        <v>4344</v>
      </c>
    </row>
    <row r="1899" spans="1:1">
      <c r="A1899" s="88" t="s">
        <v>4345</v>
      </c>
    </row>
    <row r="1900" spans="1:1">
      <c r="A1900" s="88" t="s">
        <v>4346</v>
      </c>
    </row>
    <row r="1901" spans="1:1">
      <c r="A1901" s="88" t="s">
        <v>4347</v>
      </c>
    </row>
    <row r="1902" spans="1:1">
      <c r="A1902" s="88" t="s">
        <v>4348</v>
      </c>
    </row>
    <row r="1904" spans="1:1">
      <c r="A1904" s="88" t="s">
        <v>4349</v>
      </c>
    </row>
    <row r="1905" spans="1:1">
      <c r="A1905" s="88" t="s">
        <v>4350</v>
      </c>
    </row>
    <row r="1906" spans="1:1">
      <c r="A1906" s="88" t="s">
        <v>4181</v>
      </c>
    </row>
    <row r="1907" spans="1:1">
      <c r="A1907" s="88" t="s">
        <v>4351</v>
      </c>
    </row>
    <row r="1908" spans="1:1">
      <c r="A1908" s="88" t="s">
        <v>4352</v>
      </c>
    </row>
    <row r="1909" spans="1:1">
      <c r="A1909" s="93" t="s">
        <v>4353</v>
      </c>
    </row>
    <row r="1911" spans="1:1">
      <c r="A1911" s="88" t="s">
        <v>4354</v>
      </c>
    </row>
    <row r="1912" spans="1:1">
      <c r="A1912" s="88" t="s">
        <v>4355</v>
      </c>
    </row>
    <row r="1913" spans="1:1">
      <c r="A1913" s="88" t="s">
        <v>4356</v>
      </c>
    </row>
    <row r="1914" spans="1:1">
      <c r="A1914" s="88" t="s">
        <v>4357</v>
      </c>
    </row>
    <row r="1916" spans="1:1">
      <c r="A1916" s="88" t="s">
        <v>4358</v>
      </c>
    </row>
    <row r="1917" spans="1:1">
      <c r="A1917" s="88" t="s">
        <v>4359</v>
      </c>
    </row>
    <row r="1918" spans="1:1">
      <c r="A1918" s="88" t="s">
        <v>4360</v>
      </c>
    </row>
    <row r="1919" spans="1:1">
      <c r="A1919" s="88" t="s">
        <v>4361</v>
      </c>
    </row>
    <row r="1920" spans="1:1">
      <c r="A1920" s="93" t="s">
        <v>4362</v>
      </c>
    </row>
    <row r="1922" spans="1:1">
      <c r="A1922" s="88" t="s">
        <v>4363</v>
      </c>
    </row>
    <row r="1923" spans="1:1">
      <c r="A1923" s="88" t="s">
        <v>4364</v>
      </c>
    </row>
    <row r="1924" spans="1:1">
      <c r="A1924" s="88" t="s">
        <v>4365</v>
      </c>
    </row>
    <row r="1925" spans="1:1">
      <c r="A1925" s="88" t="s">
        <v>4366</v>
      </c>
    </row>
    <row r="1926" spans="1:1">
      <c r="A1926" s="88" t="s">
        <v>4367</v>
      </c>
    </row>
    <row r="1927" spans="1:1">
      <c r="A1927" s="93" t="s">
        <v>4368</v>
      </c>
    </row>
    <row r="1929" spans="1:1">
      <c r="A1929" s="88" t="s">
        <v>4369</v>
      </c>
    </row>
    <row r="1930" spans="1:1">
      <c r="A1930" s="88" t="s">
        <v>4370</v>
      </c>
    </row>
    <row r="1931" spans="1:1">
      <c r="A1931" s="88" t="s">
        <v>4371</v>
      </c>
    </row>
    <row r="1932" spans="1:1">
      <c r="A1932" s="88" t="s">
        <v>4372</v>
      </c>
    </row>
    <row r="1933" spans="1:1">
      <c r="A1933" s="88" t="s">
        <v>4373</v>
      </c>
    </row>
    <row r="1934" spans="1:1">
      <c r="A1934" s="93" t="s">
        <v>4374</v>
      </c>
    </row>
    <row r="1936" spans="1:1">
      <c r="A1936" s="88" t="s">
        <v>4375</v>
      </c>
    </row>
    <row r="1937" spans="1:1">
      <c r="A1937" s="88" t="s">
        <v>4376</v>
      </c>
    </row>
    <row r="1938" spans="1:1">
      <c r="A1938" s="88" t="s">
        <v>4129</v>
      </c>
    </row>
    <row r="1939" spans="1:1">
      <c r="A1939" s="88" t="s">
        <v>4377</v>
      </c>
    </row>
    <row r="1940" spans="1:1">
      <c r="A1940" s="88" t="s">
        <v>4378</v>
      </c>
    </row>
    <row r="1941" spans="1:1">
      <c r="A1941" s="93" t="s">
        <v>4379</v>
      </c>
    </row>
    <row r="1943" spans="1:1">
      <c r="A1943" s="88" t="s">
        <v>4380</v>
      </c>
    </row>
    <row r="1944" spans="1:1">
      <c r="A1944" s="88" t="s">
        <v>4142</v>
      </c>
    </row>
    <row r="1945" spans="1:1">
      <c r="A1945" s="88" t="s">
        <v>4381</v>
      </c>
    </row>
    <row r="1946" spans="1:1">
      <c r="A1946" s="88" t="s">
        <v>4382</v>
      </c>
    </row>
    <row r="1947" spans="1:1">
      <c r="A1947" s="88" t="s">
        <v>4383</v>
      </c>
    </row>
    <row r="1948" spans="1:1">
      <c r="A1948" s="93" t="s">
        <v>4384</v>
      </c>
    </row>
    <row r="1950" spans="1:1">
      <c r="A1950" s="88" t="s">
        <v>4390</v>
      </c>
    </row>
    <row r="1951" spans="1:1">
      <c r="A1951" s="88" t="s">
        <v>4142</v>
      </c>
    </row>
    <row r="1952" spans="1:1">
      <c r="A1952" s="88" t="s">
        <v>4391</v>
      </c>
    </row>
    <row r="1953" spans="1:1">
      <c r="A1953" s="88" t="s">
        <v>4392</v>
      </c>
    </row>
    <row r="1954" spans="1:1">
      <c r="A1954" s="88" t="s">
        <v>4393</v>
      </c>
    </row>
    <row r="1955" spans="1:1">
      <c r="A1955" s="93" t="s">
        <v>4394</v>
      </c>
    </row>
    <row r="1957" spans="1:1">
      <c r="A1957" s="88" t="s">
        <v>4395</v>
      </c>
    </row>
    <row r="1958" spans="1:1">
      <c r="A1958" s="88" t="s">
        <v>4142</v>
      </c>
    </row>
    <row r="1959" spans="1:1">
      <c r="A1959" s="88" t="s">
        <v>4129</v>
      </c>
    </row>
    <row r="1960" spans="1:1">
      <c r="A1960" s="88" t="s">
        <v>4396</v>
      </c>
    </row>
    <row r="1961" spans="1:1">
      <c r="A1961" s="88" t="s">
        <v>4397</v>
      </c>
    </row>
    <row r="1962" spans="1:1">
      <c r="A1962" s="93" t="s">
        <v>4398</v>
      </c>
    </row>
    <row r="1964" spans="1:1">
      <c r="A1964" s="88" t="s">
        <v>4399</v>
      </c>
    </row>
    <row r="1965" spans="1:1">
      <c r="A1965" s="88" t="s">
        <v>4142</v>
      </c>
    </row>
    <row r="1966" spans="1:1">
      <c r="A1966" s="88" t="s">
        <v>4400</v>
      </c>
    </row>
    <row r="1967" spans="1:1">
      <c r="A1967" s="88" t="s">
        <v>4401</v>
      </c>
    </row>
    <row r="1968" spans="1:1">
      <c r="A1968" s="88" t="s">
        <v>4402</v>
      </c>
    </row>
    <row r="1969" spans="1:1">
      <c r="A1969" s="93" t="s">
        <v>4403</v>
      </c>
    </row>
    <row r="1971" spans="1:1">
      <c r="A1971" s="88" t="s">
        <v>4404</v>
      </c>
    </row>
    <row r="1972" spans="1:1">
      <c r="A1972" s="88" t="s">
        <v>4142</v>
      </c>
    </row>
    <row r="1973" spans="1:1">
      <c r="A1973" s="88" t="s">
        <v>4175</v>
      </c>
    </row>
    <row r="1974" spans="1:1">
      <c r="A1974" s="88" t="s">
        <v>4405</v>
      </c>
    </row>
    <row r="1975" spans="1:1">
      <c r="A1975" s="93" t="s">
        <v>4406</v>
      </c>
    </row>
    <row r="1977" spans="1:1">
      <c r="A1977" s="88" t="s">
        <v>4407</v>
      </c>
    </row>
    <row r="1978" spans="1:1">
      <c r="A1978" s="88" t="s">
        <v>4093</v>
      </c>
    </row>
    <row r="1979" spans="1:1">
      <c r="A1979" s="88" t="s">
        <v>4408</v>
      </c>
    </row>
    <row r="1980" spans="1:1">
      <c r="A1980" s="88" t="s">
        <v>4095</v>
      </c>
    </row>
    <row r="1981" spans="1:1">
      <c r="A1981" s="93" t="s">
        <v>4409</v>
      </c>
    </row>
    <row r="1983" spans="1:1">
      <c r="A1983" s="88" t="s">
        <v>4410</v>
      </c>
    </row>
    <row r="1984" spans="1:1">
      <c r="A1984" s="88" t="s">
        <v>4411</v>
      </c>
    </row>
    <row r="1985" spans="1:1">
      <c r="A1985" s="88" t="s">
        <v>4412</v>
      </c>
    </row>
    <row r="1986" spans="1:1">
      <c r="A1986" s="88" t="s">
        <v>4413</v>
      </c>
    </row>
    <row r="1987" spans="1:1">
      <c r="A1987" s="88" t="s">
        <v>4414</v>
      </c>
    </row>
    <row r="1988" spans="1:1">
      <c r="A1988" s="93" t="s">
        <v>4415</v>
      </c>
    </row>
    <row r="1990" spans="1:1">
      <c r="A1990" s="88" t="s">
        <v>4416</v>
      </c>
    </row>
    <row r="1991" spans="1:1">
      <c r="A1991" s="88" t="s">
        <v>4411</v>
      </c>
    </row>
    <row r="1992" spans="1:1">
      <c r="A1992" s="88" t="s">
        <v>4417</v>
      </c>
    </row>
    <row r="1993" spans="1:1">
      <c r="A1993" s="88" t="s">
        <v>4418</v>
      </c>
    </row>
    <row r="1994" spans="1:1">
      <c r="A1994" s="88" t="s">
        <v>4419</v>
      </c>
    </row>
    <row r="1995" spans="1:1">
      <c r="A1995" s="93" t="s">
        <v>4420</v>
      </c>
    </row>
    <row r="1997" spans="1:1">
      <c r="A1997" s="88" t="s">
        <v>4421</v>
      </c>
    </row>
    <row r="1998" spans="1:1">
      <c r="A1998" s="88" t="s">
        <v>4300</v>
      </c>
    </row>
    <row r="1999" spans="1:1">
      <c r="A1999" s="88" t="s">
        <v>4422</v>
      </c>
    </row>
    <row r="2000" spans="1:1">
      <c r="A2000" s="88" t="s">
        <v>4423</v>
      </c>
    </row>
    <row r="2001" spans="1:1">
      <c r="A2001" s="93" t="s">
        <v>4424</v>
      </c>
    </row>
    <row r="2003" spans="1:1">
      <c r="A2003" s="88" t="s">
        <v>4425</v>
      </c>
    </row>
    <row r="2004" spans="1:1">
      <c r="A2004" s="88" t="s">
        <v>4426</v>
      </c>
    </row>
    <row r="2005" spans="1:1">
      <c r="A2005" s="88" t="s">
        <v>4427</v>
      </c>
    </row>
    <row r="2006" spans="1:1">
      <c r="A2006" s="88" t="s">
        <v>4428</v>
      </c>
    </row>
    <row r="2007" spans="1:1">
      <c r="A2007" s="88" t="s">
        <v>4429</v>
      </c>
    </row>
    <row r="2008" spans="1:1">
      <c r="A2008" s="93" t="s">
        <v>4430</v>
      </c>
    </row>
    <row r="2010" spans="1:1">
      <c r="A2010" s="88" t="s">
        <v>4431</v>
      </c>
    </row>
    <row r="2011" spans="1:1">
      <c r="A2011" s="88" t="s">
        <v>4251</v>
      </c>
    </row>
    <row r="2012" spans="1:1">
      <c r="A2012" s="88" t="s">
        <v>4432</v>
      </c>
    </row>
    <row r="2013" spans="1:1">
      <c r="A2013" s="88" t="s">
        <v>4181</v>
      </c>
    </row>
    <row r="2014" spans="1:1">
      <c r="A2014" s="88" t="s">
        <v>4253</v>
      </c>
    </row>
    <row r="2015" spans="1:1">
      <c r="A2015" s="88" t="s">
        <v>4433</v>
      </c>
    </row>
    <row r="2016" spans="1:1">
      <c r="A2016" s="88" t="s">
        <v>4434</v>
      </c>
    </row>
    <row r="2017" spans="1:1">
      <c r="A2017" s="93" t="s">
        <v>4435</v>
      </c>
    </row>
    <row r="2019" spans="1:1">
      <c r="A2019" s="88" t="s">
        <v>4179</v>
      </c>
    </row>
    <row r="2020" spans="1:1">
      <c r="A2020" s="88" t="s">
        <v>4180</v>
      </c>
    </row>
    <row r="2021" spans="1:1">
      <c r="A2021" s="88" t="s">
        <v>4181</v>
      </c>
    </row>
    <row r="2022" spans="1:1">
      <c r="A2022" s="88" t="s">
        <v>4436</v>
      </c>
    </row>
    <row r="2023" spans="1:1">
      <c r="A2023" s="88" t="s">
        <v>4183</v>
      </c>
    </row>
    <row r="2024" spans="1:1">
      <c r="A2024" s="93" t="s">
        <v>4184</v>
      </c>
    </row>
    <row r="2028" spans="1:1">
      <c r="A2028" s="88" t="s">
        <v>4442</v>
      </c>
    </row>
    <row r="2029" spans="1:1">
      <c r="A2029" s="88" t="s">
        <v>4443</v>
      </c>
    </row>
    <row r="2030" spans="1:1">
      <c r="A2030" s="88" t="s">
        <v>4444</v>
      </c>
    </row>
    <row r="2031" spans="1:1">
      <c r="A2031" s="88" t="s">
        <v>4445</v>
      </c>
    </row>
    <row r="2032" spans="1:1">
      <c r="A2032" s="88" t="s">
        <v>4446</v>
      </c>
    </row>
    <row r="2033" spans="1:1">
      <c r="A2033" s="88" t="s">
        <v>4694</v>
      </c>
    </row>
    <row r="2035" spans="1:1">
      <c r="A2035" s="88" t="s">
        <v>4448</v>
      </c>
    </row>
    <row r="2036" spans="1:1">
      <c r="A2036" s="88" t="s">
        <v>4449</v>
      </c>
    </row>
    <row r="2037" spans="1:1">
      <c r="A2037" s="88" t="s">
        <v>4450</v>
      </c>
    </row>
    <row r="2038" spans="1:1">
      <c r="A2038" s="88" t="s">
        <v>4451</v>
      </c>
    </row>
    <row r="2039" spans="1:1">
      <c r="A2039" s="88" t="s">
        <v>4452</v>
      </c>
    </row>
    <row r="2040" spans="1:1">
      <c r="A2040" s="88" t="s">
        <v>4453</v>
      </c>
    </row>
    <row r="2042" spans="1:1">
      <c r="A2042" s="88" t="s">
        <v>4454</v>
      </c>
    </row>
    <row r="2043" spans="1:1">
      <c r="A2043" s="88" t="s">
        <v>4449</v>
      </c>
    </row>
    <row r="2044" spans="1:1">
      <c r="A2044" s="88" t="s">
        <v>4455</v>
      </c>
    </row>
    <row r="2045" spans="1:1">
      <c r="A2045" s="88" t="s">
        <v>4456</v>
      </c>
    </row>
    <row r="2046" spans="1:1">
      <c r="A2046" s="88" t="s">
        <v>4457</v>
      </c>
    </row>
    <row r="2047" spans="1:1">
      <c r="A2047" s="88" t="s">
        <v>4458</v>
      </c>
    </row>
    <row r="2050" spans="1:1">
      <c r="A2050" s="88" t="s">
        <v>4459</v>
      </c>
    </row>
    <row r="2051" spans="1:1">
      <c r="A2051" s="88" t="s">
        <v>4460</v>
      </c>
    </row>
    <row r="2052" spans="1:1">
      <c r="A2052" s="88" t="s">
        <v>4181</v>
      </c>
    </row>
    <row r="2053" spans="1:1">
      <c r="A2053" s="88" t="s">
        <v>4461</v>
      </c>
    </row>
    <row r="2055" spans="1:1">
      <c r="A2055" s="88" t="s">
        <v>4462</v>
      </c>
    </row>
    <row r="2056" spans="1:1">
      <c r="A2056" s="88" t="s">
        <v>4411</v>
      </c>
    </row>
    <row r="2057" spans="1:1">
      <c r="A2057" s="88" t="s">
        <v>4094</v>
      </c>
    </row>
    <row r="2058" spans="1:1">
      <c r="A2058" s="88" t="s">
        <v>4428</v>
      </c>
    </row>
    <row r="2059" spans="1:1">
      <c r="A2059" s="88" t="s">
        <v>4463</v>
      </c>
    </row>
    <row r="2060" spans="1:1">
      <c r="A2060" s="88" t="s">
        <v>4464</v>
      </c>
    </row>
    <row r="2062" spans="1:1">
      <c r="A2062" s="88" t="s">
        <v>4465</v>
      </c>
    </row>
    <row r="2063" spans="1:1">
      <c r="A2063" s="88" t="s">
        <v>4466</v>
      </c>
    </row>
    <row r="2064" spans="1:1">
      <c r="A2064" s="88" t="s">
        <v>4094</v>
      </c>
    </row>
    <row r="2065" spans="1:1">
      <c r="A2065" s="88" t="s">
        <v>4467</v>
      </c>
    </row>
    <row r="2066" spans="1:1">
      <c r="A2066" s="88" t="s">
        <v>4468</v>
      </c>
    </row>
    <row r="2067" spans="1:1">
      <c r="A2067" s="88" t="s">
        <v>4469</v>
      </c>
    </row>
    <row r="2069" spans="1:1">
      <c r="A2069" s="88" t="s">
        <v>4470</v>
      </c>
    </row>
    <row r="2070" spans="1:1">
      <c r="A2070" s="88" t="s">
        <v>4471</v>
      </c>
    </row>
    <row r="2071" spans="1:1">
      <c r="A2071" s="88" t="s">
        <v>4472</v>
      </c>
    </row>
    <row r="2072" spans="1:1">
      <c r="A2072" s="88" t="s">
        <v>4473</v>
      </c>
    </row>
    <row r="2073" spans="1:1">
      <c r="A2073" s="88" t="s">
        <v>4474</v>
      </c>
    </row>
    <row r="2074" spans="1:1">
      <c r="A2074" s="88" t="s">
        <v>4475</v>
      </c>
    </row>
    <row r="2076" spans="1:1">
      <c r="A2076" s="88" t="s">
        <v>4476</v>
      </c>
    </row>
    <row r="2077" spans="1:1">
      <c r="A2077" s="88" t="s">
        <v>4477</v>
      </c>
    </row>
    <row r="2078" spans="1:1">
      <c r="A2078" s="88" t="s">
        <v>4478</v>
      </c>
    </row>
    <row r="2079" spans="1:1">
      <c r="A2079" s="88" t="s">
        <v>4479</v>
      </c>
    </row>
    <row r="2080" spans="1:1">
      <c r="A2080" s="88" t="s">
        <v>4480</v>
      </c>
    </row>
    <row r="2081" spans="1:1">
      <c r="A2081" s="88" t="s">
        <v>4481</v>
      </c>
    </row>
    <row r="2083" spans="1:1">
      <c r="A2083" s="88" t="s">
        <v>4482</v>
      </c>
    </row>
    <row r="2084" spans="1:1">
      <c r="A2084" s="88" t="s">
        <v>4483</v>
      </c>
    </row>
    <row r="2085" spans="1:1">
      <c r="A2085" s="88" t="s">
        <v>4231</v>
      </c>
    </row>
    <row r="2086" spans="1:1">
      <c r="A2086" s="88" t="s">
        <v>4484</v>
      </c>
    </row>
    <row r="2087" spans="1:1">
      <c r="A2087" s="88" t="s">
        <v>4485</v>
      </c>
    </row>
    <row r="2088" spans="1:1">
      <c r="A2088" s="88" t="s">
        <v>4486</v>
      </c>
    </row>
    <row r="2090" spans="1:1">
      <c r="A2090" s="88" t="s">
        <v>4487</v>
      </c>
    </row>
    <row r="2091" spans="1:1">
      <c r="A2091" s="88" t="s">
        <v>4488</v>
      </c>
    </row>
    <row r="2092" spans="1:1">
      <c r="A2092" s="88" t="s">
        <v>4175</v>
      </c>
    </row>
    <row r="2093" spans="1:1">
      <c r="A2093" s="88" t="s">
        <v>4489</v>
      </c>
    </row>
    <row r="2094" spans="1:1">
      <c r="A2094" s="88" t="s">
        <v>4490</v>
      </c>
    </row>
    <row r="2096" spans="1:1">
      <c r="A2096" s="88" t="s">
        <v>4491</v>
      </c>
    </row>
    <row r="2097" spans="1:1">
      <c r="A2097" s="88" t="s">
        <v>4492</v>
      </c>
    </row>
    <row r="2098" spans="1:1">
      <c r="A2098" s="88" t="s">
        <v>4094</v>
      </c>
    </row>
    <row r="2099" spans="1:1">
      <c r="A2099" s="88" t="s">
        <v>4493</v>
      </c>
    </row>
    <row r="2100" spans="1:1">
      <c r="A2100" s="88" t="s">
        <v>4494</v>
      </c>
    </row>
    <row r="2102" spans="1:1">
      <c r="A2102" s="88" t="s">
        <v>4495</v>
      </c>
    </row>
    <row r="2103" spans="1:1">
      <c r="A2103" s="88" t="s">
        <v>4496</v>
      </c>
    </row>
    <row r="2104" spans="1:1">
      <c r="A2104" s="88" t="s">
        <v>4497</v>
      </c>
    </row>
    <row r="2105" spans="1:1">
      <c r="A2105" s="88" t="s">
        <v>4498</v>
      </c>
    </row>
    <row r="2106" spans="1:1">
      <c r="A2106" s="88" t="s">
        <v>4499</v>
      </c>
    </row>
    <row r="2107" spans="1:1">
      <c r="A2107" s="88" t="s">
        <v>4500</v>
      </c>
    </row>
    <row r="2109" spans="1:1">
      <c r="A2109" s="88" t="s">
        <v>4501</v>
      </c>
    </row>
    <row r="2110" spans="1:1">
      <c r="A2110" s="88" t="s">
        <v>4443</v>
      </c>
    </row>
    <row r="2111" spans="1:1">
      <c r="A2111" s="88" t="s">
        <v>4175</v>
      </c>
    </row>
    <row r="2112" spans="1:1">
      <c r="A2112" s="88" t="s">
        <v>4502</v>
      </c>
    </row>
    <row r="2113" spans="1:1">
      <c r="A2113" s="88" t="s">
        <v>4503</v>
      </c>
    </row>
    <row r="2114" spans="1:1">
      <c r="A2114" s="88" t="s">
        <v>4504</v>
      </c>
    </row>
    <row r="2116" spans="1:1">
      <c r="A2116" s="88" t="s">
        <v>4505</v>
      </c>
    </row>
    <row r="2117" spans="1:1">
      <c r="A2117" s="88" t="s">
        <v>4443</v>
      </c>
    </row>
    <row r="2118" spans="1:1">
      <c r="A2118" s="88" t="s">
        <v>4181</v>
      </c>
    </row>
    <row r="2119" spans="1:1">
      <c r="A2119" s="88" t="s">
        <v>4506</v>
      </c>
    </row>
    <row r="2120" spans="1:1">
      <c r="A2120" s="88" t="s">
        <v>4507</v>
      </c>
    </row>
    <row r="2121" spans="1:1">
      <c r="A2121" s="88" t="s">
        <v>4508</v>
      </c>
    </row>
    <row r="2123" spans="1:1">
      <c r="A2123" s="88" t="s">
        <v>4509</v>
      </c>
    </row>
    <row r="2124" spans="1:1">
      <c r="A2124" s="88" t="s">
        <v>4196</v>
      </c>
    </row>
    <row r="2125" spans="1:1">
      <c r="A2125" s="88" t="s">
        <v>4341</v>
      </c>
    </row>
    <row r="2126" spans="1:1">
      <c r="A2126" s="88" t="s">
        <v>4510</v>
      </c>
    </row>
    <row r="2127" spans="1:1">
      <c r="A2127" s="88" t="s">
        <v>4511</v>
      </c>
    </row>
    <row r="2128" spans="1:1">
      <c r="A2128" s="88" t="s">
        <v>4512</v>
      </c>
    </row>
    <row r="2130" spans="1:1">
      <c r="A2130" s="88" t="s">
        <v>4513</v>
      </c>
    </row>
    <row r="2131" spans="1:1">
      <c r="A2131" s="88" t="s">
        <v>4514</v>
      </c>
    </row>
    <row r="2132" spans="1:1">
      <c r="A2132" s="88" t="s">
        <v>4181</v>
      </c>
    </row>
    <row r="2133" spans="1:1">
      <c r="A2133" s="88" t="s">
        <v>4515</v>
      </c>
    </row>
    <row r="2134" spans="1:1">
      <c r="A2134" s="88" t="s">
        <v>4516</v>
      </c>
    </row>
    <row r="2135" spans="1:1">
      <c r="A2135" s="88" t="s">
        <v>4517</v>
      </c>
    </row>
    <row r="2137" spans="1:1">
      <c r="A2137" s="88" t="s">
        <v>4518</v>
      </c>
    </row>
    <row r="2138" spans="1:1">
      <c r="A2138" s="88" t="s">
        <v>4519</v>
      </c>
    </row>
    <row r="2139" spans="1:1">
      <c r="A2139" s="88" t="s">
        <v>4371</v>
      </c>
    </row>
    <row r="2140" spans="1:1">
      <c r="A2140" s="88" t="s">
        <v>4520</v>
      </c>
    </row>
    <row r="2141" spans="1:1">
      <c r="A2141" s="88" t="s">
        <v>4521</v>
      </c>
    </row>
    <row r="2142" spans="1:1">
      <c r="A2142" s="88" t="s">
        <v>4522</v>
      </c>
    </row>
    <row r="2144" spans="1:1">
      <c r="A2144" s="88" t="s">
        <v>4523</v>
      </c>
    </row>
    <row r="2145" spans="1:1">
      <c r="A2145" s="88" t="s">
        <v>4477</v>
      </c>
    </row>
    <row r="2146" spans="1:1">
      <c r="A2146" s="88" t="s">
        <v>4524</v>
      </c>
    </row>
    <row r="2147" spans="1:1">
      <c r="A2147" s="88" t="s">
        <v>4525</v>
      </c>
    </row>
    <row r="2148" spans="1:1">
      <c r="A2148" s="88" t="s">
        <v>4526</v>
      </c>
    </row>
    <row r="2149" spans="1:1">
      <c r="A2149" s="88" t="s">
        <v>4527</v>
      </c>
    </row>
    <row r="2151" spans="1:1">
      <c r="A2151" s="88" t="s">
        <v>4528</v>
      </c>
    </row>
    <row r="2152" spans="1:1">
      <c r="A2152" s="88" t="s">
        <v>4092</v>
      </c>
    </row>
    <row r="2153" spans="1:1">
      <c r="A2153" s="88" t="s">
        <v>4093</v>
      </c>
    </row>
    <row r="2154" spans="1:1">
      <c r="A2154" s="88" t="s">
        <v>4408</v>
      </c>
    </row>
    <row r="2155" spans="1:1">
      <c r="A2155" s="88" t="s">
        <v>4095</v>
      </c>
    </row>
    <row r="2156" spans="1:1">
      <c r="A2156" s="88" t="s">
        <v>4529</v>
      </c>
    </row>
    <row r="2157" spans="1:1">
      <c r="A2157" s="88" t="s">
        <v>4530</v>
      </c>
    </row>
    <row r="2159" spans="1:1">
      <c r="A2159" s="88" t="s">
        <v>4531</v>
      </c>
    </row>
    <row r="2160" spans="1:1">
      <c r="A2160" s="88" t="s">
        <v>4532</v>
      </c>
    </row>
    <row r="2161" spans="1:1">
      <c r="A2161" s="88" t="s">
        <v>4533</v>
      </c>
    </row>
    <row r="2162" spans="1:1">
      <c r="A2162" s="88" t="s">
        <v>4534</v>
      </c>
    </row>
    <row r="2163" spans="1:1">
      <c r="A2163" s="88" t="s">
        <v>4535</v>
      </c>
    </row>
    <row r="2164" spans="1:1">
      <c r="A2164" s="88" t="s">
        <v>4536</v>
      </c>
    </row>
    <row r="2166" spans="1:1">
      <c r="A2166" s="88" t="s">
        <v>4537</v>
      </c>
    </row>
    <row r="2167" spans="1:1">
      <c r="A2167" s="88" t="s">
        <v>4538</v>
      </c>
    </row>
    <row r="2168" spans="1:1">
      <c r="A2168" s="88" t="s">
        <v>4539</v>
      </c>
    </row>
    <row r="2169" spans="1:1">
      <c r="A2169" s="88" t="s">
        <v>4540</v>
      </c>
    </row>
    <row r="2170" spans="1:1">
      <c r="A2170" s="88" t="s">
        <v>4541</v>
      </c>
    </row>
    <row r="2171" spans="1:1">
      <c r="A2171" s="88" t="s">
        <v>4542</v>
      </c>
    </row>
    <row r="2173" spans="1:1">
      <c r="A2173" s="88" t="s">
        <v>4543</v>
      </c>
    </row>
    <row r="2174" spans="1:1">
      <c r="A2174" s="88" t="s">
        <v>4355</v>
      </c>
    </row>
    <row r="2175" spans="1:1">
      <c r="A2175" s="88" t="s">
        <v>4544</v>
      </c>
    </row>
    <row r="2176" spans="1:1">
      <c r="A2176" s="88" t="s">
        <v>4545</v>
      </c>
    </row>
    <row r="2177" spans="1:1">
      <c r="A2177" s="88" t="s">
        <v>4546</v>
      </c>
    </row>
    <row r="2178" spans="1:1">
      <c r="A2178" s="88" t="s">
        <v>4547</v>
      </c>
    </row>
    <row r="2180" spans="1:1">
      <c r="A2180" s="88" t="s">
        <v>4548</v>
      </c>
    </row>
    <row r="2181" spans="1:1">
      <c r="A2181" s="88" t="s">
        <v>4549</v>
      </c>
    </row>
    <row r="2182" spans="1:1">
      <c r="A2182" s="88" t="s">
        <v>4231</v>
      </c>
    </row>
    <row r="2183" spans="1:1">
      <c r="A2183" s="88" t="s">
        <v>4550</v>
      </c>
    </row>
    <row r="2184" spans="1:1">
      <c r="A2184" s="88" t="s">
        <v>4551</v>
      </c>
    </row>
    <row r="2186" spans="1:1">
      <c r="A2186" s="88" t="s">
        <v>4552</v>
      </c>
    </row>
    <row r="2187" spans="1:1">
      <c r="A2187" s="88" t="s">
        <v>4553</v>
      </c>
    </row>
    <row r="2188" spans="1:1">
      <c r="A2188" s="88" t="s">
        <v>4101</v>
      </c>
    </row>
    <row r="2189" spans="1:1">
      <c r="A2189" s="88" t="s">
        <v>4554</v>
      </c>
    </row>
    <row r="2190" spans="1:1">
      <c r="A2190" s="88" t="s">
        <v>4555</v>
      </c>
    </row>
    <row r="2191" spans="1:1">
      <c r="A2191" s="88" t="s">
        <v>4556</v>
      </c>
    </row>
    <row r="2193" spans="1:1">
      <c r="A2193" s="88" t="s">
        <v>4290</v>
      </c>
    </row>
    <row r="2194" spans="1:1">
      <c r="A2194" s="88" t="s">
        <v>4557</v>
      </c>
    </row>
    <row r="2195" spans="1:1">
      <c r="A2195" s="88" t="s">
        <v>4094</v>
      </c>
    </row>
    <row r="2196" spans="1:1">
      <c r="A2196" s="88" t="s">
        <v>4558</v>
      </c>
    </row>
    <row r="2197" spans="1:1">
      <c r="A2197" s="88" t="s">
        <v>4293</v>
      </c>
    </row>
    <row r="2198" spans="1:1">
      <c r="A2198" s="88" t="s">
        <v>4294</v>
      </c>
    </row>
    <row r="2200" spans="1:1">
      <c r="A2200" s="88" t="s">
        <v>4559</v>
      </c>
    </row>
    <row r="2201" spans="1:1">
      <c r="A2201" s="88" t="s">
        <v>4099</v>
      </c>
    </row>
    <row r="2202" spans="1:1">
      <c r="A2202" s="88" t="s">
        <v>4560</v>
      </c>
    </row>
    <row r="2203" spans="1:1">
      <c r="A2203" s="88" t="s">
        <v>4561</v>
      </c>
    </row>
    <row r="2204" spans="1:1">
      <c r="A2204" s="88" t="s">
        <v>4562</v>
      </c>
    </row>
    <row r="2205" spans="1:1">
      <c r="A2205" s="88" t="s">
        <v>4563</v>
      </c>
    </row>
    <row r="2207" spans="1:1">
      <c r="A2207" s="88" t="s">
        <v>4564</v>
      </c>
    </row>
    <row r="2208" spans="1:1">
      <c r="A2208" s="88" t="s">
        <v>4092</v>
      </c>
    </row>
    <row r="2209" spans="1:1">
      <c r="A2209" s="88" t="s">
        <v>4565</v>
      </c>
    </row>
    <row r="2210" spans="1:1">
      <c r="A2210" s="88" t="s">
        <v>4566</v>
      </c>
    </row>
    <row r="2211" spans="1:1">
      <c r="A2211" s="88" t="s">
        <v>4567</v>
      </c>
    </row>
    <row r="2212" spans="1:1">
      <c r="A2212" s="88" t="s">
        <v>4568</v>
      </c>
    </row>
    <row r="2213" spans="1:1">
      <c r="A2213" s="88" t="s">
        <v>4569</v>
      </c>
    </row>
    <row r="2215" spans="1:1">
      <c r="A2215" s="88" t="s">
        <v>4570</v>
      </c>
    </row>
    <row r="2216" spans="1:1">
      <c r="A2216" s="88" t="s">
        <v>4092</v>
      </c>
    </row>
    <row r="2217" spans="1:1">
      <c r="A2217" s="88" t="s">
        <v>4571</v>
      </c>
    </row>
    <row r="2218" spans="1:1">
      <c r="A2218" s="88" t="s">
        <v>4572</v>
      </c>
    </row>
    <row r="2219" spans="1:1">
      <c r="A2219" s="88" t="s">
        <v>4573</v>
      </c>
    </row>
    <row r="2220" spans="1:1">
      <c r="A2220" s="88" t="s">
        <v>4574</v>
      </c>
    </row>
    <row r="2221" spans="1:1">
      <c r="A2221" s="88" t="s">
        <v>4575</v>
      </c>
    </row>
    <row r="2223" spans="1:1">
      <c r="A2223" s="88" t="s">
        <v>4576</v>
      </c>
    </row>
    <row r="2224" spans="1:1">
      <c r="A2224" s="88" t="s">
        <v>4092</v>
      </c>
    </row>
    <row r="2225" spans="1:1">
      <c r="A2225" s="88" t="s">
        <v>4577</v>
      </c>
    </row>
    <row r="2226" spans="1:1">
      <c r="A2226" s="88" t="s">
        <v>4578</v>
      </c>
    </row>
    <row r="2227" spans="1:1">
      <c r="A2227" s="88" t="s">
        <v>4579</v>
      </c>
    </row>
    <row r="2228" spans="1:1">
      <c r="A2228" s="88" t="s">
        <v>4580</v>
      </c>
    </row>
    <row r="2230" spans="1:1">
      <c r="A2230" s="88" t="s">
        <v>4581</v>
      </c>
    </row>
    <row r="2231" spans="1:1">
      <c r="A2231" s="88" t="s">
        <v>4092</v>
      </c>
    </row>
    <row r="2232" spans="1:1">
      <c r="A2232" s="88" t="s">
        <v>4582</v>
      </c>
    </row>
    <row r="2233" spans="1:1">
      <c r="A2233" s="88" t="s">
        <v>4583</v>
      </c>
    </row>
    <row r="2234" spans="1:1">
      <c r="A2234" s="88" t="s">
        <v>4584</v>
      </c>
    </row>
    <row r="2235" spans="1:1">
      <c r="A2235" s="88" t="s">
        <v>4585</v>
      </c>
    </row>
    <row r="2236" spans="1:1">
      <c r="A2236" s="88" t="s">
        <v>4586</v>
      </c>
    </row>
    <row r="2238" spans="1:1">
      <c r="A2238" s="88" t="s">
        <v>4587</v>
      </c>
    </row>
    <row r="2239" spans="1:1">
      <c r="A2239" s="88" t="s">
        <v>4092</v>
      </c>
    </row>
    <row r="2240" spans="1:1">
      <c r="A2240" s="88" t="s">
        <v>4588</v>
      </c>
    </row>
    <row r="2241" spans="1:1">
      <c r="A2241" s="88" t="s">
        <v>4589</v>
      </c>
    </row>
    <row r="2242" spans="1:1">
      <c r="A2242" s="88" t="s">
        <v>4590</v>
      </c>
    </row>
    <row r="2243" spans="1:1">
      <c r="A2243" s="88" t="s">
        <v>4591</v>
      </c>
    </row>
    <row r="2244" spans="1:1">
      <c r="A2244" s="88" t="s">
        <v>4592</v>
      </c>
    </row>
    <row r="2246" spans="1:1">
      <c r="A2246" s="88" t="s">
        <v>4173</v>
      </c>
    </row>
    <row r="2247" spans="1:1">
      <c r="A2247" s="88" t="s">
        <v>4092</v>
      </c>
    </row>
    <row r="2248" spans="1:1">
      <c r="A2248" s="88" t="s">
        <v>4593</v>
      </c>
    </row>
    <row r="2249" spans="1:1">
      <c r="A2249" s="88" t="s">
        <v>4175</v>
      </c>
    </row>
    <row r="2250" spans="1:1">
      <c r="A2250" s="88" t="s">
        <v>4594</v>
      </c>
    </row>
    <row r="2251" spans="1:1">
      <c r="A2251" s="88" t="s">
        <v>4177</v>
      </c>
    </row>
    <row r="2252" spans="1:1">
      <c r="A2252" s="88" t="s">
        <v>4178</v>
      </c>
    </row>
    <row r="2254" spans="1:1">
      <c r="A2254" s="88" t="s">
        <v>4595</v>
      </c>
    </row>
    <row r="2255" spans="1:1">
      <c r="A2255" s="88" t="s">
        <v>4092</v>
      </c>
    </row>
    <row r="2256" spans="1:1">
      <c r="A2256" s="88" t="s">
        <v>4596</v>
      </c>
    </row>
    <row r="2257" spans="1:1">
      <c r="A2257" s="88" t="s">
        <v>4129</v>
      </c>
    </row>
    <row r="2258" spans="1:1">
      <c r="A2258" s="88" t="s">
        <v>4597</v>
      </c>
    </row>
    <row r="2259" spans="1:1">
      <c r="A2259" s="88" t="s">
        <v>4598</v>
      </c>
    </row>
    <row r="2260" spans="1:1">
      <c r="A2260" s="88" t="s">
        <v>4599</v>
      </c>
    </row>
    <row r="2262" spans="1:1">
      <c r="A2262" s="88" t="s">
        <v>4600</v>
      </c>
    </row>
    <row r="2263" spans="1:1">
      <c r="A2263" s="88" t="s">
        <v>4092</v>
      </c>
    </row>
    <row r="2264" spans="1:1">
      <c r="A2264" s="88" t="s">
        <v>4601</v>
      </c>
    </row>
    <row r="2265" spans="1:1">
      <c r="A2265" s="88" t="s">
        <v>4602</v>
      </c>
    </row>
    <row r="2266" spans="1:1">
      <c r="A2266" s="88" t="s">
        <v>4603</v>
      </c>
    </row>
    <row r="2267" spans="1:1">
      <c r="A2267" s="88" t="s">
        <v>4604</v>
      </c>
    </row>
    <row r="2269" spans="1:1">
      <c r="A2269" s="88" t="s">
        <v>4605</v>
      </c>
    </row>
    <row r="2270" spans="1:1">
      <c r="A2270" s="88" t="s">
        <v>4092</v>
      </c>
    </row>
    <row r="2271" spans="1:1">
      <c r="A2271" s="88" t="s">
        <v>4606</v>
      </c>
    </row>
    <row r="2272" spans="1:1">
      <c r="A2272" s="88" t="s">
        <v>4175</v>
      </c>
    </row>
    <row r="2273" spans="1:1">
      <c r="A2273" s="88" t="s">
        <v>4607</v>
      </c>
    </row>
    <row r="2274" spans="1:1">
      <c r="A2274" s="88" t="s">
        <v>4608</v>
      </c>
    </row>
    <row r="2275" spans="1:1">
      <c r="A2275" s="88" t="s">
        <v>4609</v>
      </c>
    </row>
    <row r="2277" spans="1:1">
      <c r="A2277" s="88" t="s">
        <v>4610</v>
      </c>
    </row>
    <row r="2278" spans="1:1">
      <c r="A2278" s="88" t="s">
        <v>4092</v>
      </c>
    </row>
    <row r="2279" spans="1:1">
      <c r="A2279" s="88" t="s">
        <v>4611</v>
      </c>
    </row>
    <row r="2280" spans="1:1">
      <c r="A2280" s="88" t="s">
        <v>4478</v>
      </c>
    </row>
    <row r="2281" spans="1:1">
      <c r="A2281" s="88" t="s">
        <v>4612</v>
      </c>
    </row>
    <row r="2282" spans="1:1">
      <c r="A2282" s="88" t="s">
        <v>4613</v>
      </c>
    </row>
    <row r="2283" spans="1:1">
      <c r="A2283" s="88" t="s">
        <v>4614</v>
      </c>
    </row>
    <row r="2285" spans="1:1">
      <c r="A2285" s="88" t="s">
        <v>4615</v>
      </c>
    </row>
    <row r="2286" spans="1:1">
      <c r="A2286" s="88" t="s">
        <v>4092</v>
      </c>
    </row>
    <row r="2287" spans="1:1">
      <c r="A2287" s="88" t="s">
        <v>4611</v>
      </c>
    </row>
    <row r="2288" spans="1:1">
      <c r="A2288" s="88" t="s">
        <v>4478</v>
      </c>
    </row>
    <row r="2289" spans="1:1">
      <c r="A2289" s="88" t="s">
        <v>4612</v>
      </c>
    </row>
    <row r="2290" spans="1:1">
      <c r="A2290" s="88" t="s">
        <v>4616</v>
      </c>
    </row>
    <row r="2291" spans="1:1">
      <c r="A2291" s="88" t="s">
        <v>4617</v>
      </c>
    </row>
    <row r="2293" spans="1:1">
      <c r="A2293" s="88" t="s">
        <v>4618</v>
      </c>
    </row>
    <row r="2294" spans="1:1">
      <c r="A2294" s="88" t="s">
        <v>4092</v>
      </c>
    </row>
    <row r="2295" spans="1:1">
      <c r="A2295" s="88" t="s">
        <v>4619</v>
      </c>
    </row>
    <row r="2296" spans="1:1">
      <c r="A2296" s="88" t="s">
        <v>4620</v>
      </c>
    </row>
    <row r="2297" spans="1:1">
      <c r="A2297" s="88" t="s">
        <v>4621</v>
      </c>
    </row>
    <row r="2298" spans="1:1">
      <c r="A2298" s="88" t="s">
        <v>4622</v>
      </c>
    </row>
    <row r="2300" spans="1:1">
      <c r="A2300" s="88" t="s">
        <v>4623</v>
      </c>
    </row>
    <row r="2301" spans="1:1">
      <c r="A2301" s="88" t="s">
        <v>4092</v>
      </c>
    </row>
    <row r="2302" spans="1:1">
      <c r="A2302" s="88" t="s">
        <v>4624</v>
      </c>
    </row>
    <row r="2303" spans="1:1">
      <c r="A2303" s="88" t="s">
        <v>4094</v>
      </c>
    </row>
    <row r="2304" spans="1:1">
      <c r="A2304" s="88" t="s">
        <v>4625</v>
      </c>
    </row>
    <row r="2305" spans="1:1">
      <c r="A2305" s="88" t="s">
        <v>4626</v>
      </c>
    </row>
    <row r="2306" spans="1:1">
      <c r="A2306" s="88" t="s">
        <v>4627</v>
      </c>
    </row>
    <row r="2308" spans="1:1">
      <c r="A2308" s="88" t="s">
        <v>4628</v>
      </c>
    </row>
    <row r="2309" spans="1:1">
      <c r="A2309" s="88" t="s">
        <v>4092</v>
      </c>
    </row>
    <row r="2310" spans="1:1">
      <c r="A2310" s="88" t="s">
        <v>4629</v>
      </c>
    </row>
    <row r="2311" spans="1:1">
      <c r="A2311" s="88" t="s">
        <v>4094</v>
      </c>
    </row>
    <row r="2312" spans="1:1">
      <c r="A2312" s="88" t="s">
        <v>4630</v>
      </c>
    </row>
    <row r="2313" spans="1:1">
      <c r="A2313" s="88" t="s">
        <v>4631</v>
      </c>
    </row>
    <row r="2314" spans="1:1">
      <c r="A2314" s="88" t="s">
        <v>4632</v>
      </c>
    </row>
    <row r="2316" spans="1:1">
      <c r="A2316" s="88" t="s">
        <v>4633</v>
      </c>
    </row>
    <row r="2317" spans="1:1">
      <c r="A2317" s="88" t="s">
        <v>4092</v>
      </c>
    </row>
    <row r="2318" spans="1:1">
      <c r="A2318" s="88" t="s">
        <v>4634</v>
      </c>
    </row>
    <row r="2319" spans="1:1">
      <c r="A2319" s="88" t="s">
        <v>4175</v>
      </c>
    </row>
    <row r="2320" spans="1:1">
      <c r="A2320" s="88" t="s">
        <v>4635</v>
      </c>
    </row>
    <row r="2321" spans="1:1">
      <c r="A2321" s="88" t="s">
        <v>4636</v>
      </c>
    </row>
    <row r="2322" spans="1:1">
      <c r="A2322" s="88" t="s">
        <v>4637</v>
      </c>
    </row>
    <row r="2324" spans="1:1">
      <c r="A2324" s="88" t="s">
        <v>4638</v>
      </c>
    </row>
    <row r="2325" spans="1:1">
      <c r="A2325" s="88" t="s">
        <v>4092</v>
      </c>
    </row>
    <row r="2326" spans="1:1">
      <c r="A2326" s="88" t="s">
        <v>4639</v>
      </c>
    </row>
    <row r="2327" spans="1:1">
      <c r="A2327" s="88" t="s">
        <v>4640</v>
      </c>
    </row>
    <row r="2328" spans="1:1">
      <c r="A2328" s="88" t="s">
        <v>4641</v>
      </c>
    </row>
    <row r="2329" spans="1:1">
      <c r="A2329" s="88" t="s">
        <v>4642</v>
      </c>
    </row>
    <row r="2330" spans="1:1">
      <c r="A2330" s="88" t="s">
        <v>4643</v>
      </c>
    </row>
    <row r="2332" spans="1:1">
      <c r="A2332" s="88" t="s">
        <v>4644</v>
      </c>
    </row>
    <row r="2333" spans="1:1">
      <c r="A2333" s="88" t="s">
        <v>4092</v>
      </c>
    </row>
    <row r="2334" spans="1:1">
      <c r="A2334" s="88" t="s">
        <v>4123</v>
      </c>
    </row>
    <row r="2335" spans="1:1">
      <c r="A2335" s="88" t="s">
        <v>4124</v>
      </c>
    </row>
    <row r="2336" spans="1:1">
      <c r="A2336" s="88" t="s">
        <v>4645</v>
      </c>
    </row>
    <row r="2337" spans="1:1">
      <c r="A2337" s="88" t="s">
        <v>4646</v>
      </c>
    </row>
    <row r="2338" spans="1:1">
      <c r="A2338" s="88" t="s">
        <v>4647</v>
      </c>
    </row>
    <row r="2340" spans="1:1">
      <c r="A2340" s="88" t="s">
        <v>4648</v>
      </c>
    </row>
    <row r="2341" spans="1:1">
      <c r="A2341" s="88" t="s">
        <v>4092</v>
      </c>
    </row>
    <row r="2342" spans="1:1">
      <c r="A2342" s="88" t="s">
        <v>4649</v>
      </c>
    </row>
    <row r="2343" spans="1:1">
      <c r="A2343" s="88" t="s">
        <v>4175</v>
      </c>
    </row>
    <row r="2344" spans="1:1">
      <c r="A2344" s="88" t="s">
        <v>4650</v>
      </c>
    </row>
    <row r="2345" spans="1:1">
      <c r="A2345" s="88" t="s">
        <v>4651</v>
      </c>
    </row>
    <row r="2346" spans="1:1">
      <c r="A2346" s="88" t="s">
        <v>4652</v>
      </c>
    </row>
    <row r="2348" spans="1:1">
      <c r="A2348" s="88" t="s">
        <v>4653</v>
      </c>
    </row>
    <row r="2349" spans="1:1">
      <c r="A2349" s="88" t="s">
        <v>4092</v>
      </c>
    </row>
    <row r="2350" spans="1:1">
      <c r="A2350" s="88" t="s">
        <v>4654</v>
      </c>
    </row>
    <row r="2351" spans="1:1">
      <c r="A2351" s="88" t="s">
        <v>4655</v>
      </c>
    </row>
    <row r="2352" spans="1:1">
      <c r="A2352" s="88" t="s">
        <v>4656</v>
      </c>
    </row>
    <row r="2353" spans="1:1">
      <c r="A2353" s="88" t="s">
        <v>4657</v>
      </c>
    </row>
    <row r="2354" spans="1:1">
      <c r="A2354" s="88" t="s">
        <v>4658</v>
      </c>
    </row>
    <row r="2356" spans="1:1">
      <c r="A2356" s="88" t="s">
        <v>4659</v>
      </c>
    </row>
    <row r="2357" spans="1:1">
      <c r="A2357" s="88" t="s">
        <v>4092</v>
      </c>
    </row>
    <row r="2358" spans="1:1">
      <c r="A2358" s="88" t="s">
        <v>4660</v>
      </c>
    </row>
    <row r="2359" spans="1:1">
      <c r="A2359" s="88" t="s">
        <v>4181</v>
      </c>
    </row>
    <row r="2360" spans="1:1">
      <c r="A2360" s="88" t="s">
        <v>4661</v>
      </c>
    </row>
    <row r="2361" spans="1:1">
      <c r="A2361" s="88" t="s">
        <v>4662</v>
      </c>
    </row>
    <row r="2363" spans="1:1">
      <c r="A2363" s="88" t="s">
        <v>4663</v>
      </c>
    </row>
    <row r="2364" spans="1:1">
      <c r="A2364" s="88" t="s">
        <v>4092</v>
      </c>
    </row>
    <row r="2365" spans="1:1">
      <c r="A2365" s="88" t="s">
        <v>4664</v>
      </c>
    </row>
    <row r="2366" spans="1:1">
      <c r="A2366" s="88" t="s">
        <v>4371</v>
      </c>
    </row>
    <row r="2367" spans="1:1">
      <c r="A2367" s="88" t="s">
        <v>4665</v>
      </c>
    </row>
    <row r="2368" spans="1:1">
      <c r="A2368" s="88" t="s">
        <v>4666</v>
      </c>
    </row>
    <row r="2370" spans="1:1">
      <c r="A2370" s="88" t="s">
        <v>4667</v>
      </c>
    </row>
    <row r="2371" spans="1:1">
      <c r="A2371" s="88" t="s">
        <v>4092</v>
      </c>
    </row>
    <row r="2372" spans="1:1">
      <c r="A2372" s="88" t="s">
        <v>4668</v>
      </c>
    </row>
    <row r="2373" spans="1:1">
      <c r="A2373" s="88" t="s">
        <v>4371</v>
      </c>
    </row>
    <row r="2374" spans="1:1">
      <c r="A2374" s="88" t="s">
        <v>4669</v>
      </c>
    </row>
    <row r="2375" spans="1:1">
      <c r="A2375" s="88" t="s">
        <v>4670</v>
      </c>
    </row>
    <row r="2376" spans="1:1">
      <c r="A2376" s="88" t="s">
        <v>4671</v>
      </c>
    </row>
    <row r="2378" spans="1:1">
      <c r="A2378" s="88" t="s">
        <v>4672</v>
      </c>
    </row>
    <row r="2379" spans="1:1">
      <c r="A2379" s="88" t="s">
        <v>4092</v>
      </c>
    </row>
    <row r="2380" spans="1:1">
      <c r="A2380" s="88" t="s">
        <v>4673</v>
      </c>
    </row>
    <row r="2381" spans="1:1">
      <c r="A2381" s="88" t="s">
        <v>4674</v>
      </c>
    </row>
    <row r="2382" spans="1:1">
      <c r="A2382" s="88" t="s">
        <v>4675</v>
      </c>
    </row>
    <row r="2384" spans="1:1">
      <c r="A2384" s="88" t="s">
        <v>4676</v>
      </c>
    </row>
    <row r="2385" spans="1:1">
      <c r="A2385" s="88" t="s">
        <v>4099</v>
      </c>
    </row>
    <row r="2386" spans="1:1">
      <c r="A2386" s="88" t="s">
        <v>4673</v>
      </c>
    </row>
    <row r="2387" spans="1:1">
      <c r="A2387" s="88" t="s">
        <v>4129</v>
      </c>
    </row>
    <row r="2388" spans="1:1">
      <c r="A2388" s="88" t="s">
        <v>4677</v>
      </c>
    </row>
    <row r="2389" spans="1:1">
      <c r="A2389" s="88" t="s">
        <v>4678</v>
      </c>
    </row>
    <row r="2390" spans="1:1">
      <c r="A2390" s="88" t="s">
        <v>4679</v>
      </c>
    </row>
    <row r="2392" spans="1:1">
      <c r="A2392" s="88" t="s">
        <v>4169</v>
      </c>
    </row>
    <row r="2393" spans="1:1">
      <c r="A2393" s="88" t="s">
        <v>4092</v>
      </c>
    </row>
    <row r="2394" spans="1:1">
      <c r="A2394" s="88" t="s">
        <v>4170</v>
      </c>
    </row>
    <row r="2395" spans="1:1">
      <c r="A2395" s="88" t="s">
        <v>4094</v>
      </c>
    </row>
    <row r="2396" spans="1:1">
      <c r="A2396" s="88" t="s">
        <v>4171</v>
      </c>
    </row>
    <row r="2397" spans="1:1">
      <c r="A2397" s="88" t="s">
        <v>4172</v>
      </c>
    </row>
    <row r="2399" spans="1:1">
      <c r="A2399" s="88" t="s">
        <v>4110</v>
      </c>
    </row>
    <row r="2400" spans="1:1">
      <c r="A2400" s="88" t="s">
        <v>4092</v>
      </c>
    </row>
    <row r="2401" spans="1:1">
      <c r="A2401" s="88" t="s">
        <v>4111</v>
      </c>
    </row>
    <row r="2402" spans="1:1">
      <c r="A2402" s="88" t="s">
        <v>4112</v>
      </c>
    </row>
    <row r="2403" spans="1:1">
      <c r="A2403" s="88" t="s">
        <v>4113</v>
      </c>
    </row>
    <row r="2404" spans="1:1">
      <c r="A2404" s="88" t="s">
        <v>4114</v>
      </c>
    </row>
    <row r="2405" spans="1:1">
      <c r="A2405" s="88" t="s">
        <v>4115</v>
      </c>
    </row>
    <row r="2407" spans="1:1">
      <c r="A2407" s="88" t="s">
        <v>4158</v>
      </c>
    </row>
    <row r="2408" spans="1:1">
      <c r="A2408" s="88" t="s">
        <v>4099</v>
      </c>
    </row>
    <row r="2409" spans="1:1">
      <c r="A2409" s="88" t="s">
        <v>4159</v>
      </c>
    </row>
    <row r="2410" spans="1:1">
      <c r="A2410" s="88" t="s">
        <v>4160</v>
      </c>
    </row>
    <row r="2411" spans="1:1">
      <c r="A2411" s="88" t="s">
        <v>4161</v>
      </c>
    </row>
    <row r="2412" spans="1:1">
      <c r="A2412" s="88" t="s">
        <v>4162</v>
      </c>
    </row>
    <row r="2413" spans="1:1">
      <c r="A2413" s="88" t="s">
        <v>4163</v>
      </c>
    </row>
    <row r="2415" spans="1:1">
      <c r="A2415" s="88" t="s">
        <v>4105</v>
      </c>
    </row>
    <row r="2416" spans="1:1">
      <c r="A2416" s="88" t="s">
        <v>4092</v>
      </c>
    </row>
    <row r="2417" spans="1:1">
      <c r="A2417" s="88" t="s">
        <v>4106</v>
      </c>
    </row>
    <row r="2418" spans="1:1">
      <c r="A2418" s="88" t="s">
        <v>4094</v>
      </c>
    </row>
    <row r="2419" spans="1:1">
      <c r="A2419" s="88" t="s">
        <v>4107</v>
      </c>
    </row>
    <row r="2420" spans="1:1">
      <c r="A2420" s="88" t="s">
        <v>4108</v>
      </c>
    </row>
    <row r="2421" spans="1:1">
      <c r="A2421" s="88" t="s">
        <v>4109</v>
      </c>
    </row>
    <row r="2423" spans="1:1">
      <c r="A2423" s="88"/>
    </row>
  </sheetData>
  <phoneticPr fontId="11" type="noConversion"/>
  <hyperlinks>
    <hyperlink ref="A27" r:id="rId1" display="mailto:intel.capital.proposals@intel.com" xr:uid="{30C4F2ED-1DE6-40AC-9212-B1AF604E4404}"/>
    <hyperlink ref="A73" r:id="rId2" display="http://www.idgvc.com/" xr:uid="{6FE49110-8A50-4187-BD84-6EF16CF9EA6E}"/>
    <hyperlink ref="A93" r:id="rId3" display="http://www.sbaif.com/" xr:uid="{B0679976-C751-4F7A-81AB-086B54EAAC8F}"/>
    <hyperlink ref="A105" r:id="rId4" display="http://www.cdhfund.com/" xr:uid="{A6C5CFDB-8045-48A2-842E-4461371663EC}"/>
    <hyperlink ref="A117" r:id="rId5" display="http://www.dragonvestpartners.com.cn/" xr:uid="{35CB3B03-18BA-492D-9B4B-5FD14232B9A2}"/>
    <hyperlink ref="A173" r:id="rId6" display="mailto:kathyxu@capitaltoday.com----" xr:uid="{4F9901A6-77E3-41D2-A8A3-445F78FC3886}"/>
    <hyperlink ref="A1002" r:id="rId7" display="mailto:liulin@handia.com.cn" xr:uid="{D5F3A601-F93A-4390-AE98-AE0DAE4FDC2D}"/>
    <hyperlink ref="A1008" r:id="rId8" display="mailto:re.liang@wiharper.com.cn" xr:uid="{EB23AFAA-5795-4FA3-A7C9-E1A9615C86EA}"/>
    <hyperlink ref="A1014" r:id="rId9" display="mailto:marc.wang@wiharper.com.cn" xr:uid="{B24B7E03-675A-4B9B-8431-750C6B14B32A}"/>
    <hyperlink ref="A1020" r:id="rId10" display="mailto:ping.wei@wiharper.com.cn" xr:uid="{3BA820A5-8E36-4181-A3D9-1115C44203E0}"/>
    <hyperlink ref="A1027" r:id="rId11" display="mailto:xie@sequoiacap.com" xr:uid="{E20A6072-85EF-4D77-94D9-5BEA2EA3A021}"/>
    <hyperlink ref="A1033" r:id="rId12" display="mailto:exu@sbaif.com" xr:uid="{B7FF4338-B981-4C32-A1E3-A6140CF0C812}"/>
    <hyperlink ref="A1039" r:id="rId13" display="mailto:lqf@chinaequity.net" xr:uid="{72FAF3B4-AC9B-4403-9A3B-64F484358076}"/>
    <hyperlink ref="A1046" r:id="rId14" display="mailto:yanC@leadvc.com" xr:uid="{314C485F-BF52-4A39-8FE0-D14FB46D1E5B}"/>
    <hyperlink ref="A1053" r:id="rId15" display="mailto:jlee@ggvc.com" xr:uid="{70E1AA44-E06B-4CFA-824E-22BC3E01A230}"/>
    <hyperlink ref="A1058" r:id="rId16" display="mailto:gaoshen@newmargin.com" xr:uid="{D05BAB61-0917-4A6D-B15A-51250AEA4273}"/>
    <hyperlink ref="A1064" r:id="rId17" display="mailto:fei_yang@idgvc.com.cn" xr:uid="{C86CE885-B8F8-4F4A-ABCD-9A4B9E85F734}"/>
    <hyperlink ref="A1071" r:id="rId18" display="mailto:jzhou@sbaif.com" xr:uid="{5B74C3BE-66BE-4CF0-8CB6-B1ED22C9A969}"/>
    <hyperlink ref="A1078" r:id="rId19" display="mailto:yorkchen@idtechventures.com.cn" xr:uid="{00EF7D9F-9010-4865-91E5-05374708919A}"/>
    <hyperlink ref="A1085" r:id="rId20" display="mailto:Alex@GSRventures.com" xr:uid="{D46162A5-D203-421E-814F-D3A6921A0882}"/>
    <hyperlink ref="A1091" r:id="rId21" display="mailto:orionrl@sina.cn" xr:uid="{0A415BE8-126E-4EBD-93B8-2F83C6546AAB}"/>
    <hyperlink ref="A1097" r:id="rId22" display="mailto:jwang@asiatechgrop.com" xr:uid="{A39648C5-67A7-4ACF-B25E-3864F5EA0DBB}"/>
    <hyperlink ref="A1104" r:id="rId23" display="mailto:liueh@legendcapital.com.cn" xr:uid="{1120FE82-4C94-4B80-97D2-1BDFE9E3889F}"/>
    <hyperlink ref="A1110" r:id="rId24" display="mailto:ned.fox@global.cn" xr:uid="{50C924EB-FAC0-4019-ADDA-C1C33835EE9A}"/>
    <hyperlink ref="A1115" r:id="rId25" display="mailto:hang.zhang@global.cn" xr:uid="{9F13FCC7-71FB-4308-954A-871E337E0353}"/>
    <hyperlink ref="A1120" r:id="rId26" display="mailto:fuxin.sheng@global.cn" xr:uid="{E03CB4F7-518B-4C8C-8802-7B2980E184FB}"/>
    <hyperlink ref="A1126" r:id="rId27" display="mailto:nancypark@cdhfund.com" xr:uid="{71C27C82-0358-428F-B270-782A0F7A94BC}"/>
    <hyperlink ref="A1132" r:id="rId28" display="mailto:yanai@gobivc.com" xr:uid="{54943AF5-5F56-4D56-9F62-FD6068B9B94C}"/>
    <hyperlink ref="A1140" r:id="rId29" display="mailto:wanggq@cdhfund.com" xr:uid="{41CB8DAB-43A6-420F-BEE8-ED45CD8880D7}"/>
    <hyperlink ref="A1146" r:id="rId30" display="mailto:kangzhm@zero2ipo.com.cn" xr:uid="{CCC7B292-64D2-4484-916E-E76EF9DE9833}"/>
    <hyperlink ref="A1154" r:id="rId31" display="mailto:suyang_zhang@idgvc.com.cn" xr:uid="{0B299A99-E62D-4392-ADBC-0E59E611F3D8}"/>
    <hyperlink ref="A1160" r:id="rId32" display="mailto:yorkchen@idtechventures.com.cn" xr:uid="{BDB98BE7-555D-4CD3-A589-D2864FC9294A}"/>
    <hyperlink ref="A1166" r:id="rId33" display="mailto:cadol.cheung@intel.com" xr:uid="{43AD309E-C01B-4D5D-AD82-ACF14FEB7D9E}"/>
    <hyperlink ref="A1172" r:id="rId34" display="mailto:LesterHo@idtechventures.com.tw" xr:uid="{2D9B625B-1DA3-4DE4-A8CA-3CE8B57D7A10}"/>
    <hyperlink ref="A1178" r:id="rId35" display="mailto:mimi.li@intel.com" xr:uid="{ACB965CB-CB77-4923-92C6-C727946B03F2}"/>
    <hyperlink ref="A1184" r:id="rId36" display="mailto:kuantai.yeh@intel.com" xr:uid="{A1947215-091B-4C4D-B238-C78496BAB81F}"/>
    <hyperlink ref="A1195" r:id="rId37" display="mailto:yangm@zero2ipo.com.cn" xr:uid="{F2652932-D10B-4DC8-9496-02712B71941B}"/>
    <hyperlink ref="A1201" r:id="rId38" display="mailto:ben.ngai@citigroup.com" xr:uid="{1AD63BB1-9138-48A6-A30F-AC069B1D4B10}"/>
    <hyperlink ref="A1207" r:id="rId39" display="mailto:wujm@asiapharm.biz" xr:uid="{49D63F1A-8F5B-48B1-9F89-CB3508ABC64B}"/>
    <hyperlink ref="A1213" r:id="rId40" display="mailto:zhutao@0101go.com" xr:uid="{1631D06A-8392-4A46-87D3-C591595448A5}"/>
    <hyperlink ref="A1219" r:id="rId41" display="mailto:xqz@shenlingroup.com" xr:uid="{188E615A-58A0-4432-9013-5ECFBF2763A7}"/>
    <hyperlink ref="A1224" r:id="rId42" display="mailto:yiping@dragonbridgecapital.com" xr:uid="{5F06A32A-A85A-4F28-81F5-FABB9C8141AC}"/>
    <hyperlink ref="A1229" r:id="rId43" display="mailto:whopeman@jefferies.com" xr:uid="{C6409F6B-CD17-4F50-99CA-A3930C058BF5}"/>
    <hyperlink ref="A1235" r:id="rId44" display="mailto:BarryChung@idtechventures.com.tw" xr:uid="{C19D8765-C38B-45C2-88F7-8DB50A014D40}"/>
    <hyperlink ref="A1241" r:id="rId45" display="mailto:EdwardLeung@idtechventures.com.tw" xr:uid="{B204E69D-3EC0-4338-B0BD-F784A4D7B824}"/>
    <hyperlink ref="A1247" r:id="rId46" display="mailto:Richardchang@idtechventures.com.tw" xr:uid="{B24B240B-1EA6-4744-8C96-4CDDD86FDA4A}"/>
    <hyperlink ref="A1253" r:id="rId47" display="mailto:zhouhb@legendcapital.com.cn" xr:uid="{56D9D917-D440-48C3-A409-DE7FD3F3C7B5}"/>
    <hyperlink ref="A1259" r:id="rId48" display="mailto:zhuf@tsinghua-sz.edu.cn" xr:uid="{219B5FF7-DA72-468F-B4E6-3D4782E1FC4E}"/>
    <hyperlink ref="A1265" r:id="rId49" display="mailto:bchiang@waldenintl.com" xr:uid="{07811C0A-D2B1-4724-B1F2-BA91E384D8A2}"/>
    <hyperlink ref="A1271" r:id="rId50" display="mailto:chenshi@0101go.com" xr:uid="{34165DF5-165D-4483-9517-6DC8436F57E1}"/>
    <hyperlink ref="A1272" r:id="rId51" display="mailto:133110@sina.com" xr:uid="{8F6ACC59-D571-428A-AFAC-E94E7F04EDF3}"/>
    <hyperlink ref="A1279" r:id="rId52" display="mailto:shen@sequoiacap.com" xr:uid="{67F04F3C-298B-4CAE-871F-39146D9F9B48}"/>
    <hyperlink ref="A1285" r:id="rId53" display="mailto:xli@szvc.com,cn" xr:uid="{8B9B3936-1708-4BA7-9DA2-BA0F165358CA}"/>
    <hyperlink ref="A1291" r:id="rId54" display="mailto:wang.z@c-snd.com" xr:uid="{43A8992A-B066-4FB5-A0CA-E38D4B1878F5}"/>
    <hyperlink ref="A1297" r:id="rId55" display="mailto:york@staff.pchome.com.tw" xr:uid="{6F21A67C-E2CC-4D18-98DC-A4AB874F5752}"/>
    <hyperlink ref="A1302" r:id="rId56" display="mailto:lbtan@waldenintl.com" xr:uid="{AC965AE6-A7BC-43F8-BDCD-F9DFC76283DF}"/>
    <hyperlink ref="A1308" r:id="rId57" display="mailto:roman.shaw@dragontechventures.com" xr:uid="{1F8F8D91-ED92-452C-A273-95A98A730406}"/>
    <hyperlink ref="A1314" r:id="rId58" display="mailto:hwong@ggvc.com" xr:uid="{9704D89F-08FB-4110-B7BA-D236AEB20E5D}"/>
    <hyperlink ref="A1320" r:id="rId59" display="mailto:orionrl@sina.cn" xr:uid="{42E20C07-4319-4F11-9B5A-EE9DBC415F67}"/>
    <hyperlink ref="A1326" r:id="rId60" display="mailto:tina@tdfcapital.com" xr:uid="{E86A8196-A71D-4547-946E-594D1B8C3BD2}"/>
    <hyperlink ref="A1333" r:id="rId61" display="mailto:dcoulter@ifc.org" xr:uid="{199C33DE-1D2B-422D-8CB1-96C37B825E0D}"/>
    <hyperlink ref="A1340" r:id="rId62" display="mailto:robert_chiu@ml.com" xr:uid="{40566580-6598-417E-BADE-9A96A915715A}"/>
    <hyperlink ref="A1346" r:id="rId63" display="mailto:dannychung@zero2ipo.com.cn" xr:uid="{C3D7F745-912C-4F81-9190-ED33BE027619}"/>
    <hyperlink ref="A1353" r:id="rId64" display="mailto:vincent.chan@jafcoasia.com" xr:uid="{AEA7BB23-E21C-443B-AB0A-AC8A9246B91C}"/>
    <hyperlink ref="A1360" r:id="rId65" display="mailto:wenyong.le@jafcoasia.com" xr:uid="{FC8D5BAC-242A-4FAE-815C-6433FBCCF270}"/>
    <hyperlink ref="A1367" r:id="rId66" display="mailto:jzhou@sbaif.com" xr:uid="{762D65F8-41B6-4538-9200-89E3E2387881}"/>
    <hyperlink ref="A1374" r:id="rId67" display="mailto:hli@waldenintl.com" xr:uid="{933C5A6A-0BAB-42F1-BDC7-7C4F9BAD966E}"/>
    <hyperlink ref="A1380" r:id="rId68" display="mailto:dannylui@zero2ipo.com.cn" xr:uid="{F311502E-5FB4-496A-8EED-8403D56F83A3}"/>
    <hyperlink ref="A1386" r:id="rId69" display="mailto:orionrl@sina.cn" xr:uid="{FE4994FF-0F0F-4394-96D7-80215AE501BB}"/>
    <hyperlink ref="A1393" r:id="rId70" display="mailto:forrest@tdfcapital.com" xr:uid="{BCDF9093-87F7-4AFE-A218-6DF2EBAF0569}"/>
    <hyperlink ref="A1400" r:id="rId71" display="mailto:ansenwang@ebicc.com" xr:uid="{352622D5-7269-40A5-8334-681797F3AC3B}"/>
    <hyperlink ref="A1407" r:id="rId72" display="mailto:shawnshen@ebicc.com" xr:uid="{E65C6755-9711-4340-AAA3-F36E939851AC}"/>
    <hyperlink ref="A1413" r:id="rId73" display="mailto:steve.chen@TTSCentral.com" xr:uid="{805662FF-E186-4D55-85C9-7FED5B548736}"/>
    <hyperlink ref="A1420" r:id="rId74" display="mailto:ken@gobi.cn" xr:uid="{04DF2C1F-3142-4EFB-87C9-D2CEFA22FD88}"/>
    <hyperlink ref="A1427" r:id="rId75" display="mailto:ryang@orchidasia.com" xr:uid="{F35F7BC9-D225-4599-9E2B-BE7B67900049}"/>
    <hyperlink ref="A1433" r:id="rId76" display="mailto:orionrl@sina.cn" xr:uid="{00296314-DF26-453C-8ED8-07E91F2CDB88}"/>
    <hyperlink ref="A1440" r:id="rId77" display="mailto:skwok@orchidasia.com" xr:uid="{BFE4BB1F-6096-436A-8CBD-8C5B53479785}"/>
    <hyperlink ref="A1447" r:id="rId78" display="mailto:conradtsang@bpepasia.com" xr:uid="{F6D1B0B5-2594-46E7-80B2-7965CAE1136F}"/>
    <hyperlink ref="A1454" r:id="rId79" display="mailto:shaohui.chen@wiharper.com.cn" xr:uid="{733FACEA-97E9-4BF9-9899-C85C15280432}"/>
    <hyperlink ref="A1461" r:id="rId80" display="mailto:david@tdfcapital.com" xr:uid="{9238655B-4E8C-4136-AE8A-E1AC62CC5E67}"/>
    <hyperlink ref="A1468" r:id="rId81" display="mailto:hans@bvp.com" xr:uid="{57EEBC8A-A014-488D-B01C-EB63CB089439}"/>
    <hyperlink ref="A1474" r:id="rId82" display="mailto:peter.hsieh@asiavest.com" xr:uid="{CF313209-79CE-4B59-AFB5-8204B793ACE6}"/>
    <hyperlink ref="A1480" r:id="rId83" display="mailto:xiaoning.xia@aifcapital.com" xr:uid="{56420CA6-E036-40E3-9AC3-4247EA35C891}"/>
    <hyperlink ref="A1487" r:id="rId84" display="mailto:ouyxy@legendcapital.com.cn" xr:uid="{65C82F23-D60C-45AE-8506-7C3E5957605E}"/>
    <hyperlink ref="A1492" r:id="rId85" display="mailto:tsuda@jaic.com.hk" xr:uid="{8CC6D973-3216-428E-B4D1-032005870C65}"/>
    <hyperlink ref="A1499" r:id="rId86" display="mailto:unee@jaic.com.hk" xr:uid="{DF2B3B33-31BE-4AE1-B1ED-FB873017C28B}"/>
    <hyperlink ref="A1505" r:id="rId87" display="mailto:fei_yang@idgvc.com.cn" xr:uid="{289B9EE8-B03D-4A70-AE1E-218C21FBCDBE}"/>
    <hyperlink ref="A1512" r:id="rId88" display="mailto:alvin@dfj.com" xr:uid="{990081F7-6EDA-4039-855B-32B7CD717944}"/>
    <hyperlink ref="A1519" r:id="rId89" display="mailto:jlee@ggvc.com" xr:uid="{38180DB5-2C97-451E-9570-5285EDA8AAB6}"/>
    <hyperlink ref="A1526" r:id="rId90" display="mailto:ayeh@sbcvc.com" xr:uid="{B0D1DDE9-CEA5-4AC5-A5F7-13A9F4EE5B02}"/>
    <hyperlink ref="A1537" r:id="rId91" display="http://bbs.ziye114.com/detail/mailtsji@sequoiacap.com" xr:uid="{07089F08-2EB6-494E-88DB-FDABD5E3FDEC}"/>
    <hyperlink ref="A1545" r:id="rId92" display="http://bbs.ziye114.com/detail/mailtkathyxu@capitaltoday.com" xr:uid="{98CAAEE9-FC6B-4C8B-B699-BC8098D3F70C}"/>
    <hyperlink ref="A1552" r:id="rId93" display="http://bbs.ziye114.com/detail/mailtvczhouquan@gmail.com" xr:uid="{B2002E92-E87E-447B-A4DD-8D2610BBF9F5}"/>
    <hyperlink ref="A1560" r:id="rId94" display="http://bbs.ziye114.com/detail/mailtayeh@sbcvc.com" xr:uid="{753BB739-7013-405C-A3EE-A6F44FB72DA6}"/>
    <hyperlink ref="A1567" r:id="rId95" display="http://bbs.ziye114.com/detail/mailtqueenlijia@gmail.com" xr:uid="{4F17CEF2-155E-4A7D-9621-C868E4C5B19D}"/>
    <hyperlink ref="A1575" r:id="rId96" display="http://bbs.ziye114.com/detail/mailtalvin@dfj.com" xr:uid="{A0A298D4-8E0C-4F1A-8387-6A4CBC6216E5}"/>
    <hyperlink ref="A1583" r:id="rId97" display="http://bbs.ziye114.com/detail/mailtliulin@handia.com.cn" xr:uid="{F44B4E41-70B8-48CA-97CB-F6249A3094AE}"/>
    <hyperlink ref="A1590" r:id="rId98" display="http://bbs.ziye114.com/detail/mailtre.liang@wiharper.com.cn" xr:uid="{AA5BC75C-C7BE-4232-837A-B18B26F42ED1}"/>
    <hyperlink ref="A1597" r:id="rId99" display="http://bbs.ziye114.com/detail/mailtmarc.wang@wiharper.com.cn" xr:uid="{E486E1D0-5ED0-4F94-BAFF-458CDB3132EF}"/>
    <hyperlink ref="A1604" r:id="rId100" display="http://bbs.ziye114.com/detail/mailtping.wei@wiharper.com.cn" xr:uid="{436CA3B2-9C90-4EA9-89B1-688011D14F19}"/>
    <hyperlink ref="A1612" r:id="rId101" display="http://bbs.ziye114.com/detail/mailtxie@sequoiacap.com" xr:uid="{46145003-8E32-40B3-B513-71D826CC3429}"/>
    <hyperlink ref="A1619" r:id="rId102" display="http://bbs.ziye114.com/detail/mailtexu@sbaif.com" xr:uid="{74540B28-0263-46E8-9BC2-0DB9738FC26F}"/>
    <hyperlink ref="A1626" r:id="rId103" display="http://bbs.ziye114.com/detail/mailtlqf@chinaequity.net" xr:uid="{1EF28A4D-0705-4057-A43F-9B70AC04808F}"/>
    <hyperlink ref="A1634" r:id="rId104" display="mailto:orionrl@sina.cn" xr:uid="{8B1D8968-17AC-4A3D-9DC1-778988B0BEA5}"/>
    <hyperlink ref="A1642" r:id="rId105" display="http://bbs.ziye114.com/detail/mailtyanC@leadvc.com" xr:uid="{29369A53-E2C5-4D91-9E61-147C59AE8E23}"/>
    <hyperlink ref="A1650" r:id="rId106" display="http://bbs.ziye114.com/detail/mailtjlee@ggvc.com" xr:uid="{4D034E32-C3E2-4A54-8451-5F2C9F514975}"/>
    <hyperlink ref="A1656" r:id="rId107" display="http://bbs.ziye114.com/detail/mailtgaoshen@newmargin.com" xr:uid="{CF946742-E341-49DB-9A09-04BACDE0A9A2}"/>
    <hyperlink ref="A1663" r:id="rId108" display="http://bbs.ziye114.com/detail/mailtfei_yang@idgvc.com.cn" xr:uid="{7110B5F0-7C5D-4A1C-86BC-38751B942B95}"/>
    <hyperlink ref="A1671" r:id="rId109" display="http://bbs.ziye114.com/detail/mailtjzhou@sbaif.com" xr:uid="{4F981661-F1EF-45CE-9D61-977BE8066418}"/>
    <hyperlink ref="A1679" r:id="rId110" display="http://bbs.ziye114.com/detail/mailtyorkchen@idtechventures.com.cn" xr:uid="{29266229-E70C-4C79-920E-816D1361F265}"/>
    <hyperlink ref="A1687" r:id="rId111" display="http://bbs.ziye114.com/detail/mailtAlex@GSRventures.com" xr:uid="{B986BF33-D211-4EA6-ADD6-2EB2499E3B6E}"/>
    <hyperlink ref="A1694" r:id="rId112" display="http://bbs.ziye114.com/detail/mailtjwang@asiatechgrop.com" xr:uid="{2B1D2CEC-C399-4F04-9BCC-6E18A64C730F}"/>
    <hyperlink ref="A1702" r:id="rId113" display="http://bbs.ziye114.com/detail/mailtliueh@legendcapital.com.cn" xr:uid="{701728A7-214D-46D4-85D4-97625285EA3F}"/>
    <hyperlink ref="A1709" r:id="rId114" display="http://bbs.ziye114.com/detail/mailtned.fox@global.cn" xr:uid="{6B4CF790-68A4-4A91-B6EF-086947B219FA}"/>
    <hyperlink ref="A1715" r:id="rId115" display="http://bbs.ziye114.com/detail/mailthang.zhang@global.cn" xr:uid="{E2125AE8-D028-4245-A9F8-2D052D52C7CE}"/>
    <hyperlink ref="A1721" r:id="rId116" display="http://bbs.ziye114.com/detail/mailtfuxin.sheng@global.cn" xr:uid="{19E56CDE-9256-4B00-8F74-D3BB1DEA73DF}"/>
    <hyperlink ref="A1728" r:id="rId117" display="http://bbs.ziye114.com/detail/mailtnancypark@cdhfund.com" xr:uid="{38697A87-25DA-433C-9760-677A0245C5A8}"/>
    <hyperlink ref="A1735" r:id="rId118" display="http://bbs.ziye114.com/detail/mailtyanai@gobivc.com" xr:uid="{469FAAE9-9B23-4644-9FCD-03ADCABACAA9}"/>
    <hyperlink ref="A1749" r:id="rId119" display="http://bbs.ziye114.com/detail/mailtqyma@time-iv.com" xr:uid="{B4A69E3A-DA76-48C1-BFE7-767E6081B46C}"/>
    <hyperlink ref="A1756" r:id="rId120" display="http://bbs.ziye114.com/detail/mailtAlex@GSRventures.com" xr:uid="{86DEA699-3824-465F-86DE-C4E3886A8FA4}"/>
    <hyperlink ref="A1763" r:id="rId121" display="http://bbs.ziye114.com/detail/mailtvictorleung@hsbc.com.hk" xr:uid="{584970C0-707B-4A15-8B8F-F8B6C9263A49}"/>
    <hyperlink ref="A1770" r:id="rId122" display="http://bbs.ziye114.com/detail/mailtnrlt@ni-vc.com" xr:uid="{0F10E303-A242-4BF0-8ECD-A7F5586BB2CD}"/>
    <hyperlink ref="A1779" r:id="rId123" display="http://bbs.ziye114.com/detail/mailtthwang@acorncampus.com" xr:uid="{94911475-ADC0-4B5F-82BB-F0F14D22F0F3}"/>
    <hyperlink ref="A1788" r:id="rId124" display="http://bbs.ziye114.com/detail/mailtlucyluan@rogers.com" xr:uid="{CBBC22A5-B9D9-491E-BBB1-8C7E77793BEE}"/>
    <hyperlink ref="A1795" r:id="rId125" display="http://bbs.ziye114.com/detail/mailtharry@hdconsulting.com.cn" xr:uid="{B2BF9452-96B2-4B1B-96B2-67E825E316A3}"/>
    <hyperlink ref="A1802" r:id="rId126" display="http://bbs.ziye114.com/detail/mailtxiey@leadvc.com" xr:uid="{6C432FD7-EFF9-4F32-BC2B-A94C3E0DAC3E}"/>
    <hyperlink ref="A1816" r:id="rId127" display="http://bbs.ziye114.com/detail/mailtjwang@sopafgroup.it" xr:uid="{66CA8D14-9F58-4A35-A3E0-8CC72404C7D3}"/>
    <hyperlink ref="A1821" r:id="rId128" display="http://bbs.ziye114.com/detail/mailtwchen@szvc.com.cn" xr:uid="{09E1A92F-C8FD-4B3B-870A-59F56DFA3078}"/>
    <hyperlink ref="A1827" r:id="rId129" display="http://bbs.ziye114.com/detail/mailtsy@ffgci.com.cn" xr:uid="{212B14E9-6513-402C-AFC8-4DE359C2ECF0}"/>
    <hyperlink ref="A1833" r:id="rId130" display="http://bbs.ziye114.com/detail/mailthwong@ggvc.com" xr:uid="{63DDB94E-E6D3-4C1B-A491-DC6A3380CBA9}"/>
    <hyperlink ref="A1840" r:id="rId131" display="http://bbs.ziye114.com/detail/mailtrobin@gbpartner.com" xr:uid="{D9E89F2E-01ED-4CB3-8DA9-0C621CEC0A60}"/>
    <hyperlink ref="A1845" r:id="rId132" display="http://bbs.ziye114.com/detail/mailthaiyang@cdhfund.com" xr:uid="{8837F13D-3EB5-4C17-BDE8-09AADC4211BA}"/>
    <hyperlink ref="A1850" r:id="rId133" display="http://bbs.ziye114.com/detail/mailtscmak@waldenintl.com" xr:uid="{F52F431F-0690-4397-9537-EC9E27BF65BD}"/>
    <hyperlink ref="A1856" r:id="rId134" display="http://bbs.ziye114.com/detail/mailteva@chinaventure.com.cn" xr:uid="{8B914D74-09C7-46C2-BD27-3EEF5A3DF034}"/>
    <hyperlink ref="A1862" r:id="rId135" display="http://bbs.ziye114.com/detail/mailtzxp008@sina.com" xr:uid="{D2D30D7A-F117-4225-AD55-F11FECA66C91}"/>
    <hyperlink ref="A1867" r:id="rId136" display="http://bbs.ziye114.com/detail/mailtyan.song@lehman.com" xr:uid="{5CD8EE34-F29C-44E7-AD9C-67A6020AED6D}"/>
    <hyperlink ref="A1873" r:id="rId137" display="http://bbs.ziye114.com/detail/mailtzhaobin01@vip.sina.com" xr:uid="{CEB0CADA-854F-42B8-A755-82033557840D}"/>
    <hyperlink ref="A1879" r:id="rId138" display="http://bbs.ziye114.com/detail/mailtyusuli@sohu.com" xr:uid="{4EA8C0F1-CB7D-493E-A71C-956EDFA12675}"/>
    <hyperlink ref="A1885" r:id="rId139" display="http://bbs.ziye114.com/detail/mailtbode_pyl@sina.com" xr:uid="{144C13D3-D16A-41E2-A1E1-859937C297E3}"/>
    <hyperlink ref="A1890" r:id="rId140" display="http://bbs.ziye114.com/detail/mailtye@ceyuanvc.com" xr:uid="{CAEE91C0-4B48-43BF-A106-3D474183375B}"/>
    <hyperlink ref="A1909" r:id="rId141" display="http://bbs.ziye114.com/detail/mailtboyd@itechvc.com" xr:uid="{8CBF9156-3FBB-4C28-858C-EF579AED3412}"/>
    <hyperlink ref="A1920" r:id="rId142" display="http://bbs.ziye114.com/detail/mailtzhang@siemens.com" xr:uid="{D204AF74-6D93-4285-9FAE-56DABCB58165}"/>
    <hyperlink ref="A1927" r:id="rId143" display="http://bbs.ziye114.com/detail/mailtgang_kevin_wang@yahoo.com" xr:uid="{51B5C6C8-FFFF-46E4-91D0-ACFD1C757372}"/>
    <hyperlink ref="A1934" r:id="rId144" display="http://bbs.ziye114.com/detail/mailtdavidaia@tom.com" xr:uid="{9C07BC82-692C-4275-AE59-F83EDF7327F7}"/>
    <hyperlink ref="A1941" r:id="rId145" display="http://bbs.ziye114.com/detail/mailtjliu@sbaif.com" xr:uid="{0D49F9BE-5566-4C66-9006-846F3534B941}"/>
    <hyperlink ref="A1948" r:id="rId146" display="http://bbs.ziye114.com/detail/mailtsgao@sbaif.com" xr:uid="{50497DFD-ADB5-42A0-A249-C2DF2D1DC35E}"/>
    <hyperlink ref="A1955" r:id="rId147" display="http://bbs.ziye114.com/detail/mailtjxu@sbaif.com" xr:uid="{4B4CA70E-1833-48C6-88F5-40B8ED55EA22}"/>
    <hyperlink ref="A1962" r:id="rId148" display="http://bbs.ziye114.com/detail/mailtyzhao@sbaif.com" xr:uid="{7BF9C791-3490-4150-84A8-96017D163E97}"/>
    <hyperlink ref="A1969" r:id="rId149" display="http://bbs.ziye114.com/detail/mailtfzhao@sbaif.com" xr:uid="{011394F0-FC07-49AA-A7CD-BEF283C03E12}"/>
    <hyperlink ref="A1975" r:id="rId150" display="http://bbs.ziye114.com/detail/mailtdyang@sbaif.com" xr:uid="{46F178DE-4969-4207-84E7-D5DBEA394FC6}"/>
    <hyperlink ref="A1981" r:id="rId151" display="http://bbs.ziye114.com/detail/mailtzhang@sequoiacap.com" xr:uid="{8C8362B4-0692-41CE-B020-1E8D44E45EAF}"/>
    <hyperlink ref="A1988" r:id="rId152" display="http://bbs.ziye114.com/detail/mailtguishg@zero2ipo.com.cn" xr:uid="{53AB2DF2-1C43-4945-9045-DFE8091DD807}"/>
    <hyperlink ref="A1995" r:id="rId153" display="http://bbs.ziye114.com/detail/mailtwanglp@zero2ipo.com.cn" xr:uid="{D91702B6-B651-4021-A221-5009BE2B1286}"/>
    <hyperlink ref="A2001" r:id="rId154" display="http://bbs.ziye114.com/detail/mailtwanggq@cdhfund.com" xr:uid="{A82B36AF-D54C-40C9-9E27-534AB9B91F40}"/>
    <hyperlink ref="A2008" r:id="rId155" display="http://bbs.ziye114.com/detail/mailtkangzhm@zero2ipo.com.cn" xr:uid="{5605CF44-6CC6-4486-BD3F-3778B3308B6C}"/>
    <hyperlink ref="A2017" r:id="rId156" display="http://bbs.ziye114.com/detail/mailtsuyang_zhang@idgvc.com.cn" xr:uid="{42CFD0BC-7C5F-44AB-A5AB-10971461FCF9}"/>
    <hyperlink ref="A2024" r:id="rId157" display="http://bbs.ziye114.com/detail/mailtyorkchen@idtechventures.com.cn" xr:uid="{647C9CDE-CA57-4F52-9FE8-EDE016A0AD39}"/>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4.25"/>
  <cols>
    <col min="1" max="1" width="24.75" customWidth="1"/>
  </cols>
  <sheetData>
    <row r="1" spans="1:1">
      <c r="A1" s="95" t="s">
        <v>2619</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2326</v>
      </c>
    </row>
  </sheetData>
  <phoneticPr fontId="11"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49"/>
  <sheetViews>
    <sheetView zoomScale="90" zoomScaleNormal="90" workbookViewId="0">
      <pane ySplit="1" topLeftCell="A500" activePane="bottomLeft" state="frozen"/>
      <selection pane="bottomLeft" activeCell="A232" sqref="A232"/>
    </sheetView>
  </sheetViews>
  <sheetFormatPr defaultRowHeight="15.75"/>
  <cols>
    <col min="1" max="1" width="22.5" style="106" customWidth="1"/>
    <col min="2" max="2" width="25.625" style="106" customWidth="1"/>
    <col min="3" max="3" width="37.75" style="106" customWidth="1"/>
    <col min="4" max="5" width="11.875" style="106" customWidth="1"/>
    <col min="6" max="6" width="10.5" style="106" customWidth="1"/>
    <col min="7" max="7" width="18.625" style="106" customWidth="1"/>
    <col min="8" max="8" width="31.25" style="106" customWidth="1"/>
    <col min="9" max="9" width="21.5" style="106" customWidth="1"/>
    <col min="10" max="10" width="10.5" style="106" customWidth="1"/>
    <col min="11" max="11" width="11.75" style="106" customWidth="1"/>
    <col min="12" max="16384" width="9" style="106"/>
  </cols>
  <sheetData>
    <row r="1" spans="1:11" s="109" customFormat="1">
      <c r="A1" s="109" t="s">
        <v>2616</v>
      </c>
      <c r="B1" s="109" t="s">
        <v>2615</v>
      </c>
      <c r="C1" s="109" t="s">
        <v>2617</v>
      </c>
      <c r="D1" s="109" t="s">
        <v>3979</v>
      </c>
      <c r="E1" s="109" t="s">
        <v>2618</v>
      </c>
      <c r="F1" s="109" t="s">
        <v>2226</v>
      </c>
      <c r="G1" s="109">
        <v>20200105</v>
      </c>
      <c r="H1" s="109" t="s">
        <v>2765</v>
      </c>
      <c r="I1" s="109" t="s">
        <v>2766</v>
      </c>
      <c r="J1" s="109" t="s">
        <v>2421</v>
      </c>
      <c r="K1" s="109">
        <v>20191230</v>
      </c>
    </row>
    <row r="2" spans="1:11">
      <c r="A2" s="106">
        <v>360</v>
      </c>
      <c r="B2" s="106" t="s">
        <v>3170</v>
      </c>
      <c r="C2" s="106" t="s">
        <v>3171</v>
      </c>
      <c r="D2" s="106" t="s">
        <v>3980</v>
      </c>
      <c r="E2" s="208">
        <v>43829</v>
      </c>
      <c r="F2" s="209"/>
      <c r="H2" s="106" t="s">
        <v>4756</v>
      </c>
      <c r="I2" s="210"/>
      <c r="J2" s="209"/>
    </row>
    <row r="3" spans="1:11">
      <c r="A3" s="106">
        <v>360</v>
      </c>
      <c r="B3" s="106" t="s">
        <v>3172</v>
      </c>
      <c r="C3" s="106" t="s">
        <v>3173</v>
      </c>
      <c r="D3" s="106" t="s">
        <v>3980</v>
      </c>
      <c r="E3" s="208">
        <v>43829</v>
      </c>
      <c r="F3" s="209"/>
      <c r="H3" s="106" t="s">
        <v>4760</v>
      </c>
      <c r="I3" s="210"/>
      <c r="J3" s="209"/>
    </row>
    <row r="4" spans="1:11">
      <c r="A4" s="106" t="s">
        <v>3174</v>
      </c>
      <c r="B4" s="106" t="s">
        <v>3175</v>
      </c>
      <c r="C4" s="106" t="s">
        <v>3090</v>
      </c>
      <c r="D4" s="106" t="s">
        <v>3980</v>
      </c>
      <c r="E4" s="208">
        <v>43829</v>
      </c>
      <c r="F4" s="209"/>
      <c r="H4" s="106">
        <v>424</v>
      </c>
      <c r="I4" s="210"/>
      <c r="J4" s="209"/>
    </row>
    <row r="5" spans="1:11">
      <c r="A5" s="106" t="s">
        <v>3176</v>
      </c>
      <c r="B5" s="106" t="s">
        <v>3177</v>
      </c>
      <c r="C5" s="106" t="s">
        <v>3178</v>
      </c>
      <c r="D5" s="106" t="s">
        <v>3980</v>
      </c>
      <c r="E5" s="208">
        <v>43829</v>
      </c>
      <c r="F5" s="209"/>
      <c r="H5" s="106">
        <v>701</v>
      </c>
      <c r="I5" s="210"/>
      <c r="J5" s="209"/>
    </row>
    <row r="6" spans="1:11">
      <c r="A6" s="106" t="s">
        <v>3112</v>
      </c>
      <c r="B6" s="106" t="s">
        <v>3098</v>
      </c>
      <c r="C6" s="106" t="s">
        <v>2850</v>
      </c>
      <c r="D6" s="106" t="s">
        <v>3980</v>
      </c>
      <c r="E6" s="209">
        <v>43828</v>
      </c>
      <c r="F6" s="209"/>
      <c r="H6" s="106" t="s">
        <v>4755</v>
      </c>
      <c r="I6" s="210"/>
      <c r="J6" s="209"/>
    </row>
    <row r="7" spans="1:11">
      <c r="A7" s="106" t="s">
        <v>3179</v>
      </c>
      <c r="B7" s="106" t="s">
        <v>3180</v>
      </c>
      <c r="C7" s="106" t="s">
        <v>2793</v>
      </c>
      <c r="D7" s="106" t="s">
        <v>3980</v>
      </c>
      <c r="E7" s="209">
        <v>43828</v>
      </c>
      <c r="F7" s="209"/>
      <c r="H7" s="106">
        <v>147</v>
      </c>
      <c r="I7" s="210"/>
      <c r="J7" s="209"/>
    </row>
    <row r="8" spans="1:11">
      <c r="A8" s="106" t="s">
        <v>3179</v>
      </c>
      <c r="B8" s="106" t="s">
        <v>3181</v>
      </c>
      <c r="C8" s="106" t="s">
        <v>2791</v>
      </c>
      <c r="D8" s="106" t="s">
        <v>3980</v>
      </c>
      <c r="E8" s="209">
        <v>43828</v>
      </c>
      <c r="F8" s="209"/>
      <c r="H8" s="106">
        <v>504</v>
      </c>
      <c r="I8" s="210"/>
      <c r="J8" s="209"/>
    </row>
    <row r="9" spans="1:11">
      <c r="A9" s="106" t="s">
        <v>3182</v>
      </c>
      <c r="B9" s="106" t="s">
        <v>3183</v>
      </c>
      <c r="C9" s="106" t="s">
        <v>2792</v>
      </c>
      <c r="D9" s="106" t="s">
        <v>3980</v>
      </c>
      <c r="E9" s="209">
        <v>43828</v>
      </c>
      <c r="F9" s="209"/>
      <c r="H9" s="106" t="s">
        <v>4737</v>
      </c>
      <c r="I9" s="210"/>
      <c r="J9" s="209"/>
    </row>
    <row r="10" spans="1:11">
      <c r="A10" s="106" t="s">
        <v>3184</v>
      </c>
      <c r="B10" s="106" t="s">
        <v>3185</v>
      </c>
      <c r="C10" s="106" t="s">
        <v>2795</v>
      </c>
      <c r="D10" s="106" t="s">
        <v>3980</v>
      </c>
      <c r="E10" s="209">
        <v>43828</v>
      </c>
      <c r="F10" s="209"/>
      <c r="H10" s="106" t="s">
        <v>4748</v>
      </c>
      <c r="I10" s="210"/>
      <c r="J10" s="209"/>
    </row>
    <row r="11" spans="1:11">
      <c r="A11" s="106" t="s">
        <v>3186</v>
      </c>
      <c r="B11" s="106" t="s">
        <v>3187</v>
      </c>
      <c r="C11" s="106" t="s">
        <v>3060</v>
      </c>
      <c r="D11" s="106" t="s">
        <v>3980</v>
      </c>
      <c r="E11" s="208">
        <v>43829</v>
      </c>
      <c r="F11" s="209"/>
      <c r="H11" s="106">
        <v>230</v>
      </c>
      <c r="I11" s="210"/>
      <c r="J11" s="209"/>
    </row>
    <row r="12" spans="1:11">
      <c r="A12" s="106" t="s">
        <v>3188</v>
      </c>
      <c r="C12" s="106" t="s">
        <v>3189</v>
      </c>
      <c r="D12" s="106" t="s">
        <v>2626</v>
      </c>
      <c r="E12" s="208">
        <v>43829</v>
      </c>
      <c r="F12" s="209"/>
      <c r="I12" s="210">
        <v>3</v>
      </c>
      <c r="J12" s="209"/>
    </row>
    <row r="13" spans="1:11">
      <c r="A13" s="106" t="s">
        <v>2614</v>
      </c>
      <c r="B13" s="106" t="s">
        <v>3190</v>
      </c>
      <c r="C13" s="211" t="s">
        <v>3083</v>
      </c>
      <c r="E13" s="208">
        <v>43829</v>
      </c>
      <c r="F13" s="209"/>
      <c r="H13" s="106" t="s">
        <v>4735</v>
      </c>
      <c r="I13" s="210"/>
      <c r="J13" s="209"/>
    </row>
    <row r="14" spans="1:11">
      <c r="A14" s="106" t="s">
        <v>3191</v>
      </c>
      <c r="B14" s="106" t="s">
        <v>2371</v>
      </c>
      <c r="C14" s="106" t="s">
        <v>2816</v>
      </c>
      <c r="E14" s="209">
        <v>43828</v>
      </c>
      <c r="F14" s="209"/>
      <c r="H14" s="106">
        <v>162</v>
      </c>
      <c r="I14" s="210"/>
      <c r="J14" s="209"/>
    </row>
    <row r="15" spans="1:11">
      <c r="A15" s="106" t="s">
        <v>3192</v>
      </c>
      <c r="B15" s="106" t="s">
        <v>3193</v>
      </c>
      <c r="C15" s="106" t="s">
        <v>3194</v>
      </c>
      <c r="E15" s="208">
        <v>43829</v>
      </c>
      <c r="F15" s="209"/>
      <c r="I15" s="210" t="s">
        <v>4713</v>
      </c>
      <c r="J15" s="209"/>
    </row>
    <row r="16" spans="1:11">
      <c r="A16" s="106" t="s">
        <v>3192</v>
      </c>
      <c r="B16" s="106" t="s">
        <v>3195</v>
      </c>
      <c r="C16" s="106" t="s">
        <v>3196</v>
      </c>
      <c r="E16" s="208">
        <v>43829</v>
      </c>
      <c r="F16" s="209"/>
      <c r="H16" s="106" t="s">
        <v>4744</v>
      </c>
      <c r="I16" s="210"/>
      <c r="J16" s="209"/>
    </row>
    <row r="17" spans="1:11">
      <c r="A17" s="106" t="s">
        <v>2620</v>
      </c>
      <c r="C17" s="211" t="s">
        <v>2613</v>
      </c>
      <c r="D17" s="211"/>
      <c r="E17" s="209">
        <v>43828</v>
      </c>
      <c r="F17" s="209" t="s">
        <v>2231</v>
      </c>
      <c r="I17" s="210" t="s">
        <v>3934</v>
      </c>
      <c r="J17" s="209"/>
      <c r="K17" s="106" t="s">
        <v>2664</v>
      </c>
    </row>
    <row r="18" spans="1:11">
      <c r="A18" s="106" t="s">
        <v>2620</v>
      </c>
      <c r="B18" s="106" t="s">
        <v>3197</v>
      </c>
      <c r="C18" s="106" t="s">
        <v>2815</v>
      </c>
      <c r="E18" s="209">
        <v>43828</v>
      </c>
      <c r="F18" s="209"/>
      <c r="H18" s="106">
        <v>694</v>
      </c>
      <c r="I18" s="210"/>
      <c r="J18" s="209"/>
    </row>
    <row r="19" spans="1:11">
      <c r="A19" s="106" t="s">
        <v>2620</v>
      </c>
      <c r="B19" s="106" t="s">
        <v>3198</v>
      </c>
      <c r="C19" s="106" t="s">
        <v>3014</v>
      </c>
      <c r="E19" s="208">
        <v>43829</v>
      </c>
      <c r="F19" s="209"/>
      <c r="H19" s="106">
        <v>178</v>
      </c>
      <c r="I19" s="210"/>
      <c r="J19" s="209"/>
    </row>
    <row r="20" spans="1:11">
      <c r="A20" s="106" t="s">
        <v>2620</v>
      </c>
      <c r="B20" s="106" t="s">
        <v>3199</v>
      </c>
      <c r="C20" s="106" t="s">
        <v>3200</v>
      </c>
      <c r="E20" s="208">
        <v>43829</v>
      </c>
      <c r="F20" s="209"/>
      <c r="H20" s="106">
        <v>555</v>
      </c>
      <c r="I20" s="210"/>
      <c r="J20" s="209"/>
    </row>
    <row r="21" spans="1:11">
      <c r="A21" s="106" t="s">
        <v>2620</v>
      </c>
      <c r="B21" s="106" t="s">
        <v>3201</v>
      </c>
      <c r="C21" s="106" t="s">
        <v>3202</v>
      </c>
      <c r="E21" s="208">
        <v>43829</v>
      </c>
      <c r="F21" s="209"/>
      <c r="H21" s="106">
        <v>663</v>
      </c>
      <c r="I21" s="210"/>
      <c r="J21" s="209"/>
    </row>
    <row r="22" spans="1:11">
      <c r="A22" s="124" t="s">
        <v>17</v>
      </c>
      <c r="B22" s="124" t="s">
        <v>567</v>
      </c>
      <c r="C22" s="211" t="s">
        <v>3969</v>
      </c>
      <c r="D22" s="211"/>
      <c r="E22" s="208"/>
      <c r="F22" s="209"/>
      <c r="H22" s="106">
        <v>554</v>
      </c>
      <c r="I22" s="210"/>
      <c r="J22" s="209"/>
    </row>
    <row r="23" spans="1:11">
      <c r="A23" s="106" t="s">
        <v>3203</v>
      </c>
      <c r="B23" s="106" t="s">
        <v>3204</v>
      </c>
      <c r="C23" s="106" t="s">
        <v>3205</v>
      </c>
      <c r="E23" s="208">
        <v>43829</v>
      </c>
      <c r="F23" s="209"/>
      <c r="H23" s="106" t="s">
        <v>4709</v>
      </c>
      <c r="I23" s="210" t="s">
        <v>3936</v>
      </c>
      <c r="J23" s="209"/>
    </row>
    <row r="24" spans="1:11">
      <c r="A24" s="106" t="s">
        <v>3206</v>
      </c>
      <c r="B24" s="106" t="s">
        <v>3207</v>
      </c>
      <c r="C24" s="106" t="s">
        <v>3001</v>
      </c>
      <c r="E24" s="208">
        <v>43829</v>
      </c>
      <c r="F24" s="209"/>
      <c r="H24" s="106">
        <v>163</v>
      </c>
      <c r="I24" s="210"/>
      <c r="J24" s="209"/>
    </row>
    <row r="25" spans="1:11">
      <c r="A25" s="106" t="s">
        <v>3208</v>
      </c>
      <c r="B25" s="106" t="s">
        <v>3209</v>
      </c>
      <c r="C25" s="212" t="s">
        <v>2947</v>
      </c>
      <c r="D25" s="212"/>
      <c r="E25" s="208">
        <v>43829</v>
      </c>
      <c r="F25" s="209"/>
      <c r="H25" s="106">
        <v>82</v>
      </c>
      <c r="I25" s="210"/>
      <c r="J25" s="209"/>
    </row>
    <row r="26" spans="1:11">
      <c r="A26" s="106" t="s">
        <v>2346</v>
      </c>
      <c r="B26" s="106" t="s">
        <v>3210</v>
      </c>
      <c r="C26" s="106" t="s">
        <v>2925</v>
      </c>
      <c r="E26" s="208">
        <v>43829</v>
      </c>
      <c r="F26" s="209"/>
      <c r="H26" s="106" t="s">
        <v>4731</v>
      </c>
      <c r="I26" s="210">
        <v>8</v>
      </c>
      <c r="J26" s="209"/>
    </row>
    <row r="27" spans="1:11">
      <c r="A27" s="106" t="s">
        <v>3211</v>
      </c>
      <c r="C27" s="106" t="s">
        <v>3212</v>
      </c>
      <c r="E27" s="208">
        <v>43829</v>
      </c>
      <c r="F27" s="209"/>
      <c r="H27" s="106">
        <v>264</v>
      </c>
      <c r="I27" s="210"/>
      <c r="J27" s="209"/>
    </row>
    <row r="28" spans="1:11">
      <c r="A28" s="106" t="s">
        <v>3213</v>
      </c>
      <c r="B28" s="106" t="s">
        <v>3214</v>
      </c>
      <c r="C28" s="106" t="s">
        <v>3215</v>
      </c>
      <c r="E28" s="208">
        <v>43829</v>
      </c>
      <c r="F28" s="209"/>
      <c r="H28" s="106">
        <v>275</v>
      </c>
      <c r="I28" s="210"/>
      <c r="J28" s="209"/>
    </row>
    <row r="29" spans="1:11">
      <c r="A29" s="106" t="s">
        <v>3216</v>
      </c>
      <c r="B29" s="106" t="s">
        <v>3217</v>
      </c>
      <c r="C29" s="106" t="s">
        <v>3218</v>
      </c>
      <c r="E29" s="208">
        <v>43829</v>
      </c>
      <c r="F29" s="209" t="s">
        <v>2673</v>
      </c>
      <c r="H29" s="106">
        <v>731</v>
      </c>
      <c r="I29" s="210"/>
      <c r="J29" s="209"/>
    </row>
    <row r="30" spans="1:11">
      <c r="A30" s="106" t="s">
        <v>3134</v>
      </c>
      <c r="B30" s="106" t="s">
        <v>3133</v>
      </c>
      <c r="C30" s="106" t="s">
        <v>3922</v>
      </c>
      <c r="E30" s="208"/>
      <c r="F30" s="209"/>
      <c r="H30" s="106">
        <v>304</v>
      </c>
      <c r="I30" s="210"/>
      <c r="J30" s="209"/>
    </row>
    <row r="31" spans="1:11">
      <c r="A31" s="106" t="s">
        <v>2597</v>
      </c>
      <c r="C31" s="211" t="s">
        <v>2602</v>
      </c>
      <c r="D31" s="211"/>
      <c r="E31" s="209">
        <v>43828</v>
      </c>
      <c r="F31" s="209" t="s">
        <v>2231</v>
      </c>
      <c r="I31" s="210">
        <v>9</v>
      </c>
      <c r="J31" s="209"/>
    </row>
    <row r="32" spans="1:11">
      <c r="A32" s="106" t="s">
        <v>3219</v>
      </c>
      <c r="B32" s="106" t="s">
        <v>3220</v>
      </c>
      <c r="C32" s="106" t="s">
        <v>2782</v>
      </c>
      <c r="E32" s="209">
        <v>43828</v>
      </c>
      <c r="F32" s="209"/>
      <c r="H32" s="106" t="s">
        <v>4753</v>
      </c>
      <c r="I32" s="210"/>
      <c r="J32" s="209"/>
    </row>
    <row r="33" spans="1:10">
      <c r="A33" s="106" t="s">
        <v>372</v>
      </c>
      <c r="B33" s="106" t="s">
        <v>371</v>
      </c>
      <c r="C33" s="106" t="s">
        <v>373</v>
      </c>
      <c r="H33" s="106">
        <v>597</v>
      </c>
    </row>
    <row r="34" spans="1:10">
      <c r="A34" s="106" t="s">
        <v>372</v>
      </c>
      <c r="B34" s="106" t="s">
        <v>374</v>
      </c>
      <c r="C34" s="106" t="s">
        <v>373</v>
      </c>
      <c r="H34" s="106" t="s">
        <v>4753</v>
      </c>
    </row>
    <row r="35" spans="1:10">
      <c r="A35" s="106" t="s">
        <v>2658</v>
      </c>
      <c r="B35" s="106" t="s">
        <v>3221</v>
      </c>
      <c r="C35" s="106" t="s">
        <v>2867</v>
      </c>
      <c r="E35" s="209">
        <v>43828</v>
      </c>
      <c r="F35" s="209"/>
      <c r="H35" s="106">
        <v>465</v>
      </c>
      <c r="I35" s="210"/>
      <c r="J35" s="209"/>
    </row>
    <row r="36" spans="1:10">
      <c r="A36" s="106" t="s">
        <v>3222</v>
      </c>
      <c r="C36" s="106" t="s">
        <v>2803</v>
      </c>
      <c r="E36" s="209">
        <v>43828</v>
      </c>
      <c r="F36" s="209"/>
      <c r="H36" s="106">
        <v>574</v>
      </c>
      <c r="I36" s="210"/>
      <c r="J36" s="209"/>
    </row>
    <row r="37" spans="1:10">
      <c r="A37" s="106" t="s">
        <v>3222</v>
      </c>
      <c r="B37" s="106" t="s">
        <v>3223</v>
      </c>
      <c r="C37" s="106" t="s">
        <v>3002</v>
      </c>
      <c r="E37" s="208">
        <v>43829</v>
      </c>
      <c r="F37" s="209"/>
      <c r="H37" s="106">
        <v>165</v>
      </c>
      <c r="I37" s="210"/>
      <c r="J37" s="209"/>
    </row>
    <row r="38" spans="1:10">
      <c r="A38" s="106" t="s">
        <v>3222</v>
      </c>
      <c r="B38" s="106" t="s">
        <v>3224</v>
      </c>
      <c r="C38" s="106" t="s">
        <v>3011</v>
      </c>
      <c r="E38" s="208">
        <v>43829</v>
      </c>
      <c r="F38" s="209"/>
      <c r="H38" s="106">
        <v>175</v>
      </c>
      <c r="I38" s="210"/>
      <c r="J38" s="209"/>
    </row>
    <row r="39" spans="1:10">
      <c r="A39" s="106" t="s">
        <v>3222</v>
      </c>
      <c r="B39" s="106" t="s">
        <v>3225</v>
      </c>
      <c r="C39" s="106" t="s">
        <v>3045</v>
      </c>
      <c r="E39" s="208">
        <v>43829</v>
      </c>
      <c r="F39" s="209"/>
      <c r="H39" s="106">
        <v>214</v>
      </c>
      <c r="I39" s="210"/>
      <c r="J39" s="209"/>
    </row>
    <row r="40" spans="1:10">
      <c r="A40" s="106" t="s">
        <v>3222</v>
      </c>
      <c r="B40" s="106" t="s">
        <v>2308</v>
      </c>
      <c r="C40" s="106" t="s">
        <v>3226</v>
      </c>
      <c r="E40" s="208">
        <v>43829</v>
      </c>
      <c r="F40" s="209"/>
      <c r="H40" s="106" t="s">
        <v>4742</v>
      </c>
      <c r="I40" s="210"/>
      <c r="J40" s="209"/>
    </row>
    <row r="41" spans="1:10">
      <c r="A41" s="106" t="s">
        <v>3222</v>
      </c>
      <c r="B41" s="106" t="s">
        <v>3227</v>
      </c>
      <c r="C41" s="106" t="s">
        <v>3228</v>
      </c>
      <c r="E41" s="208">
        <v>43829</v>
      </c>
      <c r="F41" s="209"/>
      <c r="H41" s="106">
        <v>582</v>
      </c>
      <c r="I41" s="210"/>
      <c r="J41" s="209"/>
    </row>
    <row r="42" spans="1:10">
      <c r="A42" s="106" t="s">
        <v>3222</v>
      </c>
      <c r="B42" s="106" t="s">
        <v>3229</v>
      </c>
      <c r="C42" s="106" t="s">
        <v>3230</v>
      </c>
      <c r="E42" s="208">
        <v>43829</v>
      </c>
      <c r="F42" s="209"/>
      <c r="H42" s="106">
        <v>691</v>
      </c>
      <c r="I42" s="210"/>
      <c r="J42" s="209"/>
    </row>
    <row r="43" spans="1:10">
      <c r="A43" s="106" t="s">
        <v>2307</v>
      </c>
      <c r="B43" s="106" t="s">
        <v>3224</v>
      </c>
      <c r="C43" s="106" t="s">
        <v>3012</v>
      </c>
      <c r="E43" s="208">
        <v>43829</v>
      </c>
      <c r="F43" s="209"/>
      <c r="H43" s="106">
        <v>176</v>
      </c>
      <c r="I43" s="210"/>
      <c r="J43" s="209"/>
    </row>
    <row r="44" spans="1:10">
      <c r="A44" s="106" t="s">
        <v>2307</v>
      </c>
      <c r="B44" s="106" t="s">
        <v>3231</v>
      </c>
      <c r="C44" s="106" t="s">
        <v>3015</v>
      </c>
      <c r="E44" s="208">
        <v>43829</v>
      </c>
      <c r="F44" s="209"/>
      <c r="H44" s="106">
        <v>180</v>
      </c>
      <c r="I44" s="210"/>
      <c r="J44" s="209"/>
    </row>
    <row r="45" spans="1:10">
      <c r="A45" s="106" t="s">
        <v>3232</v>
      </c>
      <c r="B45" s="106" t="s">
        <v>3233</v>
      </c>
      <c r="C45" s="106" t="s">
        <v>3234</v>
      </c>
      <c r="E45" s="208">
        <v>43829</v>
      </c>
      <c r="F45" s="209"/>
      <c r="H45" s="106" t="s">
        <v>4729</v>
      </c>
      <c r="I45" s="210"/>
      <c r="J45" s="209"/>
    </row>
    <row r="46" spans="1:10">
      <c r="A46" s="106" t="s">
        <v>3099</v>
      </c>
      <c r="B46" s="106" t="s">
        <v>3100</v>
      </c>
      <c r="C46" s="106" t="s">
        <v>3235</v>
      </c>
      <c r="E46" s="208">
        <v>43829</v>
      </c>
      <c r="F46" s="209"/>
      <c r="H46" s="106" t="s">
        <v>4738</v>
      </c>
      <c r="I46" s="210"/>
      <c r="J46" s="209"/>
    </row>
    <row r="47" spans="1:10">
      <c r="A47" s="106" t="s">
        <v>3236</v>
      </c>
      <c r="B47" s="106" t="s">
        <v>3237</v>
      </c>
      <c r="C47" s="106" t="s">
        <v>3238</v>
      </c>
      <c r="E47" s="208">
        <v>43829</v>
      </c>
      <c r="F47" s="209"/>
      <c r="H47" s="106">
        <v>300</v>
      </c>
      <c r="I47" s="210"/>
      <c r="J47" s="209"/>
    </row>
    <row r="48" spans="1:10">
      <c r="A48" s="106" t="s">
        <v>3239</v>
      </c>
      <c r="B48" s="106" t="s">
        <v>3240</v>
      </c>
      <c r="C48" s="106" t="s">
        <v>2886</v>
      </c>
      <c r="E48" s="208">
        <v>43829</v>
      </c>
      <c r="F48" s="209"/>
      <c r="H48" s="106" t="s">
        <v>3935</v>
      </c>
      <c r="I48" s="210"/>
      <c r="J48" s="209"/>
    </row>
    <row r="49" spans="1:11">
      <c r="A49" s="106" t="s">
        <v>3953</v>
      </c>
      <c r="C49" s="106" t="s">
        <v>3954</v>
      </c>
      <c r="E49" s="208"/>
      <c r="F49" s="209"/>
      <c r="I49" s="210">
        <v>13</v>
      </c>
      <c r="J49" s="209"/>
    </row>
    <row r="50" spans="1:11">
      <c r="A50" s="106" t="s">
        <v>3241</v>
      </c>
      <c r="B50" s="106" t="s">
        <v>3242</v>
      </c>
      <c r="C50" s="106" t="s">
        <v>3243</v>
      </c>
      <c r="E50" s="208">
        <v>43829</v>
      </c>
      <c r="F50" s="209"/>
      <c r="H50" s="106">
        <v>473</v>
      </c>
      <c r="I50" s="210"/>
      <c r="J50" s="209"/>
    </row>
    <row r="51" spans="1:11">
      <c r="A51" s="106" t="s">
        <v>3241</v>
      </c>
      <c r="C51" s="106" t="s">
        <v>3948</v>
      </c>
      <c r="E51" s="208"/>
      <c r="F51" s="209"/>
      <c r="I51" s="210">
        <v>14</v>
      </c>
      <c r="J51" s="209"/>
    </row>
    <row r="52" spans="1:11">
      <c r="A52" s="106" t="s">
        <v>3244</v>
      </c>
      <c r="B52" s="106" t="s">
        <v>3245</v>
      </c>
      <c r="C52" s="106" t="s">
        <v>2887</v>
      </c>
      <c r="E52" s="208">
        <v>43829</v>
      </c>
      <c r="F52" s="209"/>
      <c r="H52" s="106">
        <v>8</v>
      </c>
      <c r="I52" s="210"/>
      <c r="J52" s="209"/>
    </row>
    <row r="53" spans="1:11">
      <c r="A53" s="106" t="s">
        <v>3246</v>
      </c>
      <c r="B53" s="106" t="s">
        <v>3247</v>
      </c>
      <c r="C53" s="106" t="s">
        <v>3248</v>
      </c>
      <c r="E53" s="208">
        <v>43829</v>
      </c>
      <c r="F53" s="209"/>
      <c r="H53" s="106">
        <v>342</v>
      </c>
      <c r="I53" s="210"/>
      <c r="J53" s="209"/>
    </row>
    <row r="54" spans="1:11">
      <c r="A54" s="106" t="s">
        <v>3949</v>
      </c>
      <c r="C54" s="106" t="s">
        <v>3950</v>
      </c>
      <c r="E54" s="208"/>
      <c r="F54" s="209"/>
      <c r="I54" s="210">
        <v>15</v>
      </c>
      <c r="J54" s="209"/>
    </row>
    <row r="55" spans="1:11">
      <c r="A55" s="106" t="s">
        <v>2541</v>
      </c>
      <c r="B55" s="106" t="s">
        <v>3249</v>
      </c>
      <c r="C55" s="106" t="s">
        <v>2875</v>
      </c>
      <c r="E55" s="209">
        <v>43828</v>
      </c>
      <c r="F55" s="209"/>
      <c r="H55" s="106">
        <v>100</v>
      </c>
      <c r="I55" s="210"/>
      <c r="J55" s="209"/>
    </row>
    <row r="56" spans="1:11">
      <c r="A56" s="106" t="s">
        <v>2541</v>
      </c>
      <c r="B56" s="106" t="s">
        <v>3249</v>
      </c>
      <c r="C56" s="106" t="s">
        <v>2954</v>
      </c>
      <c r="E56" s="208">
        <v>43829</v>
      </c>
      <c r="F56" s="209"/>
      <c r="H56" s="106">
        <v>92</v>
      </c>
      <c r="I56" s="210"/>
      <c r="J56" s="209"/>
    </row>
    <row r="57" spans="1:11">
      <c r="A57" s="106" t="s">
        <v>3250</v>
      </c>
      <c r="B57" s="106" t="s">
        <v>2535</v>
      </c>
      <c r="C57" s="106" t="s">
        <v>2893</v>
      </c>
      <c r="E57" s="208">
        <v>43829</v>
      </c>
      <c r="F57" s="209"/>
      <c r="H57" s="106">
        <v>18</v>
      </c>
      <c r="I57" s="210"/>
      <c r="J57" s="209"/>
    </row>
    <row r="58" spans="1:11">
      <c r="A58" s="106" t="s">
        <v>3251</v>
      </c>
      <c r="B58" s="106" t="s">
        <v>3252</v>
      </c>
      <c r="C58" s="106" t="s">
        <v>3253</v>
      </c>
      <c r="E58" s="208">
        <v>43829</v>
      </c>
      <c r="F58" s="209"/>
      <c r="H58" s="106">
        <v>372</v>
      </c>
      <c r="I58" s="210"/>
      <c r="J58" s="209"/>
    </row>
    <row r="59" spans="1:11">
      <c r="A59" s="106" t="s">
        <v>3254</v>
      </c>
      <c r="B59" s="106" t="s">
        <v>3255</v>
      </c>
      <c r="C59" s="106" t="s">
        <v>3256</v>
      </c>
      <c r="E59" s="208">
        <v>43829</v>
      </c>
      <c r="F59" s="209"/>
      <c r="H59" s="106" t="s">
        <v>4754</v>
      </c>
      <c r="I59" s="210"/>
      <c r="J59" s="209"/>
      <c r="K59" s="106" t="s">
        <v>2673</v>
      </c>
    </row>
    <row r="60" spans="1:11">
      <c r="A60" s="106" t="s">
        <v>3254</v>
      </c>
      <c r="B60" s="106" t="s">
        <v>3923</v>
      </c>
      <c r="C60" s="106" t="s">
        <v>3101</v>
      </c>
      <c r="E60" s="208"/>
      <c r="F60" s="209"/>
      <c r="H60" s="106">
        <v>414</v>
      </c>
      <c r="I60" s="210"/>
      <c r="J60" s="209"/>
    </row>
    <row r="61" spans="1:11">
      <c r="A61" s="213" t="s">
        <v>3257</v>
      </c>
      <c r="C61" s="211" t="s">
        <v>2715</v>
      </c>
      <c r="D61" s="211"/>
      <c r="E61" s="208">
        <v>43825</v>
      </c>
      <c r="F61" s="209" t="s">
        <v>2231</v>
      </c>
      <c r="I61" s="210">
        <v>16</v>
      </c>
      <c r="K61" s="106" t="s">
        <v>2664</v>
      </c>
    </row>
    <row r="62" spans="1:11">
      <c r="A62" s="106" t="s">
        <v>3257</v>
      </c>
      <c r="B62" s="106" t="s">
        <v>3258</v>
      </c>
      <c r="C62" s="106" t="s">
        <v>2905</v>
      </c>
      <c r="E62" s="208">
        <v>43829</v>
      </c>
      <c r="F62" s="209"/>
      <c r="H62" s="106">
        <v>33</v>
      </c>
      <c r="I62" s="210"/>
      <c r="J62" s="209"/>
    </row>
    <row r="63" spans="1:11">
      <c r="A63" s="106" t="s">
        <v>2319</v>
      </c>
      <c r="B63" s="106" t="s">
        <v>2324</v>
      </c>
      <c r="C63" s="106" t="s">
        <v>2871</v>
      </c>
      <c r="E63" s="209">
        <v>43828</v>
      </c>
      <c r="F63" s="209"/>
      <c r="H63" s="106">
        <v>733</v>
      </c>
      <c r="I63" s="210"/>
      <c r="J63" s="209"/>
    </row>
    <row r="64" spans="1:11">
      <c r="A64" s="106" t="s">
        <v>3259</v>
      </c>
      <c r="B64" s="106" t="s">
        <v>2311</v>
      </c>
      <c r="C64" s="106" t="s">
        <v>2869</v>
      </c>
      <c r="E64" s="209">
        <v>43828</v>
      </c>
      <c r="F64" s="209"/>
      <c r="H64" s="106" t="s">
        <v>4761</v>
      </c>
      <c r="I64" s="210"/>
      <c r="J64" s="209"/>
    </row>
    <row r="65" spans="1:11">
      <c r="A65" s="106" t="s">
        <v>3260</v>
      </c>
      <c r="B65" s="106" t="s">
        <v>3261</v>
      </c>
      <c r="C65" s="106" t="s">
        <v>3262</v>
      </c>
      <c r="E65" s="208">
        <v>43829</v>
      </c>
      <c r="F65" s="209"/>
      <c r="H65" s="106">
        <v>618</v>
      </c>
      <c r="I65" s="210"/>
      <c r="J65" s="209"/>
    </row>
    <row r="66" spans="1:11">
      <c r="A66" s="106" t="s">
        <v>3263</v>
      </c>
      <c r="B66" s="106" t="s">
        <v>3264</v>
      </c>
      <c r="C66" s="106" t="s">
        <v>2901</v>
      </c>
      <c r="E66" s="208">
        <v>43829</v>
      </c>
      <c r="F66" s="209"/>
      <c r="H66" s="106">
        <v>27</v>
      </c>
      <c r="I66" s="210"/>
      <c r="J66" s="209"/>
    </row>
    <row r="67" spans="1:11">
      <c r="A67" s="106" t="s">
        <v>3265</v>
      </c>
      <c r="B67" s="106" t="s">
        <v>3266</v>
      </c>
      <c r="C67" s="106" t="s">
        <v>2997</v>
      </c>
      <c r="E67" s="208">
        <v>43829</v>
      </c>
      <c r="F67" s="209"/>
      <c r="H67" s="106">
        <v>154</v>
      </c>
      <c r="I67" s="210"/>
      <c r="J67" s="209"/>
    </row>
    <row r="68" spans="1:11">
      <c r="A68" s="106" t="s">
        <v>3267</v>
      </c>
      <c r="B68" s="106" t="s">
        <v>3268</v>
      </c>
      <c r="C68" s="106" t="s">
        <v>2847</v>
      </c>
      <c r="E68" s="209">
        <v>43828</v>
      </c>
      <c r="F68" s="209"/>
      <c r="H68" s="106">
        <v>466</v>
      </c>
      <c r="I68" s="210"/>
      <c r="J68" s="209"/>
    </row>
    <row r="69" spans="1:11">
      <c r="A69" s="106" t="s">
        <v>3269</v>
      </c>
      <c r="B69" s="106" t="s">
        <v>3270</v>
      </c>
      <c r="C69" s="106" t="s">
        <v>3271</v>
      </c>
      <c r="E69" s="208">
        <v>43829</v>
      </c>
      <c r="F69" s="209"/>
      <c r="H69" s="106">
        <v>282</v>
      </c>
      <c r="I69" s="210"/>
      <c r="J69" s="209"/>
    </row>
    <row r="70" spans="1:11">
      <c r="A70" s="106" t="s">
        <v>3269</v>
      </c>
      <c r="B70" s="106" t="s">
        <v>3272</v>
      </c>
      <c r="C70" s="106" t="s">
        <v>3273</v>
      </c>
      <c r="E70" s="208">
        <v>43829</v>
      </c>
      <c r="F70" s="209"/>
      <c r="H70" s="106">
        <v>322</v>
      </c>
      <c r="I70" s="210"/>
      <c r="J70" s="209"/>
    </row>
    <row r="71" spans="1:11">
      <c r="A71" s="106" t="s">
        <v>3269</v>
      </c>
      <c r="B71" s="106" t="s">
        <v>3274</v>
      </c>
      <c r="C71" s="106" t="s">
        <v>3275</v>
      </c>
      <c r="E71" s="208">
        <v>43829</v>
      </c>
      <c r="F71" s="209"/>
      <c r="H71" s="106">
        <v>545</v>
      </c>
      <c r="I71" s="210"/>
      <c r="J71" s="209"/>
    </row>
    <row r="72" spans="1:11">
      <c r="A72" s="106" t="s">
        <v>3269</v>
      </c>
      <c r="B72" s="106" t="s">
        <v>3276</v>
      </c>
      <c r="C72" s="106" t="s">
        <v>3277</v>
      </c>
      <c r="E72" s="208">
        <v>43829</v>
      </c>
      <c r="F72" s="209"/>
      <c r="H72" s="106">
        <v>660</v>
      </c>
      <c r="I72" s="210"/>
      <c r="J72" s="209"/>
    </row>
    <row r="73" spans="1:11">
      <c r="A73" s="106" t="s">
        <v>2633</v>
      </c>
      <c r="B73" s="106" t="s">
        <v>2634</v>
      </c>
      <c r="C73" s="211" t="s">
        <v>2388</v>
      </c>
      <c r="D73" s="211"/>
      <c r="E73" s="209">
        <v>43828</v>
      </c>
      <c r="F73" s="209"/>
      <c r="H73" s="106">
        <v>17</v>
      </c>
      <c r="I73" s="210"/>
      <c r="J73" s="209"/>
    </row>
    <row r="74" spans="1:11">
      <c r="A74" s="106" t="s">
        <v>3278</v>
      </c>
      <c r="B74" s="106" t="s">
        <v>3279</v>
      </c>
      <c r="C74" s="106" t="s">
        <v>3280</v>
      </c>
      <c r="E74" s="208">
        <v>43829</v>
      </c>
      <c r="F74" s="209" t="s">
        <v>2673</v>
      </c>
      <c r="H74" s="106">
        <v>561</v>
      </c>
      <c r="I74" s="210"/>
      <c r="J74" s="209"/>
    </row>
    <row r="75" spans="1:11">
      <c r="A75" s="106" t="s">
        <v>2347</v>
      </c>
      <c r="B75" s="106" t="s">
        <v>2674</v>
      </c>
      <c r="C75" s="211" t="s">
        <v>2675</v>
      </c>
      <c r="D75" s="211"/>
      <c r="E75" s="209">
        <v>43828</v>
      </c>
      <c r="F75" s="209"/>
      <c r="H75" s="106">
        <v>179</v>
      </c>
      <c r="I75" s="210"/>
      <c r="J75" s="209"/>
      <c r="K75" s="106" t="s">
        <v>2673</v>
      </c>
    </row>
    <row r="76" spans="1:11">
      <c r="A76" s="106" t="s">
        <v>2546</v>
      </c>
      <c r="C76" s="106" t="s">
        <v>2545</v>
      </c>
      <c r="E76" s="209">
        <v>43828</v>
      </c>
      <c r="F76" s="209"/>
      <c r="I76" s="210">
        <v>17</v>
      </c>
      <c r="J76" s="209"/>
    </row>
    <row r="77" spans="1:11">
      <c r="A77" s="106" t="s">
        <v>2548</v>
      </c>
      <c r="C77" s="106" t="s">
        <v>2547</v>
      </c>
      <c r="E77" s="209">
        <v>43828</v>
      </c>
      <c r="F77" s="209"/>
      <c r="I77" s="210">
        <v>18</v>
      </c>
      <c r="J77" s="209"/>
      <c r="K77" s="106" t="s">
        <v>2664</v>
      </c>
    </row>
    <row r="78" spans="1:11">
      <c r="A78" s="214" t="s">
        <v>2550</v>
      </c>
      <c r="B78" s="214"/>
      <c r="C78" s="106" t="s">
        <v>2549</v>
      </c>
      <c r="E78" s="209">
        <v>43828</v>
      </c>
      <c r="F78" s="209"/>
      <c r="I78" s="210">
        <v>19</v>
      </c>
      <c r="J78" s="209"/>
    </row>
    <row r="79" spans="1:11">
      <c r="A79" s="106" t="s">
        <v>3281</v>
      </c>
      <c r="B79" s="106" t="s">
        <v>3282</v>
      </c>
      <c r="C79" s="106" t="s">
        <v>3283</v>
      </c>
      <c r="E79" s="208">
        <v>43829</v>
      </c>
      <c r="F79" s="209"/>
      <c r="H79" s="106">
        <v>417</v>
      </c>
      <c r="I79" s="210"/>
      <c r="J79" s="209"/>
    </row>
    <row r="80" spans="1:11">
      <c r="A80" s="106" t="s">
        <v>3284</v>
      </c>
      <c r="B80" s="106" t="s">
        <v>2429</v>
      </c>
      <c r="C80" s="106" t="s">
        <v>3285</v>
      </c>
      <c r="E80" s="208">
        <v>43829</v>
      </c>
      <c r="F80" s="209"/>
      <c r="H80" s="106">
        <v>600</v>
      </c>
      <c r="I80" s="210"/>
      <c r="J80" s="209"/>
    </row>
    <row r="81" spans="1:10">
      <c r="A81" s="106" t="s">
        <v>3286</v>
      </c>
      <c r="B81" s="106" t="s">
        <v>2428</v>
      </c>
      <c r="C81" s="106" t="s">
        <v>3287</v>
      </c>
      <c r="E81" s="208">
        <v>43829</v>
      </c>
      <c r="F81" s="209"/>
      <c r="H81" s="106">
        <v>415</v>
      </c>
      <c r="I81" s="210"/>
      <c r="J81" s="209"/>
    </row>
    <row r="82" spans="1:10">
      <c r="A82" s="106" t="s">
        <v>3087</v>
      </c>
      <c r="B82" s="106" t="s">
        <v>3288</v>
      </c>
      <c r="C82" s="106" t="s">
        <v>2775</v>
      </c>
      <c r="E82" s="209">
        <v>43828</v>
      </c>
      <c r="F82" s="209"/>
      <c r="H82" s="106">
        <v>712</v>
      </c>
      <c r="I82" s="210"/>
      <c r="J82" s="209"/>
    </row>
    <row r="83" spans="1:10">
      <c r="A83" s="106" t="s">
        <v>3087</v>
      </c>
      <c r="B83" s="106" t="s">
        <v>3289</v>
      </c>
      <c r="C83" s="106" t="s">
        <v>3049</v>
      </c>
      <c r="E83" s="208">
        <v>43829</v>
      </c>
      <c r="F83" s="209"/>
      <c r="H83" s="106">
        <v>218</v>
      </c>
      <c r="I83" s="210"/>
      <c r="J83" s="209"/>
    </row>
    <row r="84" spans="1:10">
      <c r="A84" s="106" t="s">
        <v>3087</v>
      </c>
      <c r="B84" s="106" t="s">
        <v>3088</v>
      </c>
      <c r="C84" s="106" t="s">
        <v>3290</v>
      </c>
      <c r="E84" s="208">
        <v>43829</v>
      </c>
      <c r="F84" s="209"/>
      <c r="H84" s="106" t="s">
        <v>4745</v>
      </c>
      <c r="I84" s="210"/>
      <c r="J84" s="209"/>
    </row>
    <row r="85" spans="1:10">
      <c r="A85" s="106" t="s">
        <v>3291</v>
      </c>
      <c r="B85" s="106" t="s">
        <v>3292</v>
      </c>
      <c r="C85" s="106" t="s">
        <v>3293</v>
      </c>
      <c r="E85" s="208">
        <v>43829</v>
      </c>
      <c r="F85" s="209"/>
      <c r="H85" s="106">
        <v>291</v>
      </c>
      <c r="I85" s="210"/>
      <c r="J85" s="209"/>
    </row>
    <row r="86" spans="1:10">
      <c r="A86" s="106" t="s">
        <v>3294</v>
      </c>
      <c r="B86" s="106" t="s">
        <v>3295</v>
      </c>
      <c r="C86" s="106" t="s">
        <v>3296</v>
      </c>
      <c r="E86" s="208">
        <v>43829</v>
      </c>
      <c r="F86" s="209"/>
      <c r="H86" s="106">
        <v>698</v>
      </c>
      <c r="I86" s="210"/>
      <c r="J86" s="209"/>
    </row>
    <row r="87" spans="1:10">
      <c r="A87" s="106" t="s">
        <v>2544</v>
      </c>
      <c r="B87" s="106" t="s">
        <v>3297</v>
      </c>
      <c r="C87" s="106" t="s">
        <v>2989</v>
      </c>
      <c r="E87" s="208">
        <v>43829</v>
      </c>
      <c r="F87" s="209"/>
      <c r="H87" s="106">
        <v>142</v>
      </c>
      <c r="I87" s="210"/>
      <c r="J87" s="209"/>
    </row>
    <row r="88" spans="1:10">
      <c r="A88" s="215" t="s">
        <v>2544</v>
      </c>
      <c r="B88" s="215" t="s">
        <v>3298</v>
      </c>
      <c r="C88" s="106" t="s">
        <v>3299</v>
      </c>
      <c r="E88" s="208">
        <v>43829</v>
      </c>
      <c r="F88" s="209"/>
      <c r="H88" s="106">
        <v>588</v>
      </c>
      <c r="I88" s="210"/>
      <c r="J88" s="209"/>
    </row>
    <row r="89" spans="1:10">
      <c r="A89" s="215" t="s">
        <v>3300</v>
      </c>
      <c r="B89" s="215" t="s">
        <v>3301</v>
      </c>
      <c r="C89" s="106" t="s">
        <v>2896</v>
      </c>
      <c r="E89" s="208">
        <v>43829</v>
      </c>
      <c r="F89" s="209"/>
      <c r="H89" s="106">
        <v>22</v>
      </c>
      <c r="I89" s="210"/>
      <c r="J89" s="209"/>
    </row>
    <row r="90" spans="1:10">
      <c r="A90" s="106" t="s">
        <v>3302</v>
      </c>
      <c r="B90" s="106" t="s">
        <v>3303</v>
      </c>
      <c r="C90" s="106" t="s">
        <v>3304</v>
      </c>
      <c r="E90" s="208">
        <v>43829</v>
      </c>
      <c r="F90" s="209"/>
      <c r="H90" s="106">
        <v>323</v>
      </c>
      <c r="I90" s="210"/>
      <c r="J90" s="209"/>
    </row>
    <row r="91" spans="1:10">
      <c r="A91" s="106" t="s">
        <v>3091</v>
      </c>
      <c r="B91" s="106" t="s">
        <v>3305</v>
      </c>
      <c r="C91" s="106" t="s">
        <v>3306</v>
      </c>
      <c r="E91" s="208">
        <v>43829</v>
      </c>
      <c r="F91" s="209"/>
      <c r="H91" s="106" t="s">
        <v>4749</v>
      </c>
      <c r="I91" s="210"/>
      <c r="J91" s="209"/>
    </row>
    <row r="92" spans="1:10">
      <c r="A92" s="106" t="s">
        <v>3307</v>
      </c>
      <c r="C92" s="106" t="s">
        <v>3308</v>
      </c>
      <c r="E92" s="208">
        <v>43829</v>
      </c>
      <c r="F92" s="209"/>
      <c r="H92" s="106">
        <v>256</v>
      </c>
      <c r="I92" s="210"/>
      <c r="J92" s="209"/>
    </row>
    <row r="93" spans="1:10">
      <c r="A93" s="106" t="s">
        <v>3309</v>
      </c>
      <c r="B93" s="106" t="s">
        <v>3310</v>
      </c>
      <c r="C93" s="106" t="s">
        <v>3311</v>
      </c>
      <c r="E93" s="208">
        <v>43829</v>
      </c>
      <c r="F93" s="209"/>
      <c r="H93" s="106">
        <v>331</v>
      </c>
      <c r="I93" s="210"/>
      <c r="J93" s="209"/>
    </row>
    <row r="94" spans="1:10">
      <c r="A94" s="106" t="s">
        <v>3312</v>
      </c>
      <c r="B94" s="106" t="s">
        <v>3313</v>
      </c>
      <c r="C94" s="216" t="s">
        <v>2772</v>
      </c>
      <c r="D94" s="216"/>
      <c r="E94" s="209">
        <v>43828</v>
      </c>
      <c r="F94" s="209"/>
      <c r="H94" s="106" t="s">
        <v>4739</v>
      </c>
      <c r="I94" s="210"/>
      <c r="J94" s="209"/>
    </row>
    <row r="95" spans="1:10">
      <c r="A95" s="106" t="s">
        <v>3314</v>
      </c>
      <c r="B95" s="106" t="s">
        <v>3315</v>
      </c>
      <c r="C95" s="106" t="s">
        <v>2825</v>
      </c>
      <c r="E95" s="209">
        <v>43828</v>
      </c>
      <c r="F95" s="209"/>
      <c r="H95" s="106">
        <v>648</v>
      </c>
      <c r="I95" s="210"/>
      <c r="J95" s="209"/>
    </row>
    <row r="96" spans="1:10">
      <c r="A96" s="106" t="s">
        <v>3314</v>
      </c>
      <c r="B96" s="106" t="s">
        <v>3314</v>
      </c>
      <c r="C96" s="106" t="s">
        <v>3316</v>
      </c>
      <c r="E96" s="208">
        <v>43829</v>
      </c>
      <c r="F96" s="209"/>
      <c r="H96" s="106" t="s">
        <v>4751</v>
      </c>
      <c r="I96" s="210"/>
      <c r="J96" s="209"/>
    </row>
    <row r="97" spans="1:10">
      <c r="A97" s="106" t="s">
        <v>406</v>
      </c>
      <c r="C97" s="106" t="s">
        <v>407</v>
      </c>
      <c r="H97" s="106" t="s">
        <v>4733</v>
      </c>
    </row>
    <row r="98" spans="1:10">
      <c r="A98" s="106" t="s">
        <v>2356</v>
      </c>
      <c r="C98" s="106" t="s">
        <v>2367</v>
      </c>
      <c r="E98" s="209">
        <v>43828</v>
      </c>
      <c r="F98" s="209"/>
      <c r="H98" s="106">
        <v>77</v>
      </c>
      <c r="I98" s="210"/>
      <c r="J98" s="209"/>
    </row>
    <row r="99" spans="1:10">
      <c r="A99" s="106" t="s">
        <v>2356</v>
      </c>
      <c r="B99" s="106" t="s">
        <v>3317</v>
      </c>
      <c r="C99" s="106" t="s">
        <v>2790</v>
      </c>
      <c r="E99" s="209">
        <v>43828</v>
      </c>
      <c r="F99" s="209"/>
      <c r="H99" s="106">
        <v>652</v>
      </c>
      <c r="I99" s="210"/>
      <c r="J99" s="209"/>
    </row>
    <row r="100" spans="1:10">
      <c r="A100" s="106" t="s">
        <v>404</v>
      </c>
      <c r="B100" s="106" t="s">
        <v>403</v>
      </c>
      <c r="C100" s="106" t="s">
        <v>405</v>
      </c>
      <c r="H100" s="106">
        <v>652</v>
      </c>
    </row>
    <row r="101" spans="1:10">
      <c r="A101" s="106" t="s">
        <v>3318</v>
      </c>
      <c r="B101" s="106" t="s">
        <v>3319</v>
      </c>
      <c r="C101" s="106" t="s">
        <v>3320</v>
      </c>
      <c r="E101" s="208">
        <v>43829</v>
      </c>
      <c r="F101" s="209"/>
      <c r="H101" s="106">
        <v>601</v>
      </c>
      <c r="I101" s="210"/>
      <c r="J101" s="209"/>
    </row>
    <row r="102" spans="1:10">
      <c r="A102" s="106" t="s">
        <v>2344</v>
      </c>
      <c r="C102" s="106" t="s">
        <v>2392</v>
      </c>
      <c r="E102" s="209">
        <v>43828</v>
      </c>
      <c r="F102" s="209"/>
      <c r="I102" s="210">
        <v>102</v>
      </c>
      <c r="J102" s="209"/>
    </row>
    <row r="103" spans="1:10">
      <c r="A103" s="106" t="s">
        <v>3321</v>
      </c>
      <c r="B103" s="106" t="s">
        <v>3322</v>
      </c>
      <c r="C103" s="106" t="s">
        <v>3323</v>
      </c>
      <c r="E103" s="208">
        <v>43829</v>
      </c>
      <c r="F103" s="209" t="s">
        <v>2673</v>
      </c>
      <c r="H103" s="106" t="s">
        <v>4747</v>
      </c>
      <c r="I103" s="210">
        <v>103</v>
      </c>
      <c r="J103" s="209"/>
    </row>
    <row r="104" spans="1:10">
      <c r="A104" s="106" t="s">
        <v>3324</v>
      </c>
      <c r="B104" s="106" t="s">
        <v>3325</v>
      </c>
      <c r="C104" s="106" t="s">
        <v>3034</v>
      </c>
      <c r="E104" s="208">
        <v>43829</v>
      </c>
      <c r="F104" s="209"/>
      <c r="H104" s="106">
        <v>202</v>
      </c>
      <c r="I104" s="210"/>
      <c r="J104" s="209"/>
    </row>
    <row r="105" spans="1:10">
      <c r="A105" s="106" t="s">
        <v>3326</v>
      </c>
      <c r="B105" s="106" t="s">
        <v>3327</v>
      </c>
      <c r="C105" s="106" t="s">
        <v>3328</v>
      </c>
      <c r="E105" s="208">
        <v>43829</v>
      </c>
      <c r="F105" s="209"/>
      <c r="H105" s="106">
        <v>434</v>
      </c>
      <c r="I105" s="210"/>
      <c r="J105" s="209"/>
    </row>
    <row r="106" spans="1:10">
      <c r="A106" s="106" t="s">
        <v>3329</v>
      </c>
      <c r="B106" s="106" t="s">
        <v>3330</v>
      </c>
      <c r="C106" s="211" t="s">
        <v>2771</v>
      </c>
      <c r="D106" s="211"/>
      <c r="E106" s="209">
        <v>43828</v>
      </c>
      <c r="F106" s="209"/>
      <c r="H106" s="106">
        <v>628</v>
      </c>
      <c r="I106" s="210"/>
      <c r="J106" s="209"/>
    </row>
    <row r="107" spans="1:10">
      <c r="A107" s="106" t="s">
        <v>3331</v>
      </c>
      <c r="B107" s="106" t="s">
        <v>3332</v>
      </c>
      <c r="C107" s="106" t="s">
        <v>3333</v>
      </c>
      <c r="E107" s="208">
        <v>43829</v>
      </c>
      <c r="F107" s="209"/>
      <c r="H107" s="106">
        <v>279</v>
      </c>
      <c r="I107" s="210"/>
      <c r="J107" s="209"/>
    </row>
    <row r="108" spans="1:10">
      <c r="A108" s="106" t="s">
        <v>3331</v>
      </c>
      <c r="B108" s="106" t="s">
        <v>3334</v>
      </c>
      <c r="C108" s="106" t="s">
        <v>3335</v>
      </c>
      <c r="E108" s="208">
        <v>43829</v>
      </c>
      <c r="F108" s="209"/>
      <c r="H108" s="106">
        <v>426</v>
      </c>
      <c r="I108" s="210"/>
      <c r="J108" s="209"/>
    </row>
    <row r="109" spans="1:10">
      <c r="A109" s="106" t="s">
        <v>3336</v>
      </c>
      <c r="B109" s="106" t="s">
        <v>3337</v>
      </c>
      <c r="C109" s="106" t="s">
        <v>3338</v>
      </c>
      <c r="E109" s="208">
        <v>43829</v>
      </c>
      <c r="F109" s="209"/>
      <c r="H109" s="106">
        <v>393</v>
      </c>
      <c r="I109" s="210"/>
      <c r="J109" s="209"/>
    </row>
    <row r="110" spans="1:10">
      <c r="A110" s="106" t="s">
        <v>3339</v>
      </c>
      <c r="B110" s="106" t="s">
        <v>3340</v>
      </c>
      <c r="C110" s="106" t="s">
        <v>2784</v>
      </c>
      <c r="E110" s="209">
        <v>43828</v>
      </c>
      <c r="F110" s="209"/>
      <c r="H110" s="106">
        <v>695</v>
      </c>
      <c r="I110" s="210"/>
      <c r="J110" s="209"/>
    </row>
    <row r="111" spans="1:10">
      <c r="A111" s="106" t="s">
        <v>90</v>
      </c>
      <c r="B111" s="106" t="s">
        <v>384</v>
      </c>
      <c r="C111" s="106" t="s">
        <v>385</v>
      </c>
      <c r="H111" s="106">
        <v>695</v>
      </c>
    </row>
    <row r="112" spans="1:10">
      <c r="A112" s="106" t="s">
        <v>3341</v>
      </c>
      <c r="B112" s="106" t="s">
        <v>3342</v>
      </c>
      <c r="C112" s="106" t="s">
        <v>2868</v>
      </c>
      <c r="E112" s="209">
        <v>43828</v>
      </c>
      <c r="F112" s="209"/>
      <c r="H112" s="106">
        <v>584</v>
      </c>
      <c r="I112" s="210"/>
      <c r="J112" s="209"/>
    </row>
    <row r="113" spans="1:10">
      <c r="A113" s="106" t="s">
        <v>3343</v>
      </c>
      <c r="B113" s="106" t="s">
        <v>3344</v>
      </c>
      <c r="C113" s="106" t="s">
        <v>2835</v>
      </c>
      <c r="E113" s="209">
        <v>43828</v>
      </c>
      <c r="F113" s="209"/>
      <c r="H113" s="106">
        <v>362</v>
      </c>
      <c r="I113" s="210"/>
      <c r="J113" s="209"/>
    </row>
    <row r="114" spans="1:10">
      <c r="A114" s="106" t="s">
        <v>3345</v>
      </c>
      <c r="B114" s="106" t="s">
        <v>3346</v>
      </c>
      <c r="C114" s="106" t="s">
        <v>3347</v>
      </c>
      <c r="E114" s="208">
        <v>43829</v>
      </c>
      <c r="F114" s="209"/>
      <c r="H114" s="106">
        <v>416</v>
      </c>
      <c r="I114" s="210"/>
      <c r="J114" s="209"/>
    </row>
    <row r="115" spans="1:10">
      <c r="A115" s="106" t="s">
        <v>2638</v>
      </c>
      <c r="B115" s="106" t="s">
        <v>2639</v>
      </c>
      <c r="C115" s="211" t="s">
        <v>2640</v>
      </c>
      <c r="D115" s="211"/>
      <c r="E115" s="209">
        <v>43828</v>
      </c>
      <c r="F115" s="209"/>
      <c r="H115" s="106">
        <v>289</v>
      </c>
      <c r="I115" s="210"/>
      <c r="J115" s="209"/>
    </row>
    <row r="116" spans="1:10">
      <c r="A116" s="106" t="s">
        <v>3348</v>
      </c>
      <c r="B116" s="106" t="s">
        <v>3349</v>
      </c>
      <c r="C116" s="106" t="s">
        <v>2796</v>
      </c>
      <c r="E116" s="209">
        <v>43828</v>
      </c>
      <c r="F116" s="209"/>
      <c r="H116" s="106">
        <v>735</v>
      </c>
      <c r="I116" s="210"/>
      <c r="J116" s="209"/>
    </row>
    <row r="117" spans="1:10">
      <c r="A117" s="106" t="s">
        <v>3350</v>
      </c>
      <c r="B117" s="106" t="s">
        <v>3351</v>
      </c>
      <c r="C117" s="106" t="s">
        <v>3352</v>
      </c>
      <c r="E117" s="208">
        <v>43829</v>
      </c>
      <c r="F117" s="209"/>
      <c r="H117" s="106">
        <v>302</v>
      </c>
      <c r="I117" s="210"/>
      <c r="J117" s="209"/>
    </row>
    <row r="118" spans="1:10">
      <c r="A118" s="106" t="s">
        <v>3350</v>
      </c>
      <c r="B118" s="106" t="s">
        <v>3353</v>
      </c>
      <c r="C118" s="106" t="s">
        <v>3354</v>
      </c>
      <c r="E118" s="208">
        <v>43829</v>
      </c>
      <c r="F118" s="209"/>
      <c r="H118" s="106">
        <v>388</v>
      </c>
      <c r="I118" s="210"/>
      <c r="J118" s="209"/>
    </row>
    <row r="119" spans="1:10">
      <c r="A119" s="106" t="s">
        <v>367</v>
      </c>
      <c r="B119" s="106" t="s">
        <v>366</v>
      </c>
      <c r="C119" s="106" t="s">
        <v>368</v>
      </c>
      <c r="H119" s="106">
        <v>302</v>
      </c>
    </row>
    <row r="120" spans="1:10">
      <c r="A120" s="106" t="s">
        <v>367</v>
      </c>
      <c r="B120" s="106" t="s">
        <v>369</v>
      </c>
      <c r="C120" s="106" t="s">
        <v>370</v>
      </c>
      <c r="H120" s="106">
        <v>388</v>
      </c>
    </row>
    <row r="121" spans="1:10">
      <c r="A121" s="106" t="s">
        <v>3355</v>
      </c>
      <c r="B121" s="106" t="s">
        <v>3356</v>
      </c>
      <c r="C121" s="106" t="s">
        <v>2832</v>
      </c>
      <c r="E121" s="209">
        <v>43828</v>
      </c>
      <c r="F121" s="209"/>
      <c r="H121" s="106">
        <v>108</v>
      </c>
      <c r="I121" s="210"/>
      <c r="J121" s="209"/>
    </row>
    <row r="122" spans="1:10">
      <c r="A122" s="106" t="s">
        <v>3357</v>
      </c>
      <c r="B122" s="106" t="s">
        <v>3358</v>
      </c>
      <c r="C122" s="106" t="s">
        <v>2830</v>
      </c>
      <c r="E122" s="209">
        <v>43828</v>
      </c>
      <c r="F122" s="209"/>
      <c r="H122" s="106">
        <v>285</v>
      </c>
      <c r="I122" s="210"/>
      <c r="J122" s="209"/>
    </row>
    <row r="123" spans="1:10">
      <c r="A123" s="106" t="s">
        <v>3359</v>
      </c>
      <c r="B123" s="106" t="s">
        <v>3360</v>
      </c>
      <c r="C123" s="106" t="s">
        <v>3361</v>
      </c>
      <c r="E123" s="208">
        <v>43829</v>
      </c>
      <c r="F123" s="209"/>
      <c r="H123" s="106">
        <v>333</v>
      </c>
      <c r="I123" s="210"/>
      <c r="J123" s="209"/>
    </row>
    <row r="124" spans="1:10">
      <c r="A124" s="106" t="s">
        <v>3362</v>
      </c>
      <c r="B124" s="106" t="s">
        <v>3363</v>
      </c>
      <c r="C124" s="106" t="s">
        <v>3364</v>
      </c>
      <c r="E124" s="208">
        <v>43829</v>
      </c>
      <c r="F124" s="209"/>
      <c r="H124" s="106">
        <v>427</v>
      </c>
      <c r="I124" s="210"/>
      <c r="J124" s="209"/>
    </row>
    <row r="125" spans="1:10">
      <c r="A125" s="106" t="s">
        <v>3365</v>
      </c>
      <c r="B125" s="106" t="s">
        <v>3366</v>
      </c>
      <c r="C125" s="106" t="s">
        <v>2785</v>
      </c>
      <c r="E125" s="209">
        <v>43828</v>
      </c>
      <c r="F125" s="209"/>
      <c r="H125" s="106">
        <v>155</v>
      </c>
      <c r="I125" s="210"/>
      <c r="J125" s="209"/>
    </row>
    <row r="126" spans="1:10">
      <c r="A126" s="106" t="s">
        <v>3365</v>
      </c>
      <c r="B126" s="106" t="s">
        <v>3367</v>
      </c>
      <c r="C126" s="106" t="s">
        <v>2788</v>
      </c>
      <c r="E126" s="209">
        <v>43828</v>
      </c>
      <c r="F126" s="209"/>
      <c r="H126" s="106">
        <v>410</v>
      </c>
      <c r="I126" s="210"/>
      <c r="J126" s="209"/>
    </row>
    <row r="127" spans="1:10">
      <c r="A127" s="106" t="s">
        <v>3365</v>
      </c>
      <c r="B127" s="106" t="s">
        <v>3363</v>
      </c>
      <c r="C127" s="106" t="s">
        <v>2786</v>
      </c>
      <c r="E127" s="209">
        <v>43828</v>
      </c>
      <c r="F127" s="209"/>
      <c r="H127" s="106">
        <v>428</v>
      </c>
      <c r="I127" s="210"/>
      <c r="J127" s="209"/>
    </row>
    <row r="128" spans="1:10">
      <c r="A128" s="106" t="s">
        <v>3365</v>
      </c>
      <c r="B128" s="106" t="s">
        <v>3368</v>
      </c>
      <c r="C128" s="106" t="s">
        <v>2787</v>
      </c>
      <c r="E128" s="209">
        <v>43828</v>
      </c>
      <c r="F128" s="209"/>
      <c r="H128" s="106">
        <v>577</v>
      </c>
      <c r="I128" s="210"/>
      <c r="J128" s="209"/>
    </row>
    <row r="129" spans="1:10">
      <c r="A129" s="106" t="s">
        <v>3365</v>
      </c>
      <c r="B129" s="106" t="s">
        <v>3369</v>
      </c>
      <c r="C129" s="106" t="s">
        <v>2851</v>
      </c>
      <c r="E129" s="209">
        <v>43828</v>
      </c>
      <c r="F129" s="209"/>
      <c r="H129" s="106">
        <v>644</v>
      </c>
      <c r="I129" s="210"/>
      <c r="J129" s="209"/>
    </row>
    <row r="130" spans="1:10">
      <c r="A130" s="106" t="s">
        <v>386</v>
      </c>
      <c r="B130" s="106" t="s">
        <v>95</v>
      </c>
      <c r="C130" s="106" t="s">
        <v>387</v>
      </c>
      <c r="H130" s="106">
        <v>155</v>
      </c>
    </row>
    <row r="131" spans="1:10">
      <c r="A131" s="106" t="s">
        <v>386</v>
      </c>
      <c r="B131" s="106" t="s">
        <v>388</v>
      </c>
      <c r="C131" s="106" t="s">
        <v>389</v>
      </c>
      <c r="H131" s="106">
        <v>428</v>
      </c>
    </row>
    <row r="132" spans="1:10">
      <c r="A132" s="106" t="s">
        <v>386</v>
      </c>
      <c r="B132" s="106" t="s">
        <v>4008</v>
      </c>
      <c r="C132" s="106" t="s">
        <v>391</v>
      </c>
      <c r="H132" s="106">
        <v>577</v>
      </c>
    </row>
    <row r="133" spans="1:10">
      <c r="A133" s="106" t="s">
        <v>386</v>
      </c>
      <c r="B133" s="106" t="s">
        <v>392</v>
      </c>
      <c r="C133" s="106" t="s">
        <v>393</v>
      </c>
      <c r="H133" s="106">
        <v>410</v>
      </c>
    </row>
    <row r="134" spans="1:10">
      <c r="A134" s="106" t="s">
        <v>3370</v>
      </c>
      <c r="B134" s="106" t="s">
        <v>3366</v>
      </c>
      <c r="C134" s="106" t="s">
        <v>3371</v>
      </c>
      <c r="E134" s="208">
        <v>43829</v>
      </c>
      <c r="F134" s="209"/>
      <c r="H134" s="106">
        <v>294</v>
      </c>
      <c r="I134" s="210"/>
      <c r="J134" s="209"/>
    </row>
    <row r="135" spans="1:10">
      <c r="A135" s="106" t="s">
        <v>3372</v>
      </c>
      <c r="B135" s="106" t="s">
        <v>3373</v>
      </c>
      <c r="C135" s="106" t="s">
        <v>2995</v>
      </c>
      <c r="E135" s="208">
        <v>43829</v>
      </c>
      <c r="F135" s="209"/>
      <c r="H135" s="106">
        <v>152</v>
      </c>
      <c r="I135" s="210"/>
      <c r="J135" s="209"/>
    </row>
    <row r="136" spans="1:10">
      <c r="A136" s="106" t="s">
        <v>2374</v>
      </c>
      <c r="B136" s="106" t="s">
        <v>2376</v>
      </c>
      <c r="C136" s="106" t="s">
        <v>2780</v>
      </c>
      <c r="E136" s="209">
        <v>43828</v>
      </c>
      <c r="F136" s="209"/>
      <c r="H136" s="106">
        <v>226</v>
      </c>
      <c r="I136" s="210"/>
      <c r="J136" s="209"/>
    </row>
    <row r="137" spans="1:10">
      <c r="A137" s="215" t="s">
        <v>3374</v>
      </c>
      <c r="B137" s="215" t="s">
        <v>3375</v>
      </c>
      <c r="C137" s="106" t="s">
        <v>2781</v>
      </c>
      <c r="E137" s="209">
        <v>43828</v>
      </c>
      <c r="F137" s="209"/>
      <c r="H137" s="106">
        <v>459</v>
      </c>
      <c r="I137" s="210"/>
      <c r="J137" s="209"/>
    </row>
    <row r="138" spans="1:10">
      <c r="A138" s="106" t="s">
        <v>3374</v>
      </c>
      <c r="B138" s="106" t="s">
        <v>3376</v>
      </c>
      <c r="C138" s="106" t="s">
        <v>3058</v>
      </c>
      <c r="E138" s="208">
        <v>43829</v>
      </c>
      <c r="F138" s="209"/>
      <c r="H138" s="106">
        <v>228</v>
      </c>
      <c r="I138" s="210"/>
      <c r="J138" s="209"/>
    </row>
    <row r="139" spans="1:10">
      <c r="A139" s="106" t="s">
        <v>101</v>
      </c>
      <c r="B139" s="106" t="s">
        <v>359</v>
      </c>
      <c r="C139" s="106" t="s">
        <v>360</v>
      </c>
      <c r="H139" s="106" t="s">
        <v>4736</v>
      </c>
    </row>
    <row r="140" spans="1:10">
      <c r="A140" s="106" t="s">
        <v>101</v>
      </c>
      <c r="B140" s="106" t="s">
        <v>361</v>
      </c>
      <c r="C140" s="106" t="s">
        <v>362</v>
      </c>
      <c r="H140" s="106">
        <v>459</v>
      </c>
    </row>
    <row r="141" spans="1:10">
      <c r="A141" s="106" t="s">
        <v>3377</v>
      </c>
      <c r="B141" s="106" t="s">
        <v>3378</v>
      </c>
      <c r="C141" s="106" t="s">
        <v>3379</v>
      </c>
      <c r="E141" s="208">
        <v>43829</v>
      </c>
      <c r="F141" s="209"/>
      <c r="H141" s="106">
        <v>766</v>
      </c>
      <c r="I141" s="210"/>
      <c r="J141" s="209"/>
    </row>
    <row r="142" spans="1:10">
      <c r="A142" s="106" t="s">
        <v>3380</v>
      </c>
      <c r="B142" s="106" t="s">
        <v>3381</v>
      </c>
      <c r="C142" s="106" t="s">
        <v>3008</v>
      </c>
      <c r="E142" s="208">
        <v>43829</v>
      </c>
      <c r="F142" s="209"/>
      <c r="H142" s="106">
        <v>171</v>
      </c>
      <c r="I142" s="210"/>
      <c r="J142" s="209"/>
    </row>
    <row r="143" spans="1:10">
      <c r="A143" s="106" t="s">
        <v>3382</v>
      </c>
      <c r="B143" s="106" t="s">
        <v>3383</v>
      </c>
      <c r="C143" s="106" t="s">
        <v>3384</v>
      </c>
      <c r="E143" s="208">
        <v>43829</v>
      </c>
      <c r="F143" s="209"/>
      <c r="H143" s="106">
        <v>569</v>
      </c>
      <c r="I143" s="210"/>
      <c r="J143" s="209"/>
    </row>
    <row r="144" spans="1:10">
      <c r="A144" s="106" t="s">
        <v>3385</v>
      </c>
      <c r="B144" s="106" t="s">
        <v>3183</v>
      </c>
      <c r="C144" s="106" t="s">
        <v>3061</v>
      </c>
      <c r="E144" s="208">
        <v>43829</v>
      </c>
      <c r="F144" s="209"/>
      <c r="H144" s="106">
        <v>231</v>
      </c>
      <c r="I144" s="210"/>
      <c r="J144" s="209"/>
    </row>
    <row r="145" spans="1:11">
      <c r="A145" s="106" t="s">
        <v>3386</v>
      </c>
      <c r="B145" s="106" t="s">
        <v>3387</v>
      </c>
      <c r="C145" s="106" t="s">
        <v>3041</v>
      </c>
      <c r="E145" s="208">
        <v>43829</v>
      </c>
      <c r="F145" s="209"/>
      <c r="H145" s="106">
        <v>210</v>
      </c>
      <c r="I145" s="210"/>
      <c r="J145" s="209"/>
    </row>
    <row r="146" spans="1:11">
      <c r="A146" s="106" t="s">
        <v>3386</v>
      </c>
      <c r="B146" s="106" t="s">
        <v>3388</v>
      </c>
      <c r="C146" s="106" t="s">
        <v>3389</v>
      </c>
      <c r="E146" s="208">
        <v>43829</v>
      </c>
      <c r="F146" s="209"/>
      <c r="H146" s="106">
        <v>361</v>
      </c>
      <c r="I146" s="210"/>
      <c r="J146" s="209"/>
    </row>
    <row r="147" spans="1:11">
      <c r="A147" s="106" t="s">
        <v>2551</v>
      </c>
      <c r="C147" s="211" t="s">
        <v>2552</v>
      </c>
      <c r="D147" s="211"/>
      <c r="E147" s="209">
        <v>43828</v>
      </c>
      <c r="F147" s="209"/>
      <c r="I147" s="210">
        <v>21</v>
      </c>
      <c r="J147" s="209"/>
    </row>
    <row r="148" spans="1:11">
      <c r="A148" s="106" t="s">
        <v>3390</v>
      </c>
      <c r="B148" s="106" t="s">
        <v>3391</v>
      </c>
      <c r="C148" s="106" t="s">
        <v>2826</v>
      </c>
      <c r="E148" s="209">
        <v>43828</v>
      </c>
      <c r="F148" s="209"/>
      <c r="H148" s="106">
        <v>11</v>
      </c>
      <c r="I148" s="210"/>
      <c r="J148" s="209"/>
    </row>
    <row r="149" spans="1:11">
      <c r="A149" s="106" t="s">
        <v>3390</v>
      </c>
      <c r="B149" s="106" t="s">
        <v>3392</v>
      </c>
      <c r="C149" s="106" t="s">
        <v>2827</v>
      </c>
      <c r="E149" s="209">
        <v>43828</v>
      </c>
      <c r="F149" s="209"/>
      <c r="H149" s="106">
        <v>329</v>
      </c>
      <c r="I149" s="210"/>
      <c r="J149" s="209"/>
    </row>
    <row r="150" spans="1:11">
      <c r="A150" s="106" t="s">
        <v>3393</v>
      </c>
      <c r="B150" s="106" t="s">
        <v>3394</v>
      </c>
      <c r="C150" s="106" t="s">
        <v>2998</v>
      </c>
      <c r="E150" s="208">
        <v>43829</v>
      </c>
      <c r="F150" s="209"/>
      <c r="H150" s="106">
        <v>156</v>
      </c>
      <c r="I150" s="210"/>
      <c r="J150" s="209"/>
    </row>
    <row r="151" spans="1:11">
      <c r="A151" s="106" t="s">
        <v>3393</v>
      </c>
      <c r="B151" s="106" t="s">
        <v>3395</v>
      </c>
      <c r="C151" s="106" t="s">
        <v>3396</v>
      </c>
      <c r="E151" s="208">
        <v>43829</v>
      </c>
      <c r="F151" s="209"/>
      <c r="H151" s="106">
        <v>420</v>
      </c>
      <c r="I151" s="210"/>
      <c r="J151" s="209"/>
    </row>
    <row r="152" spans="1:11">
      <c r="A152" s="106" t="s">
        <v>3393</v>
      </c>
      <c r="B152" s="106" t="s">
        <v>3397</v>
      </c>
      <c r="C152" s="106" t="s">
        <v>3398</v>
      </c>
      <c r="E152" s="208">
        <v>43829</v>
      </c>
      <c r="F152" s="209"/>
      <c r="H152" s="106">
        <v>702</v>
      </c>
      <c r="I152" s="210"/>
      <c r="J152" s="209"/>
    </row>
    <row r="153" spans="1:11">
      <c r="A153" s="106" t="s">
        <v>3940</v>
      </c>
      <c r="C153" s="106" t="s">
        <v>3941</v>
      </c>
      <c r="E153" s="208"/>
      <c r="F153" s="209"/>
      <c r="I153" s="210">
        <v>23</v>
      </c>
      <c r="J153" s="209"/>
    </row>
    <row r="154" spans="1:11">
      <c r="A154" s="106" t="s">
        <v>3399</v>
      </c>
      <c r="B154" s="106" t="s">
        <v>3400</v>
      </c>
      <c r="C154" s="106" t="s">
        <v>3052</v>
      </c>
      <c r="D154" s="106" t="s">
        <v>3980</v>
      </c>
      <c r="E154" s="208">
        <v>43829</v>
      </c>
      <c r="F154" s="209"/>
      <c r="H154" s="106">
        <v>221</v>
      </c>
      <c r="I154" s="210"/>
      <c r="J154" s="209"/>
      <c r="K154" s="106" t="s">
        <v>2673</v>
      </c>
    </row>
    <row r="155" spans="1:11">
      <c r="A155" s="106" t="s">
        <v>3399</v>
      </c>
      <c r="C155" s="106" t="s">
        <v>3401</v>
      </c>
      <c r="D155" s="106" t="s">
        <v>2626</v>
      </c>
      <c r="E155" s="208">
        <v>43829</v>
      </c>
      <c r="F155" s="209"/>
      <c r="I155" s="210">
        <v>24</v>
      </c>
      <c r="J155" s="209"/>
    </row>
    <row r="156" spans="1:11">
      <c r="A156" s="106" t="s">
        <v>3399</v>
      </c>
      <c r="B156" s="106" t="s">
        <v>3402</v>
      </c>
      <c r="C156" s="106" t="s">
        <v>3403</v>
      </c>
      <c r="E156" s="208">
        <v>43829</v>
      </c>
      <c r="F156" s="209"/>
      <c r="H156" s="106">
        <v>711</v>
      </c>
      <c r="I156" s="210"/>
      <c r="J156" s="209"/>
    </row>
    <row r="157" spans="1:11">
      <c r="A157" s="106" t="s">
        <v>3399</v>
      </c>
      <c r="B157" s="106" t="s">
        <v>3968</v>
      </c>
      <c r="C157" s="211" t="s">
        <v>3967</v>
      </c>
      <c r="D157" s="211"/>
      <c r="E157" s="208"/>
      <c r="F157" s="209"/>
      <c r="H157" s="106">
        <v>513</v>
      </c>
      <c r="I157" s="210"/>
      <c r="J157" s="209"/>
      <c r="K157" s="106" t="s">
        <v>2673</v>
      </c>
    </row>
    <row r="158" spans="1:11">
      <c r="A158" s="106" t="s">
        <v>3399</v>
      </c>
      <c r="B158" s="106" t="s">
        <v>3975</v>
      </c>
      <c r="C158" s="211" t="s">
        <v>3976</v>
      </c>
      <c r="D158" s="211"/>
      <c r="E158" s="208"/>
      <c r="F158" s="209"/>
      <c r="H158" s="106">
        <v>181</v>
      </c>
      <c r="I158" s="210"/>
      <c r="J158" s="209"/>
    </row>
    <row r="159" spans="1:11">
      <c r="A159" s="106" t="s">
        <v>3404</v>
      </c>
      <c r="B159" s="106" t="s">
        <v>3405</v>
      </c>
      <c r="C159" s="106" t="s">
        <v>3406</v>
      </c>
      <c r="E159" s="208">
        <v>43829</v>
      </c>
      <c r="F159" s="209"/>
      <c r="H159" s="106">
        <v>674</v>
      </c>
      <c r="I159" s="210"/>
      <c r="J159" s="209"/>
    </row>
    <row r="160" spans="1:11">
      <c r="A160" s="106" t="s">
        <v>3407</v>
      </c>
      <c r="B160" s="106" t="s">
        <v>3408</v>
      </c>
      <c r="C160" s="106" t="s">
        <v>3409</v>
      </c>
      <c r="E160" s="208">
        <v>43829</v>
      </c>
      <c r="F160" s="209"/>
      <c r="H160" s="106">
        <v>668</v>
      </c>
      <c r="I160" s="210"/>
      <c r="J160" s="209"/>
    </row>
    <row r="161" spans="1:11">
      <c r="A161" s="106" t="s">
        <v>3410</v>
      </c>
      <c r="B161" s="106" t="s">
        <v>3411</v>
      </c>
      <c r="C161" s="106" t="s">
        <v>3412</v>
      </c>
      <c r="E161" s="208">
        <v>43829</v>
      </c>
      <c r="F161" s="209"/>
      <c r="H161" s="106">
        <v>534</v>
      </c>
      <c r="I161" s="210"/>
      <c r="J161" s="209"/>
    </row>
    <row r="162" spans="1:11">
      <c r="A162" s="106" t="s">
        <v>4762</v>
      </c>
      <c r="C162" s="211" t="s">
        <v>2687</v>
      </c>
      <c r="D162" s="211" t="s">
        <v>2626</v>
      </c>
      <c r="E162" s="208">
        <v>43826</v>
      </c>
      <c r="F162" s="209" t="s">
        <v>2231</v>
      </c>
      <c r="G162" s="211"/>
      <c r="H162" s="211"/>
      <c r="I162" s="210">
        <v>25</v>
      </c>
      <c r="K162" s="211" t="s">
        <v>2747</v>
      </c>
    </row>
    <row r="163" spans="1:11">
      <c r="A163" s="106" t="s">
        <v>3413</v>
      </c>
      <c r="C163" s="106" t="s">
        <v>2288</v>
      </c>
      <c r="E163" s="209">
        <v>43828</v>
      </c>
      <c r="F163" s="209"/>
      <c r="I163" s="210">
        <v>27</v>
      </c>
      <c r="J163" s="209"/>
    </row>
    <row r="164" spans="1:11">
      <c r="A164" s="106" t="s">
        <v>2359</v>
      </c>
      <c r="C164" s="211" t="s">
        <v>2284</v>
      </c>
      <c r="D164" s="211"/>
      <c r="E164" s="209">
        <v>43828</v>
      </c>
      <c r="F164" s="209"/>
      <c r="I164" s="210" t="s">
        <v>4716</v>
      </c>
      <c r="J164" s="209"/>
    </row>
    <row r="165" spans="1:11">
      <c r="A165" s="106" t="s">
        <v>2359</v>
      </c>
      <c r="B165" s="106" t="s">
        <v>3414</v>
      </c>
      <c r="C165" s="106" t="s">
        <v>3415</v>
      </c>
      <c r="E165" s="208">
        <v>43829</v>
      </c>
      <c r="F165" s="209"/>
      <c r="H165" s="106">
        <v>450</v>
      </c>
      <c r="I165" s="210"/>
      <c r="J165" s="209"/>
    </row>
    <row r="166" spans="1:11">
      <c r="A166" s="106" t="s">
        <v>2359</v>
      </c>
      <c r="B166" s="106" t="s">
        <v>2401</v>
      </c>
      <c r="C166" s="211" t="s">
        <v>2398</v>
      </c>
      <c r="D166" s="211"/>
      <c r="E166" s="209">
        <v>43828</v>
      </c>
      <c r="F166" s="209"/>
      <c r="H166" s="106">
        <v>128</v>
      </c>
      <c r="I166" s="210"/>
      <c r="J166" s="209"/>
    </row>
    <row r="167" spans="1:11">
      <c r="A167" s="106" t="s">
        <v>2357</v>
      </c>
      <c r="B167" s="106" t="s">
        <v>2327</v>
      </c>
      <c r="C167" s="106" t="s">
        <v>2841</v>
      </c>
      <c r="E167" s="209">
        <v>43828</v>
      </c>
      <c r="F167" s="209"/>
      <c r="H167" s="106">
        <v>308</v>
      </c>
      <c r="I167" s="210"/>
      <c r="J167" s="209"/>
    </row>
    <row r="168" spans="1:11">
      <c r="A168" s="106" t="s">
        <v>2357</v>
      </c>
      <c r="B168" s="106" t="s">
        <v>3416</v>
      </c>
      <c r="C168" s="106" t="s">
        <v>2843</v>
      </c>
      <c r="E168" s="209">
        <v>43828</v>
      </c>
      <c r="F168" s="209"/>
      <c r="H168" s="106">
        <v>377</v>
      </c>
      <c r="I168" s="210"/>
      <c r="J168" s="209"/>
    </row>
    <row r="169" spans="1:11">
      <c r="A169" s="106" t="s">
        <v>2357</v>
      </c>
      <c r="B169" s="106" t="s">
        <v>3414</v>
      </c>
      <c r="C169" s="106" t="s">
        <v>2842</v>
      </c>
      <c r="E169" s="209">
        <v>43828</v>
      </c>
      <c r="F169" s="209"/>
      <c r="H169" s="106">
        <v>522</v>
      </c>
      <c r="I169" s="210"/>
      <c r="J169" s="209"/>
    </row>
    <row r="170" spans="1:11">
      <c r="A170" s="106" t="s">
        <v>2357</v>
      </c>
      <c r="B170" s="106" t="s">
        <v>2769</v>
      </c>
      <c r="C170" s="211" t="s">
        <v>2768</v>
      </c>
      <c r="D170" s="211"/>
      <c r="E170" s="209">
        <v>43828</v>
      </c>
      <c r="F170" s="209"/>
      <c r="H170" s="106">
        <v>549</v>
      </c>
      <c r="I170" s="210"/>
      <c r="J170" s="209"/>
    </row>
    <row r="171" spans="1:11">
      <c r="A171" s="106" t="s">
        <v>2357</v>
      </c>
      <c r="B171" s="106" t="s">
        <v>3117</v>
      </c>
      <c r="C171" s="106" t="s">
        <v>2844</v>
      </c>
      <c r="E171" s="209">
        <v>43828</v>
      </c>
      <c r="F171" s="209"/>
      <c r="H171" s="106">
        <v>662</v>
      </c>
      <c r="I171" s="210"/>
      <c r="J171" s="209"/>
    </row>
    <row r="172" spans="1:11">
      <c r="A172" s="106" t="s">
        <v>2357</v>
      </c>
      <c r="B172" s="106" t="s">
        <v>3417</v>
      </c>
      <c r="C172" s="106" t="s">
        <v>3053</v>
      </c>
      <c r="E172" s="208">
        <v>43829</v>
      </c>
      <c r="F172" s="209"/>
      <c r="H172" s="106">
        <v>222</v>
      </c>
      <c r="I172" s="210"/>
      <c r="J172" s="209"/>
    </row>
    <row r="173" spans="1:11">
      <c r="A173" s="106" t="s">
        <v>2357</v>
      </c>
      <c r="B173" s="106" t="s">
        <v>3418</v>
      </c>
      <c r="C173" s="106" t="s">
        <v>3419</v>
      </c>
      <c r="E173" s="208">
        <v>43829</v>
      </c>
      <c r="F173" s="209"/>
      <c r="H173" s="106">
        <v>359</v>
      </c>
      <c r="I173" s="210"/>
      <c r="J173" s="209"/>
    </row>
    <row r="174" spans="1:11">
      <c r="A174" s="106" t="s">
        <v>2357</v>
      </c>
      <c r="B174" s="106" t="s">
        <v>3420</v>
      </c>
      <c r="C174" s="106" t="s">
        <v>3421</v>
      </c>
      <c r="E174" s="208">
        <v>43829</v>
      </c>
      <c r="F174" s="209"/>
      <c r="H174" s="106">
        <v>481</v>
      </c>
      <c r="I174" s="210"/>
      <c r="J174" s="209"/>
    </row>
    <row r="175" spans="1:11">
      <c r="A175" s="106" t="s">
        <v>2357</v>
      </c>
      <c r="B175" s="106" t="s">
        <v>3422</v>
      </c>
      <c r="C175" s="106" t="s">
        <v>3423</v>
      </c>
      <c r="E175" s="208">
        <v>43829</v>
      </c>
      <c r="F175" s="209"/>
      <c r="H175" s="106">
        <v>535</v>
      </c>
      <c r="I175" s="210"/>
      <c r="J175" s="209"/>
    </row>
    <row r="176" spans="1:11">
      <c r="A176" s="106" t="s">
        <v>2337</v>
      </c>
      <c r="B176" s="106" t="s">
        <v>2430</v>
      </c>
      <c r="C176" s="211" t="s">
        <v>2391</v>
      </c>
      <c r="D176" s="211"/>
      <c r="E176" s="209">
        <v>43828</v>
      </c>
      <c r="F176" s="209"/>
      <c r="H176" s="106">
        <v>38</v>
      </c>
      <c r="I176" s="210"/>
      <c r="J176" s="209"/>
    </row>
    <row r="177" spans="1:11">
      <c r="A177" s="106" t="s">
        <v>2337</v>
      </c>
      <c r="B177" s="106" t="s">
        <v>3424</v>
      </c>
      <c r="C177" s="106" t="s">
        <v>3425</v>
      </c>
      <c r="E177" s="208">
        <v>43829</v>
      </c>
      <c r="F177" s="209"/>
      <c r="H177" s="106">
        <v>745</v>
      </c>
      <c r="I177" s="210"/>
      <c r="J177" s="209"/>
    </row>
    <row r="178" spans="1:11">
      <c r="A178" s="106" t="s">
        <v>2585</v>
      </c>
      <c r="C178" s="211" t="s">
        <v>2590</v>
      </c>
      <c r="D178" s="106" t="s">
        <v>2626</v>
      </c>
      <c r="E178" s="209">
        <v>43828</v>
      </c>
      <c r="F178" s="209"/>
      <c r="I178" s="210">
        <v>30</v>
      </c>
      <c r="J178" s="209"/>
      <c r="K178" s="106" t="s">
        <v>2664</v>
      </c>
    </row>
    <row r="179" spans="1:11">
      <c r="A179" s="106" t="s">
        <v>3426</v>
      </c>
      <c r="B179" s="106" t="s">
        <v>3427</v>
      </c>
      <c r="C179" s="106" t="s">
        <v>3428</v>
      </c>
      <c r="E179" s="208">
        <v>43829</v>
      </c>
      <c r="F179" s="209" t="s">
        <v>2673</v>
      </c>
      <c r="H179" s="106">
        <v>626</v>
      </c>
      <c r="I179" s="210"/>
      <c r="J179" s="209"/>
    </row>
    <row r="180" spans="1:11">
      <c r="A180" s="106" t="s">
        <v>3429</v>
      </c>
      <c r="B180" s="106" t="s">
        <v>3430</v>
      </c>
      <c r="C180" s="106" t="s">
        <v>3431</v>
      </c>
      <c r="E180" s="208">
        <v>43829</v>
      </c>
      <c r="F180" s="209"/>
      <c r="H180" s="106" t="s">
        <v>4750</v>
      </c>
      <c r="I180" s="210" t="s">
        <v>4722</v>
      </c>
      <c r="J180" s="209"/>
    </row>
    <row r="181" spans="1:11">
      <c r="A181" s="106" t="s">
        <v>3432</v>
      </c>
      <c r="C181" s="106" t="s">
        <v>2881</v>
      </c>
      <c r="D181" s="106" t="s">
        <v>2626</v>
      </c>
      <c r="E181" s="208">
        <v>43825</v>
      </c>
      <c r="F181" s="209" t="s">
        <v>2231</v>
      </c>
      <c r="I181" s="210">
        <v>31</v>
      </c>
    </row>
    <row r="182" spans="1:11">
      <c r="A182" s="106" t="s">
        <v>3432</v>
      </c>
      <c r="B182" s="106" t="s">
        <v>3433</v>
      </c>
      <c r="C182" s="106" t="s">
        <v>3434</v>
      </c>
      <c r="E182" s="208">
        <v>43829</v>
      </c>
      <c r="F182" s="209"/>
      <c r="H182" s="106">
        <v>444</v>
      </c>
      <c r="I182" s="210"/>
      <c r="J182" s="209"/>
    </row>
    <row r="183" spans="1:11">
      <c r="A183" s="106" t="s">
        <v>3432</v>
      </c>
      <c r="B183" s="106" t="s">
        <v>3933</v>
      </c>
      <c r="C183" s="106" t="s">
        <v>3110</v>
      </c>
      <c r="E183" s="208"/>
      <c r="F183" s="209"/>
      <c r="H183" s="106">
        <v>699</v>
      </c>
      <c r="I183" s="210"/>
      <c r="J183" s="209"/>
    </row>
    <row r="184" spans="1:11">
      <c r="A184" s="206" t="s">
        <v>3435</v>
      </c>
      <c r="B184" s="207" t="s">
        <v>2669</v>
      </c>
      <c r="C184" s="211" t="s">
        <v>2668</v>
      </c>
      <c r="D184" s="211"/>
      <c r="E184" s="208">
        <v>43825</v>
      </c>
      <c r="H184" s="106">
        <v>406</v>
      </c>
      <c r="I184" s="210"/>
    </row>
    <row r="185" spans="1:11">
      <c r="A185" s="106" t="s">
        <v>3435</v>
      </c>
      <c r="C185" s="106" t="s">
        <v>2760</v>
      </c>
      <c r="E185" s="208"/>
      <c r="F185" s="209"/>
      <c r="I185" s="210">
        <v>32</v>
      </c>
      <c r="J185" s="209"/>
    </row>
    <row r="186" spans="1:11">
      <c r="A186" s="106" t="s">
        <v>3436</v>
      </c>
      <c r="B186" s="106" t="s">
        <v>3124</v>
      </c>
      <c r="C186" s="106" t="s">
        <v>2858</v>
      </c>
      <c r="E186" s="209">
        <v>43828</v>
      </c>
      <c r="F186" s="209"/>
      <c r="H186" s="106" t="s">
        <v>4759</v>
      </c>
      <c r="I186" s="210"/>
      <c r="J186" s="209"/>
    </row>
    <row r="187" spans="1:11">
      <c r="A187" s="106" t="s">
        <v>3437</v>
      </c>
      <c r="B187" s="106" t="s">
        <v>3438</v>
      </c>
      <c r="C187" s="106" t="s">
        <v>3059</v>
      </c>
      <c r="E187" s="208">
        <v>43829</v>
      </c>
      <c r="F187" s="209"/>
      <c r="H187" s="106">
        <v>229</v>
      </c>
      <c r="I187" s="210"/>
      <c r="J187" s="209"/>
    </row>
    <row r="188" spans="1:11">
      <c r="A188" s="106" t="s">
        <v>3938</v>
      </c>
      <c r="C188" s="106" t="s">
        <v>3939</v>
      </c>
      <c r="E188" s="208"/>
      <c r="F188" s="209"/>
      <c r="I188" s="210">
        <v>101</v>
      </c>
      <c r="J188" s="209"/>
    </row>
    <row r="189" spans="1:11">
      <c r="A189" s="106" t="s">
        <v>3439</v>
      </c>
      <c r="C189" s="106" t="s">
        <v>2878</v>
      </c>
      <c r="E189" s="209">
        <v>43828</v>
      </c>
      <c r="F189" s="209"/>
      <c r="H189" s="106">
        <v>124</v>
      </c>
      <c r="I189" s="210">
        <v>107</v>
      </c>
      <c r="J189" s="209"/>
    </row>
    <row r="190" spans="1:11">
      <c r="A190" s="106" t="s">
        <v>2621</v>
      </c>
      <c r="C190" s="106" t="s">
        <v>2554</v>
      </c>
      <c r="E190" s="208"/>
      <c r="F190" s="209"/>
      <c r="I190" s="210">
        <v>34</v>
      </c>
      <c r="J190" s="209"/>
    </row>
    <row r="191" spans="1:11">
      <c r="A191" s="106" t="s">
        <v>3440</v>
      </c>
      <c r="B191" s="106" t="s">
        <v>3441</v>
      </c>
      <c r="C191" s="106" t="s">
        <v>3442</v>
      </c>
      <c r="E191" s="208">
        <v>43829</v>
      </c>
      <c r="F191" s="209"/>
      <c r="H191" s="106">
        <v>254</v>
      </c>
      <c r="I191" s="210"/>
      <c r="J191" s="209"/>
    </row>
    <row r="192" spans="1:11">
      <c r="A192" s="106" t="s">
        <v>2379</v>
      </c>
      <c r="B192" s="106" t="s">
        <v>3443</v>
      </c>
      <c r="C192" s="106" t="s">
        <v>3013</v>
      </c>
      <c r="E192" s="208">
        <v>43829</v>
      </c>
      <c r="F192" s="209"/>
      <c r="H192" s="106">
        <v>177</v>
      </c>
      <c r="I192" s="210"/>
      <c r="J192" s="209"/>
    </row>
    <row r="193" spans="1:10">
      <c r="A193" s="106" t="s">
        <v>2379</v>
      </c>
      <c r="B193" s="106" t="s">
        <v>2378</v>
      </c>
      <c r="C193" s="106" t="s">
        <v>3444</v>
      </c>
      <c r="E193" s="208">
        <v>43829</v>
      </c>
      <c r="F193" s="209"/>
      <c r="H193" s="106">
        <v>260</v>
      </c>
      <c r="I193" s="210"/>
      <c r="J193" s="209"/>
    </row>
    <row r="194" spans="1:10">
      <c r="A194" s="106" t="s">
        <v>3445</v>
      </c>
      <c r="C194" s="106" t="s">
        <v>2918</v>
      </c>
      <c r="E194" s="208">
        <v>43829</v>
      </c>
      <c r="F194" s="209"/>
      <c r="I194" s="210"/>
      <c r="J194" s="209"/>
    </row>
    <row r="195" spans="1:10">
      <c r="A195" s="106" t="s">
        <v>2630</v>
      </c>
      <c r="B195" s="106" t="s">
        <v>2631</v>
      </c>
      <c r="C195" s="211" t="s">
        <v>2632</v>
      </c>
      <c r="D195" s="211"/>
      <c r="E195" s="209">
        <v>43828</v>
      </c>
      <c r="F195" s="209"/>
      <c r="H195" s="106">
        <v>234</v>
      </c>
      <c r="I195" s="210"/>
      <c r="J195" s="209"/>
    </row>
    <row r="196" spans="1:10">
      <c r="A196" s="106" t="s">
        <v>2386</v>
      </c>
      <c r="B196" s="106" t="s">
        <v>2628</v>
      </c>
      <c r="C196" s="211" t="s">
        <v>2629</v>
      </c>
      <c r="D196" s="211"/>
      <c r="E196" s="209">
        <v>43828</v>
      </c>
      <c r="F196" s="209"/>
      <c r="H196" s="106">
        <v>287</v>
      </c>
      <c r="I196" s="210"/>
      <c r="J196" s="209"/>
    </row>
    <row r="197" spans="1:10">
      <c r="A197" s="106" t="s">
        <v>2386</v>
      </c>
      <c r="B197" s="106" t="s">
        <v>3446</v>
      </c>
      <c r="C197" s="212" t="s">
        <v>2837</v>
      </c>
      <c r="D197" s="212"/>
      <c r="E197" s="209">
        <v>43828</v>
      </c>
      <c r="F197" s="209"/>
      <c r="H197" s="106">
        <v>357</v>
      </c>
      <c r="I197" s="210"/>
      <c r="J197" s="209"/>
    </row>
    <row r="198" spans="1:10">
      <c r="A198" s="106" t="s">
        <v>2386</v>
      </c>
      <c r="B198" s="106" t="s">
        <v>3447</v>
      </c>
      <c r="C198" s="106" t="s">
        <v>3448</v>
      </c>
      <c r="E198" s="208">
        <v>43829</v>
      </c>
      <c r="F198" s="209"/>
      <c r="H198" s="106">
        <v>503</v>
      </c>
      <c r="I198" s="210"/>
      <c r="J198" s="209"/>
    </row>
    <row r="199" spans="1:10">
      <c r="A199" s="106" t="s">
        <v>3449</v>
      </c>
      <c r="B199" s="106" t="s">
        <v>3450</v>
      </c>
      <c r="C199" s="106" t="s">
        <v>3451</v>
      </c>
      <c r="E199" s="208">
        <v>43829</v>
      </c>
      <c r="F199" s="209"/>
      <c r="H199" s="106">
        <v>425</v>
      </c>
      <c r="I199" s="210"/>
      <c r="J199" s="209"/>
    </row>
    <row r="200" spans="1:10">
      <c r="A200" s="106" t="s">
        <v>3452</v>
      </c>
      <c r="B200" s="106" t="s">
        <v>3453</v>
      </c>
      <c r="C200" s="106" t="s">
        <v>2854</v>
      </c>
      <c r="E200" s="209">
        <v>43828</v>
      </c>
      <c r="F200" s="209"/>
      <c r="H200" s="106">
        <v>687</v>
      </c>
      <c r="I200" s="210"/>
      <c r="J200" s="209"/>
    </row>
    <row r="201" spans="1:10">
      <c r="A201" s="106" t="s">
        <v>3454</v>
      </c>
      <c r="B201" s="106" t="s">
        <v>3455</v>
      </c>
      <c r="C201" s="106" t="s">
        <v>2964</v>
      </c>
      <c r="E201" s="208">
        <v>43829</v>
      </c>
      <c r="F201" s="209"/>
      <c r="H201" s="106">
        <v>111</v>
      </c>
      <c r="I201" s="210"/>
      <c r="J201" s="209"/>
    </row>
    <row r="202" spans="1:10">
      <c r="A202" s="106" t="s">
        <v>3160</v>
      </c>
      <c r="B202" s="106" t="s">
        <v>3456</v>
      </c>
      <c r="C202" s="106" t="s">
        <v>3457</v>
      </c>
      <c r="E202" s="208">
        <v>43829</v>
      </c>
      <c r="F202" s="209"/>
      <c r="H202" s="106">
        <v>280</v>
      </c>
      <c r="I202" s="210"/>
      <c r="J202" s="209"/>
    </row>
    <row r="203" spans="1:10">
      <c r="A203" s="106" t="s">
        <v>3160</v>
      </c>
      <c r="B203" s="106" t="s">
        <v>3159</v>
      </c>
      <c r="C203" s="106" t="s">
        <v>3161</v>
      </c>
      <c r="E203" s="208"/>
      <c r="F203" s="209"/>
      <c r="H203" s="106">
        <v>325</v>
      </c>
      <c r="I203" s="210"/>
      <c r="J203" s="209"/>
    </row>
    <row r="204" spans="1:10">
      <c r="A204" s="106" t="s">
        <v>3458</v>
      </c>
      <c r="B204" s="106" t="s">
        <v>3159</v>
      </c>
      <c r="C204" s="216" t="s">
        <v>3085</v>
      </c>
      <c r="D204" s="216"/>
      <c r="E204" s="208">
        <v>43829</v>
      </c>
      <c r="F204" s="209"/>
      <c r="I204" s="210" t="s">
        <v>4717</v>
      </c>
      <c r="J204" s="209"/>
    </row>
    <row r="205" spans="1:10">
      <c r="A205" s="106" t="s">
        <v>3459</v>
      </c>
      <c r="B205" s="106" t="s">
        <v>3460</v>
      </c>
      <c r="C205" s="106" t="s">
        <v>2828</v>
      </c>
      <c r="E205" s="209">
        <v>43828</v>
      </c>
      <c r="F205" s="209"/>
      <c r="H205" s="106">
        <v>110</v>
      </c>
      <c r="I205" s="210"/>
      <c r="J205" s="209"/>
    </row>
    <row r="206" spans="1:10">
      <c r="A206" s="106" t="s">
        <v>3461</v>
      </c>
      <c r="B206" s="106" t="s">
        <v>3462</v>
      </c>
      <c r="C206" s="106" t="s">
        <v>2777</v>
      </c>
      <c r="E206" s="209">
        <v>43828</v>
      </c>
      <c r="F206" s="209"/>
      <c r="H206" s="106">
        <v>30</v>
      </c>
      <c r="I206" s="210"/>
      <c r="J206" s="209"/>
    </row>
    <row r="207" spans="1:10">
      <c r="A207" s="106" t="s">
        <v>3461</v>
      </c>
      <c r="B207" s="106" t="s">
        <v>3463</v>
      </c>
      <c r="C207" s="106" t="s">
        <v>2778</v>
      </c>
      <c r="E207" s="209">
        <v>43828</v>
      </c>
      <c r="F207" s="209"/>
      <c r="H207" s="106">
        <v>533</v>
      </c>
      <c r="I207" s="210"/>
      <c r="J207" s="209"/>
    </row>
    <row r="208" spans="1:10">
      <c r="A208" s="106" t="s">
        <v>3461</v>
      </c>
      <c r="B208" s="106" t="s">
        <v>3464</v>
      </c>
      <c r="C208" s="211" t="s">
        <v>2779</v>
      </c>
      <c r="D208" s="211"/>
      <c r="E208" s="209">
        <v>43828</v>
      </c>
      <c r="F208" s="209"/>
      <c r="H208" s="106">
        <v>542</v>
      </c>
      <c r="I208" s="210"/>
      <c r="J208" s="209"/>
    </row>
    <row r="209" spans="1:11">
      <c r="A209" s="106" t="s">
        <v>3461</v>
      </c>
      <c r="C209" s="106" t="s">
        <v>3937</v>
      </c>
      <c r="E209" s="208"/>
      <c r="F209" s="209"/>
      <c r="I209" s="210">
        <v>38</v>
      </c>
      <c r="J209" s="209"/>
    </row>
    <row r="210" spans="1:11">
      <c r="A210" s="106" t="s">
        <v>2650</v>
      </c>
      <c r="B210" s="106" t="s">
        <v>2651</v>
      </c>
      <c r="C210" s="211" t="s">
        <v>2652</v>
      </c>
      <c r="D210" s="211"/>
      <c r="E210" s="209">
        <v>43828</v>
      </c>
      <c r="F210" s="209"/>
      <c r="H210" s="106">
        <v>151</v>
      </c>
      <c r="I210" s="210"/>
      <c r="J210" s="209"/>
    </row>
    <row r="211" spans="1:11">
      <c r="A211" s="106" t="s">
        <v>3465</v>
      </c>
      <c r="B211" s="106" t="s">
        <v>3466</v>
      </c>
      <c r="C211" s="106" t="s">
        <v>3467</v>
      </c>
      <c r="E211" s="208">
        <v>43829</v>
      </c>
      <c r="F211" s="209"/>
      <c r="H211" s="106">
        <v>741</v>
      </c>
      <c r="I211" s="210"/>
      <c r="J211" s="209"/>
    </row>
    <row r="212" spans="1:11">
      <c r="A212" s="106" t="s">
        <v>3468</v>
      </c>
      <c r="B212" s="106" t="s">
        <v>3469</v>
      </c>
      <c r="C212" s="106" t="s">
        <v>3470</v>
      </c>
      <c r="E212" s="208">
        <v>43829</v>
      </c>
      <c r="F212" s="209"/>
      <c r="H212" s="106">
        <v>655</v>
      </c>
      <c r="I212" s="210"/>
      <c r="J212" s="209"/>
    </row>
    <row r="213" spans="1:11">
      <c r="A213" s="106" t="s">
        <v>3092</v>
      </c>
      <c r="B213" s="106" t="s">
        <v>3471</v>
      </c>
      <c r="C213" s="106" t="s">
        <v>3472</v>
      </c>
      <c r="E213" s="208">
        <v>43829</v>
      </c>
      <c r="F213" s="209"/>
      <c r="H213" s="106">
        <v>336</v>
      </c>
      <c r="I213" s="210"/>
      <c r="J213" s="209"/>
      <c r="K213" s="106" t="s">
        <v>2673</v>
      </c>
    </row>
    <row r="214" spans="1:11">
      <c r="A214" s="106" t="s">
        <v>3092</v>
      </c>
      <c r="B214" s="106" t="s">
        <v>3093</v>
      </c>
      <c r="C214" s="106" t="s">
        <v>3473</v>
      </c>
      <c r="E214" s="208">
        <v>43829</v>
      </c>
      <c r="F214" s="209"/>
      <c r="H214" s="106">
        <v>635</v>
      </c>
      <c r="I214" s="210"/>
      <c r="J214" s="209"/>
    </row>
    <row r="215" spans="1:11">
      <c r="A215" s="106" t="s">
        <v>3092</v>
      </c>
      <c r="B215" s="106" t="s">
        <v>3137</v>
      </c>
      <c r="C215" s="106" t="s">
        <v>3927</v>
      </c>
      <c r="E215" s="208"/>
      <c r="F215" s="209"/>
      <c r="H215" s="106">
        <v>508</v>
      </c>
      <c r="I215" s="210"/>
      <c r="J215" s="209"/>
    </row>
    <row r="216" spans="1:11">
      <c r="A216" s="106" t="s">
        <v>2647</v>
      </c>
      <c r="B216" s="106" t="s">
        <v>2648</v>
      </c>
      <c r="C216" s="216" t="s">
        <v>2649</v>
      </c>
      <c r="D216" s="216"/>
      <c r="E216" s="209">
        <v>43828</v>
      </c>
      <c r="F216" s="209"/>
      <c r="G216" s="211"/>
      <c r="H216" s="211">
        <v>141</v>
      </c>
      <c r="I216" s="210"/>
      <c r="J216" s="209"/>
      <c r="K216" s="211" t="s">
        <v>2673</v>
      </c>
    </row>
    <row r="217" spans="1:11">
      <c r="A217" s="106" t="s">
        <v>2647</v>
      </c>
      <c r="B217" s="106" t="s">
        <v>3474</v>
      </c>
      <c r="C217" s="106" t="s">
        <v>2806</v>
      </c>
      <c r="E217" s="209">
        <v>43828</v>
      </c>
      <c r="F217" s="209"/>
      <c r="H217" s="106">
        <v>446</v>
      </c>
      <c r="I217" s="210"/>
      <c r="J217" s="209"/>
    </row>
    <row r="218" spans="1:11">
      <c r="A218" s="106" t="s">
        <v>2647</v>
      </c>
      <c r="B218" s="106" t="s">
        <v>3475</v>
      </c>
      <c r="C218" s="106" t="s">
        <v>3050</v>
      </c>
      <c r="E218" s="208">
        <v>43829</v>
      </c>
      <c r="F218" s="209"/>
      <c r="H218" s="106">
        <v>219</v>
      </c>
      <c r="I218" s="210"/>
      <c r="J218" s="209"/>
      <c r="K218" s="106" t="s">
        <v>2673</v>
      </c>
    </row>
    <row r="219" spans="1:11">
      <c r="A219" s="106" t="s">
        <v>2647</v>
      </c>
      <c r="B219" s="106" t="s">
        <v>3093</v>
      </c>
      <c r="C219" s="106" t="s">
        <v>3070</v>
      </c>
      <c r="E219" s="208">
        <v>43829</v>
      </c>
      <c r="F219" s="209"/>
      <c r="H219" s="106">
        <v>236</v>
      </c>
      <c r="I219" s="210"/>
      <c r="J219" s="209"/>
      <c r="K219" s="106" t="s">
        <v>2673</v>
      </c>
    </row>
    <row r="220" spans="1:11">
      <c r="A220" s="106" t="s">
        <v>2647</v>
      </c>
      <c r="B220" s="106" t="s">
        <v>3476</v>
      </c>
      <c r="C220" s="106" t="s">
        <v>3477</v>
      </c>
      <c r="E220" s="208">
        <v>43829</v>
      </c>
      <c r="F220" s="209"/>
      <c r="H220" s="106" t="s">
        <v>4740</v>
      </c>
      <c r="I220" s="210"/>
      <c r="J220" s="209"/>
    </row>
    <row r="221" spans="1:11">
      <c r="A221" s="106" t="s">
        <v>2647</v>
      </c>
      <c r="B221" s="106" t="s">
        <v>3136</v>
      </c>
      <c r="C221" s="106" t="s">
        <v>3478</v>
      </c>
      <c r="E221" s="208">
        <v>43829</v>
      </c>
      <c r="F221" s="209" t="s">
        <v>2673</v>
      </c>
      <c r="H221" s="106">
        <v>433</v>
      </c>
      <c r="I221" s="210"/>
      <c r="J221" s="209"/>
    </row>
    <row r="222" spans="1:11">
      <c r="A222" s="106" t="s">
        <v>2647</v>
      </c>
      <c r="B222" s="106" t="s">
        <v>3479</v>
      </c>
      <c r="C222" s="106" t="s">
        <v>3480</v>
      </c>
      <c r="E222" s="208">
        <v>43829</v>
      </c>
      <c r="F222" s="209" t="s">
        <v>2673</v>
      </c>
      <c r="H222" s="106">
        <v>435</v>
      </c>
      <c r="I222" s="210"/>
      <c r="J222" s="209"/>
    </row>
    <row r="223" spans="1:11">
      <c r="A223" s="106" t="s">
        <v>3481</v>
      </c>
      <c r="B223" s="106" t="s">
        <v>3482</v>
      </c>
      <c r="C223" s="106" t="s">
        <v>3483</v>
      </c>
      <c r="E223" s="208">
        <v>43829</v>
      </c>
      <c r="F223" s="209"/>
      <c r="H223" s="106" t="s">
        <v>4746</v>
      </c>
      <c r="I223" s="210">
        <v>112</v>
      </c>
      <c r="J223" s="209"/>
    </row>
    <row r="224" spans="1:11">
      <c r="A224" s="106" t="s">
        <v>2603</v>
      </c>
      <c r="B224" s="106" t="s">
        <v>3484</v>
      </c>
      <c r="C224" s="106" t="s">
        <v>2807</v>
      </c>
      <c r="E224" s="209">
        <v>43828</v>
      </c>
      <c r="F224" s="209"/>
      <c r="H224" s="106">
        <v>625</v>
      </c>
      <c r="I224" s="210"/>
      <c r="J224" s="209"/>
    </row>
    <row r="225" spans="1:10">
      <c r="A225" s="106" t="s">
        <v>2603</v>
      </c>
      <c r="C225" s="106" t="s">
        <v>2608</v>
      </c>
      <c r="E225" s="208"/>
      <c r="F225" s="209"/>
      <c r="I225" s="210">
        <v>40</v>
      </c>
      <c r="J225" s="209"/>
    </row>
    <row r="226" spans="1:10">
      <c r="A226" s="106" t="s">
        <v>3485</v>
      </c>
      <c r="B226" s="106" t="s">
        <v>3486</v>
      </c>
      <c r="C226" s="106" t="s">
        <v>2872</v>
      </c>
      <c r="E226" s="209">
        <v>43828</v>
      </c>
      <c r="F226" s="209"/>
      <c r="H226" s="106">
        <v>72</v>
      </c>
      <c r="I226" s="210"/>
      <c r="J226" s="209"/>
    </row>
    <row r="227" spans="1:10">
      <c r="A227" s="106" t="s">
        <v>2426</v>
      </c>
      <c r="B227" s="106" t="s">
        <v>3486</v>
      </c>
      <c r="C227" s="106" t="s">
        <v>2940</v>
      </c>
      <c r="E227" s="208">
        <v>43829</v>
      </c>
      <c r="F227" s="209"/>
      <c r="H227" s="106">
        <v>73</v>
      </c>
      <c r="I227" s="210"/>
      <c r="J227" s="209"/>
    </row>
    <row r="228" spans="1:10">
      <c r="A228" s="106" t="s">
        <v>3487</v>
      </c>
      <c r="B228" s="106" t="s">
        <v>3488</v>
      </c>
      <c r="C228" s="106" t="s">
        <v>3489</v>
      </c>
      <c r="E228" s="208">
        <v>43829</v>
      </c>
      <c r="F228" s="209"/>
      <c r="H228" s="106">
        <v>612</v>
      </c>
      <c r="I228" s="210"/>
      <c r="J228" s="209"/>
    </row>
    <row r="229" spans="1:10">
      <c r="A229" s="106" t="s">
        <v>2387</v>
      </c>
      <c r="B229" s="106" t="s">
        <v>2643</v>
      </c>
      <c r="C229" s="211" t="s">
        <v>2644</v>
      </c>
      <c r="D229" s="211"/>
      <c r="E229" s="209">
        <v>43828</v>
      </c>
      <c r="F229" s="209"/>
      <c r="H229" s="106">
        <v>93</v>
      </c>
      <c r="I229" s="210"/>
      <c r="J229" s="209"/>
    </row>
    <row r="230" spans="1:10">
      <c r="A230" s="106" t="s">
        <v>2387</v>
      </c>
      <c r="B230" s="106" t="s">
        <v>3490</v>
      </c>
      <c r="C230" s="211" t="s">
        <v>2767</v>
      </c>
      <c r="D230" s="211"/>
      <c r="E230" s="209">
        <v>43828</v>
      </c>
      <c r="F230" s="209"/>
      <c r="H230" s="106">
        <v>103</v>
      </c>
      <c r="I230" s="210"/>
      <c r="J230" s="209"/>
    </row>
    <row r="231" spans="1:10">
      <c r="A231" s="106" t="s">
        <v>2387</v>
      </c>
      <c r="B231" s="106" t="s">
        <v>3076</v>
      </c>
      <c r="C231" s="106" t="s">
        <v>2800</v>
      </c>
      <c r="E231" s="209">
        <v>43828</v>
      </c>
      <c r="F231" s="209"/>
      <c r="H231" s="106">
        <v>250</v>
      </c>
      <c r="I231" s="210"/>
      <c r="J231" s="209"/>
    </row>
    <row r="232" spans="1:10">
      <c r="A232" s="106" t="s">
        <v>2387</v>
      </c>
      <c r="B232" s="106" t="s">
        <v>2387</v>
      </c>
      <c r="C232" s="106" t="s">
        <v>3491</v>
      </c>
      <c r="E232" s="208">
        <v>43829</v>
      </c>
      <c r="F232" s="209"/>
      <c r="H232" s="106" t="s">
        <v>4743</v>
      </c>
      <c r="I232" s="210"/>
      <c r="J232" s="209"/>
    </row>
    <row r="233" spans="1:10">
      <c r="A233" s="106" t="s">
        <v>2387</v>
      </c>
      <c r="B233" s="106" t="s">
        <v>3492</v>
      </c>
      <c r="C233" s="106" t="s">
        <v>3493</v>
      </c>
      <c r="E233" s="208">
        <v>43829</v>
      </c>
      <c r="F233" s="209"/>
      <c r="H233" s="106">
        <v>457</v>
      </c>
      <c r="I233" s="210"/>
      <c r="J233" s="209"/>
    </row>
    <row r="234" spans="1:10">
      <c r="A234" s="106" t="s">
        <v>2387</v>
      </c>
      <c r="B234" s="106" t="s">
        <v>3494</v>
      </c>
      <c r="C234" s="106" t="s">
        <v>3495</v>
      </c>
      <c r="E234" s="208">
        <v>43829</v>
      </c>
      <c r="F234" s="209"/>
      <c r="H234" s="106">
        <v>516</v>
      </c>
      <c r="I234" s="210"/>
      <c r="J234" s="209"/>
    </row>
    <row r="235" spans="1:10">
      <c r="A235" s="106" t="s">
        <v>2387</v>
      </c>
      <c r="B235" s="106" t="s">
        <v>3496</v>
      </c>
      <c r="C235" s="106" t="s">
        <v>3497</v>
      </c>
      <c r="E235" s="208">
        <v>43829</v>
      </c>
      <c r="F235" s="209"/>
      <c r="H235" s="106">
        <v>622</v>
      </c>
      <c r="I235" s="210"/>
      <c r="J235" s="209"/>
    </row>
    <row r="236" spans="1:10">
      <c r="A236" s="106" t="s">
        <v>2387</v>
      </c>
      <c r="B236" s="106" t="s">
        <v>3498</v>
      </c>
      <c r="C236" s="106" t="s">
        <v>3499</v>
      </c>
      <c r="E236" s="208">
        <v>43829</v>
      </c>
      <c r="F236" s="209"/>
      <c r="H236" s="106">
        <v>755</v>
      </c>
      <c r="I236" s="210"/>
      <c r="J236" s="209"/>
    </row>
    <row r="237" spans="1:10">
      <c r="A237" s="106" t="s">
        <v>2387</v>
      </c>
      <c r="B237" s="106" t="s">
        <v>3076</v>
      </c>
      <c r="C237" s="106" t="s">
        <v>3926</v>
      </c>
      <c r="E237" s="208"/>
      <c r="F237" s="209"/>
      <c r="H237" s="106">
        <v>478</v>
      </c>
      <c r="I237" s="210"/>
      <c r="J237" s="209"/>
    </row>
    <row r="238" spans="1:10">
      <c r="A238" s="215" t="s">
        <v>3500</v>
      </c>
      <c r="B238" s="215" t="s">
        <v>3501</v>
      </c>
      <c r="C238" s="106" t="s">
        <v>2962</v>
      </c>
      <c r="E238" s="208">
        <v>43829</v>
      </c>
      <c r="F238" s="209"/>
      <c r="H238" s="106">
        <v>106</v>
      </c>
      <c r="I238" s="210"/>
      <c r="J238" s="209"/>
    </row>
    <row r="239" spans="1:10">
      <c r="A239" s="106" t="s">
        <v>3502</v>
      </c>
      <c r="B239" s="106" t="s">
        <v>3503</v>
      </c>
      <c r="C239" s="106" t="s">
        <v>2848</v>
      </c>
      <c r="E239" s="209">
        <v>43828</v>
      </c>
      <c r="F239" s="209"/>
      <c r="H239" s="106">
        <v>689</v>
      </c>
      <c r="I239" s="210"/>
      <c r="J239" s="209"/>
    </row>
    <row r="240" spans="1:10">
      <c r="A240" s="106" t="s">
        <v>3504</v>
      </c>
      <c r="B240" s="106" t="s">
        <v>3505</v>
      </c>
      <c r="C240" s="106" t="s">
        <v>3027</v>
      </c>
      <c r="E240" s="208">
        <v>43829</v>
      </c>
      <c r="F240" s="209"/>
      <c r="H240" s="106">
        <v>195</v>
      </c>
      <c r="I240" s="210"/>
      <c r="J240" s="209"/>
    </row>
    <row r="241" spans="1:11">
      <c r="A241" s="106" t="s">
        <v>3506</v>
      </c>
      <c r="B241" s="106" t="s">
        <v>3507</v>
      </c>
      <c r="C241" s="106" t="s">
        <v>3508</v>
      </c>
      <c r="E241" s="208">
        <v>43829</v>
      </c>
      <c r="F241" s="209"/>
      <c r="H241" s="106">
        <v>324</v>
      </c>
      <c r="I241" s="210"/>
      <c r="J241" s="209"/>
    </row>
    <row r="242" spans="1:11">
      <c r="A242" s="106" t="s">
        <v>3506</v>
      </c>
      <c r="B242" s="106" t="s">
        <v>3509</v>
      </c>
      <c r="C242" s="106" t="s">
        <v>3510</v>
      </c>
      <c r="E242" s="208">
        <v>43829</v>
      </c>
      <c r="F242" s="209" t="s">
        <v>2673</v>
      </c>
      <c r="H242" s="106">
        <v>515</v>
      </c>
      <c r="I242" s="210"/>
      <c r="J242" s="209"/>
    </row>
    <row r="243" spans="1:11">
      <c r="A243" s="106" t="s">
        <v>3506</v>
      </c>
      <c r="B243" s="106" t="s">
        <v>3511</v>
      </c>
      <c r="C243" s="106" t="s">
        <v>3512</v>
      </c>
      <c r="E243" s="208">
        <v>43829</v>
      </c>
      <c r="F243" s="209" t="s">
        <v>2673</v>
      </c>
      <c r="H243" s="106">
        <v>532</v>
      </c>
      <c r="I243" s="210"/>
      <c r="J243" s="209"/>
    </row>
    <row r="244" spans="1:11">
      <c r="A244" s="106" t="s">
        <v>3513</v>
      </c>
      <c r="B244" s="106" t="s">
        <v>3207</v>
      </c>
      <c r="C244" s="106" t="s">
        <v>2811</v>
      </c>
      <c r="E244" s="209">
        <v>43828</v>
      </c>
      <c r="F244" s="209"/>
      <c r="H244" s="106">
        <v>164</v>
      </c>
      <c r="I244" s="210"/>
      <c r="J244" s="209"/>
    </row>
    <row r="245" spans="1:11">
      <c r="A245" s="106" t="s">
        <v>3513</v>
      </c>
      <c r="B245" s="106" t="s">
        <v>3514</v>
      </c>
      <c r="C245" s="106" t="s">
        <v>2814</v>
      </c>
      <c r="E245" s="209">
        <v>43828</v>
      </c>
      <c r="F245" s="209"/>
      <c r="H245" s="106">
        <v>571</v>
      </c>
      <c r="I245" s="210"/>
      <c r="J245" s="209"/>
    </row>
    <row r="246" spans="1:11">
      <c r="A246" s="106" t="s">
        <v>3513</v>
      </c>
      <c r="B246" s="106" t="s">
        <v>3515</v>
      </c>
      <c r="C246" s="106" t="s">
        <v>2813</v>
      </c>
      <c r="E246" s="209">
        <v>43828</v>
      </c>
      <c r="F246" s="209"/>
      <c r="H246" s="106">
        <v>608</v>
      </c>
      <c r="I246" s="210"/>
      <c r="J246" s="209"/>
    </row>
    <row r="247" spans="1:11">
      <c r="A247" s="106" t="s">
        <v>3513</v>
      </c>
      <c r="B247" s="106" t="s">
        <v>3516</v>
      </c>
      <c r="C247" s="106" t="s">
        <v>2812</v>
      </c>
      <c r="E247" s="209">
        <v>43828</v>
      </c>
      <c r="F247" s="209"/>
      <c r="H247" s="106">
        <v>633</v>
      </c>
      <c r="I247" s="210"/>
      <c r="J247" s="209"/>
    </row>
    <row r="248" spans="1:11">
      <c r="A248" s="106" t="s">
        <v>3517</v>
      </c>
      <c r="B248" s="106" t="s">
        <v>3516</v>
      </c>
      <c r="C248" s="106" t="s">
        <v>3518</v>
      </c>
      <c r="E248" s="208">
        <v>43829</v>
      </c>
      <c r="F248" s="209"/>
      <c r="H248" s="106">
        <v>657</v>
      </c>
      <c r="I248" s="210"/>
      <c r="J248" s="209"/>
    </row>
    <row r="249" spans="1:11">
      <c r="A249" s="106" t="s">
        <v>3519</v>
      </c>
      <c r="B249" s="106" t="s">
        <v>3520</v>
      </c>
      <c r="C249" s="106" t="s">
        <v>2824</v>
      </c>
      <c r="E249" s="209">
        <v>43828</v>
      </c>
      <c r="F249" s="209"/>
      <c r="H249" s="106">
        <v>458</v>
      </c>
      <c r="I249" s="210"/>
      <c r="J249" s="209"/>
    </row>
    <row r="250" spans="1:11">
      <c r="A250" s="106" t="s">
        <v>3521</v>
      </c>
      <c r="B250" s="106" t="s">
        <v>3522</v>
      </c>
      <c r="C250" s="106" t="s">
        <v>2845</v>
      </c>
      <c r="E250" s="209">
        <v>43828</v>
      </c>
      <c r="F250" s="209"/>
      <c r="H250" s="106">
        <v>311</v>
      </c>
      <c r="I250" s="210"/>
      <c r="J250" s="209"/>
    </row>
    <row r="251" spans="1:11">
      <c r="A251" s="106" t="s">
        <v>3523</v>
      </c>
      <c r="B251" s="106" t="s">
        <v>3524</v>
      </c>
      <c r="C251" s="106" t="s">
        <v>3525</v>
      </c>
      <c r="E251" s="208">
        <v>43829</v>
      </c>
      <c r="F251" s="209"/>
      <c r="H251" s="106">
        <v>354</v>
      </c>
      <c r="I251" s="210"/>
      <c r="J251" s="209"/>
    </row>
    <row r="252" spans="1:11">
      <c r="A252" s="106" t="s">
        <v>3526</v>
      </c>
      <c r="B252" s="106" t="s">
        <v>3527</v>
      </c>
      <c r="C252" s="106" t="s">
        <v>3528</v>
      </c>
      <c r="E252" s="208">
        <v>43829</v>
      </c>
      <c r="F252" s="209"/>
      <c r="H252" s="106">
        <v>700</v>
      </c>
      <c r="I252" s="210"/>
      <c r="J252" s="209"/>
    </row>
    <row r="253" spans="1:11">
      <c r="A253" s="106" t="s">
        <v>3529</v>
      </c>
      <c r="B253" s="106" t="s">
        <v>3530</v>
      </c>
      <c r="C253" s="106" t="s">
        <v>3531</v>
      </c>
      <c r="E253" s="208">
        <v>43829</v>
      </c>
      <c r="F253" s="209"/>
      <c r="H253" s="106">
        <v>440</v>
      </c>
      <c r="I253" s="210"/>
      <c r="J253" s="209"/>
    </row>
    <row r="254" spans="1:11">
      <c r="A254" s="106" t="s">
        <v>3532</v>
      </c>
      <c r="B254" s="106" t="s">
        <v>3533</v>
      </c>
      <c r="C254" s="106" t="s">
        <v>3534</v>
      </c>
      <c r="E254" s="208">
        <v>43829</v>
      </c>
      <c r="F254" s="209"/>
      <c r="H254" s="106" t="s">
        <v>4730</v>
      </c>
      <c r="I254" s="210"/>
      <c r="J254" s="209"/>
    </row>
    <row r="255" spans="1:11">
      <c r="A255" s="217" t="s">
        <v>2754</v>
      </c>
      <c r="B255" s="217"/>
      <c r="C255" s="211" t="s">
        <v>2755</v>
      </c>
      <c r="D255" s="211"/>
      <c r="E255" s="208">
        <v>43825</v>
      </c>
      <c r="F255" s="209"/>
      <c r="I255" s="210">
        <v>41</v>
      </c>
      <c r="K255" s="106" t="s">
        <v>2664</v>
      </c>
    </row>
    <row r="256" spans="1:11">
      <c r="A256" s="106" t="s">
        <v>2353</v>
      </c>
      <c r="B256" s="106" t="s">
        <v>2354</v>
      </c>
      <c r="C256" s="106" t="s">
        <v>2859</v>
      </c>
      <c r="E256" s="209">
        <v>43828</v>
      </c>
      <c r="F256" s="209"/>
      <c r="H256" s="106">
        <v>71</v>
      </c>
      <c r="I256" s="210"/>
      <c r="J256" s="209"/>
    </row>
    <row r="257" spans="1:10">
      <c r="A257" s="106" t="s">
        <v>3535</v>
      </c>
      <c r="B257" s="106" t="s">
        <v>3536</v>
      </c>
      <c r="C257" s="212" t="s">
        <v>2770</v>
      </c>
      <c r="D257" s="212"/>
      <c r="E257" s="209">
        <v>43828</v>
      </c>
      <c r="F257" s="209"/>
      <c r="H257" s="106">
        <v>259</v>
      </c>
      <c r="I257" s="210"/>
      <c r="J257" s="209"/>
    </row>
    <row r="258" spans="1:10">
      <c r="A258" s="106" t="s">
        <v>3095</v>
      </c>
      <c r="B258" s="106" t="s">
        <v>3530</v>
      </c>
      <c r="C258" s="106" t="s">
        <v>3537</v>
      </c>
      <c r="E258" s="208">
        <v>43829</v>
      </c>
      <c r="F258" s="209"/>
      <c r="I258" s="210"/>
      <c r="J258" s="209"/>
    </row>
    <row r="259" spans="1:10">
      <c r="A259" s="106" t="s">
        <v>3538</v>
      </c>
      <c r="B259" s="106" t="s">
        <v>3539</v>
      </c>
      <c r="C259" s="106" t="s">
        <v>3540</v>
      </c>
      <c r="E259" s="208">
        <v>43829</v>
      </c>
      <c r="F259" s="209"/>
      <c r="H259" s="106">
        <v>595</v>
      </c>
      <c r="I259" s="210"/>
      <c r="J259" s="209"/>
    </row>
    <row r="260" spans="1:10">
      <c r="A260" s="106" t="s">
        <v>3541</v>
      </c>
      <c r="B260" s="106" t="s">
        <v>3542</v>
      </c>
      <c r="C260" s="106" t="s">
        <v>2831</v>
      </c>
      <c r="E260" s="209">
        <v>43828</v>
      </c>
      <c r="F260" s="209"/>
      <c r="H260" s="106">
        <v>538</v>
      </c>
      <c r="I260" s="210"/>
      <c r="J260" s="209"/>
    </row>
    <row r="261" spans="1:10">
      <c r="A261" s="106" t="s">
        <v>3543</v>
      </c>
      <c r="B261" s="106" t="s">
        <v>3544</v>
      </c>
      <c r="C261" s="106" t="s">
        <v>3017</v>
      </c>
      <c r="E261" s="208">
        <v>43829</v>
      </c>
      <c r="F261" s="209"/>
      <c r="H261" s="106">
        <v>183</v>
      </c>
      <c r="I261" s="210"/>
      <c r="J261" s="209"/>
    </row>
    <row r="262" spans="1:10">
      <c r="A262" s="106" t="s">
        <v>2377</v>
      </c>
      <c r="B262" s="106" t="s">
        <v>3545</v>
      </c>
      <c r="C262" s="106" t="s">
        <v>3546</v>
      </c>
      <c r="E262" s="208">
        <v>43829</v>
      </c>
      <c r="F262" s="209"/>
      <c r="H262" s="106" t="s">
        <v>4710</v>
      </c>
      <c r="I262" s="210"/>
      <c r="J262" s="209"/>
    </row>
    <row r="263" spans="1:10">
      <c r="A263" s="106" t="s">
        <v>3547</v>
      </c>
      <c r="B263" s="106" t="s">
        <v>3548</v>
      </c>
      <c r="C263" s="106" t="s">
        <v>3549</v>
      </c>
      <c r="E263" s="208">
        <v>43829</v>
      </c>
      <c r="F263" s="209"/>
      <c r="H263" s="106">
        <v>244</v>
      </c>
      <c r="I263" s="210"/>
      <c r="J263" s="209"/>
    </row>
    <row r="264" spans="1:10">
      <c r="A264" s="106" t="s">
        <v>3550</v>
      </c>
      <c r="B264" s="106" t="s">
        <v>3551</v>
      </c>
      <c r="C264" s="106" t="s">
        <v>2821</v>
      </c>
      <c r="E264" s="209">
        <v>43828</v>
      </c>
      <c r="F264" s="209"/>
      <c r="H264" s="106">
        <v>713</v>
      </c>
      <c r="I264" s="210"/>
      <c r="J264" s="209"/>
    </row>
    <row r="265" spans="1:10">
      <c r="A265" s="106" t="s">
        <v>3552</v>
      </c>
      <c r="B265" s="106" t="s">
        <v>3553</v>
      </c>
      <c r="C265" s="106" t="s">
        <v>3554</v>
      </c>
      <c r="E265" s="208">
        <v>43829</v>
      </c>
      <c r="F265" s="209"/>
      <c r="H265" s="106">
        <v>550</v>
      </c>
      <c r="I265" s="210"/>
      <c r="J265" s="209"/>
    </row>
    <row r="266" spans="1:10">
      <c r="A266" s="106" t="s">
        <v>3555</v>
      </c>
      <c r="B266" s="106" t="s">
        <v>2643</v>
      </c>
      <c r="C266" s="106" t="s">
        <v>2955</v>
      </c>
      <c r="E266" s="208">
        <v>43829</v>
      </c>
      <c r="F266" s="209"/>
      <c r="H266" s="106">
        <v>94</v>
      </c>
      <c r="I266" s="210"/>
      <c r="J266" s="209"/>
    </row>
    <row r="267" spans="1:10">
      <c r="A267" s="106" t="s">
        <v>2591</v>
      </c>
      <c r="C267" s="106" t="s">
        <v>2596</v>
      </c>
      <c r="E267" s="209">
        <v>43828</v>
      </c>
      <c r="F267" s="209"/>
      <c r="I267" s="210">
        <v>45</v>
      </c>
      <c r="J267" s="209"/>
    </row>
    <row r="268" spans="1:10">
      <c r="A268" s="106" t="s">
        <v>2591</v>
      </c>
      <c r="B268" s="106" t="s">
        <v>3556</v>
      </c>
      <c r="C268" s="106" t="s">
        <v>3557</v>
      </c>
      <c r="E268" s="208">
        <v>43829</v>
      </c>
      <c r="F268" s="209"/>
      <c r="H268" s="106">
        <v>399</v>
      </c>
      <c r="I268" s="210"/>
      <c r="J268" s="209"/>
    </row>
    <row r="269" spans="1:10">
      <c r="A269" s="106" t="s">
        <v>2591</v>
      </c>
      <c r="B269" s="106" t="s">
        <v>3558</v>
      </c>
      <c r="C269" s="106" t="s">
        <v>3559</v>
      </c>
      <c r="E269" s="208">
        <v>43829</v>
      </c>
      <c r="F269" s="209"/>
      <c r="H269" s="106">
        <v>560</v>
      </c>
      <c r="I269" s="210"/>
      <c r="J269" s="209"/>
    </row>
    <row r="270" spans="1:10">
      <c r="A270" s="106" t="s">
        <v>2591</v>
      </c>
      <c r="B270" s="106" t="s">
        <v>3560</v>
      </c>
      <c r="C270" s="106" t="s">
        <v>3561</v>
      </c>
      <c r="E270" s="208">
        <v>43829</v>
      </c>
      <c r="F270" s="209"/>
      <c r="H270" s="106">
        <v>620</v>
      </c>
      <c r="I270" s="210"/>
      <c r="J270" s="209"/>
    </row>
    <row r="271" spans="1:10">
      <c r="A271" s="106" t="s">
        <v>376</v>
      </c>
      <c r="B271" s="106" t="s">
        <v>378</v>
      </c>
      <c r="C271" s="106" t="s">
        <v>379</v>
      </c>
      <c r="H271" s="106">
        <v>399</v>
      </c>
    </row>
    <row r="272" spans="1:10">
      <c r="A272" s="106" t="s">
        <v>376</v>
      </c>
      <c r="B272" s="106" t="s">
        <v>380</v>
      </c>
      <c r="C272" s="106" t="s">
        <v>381</v>
      </c>
      <c r="H272" s="106">
        <v>620</v>
      </c>
    </row>
    <row r="273" spans="1:11">
      <c r="A273" s="106" t="s">
        <v>376</v>
      </c>
      <c r="B273" s="106" t="s">
        <v>382</v>
      </c>
      <c r="C273" s="106" t="s">
        <v>383</v>
      </c>
      <c r="H273" s="106">
        <v>560</v>
      </c>
    </row>
    <row r="274" spans="1:11">
      <c r="A274" s="106" t="s">
        <v>3562</v>
      </c>
      <c r="B274" s="106" t="s">
        <v>3563</v>
      </c>
      <c r="C274" s="106" t="s">
        <v>3030</v>
      </c>
      <c r="E274" s="208">
        <v>43829</v>
      </c>
      <c r="F274" s="209"/>
      <c r="H274" s="106">
        <v>198</v>
      </c>
      <c r="I274" s="210"/>
      <c r="J274" s="209"/>
    </row>
    <row r="275" spans="1:11">
      <c r="A275" s="106" t="s">
        <v>2578</v>
      </c>
      <c r="C275" s="211" t="s">
        <v>2579</v>
      </c>
      <c r="D275" s="211"/>
      <c r="E275" s="209">
        <v>43828</v>
      </c>
      <c r="F275" s="209"/>
      <c r="I275" s="210">
        <v>46</v>
      </c>
      <c r="J275" s="209"/>
    </row>
    <row r="276" spans="1:11">
      <c r="A276" s="106" t="s">
        <v>3564</v>
      </c>
      <c r="B276" s="106" t="s">
        <v>3565</v>
      </c>
      <c r="C276" s="106" t="s">
        <v>3000</v>
      </c>
      <c r="E276" s="208">
        <v>43829</v>
      </c>
      <c r="F276" s="209"/>
      <c r="H276" s="106">
        <v>159</v>
      </c>
      <c r="I276" s="210"/>
      <c r="J276" s="209"/>
    </row>
    <row r="277" spans="1:11">
      <c r="A277" s="106" t="s">
        <v>2389</v>
      </c>
      <c r="B277" s="106" t="s">
        <v>3566</v>
      </c>
      <c r="C277" s="211" t="s">
        <v>2390</v>
      </c>
      <c r="D277" s="211"/>
      <c r="E277" s="209">
        <v>43828</v>
      </c>
      <c r="F277" s="209"/>
      <c r="I277" s="210">
        <v>47</v>
      </c>
      <c r="J277" s="209"/>
    </row>
    <row r="278" spans="1:11">
      <c r="A278" s="106" t="s">
        <v>3567</v>
      </c>
      <c r="B278" s="106" t="s">
        <v>3568</v>
      </c>
      <c r="C278" s="106" t="s">
        <v>3569</v>
      </c>
      <c r="E278" s="208">
        <v>43829</v>
      </c>
      <c r="F278" s="209"/>
      <c r="H278" s="106">
        <v>585</v>
      </c>
      <c r="I278" s="210"/>
      <c r="J278" s="209"/>
    </row>
    <row r="279" spans="1:11">
      <c r="A279" s="106" t="s">
        <v>3570</v>
      </c>
      <c r="B279" s="106" t="s">
        <v>3571</v>
      </c>
      <c r="C279" s="106" t="s">
        <v>3572</v>
      </c>
      <c r="E279" s="208">
        <v>43829</v>
      </c>
      <c r="F279" s="209"/>
      <c r="H279" s="106">
        <v>437</v>
      </c>
      <c r="I279" s="210"/>
      <c r="J279" s="209"/>
    </row>
    <row r="280" spans="1:11">
      <c r="A280" s="217" t="s">
        <v>2722</v>
      </c>
      <c r="B280" s="217"/>
      <c r="C280" s="217" t="s">
        <v>2882</v>
      </c>
      <c r="D280" s="217"/>
      <c r="E280" s="208">
        <v>43825</v>
      </c>
      <c r="F280" s="209" t="s">
        <v>2231</v>
      </c>
      <c r="I280" s="210">
        <v>50</v>
      </c>
    </row>
    <row r="281" spans="1:11">
      <c r="A281" s="106" t="s">
        <v>3573</v>
      </c>
      <c r="B281" s="106" t="s">
        <v>3574</v>
      </c>
      <c r="C281" s="106" t="s">
        <v>3575</v>
      </c>
      <c r="E281" s="208">
        <v>43829</v>
      </c>
      <c r="F281" s="209"/>
      <c r="H281" s="106">
        <v>240</v>
      </c>
      <c r="I281" s="210"/>
      <c r="J281" s="209"/>
    </row>
    <row r="282" spans="1:11">
      <c r="A282" s="106" t="s">
        <v>3576</v>
      </c>
      <c r="B282" s="106" t="s">
        <v>3577</v>
      </c>
      <c r="C282" s="106" t="s">
        <v>2975</v>
      </c>
      <c r="E282" s="208">
        <v>43829</v>
      </c>
      <c r="F282" s="209"/>
      <c r="H282" s="106">
        <v>123</v>
      </c>
      <c r="I282" s="210"/>
      <c r="J282" s="209"/>
    </row>
    <row r="283" spans="1:11">
      <c r="A283" s="106" t="s">
        <v>3576</v>
      </c>
      <c r="B283" s="106" t="s">
        <v>3578</v>
      </c>
      <c r="C283" s="106" t="s">
        <v>3579</v>
      </c>
      <c r="E283" s="208">
        <v>43829</v>
      </c>
      <c r="F283" s="209"/>
      <c r="H283" s="106">
        <v>709</v>
      </c>
      <c r="I283" s="210"/>
      <c r="J283" s="209"/>
    </row>
    <row r="284" spans="1:11">
      <c r="A284" s="106" t="s">
        <v>2727</v>
      </c>
      <c r="B284" s="106" t="s">
        <v>3580</v>
      </c>
      <c r="C284" s="106" t="s">
        <v>2820</v>
      </c>
      <c r="E284" s="209">
        <v>43828</v>
      </c>
      <c r="F284" s="209"/>
      <c r="H284" s="106">
        <v>405</v>
      </c>
      <c r="I284" s="210"/>
      <c r="J284" s="209"/>
    </row>
    <row r="285" spans="1:11">
      <c r="A285" s="106" t="s">
        <v>3581</v>
      </c>
      <c r="B285" s="106" t="s">
        <v>3582</v>
      </c>
      <c r="C285" s="106" t="s">
        <v>3583</v>
      </c>
      <c r="E285" s="208">
        <v>43829</v>
      </c>
      <c r="F285" s="209"/>
      <c r="H285" s="106">
        <v>378</v>
      </c>
      <c r="I285" s="210"/>
      <c r="J285" s="209"/>
    </row>
    <row r="286" spans="1:11">
      <c r="A286" s="106" t="s">
        <v>3584</v>
      </c>
      <c r="B286" s="106" t="s">
        <v>3585</v>
      </c>
      <c r="C286" s="106" t="s">
        <v>3586</v>
      </c>
      <c r="E286" s="208">
        <v>43829</v>
      </c>
      <c r="F286" s="209"/>
      <c r="H286" s="106">
        <v>379</v>
      </c>
      <c r="I286" s="210"/>
      <c r="J286" s="209"/>
      <c r="K286" s="106" t="s">
        <v>2673</v>
      </c>
    </row>
    <row r="287" spans="1:11">
      <c r="A287" s="106" t="s">
        <v>3587</v>
      </c>
      <c r="B287" s="106" t="s">
        <v>3588</v>
      </c>
      <c r="C287" s="106" t="s">
        <v>2804</v>
      </c>
      <c r="E287" s="209">
        <v>43828</v>
      </c>
      <c r="F287" s="209"/>
      <c r="H287" s="106">
        <v>688</v>
      </c>
      <c r="I287" s="210"/>
      <c r="J287" s="209"/>
    </row>
    <row r="288" spans="1:11">
      <c r="A288" s="106" t="s">
        <v>3589</v>
      </c>
      <c r="B288" s="106" t="s">
        <v>3590</v>
      </c>
      <c r="C288" s="106" t="s">
        <v>3591</v>
      </c>
      <c r="E288" s="208">
        <v>43829</v>
      </c>
      <c r="F288" s="209"/>
      <c r="H288" s="106">
        <v>390</v>
      </c>
      <c r="I288" s="210"/>
      <c r="J288" s="209"/>
    </row>
    <row r="289" spans="1:10">
      <c r="A289" s="122" t="s">
        <v>2735</v>
      </c>
      <c r="B289" s="122"/>
      <c r="C289" s="211" t="s">
        <v>2883</v>
      </c>
      <c r="D289" s="211"/>
      <c r="E289" s="208">
        <v>43825</v>
      </c>
      <c r="F289" s="209"/>
      <c r="I289" s="210">
        <v>52</v>
      </c>
    </row>
    <row r="290" spans="1:10">
      <c r="A290" s="106" t="s">
        <v>2291</v>
      </c>
      <c r="B290" s="106" t="s">
        <v>2312</v>
      </c>
      <c r="C290" s="216" t="s">
        <v>2646</v>
      </c>
      <c r="D290" s="216"/>
      <c r="E290" s="209">
        <v>43828</v>
      </c>
      <c r="F290" s="209"/>
      <c r="H290" s="106">
        <v>95</v>
      </c>
      <c r="I290" s="210"/>
      <c r="J290" s="209"/>
    </row>
    <row r="291" spans="1:10">
      <c r="A291" s="106" t="s">
        <v>2291</v>
      </c>
      <c r="B291" s="106" t="s">
        <v>3592</v>
      </c>
      <c r="C291" s="106" t="s">
        <v>2645</v>
      </c>
      <c r="E291" s="209">
        <v>43828</v>
      </c>
      <c r="F291" s="209"/>
      <c r="H291" s="106" t="s">
        <v>4734</v>
      </c>
      <c r="I291" s="210"/>
      <c r="J291" s="209"/>
    </row>
    <row r="292" spans="1:10">
      <c r="A292" s="106" t="s">
        <v>2291</v>
      </c>
      <c r="B292" s="106" t="s">
        <v>3593</v>
      </c>
      <c r="C292" s="106" t="s">
        <v>2857</v>
      </c>
      <c r="E292" s="209">
        <v>43828</v>
      </c>
      <c r="F292" s="209"/>
      <c r="H292" s="106">
        <v>670</v>
      </c>
      <c r="I292" s="210"/>
      <c r="J292" s="209"/>
    </row>
    <row r="293" spans="1:10">
      <c r="A293" s="106" t="s">
        <v>3594</v>
      </c>
      <c r="B293" s="106" t="s">
        <v>3595</v>
      </c>
      <c r="C293" s="106" t="s">
        <v>2836</v>
      </c>
      <c r="E293" s="209">
        <v>43828</v>
      </c>
      <c r="F293" s="209"/>
      <c r="H293" s="106">
        <v>96</v>
      </c>
      <c r="I293" s="210"/>
      <c r="J293" s="209"/>
    </row>
    <row r="294" spans="1:10">
      <c r="A294" s="106" t="s">
        <v>3942</v>
      </c>
      <c r="C294" s="106" t="s">
        <v>3943</v>
      </c>
      <c r="E294" s="208"/>
      <c r="F294" s="209"/>
      <c r="I294" s="210">
        <v>54</v>
      </c>
      <c r="J294" s="209"/>
    </row>
    <row r="295" spans="1:10">
      <c r="A295" s="106" t="s">
        <v>3596</v>
      </c>
      <c r="B295" s="106" t="s">
        <v>3597</v>
      </c>
      <c r="C295" s="106" t="s">
        <v>3598</v>
      </c>
      <c r="E295" s="208">
        <v>43829</v>
      </c>
      <c r="F295" s="209"/>
      <c r="H295" s="106">
        <v>471</v>
      </c>
      <c r="I295" s="210"/>
      <c r="J295" s="209"/>
    </row>
    <row r="296" spans="1:10">
      <c r="A296" s="106" t="s">
        <v>3599</v>
      </c>
      <c r="B296" s="106" t="s">
        <v>3600</v>
      </c>
      <c r="C296" s="106" t="s">
        <v>2798</v>
      </c>
      <c r="E296" s="209">
        <v>43828</v>
      </c>
      <c r="F296" s="209"/>
      <c r="H296" s="106">
        <v>158</v>
      </c>
      <c r="I296" s="210"/>
      <c r="J296" s="209"/>
    </row>
    <row r="297" spans="1:10">
      <c r="A297" s="106" t="s">
        <v>3599</v>
      </c>
      <c r="B297" s="106" t="s">
        <v>3601</v>
      </c>
      <c r="C297" s="106" t="s">
        <v>2799</v>
      </c>
      <c r="E297" s="209">
        <v>43828</v>
      </c>
      <c r="F297" s="209"/>
      <c r="H297" s="106">
        <v>192</v>
      </c>
      <c r="I297" s="210"/>
      <c r="J297" s="209"/>
    </row>
    <row r="298" spans="1:10">
      <c r="A298" s="106" t="s">
        <v>3599</v>
      </c>
      <c r="B298" s="106" t="s">
        <v>3602</v>
      </c>
      <c r="C298" s="106" t="s">
        <v>2797</v>
      </c>
      <c r="E298" s="209">
        <v>43828</v>
      </c>
      <c r="F298" s="209"/>
      <c r="H298" s="106">
        <v>346</v>
      </c>
      <c r="I298" s="210"/>
      <c r="J298" s="209"/>
    </row>
    <row r="299" spans="1:10">
      <c r="A299" s="106" t="s">
        <v>3603</v>
      </c>
      <c r="B299" s="106" t="s">
        <v>3604</v>
      </c>
      <c r="C299" s="106" t="s">
        <v>2934</v>
      </c>
      <c r="E299" s="208">
        <v>43829</v>
      </c>
      <c r="F299" s="209"/>
      <c r="H299" s="106">
        <v>65</v>
      </c>
      <c r="I299" s="210"/>
      <c r="J299" s="209"/>
    </row>
    <row r="300" spans="1:10">
      <c r="A300" s="106" t="s">
        <v>3603</v>
      </c>
      <c r="B300" s="106" t="s">
        <v>3605</v>
      </c>
      <c r="C300" s="106" t="s">
        <v>2944</v>
      </c>
      <c r="E300" s="208">
        <v>43829</v>
      </c>
      <c r="F300" s="209"/>
      <c r="H300" s="106">
        <v>79</v>
      </c>
      <c r="I300" s="210"/>
      <c r="J300" s="209"/>
    </row>
    <row r="301" spans="1:10">
      <c r="A301" s="106" t="s">
        <v>2338</v>
      </c>
      <c r="B301" s="106" t="s">
        <v>3135</v>
      </c>
      <c r="C301" s="106" t="s">
        <v>2852</v>
      </c>
      <c r="E301" s="209">
        <v>43828</v>
      </c>
      <c r="F301" s="209"/>
      <c r="H301" s="106">
        <v>352</v>
      </c>
      <c r="I301" s="210"/>
      <c r="J301" s="209"/>
    </row>
    <row r="302" spans="1:10">
      <c r="A302" s="106" t="s">
        <v>2338</v>
      </c>
      <c r="B302" s="106" t="s">
        <v>3606</v>
      </c>
      <c r="C302" s="106" t="s">
        <v>3607</v>
      </c>
      <c r="E302" s="208">
        <v>43829</v>
      </c>
      <c r="F302" s="209"/>
      <c r="H302" s="106">
        <v>494</v>
      </c>
      <c r="I302" s="210"/>
      <c r="J302" s="209"/>
    </row>
    <row r="303" spans="1:10">
      <c r="A303" s="106" t="s">
        <v>2532</v>
      </c>
      <c r="B303" s="106" t="s">
        <v>2641</v>
      </c>
      <c r="C303" s="211" t="s">
        <v>2642</v>
      </c>
      <c r="D303" s="211"/>
      <c r="E303" s="209">
        <v>43828</v>
      </c>
      <c r="F303" s="209"/>
      <c r="H303" s="106">
        <v>12</v>
      </c>
      <c r="I303" s="210"/>
      <c r="J303" s="209"/>
    </row>
    <row r="304" spans="1:10">
      <c r="A304" s="106" t="s">
        <v>2703</v>
      </c>
      <c r="B304" s="106" t="s">
        <v>3608</v>
      </c>
      <c r="C304" s="106" t="s">
        <v>2819</v>
      </c>
      <c r="E304" s="209">
        <v>43828</v>
      </c>
      <c r="F304" s="209"/>
      <c r="H304" s="106">
        <v>161</v>
      </c>
      <c r="I304" s="210"/>
      <c r="J304" s="209"/>
    </row>
    <row r="305" spans="1:10">
      <c r="A305" s="106" t="s">
        <v>3609</v>
      </c>
      <c r="B305" s="106" t="s">
        <v>3610</v>
      </c>
      <c r="C305" s="106" t="s">
        <v>2839</v>
      </c>
      <c r="E305" s="209">
        <v>43828</v>
      </c>
      <c r="F305" s="209"/>
      <c r="H305" s="106">
        <v>348</v>
      </c>
      <c r="I305" s="210"/>
      <c r="J305" s="209"/>
    </row>
    <row r="306" spans="1:10">
      <c r="A306" s="106" t="s">
        <v>3955</v>
      </c>
      <c r="C306" s="106" t="s">
        <v>3956</v>
      </c>
      <c r="E306" s="208"/>
      <c r="F306" s="209"/>
      <c r="I306" s="210">
        <v>57</v>
      </c>
      <c r="J306" s="209"/>
    </row>
    <row r="307" spans="1:10">
      <c r="A307" s="106" t="s">
        <v>2316</v>
      </c>
      <c r="B307" s="106" t="s">
        <v>3611</v>
      </c>
      <c r="C307" s="106" t="s">
        <v>3025</v>
      </c>
      <c r="E307" s="208">
        <v>43829</v>
      </c>
      <c r="F307" s="209"/>
      <c r="H307" s="106">
        <v>193</v>
      </c>
      <c r="I307" s="210"/>
      <c r="J307" s="209"/>
    </row>
    <row r="308" spans="1:10">
      <c r="A308" s="106" t="s">
        <v>2316</v>
      </c>
      <c r="B308" s="106" t="s">
        <v>3612</v>
      </c>
      <c r="C308" s="106" t="s">
        <v>3026</v>
      </c>
      <c r="E308" s="208">
        <v>43829</v>
      </c>
      <c r="F308" s="209"/>
      <c r="H308" s="106">
        <v>194</v>
      </c>
      <c r="I308" s="210"/>
      <c r="J308" s="209"/>
    </row>
    <row r="309" spans="1:10">
      <c r="A309" s="106" t="s">
        <v>3127</v>
      </c>
      <c r="B309" s="106" t="s">
        <v>3158</v>
      </c>
      <c r="C309" s="106" t="s">
        <v>3932</v>
      </c>
      <c r="E309" s="208"/>
      <c r="F309" s="209"/>
      <c r="H309" s="106">
        <v>643</v>
      </c>
      <c r="I309" s="210"/>
      <c r="J309" s="209"/>
    </row>
    <row r="310" spans="1:10">
      <c r="A310" s="106" t="s">
        <v>3924</v>
      </c>
      <c r="B310" s="106" t="s">
        <v>3925</v>
      </c>
      <c r="C310" s="106" t="s">
        <v>3089</v>
      </c>
      <c r="E310" s="208"/>
      <c r="F310" s="209"/>
      <c r="H310" s="106">
        <v>432</v>
      </c>
      <c r="I310" s="210"/>
      <c r="J310" s="209"/>
    </row>
    <row r="311" spans="1:10">
      <c r="A311" s="106" t="s">
        <v>3613</v>
      </c>
      <c r="B311" s="106" t="s">
        <v>3614</v>
      </c>
      <c r="C311" s="106" t="s">
        <v>2920</v>
      </c>
      <c r="E311" s="208">
        <v>43829</v>
      </c>
      <c r="F311" s="209"/>
      <c r="H311" s="106">
        <v>50</v>
      </c>
      <c r="I311" s="210"/>
      <c r="J311" s="209"/>
    </row>
    <row r="312" spans="1:10">
      <c r="A312" s="106" t="s">
        <v>3615</v>
      </c>
      <c r="B312" s="106" t="s">
        <v>3616</v>
      </c>
      <c r="C312" s="106" t="s">
        <v>3617</v>
      </c>
      <c r="E312" s="208">
        <v>43829</v>
      </c>
      <c r="F312" s="209"/>
      <c r="H312" s="106">
        <v>334</v>
      </c>
      <c r="I312" s="210"/>
      <c r="J312" s="209"/>
    </row>
    <row r="313" spans="1:10">
      <c r="A313" s="106" t="s">
        <v>3618</v>
      </c>
      <c r="B313" s="106" t="s">
        <v>3619</v>
      </c>
      <c r="C313" s="106" t="s">
        <v>3620</v>
      </c>
      <c r="E313" s="208">
        <v>43829</v>
      </c>
      <c r="F313" s="209"/>
      <c r="H313" s="106">
        <v>288</v>
      </c>
      <c r="I313" s="210"/>
      <c r="J313" s="209"/>
    </row>
    <row r="314" spans="1:10">
      <c r="A314" s="106" t="s">
        <v>3621</v>
      </c>
      <c r="B314" s="106" t="s">
        <v>3622</v>
      </c>
      <c r="C314" s="106" t="s">
        <v>3623</v>
      </c>
      <c r="E314" s="208">
        <v>43829</v>
      </c>
      <c r="F314" s="209"/>
      <c r="H314" s="106">
        <v>758</v>
      </c>
      <c r="I314" s="210"/>
      <c r="J314" s="209"/>
    </row>
    <row r="315" spans="1:10">
      <c r="A315" s="106" t="s">
        <v>3921</v>
      </c>
      <c r="B315" s="106" t="s">
        <v>3629</v>
      </c>
      <c r="C315" s="106" t="s">
        <v>2904</v>
      </c>
      <c r="E315" s="208"/>
      <c r="F315" s="209"/>
      <c r="H315" s="106">
        <v>32</v>
      </c>
      <c r="I315" s="210"/>
      <c r="J315" s="209"/>
    </row>
    <row r="316" spans="1:10">
      <c r="A316" s="106" t="s">
        <v>3168</v>
      </c>
      <c r="B316" s="106" t="s">
        <v>3167</v>
      </c>
      <c r="C316" s="106" t="s">
        <v>3169</v>
      </c>
      <c r="E316" s="208"/>
      <c r="F316" s="209"/>
      <c r="H316" s="106">
        <v>37</v>
      </c>
      <c r="I316" s="210"/>
      <c r="J316" s="209"/>
    </row>
    <row r="317" spans="1:10">
      <c r="A317" s="106" t="s">
        <v>3624</v>
      </c>
      <c r="B317" s="106" t="s">
        <v>3625</v>
      </c>
      <c r="C317" s="106" t="s">
        <v>2971</v>
      </c>
      <c r="E317" s="208">
        <v>43828</v>
      </c>
      <c r="F317" s="209"/>
      <c r="H317" s="106">
        <v>118</v>
      </c>
      <c r="I317" s="210"/>
      <c r="J317" s="209"/>
    </row>
    <row r="318" spans="1:10">
      <c r="A318" s="106" t="s">
        <v>3626</v>
      </c>
      <c r="C318" s="106" t="s">
        <v>2970</v>
      </c>
      <c r="E318" s="208">
        <v>43829</v>
      </c>
      <c r="F318" s="209"/>
      <c r="H318" s="106">
        <v>117</v>
      </c>
      <c r="I318" s="210"/>
      <c r="J318" s="209"/>
    </row>
    <row r="319" spans="1:10">
      <c r="A319" s="106" t="s">
        <v>3627</v>
      </c>
      <c r="B319" s="106" t="s">
        <v>3628</v>
      </c>
      <c r="C319" s="106" t="s">
        <v>2801</v>
      </c>
      <c r="E319" s="209">
        <v>43828</v>
      </c>
      <c r="F319" s="209"/>
      <c r="H319" s="106">
        <v>160</v>
      </c>
      <c r="I319" s="210"/>
      <c r="J319" s="209"/>
    </row>
    <row r="320" spans="1:10">
      <c r="A320" s="106" t="s">
        <v>3627</v>
      </c>
      <c r="B320" s="106" t="s">
        <v>3629</v>
      </c>
      <c r="C320" s="106" t="s">
        <v>2802</v>
      </c>
      <c r="E320" s="209">
        <v>43828</v>
      </c>
      <c r="F320" s="209"/>
      <c r="H320" s="106">
        <v>263</v>
      </c>
      <c r="I320" s="210"/>
      <c r="J320" s="209"/>
    </row>
    <row r="321" spans="1:10">
      <c r="A321" s="106" t="s">
        <v>3630</v>
      </c>
      <c r="B321" s="106" t="s">
        <v>2539</v>
      </c>
      <c r="C321" s="106" t="s">
        <v>2908</v>
      </c>
      <c r="E321" s="208">
        <v>43829</v>
      </c>
      <c r="F321" s="209"/>
      <c r="H321" s="106">
        <v>36</v>
      </c>
      <c r="I321" s="210"/>
      <c r="J321" s="209"/>
    </row>
    <row r="322" spans="1:10">
      <c r="A322" s="106" t="s">
        <v>3631</v>
      </c>
      <c r="B322" s="106" t="s">
        <v>3632</v>
      </c>
      <c r="C322" s="106" t="s">
        <v>3633</v>
      </c>
      <c r="E322" s="208">
        <v>43829</v>
      </c>
      <c r="F322" s="209"/>
      <c r="H322" s="106">
        <v>319</v>
      </c>
      <c r="I322" s="210"/>
      <c r="J322" s="209"/>
    </row>
    <row r="323" spans="1:10">
      <c r="A323" s="106" t="s">
        <v>3634</v>
      </c>
      <c r="B323" s="106" t="s">
        <v>3635</v>
      </c>
      <c r="C323" s="106" t="s">
        <v>3636</v>
      </c>
      <c r="E323" s="208">
        <v>43829</v>
      </c>
      <c r="F323" s="209"/>
      <c r="H323" s="106">
        <v>763</v>
      </c>
      <c r="I323" s="210"/>
      <c r="J323" s="209"/>
    </row>
    <row r="324" spans="1:10">
      <c r="A324" s="106" t="s">
        <v>3637</v>
      </c>
      <c r="B324" s="106" t="s">
        <v>3638</v>
      </c>
      <c r="C324" s="106" t="s">
        <v>3639</v>
      </c>
      <c r="E324" s="208">
        <v>43829</v>
      </c>
      <c r="F324" s="209"/>
      <c r="H324" s="106">
        <v>474</v>
      </c>
      <c r="I324" s="210"/>
      <c r="J324" s="209"/>
    </row>
    <row r="325" spans="1:10">
      <c r="A325" s="106" t="s">
        <v>3640</v>
      </c>
      <c r="B325" s="106" t="s">
        <v>3641</v>
      </c>
      <c r="C325" s="106" t="s">
        <v>3642</v>
      </c>
      <c r="E325" s="208">
        <v>43829</v>
      </c>
      <c r="F325" s="209"/>
      <c r="H325" s="106">
        <v>751</v>
      </c>
      <c r="I325" s="210"/>
      <c r="J325" s="209"/>
    </row>
    <row r="326" spans="1:10">
      <c r="A326" s="106" t="s">
        <v>3643</v>
      </c>
      <c r="B326" s="106" t="s">
        <v>3644</v>
      </c>
      <c r="C326" s="106" t="s">
        <v>3645</v>
      </c>
      <c r="E326" s="208">
        <v>43829</v>
      </c>
      <c r="F326" s="209"/>
      <c r="H326" s="106">
        <v>476</v>
      </c>
      <c r="I326" s="210"/>
      <c r="J326" s="209"/>
    </row>
    <row r="327" spans="1:10">
      <c r="A327" s="106" t="s">
        <v>3646</v>
      </c>
      <c r="B327" s="106" t="s">
        <v>3647</v>
      </c>
      <c r="C327" s="106" t="s">
        <v>3648</v>
      </c>
      <c r="E327" s="208">
        <v>43829</v>
      </c>
      <c r="F327" s="209"/>
      <c r="H327" s="106">
        <v>594</v>
      </c>
      <c r="I327" s="210"/>
      <c r="J327" s="209"/>
    </row>
    <row r="328" spans="1:10">
      <c r="A328" s="106" t="s">
        <v>3649</v>
      </c>
      <c r="B328" s="106" t="s">
        <v>3650</v>
      </c>
      <c r="C328" s="106" t="s">
        <v>3651</v>
      </c>
      <c r="E328" s="208">
        <v>43829</v>
      </c>
      <c r="F328" s="209"/>
      <c r="H328" s="106">
        <v>344</v>
      </c>
      <c r="I328" s="210"/>
      <c r="J328" s="209"/>
    </row>
    <row r="329" spans="1:10">
      <c r="A329" s="106" t="s">
        <v>3652</v>
      </c>
      <c r="B329" s="106" t="s">
        <v>2538</v>
      </c>
      <c r="C329" s="106" t="s">
        <v>2895</v>
      </c>
      <c r="E329" s="208">
        <v>43829</v>
      </c>
      <c r="F329" s="209"/>
      <c r="H329" s="106">
        <v>21</v>
      </c>
      <c r="I329" s="210"/>
      <c r="J329" s="209"/>
    </row>
    <row r="330" spans="1:10">
      <c r="A330" s="106" t="s">
        <v>3946</v>
      </c>
      <c r="C330" s="106" t="s">
        <v>3947</v>
      </c>
      <c r="E330" s="208"/>
      <c r="F330" s="209"/>
      <c r="I330" s="210">
        <v>58</v>
      </c>
      <c r="J330" s="209"/>
    </row>
    <row r="331" spans="1:10">
      <c r="A331" s="106" t="s">
        <v>3653</v>
      </c>
      <c r="B331" s="106" t="s">
        <v>3654</v>
      </c>
      <c r="C331" s="106" t="s">
        <v>3655</v>
      </c>
      <c r="E331" s="208">
        <v>43829</v>
      </c>
      <c r="F331" s="209"/>
      <c r="H331" s="106">
        <v>316</v>
      </c>
      <c r="I331" s="210"/>
      <c r="J331" s="209"/>
    </row>
    <row r="332" spans="1:10">
      <c r="A332" s="106" t="s">
        <v>3656</v>
      </c>
      <c r="B332" s="106" t="s">
        <v>3657</v>
      </c>
      <c r="C332" s="106" t="s">
        <v>2889</v>
      </c>
      <c r="E332" s="208">
        <v>43829</v>
      </c>
      <c r="F332" s="209"/>
      <c r="H332" s="106">
        <v>13</v>
      </c>
      <c r="I332" s="210"/>
      <c r="J332" s="209"/>
    </row>
    <row r="333" spans="1:10">
      <c r="A333" s="106" t="s">
        <v>3658</v>
      </c>
      <c r="B333" s="106" t="s">
        <v>3659</v>
      </c>
      <c r="C333" s="106" t="s">
        <v>3660</v>
      </c>
      <c r="E333" s="208">
        <v>43829</v>
      </c>
      <c r="F333" s="209"/>
      <c r="H333" s="106">
        <v>726</v>
      </c>
      <c r="I333" s="210"/>
      <c r="J333" s="209"/>
    </row>
    <row r="334" spans="1:10">
      <c r="A334" s="106" t="s">
        <v>3661</v>
      </c>
      <c r="C334" s="211" t="s">
        <v>3081</v>
      </c>
      <c r="D334" s="211"/>
      <c r="E334" s="208">
        <v>43829</v>
      </c>
      <c r="F334" s="209"/>
      <c r="I334" s="210"/>
      <c r="J334" s="209"/>
    </row>
    <row r="335" spans="1:10">
      <c r="A335" s="106" t="s">
        <v>3661</v>
      </c>
      <c r="C335" s="106" t="s">
        <v>3004</v>
      </c>
      <c r="E335" s="208"/>
      <c r="F335" s="209"/>
      <c r="H335" s="106">
        <v>167</v>
      </c>
      <c r="I335" s="210"/>
      <c r="J335" s="209"/>
    </row>
    <row r="336" spans="1:10">
      <c r="A336" s="106" t="s">
        <v>3662</v>
      </c>
      <c r="B336" s="106" t="s">
        <v>3663</v>
      </c>
      <c r="C336" s="106" t="s">
        <v>3664</v>
      </c>
      <c r="E336" s="208">
        <v>43829</v>
      </c>
      <c r="F336" s="209"/>
      <c r="H336" s="106">
        <v>430</v>
      </c>
      <c r="I336" s="210"/>
      <c r="J336" s="209"/>
    </row>
    <row r="337" spans="1:11">
      <c r="A337" s="106" t="s">
        <v>2330</v>
      </c>
      <c r="B337" s="106" t="s">
        <v>2333</v>
      </c>
      <c r="C337" s="106" t="s">
        <v>2809</v>
      </c>
      <c r="E337" s="209">
        <v>43828</v>
      </c>
      <c r="F337" s="209"/>
      <c r="H337" s="106">
        <v>765</v>
      </c>
      <c r="I337" s="210"/>
      <c r="J337" s="209"/>
    </row>
    <row r="338" spans="1:11">
      <c r="A338" s="106" t="s">
        <v>3665</v>
      </c>
      <c r="B338" s="106" t="s">
        <v>3666</v>
      </c>
      <c r="C338" s="106" t="s">
        <v>3667</v>
      </c>
      <c r="E338" s="208">
        <v>43829</v>
      </c>
      <c r="F338" s="209"/>
      <c r="H338" s="106">
        <v>384</v>
      </c>
      <c r="I338" s="210"/>
      <c r="J338" s="209"/>
    </row>
    <row r="339" spans="1:11">
      <c r="A339" s="106" t="s">
        <v>3665</v>
      </c>
      <c r="B339" s="106" t="s">
        <v>3668</v>
      </c>
      <c r="C339" s="106" t="s">
        <v>3669</v>
      </c>
      <c r="E339" s="208">
        <v>43829</v>
      </c>
      <c r="F339" s="209"/>
      <c r="I339" s="210"/>
      <c r="J339" s="209"/>
    </row>
    <row r="340" spans="1:11">
      <c r="A340" s="106" t="s">
        <v>399</v>
      </c>
      <c r="B340" s="106" t="s">
        <v>398</v>
      </c>
      <c r="C340" s="106" t="s">
        <v>400</v>
      </c>
    </row>
    <row r="341" spans="1:11">
      <c r="A341" s="106" t="s">
        <v>399</v>
      </c>
      <c r="B341" s="106" t="s">
        <v>401</v>
      </c>
      <c r="C341" s="106" t="s">
        <v>402</v>
      </c>
      <c r="H341" s="106">
        <v>384</v>
      </c>
    </row>
    <row r="342" spans="1:11">
      <c r="A342" s="106" t="s">
        <v>3670</v>
      </c>
      <c r="B342" s="106" t="s">
        <v>3671</v>
      </c>
      <c r="C342" s="106" t="s">
        <v>2943</v>
      </c>
      <c r="E342" s="208">
        <v>43829</v>
      </c>
      <c r="F342" s="209"/>
      <c r="H342" s="106">
        <v>78</v>
      </c>
      <c r="I342" s="210"/>
      <c r="J342" s="209"/>
    </row>
    <row r="343" spans="1:11">
      <c r="A343" s="106" t="s">
        <v>3672</v>
      </c>
      <c r="C343" s="106" t="s">
        <v>2877</v>
      </c>
      <c r="D343" s="106" t="s">
        <v>2626</v>
      </c>
      <c r="E343" s="209">
        <v>43828</v>
      </c>
      <c r="F343" s="209"/>
      <c r="I343" s="210">
        <v>92</v>
      </c>
      <c r="J343" s="209"/>
      <c r="K343" s="106" t="s">
        <v>2664</v>
      </c>
    </row>
    <row r="344" spans="1:11">
      <c r="A344" s="106" t="s">
        <v>3673</v>
      </c>
      <c r="B344" s="106" t="s">
        <v>3674</v>
      </c>
      <c r="C344" s="106" t="s">
        <v>3675</v>
      </c>
      <c r="E344" s="208">
        <v>43829</v>
      </c>
      <c r="F344" s="209"/>
      <c r="H344" s="106">
        <v>505</v>
      </c>
      <c r="I344" s="210"/>
      <c r="J344" s="209"/>
    </row>
    <row r="345" spans="1:11">
      <c r="A345" s="106" t="s">
        <v>3676</v>
      </c>
      <c r="B345" s="106" t="s">
        <v>3677</v>
      </c>
      <c r="C345" s="106" t="s">
        <v>2783</v>
      </c>
      <c r="E345" s="209">
        <v>43828</v>
      </c>
      <c r="F345" s="209"/>
      <c r="H345" s="106">
        <v>764</v>
      </c>
      <c r="I345" s="210"/>
      <c r="J345" s="209"/>
    </row>
    <row r="346" spans="1:11">
      <c r="A346" s="106" t="s">
        <v>1217</v>
      </c>
      <c r="B346" s="106" t="s">
        <v>1180</v>
      </c>
      <c r="C346" s="106" t="s">
        <v>985</v>
      </c>
      <c r="H346" s="106">
        <v>764</v>
      </c>
    </row>
    <row r="347" spans="1:11">
      <c r="A347" s="106" t="s">
        <v>3678</v>
      </c>
      <c r="C347" s="106" t="s">
        <v>2876</v>
      </c>
      <c r="E347" s="209">
        <v>43828</v>
      </c>
      <c r="F347" s="209"/>
      <c r="H347" s="106">
        <v>121</v>
      </c>
      <c r="I347" s="210">
        <v>89</v>
      </c>
      <c r="J347" s="209"/>
    </row>
    <row r="348" spans="1:11">
      <c r="A348" s="106" t="s">
        <v>3679</v>
      </c>
      <c r="B348" s="106" t="s">
        <v>3680</v>
      </c>
      <c r="C348" s="106" t="s">
        <v>3681</v>
      </c>
      <c r="E348" s="208">
        <v>43829</v>
      </c>
      <c r="F348" s="209"/>
      <c r="H348" s="106">
        <v>615</v>
      </c>
      <c r="I348" s="210"/>
      <c r="J348" s="209"/>
    </row>
    <row r="349" spans="1:11">
      <c r="A349" s="106" t="s">
        <v>3682</v>
      </c>
      <c r="B349" s="106" t="s">
        <v>3683</v>
      </c>
      <c r="C349" s="106" t="s">
        <v>2974</v>
      </c>
      <c r="E349" s="208">
        <v>43829</v>
      </c>
      <c r="F349" s="209"/>
      <c r="H349" s="106">
        <v>122</v>
      </c>
      <c r="I349" s="210"/>
      <c r="J349" s="209"/>
    </row>
    <row r="350" spans="1:11">
      <c r="A350" s="214" t="s">
        <v>3682</v>
      </c>
      <c r="B350" s="214" t="s">
        <v>3684</v>
      </c>
      <c r="C350" s="214" t="s">
        <v>3685</v>
      </c>
      <c r="E350" s="208">
        <v>43829</v>
      </c>
      <c r="F350" s="209"/>
      <c r="H350" s="106">
        <v>488</v>
      </c>
      <c r="I350" s="210"/>
      <c r="J350" s="209"/>
    </row>
    <row r="351" spans="1:11">
      <c r="A351" s="106" t="s">
        <v>3686</v>
      </c>
      <c r="B351" s="106" t="s">
        <v>3687</v>
      </c>
      <c r="C351" s="106" t="s">
        <v>2993</v>
      </c>
      <c r="E351" s="208">
        <v>43829</v>
      </c>
      <c r="F351" s="209"/>
      <c r="H351" s="106">
        <v>149</v>
      </c>
      <c r="I351" s="210"/>
      <c r="J351" s="209"/>
    </row>
    <row r="352" spans="1:11">
      <c r="A352" s="106" t="s">
        <v>3688</v>
      </c>
      <c r="B352" s="106" t="s">
        <v>3689</v>
      </c>
      <c r="C352" s="106" t="s">
        <v>3051</v>
      </c>
      <c r="E352" s="208">
        <v>43829</v>
      </c>
      <c r="F352" s="209"/>
      <c r="H352" s="106">
        <v>220</v>
      </c>
      <c r="I352" s="210"/>
      <c r="J352" s="209"/>
    </row>
    <row r="353" spans="1:11">
      <c r="A353" s="106" t="s">
        <v>3690</v>
      </c>
      <c r="B353" s="106" t="s">
        <v>3691</v>
      </c>
      <c r="C353" s="106" t="s">
        <v>2968</v>
      </c>
      <c r="E353" s="208">
        <v>43829</v>
      </c>
      <c r="F353" s="209"/>
      <c r="H353" s="106">
        <v>115</v>
      </c>
      <c r="I353" s="210"/>
      <c r="J353" s="209"/>
      <c r="K353" s="106" t="s">
        <v>2673</v>
      </c>
    </row>
    <row r="354" spans="1:11">
      <c r="A354" s="106" t="s">
        <v>3692</v>
      </c>
      <c r="B354" s="106" t="s">
        <v>3693</v>
      </c>
      <c r="C354" s="106" t="s">
        <v>3694</v>
      </c>
      <c r="E354" s="208">
        <v>43829</v>
      </c>
      <c r="F354" s="209"/>
      <c r="H354" s="106">
        <v>365</v>
      </c>
      <c r="I354" s="210"/>
      <c r="J354" s="209"/>
    </row>
    <row r="355" spans="1:11">
      <c r="A355" s="106" t="s">
        <v>3695</v>
      </c>
      <c r="B355" s="106" t="s">
        <v>3696</v>
      </c>
      <c r="C355" s="106" t="s">
        <v>3697</v>
      </c>
      <c r="E355" s="208">
        <v>43829</v>
      </c>
      <c r="F355" s="209"/>
      <c r="H355" s="106">
        <v>580</v>
      </c>
      <c r="I355" s="210"/>
      <c r="J355" s="209"/>
    </row>
    <row r="356" spans="1:11">
      <c r="A356" s="106" t="s">
        <v>3698</v>
      </c>
      <c r="B356" s="106" t="s">
        <v>3699</v>
      </c>
      <c r="C356" s="106" t="s">
        <v>3700</v>
      </c>
      <c r="E356" s="208">
        <v>43829</v>
      </c>
      <c r="F356" s="209"/>
      <c r="H356" s="106">
        <v>576</v>
      </c>
      <c r="I356" s="210"/>
      <c r="J356" s="209"/>
    </row>
    <row r="357" spans="1:11">
      <c r="A357" s="106" t="s">
        <v>3701</v>
      </c>
      <c r="B357" s="106" t="s">
        <v>3702</v>
      </c>
      <c r="C357" s="106" t="s">
        <v>3703</v>
      </c>
      <c r="E357" s="208">
        <v>43829</v>
      </c>
      <c r="F357" s="209"/>
      <c r="H357" s="106">
        <v>461</v>
      </c>
      <c r="I357" s="210"/>
      <c r="J357" s="209"/>
    </row>
    <row r="358" spans="1:11">
      <c r="A358" s="106" t="s">
        <v>3704</v>
      </c>
      <c r="B358" s="106" t="s">
        <v>2681</v>
      </c>
      <c r="C358" s="106" t="s">
        <v>3705</v>
      </c>
      <c r="E358" s="208">
        <v>43829</v>
      </c>
      <c r="F358" s="209"/>
      <c r="H358" s="106">
        <v>383</v>
      </c>
      <c r="I358" s="210"/>
      <c r="J358" s="209"/>
    </row>
    <row r="359" spans="1:11">
      <c r="A359" s="106" t="s">
        <v>3706</v>
      </c>
      <c r="B359" s="106" t="s">
        <v>3707</v>
      </c>
      <c r="C359" s="106" t="s">
        <v>2903</v>
      </c>
      <c r="E359" s="208">
        <v>43829</v>
      </c>
      <c r="F359" s="209"/>
      <c r="H359" s="106">
        <v>29</v>
      </c>
      <c r="I359" s="210"/>
      <c r="J359" s="209"/>
    </row>
    <row r="360" spans="1:11">
      <c r="A360" s="106" t="s">
        <v>3708</v>
      </c>
      <c r="B360" s="106" t="s">
        <v>3709</v>
      </c>
      <c r="C360" s="106" t="s">
        <v>3043</v>
      </c>
      <c r="E360" s="208">
        <v>43829</v>
      </c>
      <c r="F360" s="209"/>
      <c r="H360" s="106">
        <v>212</v>
      </c>
      <c r="I360" s="210"/>
      <c r="J360" s="209"/>
    </row>
    <row r="361" spans="1:11">
      <c r="A361" s="106" t="s">
        <v>3708</v>
      </c>
      <c r="B361" s="106" t="s">
        <v>3710</v>
      </c>
      <c r="C361" s="106" t="s">
        <v>3711</v>
      </c>
      <c r="E361" s="208">
        <v>43829</v>
      </c>
      <c r="F361" s="209"/>
      <c r="H361" s="106">
        <v>307</v>
      </c>
      <c r="I361" s="210"/>
      <c r="J361" s="209"/>
    </row>
    <row r="362" spans="1:11">
      <c r="A362" s="106" t="s">
        <v>3708</v>
      </c>
      <c r="B362" s="106" t="s">
        <v>3712</v>
      </c>
      <c r="C362" s="106" t="s">
        <v>3713</v>
      </c>
      <c r="E362" s="208">
        <v>43829</v>
      </c>
      <c r="F362" s="209"/>
      <c r="H362" s="106">
        <v>680</v>
      </c>
      <c r="I362" s="210"/>
      <c r="J362" s="209"/>
    </row>
    <row r="363" spans="1:11">
      <c r="A363" s="106" t="s">
        <v>3708</v>
      </c>
      <c r="B363" s="106" t="s">
        <v>3714</v>
      </c>
      <c r="C363" s="106" t="s">
        <v>3715</v>
      </c>
      <c r="E363" s="208">
        <v>43829</v>
      </c>
      <c r="F363" s="209"/>
      <c r="H363" s="106">
        <v>722</v>
      </c>
      <c r="I363" s="210"/>
      <c r="J363" s="209"/>
    </row>
    <row r="364" spans="1:11">
      <c r="A364" s="106" t="s">
        <v>3716</v>
      </c>
      <c r="B364" s="106" t="s">
        <v>3717</v>
      </c>
      <c r="C364" s="106" t="s">
        <v>3718</v>
      </c>
      <c r="E364" s="208">
        <v>43829</v>
      </c>
      <c r="F364" s="209"/>
      <c r="H364" s="106">
        <v>710</v>
      </c>
      <c r="I364" s="210"/>
      <c r="J364" s="209"/>
    </row>
    <row r="365" spans="1:11">
      <c r="A365" s="106" t="s">
        <v>3719</v>
      </c>
      <c r="B365" s="106" t="s">
        <v>3720</v>
      </c>
      <c r="C365" s="106" t="s">
        <v>3033</v>
      </c>
      <c r="E365" s="208">
        <v>43829</v>
      </c>
      <c r="F365" s="209"/>
      <c r="H365" s="106">
        <v>201</v>
      </c>
      <c r="I365" s="210"/>
      <c r="J365" s="209"/>
    </row>
    <row r="366" spans="1:11">
      <c r="A366" s="106" t="s">
        <v>3067</v>
      </c>
      <c r="B366" s="106" t="s">
        <v>3721</v>
      </c>
      <c r="C366" s="106" t="s">
        <v>2884</v>
      </c>
      <c r="E366" s="208">
        <v>43829</v>
      </c>
      <c r="F366" s="209"/>
      <c r="H366" s="106" t="s">
        <v>3934</v>
      </c>
      <c r="I366" s="210"/>
      <c r="J366" s="209"/>
    </row>
    <row r="367" spans="1:11">
      <c r="A367" s="106" t="s">
        <v>3722</v>
      </c>
      <c r="B367" s="106" t="s">
        <v>3723</v>
      </c>
      <c r="C367" s="106" t="s">
        <v>3724</v>
      </c>
      <c r="E367" s="208">
        <v>43829</v>
      </c>
      <c r="F367" s="209"/>
      <c r="H367" s="106">
        <v>658</v>
      </c>
      <c r="I367" s="210"/>
      <c r="J367" s="209"/>
    </row>
    <row r="368" spans="1:11">
      <c r="A368" s="106" t="s">
        <v>3725</v>
      </c>
      <c r="B368" s="106" t="s">
        <v>3726</v>
      </c>
      <c r="C368" s="106" t="s">
        <v>3727</v>
      </c>
      <c r="E368" s="208">
        <v>43829</v>
      </c>
      <c r="F368" s="209"/>
      <c r="H368" s="106">
        <v>375</v>
      </c>
      <c r="I368" s="210"/>
      <c r="J368" s="209"/>
    </row>
    <row r="369" spans="1:10">
      <c r="A369" s="106" t="s">
        <v>3725</v>
      </c>
      <c r="B369" s="106" t="s">
        <v>3728</v>
      </c>
      <c r="C369" s="106" t="s">
        <v>3729</v>
      </c>
      <c r="E369" s="208">
        <v>43829</v>
      </c>
      <c r="F369" s="209"/>
      <c r="H369" s="106">
        <v>734</v>
      </c>
      <c r="I369" s="210"/>
      <c r="J369" s="209"/>
    </row>
    <row r="370" spans="1:10">
      <c r="A370" s="106" t="s">
        <v>3730</v>
      </c>
      <c r="B370" s="106" t="s">
        <v>3731</v>
      </c>
      <c r="C370" s="106" t="s">
        <v>3031</v>
      </c>
      <c r="E370" s="208">
        <v>43829</v>
      </c>
      <c r="F370" s="209"/>
      <c r="H370" s="106">
        <v>199</v>
      </c>
      <c r="I370" s="210"/>
      <c r="J370" s="209"/>
    </row>
    <row r="371" spans="1:10">
      <c r="A371" s="106" t="s">
        <v>3951</v>
      </c>
      <c r="C371" s="106" t="s">
        <v>3952</v>
      </c>
      <c r="E371" s="208"/>
      <c r="F371" s="209"/>
      <c r="I371" s="210">
        <v>59</v>
      </c>
      <c r="J371" s="209"/>
    </row>
    <row r="372" spans="1:10">
      <c r="A372" s="106" t="s">
        <v>3732</v>
      </c>
      <c r="B372" s="106" t="s">
        <v>3733</v>
      </c>
      <c r="C372" s="106" t="s">
        <v>3007</v>
      </c>
      <c r="E372" s="208">
        <v>43829</v>
      </c>
      <c r="F372" s="209"/>
      <c r="H372" s="106">
        <v>170</v>
      </c>
      <c r="I372" s="210"/>
      <c r="J372" s="209"/>
    </row>
    <row r="373" spans="1:10">
      <c r="A373" s="106" t="s">
        <v>3734</v>
      </c>
      <c r="B373" s="106" t="s">
        <v>3735</v>
      </c>
      <c r="C373" s="106" t="s">
        <v>3736</v>
      </c>
      <c r="E373" s="208">
        <v>43829</v>
      </c>
      <c r="F373" s="209"/>
      <c r="H373" s="106">
        <v>537</v>
      </c>
      <c r="I373" s="210"/>
      <c r="J373" s="209"/>
    </row>
    <row r="374" spans="1:10">
      <c r="A374" s="106" t="s">
        <v>2743</v>
      </c>
      <c r="C374" s="106" t="s">
        <v>2746</v>
      </c>
      <c r="E374" s="208">
        <v>43825</v>
      </c>
      <c r="F374" s="209"/>
      <c r="I374" s="210">
        <v>60</v>
      </c>
    </row>
    <row r="375" spans="1:10">
      <c r="A375" s="106" t="s">
        <v>3737</v>
      </c>
      <c r="B375" s="106" t="s">
        <v>3738</v>
      </c>
      <c r="C375" s="106" t="s">
        <v>2776</v>
      </c>
      <c r="E375" s="209">
        <v>43828</v>
      </c>
      <c r="F375" s="209"/>
      <c r="H375" s="106">
        <v>573</v>
      </c>
      <c r="I375" s="210"/>
      <c r="J375" s="209"/>
    </row>
    <row r="376" spans="1:10">
      <c r="A376" s="217" t="s">
        <v>2696</v>
      </c>
      <c r="B376" s="217"/>
      <c r="C376" s="211" t="s">
        <v>2697</v>
      </c>
      <c r="D376" s="211"/>
      <c r="E376" s="208">
        <v>43825</v>
      </c>
      <c r="F376" s="209" t="s">
        <v>2231</v>
      </c>
      <c r="I376" s="210">
        <v>61</v>
      </c>
    </row>
    <row r="377" spans="1:10">
      <c r="A377" s="106" t="s">
        <v>3739</v>
      </c>
      <c r="B377" s="106" t="s">
        <v>3740</v>
      </c>
      <c r="C377" s="106" t="s">
        <v>2789</v>
      </c>
      <c r="E377" s="209">
        <v>43828</v>
      </c>
      <c r="F377" s="209"/>
      <c r="H377" s="106">
        <v>730</v>
      </c>
      <c r="I377" s="210"/>
      <c r="J377" s="209"/>
    </row>
    <row r="378" spans="1:10">
      <c r="A378" s="106" t="s">
        <v>3739</v>
      </c>
      <c r="C378" s="106" t="s">
        <v>3741</v>
      </c>
      <c r="E378" s="208">
        <v>43829</v>
      </c>
      <c r="F378" s="209"/>
      <c r="H378" s="106">
        <v>464</v>
      </c>
      <c r="I378" s="210"/>
      <c r="J378" s="209"/>
    </row>
    <row r="379" spans="1:10">
      <c r="A379" s="106" t="s">
        <v>395</v>
      </c>
      <c r="B379" s="106" t="s">
        <v>394</v>
      </c>
      <c r="C379" s="106" t="s">
        <v>396</v>
      </c>
      <c r="H379" s="106">
        <v>730</v>
      </c>
    </row>
    <row r="380" spans="1:10">
      <c r="A380" s="106" t="s">
        <v>395</v>
      </c>
      <c r="C380" s="106" t="s">
        <v>397</v>
      </c>
      <c r="H380" s="106">
        <v>464</v>
      </c>
    </row>
    <row r="381" spans="1:10">
      <c r="A381" s="106" t="s">
        <v>3742</v>
      </c>
      <c r="B381" s="106" t="s">
        <v>3743</v>
      </c>
      <c r="C381" s="106" t="s">
        <v>2894</v>
      </c>
      <c r="E381" s="208">
        <v>43829</v>
      </c>
      <c r="F381" s="209"/>
      <c r="H381" s="106">
        <v>19</v>
      </c>
      <c r="I381" s="210"/>
      <c r="J381" s="209"/>
    </row>
    <row r="382" spans="1:10">
      <c r="A382" s="106" t="s">
        <v>3744</v>
      </c>
      <c r="B382" s="106" t="s">
        <v>3745</v>
      </c>
      <c r="C382" s="106" t="s">
        <v>2833</v>
      </c>
      <c r="E382" s="209">
        <v>43828</v>
      </c>
      <c r="F382" s="209"/>
      <c r="H382" s="106">
        <v>139</v>
      </c>
      <c r="I382" s="210"/>
      <c r="J382" s="209"/>
    </row>
    <row r="383" spans="1:10">
      <c r="A383" s="106" t="s">
        <v>2384</v>
      </c>
      <c r="C383" s="106" t="s">
        <v>2873</v>
      </c>
      <c r="E383" s="209">
        <v>43828</v>
      </c>
      <c r="F383" s="209"/>
      <c r="H383" s="106">
        <v>269</v>
      </c>
      <c r="I383" s="210"/>
      <c r="J383" s="209"/>
    </row>
    <row r="384" spans="1:10">
      <c r="A384" s="106" t="s">
        <v>3746</v>
      </c>
      <c r="B384" s="106" t="s">
        <v>3747</v>
      </c>
      <c r="C384" s="106" t="s">
        <v>3748</v>
      </c>
      <c r="E384" s="208">
        <v>43829</v>
      </c>
      <c r="F384" s="209"/>
      <c r="H384" s="106">
        <v>246</v>
      </c>
      <c r="I384" s="210"/>
      <c r="J384" s="209"/>
    </row>
    <row r="385" spans="1:10">
      <c r="A385" s="106" t="s">
        <v>3749</v>
      </c>
      <c r="C385" s="211" t="s">
        <v>3082</v>
      </c>
      <c r="D385" s="211"/>
      <c r="E385" s="208">
        <v>43829</v>
      </c>
      <c r="F385" s="209"/>
      <c r="I385" s="210">
        <v>113</v>
      </c>
      <c r="J385" s="209"/>
    </row>
    <row r="386" spans="1:10">
      <c r="A386" s="106" t="s">
        <v>3749</v>
      </c>
      <c r="C386" s="106" t="s">
        <v>2888</v>
      </c>
      <c r="E386" s="208"/>
      <c r="F386" s="209"/>
      <c r="H386" s="106">
        <v>10</v>
      </c>
      <c r="I386" s="210"/>
      <c r="J386" s="209"/>
    </row>
    <row r="387" spans="1:10">
      <c r="A387" s="106" t="s">
        <v>3750</v>
      </c>
      <c r="B387" s="106" t="s">
        <v>3751</v>
      </c>
      <c r="C387" s="106" t="s">
        <v>3752</v>
      </c>
      <c r="E387" s="208">
        <v>43829</v>
      </c>
      <c r="F387" s="209"/>
      <c r="H387" s="106">
        <v>676</v>
      </c>
      <c r="I387" s="210"/>
      <c r="J387" s="209"/>
    </row>
    <row r="388" spans="1:10">
      <c r="A388" s="106" t="s">
        <v>3753</v>
      </c>
      <c r="B388" s="106" t="s">
        <v>3210</v>
      </c>
      <c r="C388" s="106" t="s">
        <v>3754</v>
      </c>
      <c r="E388" s="208">
        <v>43829</v>
      </c>
      <c r="F388" s="209"/>
      <c r="H388" s="106">
        <v>761</v>
      </c>
      <c r="I388" s="210"/>
      <c r="J388" s="209"/>
    </row>
    <row r="389" spans="1:10">
      <c r="A389" s="106" t="s">
        <v>3755</v>
      </c>
      <c r="B389" s="106" t="s">
        <v>3756</v>
      </c>
      <c r="C389" s="106" t="s">
        <v>2853</v>
      </c>
      <c r="E389" s="209">
        <v>43828</v>
      </c>
      <c r="F389" s="209"/>
      <c r="H389" s="106">
        <v>97</v>
      </c>
      <c r="I389" s="210"/>
      <c r="J389" s="209"/>
    </row>
    <row r="390" spans="1:10">
      <c r="A390" s="106" t="s">
        <v>2343</v>
      </c>
      <c r="B390" s="106" t="s">
        <v>3757</v>
      </c>
      <c r="C390" s="106" t="s">
        <v>2865</v>
      </c>
      <c r="E390" s="209">
        <v>43828</v>
      </c>
      <c r="F390" s="209"/>
      <c r="H390" s="106">
        <v>438</v>
      </c>
      <c r="I390" s="210"/>
      <c r="J390" s="209"/>
    </row>
    <row r="391" spans="1:10">
      <c r="A391" s="106" t="s">
        <v>2343</v>
      </c>
      <c r="B391" s="106" t="s">
        <v>3758</v>
      </c>
      <c r="C391" s="106" t="s">
        <v>2874</v>
      </c>
      <c r="E391" s="209">
        <v>43828</v>
      </c>
      <c r="F391" s="209"/>
      <c r="H391" s="106">
        <v>470</v>
      </c>
      <c r="I391" s="210"/>
      <c r="J391" s="209"/>
    </row>
    <row r="392" spans="1:10">
      <c r="A392" s="106" t="s">
        <v>2343</v>
      </c>
      <c r="B392" s="106" t="s">
        <v>3759</v>
      </c>
      <c r="C392" s="106" t="s">
        <v>2838</v>
      </c>
      <c r="E392" s="209">
        <v>43828</v>
      </c>
      <c r="F392" s="209"/>
      <c r="H392" s="106">
        <v>654</v>
      </c>
      <c r="I392" s="210"/>
      <c r="J392" s="209"/>
    </row>
    <row r="393" spans="1:10">
      <c r="A393" s="106" t="s">
        <v>3118</v>
      </c>
      <c r="B393" s="106" t="s">
        <v>3760</v>
      </c>
      <c r="C393" s="106" t="s">
        <v>2822</v>
      </c>
      <c r="E393" s="209">
        <v>43828</v>
      </c>
      <c r="F393" s="209"/>
      <c r="H393" s="106">
        <v>472</v>
      </c>
      <c r="I393" s="210"/>
      <c r="J393" s="209"/>
    </row>
    <row r="394" spans="1:10">
      <c r="A394" s="106" t="s">
        <v>3118</v>
      </c>
      <c r="B394" s="106" t="s">
        <v>3119</v>
      </c>
      <c r="C394" s="106" t="s">
        <v>2823</v>
      </c>
      <c r="E394" s="209">
        <v>43828</v>
      </c>
      <c r="F394" s="209"/>
      <c r="H394" s="106">
        <v>685</v>
      </c>
      <c r="I394" s="210"/>
      <c r="J394" s="209"/>
    </row>
    <row r="395" spans="1:10">
      <c r="A395" s="106" t="s">
        <v>3761</v>
      </c>
      <c r="B395" s="106" t="s">
        <v>3762</v>
      </c>
      <c r="C395" s="106" t="s">
        <v>2958</v>
      </c>
      <c r="E395" s="208">
        <v>43829</v>
      </c>
      <c r="F395" s="209"/>
      <c r="H395" s="106">
        <v>101</v>
      </c>
      <c r="I395" s="210"/>
      <c r="J395" s="209"/>
    </row>
    <row r="396" spans="1:10">
      <c r="A396" s="106" t="s">
        <v>3761</v>
      </c>
      <c r="B396" s="106" t="s">
        <v>3763</v>
      </c>
      <c r="C396" s="106" t="s">
        <v>3764</v>
      </c>
      <c r="E396" s="208">
        <v>43829</v>
      </c>
      <c r="F396" s="209"/>
      <c r="H396" s="106">
        <v>368</v>
      </c>
      <c r="I396" s="210"/>
      <c r="J396" s="209"/>
    </row>
    <row r="397" spans="1:10">
      <c r="A397" s="106" t="s">
        <v>3761</v>
      </c>
      <c r="B397" s="106" t="s">
        <v>3765</v>
      </c>
      <c r="C397" s="106" t="s">
        <v>3766</v>
      </c>
      <c r="E397" s="208">
        <v>43829</v>
      </c>
      <c r="F397" s="209"/>
      <c r="H397" s="106">
        <v>562</v>
      </c>
      <c r="I397" s="210"/>
      <c r="J397" s="209"/>
    </row>
    <row r="398" spans="1:10">
      <c r="A398" s="106" t="s">
        <v>3761</v>
      </c>
      <c r="B398" s="106" t="s">
        <v>3767</v>
      </c>
      <c r="C398" s="106" t="s">
        <v>3768</v>
      </c>
      <c r="E398" s="208">
        <v>43829</v>
      </c>
      <c r="F398" s="209"/>
      <c r="H398" s="106">
        <v>631</v>
      </c>
      <c r="I398" s="210"/>
      <c r="J398" s="209"/>
    </row>
    <row r="399" spans="1:10">
      <c r="A399" s="106" t="s">
        <v>3761</v>
      </c>
      <c r="B399" s="106" t="s">
        <v>3769</v>
      </c>
      <c r="C399" s="106" t="s">
        <v>3770</v>
      </c>
      <c r="E399" s="208">
        <v>43829</v>
      </c>
      <c r="F399" s="209"/>
      <c r="H399" s="106">
        <v>717</v>
      </c>
      <c r="I399" s="210"/>
      <c r="J399" s="209"/>
    </row>
    <row r="400" spans="1:10">
      <c r="A400" s="106" t="s">
        <v>231</v>
      </c>
      <c r="B400" s="106" t="s">
        <v>408</v>
      </c>
      <c r="C400" s="106" t="s">
        <v>409</v>
      </c>
      <c r="H400" s="106">
        <v>368</v>
      </c>
    </row>
    <row r="401" spans="1:11">
      <c r="A401" s="106" t="s">
        <v>231</v>
      </c>
      <c r="B401" s="106" t="s">
        <v>410</v>
      </c>
      <c r="C401" s="106" t="s">
        <v>411</v>
      </c>
      <c r="H401" s="106">
        <v>717</v>
      </c>
    </row>
    <row r="402" spans="1:11">
      <c r="A402" s="106" t="s">
        <v>3771</v>
      </c>
      <c r="B402" s="106" t="s">
        <v>3772</v>
      </c>
      <c r="C402" s="106" t="s">
        <v>3010</v>
      </c>
      <c r="E402" s="208">
        <v>43829</v>
      </c>
      <c r="F402" s="209"/>
      <c r="H402" s="106">
        <v>173</v>
      </c>
      <c r="I402" s="210"/>
      <c r="J402" s="209"/>
    </row>
    <row r="403" spans="1:11">
      <c r="A403" s="106" t="s">
        <v>2355</v>
      </c>
      <c r="C403" s="106" t="s">
        <v>2861</v>
      </c>
      <c r="E403" s="209">
        <v>43828</v>
      </c>
      <c r="F403" s="209"/>
      <c r="H403" s="106">
        <v>74</v>
      </c>
      <c r="I403" s="210"/>
      <c r="J403" s="209"/>
    </row>
    <row r="404" spans="1:11">
      <c r="A404" s="106" t="s">
        <v>2355</v>
      </c>
      <c r="B404" s="106" t="s">
        <v>3773</v>
      </c>
      <c r="C404" s="106" t="s">
        <v>2860</v>
      </c>
      <c r="E404" s="209">
        <v>43828</v>
      </c>
      <c r="F404" s="209"/>
      <c r="H404" s="106">
        <v>144</v>
      </c>
      <c r="I404" s="210"/>
      <c r="J404" s="209"/>
    </row>
    <row r="405" spans="1:11">
      <c r="A405" s="106" t="s">
        <v>2355</v>
      </c>
      <c r="B405" s="106" t="s">
        <v>3774</v>
      </c>
      <c r="C405" s="106" t="s">
        <v>2862</v>
      </c>
      <c r="E405" s="209">
        <v>43828</v>
      </c>
      <c r="F405" s="209"/>
      <c r="H405" s="106">
        <v>611</v>
      </c>
      <c r="I405" s="210"/>
      <c r="J405" s="209"/>
    </row>
    <row r="406" spans="1:11">
      <c r="A406" s="106" t="s">
        <v>2355</v>
      </c>
      <c r="B406" s="106" t="s">
        <v>3707</v>
      </c>
      <c r="C406" s="106" t="s">
        <v>2902</v>
      </c>
      <c r="E406" s="208">
        <v>43829</v>
      </c>
      <c r="F406" s="209"/>
      <c r="H406" s="106">
        <v>28</v>
      </c>
      <c r="I406" s="210"/>
      <c r="J406" s="209"/>
    </row>
    <row r="407" spans="1:11">
      <c r="A407" s="106" t="s">
        <v>2355</v>
      </c>
      <c r="B407" s="106" t="s">
        <v>3775</v>
      </c>
      <c r="C407" s="106" t="s">
        <v>2999</v>
      </c>
      <c r="E407" s="208">
        <v>43829</v>
      </c>
      <c r="F407" s="209"/>
      <c r="H407" s="106">
        <v>157</v>
      </c>
      <c r="I407" s="210"/>
      <c r="J407" s="209"/>
    </row>
    <row r="408" spans="1:11">
      <c r="A408" s="106" t="s">
        <v>2355</v>
      </c>
      <c r="B408" s="106" t="s">
        <v>3776</v>
      </c>
      <c r="C408" s="106" t="s">
        <v>3071</v>
      </c>
      <c r="E408" s="208">
        <v>43829</v>
      </c>
      <c r="F408" s="209"/>
      <c r="H408" s="106">
        <v>238</v>
      </c>
      <c r="I408" s="210"/>
      <c r="J408" s="209"/>
    </row>
    <row r="409" spans="1:11">
      <c r="A409" s="106" t="s">
        <v>2615</v>
      </c>
      <c r="B409" s="106" t="s">
        <v>3145</v>
      </c>
      <c r="C409" s="106" t="s">
        <v>2849</v>
      </c>
      <c r="E409" s="209">
        <v>43828</v>
      </c>
      <c r="F409" s="209"/>
      <c r="H409" s="106" t="s">
        <v>4752</v>
      </c>
      <c r="I409" s="210"/>
      <c r="J409" s="209"/>
    </row>
    <row r="410" spans="1:11">
      <c r="A410" s="106" t="s">
        <v>2615</v>
      </c>
      <c r="B410" s="106" t="s">
        <v>3777</v>
      </c>
      <c r="C410" s="106" t="s">
        <v>2856</v>
      </c>
      <c r="E410" s="209">
        <v>43828</v>
      </c>
      <c r="F410" s="209"/>
      <c r="H410" s="106">
        <v>616</v>
      </c>
      <c r="I410" s="210"/>
      <c r="J410" s="209"/>
    </row>
    <row r="411" spans="1:11">
      <c r="A411" s="106" t="s">
        <v>3778</v>
      </c>
      <c r="B411" s="106" t="s">
        <v>3779</v>
      </c>
      <c r="C411" s="106" t="s">
        <v>3780</v>
      </c>
      <c r="E411" s="208">
        <v>43829</v>
      </c>
      <c r="F411" s="209"/>
      <c r="H411" s="106">
        <v>422</v>
      </c>
      <c r="I411" s="210"/>
      <c r="J411" s="209"/>
    </row>
    <row r="412" spans="1:11">
      <c r="A412" s="106" t="s">
        <v>3781</v>
      </c>
      <c r="B412" s="106" t="s">
        <v>3782</v>
      </c>
      <c r="C412" s="106" t="s">
        <v>3783</v>
      </c>
      <c r="E412" s="208">
        <v>43829</v>
      </c>
      <c r="F412" s="209"/>
      <c r="H412" s="106">
        <v>506</v>
      </c>
      <c r="I412" s="210"/>
      <c r="J412" s="209"/>
    </row>
    <row r="413" spans="1:11">
      <c r="A413" s="106" t="s">
        <v>3784</v>
      </c>
      <c r="B413" s="106" t="s">
        <v>3785</v>
      </c>
      <c r="C413" s="106" t="s">
        <v>2990</v>
      </c>
      <c r="E413" s="208">
        <v>43829</v>
      </c>
      <c r="F413" s="209"/>
      <c r="H413" s="106">
        <v>143</v>
      </c>
      <c r="I413" s="210"/>
      <c r="J413" s="209"/>
      <c r="K413" s="106" t="s">
        <v>2673</v>
      </c>
    </row>
    <row r="414" spans="1:11">
      <c r="A414" s="217" t="s">
        <v>2717</v>
      </c>
      <c r="B414" s="217"/>
      <c r="C414" s="211" t="s">
        <v>2720</v>
      </c>
      <c r="D414" s="211"/>
      <c r="E414" s="208">
        <v>43825</v>
      </c>
      <c r="F414" s="209" t="s">
        <v>2231</v>
      </c>
      <c r="I414" s="210">
        <v>63</v>
      </c>
    </row>
    <row r="415" spans="1:11">
      <c r="A415" s="106" t="s">
        <v>3786</v>
      </c>
      <c r="B415" s="106" t="s">
        <v>3787</v>
      </c>
      <c r="C415" s="106" t="s">
        <v>2912</v>
      </c>
      <c r="E415" s="208">
        <v>43829</v>
      </c>
      <c r="F415" s="209"/>
      <c r="H415" s="106">
        <v>41</v>
      </c>
      <c r="I415" s="210"/>
      <c r="J415" s="209"/>
    </row>
    <row r="416" spans="1:11">
      <c r="A416" s="106" t="s">
        <v>3788</v>
      </c>
      <c r="B416" s="106" t="s">
        <v>3789</v>
      </c>
      <c r="C416" s="106" t="s">
        <v>3790</v>
      </c>
      <c r="E416" s="208">
        <v>43829</v>
      </c>
      <c r="F416" s="209"/>
      <c r="H416" s="106">
        <v>672</v>
      </c>
      <c r="I416" s="210"/>
      <c r="J416" s="209"/>
    </row>
    <row r="417" spans="1:11">
      <c r="A417" s="106" t="s">
        <v>3791</v>
      </c>
      <c r="B417" s="106" t="s">
        <v>3792</v>
      </c>
      <c r="C417" s="106" t="s">
        <v>3793</v>
      </c>
      <c r="E417" s="208">
        <v>43829</v>
      </c>
      <c r="F417" s="209"/>
      <c r="H417" s="106">
        <v>453</v>
      </c>
      <c r="I417" s="210"/>
      <c r="J417" s="209"/>
    </row>
    <row r="418" spans="1:11">
      <c r="A418" s="215" t="s">
        <v>3794</v>
      </c>
      <c r="B418" s="215" t="s">
        <v>3795</v>
      </c>
      <c r="C418" s="215" t="s">
        <v>2810</v>
      </c>
      <c r="D418" s="215"/>
      <c r="E418" s="209">
        <v>43828</v>
      </c>
      <c r="F418" s="209"/>
      <c r="H418" s="106">
        <v>185</v>
      </c>
      <c r="I418" s="210"/>
      <c r="J418" s="209"/>
    </row>
    <row r="419" spans="1:11">
      <c r="A419" s="106" t="s">
        <v>3977</v>
      </c>
      <c r="B419" s="106" t="s">
        <v>2289</v>
      </c>
      <c r="C419" s="106" t="s">
        <v>3906</v>
      </c>
      <c r="E419" s="208">
        <v>43829</v>
      </c>
      <c r="F419" s="209"/>
      <c r="H419" s="106" t="s">
        <v>4741</v>
      </c>
      <c r="I419" s="210"/>
      <c r="J419" s="209"/>
    </row>
    <row r="420" spans="1:11">
      <c r="A420" s="106" t="s">
        <v>3977</v>
      </c>
      <c r="B420" s="106" t="s">
        <v>2289</v>
      </c>
      <c r="C420" s="211" t="s">
        <v>3978</v>
      </c>
      <c r="D420" s="211"/>
      <c r="E420" s="208"/>
      <c r="F420" s="209"/>
      <c r="H420" s="106">
        <v>339</v>
      </c>
      <c r="I420" s="210"/>
      <c r="J420" s="209"/>
    </row>
    <row r="421" spans="1:11">
      <c r="A421" s="106" t="s">
        <v>2569</v>
      </c>
      <c r="C421" s="211" t="s">
        <v>2574</v>
      </c>
      <c r="D421" s="211"/>
      <c r="E421" s="209">
        <v>43828</v>
      </c>
      <c r="F421" s="209"/>
      <c r="I421" s="210" t="s">
        <v>4719</v>
      </c>
      <c r="J421" s="209"/>
    </row>
    <row r="422" spans="1:11">
      <c r="A422" s="106" t="s">
        <v>3944</v>
      </c>
      <c r="C422" s="106" t="s">
        <v>3945</v>
      </c>
      <c r="E422" s="208"/>
      <c r="F422" s="209"/>
      <c r="I422" s="210">
        <v>65</v>
      </c>
      <c r="J422" s="209"/>
    </row>
    <row r="423" spans="1:11">
      <c r="A423" s="106" t="s">
        <v>3796</v>
      </c>
      <c r="B423" s="106" t="s">
        <v>3797</v>
      </c>
      <c r="C423" s="106" t="s">
        <v>3798</v>
      </c>
      <c r="E423" s="208">
        <v>43829</v>
      </c>
      <c r="F423" s="209"/>
      <c r="H423" s="106">
        <v>351</v>
      </c>
      <c r="I423" s="210"/>
      <c r="J423" s="209"/>
    </row>
    <row r="424" spans="1:11">
      <c r="A424" s="106" t="s">
        <v>2635</v>
      </c>
      <c r="B424" s="106" t="s">
        <v>2636</v>
      </c>
      <c r="C424" s="211" t="s">
        <v>2637</v>
      </c>
      <c r="D424" s="211"/>
      <c r="E424" s="209">
        <v>43828</v>
      </c>
      <c r="F424" s="209"/>
      <c r="H424" s="106">
        <v>797</v>
      </c>
      <c r="I424" s="210"/>
      <c r="J424" s="209"/>
    </row>
    <row r="425" spans="1:11">
      <c r="A425" s="106" t="s">
        <v>2694</v>
      </c>
      <c r="C425" s="106" t="s">
        <v>2693</v>
      </c>
      <c r="E425" s="208">
        <v>43826</v>
      </c>
      <c r="F425" s="209" t="s">
        <v>2231</v>
      </c>
      <c r="I425" s="210">
        <v>66</v>
      </c>
      <c r="K425" s="106" t="s">
        <v>2747</v>
      </c>
    </row>
    <row r="426" spans="1:11">
      <c r="A426" s="106" t="s">
        <v>3799</v>
      </c>
      <c r="B426" s="106" t="s">
        <v>3800</v>
      </c>
      <c r="C426" s="106" t="s">
        <v>3801</v>
      </c>
      <c r="E426" s="208">
        <v>43829</v>
      </c>
      <c r="F426" s="209"/>
      <c r="H426" s="106">
        <v>469</v>
      </c>
      <c r="I426" s="210"/>
      <c r="J426" s="209"/>
    </row>
    <row r="427" spans="1:11">
      <c r="A427" s="106" t="s">
        <v>2348</v>
      </c>
      <c r="B427" s="106" t="s">
        <v>2349</v>
      </c>
      <c r="C427" s="106" t="s">
        <v>2774</v>
      </c>
      <c r="E427" s="209">
        <v>43828</v>
      </c>
      <c r="F427" s="209"/>
      <c r="H427" s="106" t="s">
        <v>4732</v>
      </c>
      <c r="I427" s="210"/>
      <c r="J427" s="209"/>
    </row>
    <row r="428" spans="1:11">
      <c r="A428" s="106" t="s">
        <v>3802</v>
      </c>
      <c r="B428" s="106" t="s">
        <v>3803</v>
      </c>
      <c r="C428" s="106" t="s">
        <v>3804</v>
      </c>
      <c r="E428" s="208">
        <v>43829</v>
      </c>
      <c r="F428" s="209"/>
      <c r="H428" s="106">
        <v>487</v>
      </c>
      <c r="I428" s="210"/>
      <c r="J428" s="209"/>
    </row>
    <row r="429" spans="1:11">
      <c r="A429" s="106" t="s">
        <v>3805</v>
      </c>
      <c r="B429" s="106" t="s">
        <v>3806</v>
      </c>
      <c r="C429" s="106" t="s">
        <v>2982</v>
      </c>
      <c r="E429" s="208">
        <v>43829</v>
      </c>
      <c r="F429" s="209"/>
      <c r="H429" s="106">
        <v>133</v>
      </c>
      <c r="I429" s="210"/>
      <c r="J429" s="209"/>
    </row>
    <row r="430" spans="1:11">
      <c r="A430" s="106" t="s">
        <v>2738</v>
      </c>
      <c r="C430" s="106" t="s">
        <v>2742</v>
      </c>
      <c r="E430" s="208">
        <v>43825</v>
      </c>
      <c r="F430" s="209"/>
      <c r="I430" s="210">
        <v>67</v>
      </c>
    </row>
    <row r="431" spans="1:11">
      <c r="A431" s="106" t="s">
        <v>3807</v>
      </c>
      <c r="B431" s="106" t="s">
        <v>3808</v>
      </c>
      <c r="C431" s="106" t="s">
        <v>2980</v>
      </c>
      <c r="E431" s="208">
        <v>43829</v>
      </c>
      <c r="F431" s="209"/>
      <c r="H431" s="106">
        <v>131</v>
      </c>
      <c r="I431" s="210"/>
      <c r="J431" s="209"/>
    </row>
    <row r="432" spans="1:11">
      <c r="A432" s="106" t="s">
        <v>3809</v>
      </c>
      <c r="C432" s="106" t="s">
        <v>3028</v>
      </c>
      <c r="E432" s="208">
        <v>43829</v>
      </c>
      <c r="F432" s="209"/>
      <c r="H432" s="106">
        <v>196</v>
      </c>
      <c r="I432" s="210"/>
      <c r="J432" s="209"/>
    </row>
    <row r="433" spans="1:10">
      <c r="A433" s="106" t="s">
        <v>3810</v>
      </c>
      <c r="B433" s="106" t="s">
        <v>3811</v>
      </c>
      <c r="C433" s="106" t="s">
        <v>3812</v>
      </c>
      <c r="E433" s="208">
        <v>43829</v>
      </c>
      <c r="F433" s="209" t="s">
        <v>2673</v>
      </c>
      <c r="H433" s="106">
        <v>589</v>
      </c>
      <c r="I433" s="210"/>
      <c r="J433" s="209"/>
    </row>
    <row r="434" spans="1:10">
      <c r="A434" s="106" t="s">
        <v>3813</v>
      </c>
      <c r="B434" s="106" t="s">
        <v>3814</v>
      </c>
      <c r="C434" s="106" t="s">
        <v>3815</v>
      </c>
      <c r="E434" s="208">
        <v>43829</v>
      </c>
      <c r="F434" s="209"/>
      <c r="H434" s="106" t="s">
        <v>4757</v>
      </c>
      <c r="I434" s="210"/>
      <c r="J434" s="209"/>
    </row>
    <row r="435" spans="1:10">
      <c r="A435" s="106" t="s">
        <v>3816</v>
      </c>
      <c r="B435" s="106" t="s">
        <v>2412</v>
      </c>
      <c r="C435" s="106" t="s">
        <v>3817</v>
      </c>
      <c r="E435" s="208">
        <v>43829</v>
      </c>
      <c r="F435" s="209"/>
      <c r="H435" s="106">
        <v>448</v>
      </c>
      <c r="I435" s="210"/>
      <c r="J435" s="209"/>
    </row>
    <row r="436" spans="1:10">
      <c r="A436" s="106" t="s">
        <v>2411</v>
      </c>
      <c r="B436" s="106" t="s">
        <v>2412</v>
      </c>
      <c r="C436" s="106" t="s">
        <v>3818</v>
      </c>
      <c r="E436" s="208">
        <v>43829</v>
      </c>
      <c r="F436" s="209"/>
      <c r="H436" s="106">
        <v>449</v>
      </c>
      <c r="I436" s="210"/>
      <c r="J436" s="209"/>
    </row>
    <row r="437" spans="1:10">
      <c r="A437" s="106" t="s">
        <v>3819</v>
      </c>
      <c r="B437" s="106" t="s">
        <v>3820</v>
      </c>
      <c r="C437" s="106" t="s">
        <v>2992</v>
      </c>
      <c r="E437" s="208">
        <v>43829</v>
      </c>
      <c r="F437" s="209"/>
      <c r="H437" s="106">
        <v>148</v>
      </c>
      <c r="I437" s="210"/>
      <c r="J437" s="209"/>
    </row>
    <row r="438" spans="1:10">
      <c r="A438" s="106" t="s">
        <v>3115</v>
      </c>
      <c r="B438" s="106" t="s">
        <v>3114</v>
      </c>
      <c r="C438" s="106" t="s">
        <v>2866</v>
      </c>
      <c r="E438" s="209">
        <v>43828</v>
      </c>
      <c r="F438" s="209"/>
      <c r="H438" s="106">
        <v>667</v>
      </c>
      <c r="I438" s="210"/>
      <c r="J438" s="209"/>
    </row>
    <row r="439" spans="1:10">
      <c r="A439" s="106" t="s">
        <v>3822</v>
      </c>
      <c r="B439" s="106" t="s">
        <v>3123</v>
      </c>
      <c r="C439" s="106" t="s">
        <v>3823</v>
      </c>
      <c r="E439" s="208">
        <v>43829</v>
      </c>
      <c r="F439" s="209"/>
      <c r="H439" s="106" t="s">
        <v>4758</v>
      </c>
      <c r="I439" s="210"/>
      <c r="J439" s="209"/>
    </row>
    <row r="440" spans="1:10">
      <c r="A440" s="106" t="s">
        <v>3824</v>
      </c>
      <c r="B440" s="106" t="s">
        <v>3825</v>
      </c>
      <c r="C440" s="106" t="s">
        <v>3826</v>
      </c>
      <c r="E440" s="208">
        <v>43829</v>
      </c>
      <c r="F440" s="209"/>
      <c r="H440" s="106">
        <v>270</v>
      </c>
      <c r="I440" s="210"/>
      <c r="J440" s="209"/>
    </row>
    <row r="441" spans="1:10">
      <c r="A441" s="106" t="s">
        <v>3827</v>
      </c>
      <c r="B441" s="106" t="s">
        <v>3828</v>
      </c>
      <c r="C441" s="106" t="s">
        <v>3829</v>
      </c>
      <c r="E441" s="208">
        <v>43829</v>
      </c>
      <c r="F441" s="209"/>
      <c r="H441" s="106">
        <v>495</v>
      </c>
      <c r="I441" s="210"/>
      <c r="J441" s="209"/>
    </row>
    <row r="442" spans="1:10">
      <c r="A442" s="106" t="s">
        <v>3827</v>
      </c>
      <c r="B442" s="106" t="s">
        <v>3830</v>
      </c>
      <c r="C442" s="106" t="s">
        <v>3831</v>
      </c>
      <c r="E442" s="208">
        <v>43829</v>
      </c>
      <c r="F442" s="209"/>
      <c r="H442" s="106">
        <v>564</v>
      </c>
      <c r="I442" s="210"/>
      <c r="J442" s="209"/>
    </row>
    <row r="443" spans="1:10">
      <c r="A443" s="106" t="s">
        <v>2285</v>
      </c>
      <c r="C443" s="211" t="s">
        <v>2286</v>
      </c>
      <c r="D443" s="211"/>
      <c r="E443" s="209">
        <v>43828</v>
      </c>
      <c r="F443" s="209"/>
      <c r="I443" s="210" t="s">
        <v>4718</v>
      </c>
      <c r="J443" s="209"/>
    </row>
    <row r="444" spans="1:10">
      <c r="A444" s="106" t="s">
        <v>2285</v>
      </c>
      <c r="B444" s="106" t="s">
        <v>3832</v>
      </c>
      <c r="C444" s="106" t="s">
        <v>3833</v>
      </c>
      <c r="E444" s="208">
        <v>43829</v>
      </c>
      <c r="F444" s="209"/>
      <c r="H444" s="106">
        <v>389</v>
      </c>
      <c r="I444" s="210"/>
      <c r="J444" s="209"/>
    </row>
    <row r="445" spans="1:10">
      <c r="A445" s="106" t="s">
        <v>3152</v>
      </c>
      <c r="B445" s="106" t="s">
        <v>3151</v>
      </c>
      <c r="C445" s="106" t="s">
        <v>3155</v>
      </c>
      <c r="E445" s="208"/>
      <c r="F445" s="209"/>
      <c r="H445" s="106">
        <v>62</v>
      </c>
      <c r="I445" s="210"/>
      <c r="J445" s="209"/>
    </row>
    <row r="446" spans="1:10">
      <c r="A446" s="217" t="s">
        <v>2700</v>
      </c>
      <c r="B446" s="217"/>
      <c r="C446" s="211" t="s">
        <v>2701</v>
      </c>
      <c r="D446" s="211"/>
      <c r="E446" s="208">
        <v>43825</v>
      </c>
      <c r="F446" s="209" t="s">
        <v>2231</v>
      </c>
      <c r="I446" s="210">
        <v>72</v>
      </c>
    </row>
    <row r="447" spans="1:10">
      <c r="A447" s="106" t="s">
        <v>2364</v>
      </c>
      <c r="B447" s="106" t="s">
        <v>3834</v>
      </c>
      <c r="C447" s="106" t="s">
        <v>3005</v>
      </c>
      <c r="E447" s="208">
        <v>43829</v>
      </c>
      <c r="F447" s="209"/>
      <c r="H447" s="106">
        <v>168</v>
      </c>
      <c r="I447" s="210"/>
      <c r="J447" s="209"/>
    </row>
    <row r="448" spans="1:10">
      <c r="A448" s="106" t="s">
        <v>2279</v>
      </c>
      <c r="C448" s="211" t="s">
        <v>2280</v>
      </c>
      <c r="D448" s="211"/>
      <c r="E448" s="209">
        <v>43828</v>
      </c>
      <c r="F448" s="209"/>
      <c r="I448" s="210">
        <v>73</v>
      </c>
      <c r="J448" s="209"/>
    </row>
    <row r="449" spans="1:10">
      <c r="A449" s="106" t="s">
        <v>3835</v>
      </c>
      <c r="B449" s="106" t="s">
        <v>3836</v>
      </c>
      <c r="C449" s="106" t="s">
        <v>2829</v>
      </c>
      <c r="E449" s="209">
        <v>43828</v>
      </c>
      <c r="F449" s="209"/>
      <c r="H449" s="106">
        <v>237</v>
      </c>
      <c r="I449" s="210"/>
      <c r="J449" s="209"/>
    </row>
    <row r="450" spans="1:10">
      <c r="A450" s="106" t="s">
        <v>3837</v>
      </c>
      <c r="B450" s="106" t="s">
        <v>3838</v>
      </c>
      <c r="C450" s="106" t="s">
        <v>3839</v>
      </c>
      <c r="E450" s="208">
        <v>43829</v>
      </c>
      <c r="F450" s="209"/>
      <c r="H450" s="106">
        <v>669</v>
      </c>
      <c r="I450" s="210"/>
      <c r="J450" s="209"/>
    </row>
    <row r="451" spans="1:10">
      <c r="A451" s="106" t="s">
        <v>3840</v>
      </c>
      <c r="B451" s="106" t="s">
        <v>3841</v>
      </c>
      <c r="C451" s="106" t="s">
        <v>2863</v>
      </c>
      <c r="E451" s="209">
        <v>43828</v>
      </c>
      <c r="F451" s="209"/>
      <c r="H451" s="106">
        <v>486</v>
      </c>
      <c r="I451" s="210"/>
      <c r="J451" s="209"/>
    </row>
    <row r="452" spans="1:10">
      <c r="A452" s="106" t="s">
        <v>2305</v>
      </c>
      <c r="B452" s="106" t="s">
        <v>3842</v>
      </c>
      <c r="C452" s="106" t="s">
        <v>2946</v>
      </c>
      <c r="E452" s="208">
        <v>43829</v>
      </c>
      <c r="F452" s="209"/>
      <c r="H452" s="106">
        <v>81</v>
      </c>
      <c r="I452" s="210"/>
      <c r="J452" s="209"/>
    </row>
    <row r="453" spans="1:10">
      <c r="A453" s="106" t="s">
        <v>3843</v>
      </c>
      <c r="B453" s="106" t="s">
        <v>3844</v>
      </c>
      <c r="C453" s="106" t="s">
        <v>2834</v>
      </c>
      <c r="E453" s="209">
        <v>43828</v>
      </c>
      <c r="F453" s="209"/>
      <c r="H453" s="106">
        <v>531</v>
      </c>
      <c r="I453" s="210"/>
      <c r="J453" s="209"/>
    </row>
    <row r="454" spans="1:10">
      <c r="A454" s="106" t="s">
        <v>3845</v>
      </c>
      <c r="B454" s="106" t="s">
        <v>3846</v>
      </c>
      <c r="C454" s="106" t="s">
        <v>3847</v>
      </c>
      <c r="E454" s="208">
        <v>43829</v>
      </c>
      <c r="F454" s="209"/>
      <c r="H454" s="106">
        <v>373</v>
      </c>
      <c r="I454" s="210"/>
      <c r="J454" s="209"/>
    </row>
    <row r="455" spans="1:10">
      <c r="A455" s="106" t="s">
        <v>3848</v>
      </c>
      <c r="B455" s="106" t="s">
        <v>3195</v>
      </c>
      <c r="C455" s="106" t="s">
        <v>3849</v>
      </c>
      <c r="E455" s="208">
        <v>43829</v>
      </c>
      <c r="F455" s="209"/>
      <c r="H455" s="106">
        <v>436</v>
      </c>
      <c r="I455" s="210"/>
      <c r="J455" s="209"/>
    </row>
    <row r="456" spans="1:10">
      <c r="A456" s="106" t="s">
        <v>3848</v>
      </c>
      <c r="B456" s="106" t="s">
        <v>3850</v>
      </c>
      <c r="C456" s="106" t="s">
        <v>3851</v>
      </c>
      <c r="E456" s="208">
        <v>43829</v>
      </c>
      <c r="F456" s="209"/>
      <c r="H456" s="106">
        <v>610</v>
      </c>
      <c r="I456" s="210"/>
      <c r="J456" s="209"/>
    </row>
    <row r="457" spans="1:10">
      <c r="A457" s="106" t="s">
        <v>3852</v>
      </c>
      <c r="B457" s="106" t="s">
        <v>3853</v>
      </c>
      <c r="C457" s="106" t="s">
        <v>3854</v>
      </c>
      <c r="E457" s="208">
        <v>43829</v>
      </c>
      <c r="F457" s="209"/>
      <c r="H457" s="106">
        <v>725</v>
      </c>
      <c r="I457" s="210"/>
      <c r="J457" s="209"/>
    </row>
    <row r="458" spans="1:10">
      <c r="A458" s="106" t="s">
        <v>3855</v>
      </c>
      <c r="B458" s="106" t="s">
        <v>3856</v>
      </c>
      <c r="C458" s="106" t="s">
        <v>3857</v>
      </c>
      <c r="E458" s="208">
        <v>43829</v>
      </c>
      <c r="F458" s="209"/>
      <c r="H458" s="106">
        <v>327</v>
      </c>
      <c r="I458" s="210"/>
      <c r="J458" s="209"/>
    </row>
    <row r="459" spans="1:10">
      <c r="A459" s="106" t="s">
        <v>3858</v>
      </c>
      <c r="B459" s="106" t="s">
        <v>3859</v>
      </c>
      <c r="C459" s="106" t="s">
        <v>2870</v>
      </c>
      <c r="E459" s="209">
        <v>43828</v>
      </c>
      <c r="F459" s="209"/>
      <c r="H459" s="106">
        <v>107</v>
      </c>
      <c r="I459" s="210"/>
      <c r="J459" s="209"/>
    </row>
    <row r="460" spans="1:10">
      <c r="A460" s="106" t="s">
        <v>3860</v>
      </c>
      <c r="C460" s="212" t="s">
        <v>2879</v>
      </c>
      <c r="E460" s="209">
        <v>43828</v>
      </c>
      <c r="F460" s="209"/>
      <c r="H460" s="106">
        <v>623</v>
      </c>
      <c r="I460" s="210"/>
      <c r="J460" s="209"/>
    </row>
    <row r="461" spans="1:10">
      <c r="A461" s="106" t="s">
        <v>3861</v>
      </c>
      <c r="B461" s="106" t="s">
        <v>3862</v>
      </c>
      <c r="C461" s="106" t="s">
        <v>2864</v>
      </c>
      <c r="E461" s="209">
        <v>43828</v>
      </c>
      <c r="F461" s="209"/>
      <c r="H461" s="106">
        <v>9</v>
      </c>
      <c r="I461" s="210"/>
      <c r="J461" s="209"/>
    </row>
    <row r="462" spans="1:10">
      <c r="A462" s="106" t="s">
        <v>3863</v>
      </c>
      <c r="B462" s="106" t="s">
        <v>3864</v>
      </c>
      <c r="C462" s="106" t="s">
        <v>2846</v>
      </c>
      <c r="E462" s="209">
        <v>43828</v>
      </c>
      <c r="F462" s="209"/>
      <c r="H462" s="106">
        <v>3</v>
      </c>
      <c r="I462" s="210"/>
      <c r="J462" s="209"/>
    </row>
    <row r="463" spans="1:10">
      <c r="A463" s="106" t="s">
        <v>3863</v>
      </c>
      <c r="B463" s="106" t="s">
        <v>3865</v>
      </c>
      <c r="C463" s="106" t="s">
        <v>3047</v>
      </c>
      <c r="E463" s="208">
        <v>43829</v>
      </c>
      <c r="F463" s="209"/>
      <c r="H463" s="106">
        <v>216</v>
      </c>
      <c r="I463" s="210"/>
      <c r="J463" s="209"/>
    </row>
    <row r="464" spans="1:10">
      <c r="A464" s="106" t="s">
        <v>3863</v>
      </c>
      <c r="B464" s="106" t="s">
        <v>3866</v>
      </c>
      <c r="C464" s="106" t="s">
        <v>3867</v>
      </c>
      <c r="E464" s="208">
        <v>43829</v>
      </c>
      <c r="F464" s="209"/>
      <c r="H464" s="106">
        <v>326</v>
      </c>
      <c r="I464" s="210"/>
      <c r="J464" s="209"/>
    </row>
    <row r="465" spans="1:10">
      <c r="A465" s="106" t="s">
        <v>2281</v>
      </c>
      <c r="C465" s="106" t="s">
        <v>2282</v>
      </c>
      <c r="E465" s="209">
        <v>43828</v>
      </c>
      <c r="F465" s="209"/>
      <c r="I465" s="210">
        <v>74</v>
      </c>
      <c r="J465" s="209"/>
    </row>
    <row r="466" spans="1:10">
      <c r="A466" s="106" t="s">
        <v>2281</v>
      </c>
      <c r="B466" s="106" t="s">
        <v>2624</v>
      </c>
      <c r="C466" s="211" t="s">
        <v>2625</v>
      </c>
      <c r="D466" s="211"/>
      <c r="E466" s="209">
        <v>43828</v>
      </c>
      <c r="F466" s="209"/>
      <c r="H466" s="106">
        <v>204</v>
      </c>
      <c r="I466" s="210"/>
      <c r="J466" s="209"/>
    </row>
    <row r="467" spans="1:10">
      <c r="A467" s="106" t="s">
        <v>2281</v>
      </c>
      <c r="B467" s="106" t="s">
        <v>3868</v>
      </c>
      <c r="C467" s="106" t="s">
        <v>2818</v>
      </c>
      <c r="E467" s="209">
        <v>43828</v>
      </c>
      <c r="F467" s="209"/>
      <c r="H467" s="106">
        <v>445</v>
      </c>
      <c r="I467" s="210"/>
      <c r="J467" s="209"/>
    </row>
    <row r="468" spans="1:10">
      <c r="A468" s="106" t="s">
        <v>2281</v>
      </c>
      <c r="C468" s="106" t="s">
        <v>2817</v>
      </c>
      <c r="E468" s="209">
        <v>43828</v>
      </c>
      <c r="F468" s="209"/>
      <c r="H468" s="106">
        <v>738</v>
      </c>
      <c r="I468" s="210"/>
      <c r="J468" s="209"/>
    </row>
    <row r="469" spans="1:10">
      <c r="A469" s="106" t="s">
        <v>3869</v>
      </c>
      <c r="B469" s="106" t="s">
        <v>2396</v>
      </c>
      <c r="C469" s="106" t="s">
        <v>2956</v>
      </c>
      <c r="E469" s="208">
        <v>43829</v>
      </c>
      <c r="F469" s="209"/>
      <c r="H469" s="106">
        <v>98</v>
      </c>
      <c r="I469" s="210"/>
      <c r="J469" s="209"/>
    </row>
    <row r="470" spans="1:10">
      <c r="A470" s="106" t="s">
        <v>3870</v>
      </c>
      <c r="B470" s="106" t="s">
        <v>3871</v>
      </c>
      <c r="C470" s="106" t="s">
        <v>2890</v>
      </c>
      <c r="E470" s="208">
        <v>43829</v>
      </c>
      <c r="F470" s="209"/>
      <c r="H470" s="106">
        <v>14</v>
      </c>
      <c r="I470" s="210"/>
      <c r="J470" s="209"/>
    </row>
    <row r="471" spans="1:10">
      <c r="A471" s="106" t="s">
        <v>2380</v>
      </c>
      <c r="B471" s="106" t="s">
        <v>2322</v>
      </c>
      <c r="C471" s="106" t="s">
        <v>3872</v>
      </c>
      <c r="E471" s="208">
        <v>43829</v>
      </c>
      <c r="F471" s="209"/>
      <c r="H471" s="106">
        <v>267</v>
      </c>
      <c r="I471" s="210"/>
      <c r="J471" s="209"/>
    </row>
    <row r="472" spans="1:10">
      <c r="A472" s="106" t="s">
        <v>2380</v>
      </c>
      <c r="B472" s="106" t="s">
        <v>2322</v>
      </c>
      <c r="C472" s="106" t="s">
        <v>3873</v>
      </c>
      <c r="E472" s="208">
        <v>43829</v>
      </c>
      <c r="F472" s="209"/>
      <c r="H472" s="106">
        <v>714</v>
      </c>
      <c r="I472" s="210"/>
      <c r="J472" s="209"/>
    </row>
    <row r="473" spans="1:10">
      <c r="A473" s="106" t="s">
        <v>3874</v>
      </c>
      <c r="B473" s="106" t="s">
        <v>3875</v>
      </c>
      <c r="C473" s="106" t="s">
        <v>3048</v>
      </c>
      <c r="E473" s="208">
        <v>43829</v>
      </c>
      <c r="F473" s="209"/>
      <c r="H473" s="106">
        <v>217</v>
      </c>
      <c r="I473" s="210"/>
      <c r="J473" s="209"/>
    </row>
    <row r="474" spans="1:10">
      <c r="A474" s="124" t="s">
        <v>3973</v>
      </c>
      <c r="B474" s="124" t="s">
        <v>704</v>
      </c>
      <c r="C474" s="211" t="s">
        <v>3972</v>
      </c>
      <c r="D474" s="211"/>
      <c r="E474" s="208"/>
      <c r="F474" s="209"/>
      <c r="H474" s="106">
        <v>528</v>
      </c>
      <c r="I474" s="210"/>
      <c r="J474" s="209"/>
    </row>
    <row r="475" spans="1:10">
      <c r="A475" s="106" t="s">
        <v>3876</v>
      </c>
      <c r="B475" s="106" t="s">
        <v>2365</v>
      </c>
      <c r="C475" s="106" t="s">
        <v>3877</v>
      </c>
      <c r="E475" s="208">
        <v>43829</v>
      </c>
      <c r="F475" s="209"/>
      <c r="H475" s="106">
        <v>767</v>
      </c>
      <c r="I475" s="210"/>
      <c r="J475" s="209"/>
    </row>
    <row r="476" spans="1:10">
      <c r="A476" s="106" t="s">
        <v>3084</v>
      </c>
      <c r="B476" s="106" t="s">
        <v>3131</v>
      </c>
      <c r="C476" s="106" t="s">
        <v>3032</v>
      </c>
      <c r="E476" s="208">
        <v>43829</v>
      </c>
      <c r="F476" s="209"/>
      <c r="H476" s="106">
        <v>200</v>
      </c>
      <c r="I476" s="210"/>
      <c r="J476" s="209"/>
    </row>
    <row r="477" spans="1:10">
      <c r="A477" s="106" t="s">
        <v>3878</v>
      </c>
      <c r="B477" s="106" t="s">
        <v>3879</v>
      </c>
      <c r="C477" s="106" t="s">
        <v>2808</v>
      </c>
      <c r="E477" s="209">
        <v>43828</v>
      </c>
      <c r="F477" s="209"/>
      <c r="H477" s="106">
        <v>566</v>
      </c>
      <c r="I477" s="210"/>
      <c r="J477" s="209"/>
    </row>
    <row r="478" spans="1:10">
      <c r="A478" s="106" t="s">
        <v>3164</v>
      </c>
      <c r="B478" s="106" t="s">
        <v>3163</v>
      </c>
      <c r="C478" s="106" t="s">
        <v>3166</v>
      </c>
      <c r="E478" s="208"/>
      <c r="F478" s="209"/>
      <c r="H478" s="106">
        <v>455</v>
      </c>
      <c r="I478" s="210"/>
      <c r="J478" s="209"/>
    </row>
    <row r="479" spans="1:10">
      <c r="A479" s="106" t="s">
        <v>3880</v>
      </c>
      <c r="B479" s="106" t="s">
        <v>3881</v>
      </c>
      <c r="C479" s="106" t="s">
        <v>3882</v>
      </c>
      <c r="E479" s="208">
        <v>43829</v>
      </c>
      <c r="F479" s="209"/>
      <c r="H479" s="106">
        <v>496</v>
      </c>
      <c r="I479" s="210"/>
      <c r="J479" s="209"/>
    </row>
    <row r="480" spans="1:10">
      <c r="A480" s="106" t="s">
        <v>3883</v>
      </c>
      <c r="B480" s="106" t="s">
        <v>3884</v>
      </c>
      <c r="C480" s="106" t="s">
        <v>3885</v>
      </c>
      <c r="E480" s="208">
        <v>43829</v>
      </c>
      <c r="F480" s="209"/>
      <c r="H480" s="106">
        <v>306</v>
      </c>
      <c r="I480" s="210"/>
      <c r="J480" s="209"/>
    </row>
    <row r="481" spans="1:11">
      <c r="A481" s="106" t="s">
        <v>3886</v>
      </c>
      <c r="B481" s="106" t="s">
        <v>3887</v>
      </c>
      <c r="C481" s="106" t="s">
        <v>3888</v>
      </c>
      <c r="E481" s="208">
        <v>43829</v>
      </c>
      <c r="F481" s="209"/>
      <c r="H481" s="106">
        <v>636</v>
      </c>
      <c r="I481" s="210"/>
      <c r="J481" s="209"/>
    </row>
    <row r="482" spans="1:11">
      <c r="A482" s="106" t="s">
        <v>3889</v>
      </c>
      <c r="B482" s="106" t="s">
        <v>3890</v>
      </c>
      <c r="C482" s="106" t="s">
        <v>2937</v>
      </c>
      <c r="E482" s="208">
        <v>43829</v>
      </c>
      <c r="F482" s="209"/>
      <c r="H482" s="106">
        <v>68</v>
      </c>
      <c r="I482" s="210"/>
      <c r="J482" s="209"/>
    </row>
    <row r="483" spans="1:11">
      <c r="A483" s="106" t="s">
        <v>3891</v>
      </c>
      <c r="C483" s="106" t="s">
        <v>2917</v>
      </c>
      <c r="E483" s="208">
        <v>43829</v>
      </c>
      <c r="F483" s="209"/>
      <c r="H483" s="106">
        <v>46</v>
      </c>
      <c r="I483" s="210"/>
      <c r="J483" s="209"/>
    </row>
    <row r="484" spans="1:11">
      <c r="A484" s="106" t="s">
        <v>3892</v>
      </c>
      <c r="B484" s="106" t="s">
        <v>3893</v>
      </c>
      <c r="C484" s="106" t="s">
        <v>3894</v>
      </c>
      <c r="E484" s="208">
        <v>43829</v>
      </c>
      <c r="F484" s="209"/>
      <c r="H484" s="106">
        <v>363</v>
      </c>
      <c r="I484" s="210"/>
      <c r="J484" s="209"/>
    </row>
    <row r="485" spans="1:11">
      <c r="A485" s="106" t="s">
        <v>3892</v>
      </c>
      <c r="B485" s="106" t="s">
        <v>3893</v>
      </c>
      <c r="C485" s="106" t="s">
        <v>3895</v>
      </c>
      <c r="E485" s="208">
        <v>43829</v>
      </c>
      <c r="F485" s="209"/>
      <c r="H485" s="106">
        <v>364</v>
      </c>
      <c r="I485" s="210"/>
      <c r="J485" s="209"/>
    </row>
    <row r="486" spans="1:11">
      <c r="A486" s="106" t="s">
        <v>3990</v>
      </c>
      <c r="C486" s="216" t="s">
        <v>2762</v>
      </c>
      <c r="D486" s="211"/>
      <c r="E486" s="209">
        <v>43828</v>
      </c>
      <c r="F486" s="209"/>
      <c r="I486" s="210">
        <v>99</v>
      </c>
      <c r="J486" s="209"/>
      <c r="K486" s="106" t="s">
        <v>2763</v>
      </c>
    </row>
    <row r="487" spans="1:11">
      <c r="A487" s="106" t="s">
        <v>2707</v>
      </c>
      <c r="C487" s="106" t="s">
        <v>2880</v>
      </c>
      <c r="E487" s="208">
        <v>43825</v>
      </c>
      <c r="F487" s="209" t="s">
        <v>2231</v>
      </c>
      <c r="I487" s="210">
        <v>81</v>
      </c>
    </row>
    <row r="488" spans="1:11">
      <c r="A488" s="106" t="s">
        <v>1091</v>
      </c>
      <c r="B488" s="106" t="s">
        <v>1090</v>
      </c>
      <c r="C488" s="106" t="s">
        <v>2855</v>
      </c>
      <c r="E488" s="209">
        <v>43828</v>
      </c>
      <c r="F488" s="209"/>
      <c r="H488" s="106">
        <v>20</v>
      </c>
      <c r="I488" s="210"/>
      <c r="J488" s="209"/>
    </row>
    <row r="489" spans="1:11">
      <c r="A489" s="106" t="s">
        <v>680</v>
      </c>
      <c r="C489" s="212" t="s">
        <v>2840</v>
      </c>
      <c r="E489" s="209">
        <v>43828</v>
      </c>
      <c r="F489" s="209"/>
      <c r="I489" s="210">
        <v>56</v>
      </c>
      <c r="J489" s="209"/>
      <c r="K489" s="106" t="s">
        <v>2664</v>
      </c>
    </row>
    <row r="490" spans="1:11">
      <c r="A490" s="106" t="s">
        <v>417</v>
      </c>
      <c r="C490" s="212" t="s">
        <v>2794</v>
      </c>
      <c r="E490" s="209">
        <v>43828</v>
      </c>
      <c r="F490" s="209"/>
      <c r="I490" s="210">
        <v>2</v>
      </c>
      <c r="J490" s="209"/>
    </row>
    <row r="491" spans="1:11">
      <c r="B491" s="106" t="s">
        <v>3896</v>
      </c>
      <c r="C491" s="106" t="s">
        <v>2892</v>
      </c>
      <c r="E491" s="208">
        <v>43829</v>
      </c>
      <c r="F491" s="209"/>
      <c r="H491" s="106">
        <v>16</v>
      </c>
      <c r="I491" s="210"/>
      <c r="J491" s="209"/>
    </row>
    <row r="492" spans="1:11">
      <c r="B492" s="106" t="s">
        <v>3897</v>
      </c>
      <c r="C492" s="106" t="s">
        <v>2907</v>
      </c>
      <c r="E492" s="208">
        <v>43829</v>
      </c>
      <c r="F492" s="209"/>
      <c r="H492" s="106">
        <v>35</v>
      </c>
      <c r="I492" s="210"/>
      <c r="J492" s="209"/>
    </row>
    <row r="493" spans="1:11">
      <c r="B493" s="106" t="s">
        <v>3898</v>
      </c>
      <c r="C493" s="106" t="s">
        <v>2919</v>
      </c>
      <c r="E493" s="208">
        <v>43829</v>
      </c>
      <c r="F493" s="209"/>
      <c r="H493" s="106">
        <v>49</v>
      </c>
      <c r="I493" s="210"/>
      <c r="J493" s="209"/>
    </row>
    <row r="494" spans="1:11">
      <c r="B494" s="106" t="s">
        <v>3899</v>
      </c>
      <c r="C494" s="106" t="s">
        <v>2950</v>
      </c>
      <c r="E494" s="208">
        <v>43829</v>
      </c>
      <c r="F494" s="209"/>
      <c r="H494" s="106">
        <v>85</v>
      </c>
      <c r="I494" s="210"/>
      <c r="J494" s="209"/>
    </row>
    <row r="495" spans="1:11">
      <c r="B495" s="106" t="s">
        <v>3900</v>
      </c>
      <c r="C495" s="106" t="s">
        <v>2952</v>
      </c>
      <c r="E495" s="208">
        <v>43829</v>
      </c>
      <c r="F495" s="209"/>
      <c r="H495" s="106">
        <v>89</v>
      </c>
      <c r="I495" s="210"/>
      <c r="J495" s="209"/>
    </row>
    <row r="496" spans="1:11">
      <c r="B496" s="106" t="s">
        <v>3901</v>
      </c>
      <c r="C496" s="106" t="s">
        <v>2963</v>
      </c>
      <c r="E496" s="208">
        <v>43829</v>
      </c>
      <c r="F496" s="209"/>
      <c r="H496" s="106">
        <v>109</v>
      </c>
      <c r="I496" s="210"/>
      <c r="J496" s="209"/>
    </row>
    <row r="497" spans="1:10">
      <c r="B497" s="106" t="s">
        <v>3902</v>
      </c>
      <c r="C497" s="106" t="s">
        <v>3035</v>
      </c>
      <c r="D497" s="106" t="s">
        <v>2673</v>
      </c>
      <c r="E497" s="208">
        <v>43829</v>
      </c>
      <c r="F497" s="209"/>
      <c r="H497" s="106">
        <v>203</v>
      </c>
      <c r="I497" s="210"/>
      <c r="J497" s="209"/>
    </row>
    <row r="498" spans="1:10">
      <c r="B498" s="106" t="s">
        <v>3355</v>
      </c>
      <c r="C498" s="106" t="s">
        <v>3903</v>
      </c>
      <c r="E498" s="208">
        <v>43829</v>
      </c>
      <c r="F498" s="209"/>
      <c r="H498" s="106">
        <v>268</v>
      </c>
      <c r="I498" s="210"/>
      <c r="J498" s="209"/>
    </row>
    <row r="499" spans="1:10">
      <c r="B499" s="106" t="s">
        <v>3904</v>
      </c>
      <c r="C499" s="106" t="s">
        <v>3905</v>
      </c>
      <c r="E499" s="208">
        <v>43829</v>
      </c>
      <c r="F499" s="209"/>
      <c r="H499" s="106">
        <v>301</v>
      </c>
      <c r="I499" s="210"/>
      <c r="J499" s="209"/>
    </row>
    <row r="500" spans="1:10">
      <c r="B500" s="106" t="s">
        <v>3474</v>
      </c>
      <c r="C500" s="106" t="s">
        <v>3907</v>
      </c>
      <c r="E500" s="208">
        <v>43829</v>
      </c>
      <c r="F500" s="209"/>
      <c r="H500" s="106">
        <v>386</v>
      </c>
      <c r="I500" s="210"/>
      <c r="J500" s="209"/>
    </row>
    <row r="501" spans="1:10">
      <c r="B501" s="106" t="s">
        <v>3908</v>
      </c>
      <c r="C501" s="106" t="s">
        <v>3909</v>
      </c>
      <c r="E501" s="208">
        <v>43829</v>
      </c>
      <c r="F501" s="209"/>
      <c r="H501" s="106">
        <v>411</v>
      </c>
      <c r="I501" s="210"/>
      <c r="J501" s="209"/>
    </row>
    <row r="502" spans="1:10">
      <c r="B502" s="106" t="s">
        <v>3910</v>
      </c>
      <c r="C502" s="106" t="s">
        <v>3911</v>
      </c>
      <c r="E502" s="208">
        <v>43829</v>
      </c>
      <c r="F502" s="209"/>
      <c r="H502" s="106">
        <v>423</v>
      </c>
      <c r="I502" s="210"/>
      <c r="J502" s="209"/>
    </row>
    <row r="503" spans="1:10">
      <c r="B503" s="106" t="s">
        <v>3912</v>
      </c>
      <c r="C503" s="106" t="s">
        <v>3913</v>
      </c>
      <c r="E503" s="208">
        <v>43829</v>
      </c>
      <c r="F503" s="209"/>
      <c r="H503" s="106">
        <v>539</v>
      </c>
      <c r="I503" s="210"/>
      <c r="J503" s="209"/>
    </row>
    <row r="504" spans="1:10">
      <c r="B504" s="106" t="s">
        <v>2307</v>
      </c>
      <c r="C504" s="106" t="s">
        <v>3914</v>
      </c>
      <c r="E504" s="208">
        <v>43829</v>
      </c>
      <c r="F504" s="209"/>
      <c r="H504" s="106">
        <v>575</v>
      </c>
      <c r="I504" s="210"/>
      <c r="J504" s="209"/>
    </row>
    <row r="505" spans="1:10">
      <c r="B505" s="106" t="s">
        <v>3915</v>
      </c>
      <c r="C505" s="106" t="s">
        <v>3916</v>
      </c>
      <c r="E505" s="208">
        <v>43829</v>
      </c>
      <c r="F505" s="209"/>
      <c r="H505" s="106">
        <v>686</v>
      </c>
      <c r="I505" s="210"/>
      <c r="J505" s="209"/>
    </row>
    <row r="506" spans="1:10">
      <c r="B506" s="106" t="s">
        <v>3917</v>
      </c>
      <c r="C506" s="106" t="s">
        <v>3918</v>
      </c>
      <c r="E506" s="208">
        <v>43829</v>
      </c>
      <c r="F506" s="209"/>
      <c r="H506" s="106">
        <v>759</v>
      </c>
      <c r="I506" s="210"/>
      <c r="J506" s="209"/>
    </row>
    <row r="507" spans="1:10">
      <c r="B507" s="106" t="s">
        <v>3919</v>
      </c>
      <c r="C507" s="106" t="s">
        <v>3920</v>
      </c>
      <c r="E507" s="208">
        <v>43829</v>
      </c>
      <c r="F507" s="209"/>
      <c r="H507" s="106">
        <v>760</v>
      </c>
      <c r="I507" s="210"/>
      <c r="J507" s="209"/>
    </row>
    <row r="508" spans="1:10">
      <c r="B508" s="106" t="s">
        <v>3928</v>
      </c>
      <c r="C508" s="106" t="s">
        <v>3929</v>
      </c>
      <c r="E508" s="208"/>
      <c r="F508" s="209"/>
      <c r="H508" s="106">
        <v>578</v>
      </c>
      <c r="I508" s="210"/>
      <c r="J508" s="209"/>
    </row>
    <row r="509" spans="1:10">
      <c r="B509" s="106" t="s">
        <v>3930</v>
      </c>
      <c r="C509" s="106" t="s">
        <v>3931</v>
      </c>
      <c r="E509" s="208"/>
      <c r="F509" s="209"/>
      <c r="H509" s="106">
        <v>632</v>
      </c>
      <c r="I509" s="210"/>
      <c r="J509" s="209"/>
    </row>
    <row r="510" spans="1:10">
      <c r="A510" s="106" t="s">
        <v>4704</v>
      </c>
      <c r="B510" s="106" t="s">
        <v>4705</v>
      </c>
      <c r="C510" s="106" t="s">
        <v>4706</v>
      </c>
      <c r="E510" s="208"/>
      <c r="F510" s="209"/>
      <c r="H510" s="106">
        <v>31</v>
      </c>
      <c r="I510" s="210"/>
      <c r="J510" s="209"/>
    </row>
    <row r="511" spans="1:10">
      <c r="A511" s="106" t="s">
        <v>1356</v>
      </c>
      <c r="C511" s="106" t="s">
        <v>4707</v>
      </c>
      <c r="E511" s="208"/>
      <c r="F511" s="209"/>
      <c r="H511" s="106">
        <v>47</v>
      </c>
      <c r="I511" s="210"/>
      <c r="J511" s="209"/>
    </row>
    <row r="512" spans="1:10">
      <c r="A512" s="106" t="s">
        <v>1356</v>
      </c>
      <c r="C512" s="106" t="s">
        <v>4708</v>
      </c>
      <c r="E512" s="208"/>
      <c r="F512" s="209"/>
      <c r="H512" s="106">
        <v>48</v>
      </c>
      <c r="I512" s="210"/>
      <c r="J512" s="209"/>
    </row>
    <row r="513" spans="1:10">
      <c r="A513" s="106" t="s">
        <v>4012</v>
      </c>
      <c r="B513" s="106" t="s">
        <v>4011</v>
      </c>
      <c r="C513" s="106" t="s">
        <v>4013</v>
      </c>
      <c r="E513" s="208"/>
      <c r="F513" s="209"/>
      <c r="H513" s="106">
        <v>88</v>
      </c>
      <c r="I513" s="210"/>
      <c r="J513" s="209"/>
    </row>
    <row r="514" spans="1:10">
      <c r="A514" s="106" t="s">
        <v>1958</v>
      </c>
      <c r="B514" s="106" t="s">
        <v>2147</v>
      </c>
      <c r="C514" s="106" t="s">
        <v>4010</v>
      </c>
      <c r="E514" s="208"/>
      <c r="F514" s="209"/>
      <c r="H514" s="106">
        <v>146</v>
      </c>
      <c r="I514" s="210"/>
      <c r="J514" s="209"/>
    </row>
    <row r="515" spans="1:10">
      <c r="A515" s="106" t="s">
        <v>376</v>
      </c>
      <c r="B515" s="106" t="s">
        <v>378</v>
      </c>
      <c r="C515" s="106" t="s">
        <v>4711</v>
      </c>
      <c r="E515" s="208"/>
      <c r="F515" s="209"/>
      <c r="H515" s="106">
        <v>400</v>
      </c>
      <c r="I515" s="210"/>
      <c r="J515" s="209"/>
    </row>
    <row r="516" spans="1:10">
      <c r="A516" s="106" t="s">
        <v>2065</v>
      </c>
      <c r="B516" s="106" t="s">
        <v>2066</v>
      </c>
      <c r="C516" s="106" t="s">
        <v>4712</v>
      </c>
      <c r="E516" s="208"/>
      <c r="F516" s="209"/>
      <c r="H516" s="106">
        <v>482</v>
      </c>
      <c r="I516" s="210"/>
      <c r="J516" s="209"/>
    </row>
    <row r="517" spans="1:10">
      <c r="A517" s="106" t="s">
        <v>2065</v>
      </c>
      <c r="B517" s="106" t="s">
        <v>2066</v>
      </c>
      <c r="C517" s="106" t="s">
        <v>2067</v>
      </c>
      <c r="E517" s="208"/>
      <c r="F517" s="209"/>
      <c r="H517" s="106">
        <v>483</v>
      </c>
      <c r="I517" s="210"/>
      <c r="J517" s="209"/>
    </row>
    <row r="518" spans="1:10">
      <c r="A518" s="106" t="s">
        <v>696</v>
      </c>
      <c r="B518" s="106" t="s">
        <v>1804</v>
      </c>
      <c r="C518" s="106" t="s">
        <v>4009</v>
      </c>
      <c r="E518" s="208"/>
      <c r="F518" s="209"/>
      <c r="H518" s="106">
        <v>651</v>
      </c>
      <c r="I518" s="210"/>
      <c r="J518" s="209"/>
    </row>
    <row r="519" spans="1:10">
      <c r="A519" s="106" t="s">
        <v>4714</v>
      </c>
      <c r="C519" s="106" t="s">
        <v>4715</v>
      </c>
      <c r="E519" s="208"/>
      <c r="F519" s="209"/>
      <c r="I519" s="210">
        <v>26</v>
      </c>
      <c r="J519" s="209"/>
    </row>
    <row r="520" spans="1:10">
      <c r="A520" s="106" t="s">
        <v>4720</v>
      </c>
      <c r="C520" s="106" t="s">
        <v>4721</v>
      </c>
      <c r="E520" s="208"/>
      <c r="F520" s="209"/>
      <c r="I520" s="210">
        <v>84</v>
      </c>
      <c r="J520" s="209"/>
    </row>
    <row r="521" spans="1:10">
      <c r="A521" s="106" t="s">
        <v>838</v>
      </c>
      <c r="C521" s="106" t="s">
        <v>839</v>
      </c>
      <c r="E521" s="208"/>
      <c r="F521" s="209"/>
      <c r="I521" s="210">
        <v>87</v>
      </c>
      <c r="J521" s="209"/>
    </row>
    <row r="522" spans="1:10">
      <c r="A522" s="106" t="s">
        <v>29</v>
      </c>
      <c r="C522" s="106" t="s">
        <v>1174</v>
      </c>
      <c r="E522" s="208"/>
      <c r="F522" s="209"/>
      <c r="I522" s="210">
        <v>114</v>
      </c>
      <c r="J522" s="209"/>
    </row>
    <row r="523" spans="1:10">
      <c r="A523" s="106" t="s">
        <v>3994</v>
      </c>
      <c r="C523" s="106" t="s">
        <v>1161</v>
      </c>
      <c r="E523" s="208"/>
      <c r="F523" s="209"/>
      <c r="I523" s="210">
        <v>88</v>
      </c>
      <c r="J523" s="209"/>
    </row>
    <row r="524" spans="1:10">
      <c r="A524" s="106" t="s">
        <v>3996</v>
      </c>
      <c r="C524" s="106" t="s">
        <v>2446</v>
      </c>
      <c r="E524" s="208"/>
      <c r="F524" s="209"/>
      <c r="I524" s="210">
        <v>90</v>
      </c>
      <c r="J524" s="209"/>
    </row>
    <row r="525" spans="1:10">
      <c r="A525" s="106" t="s">
        <v>4723</v>
      </c>
      <c r="C525" s="212" t="s">
        <v>4725</v>
      </c>
      <c r="E525" s="208"/>
      <c r="F525" s="209"/>
      <c r="I525" s="210">
        <v>95</v>
      </c>
      <c r="J525" s="209"/>
    </row>
    <row r="526" spans="1:10">
      <c r="A526" s="106" t="s">
        <v>4727</v>
      </c>
      <c r="C526" s="212" t="s">
        <v>4728</v>
      </c>
      <c r="E526" s="208"/>
      <c r="F526" s="209"/>
      <c r="I526" s="210">
        <v>110</v>
      </c>
      <c r="J526" s="209"/>
    </row>
    <row r="527" spans="1:10">
      <c r="A527" s="106" t="s">
        <v>1253</v>
      </c>
      <c r="C527" s="212" t="s">
        <v>2909</v>
      </c>
      <c r="E527" s="208"/>
      <c r="F527" s="209"/>
      <c r="I527" s="210">
        <v>111</v>
      </c>
      <c r="J527" s="209"/>
    </row>
    <row r="528" spans="1:10">
      <c r="E528" s="208"/>
      <c r="F528" s="209"/>
      <c r="I528" s="210"/>
      <c r="J528" s="209"/>
    </row>
    <row r="529" spans="5:10">
      <c r="E529" s="208"/>
      <c r="F529" s="209"/>
      <c r="I529" s="210"/>
      <c r="J529" s="209"/>
    </row>
    <row r="530" spans="5:10">
      <c r="E530" s="208"/>
      <c r="F530" s="209"/>
      <c r="I530" s="210"/>
      <c r="J530" s="209"/>
    </row>
    <row r="531" spans="5:10">
      <c r="E531" s="208"/>
      <c r="F531" s="209"/>
      <c r="I531" s="210"/>
      <c r="J531" s="209"/>
    </row>
    <row r="532" spans="5:10">
      <c r="E532" s="208"/>
      <c r="F532" s="209"/>
      <c r="I532" s="210"/>
      <c r="J532" s="209"/>
    </row>
    <row r="533" spans="5:10">
      <c r="E533" s="208"/>
      <c r="F533" s="209"/>
      <c r="I533" s="210"/>
      <c r="J533" s="209"/>
    </row>
    <row r="534" spans="5:10">
      <c r="E534" s="208"/>
      <c r="F534" s="209"/>
      <c r="I534" s="210"/>
      <c r="J534" s="209"/>
    </row>
    <row r="535" spans="5:10">
      <c r="E535" s="208"/>
      <c r="F535" s="209"/>
      <c r="I535" s="210"/>
      <c r="J535" s="209"/>
    </row>
    <row r="536" spans="5:10">
      <c r="E536" s="208"/>
      <c r="F536" s="209"/>
      <c r="I536" s="210"/>
      <c r="J536" s="209"/>
    </row>
    <row r="537" spans="5:10">
      <c r="E537" s="208"/>
      <c r="F537" s="209"/>
      <c r="I537" s="210"/>
      <c r="J537" s="209"/>
    </row>
    <row r="538" spans="5:10">
      <c r="E538" s="208"/>
      <c r="F538" s="209"/>
      <c r="I538" s="210"/>
      <c r="J538" s="209"/>
    </row>
    <row r="539" spans="5:10">
      <c r="E539" s="208"/>
      <c r="F539" s="209"/>
      <c r="I539" s="210"/>
      <c r="J539" s="209"/>
    </row>
    <row r="540" spans="5:10">
      <c r="E540" s="208"/>
      <c r="F540" s="209"/>
      <c r="I540" s="210"/>
      <c r="J540" s="209"/>
    </row>
    <row r="541" spans="5:10">
      <c r="E541" s="208"/>
      <c r="F541" s="209"/>
      <c r="I541" s="210"/>
      <c r="J541" s="209"/>
    </row>
    <row r="542" spans="5:10">
      <c r="E542" s="208"/>
      <c r="F542" s="209"/>
      <c r="I542" s="210"/>
      <c r="J542" s="209"/>
    </row>
    <row r="543" spans="5:10">
      <c r="E543" s="208"/>
      <c r="F543" s="209"/>
      <c r="I543" s="210"/>
      <c r="J543" s="209"/>
    </row>
    <row r="544" spans="5:10">
      <c r="E544" s="208"/>
      <c r="F544" s="209"/>
      <c r="I544" s="210"/>
      <c r="J544" s="209"/>
    </row>
    <row r="545" spans="1:11">
      <c r="E545" s="208"/>
      <c r="F545" s="209"/>
      <c r="I545" s="210"/>
      <c r="J545" s="209"/>
    </row>
    <row r="546" spans="1:11">
      <c r="E546" s="208"/>
      <c r="F546" s="209"/>
      <c r="I546" s="210"/>
      <c r="J546" s="209"/>
    </row>
    <row r="547" spans="1:11">
      <c r="E547" s="208"/>
      <c r="F547" s="209"/>
      <c r="I547" s="210"/>
      <c r="J547" s="209"/>
    </row>
    <row r="548" spans="1:11">
      <c r="E548" s="208"/>
      <c r="F548" s="209"/>
      <c r="I548" s="210"/>
      <c r="J548" s="209"/>
    </row>
    <row r="549" spans="1:11">
      <c r="A549" s="138" t="s">
        <v>2326</v>
      </c>
      <c r="B549" s="138"/>
      <c r="C549" s="138"/>
      <c r="D549" s="138"/>
      <c r="E549" s="138"/>
      <c r="F549" s="138"/>
      <c r="G549" s="138"/>
      <c r="H549" s="138"/>
      <c r="I549" s="138" t="s">
        <v>2326</v>
      </c>
      <c r="J549" s="138"/>
      <c r="K549" s="138" t="s">
        <v>2326</v>
      </c>
    </row>
  </sheetData>
  <sortState xmlns:xlrd2="http://schemas.microsoft.com/office/spreadsheetml/2017/richdata2" ref="A2:K509">
    <sortCondition ref="A2:A509"/>
  </sortState>
  <phoneticPr fontId="11" type="noConversion"/>
  <hyperlinks>
    <hyperlink ref="C216" r:id="rId1" xr:uid="{B5D875A9-1045-4D23-9D2C-0620F97A0E5C}"/>
    <hyperlink ref="C257" r:id="rId2" xr:uid="{4C494DD3-6101-4B61-B1E9-ABC36282731F}"/>
    <hyperlink ref="C94" r:id="rId3" xr:uid="{CDD790E5-4D84-40C0-8AFB-68BC259E84E2}"/>
    <hyperlink ref="C25" r:id="rId4" xr:uid="{36B0C1FC-E4F7-41C9-BF73-788AB0A1F456}"/>
    <hyperlink ref="C290" r:id="rId5" xr:uid="{BF81BFEE-728D-4737-BAC6-3518B41B1181}"/>
    <hyperlink ref="C197" r:id="rId6" xr:uid="{FEC92779-2DEA-4448-82D8-0F7C80554880}"/>
    <hyperlink ref="C204" r:id="rId7" xr:uid="{25460644-6B62-4A2C-8B6C-F0DDDFAE9090}"/>
    <hyperlink ref="C525" r:id="rId8" xr:uid="{C0C81D84-E94E-4712-B85B-32F971C04E60}"/>
    <hyperlink ref="C526" r:id="rId9" xr:uid="{42579E68-8F85-4424-BB97-3C33ABC87B8F}"/>
    <hyperlink ref="C527" r:id="rId10" xr:uid="{E188B339-7C1A-46CB-A990-24B5D076F774}"/>
    <hyperlink ref="C489" r:id="rId11" xr:uid="{1CDBA8B5-2EA2-49B6-B712-8A2BCA8DF544}"/>
    <hyperlink ref="C490" r:id="rId12" xr:uid="{18994209-15BC-484E-A86C-9502CB010542}"/>
    <hyperlink ref="C486" r:id="rId13" xr:uid="{8308851F-59D9-4CDF-901B-742C392F10A6}"/>
    <hyperlink ref="C460" r:id="rId14" xr:uid="{FCED1B24-51BF-405A-8BA1-5C3AA9A2461A}"/>
  </hyperlinks>
  <pageMargins left="0.7" right="0.7" top="0.75" bottom="0.75" header="0.3" footer="0.3"/>
  <pageSetup paperSize="9" orientation="portrait" horizontalDpi="1200" verticalDpi="1200" r:id="rId15"/>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E2:E548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341CE-4905-48A2-A2C4-27087D6CC59D}">
  <sheetPr codeName="Sheet19"/>
  <dimension ref="A1:AD214"/>
  <sheetViews>
    <sheetView zoomScaleNormal="100" zoomScaleSheetLayoutView="100" workbookViewId="0">
      <pane xSplit="2" ySplit="1" topLeftCell="C2" activePane="bottomRight" state="frozen"/>
      <selection activeCell="C2" sqref="C2"/>
      <selection pane="topRight" activeCell="C2" sqref="C2"/>
      <selection pane="bottomLeft" activeCell="C2" sqref="C2"/>
      <selection pane="bottomRight" activeCell="B27" sqref="B27"/>
    </sheetView>
  </sheetViews>
  <sheetFormatPr defaultColWidth="8.75" defaultRowHeight="15.75"/>
  <cols>
    <col min="1" max="1" width="9.125" style="224" customWidth="1"/>
    <col min="2" max="2" width="32.625" style="224" customWidth="1"/>
    <col min="3" max="3" width="24.125" style="224" customWidth="1"/>
    <col min="4" max="4" width="19.5" style="224" customWidth="1"/>
    <col min="5" max="5" width="24.375" style="224" customWidth="1"/>
    <col min="6" max="7" width="12.875" style="224" customWidth="1"/>
    <col min="8" max="8" width="9" style="224" customWidth="1"/>
    <col min="9" max="30" width="12.875" style="224" customWidth="1"/>
    <col min="31" max="16384" width="8.75" style="224"/>
  </cols>
  <sheetData>
    <row r="1" spans="1:30" ht="16.5">
      <c r="A1" s="231" t="s">
        <v>4915</v>
      </c>
      <c r="B1" s="231" t="s">
        <v>4914</v>
      </c>
      <c r="C1" s="231" t="s">
        <v>4913</v>
      </c>
      <c r="D1" s="231" t="s">
        <v>4912</v>
      </c>
      <c r="E1" s="231" t="s">
        <v>4911</v>
      </c>
      <c r="F1" s="231" t="s">
        <v>4910</v>
      </c>
      <c r="G1" s="231"/>
      <c r="H1" s="231" t="s">
        <v>4909</v>
      </c>
      <c r="I1" s="231" t="s">
        <v>4908</v>
      </c>
      <c r="J1" s="231" t="s">
        <v>4907</v>
      </c>
      <c r="K1" s="231" t="s">
        <v>4906</v>
      </c>
      <c r="L1" s="230"/>
      <c r="M1" s="230"/>
      <c r="N1" s="230"/>
      <c r="O1" s="230"/>
      <c r="P1" s="230"/>
      <c r="Q1" s="230"/>
      <c r="R1" s="230"/>
      <c r="S1" s="230"/>
      <c r="T1" s="230"/>
      <c r="U1" s="230"/>
      <c r="V1" s="230"/>
      <c r="W1" s="230"/>
      <c r="X1" s="230"/>
      <c r="Y1" s="230"/>
      <c r="Z1" s="230"/>
      <c r="AA1" s="230"/>
      <c r="AB1" s="230"/>
      <c r="AC1" s="230"/>
      <c r="AD1" s="230"/>
    </row>
    <row r="2" spans="1:30" ht="16.5">
      <c r="A2" s="226" t="s">
        <v>4905</v>
      </c>
      <c r="B2" s="228" t="s">
        <v>4904</v>
      </c>
      <c r="C2" s="225"/>
      <c r="D2" s="225"/>
      <c r="E2" s="226"/>
      <c r="F2" s="226"/>
      <c r="G2" s="226"/>
      <c r="H2" s="226" t="s">
        <v>4893</v>
      </c>
      <c r="I2" s="225"/>
      <c r="J2" s="225"/>
      <c r="K2" s="225"/>
      <c r="L2" s="225"/>
      <c r="M2" s="225"/>
      <c r="N2" s="225"/>
      <c r="O2" s="225"/>
      <c r="P2" s="225"/>
      <c r="Q2" s="225"/>
      <c r="R2" s="225"/>
      <c r="S2" s="225"/>
      <c r="T2" s="225"/>
      <c r="U2" s="225"/>
      <c r="V2" s="225"/>
      <c r="W2" s="225"/>
      <c r="X2" s="225"/>
      <c r="Y2" s="225"/>
      <c r="Z2" s="225"/>
      <c r="AA2" s="225"/>
      <c r="AB2" s="225"/>
      <c r="AC2" s="225"/>
      <c r="AD2" s="225"/>
    </row>
    <row r="3" spans="1:30" ht="16.5">
      <c r="A3" s="226" t="s">
        <v>4903</v>
      </c>
      <c r="B3" s="226" t="s">
        <v>4902</v>
      </c>
      <c r="C3" s="226"/>
      <c r="D3" s="226" t="s">
        <v>4901</v>
      </c>
      <c r="E3" s="225"/>
      <c r="F3" s="225"/>
      <c r="G3" s="225"/>
      <c r="H3" s="225"/>
      <c r="I3" s="225"/>
      <c r="J3" s="225"/>
      <c r="K3" s="225"/>
      <c r="L3" s="225"/>
      <c r="M3" s="225"/>
      <c r="N3" s="225"/>
      <c r="O3" s="225"/>
      <c r="P3" s="225"/>
      <c r="Q3" s="225"/>
      <c r="R3" s="225"/>
      <c r="S3" s="225"/>
      <c r="T3" s="225"/>
      <c r="U3" s="225"/>
      <c r="V3" s="225"/>
      <c r="W3" s="225"/>
      <c r="X3" s="225"/>
      <c r="Y3" s="225"/>
      <c r="Z3" s="225"/>
      <c r="AA3" s="225"/>
      <c r="AB3" s="225"/>
      <c r="AC3" s="225"/>
      <c r="AD3" s="225"/>
    </row>
    <row r="4" spans="1:30" ht="16.5">
      <c r="A4" s="226" t="s">
        <v>4900</v>
      </c>
      <c r="B4" s="226" t="s">
        <v>4899</v>
      </c>
      <c r="C4" s="226"/>
      <c r="D4" s="226" t="s">
        <v>4898</v>
      </c>
      <c r="E4" s="225"/>
      <c r="F4" s="225"/>
      <c r="G4" s="225"/>
      <c r="H4" s="225"/>
      <c r="I4" s="225"/>
      <c r="J4" s="225"/>
      <c r="K4" s="225"/>
      <c r="L4" s="225"/>
      <c r="M4" s="225"/>
      <c r="N4" s="225"/>
      <c r="O4" s="225"/>
      <c r="P4" s="225"/>
      <c r="Q4" s="225"/>
      <c r="R4" s="225"/>
      <c r="S4" s="225"/>
      <c r="T4" s="225"/>
      <c r="U4" s="225"/>
      <c r="V4" s="225"/>
      <c r="W4" s="225"/>
      <c r="X4" s="225"/>
      <c r="Y4" s="225"/>
      <c r="Z4" s="225"/>
      <c r="AA4" s="225"/>
      <c r="AB4" s="225"/>
      <c r="AC4" s="225"/>
      <c r="AD4" s="225"/>
    </row>
    <row r="5" spans="1:30" ht="16.5">
      <c r="A5" s="226" t="s">
        <v>4897</v>
      </c>
      <c r="B5" s="226" t="s">
        <v>4896</v>
      </c>
      <c r="C5" s="225"/>
      <c r="D5" s="225"/>
      <c r="E5" s="226"/>
      <c r="F5" s="226"/>
      <c r="G5" s="226"/>
      <c r="H5" s="226" t="s">
        <v>4893</v>
      </c>
      <c r="I5" s="225"/>
      <c r="J5" s="225"/>
      <c r="K5" s="225"/>
      <c r="L5" s="225"/>
      <c r="M5" s="225"/>
      <c r="N5" s="225"/>
      <c r="O5" s="225"/>
      <c r="P5" s="225"/>
      <c r="Q5" s="225"/>
      <c r="R5" s="225"/>
      <c r="S5" s="225"/>
      <c r="T5" s="225"/>
      <c r="U5" s="225"/>
      <c r="V5" s="225"/>
      <c r="W5" s="225"/>
      <c r="X5" s="225"/>
      <c r="Y5" s="225"/>
      <c r="Z5" s="225"/>
      <c r="AA5" s="225"/>
      <c r="AB5" s="225"/>
      <c r="AC5" s="225"/>
      <c r="AD5" s="225"/>
    </row>
    <row r="6" spans="1:30" ht="16.5">
      <c r="A6" s="229" t="s">
        <v>4895</v>
      </c>
      <c r="B6" s="228" t="s">
        <v>4894</v>
      </c>
      <c r="C6" s="227"/>
      <c r="D6" s="227"/>
      <c r="E6" s="226"/>
      <c r="F6" s="226"/>
      <c r="G6" s="226"/>
      <c r="H6" s="226" t="s">
        <v>4893</v>
      </c>
      <c r="I6" s="225"/>
      <c r="J6" s="225"/>
      <c r="K6" s="225"/>
      <c r="L6" s="225"/>
      <c r="M6" s="225"/>
      <c r="N6" s="225"/>
      <c r="O6" s="225"/>
      <c r="P6" s="225"/>
      <c r="Q6" s="225"/>
      <c r="R6" s="225"/>
      <c r="S6" s="225"/>
      <c r="T6" s="225"/>
      <c r="U6" s="225"/>
      <c r="V6" s="225"/>
      <c r="W6" s="225"/>
      <c r="X6" s="225"/>
      <c r="Y6" s="225"/>
      <c r="Z6" s="225"/>
      <c r="AA6" s="225"/>
      <c r="AB6" s="225"/>
      <c r="AC6" s="225"/>
      <c r="AD6" s="225"/>
    </row>
    <row r="7" spans="1:30" ht="16.5">
      <c r="A7" s="226" t="s">
        <v>4892</v>
      </c>
      <c r="B7" s="226" t="s">
        <v>4891</v>
      </c>
      <c r="C7" s="225"/>
      <c r="D7" s="225"/>
      <c r="E7" s="225"/>
      <c r="F7" s="225"/>
      <c r="G7" s="225"/>
      <c r="H7" s="225"/>
      <c r="I7" s="225"/>
      <c r="J7" s="225"/>
      <c r="K7" s="225"/>
      <c r="L7" s="225"/>
      <c r="M7" s="225"/>
      <c r="N7" s="225"/>
      <c r="O7" s="225"/>
      <c r="P7" s="225"/>
      <c r="Q7" s="225"/>
      <c r="R7" s="225"/>
      <c r="S7" s="225"/>
      <c r="T7" s="225"/>
      <c r="U7" s="225"/>
      <c r="V7" s="225"/>
      <c r="W7" s="225"/>
      <c r="X7" s="225"/>
      <c r="Y7" s="225"/>
      <c r="Z7" s="225"/>
      <c r="AA7" s="225"/>
      <c r="AB7" s="225"/>
      <c r="AC7" s="225"/>
      <c r="AD7" s="225"/>
    </row>
    <row r="8" spans="1:30" ht="16.5">
      <c r="A8" s="226" t="s">
        <v>4890</v>
      </c>
      <c r="B8" s="226" t="s">
        <v>4889</v>
      </c>
      <c r="C8" s="226" t="s">
        <v>4888</v>
      </c>
      <c r="D8" s="226" t="s">
        <v>4887</v>
      </c>
      <c r="E8" s="225"/>
      <c r="F8" s="225"/>
      <c r="G8" s="225"/>
      <c r="H8" s="225"/>
      <c r="I8" s="225"/>
      <c r="J8" s="225"/>
      <c r="K8" s="225"/>
      <c r="L8" s="225"/>
      <c r="M8" s="225"/>
      <c r="N8" s="225"/>
      <c r="O8" s="225"/>
      <c r="P8" s="225"/>
      <c r="Q8" s="225"/>
      <c r="R8" s="225"/>
      <c r="S8" s="225"/>
      <c r="T8" s="225"/>
      <c r="U8" s="225"/>
      <c r="V8" s="225"/>
      <c r="W8" s="225"/>
      <c r="X8" s="225"/>
      <c r="Y8" s="225"/>
      <c r="Z8" s="225"/>
      <c r="AA8" s="225"/>
      <c r="AB8" s="225"/>
      <c r="AC8" s="225"/>
      <c r="AD8" s="225"/>
    </row>
    <row r="9" spans="1:30" ht="16.5">
      <c r="A9" s="226" t="s">
        <v>4886</v>
      </c>
      <c r="B9" s="226" t="s">
        <v>4885</v>
      </c>
      <c r="C9" s="226"/>
      <c r="D9" s="226" t="s">
        <v>4865</v>
      </c>
      <c r="E9" s="225"/>
      <c r="F9" s="225"/>
      <c r="G9" s="225"/>
      <c r="H9" s="225"/>
      <c r="I9" s="225"/>
      <c r="J9" s="225"/>
      <c r="K9" s="225"/>
      <c r="L9" s="225"/>
      <c r="M9" s="225"/>
      <c r="N9" s="225"/>
      <c r="O9" s="225"/>
      <c r="P9" s="225"/>
      <c r="Q9" s="225"/>
      <c r="R9" s="225"/>
      <c r="S9" s="225"/>
      <c r="T9" s="225"/>
      <c r="U9" s="225"/>
      <c r="V9" s="225"/>
      <c r="W9" s="225"/>
      <c r="X9" s="225"/>
      <c r="Y9" s="225"/>
      <c r="Z9" s="225"/>
      <c r="AA9" s="225"/>
      <c r="AB9" s="225"/>
      <c r="AC9" s="225"/>
      <c r="AD9" s="225"/>
    </row>
    <row r="10" spans="1:30" ht="16.5">
      <c r="A10" s="226" t="s">
        <v>4884</v>
      </c>
      <c r="B10" s="226" t="s">
        <v>4883</v>
      </c>
      <c r="C10" s="226"/>
      <c r="D10" s="226" t="s">
        <v>4861</v>
      </c>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row>
    <row r="11" spans="1:30" ht="16.5">
      <c r="A11" s="226" t="s">
        <v>4882</v>
      </c>
      <c r="B11" s="226" t="s">
        <v>4859</v>
      </c>
      <c r="C11" s="225"/>
      <c r="D11" s="226" t="s">
        <v>4881</v>
      </c>
      <c r="E11" s="226" t="s">
        <v>4880</v>
      </c>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row>
    <row r="12" spans="1:30" ht="16.5">
      <c r="A12" s="226" t="s">
        <v>4879</v>
      </c>
      <c r="B12" s="226" t="s">
        <v>4878</v>
      </c>
      <c r="C12" s="225"/>
      <c r="D12" s="226" t="s">
        <v>4877</v>
      </c>
      <c r="E12" s="225"/>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row>
    <row r="13" spans="1:30" ht="16.5">
      <c r="A13" s="226" t="s">
        <v>4876</v>
      </c>
      <c r="B13" s="226" t="s">
        <v>4875</v>
      </c>
      <c r="C13" s="225"/>
      <c r="D13" s="226" t="s">
        <v>4874</v>
      </c>
      <c r="E13" s="225"/>
      <c r="F13" s="225"/>
      <c r="G13" s="225"/>
      <c r="H13" s="225"/>
      <c r="I13" s="225"/>
      <c r="J13" s="225"/>
      <c r="K13" s="225">
        <v>2</v>
      </c>
      <c r="L13" s="225"/>
      <c r="M13" s="225"/>
      <c r="N13" s="225"/>
      <c r="O13" s="225"/>
      <c r="P13" s="225"/>
      <c r="Q13" s="225"/>
      <c r="R13" s="225"/>
      <c r="S13" s="225"/>
      <c r="T13" s="225"/>
      <c r="U13" s="225"/>
      <c r="V13" s="225"/>
      <c r="W13" s="225"/>
      <c r="X13" s="225"/>
      <c r="Y13" s="225"/>
      <c r="Z13" s="225"/>
      <c r="AA13" s="225"/>
      <c r="AB13" s="225"/>
      <c r="AC13" s="225"/>
      <c r="AD13" s="225"/>
    </row>
    <row r="14" spans="1:30" ht="16.5">
      <c r="A14" s="226" t="s">
        <v>4873</v>
      </c>
      <c r="B14" s="226" t="s">
        <v>4872</v>
      </c>
      <c r="C14" s="226" t="s">
        <v>4871</v>
      </c>
      <c r="D14" s="226" t="s">
        <v>4870</v>
      </c>
      <c r="E14" s="225"/>
      <c r="F14" s="225"/>
      <c r="G14" s="225"/>
      <c r="H14" s="225"/>
      <c r="I14" s="225"/>
      <c r="J14" s="225"/>
      <c r="K14" s="225">
        <v>2</v>
      </c>
      <c r="L14" s="225"/>
      <c r="M14" s="225"/>
      <c r="N14" s="225"/>
      <c r="O14" s="225"/>
      <c r="P14" s="225"/>
      <c r="Q14" s="225"/>
      <c r="R14" s="225"/>
      <c r="S14" s="225"/>
      <c r="T14" s="225"/>
      <c r="U14" s="225"/>
      <c r="V14" s="225"/>
      <c r="W14" s="225"/>
      <c r="X14" s="225"/>
      <c r="Y14" s="225"/>
      <c r="Z14" s="225"/>
      <c r="AA14" s="225"/>
      <c r="AB14" s="225"/>
      <c r="AC14" s="225"/>
      <c r="AD14" s="225"/>
    </row>
    <row r="15" spans="1:30" ht="16.5">
      <c r="A15" s="226" t="s">
        <v>4869</v>
      </c>
      <c r="B15" s="226" t="s">
        <v>4868</v>
      </c>
      <c r="C15" s="225"/>
      <c r="D15" s="225"/>
      <c r="E15" s="225"/>
      <c r="F15" s="225"/>
      <c r="G15" s="225"/>
      <c r="H15" s="225"/>
      <c r="I15" s="225"/>
      <c r="J15" s="225"/>
      <c r="K15" s="225">
        <v>2</v>
      </c>
      <c r="L15" s="225"/>
      <c r="M15" s="225"/>
      <c r="N15" s="225"/>
      <c r="O15" s="225"/>
      <c r="P15" s="225"/>
      <c r="Q15" s="225"/>
      <c r="R15" s="225"/>
      <c r="S15" s="225"/>
      <c r="T15" s="225"/>
      <c r="U15" s="225"/>
      <c r="V15" s="225"/>
      <c r="W15" s="225"/>
      <c r="X15" s="225"/>
      <c r="Y15" s="225"/>
      <c r="Z15" s="225"/>
      <c r="AA15" s="225"/>
      <c r="AB15" s="225"/>
      <c r="AC15" s="225"/>
      <c r="AD15" s="225"/>
    </row>
    <row r="16" spans="1:30" ht="16.5">
      <c r="A16" s="226" t="s">
        <v>4867</v>
      </c>
      <c r="B16" s="226" t="s">
        <v>4866</v>
      </c>
      <c r="C16" s="225"/>
      <c r="D16" s="226" t="s">
        <v>4865</v>
      </c>
      <c r="E16" s="225"/>
      <c r="F16" s="225"/>
      <c r="G16" s="225"/>
      <c r="H16" s="225"/>
      <c r="I16" s="225"/>
      <c r="J16" s="225"/>
      <c r="K16" s="225">
        <v>2</v>
      </c>
      <c r="L16" s="225"/>
      <c r="M16" s="225"/>
      <c r="N16" s="225"/>
      <c r="O16" s="225"/>
      <c r="P16" s="225"/>
      <c r="Q16" s="225"/>
      <c r="R16" s="225"/>
      <c r="S16" s="225"/>
      <c r="T16" s="225"/>
      <c r="U16" s="225"/>
      <c r="V16" s="225"/>
      <c r="W16" s="225"/>
      <c r="X16" s="225"/>
      <c r="Y16" s="225"/>
      <c r="Z16" s="225"/>
      <c r="AA16" s="225"/>
      <c r="AB16" s="225"/>
      <c r="AC16" s="225"/>
      <c r="AD16" s="225"/>
    </row>
    <row r="17" spans="1:30" ht="16.5">
      <c r="A17" s="226" t="s">
        <v>4864</v>
      </c>
      <c r="B17" s="226" t="s">
        <v>4863</v>
      </c>
      <c r="C17" s="226" t="s">
        <v>4862</v>
      </c>
      <c r="D17" s="226" t="s">
        <v>4861</v>
      </c>
      <c r="E17" s="225"/>
      <c r="F17" s="225"/>
      <c r="G17" s="225"/>
      <c r="H17" s="225"/>
      <c r="I17" s="225"/>
      <c r="J17" s="225"/>
      <c r="K17" s="225">
        <v>2</v>
      </c>
      <c r="L17" s="225"/>
      <c r="M17" s="225"/>
      <c r="N17" s="225"/>
      <c r="O17" s="225"/>
      <c r="P17" s="225"/>
      <c r="Q17" s="225"/>
      <c r="R17" s="225"/>
      <c r="S17" s="225"/>
      <c r="T17" s="225"/>
      <c r="U17" s="225"/>
      <c r="V17" s="225"/>
      <c r="W17" s="225"/>
      <c r="X17" s="225"/>
      <c r="Y17" s="225"/>
      <c r="Z17" s="225"/>
      <c r="AA17" s="225"/>
      <c r="AB17" s="225"/>
      <c r="AC17" s="225"/>
      <c r="AD17" s="225"/>
    </row>
    <row r="18" spans="1:30" ht="16.5">
      <c r="A18" s="226" t="s">
        <v>4860</v>
      </c>
      <c r="B18" s="226" t="s">
        <v>4859</v>
      </c>
      <c r="C18" s="225"/>
      <c r="D18" s="226" t="s">
        <v>4858</v>
      </c>
      <c r="E18" s="226" t="s">
        <v>4857</v>
      </c>
      <c r="F18" s="225"/>
      <c r="G18" s="225"/>
      <c r="H18" s="225"/>
      <c r="I18" s="225"/>
      <c r="J18" s="225"/>
      <c r="K18" s="225">
        <v>2</v>
      </c>
      <c r="L18" s="225"/>
      <c r="M18" s="225"/>
      <c r="N18" s="225"/>
      <c r="O18" s="225"/>
      <c r="P18" s="225"/>
      <c r="Q18" s="225"/>
      <c r="R18" s="225"/>
      <c r="S18" s="225"/>
      <c r="T18" s="225"/>
      <c r="U18" s="225"/>
      <c r="V18" s="225"/>
      <c r="W18" s="225"/>
      <c r="X18" s="225"/>
      <c r="Y18" s="225"/>
      <c r="Z18" s="225"/>
      <c r="AA18" s="225"/>
      <c r="AB18" s="225"/>
      <c r="AC18" s="225"/>
      <c r="AD18" s="225"/>
    </row>
    <row r="19" spans="1:30" ht="16.5">
      <c r="A19" s="225"/>
      <c r="B19" s="225"/>
      <c r="C19" s="225"/>
      <c r="D19" s="225"/>
      <c r="E19" s="225"/>
      <c r="F19" s="225"/>
      <c r="G19" s="225"/>
      <c r="H19" s="225"/>
      <c r="I19" s="225"/>
      <c r="J19" s="225"/>
      <c r="K19" s="225"/>
      <c r="L19" s="225"/>
      <c r="M19" s="225"/>
      <c r="N19" s="225"/>
      <c r="O19" s="225"/>
      <c r="P19" s="225"/>
      <c r="Q19" s="225"/>
      <c r="R19" s="225"/>
      <c r="S19" s="225"/>
      <c r="T19" s="225"/>
      <c r="U19" s="225"/>
      <c r="V19" s="225"/>
      <c r="W19" s="225"/>
      <c r="X19" s="225"/>
      <c r="Y19" s="225"/>
      <c r="Z19" s="225"/>
      <c r="AA19" s="225"/>
      <c r="AB19" s="225"/>
      <c r="AC19" s="225"/>
      <c r="AD19" s="225"/>
    </row>
    <row r="20" spans="1:30" ht="16.5">
      <c r="A20" s="225"/>
      <c r="B20" s="225"/>
      <c r="C20" s="225"/>
      <c r="D20" s="225"/>
      <c r="E20" s="225"/>
      <c r="F20" s="225"/>
      <c r="G20" s="225"/>
      <c r="H20" s="225"/>
      <c r="I20" s="225"/>
      <c r="J20" s="225"/>
      <c r="K20" s="225"/>
      <c r="L20" s="225"/>
      <c r="M20" s="225"/>
      <c r="N20" s="225"/>
      <c r="O20" s="225"/>
      <c r="P20" s="225"/>
      <c r="Q20" s="225"/>
      <c r="R20" s="225"/>
      <c r="S20" s="225"/>
      <c r="T20" s="225"/>
      <c r="U20" s="225"/>
      <c r="V20" s="225"/>
      <c r="W20" s="225"/>
      <c r="X20" s="225"/>
      <c r="Y20" s="225"/>
      <c r="Z20" s="225"/>
      <c r="AA20" s="225"/>
      <c r="AB20" s="225"/>
      <c r="AC20" s="225"/>
      <c r="AD20" s="225"/>
    </row>
    <row r="21" spans="1:30" customFormat="1">
      <c r="E21" s="224"/>
      <c r="F21" s="224"/>
      <c r="H21" s="89"/>
    </row>
    <row r="22" spans="1:30" customFormat="1">
      <c r="A22" t="s">
        <v>3958</v>
      </c>
      <c r="B22" t="s">
        <v>2686</v>
      </c>
      <c r="C22" t="s">
        <v>3959</v>
      </c>
      <c r="D22" t="s">
        <v>3962</v>
      </c>
      <c r="E22" s="224"/>
      <c r="F22" s="224"/>
      <c r="H22" s="89"/>
    </row>
    <row r="23" spans="1:30" customFormat="1">
      <c r="E23" s="224"/>
      <c r="F23" s="224"/>
      <c r="H23" s="89"/>
    </row>
    <row r="24" spans="1:30" customFormat="1">
      <c r="E24" s="224"/>
      <c r="F24" s="224"/>
      <c r="G24" s="55"/>
      <c r="H24" s="89"/>
    </row>
    <row r="25" spans="1:30" customFormat="1">
      <c r="A25" t="s">
        <v>3961</v>
      </c>
      <c r="B25" t="s">
        <v>2686</v>
      </c>
      <c r="C25" t="s">
        <v>3963</v>
      </c>
      <c r="D25" t="s">
        <v>3960</v>
      </c>
      <c r="E25" s="224"/>
      <c r="F25" s="224"/>
      <c r="H25" s="89"/>
    </row>
    <row r="26" spans="1:30" customFormat="1" ht="14.25">
      <c r="C26" s="89"/>
      <c r="H26" s="89"/>
    </row>
    <row r="27" spans="1:30" customFormat="1" ht="14.25">
      <c r="C27" s="89"/>
      <c r="H27" s="89"/>
    </row>
    <row r="28" spans="1:30" customFormat="1" ht="14.25">
      <c r="C28" s="89"/>
      <c r="H28" s="89"/>
    </row>
    <row r="29" spans="1:30" customFormat="1" ht="14.25">
      <c r="C29" s="89"/>
      <c r="H29" s="89"/>
    </row>
    <row r="30" spans="1:30" customFormat="1" ht="14.25">
      <c r="C30" s="89"/>
      <c r="H30" s="89"/>
    </row>
    <row r="31" spans="1:30" ht="16.5">
      <c r="A31" s="225"/>
      <c r="B31" s="225"/>
      <c r="C31" s="225"/>
      <c r="D31" s="225"/>
      <c r="E31" s="225"/>
      <c r="F31" s="225"/>
      <c r="G31" s="225"/>
      <c r="H31" s="225"/>
      <c r="I31" s="225"/>
      <c r="J31" s="225"/>
      <c r="K31" s="225"/>
      <c r="L31" s="225"/>
      <c r="M31" s="225"/>
      <c r="N31" s="225"/>
      <c r="O31" s="225"/>
      <c r="P31" s="225"/>
      <c r="Q31" s="225"/>
      <c r="R31" s="225"/>
      <c r="S31" s="225"/>
      <c r="T31" s="225"/>
      <c r="U31" s="225"/>
      <c r="V31" s="225"/>
      <c r="W31" s="225"/>
      <c r="X31" s="225"/>
      <c r="Y31" s="225"/>
      <c r="Z31" s="225"/>
      <c r="AA31" s="225"/>
      <c r="AB31" s="225"/>
      <c r="AC31" s="225"/>
      <c r="AD31" s="225"/>
    </row>
    <row r="32" spans="1:30" ht="16.5">
      <c r="A32" s="225"/>
      <c r="B32" s="225"/>
      <c r="C32" s="225"/>
      <c r="D32" s="225"/>
      <c r="E32" s="225"/>
      <c r="F32" s="225"/>
      <c r="G32" s="225"/>
      <c r="H32" s="225"/>
      <c r="I32" s="225"/>
      <c r="J32" s="225"/>
      <c r="K32" s="225"/>
      <c r="L32" s="225"/>
      <c r="M32" s="225"/>
      <c r="N32" s="225"/>
      <c r="O32" s="225"/>
      <c r="P32" s="225"/>
      <c r="Q32" s="225"/>
      <c r="R32" s="225"/>
      <c r="S32" s="225"/>
      <c r="T32" s="225"/>
      <c r="U32" s="225"/>
      <c r="V32" s="225"/>
      <c r="W32" s="225"/>
      <c r="X32" s="225"/>
      <c r="Y32" s="225"/>
      <c r="Z32" s="225"/>
      <c r="AA32" s="225"/>
      <c r="AB32" s="225"/>
      <c r="AC32" s="225"/>
      <c r="AD32" s="225"/>
    </row>
    <row r="33" spans="1:30" ht="16.5">
      <c r="A33" s="225"/>
      <c r="B33" s="225"/>
      <c r="C33" s="225"/>
      <c r="D33" s="225"/>
      <c r="E33" s="225"/>
      <c r="F33" s="225"/>
      <c r="G33" s="225"/>
      <c r="H33" s="225"/>
      <c r="I33" s="225"/>
      <c r="J33" s="225"/>
      <c r="K33" s="225"/>
      <c r="L33" s="225"/>
      <c r="M33" s="225"/>
      <c r="N33" s="225"/>
      <c r="O33" s="225"/>
      <c r="P33" s="225"/>
      <c r="Q33" s="225"/>
      <c r="R33" s="225"/>
      <c r="S33" s="225"/>
      <c r="T33" s="225"/>
      <c r="U33" s="225"/>
      <c r="V33" s="225"/>
      <c r="W33" s="225"/>
      <c r="X33" s="225"/>
      <c r="Y33" s="225"/>
      <c r="Z33" s="225"/>
      <c r="AA33" s="225"/>
      <c r="AB33" s="225"/>
      <c r="AC33" s="225"/>
      <c r="AD33" s="225"/>
    </row>
    <row r="34" spans="1:30" ht="16.5">
      <c r="A34" s="225"/>
      <c r="B34" s="225"/>
      <c r="C34" s="225"/>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row>
    <row r="35" spans="1:30" ht="16.5">
      <c r="A35" s="225"/>
      <c r="B35" s="225"/>
      <c r="C35" s="225"/>
      <c r="D35" s="225"/>
      <c r="E35" s="225"/>
      <c r="F35" s="225"/>
      <c r="G35" s="225"/>
      <c r="H35" s="225"/>
      <c r="I35" s="225"/>
      <c r="J35" s="225"/>
      <c r="K35" s="225"/>
      <c r="L35" s="225"/>
      <c r="M35" s="225"/>
      <c r="N35" s="225"/>
      <c r="O35" s="225"/>
      <c r="P35" s="225"/>
      <c r="Q35" s="225"/>
      <c r="R35" s="225"/>
      <c r="S35" s="225"/>
      <c r="T35" s="225"/>
      <c r="U35" s="225"/>
      <c r="V35" s="225"/>
      <c r="W35" s="225"/>
      <c r="X35" s="225"/>
      <c r="Y35" s="225"/>
      <c r="Z35" s="225"/>
      <c r="AA35" s="225"/>
      <c r="AB35" s="225"/>
      <c r="AC35" s="225"/>
      <c r="AD35" s="225"/>
    </row>
    <row r="36" spans="1:30" ht="16.5">
      <c r="A36" s="225"/>
      <c r="B36" s="225"/>
      <c r="C36" s="225"/>
      <c r="D36" s="225"/>
      <c r="E36" s="225"/>
      <c r="F36" s="225"/>
      <c r="G36" s="225"/>
      <c r="H36" s="225"/>
      <c r="I36" s="225"/>
      <c r="J36" s="225"/>
      <c r="K36" s="225"/>
      <c r="L36" s="225"/>
      <c r="M36" s="225"/>
      <c r="N36" s="225"/>
      <c r="O36" s="225"/>
      <c r="P36" s="225"/>
      <c r="Q36" s="225"/>
      <c r="R36" s="225"/>
      <c r="S36" s="225"/>
      <c r="T36" s="225"/>
      <c r="U36" s="225"/>
      <c r="V36" s="225"/>
      <c r="W36" s="225"/>
      <c r="X36" s="225"/>
      <c r="Y36" s="225"/>
      <c r="Z36" s="225"/>
      <c r="AA36" s="225"/>
      <c r="AB36" s="225"/>
      <c r="AC36" s="225"/>
      <c r="AD36" s="225"/>
    </row>
    <row r="37" spans="1:30" ht="16.5">
      <c r="A37" s="225"/>
      <c r="B37" s="225"/>
      <c r="C37" s="225"/>
      <c r="D37" s="225"/>
      <c r="E37" s="225"/>
      <c r="F37" s="225"/>
      <c r="G37" s="225"/>
      <c r="H37" s="225"/>
      <c r="I37" s="225"/>
      <c r="J37" s="225"/>
      <c r="K37" s="225"/>
      <c r="L37" s="225"/>
      <c r="M37" s="225"/>
      <c r="N37" s="225"/>
      <c r="O37" s="225"/>
      <c r="P37" s="225"/>
      <c r="Q37" s="225"/>
      <c r="R37" s="225"/>
      <c r="S37" s="225"/>
      <c r="T37" s="225"/>
      <c r="U37" s="225"/>
      <c r="V37" s="225"/>
      <c r="W37" s="225"/>
      <c r="X37" s="225"/>
      <c r="Y37" s="225"/>
      <c r="Z37" s="225"/>
      <c r="AA37" s="225"/>
      <c r="AB37" s="225"/>
      <c r="AC37" s="225"/>
      <c r="AD37" s="225"/>
    </row>
    <row r="38" spans="1:30" ht="16.5">
      <c r="A38" s="225"/>
      <c r="B38" s="225"/>
      <c r="C38" s="225"/>
      <c r="D38" s="225"/>
      <c r="E38" s="225"/>
      <c r="F38" s="225"/>
      <c r="G38" s="225"/>
      <c r="H38" s="225"/>
      <c r="I38" s="225"/>
      <c r="J38" s="225"/>
      <c r="K38" s="225"/>
      <c r="L38" s="225"/>
      <c r="M38" s="225"/>
      <c r="N38" s="225"/>
      <c r="O38" s="225"/>
      <c r="P38" s="225"/>
      <c r="Q38" s="225"/>
      <c r="R38" s="225"/>
      <c r="S38" s="225"/>
      <c r="T38" s="225"/>
      <c r="U38" s="225"/>
      <c r="V38" s="225"/>
      <c r="W38" s="225"/>
      <c r="X38" s="225"/>
      <c r="Y38" s="225"/>
      <c r="Z38" s="225"/>
      <c r="AA38" s="225"/>
      <c r="AB38" s="225"/>
      <c r="AC38" s="225"/>
      <c r="AD38" s="225"/>
    </row>
    <row r="39" spans="1:30" ht="16.5">
      <c r="A39" s="225"/>
      <c r="B39" s="225"/>
      <c r="C39" s="225"/>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row>
    <row r="40" spans="1:30" ht="16.5">
      <c r="A40" s="225"/>
      <c r="B40" s="225"/>
      <c r="C40" s="225"/>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row>
    <row r="41" spans="1:30" ht="16.5">
      <c r="A41" s="225"/>
      <c r="B41" s="225"/>
      <c r="C41" s="225"/>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25"/>
      <c r="AD41" s="225"/>
    </row>
    <row r="42" spans="1:30" ht="16.5">
      <c r="A42" s="225"/>
      <c r="B42" s="225"/>
      <c r="C42" s="225"/>
      <c r="D42" s="225"/>
      <c r="E42" s="225"/>
      <c r="F42" s="225"/>
      <c r="G42" s="225"/>
      <c r="H42" s="225"/>
      <c r="I42" s="225"/>
      <c r="J42" s="225"/>
      <c r="K42" s="225"/>
      <c r="L42" s="225"/>
      <c r="M42" s="225"/>
      <c r="N42" s="225"/>
      <c r="O42" s="225"/>
      <c r="P42" s="225"/>
      <c r="Q42" s="225"/>
      <c r="R42" s="225"/>
      <c r="S42" s="225"/>
      <c r="T42" s="225"/>
      <c r="U42" s="225"/>
      <c r="V42" s="225"/>
      <c r="W42" s="225"/>
      <c r="X42" s="225"/>
      <c r="Y42" s="225"/>
      <c r="Z42" s="225"/>
      <c r="AA42" s="225"/>
      <c r="AB42" s="225"/>
      <c r="AC42" s="225"/>
      <c r="AD42" s="225"/>
    </row>
    <row r="43" spans="1:30" ht="16.5">
      <c r="A43" s="225"/>
      <c r="B43" s="225"/>
      <c r="C43" s="225"/>
      <c r="D43" s="225"/>
      <c r="E43" s="225"/>
      <c r="F43" s="225"/>
      <c r="G43" s="225"/>
      <c r="H43" s="225"/>
      <c r="I43" s="225"/>
      <c r="J43" s="225"/>
      <c r="K43" s="225"/>
      <c r="L43" s="225"/>
      <c r="M43" s="225"/>
      <c r="N43" s="225"/>
      <c r="O43" s="225"/>
      <c r="P43" s="225"/>
      <c r="Q43" s="225"/>
      <c r="R43" s="225"/>
      <c r="S43" s="225"/>
      <c r="T43" s="225"/>
      <c r="U43" s="225"/>
      <c r="V43" s="225"/>
      <c r="W43" s="225"/>
      <c r="X43" s="225"/>
      <c r="Y43" s="225"/>
      <c r="Z43" s="225"/>
      <c r="AA43" s="225"/>
      <c r="AB43" s="225"/>
      <c r="AC43" s="225"/>
      <c r="AD43" s="225"/>
    </row>
    <row r="44" spans="1:30" ht="16.5">
      <c r="A44" s="225"/>
      <c r="B44" s="225"/>
      <c r="C44" s="225"/>
      <c r="D44" s="225"/>
      <c r="E44" s="225"/>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row>
    <row r="45" spans="1:30" ht="16.5">
      <c r="A45" s="225"/>
      <c r="B45" s="225"/>
      <c r="C45" s="225"/>
      <c r="D45" s="225"/>
      <c r="E45" s="225"/>
      <c r="F45" s="225"/>
      <c r="G45" s="225"/>
      <c r="H45" s="225"/>
      <c r="I45" s="225"/>
      <c r="J45" s="225"/>
      <c r="K45" s="225"/>
      <c r="L45" s="225"/>
      <c r="M45" s="225"/>
      <c r="N45" s="225"/>
      <c r="O45" s="225"/>
      <c r="P45" s="225"/>
      <c r="Q45" s="225"/>
      <c r="R45" s="225"/>
      <c r="S45" s="225"/>
      <c r="T45" s="225"/>
      <c r="U45" s="225"/>
      <c r="V45" s="225"/>
      <c r="W45" s="225"/>
      <c r="X45" s="225"/>
      <c r="Y45" s="225"/>
      <c r="Z45" s="225"/>
      <c r="AA45" s="225"/>
      <c r="AB45" s="225"/>
      <c r="AC45" s="225"/>
      <c r="AD45" s="225"/>
    </row>
    <row r="46" spans="1:30" ht="16.5">
      <c r="A46" s="225"/>
      <c r="B46" s="225"/>
      <c r="C46" s="225"/>
      <c r="D46" s="225"/>
      <c r="E46" s="225"/>
      <c r="F46" s="225"/>
      <c r="G46" s="225"/>
      <c r="H46" s="225"/>
      <c r="I46" s="225"/>
      <c r="J46" s="225"/>
      <c r="K46" s="225"/>
      <c r="L46" s="225"/>
      <c r="M46" s="225"/>
      <c r="N46" s="225"/>
      <c r="O46" s="225"/>
      <c r="P46" s="225"/>
      <c r="Q46" s="225"/>
      <c r="R46" s="225"/>
      <c r="S46" s="225"/>
      <c r="T46" s="225"/>
      <c r="U46" s="225"/>
      <c r="V46" s="225"/>
      <c r="W46" s="225"/>
      <c r="X46" s="225"/>
      <c r="Y46" s="225"/>
      <c r="Z46" s="225"/>
      <c r="AA46" s="225"/>
      <c r="AB46" s="225"/>
      <c r="AC46" s="225"/>
      <c r="AD46" s="225"/>
    </row>
    <row r="47" spans="1:30" ht="16.5">
      <c r="A47" s="225"/>
      <c r="B47" s="225"/>
      <c r="C47" s="225"/>
      <c r="D47" s="225"/>
      <c r="E47" s="225"/>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row>
    <row r="48" spans="1:30" ht="16.5">
      <c r="A48" s="225"/>
      <c r="B48" s="225"/>
      <c r="C48" s="225"/>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5"/>
      <c r="AD48" s="225"/>
    </row>
    <row r="49" spans="1:30" ht="16.5">
      <c r="A49" s="225"/>
      <c r="B49" s="225"/>
      <c r="C49" s="225"/>
      <c r="D49" s="225"/>
      <c r="E49" s="225"/>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row>
    <row r="50" spans="1:30" ht="16.5">
      <c r="A50" s="225"/>
      <c r="B50" s="225"/>
      <c r="C50" s="225"/>
      <c r="D50" s="225"/>
      <c r="E50" s="225"/>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row>
    <row r="51" spans="1:30" ht="16.5">
      <c r="A51" s="225"/>
      <c r="B51" s="225"/>
      <c r="C51" s="225"/>
      <c r="D51" s="225"/>
      <c r="E51" s="225"/>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row>
    <row r="52" spans="1:30" ht="16.5">
      <c r="A52" s="225"/>
      <c r="B52" s="225"/>
      <c r="C52" s="225"/>
      <c r="D52" s="225"/>
      <c r="E52" s="225"/>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row>
    <row r="53" spans="1:30" ht="16.5">
      <c r="A53" s="225"/>
      <c r="B53" s="225"/>
      <c r="C53" s="225"/>
      <c r="D53" s="225"/>
      <c r="E53" s="225"/>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row>
    <row r="54" spans="1:30" ht="16.5">
      <c r="A54" s="225"/>
      <c r="B54" s="225"/>
      <c r="C54" s="225"/>
      <c r="D54" s="225"/>
      <c r="E54" s="225"/>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row>
    <row r="55" spans="1:30" ht="16.5">
      <c r="A55" s="225"/>
      <c r="B55" s="225"/>
      <c r="C55" s="225"/>
      <c r="D55" s="225"/>
      <c r="E55" s="225"/>
      <c r="F55" s="225"/>
      <c r="G55" s="225"/>
      <c r="H55" s="225"/>
      <c r="I55" s="225"/>
      <c r="J55" s="225"/>
      <c r="K55" s="225"/>
      <c r="L55" s="225"/>
      <c r="M55" s="225"/>
      <c r="N55" s="225"/>
      <c r="O55" s="225"/>
      <c r="P55" s="225"/>
      <c r="Q55" s="225"/>
      <c r="R55" s="225"/>
      <c r="S55" s="225"/>
      <c r="T55" s="225"/>
      <c r="U55" s="225"/>
      <c r="V55" s="225"/>
      <c r="W55" s="225"/>
      <c r="X55" s="225"/>
      <c r="Y55" s="225"/>
      <c r="Z55" s="225"/>
      <c r="AA55" s="225"/>
      <c r="AB55" s="225"/>
      <c r="AC55" s="225"/>
      <c r="AD55" s="225"/>
    </row>
    <row r="56" spans="1:30" ht="16.5">
      <c r="A56" s="225"/>
      <c r="B56" s="225"/>
      <c r="C56" s="225"/>
      <c r="D56" s="225"/>
      <c r="E56" s="225"/>
      <c r="F56" s="225"/>
      <c r="G56" s="225"/>
      <c r="H56" s="225"/>
      <c r="I56" s="225"/>
      <c r="J56" s="225"/>
      <c r="K56" s="225"/>
      <c r="L56" s="225"/>
      <c r="M56" s="225"/>
      <c r="N56" s="225"/>
      <c r="O56" s="225"/>
      <c r="P56" s="225"/>
      <c r="Q56" s="225"/>
      <c r="R56" s="225"/>
      <c r="S56" s="225"/>
      <c r="T56" s="225"/>
      <c r="U56" s="225"/>
      <c r="V56" s="225"/>
      <c r="W56" s="225"/>
      <c r="X56" s="225"/>
      <c r="Y56" s="225"/>
      <c r="Z56" s="225"/>
      <c r="AA56" s="225"/>
      <c r="AB56" s="225"/>
      <c r="AC56" s="225"/>
      <c r="AD56" s="225"/>
    </row>
    <row r="57" spans="1:30" ht="16.5">
      <c r="A57" s="225"/>
      <c r="B57" s="225"/>
      <c r="C57" s="225"/>
      <c r="D57" s="225"/>
      <c r="E57" s="225"/>
      <c r="F57" s="225"/>
      <c r="G57" s="225"/>
      <c r="H57" s="225"/>
      <c r="I57" s="225"/>
      <c r="J57" s="225"/>
      <c r="K57" s="225"/>
      <c r="L57" s="225"/>
      <c r="M57" s="225"/>
      <c r="N57" s="225"/>
      <c r="O57" s="225"/>
      <c r="P57" s="225"/>
      <c r="Q57" s="225"/>
      <c r="R57" s="225"/>
      <c r="S57" s="225"/>
      <c r="T57" s="225"/>
      <c r="U57" s="225"/>
      <c r="V57" s="225"/>
      <c r="W57" s="225"/>
      <c r="X57" s="225"/>
      <c r="Y57" s="225"/>
      <c r="Z57" s="225"/>
      <c r="AA57" s="225"/>
      <c r="AB57" s="225"/>
      <c r="AC57" s="225"/>
      <c r="AD57" s="225"/>
    </row>
    <row r="58" spans="1:30" ht="16.5">
      <c r="A58" s="225"/>
      <c r="B58" s="225"/>
      <c r="C58" s="225"/>
      <c r="D58" s="225"/>
      <c r="E58" s="225"/>
      <c r="F58" s="225"/>
      <c r="G58" s="225"/>
      <c r="H58" s="225"/>
      <c r="I58" s="225"/>
      <c r="J58" s="225"/>
      <c r="K58" s="225"/>
      <c r="L58" s="225"/>
      <c r="M58" s="225"/>
      <c r="N58" s="225"/>
      <c r="O58" s="225"/>
      <c r="P58" s="225"/>
      <c r="Q58" s="225"/>
      <c r="R58" s="225"/>
      <c r="S58" s="225"/>
      <c r="T58" s="225"/>
      <c r="U58" s="225"/>
      <c r="V58" s="225"/>
      <c r="W58" s="225"/>
      <c r="X58" s="225"/>
      <c r="Y58" s="225"/>
      <c r="Z58" s="225"/>
      <c r="AA58" s="225"/>
      <c r="AB58" s="225"/>
      <c r="AC58" s="225"/>
      <c r="AD58" s="225"/>
    </row>
    <row r="59" spans="1:30" ht="16.5">
      <c r="A59" s="225"/>
      <c r="B59" s="225"/>
      <c r="C59" s="225"/>
      <c r="D59" s="225"/>
      <c r="E59" s="225"/>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row>
    <row r="60" spans="1:30" ht="16.5">
      <c r="A60" s="225"/>
      <c r="B60" s="225"/>
      <c r="C60" s="225"/>
      <c r="D60" s="225"/>
      <c r="E60" s="225"/>
      <c r="F60" s="225"/>
      <c r="G60" s="225"/>
      <c r="H60" s="225"/>
      <c r="I60" s="225"/>
      <c r="J60" s="225"/>
      <c r="K60" s="225"/>
      <c r="L60" s="225"/>
      <c r="M60" s="225"/>
      <c r="N60" s="225"/>
      <c r="O60" s="225"/>
      <c r="P60" s="225"/>
      <c r="Q60" s="225"/>
      <c r="R60" s="225"/>
      <c r="S60" s="225"/>
      <c r="T60" s="225"/>
      <c r="U60" s="225"/>
      <c r="V60" s="225"/>
      <c r="W60" s="225"/>
      <c r="X60" s="225"/>
      <c r="Y60" s="225"/>
      <c r="Z60" s="225"/>
      <c r="AA60" s="225"/>
      <c r="AB60" s="225"/>
      <c r="AC60" s="225"/>
      <c r="AD60" s="225"/>
    </row>
    <row r="61" spans="1:30" ht="16.5">
      <c r="A61" s="225"/>
      <c r="B61" s="225"/>
      <c r="C61" s="225"/>
      <c r="D61" s="225"/>
      <c r="E61" s="225"/>
      <c r="F61" s="225"/>
      <c r="G61" s="225"/>
      <c r="H61" s="225"/>
      <c r="I61" s="225"/>
      <c r="J61" s="225"/>
      <c r="K61" s="225"/>
      <c r="L61" s="225"/>
      <c r="M61" s="225"/>
      <c r="N61" s="225"/>
      <c r="O61" s="225"/>
      <c r="P61" s="225"/>
      <c r="Q61" s="225"/>
      <c r="R61" s="225"/>
      <c r="S61" s="225"/>
      <c r="T61" s="225"/>
      <c r="U61" s="225"/>
      <c r="V61" s="225"/>
      <c r="W61" s="225"/>
      <c r="X61" s="225"/>
      <c r="Y61" s="225"/>
      <c r="Z61" s="225"/>
      <c r="AA61" s="225"/>
      <c r="AB61" s="225"/>
      <c r="AC61" s="225"/>
      <c r="AD61" s="225"/>
    </row>
    <row r="62" spans="1:30" ht="16.5">
      <c r="A62" s="225"/>
      <c r="B62" s="225"/>
      <c r="C62" s="225"/>
      <c r="D62" s="225"/>
      <c r="E62" s="225"/>
      <c r="F62" s="225"/>
      <c r="G62" s="225"/>
      <c r="H62" s="225"/>
      <c r="I62" s="225"/>
      <c r="J62" s="225"/>
      <c r="K62" s="225"/>
      <c r="L62" s="225"/>
      <c r="M62" s="225"/>
      <c r="N62" s="225"/>
      <c r="O62" s="225"/>
      <c r="P62" s="225"/>
      <c r="Q62" s="225"/>
      <c r="R62" s="225"/>
      <c r="S62" s="225"/>
      <c r="T62" s="225"/>
      <c r="U62" s="225"/>
      <c r="V62" s="225"/>
      <c r="W62" s="225"/>
      <c r="X62" s="225"/>
      <c r="Y62" s="225"/>
      <c r="Z62" s="225"/>
      <c r="AA62" s="225"/>
      <c r="AB62" s="225"/>
      <c r="AC62" s="225"/>
      <c r="AD62" s="225"/>
    </row>
    <row r="63" spans="1:30" ht="16.5">
      <c r="A63" s="225"/>
      <c r="B63" s="225"/>
      <c r="C63" s="225"/>
      <c r="D63" s="225"/>
      <c r="E63" s="225"/>
      <c r="F63" s="225"/>
      <c r="G63" s="225"/>
      <c r="H63" s="225"/>
      <c r="I63" s="225"/>
      <c r="J63" s="225"/>
      <c r="K63" s="225"/>
      <c r="L63" s="225"/>
      <c r="M63" s="225"/>
      <c r="N63" s="225"/>
      <c r="O63" s="225"/>
      <c r="P63" s="225"/>
      <c r="Q63" s="225"/>
      <c r="R63" s="225"/>
      <c r="S63" s="225"/>
      <c r="T63" s="225"/>
      <c r="U63" s="225"/>
      <c r="V63" s="225"/>
      <c r="W63" s="225"/>
      <c r="X63" s="225"/>
      <c r="Y63" s="225"/>
      <c r="Z63" s="225"/>
      <c r="AA63" s="225"/>
      <c r="AB63" s="225"/>
      <c r="AC63" s="225"/>
      <c r="AD63" s="225"/>
    </row>
    <row r="64" spans="1:30" ht="16.5">
      <c r="A64" s="225"/>
      <c r="B64" s="225"/>
      <c r="C64" s="225"/>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row>
    <row r="65" spans="1:30" ht="16.5">
      <c r="A65" s="225"/>
      <c r="B65" s="225"/>
      <c r="C65" s="225"/>
      <c r="D65" s="225"/>
      <c r="E65" s="225"/>
      <c r="F65" s="225"/>
      <c r="G65" s="225"/>
      <c r="H65" s="225"/>
      <c r="I65" s="225"/>
      <c r="J65" s="225"/>
      <c r="K65" s="225"/>
      <c r="L65" s="225"/>
      <c r="M65" s="225"/>
      <c r="N65" s="225"/>
      <c r="O65" s="225"/>
      <c r="P65" s="225"/>
      <c r="Q65" s="225"/>
      <c r="R65" s="225"/>
      <c r="S65" s="225"/>
      <c r="T65" s="225"/>
      <c r="U65" s="225"/>
      <c r="V65" s="225"/>
      <c r="W65" s="225"/>
      <c r="X65" s="225"/>
      <c r="Y65" s="225"/>
      <c r="Z65" s="225"/>
      <c r="AA65" s="225"/>
      <c r="AB65" s="225"/>
      <c r="AC65" s="225"/>
      <c r="AD65" s="225"/>
    </row>
    <row r="66" spans="1:30" ht="16.5">
      <c r="A66" s="225"/>
      <c r="B66" s="225"/>
      <c r="C66" s="225"/>
      <c r="D66" s="225"/>
      <c r="E66" s="225"/>
      <c r="F66" s="225"/>
      <c r="G66" s="225"/>
      <c r="H66" s="225"/>
      <c r="I66" s="225"/>
      <c r="J66" s="225"/>
      <c r="K66" s="225"/>
      <c r="L66" s="225"/>
      <c r="M66" s="225"/>
      <c r="N66" s="225"/>
      <c r="O66" s="225"/>
      <c r="P66" s="225"/>
      <c r="Q66" s="225"/>
      <c r="R66" s="225"/>
      <c r="S66" s="225"/>
      <c r="T66" s="225"/>
      <c r="U66" s="225"/>
      <c r="V66" s="225"/>
      <c r="W66" s="225"/>
      <c r="X66" s="225"/>
      <c r="Y66" s="225"/>
      <c r="Z66" s="225"/>
      <c r="AA66" s="225"/>
      <c r="AB66" s="225"/>
      <c r="AC66" s="225"/>
      <c r="AD66" s="225"/>
    </row>
    <row r="67" spans="1:30" ht="16.5">
      <c r="A67" s="225"/>
      <c r="B67" s="225"/>
      <c r="C67" s="225"/>
      <c r="D67" s="225"/>
      <c r="E67" s="225"/>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row>
    <row r="68" spans="1:30" ht="16.5">
      <c r="A68" s="225"/>
      <c r="B68" s="225"/>
      <c r="C68" s="225"/>
      <c r="D68" s="225"/>
      <c r="E68" s="225"/>
      <c r="F68" s="225"/>
      <c r="G68" s="225"/>
      <c r="H68" s="225"/>
      <c r="I68" s="225"/>
      <c r="J68" s="225"/>
      <c r="K68" s="225"/>
      <c r="L68" s="225"/>
      <c r="M68" s="225"/>
      <c r="N68" s="225"/>
      <c r="O68" s="225"/>
      <c r="P68" s="225"/>
      <c r="Q68" s="225"/>
      <c r="R68" s="225"/>
      <c r="S68" s="225"/>
      <c r="T68" s="225"/>
      <c r="U68" s="225"/>
      <c r="V68" s="225"/>
      <c r="W68" s="225"/>
      <c r="X68" s="225"/>
      <c r="Y68" s="225"/>
      <c r="Z68" s="225"/>
      <c r="AA68" s="225"/>
      <c r="AB68" s="225"/>
      <c r="AC68" s="225"/>
      <c r="AD68" s="225"/>
    </row>
    <row r="69" spans="1:30" ht="16.5">
      <c r="A69" s="225"/>
      <c r="B69" s="225"/>
      <c r="C69" s="225"/>
      <c r="D69" s="225"/>
      <c r="E69" s="225"/>
      <c r="F69" s="225"/>
      <c r="G69" s="225"/>
      <c r="H69" s="225"/>
      <c r="I69" s="225"/>
      <c r="J69" s="225"/>
      <c r="K69" s="225"/>
      <c r="L69" s="225"/>
      <c r="M69" s="225"/>
      <c r="N69" s="225"/>
      <c r="O69" s="225"/>
      <c r="P69" s="225"/>
      <c r="Q69" s="225"/>
      <c r="R69" s="225"/>
      <c r="S69" s="225"/>
      <c r="T69" s="225"/>
      <c r="U69" s="225"/>
      <c r="V69" s="225"/>
      <c r="W69" s="225"/>
      <c r="X69" s="225"/>
      <c r="Y69" s="225"/>
      <c r="Z69" s="225"/>
      <c r="AA69" s="225"/>
      <c r="AB69" s="225"/>
      <c r="AC69" s="225"/>
      <c r="AD69" s="225"/>
    </row>
    <row r="70" spans="1:30" ht="16.5">
      <c r="A70" s="225"/>
      <c r="B70" s="225"/>
      <c r="C70" s="225"/>
      <c r="D70" s="225"/>
      <c r="E70" s="225"/>
      <c r="F70" s="225"/>
      <c r="G70" s="225"/>
      <c r="H70" s="225"/>
      <c r="I70" s="225"/>
      <c r="J70" s="225"/>
      <c r="K70" s="225"/>
      <c r="L70" s="225"/>
      <c r="M70" s="225"/>
      <c r="N70" s="225"/>
      <c r="O70" s="225"/>
      <c r="P70" s="225"/>
      <c r="Q70" s="225"/>
      <c r="R70" s="225"/>
      <c r="S70" s="225"/>
      <c r="T70" s="225"/>
      <c r="U70" s="225"/>
      <c r="V70" s="225"/>
      <c r="W70" s="225"/>
      <c r="X70" s="225"/>
      <c r="Y70" s="225"/>
      <c r="Z70" s="225"/>
      <c r="AA70" s="225"/>
      <c r="AB70" s="225"/>
      <c r="AC70" s="225"/>
      <c r="AD70" s="225"/>
    </row>
    <row r="71" spans="1:30" ht="16.5">
      <c r="A71" s="225"/>
      <c r="B71" s="225"/>
      <c r="C71" s="225"/>
      <c r="D71" s="225"/>
      <c r="E71" s="225"/>
      <c r="F71" s="225"/>
      <c r="G71" s="225"/>
      <c r="H71" s="225"/>
      <c r="I71" s="225"/>
      <c r="J71" s="225"/>
      <c r="K71" s="225"/>
      <c r="L71" s="225"/>
      <c r="M71" s="225"/>
      <c r="N71" s="225"/>
      <c r="O71" s="225"/>
      <c r="P71" s="225"/>
      <c r="Q71" s="225"/>
      <c r="R71" s="225"/>
      <c r="S71" s="225"/>
      <c r="T71" s="225"/>
      <c r="U71" s="225"/>
      <c r="V71" s="225"/>
      <c r="W71" s="225"/>
      <c r="X71" s="225"/>
      <c r="Y71" s="225"/>
      <c r="Z71" s="225"/>
      <c r="AA71" s="225"/>
      <c r="AB71" s="225"/>
      <c r="AC71" s="225"/>
      <c r="AD71" s="225"/>
    </row>
    <row r="72" spans="1:30" ht="16.5">
      <c r="A72" s="225"/>
      <c r="B72" s="225"/>
      <c r="C72" s="225"/>
      <c r="D72" s="225"/>
      <c r="E72" s="225"/>
      <c r="F72" s="225"/>
      <c r="G72" s="225"/>
      <c r="H72" s="225"/>
      <c r="I72" s="225"/>
      <c r="J72" s="225"/>
      <c r="K72" s="225"/>
      <c r="L72" s="225"/>
      <c r="M72" s="225"/>
      <c r="N72" s="225"/>
      <c r="O72" s="225"/>
      <c r="P72" s="225"/>
      <c r="Q72" s="225"/>
      <c r="R72" s="225"/>
      <c r="S72" s="225"/>
      <c r="T72" s="225"/>
      <c r="U72" s="225"/>
      <c r="V72" s="225"/>
      <c r="W72" s="225"/>
      <c r="X72" s="225"/>
      <c r="Y72" s="225"/>
      <c r="Z72" s="225"/>
      <c r="AA72" s="225"/>
      <c r="AB72" s="225"/>
      <c r="AC72" s="225"/>
      <c r="AD72" s="225"/>
    </row>
    <row r="73" spans="1:30" ht="16.5">
      <c r="A73" s="225"/>
      <c r="B73" s="225"/>
      <c r="C73" s="225"/>
      <c r="D73" s="225"/>
      <c r="E73" s="225"/>
      <c r="F73" s="225"/>
      <c r="G73" s="225"/>
      <c r="H73" s="225"/>
      <c r="I73" s="225"/>
      <c r="J73" s="225"/>
      <c r="K73" s="225"/>
      <c r="L73" s="225"/>
      <c r="M73" s="225"/>
      <c r="N73" s="225"/>
      <c r="O73" s="225"/>
      <c r="P73" s="225"/>
      <c r="Q73" s="225"/>
      <c r="R73" s="225"/>
      <c r="S73" s="225"/>
      <c r="T73" s="225"/>
      <c r="U73" s="225"/>
      <c r="V73" s="225"/>
      <c r="W73" s="225"/>
      <c r="X73" s="225"/>
      <c r="Y73" s="225"/>
      <c r="Z73" s="225"/>
      <c r="AA73" s="225"/>
      <c r="AB73" s="225"/>
      <c r="AC73" s="225"/>
      <c r="AD73" s="225"/>
    </row>
    <row r="74" spans="1:30" ht="16.5">
      <c r="A74" s="225"/>
      <c r="B74" s="225"/>
      <c r="C74" s="225"/>
      <c r="D74" s="225"/>
      <c r="E74" s="225"/>
      <c r="F74" s="225"/>
      <c r="G74" s="225"/>
      <c r="H74" s="225"/>
      <c r="I74" s="225"/>
      <c r="J74" s="225"/>
      <c r="K74" s="225"/>
      <c r="L74" s="225"/>
      <c r="M74" s="225"/>
      <c r="N74" s="225"/>
      <c r="O74" s="225"/>
      <c r="P74" s="225"/>
      <c r="Q74" s="225"/>
      <c r="R74" s="225"/>
      <c r="S74" s="225"/>
      <c r="T74" s="225"/>
      <c r="U74" s="225"/>
      <c r="V74" s="225"/>
      <c r="W74" s="225"/>
      <c r="X74" s="225"/>
      <c r="Y74" s="225"/>
      <c r="Z74" s="225"/>
      <c r="AA74" s="225"/>
      <c r="AB74" s="225"/>
      <c r="AC74" s="225"/>
      <c r="AD74" s="225"/>
    </row>
    <row r="75" spans="1:30" ht="16.5">
      <c r="A75" s="225"/>
      <c r="B75" s="225"/>
      <c r="C75" s="225"/>
      <c r="D75" s="225"/>
      <c r="E75" s="225"/>
      <c r="F75" s="225"/>
      <c r="G75" s="225"/>
      <c r="H75" s="225"/>
      <c r="I75" s="225"/>
      <c r="J75" s="225"/>
      <c r="K75" s="225"/>
      <c r="L75" s="225"/>
      <c r="M75" s="225"/>
      <c r="N75" s="225"/>
      <c r="O75" s="225"/>
      <c r="P75" s="225"/>
      <c r="Q75" s="225"/>
      <c r="R75" s="225"/>
      <c r="S75" s="225"/>
      <c r="T75" s="225"/>
      <c r="U75" s="225"/>
      <c r="V75" s="225"/>
      <c r="W75" s="225"/>
      <c r="X75" s="225"/>
      <c r="Y75" s="225"/>
      <c r="Z75" s="225"/>
      <c r="AA75" s="225"/>
      <c r="AB75" s="225"/>
      <c r="AC75" s="225"/>
      <c r="AD75" s="225"/>
    </row>
    <row r="76" spans="1:30" ht="16.5">
      <c r="A76" s="225"/>
      <c r="B76" s="225"/>
      <c r="C76" s="225"/>
      <c r="D76" s="225"/>
      <c r="E76" s="225"/>
      <c r="F76" s="225"/>
      <c r="G76" s="225"/>
      <c r="H76" s="225"/>
      <c r="I76" s="225"/>
      <c r="J76" s="225"/>
      <c r="K76" s="225"/>
      <c r="L76" s="225"/>
      <c r="M76" s="225"/>
      <c r="N76" s="225"/>
      <c r="O76" s="225"/>
      <c r="P76" s="225"/>
      <c r="Q76" s="225"/>
      <c r="R76" s="225"/>
      <c r="S76" s="225"/>
      <c r="T76" s="225"/>
      <c r="U76" s="225"/>
      <c r="V76" s="225"/>
      <c r="W76" s="225"/>
      <c r="X76" s="225"/>
      <c r="Y76" s="225"/>
      <c r="Z76" s="225"/>
      <c r="AA76" s="225"/>
      <c r="AB76" s="225"/>
      <c r="AC76" s="225"/>
      <c r="AD76" s="225"/>
    </row>
    <row r="77" spans="1:30" ht="16.5">
      <c r="A77" s="225"/>
      <c r="B77" s="225"/>
      <c r="C77" s="225"/>
      <c r="D77" s="225"/>
      <c r="E77" s="225"/>
      <c r="F77" s="225"/>
      <c r="G77" s="225"/>
      <c r="H77" s="225"/>
      <c r="I77" s="225"/>
      <c r="J77" s="225"/>
      <c r="K77" s="225"/>
      <c r="L77" s="225"/>
      <c r="M77" s="225"/>
      <c r="N77" s="225"/>
      <c r="O77" s="225"/>
      <c r="P77" s="225"/>
      <c r="Q77" s="225"/>
      <c r="R77" s="225"/>
      <c r="S77" s="225"/>
      <c r="T77" s="225"/>
      <c r="U77" s="225"/>
      <c r="V77" s="225"/>
      <c r="W77" s="225"/>
      <c r="X77" s="225"/>
      <c r="Y77" s="225"/>
      <c r="Z77" s="225"/>
      <c r="AA77" s="225"/>
      <c r="AB77" s="225"/>
      <c r="AC77" s="225"/>
      <c r="AD77" s="225"/>
    </row>
    <row r="78" spans="1:30" ht="16.5">
      <c r="A78" s="225"/>
      <c r="B78" s="225"/>
      <c r="C78" s="225"/>
      <c r="D78" s="225"/>
      <c r="E78" s="225"/>
      <c r="F78" s="225"/>
      <c r="G78" s="225"/>
      <c r="H78" s="225"/>
      <c r="I78" s="225"/>
      <c r="J78" s="225"/>
      <c r="K78" s="225"/>
      <c r="L78" s="225"/>
      <c r="M78" s="225"/>
      <c r="N78" s="225"/>
      <c r="O78" s="225"/>
      <c r="P78" s="225"/>
      <c r="Q78" s="225"/>
      <c r="R78" s="225"/>
      <c r="S78" s="225"/>
      <c r="T78" s="225"/>
      <c r="U78" s="225"/>
      <c r="V78" s="225"/>
      <c r="W78" s="225"/>
      <c r="X78" s="225"/>
      <c r="Y78" s="225"/>
      <c r="Z78" s="225"/>
      <c r="AA78" s="225"/>
      <c r="AB78" s="225"/>
      <c r="AC78" s="225"/>
      <c r="AD78" s="225"/>
    </row>
    <row r="79" spans="1:30" ht="16.5">
      <c r="A79" s="225"/>
      <c r="B79" s="225"/>
      <c r="C79" s="225"/>
      <c r="D79" s="225"/>
      <c r="E79" s="225"/>
      <c r="F79" s="225"/>
      <c r="G79" s="225"/>
      <c r="H79" s="225"/>
      <c r="I79" s="225"/>
      <c r="J79" s="225"/>
      <c r="K79" s="225"/>
      <c r="L79" s="225"/>
      <c r="M79" s="225"/>
      <c r="N79" s="225"/>
      <c r="O79" s="225"/>
      <c r="P79" s="225"/>
      <c r="Q79" s="225"/>
      <c r="R79" s="225"/>
      <c r="S79" s="225"/>
      <c r="T79" s="225"/>
      <c r="U79" s="225"/>
      <c r="V79" s="225"/>
      <c r="W79" s="225"/>
      <c r="X79" s="225"/>
      <c r="Y79" s="225"/>
      <c r="Z79" s="225"/>
      <c r="AA79" s="225"/>
      <c r="AB79" s="225"/>
      <c r="AC79" s="225"/>
      <c r="AD79" s="225"/>
    </row>
    <row r="80" spans="1:30" ht="16.5">
      <c r="A80" s="225"/>
      <c r="B80" s="225"/>
      <c r="C80" s="225"/>
      <c r="D80" s="225"/>
      <c r="E80" s="225"/>
      <c r="F80" s="225"/>
      <c r="G80" s="225"/>
      <c r="H80" s="225"/>
      <c r="I80" s="225"/>
      <c r="J80" s="225"/>
      <c r="K80" s="225"/>
      <c r="L80" s="225"/>
      <c r="M80" s="225"/>
      <c r="N80" s="225"/>
      <c r="O80" s="225"/>
      <c r="P80" s="225"/>
      <c r="Q80" s="225"/>
      <c r="R80" s="225"/>
      <c r="S80" s="225"/>
      <c r="T80" s="225"/>
      <c r="U80" s="225"/>
      <c r="V80" s="225"/>
      <c r="W80" s="225"/>
      <c r="X80" s="225"/>
      <c r="Y80" s="225"/>
      <c r="Z80" s="225"/>
      <c r="AA80" s="225"/>
      <c r="AB80" s="225"/>
      <c r="AC80" s="225"/>
      <c r="AD80" s="225"/>
    </row>
    <row r="81" spans="1:30" ht="16.5">
      <c r="A81" s="225"/>
      <c r="B81" s="225"/>
      <c r="C81" s="225"/>
      <c r="D81" s="225"/>
      <c r="E81" s="225"/>
      <c r="F81" s="225"/>
      <c r="G81" s="225"/>
      <c r="H81" s="225"/>
      <c r="I81" s="225"/>
      <c r="J81" s="225"/>
      <c r="K81" s="225"/>
      <c r="L81" s="225"/>
      <c r="M81" s="225"/>
      <c r="N81" s="225"/>
      <c r="O81" s="225"/>
      <c r="P81" s="225"/>
      <c r="Q81" s="225"/>
      <c r="R81" s="225"/>
      <c r="S81" s="225"/>
      <c r="T81" s="225"/>
      <c r="U81" s="225"/>
      <c r="V81" s="225"/>
      <c r="W81" s="225"/>
      <c r="X81" s="225"/>
      <c r="Y81" s="225"/>
      <c r="Z81" s="225"/>
      <c r="AA81" s="225"/>
      <c r="AB81" s="225"/>
      <c r="AC81" s="225"/>
      <c r="AD81" s="225"/>
    </row>
    <row r="82" spans="1:30" ht="16.5">
      <c r="A82" s="225"/>
      <c r="B82" s="225"/>
      <c r="C82" s="225"/>
      <c r="D82" s="225"/>
      <c r="E82" s="225"/>
      <c r="F82" s="225"/>
      <c r="G82" s="225"/>
      <c r="H82" s="225"/>
      <c r="I82" s="225"/>
      <c r="J82" s="225"/>
      <c r="K82" s="225"/>
      <c r="L82" s="225"/>
      <c r="M82" s="225"/>
      <c r="N82" s="225"/>
      <c r="O82" s="225"/>
      <c r="P82" s="225"/>
      <c r="Q82" s="225"/>
      <c r="R82" s="225"/>
      <c r="S82" s="225"/>
      <c r="T82" s="225"/>
      <c r="U82" s="225"/>
      <c r="V82" s="225"/>
      <c r="W82" s="225"/>
      <c r="X82" s="225"/>
      <c r="Y82" s="225"/>
      <c r="Z82" s="225"/>
      <c r="AA82" s="225"/>
      <c r="AB82" s="225"/>
      <c r="AC82" s="225"/>
      <c r="AD82" s="225"/>
    </row>
    <row r="83" spans="1:30" ht="16.5">
      <c r="A83" s="225"/>
      <c r="B83" s="225"/>
      <c r="C83" s="225"/>
      <c r="D83" s="225"/>
      <c r="E83" s="225"/>
      <c r="F83" s="225"/>
      <c r="G83" s="225"/>
      <c r="H83" s="225"/>
      <c r="I83" s="225"/>
      <c r="J83" s="225"/>
      <c r="K83" s="225"/>
      <c r="L83" s="225"/>
      <c r="M83" s="225"/>
      <c r="N83" s="225"/>
      <c r="O83" s="225"/>
      <c r="P83" s="225"/>
      <c r="Q83" s="225"/>
      <c r="R83" s="225"/>
      <c r="S83" s="225"/>
      <c r="T83" s="225"/>
      <c r="U83" s="225"/>
      <c r="V83" s="225"/>
      <c r="W83" s="225"/>
      <c r="X83" s="225"/>
      <c r="Y83" s="225"/>
      <c r="Z83" s="225"/>
      <c r="AA83" s="225"/>
      <c r="AB83" s="225"/>
      <c r="AC83" s="225"/>
      <c r="AD83" s="225"/>
    </row>
    <row r="84" spans="1:30" ht="16.5">
      <c r="A84" s="225"/>
      <c r="B84" s="225"/>
      <c r="C84" s="225"/>
      <c r="D84" s="225"/>
      <c r="E84" s="225"/>
      <c r="F84" s="225"/>
      <c r="G84" s="225"/>
      <c r="H84" s="225"/>
      <c r="I84" s="225"/>
      <c r="J84" s="225"/>
      <c r="K84" s="225"/>
      <c r="L84" s="225"/>
      <c r="M84" s="225"/>
      <c r="N84" s="225"/>
      <c r="O84" s="225"/>
      <c r="P84" s="225"/>
      <c r="Q84" s="225"/>
      <c r="R84" s="225"/>
      <c r="S84" s="225"/>
      <c r="T84" s="225"/>
      <c r="U84" s="225"/>
      <c r="V84" s="225"/>
      <c r="W84" s="225"/>
      <c r="X84" s="225"/>
      <c r="Y84" s="225"/>
      <c r="Z84" s="225"/>
      <c r="AA84" s="225"/>
      <c r="AB84" s="225"/>
      <c r="AC84" s="225"/>
      <c r="AD84" s="225"/>
    </row>
    <row r="85" spans="1:30" ht="16.5">
      <c r="A85" s="225"/>
      <c r="B85" s="225"/>
      <c r="C85" s="225"/>
      <c r="D85" s="225"/>
      <c r="E85" s="225"/>
      <c r="F85" s="225"/>
      <c r="G85" s="225"/>
      <c r="H85" s="225"/>
      <c r="I85" s="225"/>
      <c r="J85" s="225"/>
      <c r="K85" s="225"/>
      <c r="L85" s="225"/>
      <c r="M85" s="225"/>
      <c r="N85" s="225"/>
      <c r="O85" s="225"/>
      <c r="P85" s="225"/>
      <c r="Q85" s="225"/>
      <c r="R85" s="225"/>
      <c r="S85" s="225"/>
      <c r="T85" s="225"/>
      <c r="U85" s="225"/>
      <c r="V85" s="225"/>
      <c r="W85" s="225"/>
      <c r="X85" s="225"/>
      <c r="Y85" s="225"/>
      <c r="Z85" s="225"/>
      <c r="AA85" s="225"/>
      <c r="AB85" s="225"/>
      <c r="AC85" s="225"/>
      <c r="AD85" s="225"/>
    </row>
    <row r="86" spans="1:30" ht="16.5">
      <c r="A86" s="225"/>
      <c r="B86" s="225"/>
      <c r="C86" s="225"/>
      <c r="D86" s="225"/>
      <c r="E86" s="225"/>
      <c r="F86" s="225"/>
      <c r="G86" s="225"/>
      <c r="H86" s="225"/>
      <c r="I86" s="225"/>
      <c r="J86" s="225"/>
      <c r="K86" s="225"/>
      <c r="L86" s="225"/>
      <c r="M86" s="225"/>
      <c r="N86" s="225"/>
      <c r="O86" s="225"/>
      <c r="P86" s="225"/>
      <c r="Q86" s="225"/>
      <c r="R86" s="225"/>
      <c r="S86" s="225"/>
      <c r="T86" s="225"/>
      <c r="U86" s="225"/>
      <c r="V86" s="225"/>
      <c r="W86" s="225"/>
      <c r="X86" s="225"/>
      <c r="Y86" s="225"/>
      <c r="Z86" s="225"/>
      <c r="AA86" s="225"/>
      <c r="AB86" s="225"/>
      <c r="AC86" s="225"/>
      <c r="AD86" s="225"/>
    </row>
    <row r="87" spans="1:30" ht="16.5">
      <c r="A87" s="225"/>
      <c r="B87" s="225"/>
      <c r="C87" s="225"/>
      <c r="D87" s="225"/>
      <c r="E87" s="225"/>
      <c r="F87" s="225"/>
      <c r="G87" s="225"/>
      <c r="H87" s="225"/>
      <c r="I87" s="225"/>
      <c r="J87" s="225"/>
      <c r="K87" s="225"/>
      <c r="L87" s="225"/>
      <c r="M87" s="225"/>
      <c r="N87" s="225"/>
      <c r="O87" s="225"/>
      <c r="P87" s="225"/>
      <c r="Q87" s="225"/>
      <c r="R87" s="225"/>
      <c r="S87" s="225"/>
      <c r="T87" s="225"/>
      <c r="U87" s="225"/>
      <c r="V87" s="225"/>
      <c r="W87" s="225"/>
      <c r="X87" s="225"/>
      <c r="Y87" s="225"/>
      <c r="Z87" s="225"/>
      <c r="AA87" s="225"/>
      <c r="AB87" s="225"/>
      <c r="AC87" s="225"/>
      <c r="AD87" s="225"/>
    </row>
    <row r="88" spans="1:30" ht="16.5">
      <c r="A88" s="225"/>
      <c r="B88" s="225"/>
      <c r="C88" s="225"/>
      <c r="D88" s="225"/>
      <c r="E88" s="225"/>
      <c r="F88" s="225"/>
      <c r="G88" s="225"/>
      <c r="H88" s="225"/>
      <c r="I88" s="225"/>
      <c r="J88" s="225"/>
      <c r="K88" s="225"/>
      <c r="L88" s="225"/>
      <c r="M88" s="225"/>
      <c r="N88" s="225"/>
      <c r="O88" s="225"/>
      <c r="P88" s="225"/>
      <c r="Q88" s="225"/>
      <c r="R88" s="225"/>
      <c r="S88" s="225"/>
      <c r="T88" s="225"/>
      <c r="U88" s="225"/>
      <c r="V88" s="225"/>
      <c r="W88" s="225"/>
      <c r="X88" s="225"/>
      <c r="Y88" s="225"/>
      <c r="Z88" s="225"/>
      <c r="AA88" s="225"/>
      <c r="AB88" s="225"/>
      <c r="AC88" s="225"/>
      <c r="AD88" s="225"/>
    </row>
    <row r="89" spans="1:30" ht="16.5">
      <c r="A89" s="225"/>
      <c r="B89" s="225"/>
      <c r="C89" s="225"/>
      <c r="D89" s="225"/>
      <c r="E89" s="225"/>
      <c r="F89" s="225"/>
      <c r="G89" s="225"/>
      <c r="H89" s="225"/>
      <c r="I89" s="225"/>
      <c r="J89" s="225"/>
      <c r="K89" s="225"/>
      <c r="L89" s="225"/>
      <c r="M89" s="225"/>
      <c r="N89" s="225"/>
      <c r="O89" s="225"/>
      <c r="P89" s="225"/>
      <c r="Q89" s="225"/>
      <c r="R89" s="225"/>
      <c r="S89" s="225"/>
      <c r="T89" s="225"/>
      <c r="U89" s="225"/>
      <c r="V89" s="225"/>
      <c r="W89" s="225"/>
      <c r="X89" s="225"/>
      <c r="Y89" s="225"/>
      <c r="Z89" s="225"/>
      <c r="AA89" s="225"/>
      <c r="AB89" s="225"/>
      <c r="AC89" s="225"/>
      <c r="AD89" s="225"/>
    </row>
    <row r="90" spans="1:30" ht="16.5">
      <c r="A90" s="225"/>
      <c r="B90" s="225"/>
      <c r="C90" s="225"/>
      <c r="D90" s="225"/>
      <c r="E90" s="225"/>
      <c r="F90" s="225"/>
      <c r="G90" s="225"/>
      <c r="H90" s="225"/>
      <c r="I90" s="225"/>
      <c r="J90" s="225"/>
      <c r="K90" s="225"/>
      <c r="L90" s="225"/>
      <c r="M90" s="225"/>
      <c r="N90" s="225"/>
      <c r="O90" s="225"/>
      <c r="P90" s="225"/>
      <c r="Q90" s="225"/>
      <c r="R90" s="225"/>
      <c r="S90" s="225"/>
      <c r="T90" s="225"/>
      <c r="U90" s="225"/>
      <c r="V90" s="225"/>
      <c r="W90" s="225"/>
      <c r="X90" s="225"/>
      <c r="Y90" s="225"/>
      <c r="Z90" s="225"/>
      <c r="AA90" s="225"/>
      <c r="AB90" s="225"/>
      <c r="AC90" s="225"/>
      <c r="AD90" s="225"/>
    </row>
    <row r="91" spans="1:30" ht="16.5">
      <c r="A91" s="225"/>
      <c r="B91" s="225"/>
      <c r="C91" s="225"/>
      <c r="D91" s="225"/>
      <c r="E91" s="225"/>
      <c r="F91" s="225"/>
      <c r="G91" s="225"/>
      <c r="H91" s="225"/>
      <c r="I91" s="225"/>
      <c r="J91" s="225"/>
      <c r="K91" s="225"/>
      <c r="L91" s="225"/>
      <c r="M91" s="225"/>
      <c r="N91" s="225"/>
      <c r="O91" s="225"/>
      <c r="P91" s="225"/>
      <c r="Q91" s="225"/>
      <c r="R91" s="225"/>
      <c r="S91" s="225"/>
      <c r="T91" s="225"/>
      <c r="U91" s="225"/>
      <c r="V91" s="225"/>
      <c r="W91" s="225"/>
      <c r="X91" s="225"/>
      <c r="Y91" s="225"/>
      <c r="Z91" s="225"/>
      <c r="AA91" s="225"/>
      <c r="AB91" s="225"/>
      <c r="AC91" s="225"/>
      <c r="AD91" s="225"/>
    </row>
    <row r="92" spans="1:30" ht="16.5">
      <c r="A92" s="225"/>
      <c r="B92" s="225"/>
      <c r="C92" s="225"/>
      <c r="D92" s="225"/>
      <c r="E92" s="225"/>
      <c r="F92" s="225"/>
      <c r="G92" s="225"/>
      <c r="H92" s="225"/>
      <c r="I92" s="225"/>
      <c r="J92" s="225"/>
      <c r="K92" s="225"/>
      <c r="L92" s="225"/>
      <c r="M92" s="225"/>
      <c r="N92" s="225"/>
      <c r="O92" s="225"/>
      <c r="P92" s="225"/>
      <c r="Q92" s="225"/>
      <c r="R92" s="225"/>
      <c r="S92" s="225"/>
      <c r="T92" s="225"/>
      <c r="U92" s="225"/>
      <c r="V92" s="225"/>
      <c r="W92" s="225"/>
      <c r="X92" s="225"/>
      <c r="Y92" s="225"/>
      <c r="Z92" s="225"/>
      <c r="AA92" s="225"/>
      <c r="AB92" s="225"/>
      <c r="AC92" s="225"/>
      <c r="AD92" s="225"/>
    </row>
    <row r="93" spans="1:30" ht="16.5">
      <c r="A93" s="225"/>
      <c r="B93" s="225"/>
      <c r="C93" s="225"/>
      <c r="D93" s="225"/>
      <c r="E93" s="225"/>
      <c r="F93" s="225"/>
      <c r="G93" s="225"/>
      <c r="H93" s="225"/>
      <c r="I93" s="225"/>
      <c r="J93" s="225"/>
      <c r="K93" s="225"/>
      <c r="L93" s="225"/>
      <c r="M93" s="225"/>
      <c r="N93" s="225"/>
      <c r="O93" s="225"/>
      <c r="P93" s="225"/>
      <c r="Q93" s="225"/>
      <c r="R93" s="225"/>
      <c r="S93" s="225"/>
      <c r="T93" s="225"/>
      <c r="U93" s="225"/>
      <c r="V93" s="225"/>
      <c r="W93" s="225"/>
      <c r="X93" s="225"/>
      <c r="Y93" s="225"/>
      <c r="Z93" s="225"/>
      <c r="AA93" s="225"/>
      <c r="AB93" s="225"/>
      <c r="AC93" s="225"/>
      <c r="AD93" s="225"/>
    </row>
    <row r="94" spans="1:30" ht="16.5">
      <c r="A94" s="225"/>
      <c r="B94" s="225"/>
      <c r="C94" s="225"/>
      <c r="D94" s="225"/>
      <c r="E94" s="225"/>
      <c r="F94" s="225"/>
      <c r="G94" s="225"/>
      <c r="H94" s="225"/>
      <c r="I94" s="225"/>
      <c r="J94" s="225"/>
      <c r="K94" s="225"/>
      <c r="L94" s="225"/>
      <c r="M94" s="225"/>
      <c r="N94" s="225"/>
      <c r="O94" s="225"/>
      <c r="P94" s="225"/>
      <c r="Q94" s="225"/>
      <c r="R94" s="225"/>
      <c r="S94" s="225"/>
      <c r="T94" s="225"/>
      <c r="U94" s="225"/>
      <c r="V94" s="225"/>
      <c r="W94" s="225"/>
      <c r="X94" s="225"/>
      <c r="Y94" s="225"/>
      <c r="Z94" s="225"/>
      <c r="AA94" s="225"/>
      <c r="AB94" s="225"/>
      <c r="AC94" s="225"/>
      <c r="AD94" s="225"/>
    </row>
    <row r="95" spans="1:30" ht="16.5">
      <c r="A95" s="225"/>
      <c r="B95" s="225"/>
      <c r="C95" s="225"/>
      <c r="D95" s="225"/>
      <c r="E95" s="225"/>
      <c r="F95" s="225"/>
      <c r="G95" s="225"/>
      <c r="H95" s="225"/>
      <c r="I95" s="225"/>
      <c r="J95" s="225"/>
      <c r="K95" s="225"/>
      <c r="L95" s="225"/>
      <c r="M95" s="225"/>
      <c r="N95" s="225"/>
      <c r="O95" s="225"/>
      <c r="P95" s="225"/>
      <c r="Q95" s="225"/>
      <c r="R95" s="225"/>
      <c r="S95" s="225"/>
      <c r="T95" s="225"/>
      <c r="U95" s="225"/>
      <c r="V95" s="225"/>
      <c r="W95" s="225"/>
      <c r="X95" s="225"/>
      <c r="Y95" s="225"/>
      <c r="Z95" s="225"/>
      <c r="AA95" s="225"/>
      <c r="AB95" s="225"/>
      <c r="AC95" s="225"/>
      <c r="AD95" s="225"/>
    </row>
    <row r="96" spans="1:30" ht="16.5">
      <c r="A96" s="225"/>
      <c r="B96" s="225"/>
      <c r="C96" s="225"/>
      <c r="D96" s="225"/>
      <c r="E96" s="225"/>
      <c r="F96" s="225"/>
      <c r="G96" s="225"/>
      <c r="H96" s="225"/>
      <c r="I96" s="225"/>
      <c r="J96" s="225"/>
      <c r="K96" s="225"/>
      <c r="L96" s="225"/>
      <c r="M96" s="225"/>
      <c r="N96" s="225"/>
      <c r="O96" s="225"/>
      <c r="P96" s="225"/>
      <c r="Q96" s="225"/>
      <c r="R96" s="225"/>
      <c r="S96" s="225"/>
      <c r="T96" s="225"/>
      <c r="U96" s="225"/>
      <c r="V96" s="225"/>
      <c r="W96" s="225"/>
      <c r="X96" s="225"/>
      <c r="Y96" s="225"/>
      <c r="Z96" s="225"/>
      <c r="AA96" s="225"/>
      <c r="AB96" s="225"/>
      <c r="AC96" s="225"/>
      <c r="AD96" s="225"/>
    </row>
    <row r="97" spans="1:30" ht="16.5">
      <c r="A97" s="225"/>
      <c r="B97" s="225"/>
      <c r="C97" s="225"/>
      <c r="D97" s="225"/>
      <c r="E97" s="225"/>
      <c r="F97" s="225"/>
      <c r="G97" s="225"/>
      <c r="H97" s="225"/>
      <c r="I97" s="225"/>
      <c r="J97" s="225"/>
      <c r="K97" s="225"/>
      <c r="L97" s="225"/>
      <c r="M97" s="225"/>
      <c r="N97" s="225"/>
      <c r="O97" s="225"/>
      <c r="P97" s="225"/>
      <c r="Q97" s="225"/>
      <c r="R97" s="225"/>
      <c r="S97" s="225"/>
      <c r="T97" s="225"/>
      <c r="U97" s="225"/>
      <c r="V97" s="225"/>
      <c r="W97" s="225"/>
      <c r="X97" s="225"/>
      <c r="Y97" s="225"/>
      <c r="Z97" s="225"/>
      <c r="AA97" s="225"/>
      <c r="AB97" s="225"/>
      <c r="AC97" s="225"/>
      <c r="AD97" s="225"/>
    </row>
    <row r="98" spans="1:30" ht="16.5">
      <c r="A98" s="225"/>
      <c r="B98" s="225"/>
      <c r="C98" s="225"/>
      <c r="D98" s="225"/>
      <c r="E98" s="225"/>
      <c r="F98" s="225"/>
      <c r="G98" s="225"/>
      <c r="H98" s="225"/>
      <c r="I98" s="225"/>
      <c r="J98" s="225"/>
      <c r="K98" s="225"/>
      <c r="L98" s="225"/>
      <c r="M98" s="225"/>
      <c r="N98" s="225"/>
      <c r="O98" s="225"/>
      <c r="P98" s="225"/>
      <c r="Q98" s="225"/>
      <c r="R98" s="225"/>
      <c r="S98" s="225"/>
      <c r="T98" s="225"/>
      <c r="U98" s="225"/>
      <c r="V98" s="225"/>
      <c r="W98" s="225"/>
      <c r="X98" s="225"/>
      <c r="Y98" s="225"/>
      <c r="Z98" s="225"/>
      <c r="AA98" s="225"/>
      <c r="AB98" s="225"/>
      <c r="AC98" s="225"/>
      <c r="AD98" s="225"/>
    </row>
    <row r="99" spans="1:30" ht="16.5">
      <c r="A99" s="225"/>
      <c r="B99" s="225"/>
      <c r="C99" s="225"/>
      <c r="D99" s="225"/>
      <c r="E99" s="225"/>
      <c r="F99" s="225"/>
      <c r="G99" s="225"/>
      <c r="H99" s="225"/>
      <c r="I99" s="225"/>
      <c r="J99" s="225"/>
      <c r="K99" s="225"/>
      <c r="L99" s="225"/>
      <c r="M99" s="225"/>
      <c r="N99" s="225"/>
      <c r="O99" s="225"/>
      <c r="P99" s="225"/>
      <c r="Q99" s="225"/>
      <c r="R99" s="225"/>
      <c r="S99" s="225"/>
      <c r="T99" s="225"/>
      <c r="U99" s="225"/>
      <c r="V99" s="225"/>
      <c r="W99" s="225"/>
      <c r="X99" s="225"/>
      <c r="Y99" s="225"/>
      <c r="Z99" s="225"/>
      <c r="AA99" s="225"/>
      <c r="AB99" s="225"/>
      <c r="AC99" s="225"/>
      <c r="AD99" s="225"/>
    </row>
    <row r="100" spans="1:30" ht="16.5">
      <c r="A100" s="225"/>
      <c r="B100" s="225"/>
      <c r="C100" s="225"/>
      <c r="D100" s="225"/>
      <c r="E100" s="225"/>
      <c r="F100" s="225"/>
      <c r="G100" s="225"/>
      <c r="H100" s="225"/>
      <c r="I100" s="225"/>
      <c r="J100" s="225"/>
      <c r="K100" s="225"/>
      <c r="L100" s="225"/>
      <c r="M100" s="225"/>
      <c r="N100" s="225"/>
      <c r="O100" s="225"/>
      <c r="P100" s="225"/>
      <c r="Q100" s="225"/>
      <c r="R100" s="225"/>
      <c r="S100" s="225"/>
      <c r="T100" s="225"/>
      <c r="U100" s="225"/>
      <c r="V100" s="225"/>
      <c r="W100" s="225"/>
      <c r="X100" s="225"/>
      <c r="Y100" s="225"/>
      <c r="Z100" s="225"/>
      <c r="AA100" s="225"/>
      <c r="AB100" s="225"/>
      <c r="AC100" s="225"/>
      <c r="AD100" s="225"/>
    </row>
    <row r="101" spans="1:30" ht="16.5">
      <c r="A101" s="225"/>
      <c r="B101" s="225"/>
      <c r="C101" s="225"/>
      <c r="D101" s="225"/>
      <c r="E101" s="225"/>
      <c r="F101" s="225"/>
      <c r="G101" s="225"/>
      <c r="H101" s="225"/>
      <c r="I101" s="225"/>
      <c r="J101" s="225"/>
      <c r="K101" s="225"/>
      <c r="L101" s="225"/>
      <c r="M101" s="225"/>
      <c r="N101" s="225"/>
      <c r="O101" s="225"/>
      <c r="P101" s="225"/>
      <c r="Q101" s="225"/>
      <c r="R101" s="225"/>
      <c r="S101" s="225"/>
      <c r="T101" s="225"/>
      <c r="U101" s="225"/>
      <c r="V101" s="225"/>
      <c r="W101" s="225"/>
      <c r="X101" s="225"/>
      <c r="Y101" s="225"/>
      <c r="Z101" s="225"/>
      <c r="AA101" s="225"/>
      <c r="AB101" s="225"/>
      <c r="AC101" s="225"/>
      <c r="AD101" s="225"/>
    </row>
    <row r="102" spans="1:30" ht="16.5">
      <c r="A102" s="225"/>
      <c r="B102" s="225"/>
      <c r="C102" s="225"/>
      <c r="D102" s="225"/>
      <c r="E102" s="225"/>
      <c r="F102" s="225"/>
      <c r="G102" s="225"/>
      <c r="H102" s="225"/>
      <c r="I102" s="225"/>
      <c r="J102" s="225"/>
      <c r="K102" s="225"/>
      <c r="L102" s="225"/>
      <c r="M102" s="225"/>
      <c r="N102" s="225"/>
      <c r="O102" s="225"/>
      <c r="P102" s="225"/>
      <c r="Q102" s="225"/>
      <c r="R102" s="225"/>
      <c r="S102" s="225"/>
      <c r="T102" s="225"/>
      <c r="U102" s="225"/>
      <c r="V102" s="225"/>
      <c r="W102" s="225"/>
      <c r="X102" s="225"/>
      <c r="Y102" s="225"/>
      <c r="Z102" s="225"/>
      <c r="AA102" s="225"/>
      <c r="AB102" s="225"/>
      <c r="AC102" s="225"/>
      <c r="AD102" s="225"/>
    </row>
    <row r="103" spans="1:30" ht="16.5">
      <c r="A103" s="225"/>
      <c r="B103" s="225"/>
      <c r="C103" s="225"/>
      <c r="D103" s="225"/>
      <c r="E103" s="225"/>
      <c r="F103" s="225"/>
      <c r="G103" s="225"/>
      <c r="H103" s="225"/>
      <c r="I103" s="225"/>
      <c r="J103" s="225"/>
      <c r="K103" s="225"/>
      <c r="L103" s="225"/>
      <c r="M103" s="225"/>
      <c r="N103" s="225"/>
      <c r="O103" s="225"/>
      <c r="P103" s="225"/>
      <c r="Q103" s="225"/>
      <c r="R103" s="225"/>
      <c r="S103" s="225"/>
      <c r="T103" s="225"/>
      <c r="U103" s="225"/>
      <c r="V103" s="225"/>
      <c r="W103" s="225"/>
      <c r="X103" s="225"/>
      <c r="Y103" s="225"/>
      <c r="Z103" s="225"/>
      <c r="AA103" s="225"/>
      <c r="AB103" s="225"/>
      <c r="AC103" s="225"/>
      <c r="AD103" s="225"/>
    </row>
    <row r="104" spans="1:30" ht="16.5">
      <c r="A104" s="225"/>
      <c r="B104" s="225"/>
      <c r="C104" s="225"/>
      <c r="D104" s="225"/>
      <c r="E104" s="225"/>
      <c r="F104" s="225"/>
      <c r="G104" s="225"/>
      <c r="H104" s="225"/>
      <c r="I104" s="225"/>
      <c r="J104" s="225"/>
      <c r="K104" s="225"/>
      <c r="L104" s="225"/>
      <c r="M104" s="225"/>
      <c r="N104" s="225"/>
      <c r="O104" s="225"/>
      <c r="P104" s="225"/>
      <c r="Q104" s="225"/>
      <c r="R104" s="225"/>
      <c r="S104" s="225"/>
      <c r="T104" s="225"/>
      <c r="U104" s="225"/>
      <c r="V104" s="225"/>
      <c r="W104" s="225"/>
      <c r="X104" s="225"/>
      <c r="Y104" s="225"/>
      <c r="Z104" s="225"/>
      <c r="AA104" s="225"/>
      <c r="AB104" s="225"/>
      <c r="AC104" s="225"/>
      <c r="AD104" s="225"/>
    </row>
    <row r="105" spans="1:30" ht="16.5">
      <c r="A105" s="225"/>
      <c r="B105" s="225"/>
      <c r="C105" s="225"/>
      <c r="D105" s="225"/>
      <c r="E105" s="225"/>
      <c r="F105" s="225"/>
      <c r="G105" s="225"/>
      <c r="H105" s="225"/>
      <c r="I105" s="225"/>
      <c r="J105" s="225"/>
      <c r="K105" s="225"/>
      <c r="L105" s="225"/>
      <c r="M105" s="225"/>
      <c r="N105" s="225"/>
      <c r="O105" s="225"/>
      <c r="P105" s="225"/>
      <c r="Q105" s="225"/>
      <c r="R105" s="225"/>
      <c r="S105" s="225"/>
      <c r="T105" s="225"/>
      <c r="U105" s="225"/>
      <c r="V105" s="225"/>
      <c r="W105" s="225"/>
      <c r="X105" s="225"/>
      <c r="Y105" s="225"/>
      <c r="Z105" s="225"/>
      <c r="AA105" s="225"/>
      <c r="AB105" s="225"/>
      <c r="AC105" s="225"/>
      <c r="AD105" s="225"/>
    </row>
    <row r="106" spans="1:30" ht="16.5">
      <c r="A106" s="225"/>
      <c r="B106" s="225"/>
      <c r="C106" s="225"/>
      <c r="D106" s="225"/>
      <c r="E106" s="225"/>
      <c r="F106" s="225"/>
      <c r="G106" s="225"/>
      <c r="H106" s="225"/>
      <c r="I106" s="225"/>
      <c r="J106" s="225"/>
      <c r="K106" s="225"/>
      <c r="L106" s="225"/>
      <c r="M106" s="225"/>
      <c r="N106" s="225"/>
      <c r="O106" s="225"/>
      <c r="P106" s="225"/>
      <c r="Q106" s="225"/>
      <c r="R106" s="225"/>
      <c r="S106" s="225"/>
      <c r="T106" s="225"/>
      <c r="U106" s="225"/>
      <c r="V106" s="225"/>
      <c r="W106" s="225"/>
      <c r="X106" s="225"/>
      <c r="Y106" s="225"/>
      <c r="Z106" s="225"/>
      <c r="AA106" s="225"/>
      <c r="AB106" s="225"/>
      <c r="AC106" s="225"/>
      <c r="AD106" s="225"/>
    </row>
    <row r="107" spans="1:30" ht="16.5">
      <c r="A107" s="225"/>
      <c r="B107" s="225"/>
      <c r="C107" s="225"/>
      <c r="D107" s="225"/>
      <c r="E107" s="225"/>
      <c r="F107" s="225"/>
      <c r="G107" s="225"/>
      <c r="H107" s="225"/>
      <c r="I107" s="225"/>
      <c r="J107" s="225"/>
      <c r="K107" s="225"/>
      <c r="L107" s="225"/>
      <c r="M107" s="225"/>
      <c r="N107" s="225"/>
      <c r="O107" s="225"/>
      <c r="P107" s="225"/>
      <c r="Q107" s="225"/>
      <c r="R107" s="225"/>
      <c r="S107" s="225"/>
      <c r="T107" s="225"/>
      <c r="U107" s="225"/>
      <c r="V107" s="225"/>
      <c r="W107" s="225"/>
      <c r="X107" s="225"/>
      <c r="Y107" s="225"/>
      <c r="Z107" s="225"/>
      <c r="AA107" s="225"/>
      <c r="AB107" s="225"/>
      <c r="AC107" s="225"/>
      <c r="AD107" s="225"/>
    </row>
    <row r="108" spans="1:30" ht="16.5">
      <c r="A108" s="225"/>
      <c r="B108" s="225"/>
      <c r="C108" s="225"/>
      <c r="D108" s="225"/>
      <c r="E108" s="225"/>
      <c r="F108" s="225"/>
      <c r="G108" s="225"/>
      <c r="H108" s="225"/>
      <c r="I108" s="225"/>
      <c r="J108" s="225"/>
      <c r="K108" s="225"/>
      <c r="L108" s="225"/>
      <c r="M108" s="225"/>
      <c r="N108" s="225"/>
      <c r="O108" s="225"/>
      <c r="P108" s="225"/>
      <c r="Q108" s="225"/>
      <c r="R108" s="225"/>
      <c r="S108" s="225"/>
      <c r="T108" s="225"/>
      <c r="U108" s="225"/>
      <c r="V108" s="225"/>
      <c r="W108" s="225"/>
      <c r="X108" s="225"/>
      <c r="Y108" s="225"/>
      <c r="Z108" s="225"/>
      <c r="AA108" s="225"/>
      <c r="AB108" s="225"/>
      <c r="AC108" s="225"/>
      <c r="AD108" s="225"/>
    </row>
    <row r="109" spans="1:30" ht="16.5">
      <c r="A109" s="225"/>
      <c r="B109" s="225"/>
      <c r="C109" s="225"/>
      <c r="D109" s="225"/>
      <c r="E109" s="225"/>
      <c r="F109" s="225"/>
      <c r="G109" s="225"/>
      <c r="H109" s="225"/>
      <c r="I109" s="225"/>
      <c r="J109" s="225"/>
      <c r="K109" s="225"/>
      <c r="L109" s="225"/>
      <c r="M109" s="225"/>
      <c r="N109" s="225"/>
      <c r="O109" s="225"/>
      <c r="P109" s="225"/>
      <c r="Q109" s="225"/>
      <c r="R109" s="225"/>
      <c r="S109" s="225"/>
      <c r="T109" s="225"/>
      <c r="U109" s="225"/>
      <c r="V109" s="225"/>
      <c r="W109" s="225"/>
      <c r="X109" s="225"/>
      <c r="Y109" s="225"/>
      <c r="Z109" s="225"/>
      <c r="AA109" s="225"/>
      <c r="AB109" s="225"/>
      <c r="AC109" s="225"/>
      <c r="AD109" s="225"/>
    </row>
    <row r="110" spans="1:30" ht="16.5">
      <c r="A110" s="225"/>
      <c r="B110" s="225"/>
      <c r="C110" s="225"/>
      <c r="D110" s="225"/>
      <c r="E110" s="225"/>
      <c r="F110" s="225"/>
      <c r="G110" s="225"/>
      <c r="H110" s="225"/>
      <c r="I110" s="225"/>
      <c r="J110" s="225"/>
      <c r="K110" s="225"/>
      <c r="L110" s="225"/>
      <c r="M110" s="225"/>
      <c r="N110" s="225"/>
      <c r="O110" s="225"/>
      <c r="P110" s="225"/>
      <c r="Q110" s="225"/>
      <c r="R110" s="225"/>
      <c r="S110" s="225"/>
      <c r="T110" s="225"/>
      <c r="U110" s="225"/>
      <c r="V110" s="225"/>
      <c r="W110" s="225"/>
      <c r="X110" s="225"/>
      <c r="Y110" s="225"/>
      <c r="Z110" s="225"/>
      <c r="AA110" s="225"/>
      <c r="AB110" s="225"/>
      <c r="AC110" s="225"/>
      <c r="AD110" s="225"/>
    </row>
    <row r="111" spans="1:30" ht="16.5">
      <c r="A111" s="225"/>
      <c r="B111" s="225"/>
      <c r="C111" s="225"/>
      <c r="D111" s="225"/>
      <c r="E111" s="225"/>
      <c r="F111" s="225"/>
      <c r="G111" s="225"/>
      <c r="H111" s="225"/>
      <c r="I111" s="225"/>
      <c r="J111" s="225"/>
      <c r="K111" s="225"/>
      <c r="L111" s="225"/>
      <c r="M111" s="225"/>
      <c r="N111" s="225"/>
      <c r="O111" s="225"/>
      <c r="P111" s="225"/>
      <c r="Q111" s="225"/>
      <c r="R111" s="225"/>
      <c r="S111" s="225"/>
      <c r="T111" s="225"/>
      <c r="U111" s="225"/>
      <c r="V111" s="225"/>
      <c r="W111" s="225"/>
      <c r="X111" s="225"/>
      <c r="Y111" s="225"/>
      <c r="Z111" s="225"/>
      <c r="AA111" s="225"/>
      <c r="AB111" s="225"/>
      <c r="AC111" s="225"/>
      <c r="AD111" s="225"/>
    </row>
    <row r="112" spans="1:30" ht="16.5">
      <c r="A112" s="225"/>
      <c r="B112" s="225"/>
      <c r="C112" s="225"/>
      <c r="D112" s="225"/>
      <c r="E112" s="225"/>
      <c r="F112" s="225"/>
      <c r="G112" s="225"/>
      <c r="H112" s="225"/>
      <c r="I112" s="225"/>
      <c r="J112" s="225"/>
      <c r="K112" s="225"/>
      <c r="L112" s="225"/>
      <c r="M112" s="225"/>
      <c r="N112" s="225"/>
      <c r="O112" s="225"/>
      <c r="P112" s="225"/>
      <c r="Q112" s="225"/>
      <c r="R112" s="225"/>
      <c r="S112" s="225"/>
      <c r="T112" s="225"/>
      <c r="U112" s="225"/>
      <c r="V112" s="225"/>
      <c r="W112" s="225"/>
      <c r="X112" s="225"/>
      <c r="Y112" s="225"/>
      <c r="Z112" s="225"/>
      <c r="AA112" s="225"/>
      <c r="AB112" s="225"/>
      <c r="AC112" s="225"/>
      <c r="AD112" s="225"/>
    </row>
    <row r="113" spans="1:30" ht="16.5">
      <c r="A113" s="225"/>
      <c r="B113" s="225"/>
      <c r="C113" s="225"/>
      <c r="D113" s="225"/>
      <c r="E113" s="225"/>
      <c r="F113" s="225"/>
      <c r="G113" s="225"/>
      <c r="H113" s="225"/>
      <c r="I113" s="225"/>
      <c r="J113" s="225"/>
      <c r="K113" s="225"/>
      <c r="L113" s="225"/>
      <c r="M113" s="225"/>
      <c r="N113" s="225"/>
      <c r="O113" s="225"/>
      <c r="P113" s="225"/>
      <c r="Q113" s="225"/>
      <c r="R113" s="225"/>
      <c r="S113" s="225"/>
      <c r="T113" s="225"/>
      <c r="U113" s="225"/>
      <c r="V113" s="225"/>
      <c r="W113" s="225"/>
      <c r="X113" s="225"/>
      <c r="Y113" s="225"/>
      <c r="Z113" s="225"/>
      <c r="AA113" s="225"/>
      <c r="AB113" s="225"/>
      <c r="AC113" s="225"/>
      <c r="AD113" s="225"/>
    </row>
    <row r="114" spans="1:30" ht="16.5">
      <c r="A114" s="225"/>
      <c r="B114" s="225"/>
      <c r="C114" s="225"/>
      <c r="D114" s="225"/>
      <c r="E114" s="225"/>
      <c r="F114" s="225"/>
      <c r="G114" s="225"/>
      <c r="H114" s="225"/>
      <c r="I114" s="225"/>
      <c r="J114" s="225"/>
      <c r="K114" s="225"/>
      <c r="L114" s="225"/>
      <c r="M114" s="225"/>
      <c r="N114" s="225"/>
      <c r="O114" s="225"/>
      <c r="P114" s="225"/>
      <c r="Q114" s="225"/>
      <c r="R114" s="225"/>
      <c r="S114" s="225"/>
      <c r="T114" s="225"/>
      <c r="U114" s="225"/>
      <c r="V114" s="225"/>
      <c r="W114" s="225"/>
      <c r="X114" s="225"/>
      <c r="Y114" s="225"/>
      <c r="Z114" s="225"/>
      <c r="AA114" s="225"/>
      <c r="AB114" s="225"/>
      <c r="AC114" s="225"/>
      <c r="AD114" s="225"/>
    </row>
    <row r="115" spans="1:30" ht="16.5">
      <c r="A115" s="225"/>
      <c r="B115" s="225"/>
      <c r="C115" s="225"/>
      <c r="D115" s="225"/>
      <c r="E115" s="225"/>
      <c r="F115" s="225"/>
      <c r="G115" s="225"/>
      <c r="H115" s="225"/>
      <c r="I115" s="225"/>
      <c r="J115" s="225"/>
      <c r="K115" s="225"/>
      <c r="L115" s="225"/>
      <c r="M115" s="225"/>
      <c r="N115" s="225"/>
      <c r="O115" s="225"/>
      <c r="P115" s="225"/>
      <c r="Q115" s="225"/>
      <c r="R115" s="225"/>
      <c r="S115" s="225"/>
      <c r="T115" s="225"/>
      <c r="U115" s="225"/>
      <c r="V115" s="225"/>
      <c r="W115" s="225"/>
      <c r="X115" s="225"/>
      <c r="Y115" s="225"/>
      <c r="Z115" s="225"/>
      <c r="AA115" s="225"/>
      <c r="AB115" s="225"/>
      <c r="AC115" s="225"/>
      <c r="AD115" s="225"/>
    </row>
    <row r="116" spans="1:30" ht="16.5">
      <c r="A116" s="225"/>
      <c r="B116" s="225"/>
      <c r="C116" s="225"/>
      <c r="D116" s="225"/>
      <c r="E116" s="225"/>
      <c r="F116" s="225"/>
      <c r="G116" s="225"/>
      <c r="H116" s="225"/>
      <c r="I116" s="225"/>
      <c r="J116" s="225"/>
      <c r="K116" s="225"/>
      <c r="L116" s="225"/>
      <c r="M116" s="225"/>
      <c r="N116" s="225"/>
      <c r="O116" s="225"/>
      <c r="P116" s="225"/>
      <c r="Q116" s="225"/>
      <c r="R116" s="225"/>
      <c r="S116" s="225"/>
      <c r="T116" s="225"/>
      <c r="U116" s="225"/>
      <c r="V116" s="225"/>
      <c r="W116" s="225"/>
      <c r="X116" s="225"/>
      <c r="Y116" s="225"/>
      <c r="Z116" s="225"/>
      <c r="AA116" s="225"/>
      <c r="AB116" s="225"/>
      <c r="AC116" s="225"/>
      <c r="AD116" s="225"/>
    </row>
    <row r="117" spans="1:30" ht="16.5">
      <c r="A117" s="225"/>
      <c r="B117" s="225"/>
      <c r="C117" s="225"/>
      <c r="D117" s="225"/>
      <c r="E117" s="225"/>
      <c r="F117" s="225"/>
      <c r="G117" s="225"/>
      <c r="H117" s="225"/>
      <c r="I117" s="225"/>
      <c r="J117" s="225"/>
      <c r="K117" s="225"/>
      <c r="L117" s="225"/>
      <c r="M117" s="225"/>
      <c r="N117" s="225"/>
      <c r="O117" s="225"/>
      <c r="P117" s="225"/>
      <c r="Q117" s="225"/>
      <c r="R117" s="225"/>
      <c r="S117" s="225"/>
      <c r="T117" s="225"/>
      <c r="U117" s="225"/>
      <c r="V117" s="225"/>
      <c r="W117" s="225"/>
      <c r="X117" s="225"/>
      <c r="Y117" s="225"/>
      <c r="Z117" s="225"/>
      <c r="AA117" s="225"/>
      <c r="AB117" s="225"/>
      <c r="AC117" s="225"/>
      <c r="AD117" s="225"/>
    </row>
    <row r="118" spans="1:30" ht="16.5">
      <c r="A118" s="225"/>
      <c r="B118" s="225"/>
      <c r="C118" s="225"/>
      <c r="D118" s="225"/>
      <c r="E118" s="225"/>
      <c r="F118" s="225"/>
      <c r="G118" s="225"/>
      <c r="H118" s="225"/>
      <c r="I118" s="225"/>
      <c r="J118" s="225"/>
      <c r="K118" s="225"/>
      <c r="L118" s="225"/>
      <c r="M118" s="225"/>
      <c r="N118" s="225"/>
      <c r="O118" s="225"/>
      <c r="P118" s="225"/>
      <c r="Q118" s="225"/>
      <c r="R118" s="225"/>
      <c r="S118" s="225"/>
      <c r="T118" s="225"/>
      <c r="U118" s="225"/>
      <c r="V118" s="225"/>
      <c r="W118" s="225"/>
      <c r="X118" s="225"/>
      <c r="Y118" s="225"/>
      <c r="Z118" s="225"/>
      <c r="AA118" s="225"/>
      <c r="AB118" s="225"/>
      <c r="AC118" s="225"/>
      <c r="AD118" s="225"/>
    </row>
    <row r="119" spans="1:30" ht="16.5">
      <c r="A119" s="225"/>
      <c r="B119" s="225"/>
      <c r="C119" s="225"/>
      <c r="D119" s="225"/>
      <c r="E119" s="225"/>
      <c r="F119" s="225"/>
      <c r="G119" s="225"/>
      <c r="H119" s="225"/>
      <c r="I119" s="225"/>
      <c r="J119" s="225"/>
      <c r="K119" s="225"/>
      <c r="L119" s="225"/>
      <c r="M119" s="225"/>
      <c r="N119" s="225"/>
      <c r="O119" s="225"/>
      <c r="P119" s="225"/>
      <c r="Q119" s="225"/>
      <c r="R119" s="225"/>
      <c r="S119" s="225"/>
      <c r="T119" s="225"/>
      <c r="U119" s="225"/>
      <c r="V119" s="225"/>
      <c r="W119" s="225"/>
      <c r="X119" s="225"/>
      <c r="Y119" s="225"/>
      <c r="Z119" s="225"/>
      <c r="AA119" s="225"/>
      <c r="AB119" s="225"/>
      <c r="AC119" s="225"/>
      <c r="AD119" s="225"/>
    </row>
    <row r="120" spans="1:30" ht="16.5">
      <c r="A120" s="225"/>
      <c r="B120" s="225"/>
      <c r="C120" s="225"/>
      <c r="D120" s="225"/>
      <c r="E120" s="225"/>
      <c r="F120" s="225"/>
      <c r="G120" s="225"/>
      <c r="H120" s="225"/>
      <c r="I120" s="225"/>
      <c r="J120" s="225"/>
      <c r="K120" s="225"/>
      <c r="L120" s="225"/>
      <c r="M120" s="225"/>
      <c r="N120" s="225"/>
      <c r="O120" s="225"/>
      <c r="P120" s="225"/>
      <c r="Q120" s="225"/>
      <c r="R120" s="225"/>
      <c r="S120" s="225"/>
      <c r="T120" s="225"/>
      <c r="U120" s="225"/>
      <c r="V120" s="225"/>
      <c r="W120" s="225"/>
      <c r="X120" s="225"/>
      <c r="Y120" s="225"/>
      <c r="Z120" s="225"/>
      <c r="AA120" s="225"/>
      <c r="AB120" s="225"/>
      <c r="AC120" s="225"/>
      <c r="AD120" s="225"/>
    </row>
    <row r="121" spans="1:30" ht="16.5">
      <c r="A121" s="225"/>
      <c r="B121" s="225"/>
      <c r="C121" s="225"/>
      <c r="D121" s="225"/>
      <c r="E121" s="225"/>
      <c r="F121" s="225"/>
      <c r="G121" s="225"/>
      <c r="H121" s="225"/>
      <c r="I121" s="225"/>
      <c r="J121" s="225"/>
      <c r="K121" s="225"/>
      <c r="L121" s="225"/>
      <c r="M121" s="225"/>
      <c r="N121" s="225"/>
      <c r="O121" s="225"/>
      <c r="P121" s="225"/>
      <c r="Q121" s="225"/>
      <c r="R121" s="225"/>
      <c r="S121" s="225"/>
      <c r="T121" s="225"/>
      <c r="U121" s="225"/>
      <c r="V121" s="225"/>
      <c r="W121" s="225"/>
      <c r="X121" s="225"/>
      <c r="Y121" s="225"/>
      <c r="Z121" s="225"/>
      <c r="AA121" s="225"/>
      <c r="AB121" s="225"/>
      <c r="AC121" s="225"/>
      <c r="AD121" s="225"/>
    </row>
    <row r="122" spans="1:30" ht="16.5">
      <c r="A122" s="225"/>
      <c r="B122" s="225"/>
      <c r="C122" s="225"/>
      <c r="D122" s="225"/>
      <c r="E122" s="225"/>
      <c r="F122" s="225"/>
      <c r="G122" s="225"/>
      <c r="H122" s="225"/>
      <c r="I122" s="225"/>
      <c r="J122" s="225"/>
      <c r="K122" s="225"/>
      <c r="L122" s="225"/>
      <c r="M122" s="225"/>
      <c r="N122" s="225"/>
      <c r="O122" s="225"/>
      <c r="P122" s="225"/>
      <c r="Q122" s="225"/>
      <c r="R122" s="225"/>
      <c r="S122" s="225"/>
      <c r="T122" s="225"/>
      <c r="U122" s="225"/>
      <c r="V122" s="225"/>
      <c r="W122" s="225"/>
      <c r="X122" s="225"/>
      <c r="Y122" s="225"/>
      <c r="Z122" s="225"/>
      <c r="AA122" s="225"/>
      <c r="AB122" s="225"/>
      <c r="AC122" s="225"/>
      <c r="AD122" s="225"/>
    </row>
    <row r="123" spans="1:30" ht="16.5">
      <c r="A123" s="225"/>
      <c r="B123" s="225"/>
      <c r="C123" s="225"/>
      <c r="D123" s="225"/>
      <c r="E123" s="225"/>
      <c r="F123" s="225"/>
      <c r="G123" s="225"/>
      <c r="H123" s="225"/>
      <c r="I123" s="225"/>
      <c r="J123" s="225"/>
      <c r="K123" s="225"/>
      <c r="L123" s="225"/>
      <c r="M123" s="225"/>
      <c r="N123" s="225"/>
      <c r="O123" s="225"/>
      <c r="P123" s="225"/>
      <c r="Q123" s="225"/>
      <c r="R123" s="225"/>
      <c r="S123" s="225"/>
      <c r="T123" s="225"/>
      <c r="U123" s="225"/>
      <c r="V123" s="225"/>
      <c r="W123" s="225"/>
      <c r="X123" s="225"/>
      <c r="Y123" s="225"/>
      <c r="Z123" s="225"/>
      <c r="AA123" s="225"/>
      <c r="AB123" s="225"/>
      <c r="AC123" s="225"/>
      <c r="AD123" s="225"/>
    </row>
    <row r="124" spans="1:30" ht="16.5">
      <c r="A124" s="225"/>
      <c r="B124" s="225"/>
      <c r="C124" s="225"/>
      <c r="D124" s="225"/>
      <c r="E124" s="225"/>
      <c r="F124" s="225"/>
      <c r="G124" s="225"/>
      <c r="H124" s="225"/>
      <c r="I124" s="225"/>
      <c r="J124" s="225"/>
      <c r="K124" s="225"/>
      <c r="L124" s="225"/>
      <c r="M124" s="225"/>
      <c r="N124" s="225"/>
      <c r="O124" s="225"/>
      <c r="P124" s="225"/>
      <c r="Q124" s="225"/>
      <c r="R124" s="225"/>
      <c r="S124" s="225"/>
      <c r="T124" s="225"/>
      <c r="U124" s="225"/>
      <c r="V124" s="225"/>
      <c r="W124" s="225"/>
      <c r="X124" s="225"/>
      <c r="Y124" s="225"/>
      <c r="Z124" s="225"/>
      <c r="AA124" s="225"/>
      <c r="AB124" s="225"/>
      <c r="AC124" s="225"/>
      <c r="AD124" s="225"/>
    </row>
    <row r="125" spans="1:30" ht="16.5">
      <c r="A125" s="225"/>
      <c r="B125" s="225"/>
      <c r="C125" s="225"/>
      <c r="D125" s="225"/>
      <c r="E125" s="225"/>
      <c r="F125" s="225"/>
      <c r="G125" s="225"/>
      <c r="H125" s="225"/>
      <c r="I125" s="225"/>
      <c r="J125" s="225"/>
      <c r="K125" s="225"/>
      <c r="L125" s="225"/>
      <c r="M125" s="225"/>
      <c r="N125" s="225"/>
      <c r="O125" s="225"/>
      <c r="P125" s="225"/>
      <c r="Q125" s="225"/>
      <c r="R125" s="225"/>
      <c r="S125" s="225"/>
      <c r="T125" s="225"/>
      <c r="U125" s="225"/>
      <c r="V125" s="225"/>
      <c r="W125" s="225"/>
      <c r="X125" s="225"/>
      <c r="Y125" s="225"/>
      <c r="Z125" s="225"/>
      <c r="AA125" s="225"/>
      <c r="AB125" s="225"/>
      <c r="AC125" s="225"/>
      <c r="AD125" s="225"/>
    </row>
    <row r="126" spans="1:30" ht="16.5">
      <c r="A126" s="225"/>
      <c r="B126" s="225"/>
      <c r="C126" s="225"/>
      <c r="D126" s="225"/>
      <c r="E126" s="225"/>
      <c r="F126" s="225"/>
      <c r="G126" s="225"/>
      <c r="H126" s="225"/>
      <c r="I126" s="225"/>
      <c r="J126" s="225"/>
      <c r="K126" s="225"/>
      <c r="L126" s="225"/>
      <c r="M126" s="225"/>
      <c r="N126" s="225"/>
      <c r="O126" s="225"/>
      <c r="P126" s="225"/>
      <c r="Q126" s="225"/>
      <c r="R126" s="225"/>
      <c r="S126" s="225"/>
      <c r="T126" s="225"/>
      <c r="U126" s="225"/>
      <c r="V126" s="225"/>
      <c r="W126" s="225"/>
      <c r="X126" s="225"/>
      <c r="Y126" s="225"/>
      <c r="Z126" s="225"/>
      <c r="AA126" s="225"/>
      <c r="AB126" s="225"/>
      <c r="AC126" s="225"/>
      <c r="AD126" s="225"/>
    </row>
    <row r="127" spans="1:30" ht="16.5">
      <c r="A127" s="225"/>
      <c r="B127" s="225"/>
      <c r="C127" s="225"/>
      <c r="D127" s="225"/>
      <c r="E127" s="225"/>
      <c r="F127" s="225"/>
      <c r="G127" s="225"/>
      <c r="H127" s="225"/>
      <c r="I127" s="225"/>
      <c r="J127" s="225"/>
      <c r="K127" s="225"/>
      <c r="L127" s="225"/>
      <c r="M127" s="225"/>
      <c r="N127" s="225"/>
      <c r="O127" s="225"/>
      <c r="P127" s="225"/>
      <c r="Q127" s="225"/>
      <c r="R127" s="225"/>
      <c r="S127" s="225"/>
      <c r="T127" s="225"/>
      <c r="U127" s="225"/>
      <c r="V127" s="225"/>
      <c r="W127" s="225"/>
      <c r="X127" s="225"/>
      <c r="Y127" s="225"/>
      <c r="Z127" s="225"/>
      <c r="AA127" s="225"/>
      <c r="AB127" s="225"/>
      <c r="AC127" s="225"/>
      <c r="AD127" s="225"/>
    </row>
    <row r="128" spans="1:30" ht="16.5">
      <c r="A128" s="225"/>
      <c r="B128" s="225"/>
      <c r="C128" s="225"/>
      <c r="D128" s="225"/>
      <c r="E128" s="225"/>
      <c r="F128" s="225"/>
      <c r="G128" s="225"/>
      <c r="H128" s="225"/>
      <c r="I128" s="225"/>
      <c r="J128" s="225"/>
      <c r="K128" s="225"/>
      <c r="L128" s="225"/>
      <c r="M128" s="225"/>
      <c r="N128" s="225"/>
      <c r="O128" s="225"/>
      <c r="P128" s="225"/>
      <c r="Q128" s="225"/>
      <c r="R128" s="225"/>
      <c r="S128" s="225"/>
      <c r="T128" s="225"/>
      <c r="U128" s="225"/>
      <c r="V128" s="225"/>
      <c r="W128" s="225"/>
      <c r="X128" s="225"/>
      <c r="Y128" s="225"/>
      <c r="Z128" s="225"/>
      <c r="AA128" s="225"/>
      <c r="AB128" s="225"/>
      <c r="AC128" s="225"/>
      <c r="AD128" s="225"/>
    </row>
    <row r="129" spans="1:30" ht="16.5">
      <c r="A129" s="225"/>
      <c r="B129" s="225"/>
      <c r="C129" s="225"/>
      <c r="D129" s="225"/>
      <c r="E129" s="225"/>
      <c r="F129" s="225"/>
      <c r="G129" s="225"/>
      <c r="H129" s="225"/>
      <c r="I129" s="225"/>
      <c r="J129" s="225"/>
      <c r="K129" s="225"/>
      <c r="L129" s="225"/>
      <c r="M129" s="225"/>
      <c r="N129" s="225"/>
      <c r="O129" s="225"/>
      <c r="P129" s="225"/>
      <c r="Q129" s="225"/>
      <c r="R129" s="225"/>
      <c r="S129" s="225"/>
      <c r="T129" s="225"/>
      <c r="U129" s="225"/>
      <c r="V129" s="225"/>
      <c r="W129" s="225"/>
      <c r="X129" s="225"/>
      <c r="Y129" s="225"/>
      <c r="Z129" s="225"/>
      <c r="AA129" s="225"/>
      <c r="AB129" s="225"/>
      <c r="AC129" s="225"/>
      <c r="AD129" s="225"/>
    </row>
    <row r="130" spans="1:30" ht="16.5">
      <c r="A130" s="225"/>
      <c r="B130" s="225"/>
      <c r="C130" s="225"/>
      <c r="D130" s="225"/>
      <c r="E130" s="225"/>
      <c r="F130" s="225"/>
      <c r="G130" s="225"/>
      <c r="H130" s="225"/>
      <c r="I130" s="225"/>
      <c r="J130" s="225"/>
      <c r="K130" s="225"/>
      <c r="L130" s="225"/>
      <c r="M130" s="225"/>
      <c r="N130" s="225"/>
      <c r="O130" s="225"/>
      <c r="P130" s="225"/>
      <c r="Q130" s="225"/>
      <c r="R130" s="225"/>
      <c r="S130" s="225"/>
      <c r="T130" s="225"/>
      <c r="U130" s="225"/>
      <c r="V130" s="225"/>
      <c r="W130" s="225"/>
      <c r="X130" s="225"/>
      <c r="Y130" s="225"/>
      <c r="Z130" s="225"/>
      <c r="AA130" s="225"/>
      <c r="AB130" s="225"/>
      <c r="AC130" s="225"/>
      <c r="AD130" s="225"/>
    </row>
    <row r="131" spans="1:30" ht="16.5">
      <c r="A131" s="225"/>
      <c r="B131" s="225"/>
      <c r="C131" s="225"/>
      <c r="D131" s="225"/>
      <c r="E131" s="225"/>
      <c r="F131" s="225"/>
      <c r="G131" s="225"/>
      <c r="H131" s="225"/>
      <c r="I131" s="225"/>
      <c r="J131" s="225"/>
      <c r="K131" s="225"/>
      <c r="L131" s="225"/>
      <c r="M131" s="225"/>
      <c r="N131" s="225"/>
      <c r="O131" s="225"/>
      <c r="P131" s="225"/>
      <c r="Q131" s="225"/>
      <c r="R131" s="225"/>
      <c r="S131" s="225"/>
      <c r="T131" s="225"/>
      <c r="U131" s="225"/>
      <c r="V131" s="225"/>
      <c r="W131" s="225"/>
      <c r="X131" s="225"/>
      <c r="Y131" s="225"/>
      <c r="Z131" s="225"/>
      <c r="AA131" s="225"/>
      <c r="AB131" s="225"/>
      <c r="AC131" s="225"/>
      <c r="AD131" s="225"/>
    </row>
    <row r="132" spans="1:30" ht="16.5">
      <c r="A132" s="225"/>
      <c r="B132" s="225"/>
      <c r="C132" s="225"/>
      <c r="D132" s="225"/>
      <c r="E132" s="225"/>
      <c r="F132" s="225"/>
      <c r="G132" s="225"/>
      <c r="H132" s="225"/>
      <c r="I132" s="225"/>
      <c r="J132" s="225"/>
      <c r="K132" s="225"/>
      <c r="L132" s="225"/>
      <c r="M132" s="225"/>
      <c r="N132" s="225"/>
      <c r="O132" s="225"/>
      <c r="P132" s="225"/>
      <c r="Q132" s="225"/>
      <c r="R132" s="225"/>
      <c r="S132" s="225"/>
      <c r="T132" s="225"/>
      <c r="U132" s="225"/>
      <c r="V132" s="225"/>
      <c r="W132" s="225"/>
      <c r="X132" s="225"/>
      <c r="Y132" s="225"/>
      <c r="Z132" s="225"/>
      <c r="AA132" s="225"/>
      <c r="AB132" s="225"/>
      <c r="AC132" s="225"/>
      <c r="AD132" s="225"/>
    </row>
    <row r="133" spans="1:30" ht="16.5">
      <c r="A133" s="225"/>
      <c r="B133" s="225"/>
      <c r="C133" s="225"/>
      <c r="D133" s="225"/>
      <c r="E133" s="225"/>
      <c r="F133" s="225"/>
      <c r="G133" s="225"/>
      <c r="H133" s="225"/>
      <c r="I133" s="225"/>
      <c r="J133" s="225"/>
      <c r="K133" s="225"/>
      <c r="L133" s="225"/>
      <c r="M133" s="225"/>
      <c r="N133" s="225"/>
      <c r="O133" s="225"/>
      <c r="P133" s="225"/>
      <c r="Q133" s="225"/>
      <c r="R133" s="225"/>
      <c r="S133" s="225"/>
      <c r="T133" s="225"/>
      <c r="U133" s="225"/>
      <c r="V133" s="225"/>
      <c r="W133" s="225"/>
      <c r="X133" s="225"/>
      <c r="Y133" s="225"/>
      <c r="Z133" s="225"/>
      <c r="AA133" s="225"/>
      <c r="AB133" s="225"/>
      <c r="AC133" s="225"/>
      <c r="AD133" s="225"/>
    </row>
    <row r="134" spans="1:30" ht="16.5">
      <c r="A134" s="225"/>
      <c r="B134" s="225"/>
      <c r="C134" s="225"/>
      <c r="D134" s="225"/>
      <c r="E134" s="225"/>
      <c r="F134" s="225"/>
      <c r="G134" s="225"/>
      <c r="H134" s="225"/>
      <c r="I134" s="225"/>
      <c r="J134" s="225"/>
      <c r="K134" s="225"/>
      <c r="L134" s="225"/>
      <c r="M134" s="225"/>
      <c r="N134" s="225"/>
      <c r="O134" s="225"/>
      <c r="P134" s="225"/>
      <c r="Q134" s="225"/>
      <c r="R134" s="225"/>
      <c r="S134" s="225"/>
      <c r="T134" s="225"/>
      <c r="U134" s="225"/>
      <c r="V134" s="225"/>
      <c r="W134" s="225"/>
      <c r="X134" s="225"/>
      <c r="Y134" s="225"/>
      <c r="Z134" s="225"/>
      <c r="AA134" s="225"/>
      <c r="AB134" s="225"/>
      <c r="AC134" s="225"/>
      <c r="AD134" s="225"/>
    </row>
    <row r="135" spans="1:30" ht="16.5">
      <c r="A135" s="225"/>
      <c r="B135" s="225"/>
      <c r="C135" s="225"/>
      <c r="D135" s="225"/>
      <c r="E135" s="225"/>
      <c r="F135" s="225"/>
      <c r="G135" s="225"/>
      <c r="H135" s="225"/>
      <c r="I135" s="225"/>
      <c r="J135" s="225"/>
      <c r="K135" s="225"/>
      <c r="L135" s="225"/>
      <c r="M135" s="225"/>
      <c r="N135" s="225"/>
      <c r="O135" s="225"/>
      <c r="P135" s="225"/>
      <c r="Q135" s="225"/>
      <c r="R135" s="225"/>
      <c r="S135" s="225"/>
      <c r="T135" s="225"/>
      <c r="U135" s="225"/>
      <c r="V135" s="225"/>
      <c r="W135" s="225"/>
      <c r="X135" s="225"/>
      <c r="Y135" s="225"/>
      <c r="Z135" s="225"/>
      <c r="AA135" s="225"/>
      <c r="AB135" s="225"/>
      <c r="AC135" s="225"/>
      <c r="AD135" s="225"/>
    </row>
    <row r="136" spans="1:30" ht="16.5">
      <c r="A136" s="225"/>
      <c r="B136" s="225"/>
      <c r="C136" s="225"/>
      <c r="D136" s="225"/>
      <c r="E136" s="225"/>
      <c r="F136" s="225"/>
      <c r="G136" s="225"/>
      <c r="H136" s="225"/>
      <c r="I136" s="225"/>
      <c r="J136" s="225"/>
      <c r="K136" s="225"/>
      <c r="L136" s="225"/>
      <c r="M136" s="225"/>
      <c r="N136" s="225"/>
      <c r="O136" s="225"/>
      <c r="P136" s="225"/>
      <c r="Q136" s="225"/>
      <c r="R136" s="225"/>
      <c r="S136" s="225"/>
      <c r="T136" s="225"/>
      <c r="U136" s="225"/>
      <c r="V136" s="225"/>
      <c r="W136" s="225"/>
      <c r="X136" s="225"/>
      <c r="Y136" s="225"/>
      <c r="Z136" s="225"/>
      <c r="AA136" s="225"/>
      <c r="AB136" s="225"/>
      <c r="AC136" s="225"/>
      <c r="AD136" s="225"/>
    </row>
    <row r="137" spans="1:30" ht="16.5">
      <c r="A137" s="225"/>
      <c r="B137" s="225"/>
      <c r="C137" s="225"/>
      <c r="D137" s="225"/>
      <c r="E137" s="225"/>
      <c r="F137" s="225"/>
      <c r="G137" s="225"/>
      <c r="H137" s="225"/>
      <c r="I137" s="225"/>
      <c r="J137" s="225"/>
      <c r="K137" s="225"/>
      <c r="L137" s="225"/>
      <c r="M137" s="225"/>
      <c r="N137" s="225"/>
      <c r="O137" s="225"/>
      <c r="P137" s="225"/>
      <c r="Q137" s="225"/>
      <c r="R137" s="225"/>
      <c r="S137" s="225"/>
      <c r="T137" s="225"/>
      <c r="U137" s="225"/>
      <c r="V137" s="225"/>
      <c r="W137" s="225"/>
      <c r="X137" s="225"/>
      <c r="Y137" s="225"/>
      <c r="Z137" s="225"/>
      <c r="AA137" s="225"/>
      <c r="AB137" s="225"/>
      <c r="AC137" s="225"/>
      <c r="AD137" s="225"/>
    </row>
    <row r="138" spans="1:30" ht="16.5">
      <c r="A138" s="225"/>
      <c r="B138" s="225"/>
      <c r="C138" s="225"/>
      <c r="D138" s="225"/>
      <c r="E138" s="225"/>
      <c r="F138" s="225"/>
      <c r="G138" s="225"/>
      <c r="H138" s="225"/>
      <c r="I138" s="225"/>
      <c r="J138" s="225"/>
      <c r="K138" s="225"/>
      <c r="L138" s="225"/>
      <c r="M138" s="225"/>
      <c r="N138" s="225"/>
      <c r="O138" s="225"/>
      <c r="P138" s="225"/>
      <c r="Q138" s="225"/>
      <c r="R138" s="225"/>
      <c r="S138" s="225"/>
      <c r="T138" s="225"/>
      <c r="U138" s="225"/>
      <c r="V138" s="225"/>
      <c r="W138" s="225"/>
      <c r="X138" s="225"/>
      <c r="Y138" s="225"/>
      <c r="Z138" s="225"/>
      <c r="AA138" s="225"/>
      <c r="AB138" s="225"/>
      <c r="AC138" s="225"/>
      <c r="AD138" s="225"/>
    </row>
    <row r="139" spans="1:30" ht="16.5">
      <c r="A139" s="225"/>
      <c r="B139" s="225"/>
      <c r="C139" s="225"/>
      <c r="D139" s="225"/>
      <c r="E139" s="225"/>
      <c r="F139" s="225"/>
      <c r="G139" s="225"/>
      <c r="H139" s="225"/>
      <c r="I139" s="225"/>
      <c r="J139" s="225"/>
      <c r="K139" s="225"/>
      <c r="L139" s="225"/>
      <c r="M139" s="225"/>
      <c r="N139" s="225"/>
      <c r="O139" s="225"/>
      <c r="P139" s="225"/>
      <c r="Q139" s="225"/>
      <c r="R139" s="225"/>
      <c r="S139" s="225"/>
      <c r="T139" s="225"/>
      <c r="U139" s="225"/>
      <c r="V139" s="225"/>
      <c r="W139" s="225"/>
      <c r="X139" s="225"/>
      <c r="Y139" s="225"/>
      <c r="Z139" s="225"/>
      <c r="AA139" s="225"/>
      <c r="AB139" s="225"/>
      <c r="AC139" s="225"/>
      <c r="AD139" s="225"/>
    </row>
    <row r="140" spans="1:30" ht="16.5">
      <c r="A140" s="225"/>
      <c r="B140" s="225"/>
      <c r="C140" s="225"/>
      <c r="D140" s="225"/>
      <c r="E140" s="225"/>
      <c r="F140" s="225"/>
      <c r="G140" s="225"/>
      <c r="H140" s="225"/>
      <c r="I140" s="225"/>
      <c r="J140" s="225"/>
      <c r="K140" s="225"/>
      <c r="L140" s="225"/>
      <c r="M140" s="225"/>
      <c r="N140" s="225"/>
      <c r="O140" s="225"/>
      <c r="P140" s="225"/>
      <c r="Q140" s="225"/>
      <c r="R140" s="225"/>
      <c r="S140" s="225"/>
      <c r="T140" s="225"/>
      <c r="U140" s="225"/>
      <c r="V140" s="225"/>
      <c r="W140" s="225"/>
      <c r="X140" s="225"/>
      <c r="Y140" s="225"/>
      <c r="Z140" s="225"/>
      <c r="AA140" s="225"/>
      <c r="AB140" s="225"/>
      <c r="AC140" s="225"/>
      <c r="AD140" s="225"/>
    </row>
    <row r="141" spans="1:30" ht="16.5">
      <c r="A141" s="225"/>
      <c r="B141" s="225"/>
      <c r="C141" s="225"/>
      <c r="D141" s="225"/>
      <c r="E141" s="225"/>
      <c r="F141" s="225"/>
      <c r="G141" s="225"/>
      <c r="H141" s="225"/>
      <c r="I141" s="225"/>
      <c r="J141" s="225"/>
      <c r="K141" s="225"/>
      <c r="L141" s="225"/>
      <c r="M141" s="225"/>
      <c r="N141" s="225"/>
      <c r="O141" s="225"/>
      <c r="P141" s="225"/>
      <c r="Q141" s="225"/>
      <c r="R141" s="225"/>
      <c r="S141" s="225"/>
      <c r="T141" s="225"/>
      <c r="U141" s="225"/>
      <c r="V141" s="225"/>
      <c r="W141" s="225"/>
      <c r="X141" s="225"/>
      <c r="Y141" s="225"/>
      <c r="Z141" s="225"/>
      <c r="AA141" s="225"/>
      <c r="AB141" s="225"/>
      <c r="AC141" s="225"/>
      <c r="AD141" s="225"/>
    </row>
    <row r="142" spans="1:30" ht="16.5">
      <c r="A142" s="225"/>
      <c r="B142" s="225"/>
      <c r="C142" s="225"/>
      <c r="D142" s="225"/>
      <c r="E142" s="225"/>
      <c r="F142" s="225"/>
      <c r="G142" s="225"/>
      <c r="H142" s="225"/>
      <c r="I142" s="225"/>
      <c r="J142" s="225"/>
      <c r="K142" s="225"/>
      <c r="L142" s="225"/>
      <c r="M142" s="225"/>
      <c r="N142" s="225"/>
      <c r="O142" s="225"/>
      <c r="P142" s="225"/>
      <c r="Q142" s="225"/>
      <c r="R142" s="225"/>
      <c r="S142" s="225"/>
      <c r="T142" s="225"/>
      <c r="U142" s="225"/>
      <c r="V142" s="225"/>
      <c r="W142" s="225"/>
      <c r="X142" s="225"/>
      <c r="Y142" s="225"/>
      <c r="Z142" s="225"/>
      <c r="AA142" s="225"/>
      <c r="AB142" s="225"/>
      <c r="AC142" s="225"/>
      <c r="AD142" s="225"/>
    </row>
    <row r="143" spans="1:30" ht="16.5">
      <c r="A143" s="225"/>
      <c r="B143" s="225"/>
      <c r="C143" s="225"/>
      <c r="D143" s="225"/>
      <c r="E143" s="225"/>
      <c r="F143" s="225"/>
      <c r="G143" s="225"/>
      <c r="H143" s="225"/>
      <c r="I143" s="225"/>
      <c r="J143" s="225"/>
      <c r="K143" s="225"/>
      <c r="L143" s="225"/>
      <c r="M143" s="225"/>
      <c r="N143" s="225"/>
      <c r="O143" s="225"/>
      <c r="P143" s="225"/>
      <c r="Q143" s="225"/>
      <c r="R143" s="225"/>
      <c r="S143" s="225"/>
      <c r="T143" s="225"/>
      <c r="U143" s="225"/>
      <c r="V143" s="225"/>
      <c r="W143" s="225"/>
      <c r="X143" s="225"/>
      <c r="Y143" s="225"/>
      <c r="Z143" s="225"/>
      <c r="AA143" s="225"/>
      <c r="AB143" s="225"/>
      <c r="AC143" s="225"/>
      <c r="AD143" s="225"/>
    </row>
    <row r="144" spans="1:30" ht="16.5">
      <c r="A144" s="225"/>
      <c r="B144" s="225"/>
      <c r="C144" s="225"/>
      <c r="D144" s="225"/>
      <c r="E144" s="225"/>
      <c r="F144" s="225"/>
      <c r="G144" s="225"/>
      <c r="H144" s="225"/>
      <c r="I144" s="225"/>
      <c r="J144" s="225"/>
      <c r="K144" s="225"/>
      <c r="L144" s="225"/>
      <c r="M144" s="225"/>
      <c r="N144" s="225"/>
      <c r="O144" s="225"/>
      <c r="P144" s="225"/>
      <c r="Q144" s="225"/>
      <c r="R144" s="225"/>
      <c r="S144" s="225"/>
      <c r="T144" s="225"/>
      <c r="U144" s="225"/>
      <c r="V144" s="225"/>
      <c r="W144" s="225"/>
      <c r="X144" s="225"/>
      <c r="Y144" s="225"/>
      <c r="Z144" s="225"/>
      <c r="AA144" s="225"/>
      <c r="AB144" s="225"/>
      <c r="AC144" s="225"/>
      <c r="AD144" s="225"/>
    </row>
    <row r="145" spans="1:30" ht="16.5">
      <c r="A145" s="225"/>
      <c r="B145" s="225"/>
      <c r="C145" s="225"/>
      <c r="D145" s="225"/>
      <c r="E145" s="225"/>
      <c r="F145" s="225"/>
      <c r="G145" s="225"/>
      <c r="H145" s="225"/>
      <c r="I145" s="225"/>
      <c r="J145" s="225"/>
      <c r="K145" s="225"/>
      <c r="L145" s="225"/>
      <c r="M145" s="225"/>
      <c r="N145" s="225"/>
      <c r="O145" s="225"/>
      <c r="P145" s="225"/>
      <c r="Q145" s="225"/>
      <c r="R145" s="225"/>
      <c r="S145" s="225"/>
      <c r="T145" s="225"/>
      <c r="U145" s="225"/>
      <c r="V145" s="225"/>
      <c r="W145" s="225"/>
      <c r="X145" s="225"/>
      <c r="Y145" s="225"/>
      <c r="Z145" s="225"/>
      <c r="AA145" s="225"/>
      <c r="AB145" s="225"/>
      <c r="AC145" s="225"/>
      <c r="AD145" s="225"/>
    </row>
    <row r="146" spans="1:30" ht="16.5">
      <c r="A146" s="225"/>
      <c r="B146" s="225"/>
      <c r="C146" s="225"/>
      <c r="D146" s="225"/>
      <c r="E146" s="225"/>
      <c r="F146" s="225"/>
      <c r="G146" s="225"/>
      <c r="H146" s="225"/>
      <c r="I146" s="225"/>
      <c r="J146" s="225"/>
      <c r="K146" s="225"/>
      <c r="L146" s="225"/>
      <c r="M146" s="225"/>
      <c r="N146" s="225"/>
      <c r="O146" s="225"/>
      <c r="P146" s="225"/>
      <c r="Q146" s="225"/>
      <c r="R146" s="225"/>
      <c r="S146" s="225"/>
      <c r="T146" s="225"/>
      <c r="U146" s="225"/>
      <c r="V146" s="225"/>
      <c r="W146" s="225"/>
      <c r="X146" s="225"/>
      <c r="Y146" s="225"/>
      <c r="Z146" s="225"/>
      <c r="AA146" s="225"/>
      <c r="AB146" s="225"/>
      <c r="AC146" s="225"/>
      <c r="AD146" s="225"/>
    </row>
    <row r="147" spans="1:30" ht="16.5">
      <c r="A147" s="225"/>
      <c r="B147" s="225"/>
      <c r="C147" s="225"/>
      <c r="D147" s="225"/>
      <c r="E147" s="225"/>
      <c r="F147" s="225"/>
      <c r="G147" s="225"/>
      <c r="H147" s="225"/>
      <c r="I147" s="225"/>
      <c r="J147" s="225"/>
      <c r="K147" s="225"/>
      <c r="L147" s="225"/>
      <c r="M147" s="225"/>
      <c r="N147" s="225"/>
      <c r="O147" s="225"/>
      <c r="P147" s="225"/>
      <c r="Q147" s="225"/>
      <c r="R147" s="225"/>
      <c r="S147" s="225"/>
      <c r="T147" s="225"/>
      <c r="U147" s="225"/>
      <c r="V147" s="225"/>
      <c r="W147" s="225"/>
      <c r="X147" s="225"/>
      <c r="Y147" s="225"/>
      <c r="Z147" s="225"/>
      <c r="AA147" s="225"/>
      <c r="AB147" s="225"/>
      <c r="AC147" s="225"/>
      <c r="AD147" s="225"/>
    </row>
    <row r="148" spans="1:30" ht="16.5">
      <c r="A148" s="225"/>
      <c r="B148" s="225"/>
      <c r="C148" s="225"/>
      <c r="D148" s="225"/>
      <c r="E148" s="225"/>
      <c r="F148" s="225"/>
      <c r="G148" s="225"/>
      <c r="H148" s="225"/>
      <c r="I148" s="225"/>
      <c r="J148" s="225"/>
      <c r="K148" s="225"/>
      <c r="L148" s="225"/>
      <c r="M148" s="225"/>
      <c r="N148" s="225"/>
      <c r="O148" s="225"/>
      <c r="P148" s="225"/>
      <c r="Q148" s="225"/>
      <c r="R148" s="225"/>
      <c r="S148" s="225"/>
      <c r="T148" s="225"/>
      <c r="U148" s="225"/>
      <c r="V148" s="225"/>
      <c r="W148" s="225"/>
      <c r="X148" s="225"/>
      <c r="Y148" s="225"/>
      <c r="Z148" s="225"/>
      <c r="AA148" s="225"/>
      <c r="AB148" s="225"/>
      <c r="AC148" s="225"/>
      <c r="AD148" s="225"/>
    </row>
    <row r="149" spans="1:30" ht="16.5">
      <c r="A149" s="225"/>
      <c r="B149" s="225"/>
      <c r="C149" s="225"/>
      <c r="D149" s="225"/>
      <c r="E149" s="225"/>
      <c r="F149" s="225"/>
      <c r="G149" s="225"/>
      <c r="H149" s="225"/>
      <c r="I149" s="225"/>
      <c r="J149" s="225"/>
      <c r="K149" s="225"/>
      <c r="L149" s="225"/>
      <c r="M149" s="225"/>
      <c r="N149" s="225"/>
      <c r="O149" s="225"/>
      <c r="P149" s="225"/>
      <c r="Q149" s="225"/>
      <c r="R149" s="225"/>
      <c r="S149" s="225"/>
      <c r="T149" s="225"/>
      <c r="U149" s="225"/>
      <c r="V149" s="225"/>
      <c r="W149" s="225"/>
      <c r="X149" s="225"/>
      <c r="Y149" s="225"/>
      <c r="Z149" s="225"/>
      <c r="AA149" s="225"/>
      <c r="AB149" s="225"/>
      <c r="AC149" s="225"/>
      <c r="AD149" s="225"/>
    </row>
    <row r="150" spans="1:30" ht="16.5">
      <c r="A150" s="225"/>
      <c r="B150" s="225"/>
      <c r="C150" s="225"/>
      <c r="D150" s="225"/>
      <c r="E150" s="225"/>
      <c r="F150" s="225"/>
      <c r="G150" s="225"/>
      <c r="H150" s="225"/>
      <c r="I150" s="225"/>
      <c r="J150" s="225"/>
      <c r="K150" s="225"/>
      <c r="L150" s="225"/>
      <c r="M150" s="225"/>
      <c r="N150" s="225"/>
      <c r="O150" s="225"/>
      <c r="P150" s="225"/>
      <c r="Q150" s="225"/>
      <c r="R150" s="225"/>
      <c r="S150" s="225"/>
      <c r="T150" s="225"/>
      <c r="U150" s="225"/>
      <c r="V150" s="225"/>
      <c r="W150" s="225"/>
      <c r="X150" s="225"/>
      <c r="Y150" s="225"/>
      <c r="Z150" s="225"/>
      <c r="AA150" s="225"/>
      <c r="AB150" s="225"/>
      <c r="AC150" s="225"/>
      <c r="AD150" s="225"/>
    </row>
    <row r="151" spans="1:30" ht="16.5">
      <c r="A151" s="225"/>
      <c r="B151" s="225"/>
      <c r="C151" s="225"/>
      <c r="D151" s="225"/>
      <c r="E151" s="225"/>
      <c r="F151" s="225"/>
      <c r="G151" s="225"/>
      <c r="H151" s="225"/>
      <c r="I151" s="225"/>
      <c r="J151" s="225"/>
      <c r="K151" s="225"/>
      <c r="L151" s="225"/>
      <c r="M151" s="225"/>
      <c r="N151" s="225"/>
      <c r="O151" s="225"/>
      <c r="P151" s="225"/>
      <c r="Q151" s="225"/>
      <c r="R151" s="225"/>
      <c r="S151" s="225"/>
      <c r="T151" s="225"/>
      <c r="U151" s="225"/>
      <c r="V151" s="225"/>
      <c r="W151" s="225"/>
      <c r="X151" s="225"/>
      <c r="Y151" s="225"/>
      <c r="Z151" s="225"/>
      <c r="AA151" s="225"/>
      <c r="AB151" s="225"/>
      <c r="AC151" s="225"/>
      <c r="AD151" s="225"/>
    </row>
    <row r="152" spans="1:30" ht="16.5">
      <c r="A152" s="225"/>
      <c r="B152" s="225"/>
      <c r="C152" s="225"/>
      <c r="D152" s="225"/>
      <c r="E152" s="225"/>
      <c r="F152" s="225"/>
      <c r="G152" s="225"/>
      <c r="H152" s="225"/>
      <c r="I152" s="225"/>
      <c r="J152" s="225"/>
      <c r="K152" s="225"/>
      <c r="L152" s="225"/>
      <c r="M152" s="225"/>
      <c r="N152" s="225"/>
      <c r="O152" s="225"/>
      <c r="P152" s="225"/>
      <c r="Q152" s="225"/>
      <c r="R152" s="225"/>
      <c r="S152" s="225"/>
      <c r="T152" s="225"/>
      <c r="U152" s="225"/>
      <c r="V152" s="225"/>
      <c r="W152" s="225"/>
      <c r="X152" s="225"/>
      <c r="Y152" s="225"/>
      <c r="Z152" s="225"/>
      <c r="AA152" s="225"/>
      <c r="AB152" s="225"/>
      <c r="AC152" s="225"/>
      <c r="AD152" s="225"/>
    </row>
    <row r="153" spans="1:30" ht="16.5">
      <c r="A153" s="225"/>
      <c r="B153" s="225"/>
      <c r="C153" s="225"/>
      <c r="D153" s="225"/>
      <c r="E153" s="225"/>
      <c r="F153" s="225"/>
      <c r="G153" s="225"/>
      <c r="H153" s="225"/>
      <c r="I153" s="225"/>
      <c r="J153" s="225"/>
      <c r="K153" s="225"/>
      <c r="L153" s="225"/>
      <c r="M153" s="225"/>
      <c r="N153" s="225"/>
      <c r="O153" s="225"/>
      <c r="P153" s="225"/>
      <c r="Q153" s="225"/>
      <c r="R153" s="225"/>
      <c r="S153" s="225"/>
      <c r="T153" s="225"/>
      <c r="U153" s="225"/>
      <c r="V153" s="225"/>
      <c r="W153" s="225"/>
      <c r="X153" s="225"/>
      <c r="Y153" s="225"/>
      <c r="Z153" s="225"/>
      <c r="AA153" s="225"/>
      <c r="AB153" s="225"/>
      <c r="AC153" s="225"/>
      <c r="AD153" s="225"/>
    </row>
    <row r="154" spans="1:30" ht="16.5">
      <c r="A154" s="225"/>
      <c r="B154" s="225"/>
      <c r="C154" s="225"/>
      <c r="D154" s="225"/>
      <c r="E154" s="225"/>
      <c r="F154" s="225"/>
      <c r="G154" s="225"/>
      <c r="H154" s="225"/>
      <c r="I154" s="225"/>
      <c r="J154" s="225"/>
      <c r="K154" s="225"/>
      <c r="L154" s="225"/>
      <c r="M154" s="225"/>
      <c r="N154" s="225"/>
      <c r="O154" s="225"/>
      <c r="P154" s="225"/>
      <c r="Q154" s="225"/>
      <c r="R154" s="225"/>
      <c r="S154" s="225"/>
      <c r="T154" s="225"/>
      <c r="U154" s="225"/>
      <c r="V154" s="225"/>
      <c r="W154" s="225"/>
      <c r="X154" s="225"/>
      <c r="Y154" s="225"/>
      <c r="Z154" s="225"/>
      <c r="AA154" s="225"/>
      <c r="AB154" s="225"/>
      <c r="AC154" s="225"/>
      <c r="AD154" s="225"/>
    </row>
    <row r="155" spans="1:30" ht="16.5">
      <c r="A155" s="225"/>
      <c r="B155" s="225"/>
      <c r="C155" s="225"/>
      <c r="D155" s="225"/>
      <c r="E155" s="225"/>
      <c r="F155" s="225"/>
      <c r="G155" s="225"/>
      <c r="H155" s="225"/>
      <c r="I155" s="225"/>
      <c r="J155" s="225"/>
      <c r="K155" s="225"/>
      <c r="L155" s="225"/>
      <c r="M155" s="225"/>
      <c r="N155" s="225"/>
      <c r="O155" s="225"/>
      <c r="P155" s="225"/>
      <c r="Q155" s="225"/>
      <c r="R155" s="225"/>
      <c r="S155" s="225"/>
      <c r="T155" s="225"/>
      <c r="U155" s="225"/>
      <c r="V155" s="225"/>
      <c r="W155" s="225"/>
      <c r="X155" s="225"/>
      <c r="Y155" s="225"/>
      <c r="Z155" s="225"/>
      <c r="AA155" s="225"/>
      <c r="AB155" s="225"/>
      <c r="AC155" s="225"/>
      <c r="AD155" s="225"/>
    </row>
    <row r="156" spans="1:30" ht="16.5">
      <c r="A156" s="225"/>
      <c r="B156" s="225"/>
      <c r="C156" s="225"/>
      <c r="D156" s="225"/>
      <c r="E156" s="225"/>
      <c r="F156" s="225"/>
      <c r="G156" s="225"/>
      <c r="H156" s="225"/>
      <c r="I156" s="225"/>
      <c r="J156" s="225"/>
      <c r="K156" s="225"/>
      <c r="L156" s="225"/>
      <c r="M156" s="225"/>
      <c r="N156" s="225"/>
      <c r="O156" s="225"/>
      <c r="P156" s="225"/>
      <c r="Q156" s="225"/>
      <c r="R156" s="225"/>
      <c r="S156" s="225"/>
      <c r="T156" s="225"/>
      <c r="U156" s="225"/>
      <c r="V156" s="225"/>
      <c r="W156" s="225"/>
      <c r="X156" s="225"/>
      <c r="Y156" s="225"/>
      <c r="Z156" s="225"/>
      <c r="AA156" s="225"/>
      <c r="AB156" s="225"/>
      <c r="AC156" s="225"/>
      <c r="AD156" s="225"/>
    </row>
    <row r="157" spans="1:30" ht="16.5">
      <c r="A157" s="225"/>
      <c r="B157" s="225"/>
      <c r="C157" s="225"/>
      <c r="D157" s="225"/>
      <c r="E157" s="225"/>
      <c r="F157" s="225"/>
      <c r="G157" s="225"/>
      <c r="H157" s="225"/>
      <c r="I157" s="225"/>
      <c r="J157" s="225"/>
      <c r="K157" s="225"/>
      <c r="L157" s="225"/>
      <c r="M157" s="225"/>
      <c r="N157" s="225"/>
      <c r="O157" s="225"/>
      <c r="P157" s="225"/>
      <c r="Q157" s="225"/>
      <c r="R157" s="225"/>
      <c r="S157" s="225"/>
      <c r="T157" s="225"/>
      <c r="U157" s="225"/>
      <c r="V157" s="225"/>
      <c r="W157" s="225"/>
      <c r="X157" s="225"/>
      <c r="Y157" s="225"/>
      <c r="Z157" s="225"/>
      <c r="AA157" s="225"/>
      <c r="AB157" s="225"/>
      <c r="AC157" s="225"/>
      <c r="AD157" s="225"/>
    </row>
    <row r="158" spans="1:30" ht="16.5">
      <c r="A158" s="225"/>
      <c r="B158" s="225"/>
      <c r="C158" s="225"/>
      <c r="D158" s="225"/>
      <c r="E158" s="225"/>
      <c r="F158" s="225"/>
      <c r="G158" s="225"/>
      <c r="H158" s="225"/>
      <c r="I158" s="225"/>
      <c r="J158" s="225"/>
      <c r="K158" s="225"/>
      <c r="L158" s="225"/>
      <c r="M158" s="225"/>
      <c r="N158" s="225"/>
      <c r="O158" s="225"/>
      <c r="P158" s="225"/>
      <c r="Q158" s="225"/>
      <c r="R158" s="225"/>
      <c r="S158" s="225"/>
      <c r="T158" s="225"/>
      <c r="U158" s="225"/>
      <c r="V158" s="225"/>
      <c r="W158" s="225"/>
      <c r="X158" s="225"/>
      <c r="Y158" s="225"/>
      <c r="Z158" s="225"/>
      <c r="AA158" s="225"/>
      <c r="AB158" s="225"/>
      <c r="AC158" s="225"/>
      <c r="AD158" s="225"/>
    </row>
    <row r="159" spans="1:30" ht="16.5">
      <c r="A159" s="225"/>
      <c r="B159" s="225"/>
      <c r="C159" s="225"/>
      <c r="D159" s="225"/>
      <c r="E159" s="225"/>
      <c r="F159" s="225"/>
      <c r="G159" s="225"/>
      <c r="H159" s="225"/>
      <c r="I159" s="225"/>
      <c r="J159" s="225"/>
      <c r="K159" s="225"/>
      <c r="L159" s="225"/>
      <c r="M159" s="225"/>
      <c r="N159" s="225"/>
      <c r="O159" s="225"/>
      <c r="P159" s="225"/>
      <c r="Q159" s="225"/>
      <c r="R159" s="225"/>
      <c r="S159" s="225"/>
      <c r="T159" s="225"/>
      <c r="U159" s="225"/>
      <c r="V159" s="225"/>
      <c r="W159" s="225"/>
      <c r="X159" s="225"/>
      <c r="Y159" s="225"/>
      <c r="Z159" s="225"/>
      <c r="AA159" s="225"/>
      <c r="AB159" s="225"/>
      <c r="AC159" s="225"/>
      <c r="AD159" s="225"/>
    </row>
    <row r="160" spans="1:30" ht="16.5">
      <c r="A160" s="225"/>
      <c r="B160" s="225"/>
      <c r="C160" s="225"/>
      <c r="D160" s="225"/>
      <c r="E160" s="225"/>
      <c r="F160" s="225"/>
      <c r="G160" s="225"/>
      <c r="H160" s="225"/>
      <c r="I160" s="225"/>
      <c r="J160" s="225"/>
      <c r="K160" s="225"/>
      <c r="L160" s="225"/>
      <c r="M160" s="225"/>
      <c r="N160" s="225"/>
      <c r="O160" s="225"/>
      <c r="P160" s="225"/>
      <c r="Q160" s="225"/>
      <c r="R160" s="225"/>
      <c r="S160" s="225"/>
      <c r="T160" s="225"/>
      <c r="U160" s="225"/>
      <c r="V160" s="225"/>
      <c r="W160" s="225"/>
      <c r="X160" s="225"/>
      <c r="Y160" s="225"/>
      <c r="Z160" s="225"/>
      <c r="AA160" s="225"/>
      <c r="AB160" s="225"/>
      <c r="AC160" s="225"/>
      <c r="AD160" s="225"/>
    </row>
    <row r="161" spans="1:30" ht="16.5">
      <c r="A161" s="225"/>
      <c r="B161" s="225"/>
      <c r="C161" s="225"/>
      <c r="D161" s="225"/>
      <c r="E161" s="225"/>
      <c r="F161" s="225"/>
      <c r="G161" s="225"/>
      <c r="H161" s="225"/>
      <c r="I161" s="225"/>
      <c r="J161" s="225"/>
      <c r="K161" s="225"/>
      <c r="L161" s="225"/>
      <c r="M161" s="225"/>
      <c r="N161" s="225"/>
      <c r="O161" s="225"/>
      <c r="P161" s="225"/>
      <c r="Q161" s="225"/>
      <c r="R161" s="225"/>
      <c r="S161" s="225"/>
      <c r="T161" s="225"/>
      <c r="U161" s="225"/>
      <c r="V161" s="225"/>
      <c r="W161" s="225"/>
      <c r="X161" s="225"/>
      <c r="Y161" s="225"/>
      <c r="Z161" s="225"/>
      <c r="AA161" s="225"/>
      <c r="AB161" s="225"/>
      <c r="AC161" s="225"/>
      <c r="AD161" s="225"/>
    </row>
    <row r="162" spans="1:30" ht="16.5">
      <c r="A162" s="225"/>
      <c r="B162" s="225"/>
      <c r="C162" s="225"/>
      <c r="D162" s="225"/>
      <c r="E162" s="225"/>
      <c r="F162" s="225"/>
      <c r="G162" s="225"/>
      <c r="H162" s="225"/>
      <c r="I162" s="225"/>
      <c r="J162" s="225"/>
      <c r="K162" s="225"/>
      <c r="L162" s="225"/>
      <c r="M162" s="225"/>
      <c r="N162" s="225"/>
      <c r="O162" s="225"/>
      <c r="P162" s="225"/>
      <c r="Q162" s="225"/>
      <c r="R162" s="225"/>
      <c r="S162" s="225"/>
      <c r="T162" s="225"/>
      <c r="U162" s="225"/>
      <c r="V162" s="225"/>
      <c r="W162" s="225"/>
      <c r="X162" s="225"/>
      <c r="Y162" s="225"/>
      <c r="Z162" s="225"/>
      <c r="AA162" s="225"/>
      <c r="AB162" s="225"/>
      <c r="AC162" s="225"/>
      <c r="AD162" s="225"/>
    </row>
    <row r="163" spans="1:30" ht="16.5">
      <c r="A163" s="225"/>
      <c r="B163" s="225"/>
      <c r="C163" s="225"/>
      <c r="D163" s="225"/>
      <c r="E163" s="225"/>
      <c r="F163" s="225"/>
      <c r="G163" s="225"/>
      <c r="H163" s="225"/>
      <c r="I163" s="225"/>
      <c r="J163" s="225"/>
      <c r="K163" s="225"/>
      <c r="L163" s="225"/>
      <c r="M163" s="225"/>
      <c r="N163" s="225"/>
      <c r="O163" s="225"/>
      <c r="P163" s="225"/>
      <c r="Q163" s="225"/>
      <c r="R163" s="225"/>
      <c r="S163" s="225"/>
      <c r="T163" s="225"/>
      <c r="U163" s="225"/>
      <c r="V163" s="225"/>
      <c r="W163" s="225"/>
      <c r="X163" s="225"/>
      <c r="Y163" s="225"/>
      <c r="Z163" s="225"/>
      <c r="AA163" s="225"/>
      <c r="AB163" s="225"/>
      <c r="AC163" s="225"/>
      <c r="AD163" s="225"/>
    </row>
    <row r="164" spans="1:30" ht="16.5">
      <c r="A164" s="225"/>
      <c r="B164" s="225"/>
      <c r="C164" s="225"/>
      <c r="D164" s="225"/>
      <c r="E164" s="225"/>
      <c r="F164" s="225"/>
      <c r="G164" s="225"/>
      <c r="H164" s="225"/>
      <c r="I164" s="225"/>
      <c r="J164" s="225"/>
      <c r="K164" s="225"/>
      <c r="L164" s="225"/>
      <c r="M164" s="225"/>
      <c r="N164" s="225"/>
      <c r="O164" s="225"/>
      <c r="P164" s="225"/>
      <c r="Q164" s="225"/>
      <c r="R164" s="225"/>
      <c r="S164" s="225"/>
      <c r="T164" s="225"/>
      <c r="U164" s="225"/>
      <c r="V164" s="225"/>
      <c r="W164" s="225"/>
      <c r="X164" s="225"/>
      <c r="Y164" s="225"/>
      <c r="Z164" s="225"/>
      <c r="AA164" s="225"/>
      <c r="AB164" s="225"/>
      <c r="AC164" s="225"/>
      <c r="AD164" s="225"/>
    </row>
    <row r="165" spans="1:30" ht="16.5">
      <c r="A165" s="225"/>
      <c r="B165" s="225"/>
      <c r="C165" s="225"/>
      <c r="D165" s="225"/>
      <c r="E165" s="225"/>
      <c r="F165" s="225"/>
      <c r="G165" s="225"/>
      <c r="H165" s="225"/>
      <c r="I165" s="225"/>
      <c r="J165" s="225"/>
      <c r="K165" s="225"/>
      <c r="L165" s="225"/>
      <c r="M165" s="225"/>
      <c r="N165" s="225"/>
      <c r="O165" s="225"/>
      <c r="P165" s="225"/>
      <c r="Q165" s="225"/>
      <c r="R165" s="225"/>
      <c r="S165" s="225"/>
      <c r="T165" s="225"/>
      <c r="U165" s="225"/>
      <c r="V165" s="225"/>
      <c r="W165" s="225"/>
      <c r="X165" s="225"/>
      <c r="Y165" s="225"/>
      <c r="Z165" s="225"/>
      <c r="AA165" s="225"/>
      <c r="AB165" s="225"/>
      <c r="AC165" s="225"/>
      <c r="AD165" s="225"/>
    </row>
    <row r="166" spans="1:30" ht="16.5">
      <c r="A166" s="225"/>
      <c r="B166" s="225"/>
      <c r="C166" s="225"/>
      <c r="D166" s="225"/>
      <c r="E166" s="225"/>
      <c r="F166" s="225"/>
      <c r="G166" s="225"/>
      <c r="H166" s="225"/>
      <c r="I166" s="225"/>
      <c r="J166" s="225"/>
      <c r="K166" s="225"/>
      <c r="L166" s="225"/>
      <c r="M166" s="225"/>
      <c r="N166" s="225"/>
      <c r="O166" s="225"/>
      <c r="P166" s="225"/>
      <c r="Q166" s="225"/>
      <c r="R166" s="225"/>
      <c r="S166" s="225"/>
      <c r="T166" s="225"/>
      <c r="U166" s="225"/>
      <c r="V166" s="225"/>
      <c r="W166" s="225"/>
      <c r="X166" s="225"/>
      <c r="Y166" s="225"/>
      <c r="Z166" s="225"/>
      <c r="AA166" s="225"/>
      <c r="AB166" s="225"/>
      <c r="AC166" s="225"/>
      <c r="AD166" s="225"/>
    </row>
    <row r="167" spans="1:30" ht="16.5">
      <c r="A167" s="225"/>
      <c r="B167" s="225"/>
      <c r="C167" s="225"/>
      <c r="D167" s="225"/>
      <c r="E167" s="225"/>
      <c r="F167" s="225"/>
      <c r="G167" s="225"/>
      <c r="H167" s="225"/>
      <c r="I167" s="225"/>
      <c r="J167" s="225"/>
      <c r="K167" s="225"/>
      <c r="L167" s="225"/>
      <c r="M167" s="225"/>
      <c r="N167" s="225"/>
      <c r="O167" s="225"/>
      <c r="P167" s="225"/>
      <c r="Q167" s="225"/>
      <c r="R167" s="225"/>
      <c r="S167" s="225"/>
      <c r="T167" s="225"/>
      <c r="U167" s="225"/>
      <c r="V167" s="225"/>
      <c r="W167" s="225"/>
      <c r="X167" s="225"/>
      <c r="Y167" s="225"/>
      <c r="Z167" s="225"/>
      <c r="AA167" s="225"/>
      <c r="AB167" s="225"/>
      <c r="AC167" s="225"/>
      <c r="AD167" s="225"/>
    </row>
    <row r="168" spans="1:30" ht="16.5">
      <c r="A168" s="225"/>
      <c r="B168" s="225"/>
      <c r="C168" s="225"/>
      <c r="D168" s="225"/>
      <c r="E168" s="225"/>
      <c r="F168" s="225"/>
      <c r="G168" s="225"/>
      <c r="H168" s="225"/>
      <c r="I168" s="225"/>
      <c r="J168" s="225"/>
      <c r="K168" s="225"/>
      <c r="L168" s="225"/>
      <c r="M168" s="225"/>
      <c r="N168" s="225"/>
      <c r="O168" s="225"/>
      <c r="P168" s="225"/>
      <c r="Q168" s="225"/>
      <c r="R168" s="225"/>
      <c r="S168" s="225"/>
      <c r="T168" s="225"/>
      <c r="U168" s="225"/>
      <c r="V168" s="225"/>
      <c r="W168" s="225"/>
      <c r="X168" s="225"/>
      <c r="Y168" s="225"/>
      <c r="Z168" s="225"/>
      <c r="AA168" s="225"/>
      <c r="AB168" s="225"/>
      <c r="AC168" s="225"/>
      <c r="AD168" s="225"/>
    </row>
    <row r="169" spans="1:30" ht="16.5">
      <c r="A169" s="225"/>
      <c r="B169" s="225"/>
      <c r="C169" s="225"/>
      <c r="D169" s="225"/>
      <c r="E169" s="225"/>
      <c r="F169" s="225"/>
      <c r="G169" s="225"/>
      <c r="H169" s="225"/>
      <c r="I169" s="225"/>
      <c r="J169" s="225"/>
      <c r="K169" s="225"/>
      <c r="L169" s="225"/>
      <c r="M169" s="225"/>
      <c r="N169" s="225"/>
      <c r="O169" s="225"/>
      <c r="P169" s="225"/>
      <c r="Q169" s="225"/>
      <c r="R169" s="225"/>
      <c r="S169" s="225"/>
      <c r="T169" s="225"/>
      <c r="U169" s="225"/>
      <c r="V169" s="225"/>
      <c r="W169" s="225"/>
      <c r="X169" s="225"/>
      <c r="Y169" s="225"/>
      <c r="Z169" s="225"/>
      <c r="AA169" s="225"/>
      <c r="AB169" s="225"/>
      <c r="AC169" s="225"/>
      <c r="AD169" s="225"/>
    </row>
    <row r="170" spans="1:30" ht="16.5">
      <c r="A170" s="225"/>
      <c r="B170" s="225"/>
      <c r="C170" s="225"/>
      <c r="D170" s="225"/>
      <c r="E170" s="225"/>
      <c r="F170" s="225"/>
      <c r="G170" s="225"/>
      <c r="H170" s="225"/>
      <c r="I170" s="225"/>
      <c r="J170" s="225"/>
      <c r="K170" s="225"/>
      <c r="L170" s="225"/>
      <c r="M170" s="225"/>
      <c r="N170" s="225"/>
      <c r="O170" s="225"/>
      <c r="P170" s="225"/>
      <c r="Q170" s="225"/>
      <c r="R170" s="225"/>
      <c r="S170" s="225"/>
      <c r="T170" s="225"/>
      <c r="U170" s="225"/>
      <c r="V170" s="225"/>
      <c r="W170" s="225"/>
      <c r="X170" s="225"/>
      <c r="Y170" s="225"/>
      <c r="Z170" s="225"/>
      <c r="AA170" s="225"/>
      <c r="AB170" s="225"/>
      <c r="AC170" s="225"/>
      <c r="AD170" s="225"/>
    </row>
    <row r="171" spans="1:30" ht="16.5">
      <c r="A171" s="225"/>
      <c r="B171" s="225"/>
      <c r="C171" s="225"/>
      <c r="D171" s="225"/>
      <c r="E171" s="225"/>
      <c r="F171" s="225"/>
      <c r="G171" s="225"/>
      <c r="H171" s="225"/>
      <c r="I171" s="225"/>
      <c r="J171" s="225"/>
      <c r="K171" s="225"/>
      <c r="L171" s="225"/>
      <c r="M171" s="225"/>
      <c r="N171" s="225"/>
      <c r="O171" s="225"/>
      <c r="P171" s="225"/>
      <c r="Q171" s="225"/>
      <c r="R171" s="225"/>
      <c r="S171" s="225"/>
      <c r="T171" s="225"/>
      <c r="U171" s="225"/>
      <c r="V171" s="225"/>
      <c r="W171" s="225"/>
      <c r="X171" s="225"/>
      <c r="Y171" s="225"/>
      <c r="Z171" s="225"/>
      <c r="AA171" s="225"/>
      <c r="AB171" s="225"/>
      <c r="AC171" s="225"/>
      <c r="AD171" s="225"/>
    </row>
    <row r="172" spans="1:30" ht="16.5">
      <c r="A172" s="225"/>
      <c r="B172" s="225"/>
      <c r="C172" s="225"/>
      <c r="D172" s="225"/>
      <c r="E172" s="225"/>
      <c r="F172" s="225"/>
      <c r="G172" s="225"/>
      <c r="H172" s="225"/>
      <c r="I172" s="225"/>
      <c r="J172" s="225"/>
      <c r="K172" s="225"/>
      <c r="L172" s="225"/>
      <c r="M172" s="225"/>
      <c r="N172" s="225"/>
      <c r="O172" s="225"/>
      <c r="P172" s="225"/>
      <c r="Q172" s="225"/>
      <c r="R172" s="225"/>
      <c r="S172" s="225"/>
      <c r="T172" s="225"/>
      <c r="U172" s="225"/>
      <c r="V172" s="225"/>
      <c r="W172" s="225"/>
      <c r="X172" s="225"/>
      <c r="Y172" s="225"/>
      <c r="Z172" s="225"/>
      <c r="AA172" s="225"/>
      <c r="AB172" s="225"/>
      <c r="AC172" s="225"/>
      <c r="AD172" s="225"/>
    </row>
    <row r="173" spans="1:30" ht="16.5">
      <c r="A173" s="225"/>
      <c r="B173" s="225"/>
      <c r="C173" s="225"/>
      <c r="D173" s="225"/>
      <c r="E173" s="225"/>
      <c r="F173" s="225"/>
      <c r="G173" s="225"/>
      <c r="H173" s="225"/>
      <c r="I173" s="225"/>
      <c r="J173" s="225"/>
      <c r="K173" s="225"/>
      <c r="L173" s="225"/>
      <c r="M173" s="225"/>
      <c r="N173" s="225"/>
      <c r="O173" s="225"/>
      <c r="P173" s="225"/>
      <c r="Q173" s="225"/>
      <c r="R173" s="225"/>
      <c r="S173" s="225"/>
      <c r="T173" s="225"/>
      <c r="U173" s="225"/>
      <c r="V173" s="225"/>
      <c r="W173" s="225"/>
      <c r="X173" s="225"/>
      <c r="Y173" s="225"/>
      <c r="Z173" s="225"/>
      <c r="AA173" s="225"/>
      <c r="AB173" s="225"/>
      <c r="AC173" s="225"/>
      <c r="AD173" s="225"/>
    </row>
    <row r="174" spans="1:30" ht="16.5">
      <c r="A174" s="225"/>
      <c r="B174" s="225"/>
      <c r="C174" s="225"/>
      <c r="D174" s="225"/>
      <c r="E174" s="225"/>
      <c r="F174" s="225"/>
      <c r="G174" s="225"/>
      <c r="H174" s="225"/>
      <c r="I174" s="225"/>
      <c r="J174" s="225"/>
      <c r="K174" s="225"/>
      <c r="L174" s="225"/>
      <c r="M174" s="225"/>
      <c r="N174" s="225"/>
      <c r="O174" s="225"/>
      <c r="P174" s="225"/>
      <c r="Q174" s="225"/>
      <c r="R174" s="225"/>
      <c r="S174" s="225"/>
      <c r="T174" s="225"/>
      <c r="U174" s="225"/>
      <c r="V174" s="225"/>
      <c r="W174" s="225"/>
      <c r="X174" s="225"/>
      <c r="Y174" s="225"/>
      <c r="Z174" s="225"/>
      <c r="AA174" s="225"/>
      <c r="AB174" s="225"/>
      <c r="AC174" s="225"/>
      <c r="AD174" s="225"/>
    </row>
    <row r="175" spans="1:30" ht="16.5">
      <c r="A175" s="225"/>
      <c r="B175" s="225"/>
      <c r="C175" s="225"/>
      <c r="D175" s="225"/>
      <c r="E175" s="225"/>
      <c r="F175" s="225"/>
      <c r="G175" s="225"/>
      <c r="H175" s="225"/>
      <c r="I175" s="225"/>
      <c r="J175" s="225"/>
      <c r="K175" s="225"/>
      <c r="L175" s="225"/>
      <c r="M175" s="225"/>
      <c r="N175" s="225"/>
      <c r="O175" s="225"/>
      <c r="P175" s="225"/>
      <c r="Q175" s="225"/>
      <c r="R175" s="225"/>
      <c r="S175" s="225"/>
      <c r="T175" s="225"/>
      <c r="U175" s="225"/>
      <c r="V175" s="225"/>
      <c r="W175" s="225"/>
      <c r="X175" s="225"/>
      <c r="Y175" s="225"/>
      <c r="Z175" s="225"/>
      <c r="AA175" s="225"/>
      <c r="AB175" s="225"/>
      <c r="AC175" s="225"/>
      <c r="AD175" s="225"/>
    </row>
    <row r="176" spans="1:30" ht="16.5">
      <c r="A176" s="225"/>
      <c r="B176" s="225"/>
      <c r="C176" s="225"/>
      <c r="D176" s="225"/>
      <c r="E176" s="225"/>
      <c r="F176" s="225"/>
      <c r="G176" s="225"/>
      <c r="H176" s="225"/>
      <c r="I176" s="225"/>
      <c r="J176" s="225"/>
      <c r="K176" s="225"/>
      <c r="L176" s="225"/>
      <c r="M176" s="225"/>
      <c r="N176" s="225"/>
      <c r="O176" s="225"/>
      <c r="P176" s="225"/>
      <c r="Q176" s="225"/>
      <c r="R176" s="225"/>
      <c r="S176" s="225"/>
      <c r="T176" s="225"/>
      <c r="U176" s="225"/>
      <c r="V176" s="225"/>
      <c r="W176" s="225"/>
      <c r="X176" s="225"/>
      <c r="Y176" s="225"/>
      <c r="Z176" s="225"/>
      <c r="AA176" s="225"/>
      <c r="AB176" s="225"/>
      <c r="AC176" s="225"/>
      <c r="AD176" s="225"/>
    </row>
    <row r="177" spans="1:30" ht="16.5">
      <c r="A177" s="225"/>
      <c r="B177" s="225"/>
      <c r="C177" s="225"/>
      <c r="D177" s="225"/>
      <c r="E177" s="225"/>
      <c r="F177" s="225"/>
      <c r="G177" s="225"/>
      <c r="H177" s="225"/>
      <c r="I177" s="225"/>
      <c r="J177" s="225"/>
      <c r="K177" s="225"/>
      <c r="L177" s="225"/>
      <c r="M177" s="225"/>
      <c r="N177" s="225"/>
      <c r="O177" s="225"/>
      <c r="P177" s="225"/>
      <c r="Q177" s="225"/>
      <c r="R177" s="225"/>
      <c r="S177" s="225"/>
      <c r="T177" s="225"/>
      <c r="U177" s="225"/>
      <c r="V177" s="225"/>
      <c r="W177" s="225"/>
      <c r="X177" s="225"/>
      <c r="Y177" s="225"/>
      <c r="Z177" s="225"/>
      <c r="AA177" s="225"/>
      <c r="AB177" s="225"/>
      <c r="AC177" s="225"/>
      <c r="AD177" s="225"/>
    </row>
    <row r="178" spans="1:30" ht="16.5">
      <c r="A178" s="225"/>
      <c r="B178" s="225"/>
      <c r="C178" s="225"/>
      <c r="D178" s="225"/>
      <c r="E178" s="225"/>
      <c r="F178" s="225"/>
      <c r="G178" s="225"/>
      <c r="H178" s="225"/>
      <c r="I178" s="225"/>
      <c r="J178" s="225"/>
      <c r="K178" s="225"/>
      <c r="L178" s="225"/>
      <c r="M178" s="225"/>
      <c r="N178" s="225"/>
      <c r="O178" s="225"/>
      <c r="P178" s="225"/>
      <c r="Q178" s="225"/>
      <c r="R178" s="225"/>
      <c r="S178" s="225"/>
      <c r="T178" s="225"/>
      <c r="U178" s="225"/>
      <c r="V178" s="225"/>
      <c r="W178" s="225"/>
      <c r="X178" s="225"/>
      <c r="Y178" s="225"/>
      <c r="Z178" s="225"/>
      <c r="AA178" s="225"/>
      <c r="AB178" s="225"/>
      <c r="AC178" s="225"/>
      <c r="AD178" s="225"/>
    </row>
    <row r="179" spans="1:30" ht="16.5">
      <c r="A179" s="225"/>
      <c r="B179" s="225"/>
      <c r="C179" s="225"/>
      <c r="D179" s="225"/>
      <c r="E179" s="225"/>
      <c r="F179" s="225"/>
      <c r="G179" s="225"/>
      <c r="H179" s="225"/>
      <c r="I179" s="225"/>
      <c r="J179" s="225"/>
      <c r="K179" s="225"/>
      <c r="L179" s="225"/>
      <c r="M179" s="225"/>
      <c r="N179" s="225"/>
      <c r="O179" s="225"/>
      <c r="P179" s="225"/>
      <c r="Q179" s="225"/>
      <c r="R179" s="225"/>
      <c r="S179" s="225"/>
      <c r="T179" s="225"/>
      <c r="U179" s="225"/>
      <c r="V179" s="225"/>
      <c r="W179" s="225"/>
      <c r="X179" s="225"/>
      <c r="Y179" s="225"/>
      <c r="Z179" s="225"/>
      <c r="AA179" s="225"/>
      <c r="AB179" s="225"/>
      <c r="AC179" s="225"/>
      <c r="AD179" s="225"/>
    </row>
    <row r="180" spans="1:30" ht="16.5">
      <c r="A180" s="225"/>
      <c r="B180" s="225"/>
      <c r="C180" s="225"/>
      <c r="D180" s="225"/>
      <c r="E180" s="225"/>
      <c r="F180" s="225"/>
      <c r="G180" s="225"/>
      <c r="H180" s="225"/>
      <c r="I180" s="225"/>
      <c r="J180" s="225"/>
      <c r="K180" s="225"/>
      <c r="L180" s="225"/>
      <c r="M180" s="225"/>
      <c r="N180" s="225"/>
      <c r="O180" s="225"/>
      <c r="P180" s="225"/>
      <c r="Q180" s="225"/>
      <c r="R180" s="225"/>
      <c r="S180" s="225"/>
      <c r="T180" s="225"/>
      <c r="U180" s="225"/>
      <c r="V180" s="225"/>
      <c r="W180" s="225"/>
      <c r="X180" s="225"/>
      <c r="Y180" s="225"/>
      <c r="Z180" s="225"/>
      <c r="AA180" s="225"/>
      <c r="AB180" s="225"/>
      <c r="AC180" s="225"/>
      <c r="AD180" s="225"/>
    </row>
    <row r="181" spans="1:30" ht="16.5">
      <c r="A181" s="225"/>
      <c r="B181" s="225"/>
      <c r="C181" s="225"/>
      <c r="D181" s="225"/>
      <c r="E181" s="225"/>
      <c r="F181" s="225"/>
      <c r="G181" s="225"/>
      <c r="H181" s="225"/>
      <c r="I181" s="225"/>
      <c r="J181" s="225"/>
      <c r="K181" s="225"/>
      <c r="L181" s="225"/>
      <c r="M181" s="225"/>
      <c r="N181" s="225"/>
      <c r="O181" s="225"/>
      <c r="P181" s="225"/>
      <c r="Q181" s="225"/>
      <c r="R181" s="225"/>
      <c r="S181" s="225"/>
      <c r="T181" s="225"/>
      <c r="U181" s="225"/>
      <c r="V181" s="225"/>
      <c r="W181" s="225"/>
      <c r="X181" s="225"/>
      <c r="Y181" s="225"/>
      <c r="Z181" s="225"/>
      <c r="AA181" s="225"/>
      <c r="AB181" s="225"/>
      <c r="AC181" s="225"/>
      <c r="AD181" s="225"/>
    </row>
    <row r="182" spans="1:30" ht="16.5">
      <c r="A182" s="225"/>
      <c r="B182" s="225"/>
      <c r="C182" s="225"/>
      <c r="D182" s="225"/>
      <c r="E182" s="225"/>
      <c r="F182" s="225"/>
      <c r="G182" s="225"/>
      <c r="H182" s="225"/>
      <c r="I182" s="225"/>
      <c r="J182" s="225"/>
      <c r="K182" s="225"/>
      <c r="L182" s="225"/>
      <c r="M182" s="225"/>
      <c r="N182" s="225"/>
      <c r="O182" s="225"/>
      <c r="P182" s="225"/>
      <c r="Q182" s="225"/>
      <c r="R182" s="225"/>
      <c r="S182" s="225"/>
      <c r="T182" s="225"/>
      <c r="U182" s="225"/>
      <c r="V182" s="225"/>
      <c r="W182" s="225"/>
      <c r="X182" s="225"/>
      <c r="Y182" s="225"/>
      <c r="Z182" s="225"/>
      <c r="AA182" s="225"/>
      <c r="AB182" s="225"/>
      <c r="AC182" s="225"/>
      <c r="AD182" s="225"/>
    </row>
    <row r="183" spans="1:30" ht="16.5">
      <c r="A183" s="225"/>
      <c r="B183" s="225"/>
      <c r="C183" s="225"/>
      <c r="D183" s="225"/>
      <c r="E183" s="225"/>
      <c r="F183" s="225"/>
      <c r="G183" s="225"/>
      <c r="H183" s="225"/>
      <c r="I183" s="225"/>
      <c r="J183" s="225"/>
      <c r="K183" s="225"/>
      <c r="L183" s="225"/>
      <c r="M183" s="225"/>
      <c r="N183" s="225"/>
      <c r="O183" s="225"/>
      <c r="P183" s="225"/>
      <c r="Q183" s="225"/>
      <c r="R183" s="225"/>
      <c r="S183" s="225"/>
      <c r="T183" s="225"/>
      <c r="U183" s="225"/>
      <c r="V183" s="225"/>
      <c r="W183" s="225"/>
      <c r="X183" s="225"/>
      <c r="Y183" s="225"/>
      <c r="Z183" s="225"/>
      <c r="AA183" s="225"/>
      <c r="AB183" s="225"/>
      <c r="AC183" s="225"/>
      <c r="AD183" s="225"/>
    </row>
    <row r="184" spans="1:30" ht="16.5">
      <c r="A184" s="225"/>
      <c r="B184" s="225"/>
      <c r="C184" s="225"/>
      <c r="D184" s="225"/>
      <c r="E184" s="225"/>
      <c r="F184" s="225"/>
      <c r="G184" s="225"/>
      <c r="H184" s="225"/>
      <c r="I184" s="225"/>
      <c r="J184" s="225"/>
      <c r="K184" s="225"/>
      <c r="L184" s="225"/>
      <c r="M184" s="225"/>
      <c r="N184" s="225"/>
      <c r="O184" s="225"/>
      <c r="P184" s="225"/>
      <c r="Q184" s="225"/>
      <c r="R184" s="225"/>
      <c r="S184" s="225"/>
      <c r="T184" s="225"/>
      <c r="U184" s="225"/>
      <c r="V184" s="225"/>
      <c r="W184" s="225"/>
      <c r="X184" s="225"/>
      <c r="Y184" s="225"/>
      <c r="Z184" s="225"/>
      <c r="AA184" s="225"/>
      <c r="AB184" s="225"/>
      <c r="AC184" s="225"/>
      <c r="AD184" s="225"/>
    </row>
    <row r="185" spans="1:30" ht="16.5">
      <c r="A185" s="225"/>
      <c r="B185" s="225"/>
      <c r="C185" s="225"/>
      <c r="D185" s="225"/>
      <c r="E185" s="225"/>
      <c r="F185" s="225"/>
      <c r="G185" s="225"/>
      <c r="H185" s="225"/>
      <c r="I185" s="225"/>
      <c r="J185" s="225"/>
      <c r="K185" s="225"/>
      <c r="L185" s="225"/>
      <c r="M185" s="225"/>
      <c r="N185" s="225"/>
      <c r="O185" s="225"/>
      <c r="P185" s="225"/>
      <c r="Q185" s="225"/>
      <c r="R185" s="225"/>
      <c r="S185" s="225"/>
      <c r="T185" s="225"/>
      <c r="U185" s="225"/>
      <c r="V185" s="225"/>
      <c r="W185" s="225"/>
      <c r="X185" s="225"/>
      <c r="Y185" s="225"/>
      <c r="Z185" s="225"/>
      <c r="AA185" s="225"/>
      <c r="AB185" s="225"/>
      <c r="AC185" s="225"/>
      <c r="AD185" s="225"/>
    </row>
    <row r="186" spans="1:30" ht="16.5">
      <c r="A186" s="225"/>
      <c r="B186" s="225"/>
      <c r="C186" s="225"/>
      <c r="D186" s="225"/>
      <c r="E186" s="225"/>
      <c r="F186" s="225"/>
      <c r="G186" s="225"/>
      <c r="H186" s="225"/>
      <c r="I186" s="225"/>
      <c r="J186" s="225"/>
      <c r="K186" s="225"/>
      <c r="L186" s="225"/>
      <c r="M186" s="225"/>
      <c r="N186" s="225"/>
      <c r="O186" s="225"/>
      <c r="P186" s="225"/>
      <c r="Q186" s="225"/>
      <c r="R186" s="225"/>
      <c r="S186" s="225"/>
      <c r="T186" s="225"/>
      <c r="U186" s="225"/>
      <c r="V186" s="225"/>
      <c r="W186" s="225"/>
      <c r="X186" s="225"/>
      <c r="Y186" s="225"/>
      <c r="Z186" s="225"/>
      <c r="AA186" s="225"/>
      <c r="AB186" s="225"/>
      <c r="AC186" s="225"/>
      <c r="AD186" s="225"/>
    </row>
    <row r="187" spans="1:30" ht="16.5">
      <c r="A187" s="225"/>
      <c r="B187" s="225"/>
      <c r="C187" s="225"/>
      <c r="D187" s="225"/>
      <c r="E187" s="225"/>
      <c r="F187" s="225"/>
      <c r="G187" s="225"/>
      <c r="H187" s="225"/>
      <c r="I187" s="225"/>
      <c r="J187" s="225"/>
      <c r="K187" s="225"/>
      <c r="L187" s="225"/>
      <c r="M187" s="225"/>
      <c r="N187" s="225"/>
      <c r="O187" s="225"/>
      <c r="P187" s="225"/>
      <c r="Q187" s="225"/>
      <c r="R187" s="225"/>
      <c r="S187" s="225"/>
      <c r="T187" s="225"/>
      <c r="U187" s="225"/>
      <c r="V187" s="225"/>
      <c r="W187" s="225"/>
      <c r="X187" s="225"/>
      <c r="Y187" s="225"/>
      <c r="Z187" s="225"/>
      <c r="AA187" s="225"/>
      <c r="AB187" s="225"/>
      <c r="AC187" s="225"/>
      <c r="AD187" s="225"/>
    </row>
    <row r="188" spans="1:30" ht="16.5">
      <c r="A188" s="225"/>
      <c r="B188" s="225"/>
      <c r="C188" s="225"/>
      <c r="D188" s="225"/>
      <c r="E188" s="225"/>
      <c r="F188" s="225"/>
      <c r="G188" s="225"/>
      <c r="H188" s="225"/>
      <c r="I188" s="225"/>
      <c r="J188" s="225"/>
      <c r="K188" s="225"/>
      <c r="L188" s="225"/>
      <c r="M188" s="225"/>
      <c r="N188" s="225"/>
      <c r="O188" s="225"/>
      <c r="P188" s="225"/>
      <c r="Q188" s="225"/>
      <c r="R188" s="225"/>
      <c r="S188" s="225"/>
      <c r="T188" s="225"/>
      <c r="U188" s="225"/>
      <c r="V188" s="225"/>
      <c r="W188" s="225"/>
      <c r="X188" s="225"/>
      <c r="Y188" s="225"/>
      <c r="Z188" s="225"/>
      <c r="AA188" s="225"/>
      <c r="AB188" s="225"/>
      <c r="AC188" s="225"/>
      <c r="AD188" s="225"/>
    </row>
    <row r="189" spans="1:30" ht="16.5">
      <c r="A189" s="225"/>
      <c r="B189" s="225"/>
      <c r="C189" s="225"/>
      <c r="D189" s="225"/>
      <c r="E189" s="225"/>
      <c r="F189" s="225"/>
      <c r="G189" s="225"/>
      <c r="H189" s="225"/>
      <c r="I189" s="225"/>
      <c r="J189" s="225"/>
      <c r="K189" s="225"/>
      <c r="L189" s="225"/>
      <c r="M189" s="225"/>
      <c r="N189" s="225"/>
      <c r="O189" s="225"/>
      <c r="P189" s="225"/>
      <c r="Q189" s="225"/>
      <c r="R189" s="225"/>
      <c r="S189" s="225"/>
      <c r="T189" s="225"/>
      <c r="U189" s="225"/>
      <c r="V189" s="225"/>
      <c r="W189" s="225"/>
      <c r="X189" s="225"/>
      <c r="Y189" s="225"/>
      <c r="Z189" s="225"/>
      <c r="AA189" s="225"/>
      <c r="AB189" s="225"/>
      <c r="AC189" s="225"/>
      <c r="AD189" s="225"/>
    </row>
    <row r="190" spans="1:30" ht="16.5">
      <c r="A190" s="225"/>
      <c r="B190" s="225"/>
      <c r="C190" s="225"/>
      <c r="D190" s="225"/>
      <c r="E190" s="225"/>
      <c r="F190" s="225"/>
      <c r="G190" s="225"/>
      <c r="H190" s="225"/>
      <c r="I190" s="225"/>
      <c r="J190" s="225"/>
      <c r="K190" s="225"/>
      <c r="L190" s="225"/>
      <c r="M190" s="225"/>
      <c r="N190" s="225"/>
      <c r="O190" s="225"/>
      <c r="P190" s="225"/>
      <c r="Q190" s="225"/>
      <c r="R190" s="225"/>
      <c r="S190" s="225"/>
      <c r="T190" s="225"/>
      <c r="U190" s="225"/>
      <c r="V190" s="225"/>
      <c r="W190" s="225"/>
      <c r="X190" s="225"/>
      <c r="Y190" s="225"/>
      <c r="Z190" s="225"/>
      <c r="AA190" s="225"/>
      <c r="AB190" s="225"/>
      <c r="AC190" s="225"/>
      <c r="AD190" s="225"/>
    </row>
    <row r="191" spans="1:30" ht="16.5">
      <c r="A191" s="225"/>
      <c r="B191" s="225"/>
      <c r="C191" s="225"/>
      <c r="D191" s="225"/>
      <c r="E191" s="225"/>
      <c r="F191" s="225"/>
      <c r="G191" s="225"/>
      <c r="H191" s="225"/>
      <c r="I191" s="225"/>
      <c r="J191" s="225"/>
      <c r="K191" s="225"/>
      <c r="L191" s="225"/>
      <c r="M191" s="225"/>
      <c r="N191" s="225"/>
      <c r="O191" s="225"/>
      <c r="P191" s="225"/>
      <c r="Q191" s="225"/>
      <c r="R191" s="225"/>
      <c r="S191" s="225"/>
      <c r="T191" s="225"/>
      <c r="U191" s="225"/>
      <c r="V191" s="225"/>
      <c r="W191" s="225"/>
      <c r="X191" s="225"/>
      <c r="Y191" s="225"/>
      <c r="Z191" s="225"/>
      <c r="AA191" s="225"/>
      <c r="AB191" s="225"/>
      <c r="AC191" s="225"/>
      <c r="AD191" s="225"/>
    </row>
    <row r="192" spans="1:30" ht="16.5">
      <c r="A192" s="225"/>
      <c r="B192" s="225"/>
      <c r="C192" s="225"/>
      <c r="D192" s="225"/>
      <c r="E192" s="225"/>
      <c r="F192" s="225"/>
      <c r="G192" s="225"/>
      <c r="H192" s="225"/>
      <c r="I192" s="225"/>
      <c r="J192" s="225"/>
      <c r="K192" s="225"/>
      <c r="L192" s="225"/>
      <c r="M192" s="225"/>
      <c r="N192" s="225"/>
      <c r="O192" s="225"/>
      <c r="P192" s="225"/>
      <c r="Q192" s="225"/>
      <c r="R192" s="225"/>
      <c r="S192" s="225"/>
      <c r="T192" s="225"/>
      <c r="U192" s="225"/>
      <c r="V192" s="225"/>
      <c r="W192" s="225"/>
      <c r="X192" s="225"/>
      <c r="Y192" s="225"/>
      <c r="Z192" s="225"/>
      <c r="AA192" s="225"/>
      <c r="AB192" s="225"/>
      <c r="AC192" s="225"/>
      <c r="AD192" s="225"/>
    </row>
    <row r="193" spans="1:30" ht="16.5">
      <c r="A193" s="225"/>
      <c r="B193" s="225"/>
      <c r="C193" s="225"/>
      <c r="D193" s="225"/>
      <c r="E193" s="225"/>
      <c r="F193" s="225"/>
      <c r="G193" s="225"/>
      <c r="H193" s="225"/>
      <c r="I193" s="225"/>
      <c r="J193" s="225"/>
      <c r="K193" s="225"/>
      <c r="L193" s="225"/>
      <c r="M193" s="225"/>
      <c r="N193" s="225"/>
      <c r="O193" s="225"/>
      <c r="P193" s="225"/>
      <c r="Q193" s="225"/>
      <c r="R193" s="225"/>
      <c r="S193" s="225"/>
      <c r="T193" s="225"/>
      <c r="U193" s="225"/>
      <c r="V193" s="225"/>
      <c r="W193" s="225"/>
      <c r="X193" s="225"/>
      <c r="Y193" s="225"/>
      <c r="Z193" s="225"/>
      <c r="AA193" s="225"/>
      <c r="AB193" s="225"/>
      <c r="AC193" s="225"/>
      <c r="AD193" s="225"/>
    </row>
    <row r="194" spans="1:30" ht="16.5">
      <c r="A194" s="225"/>
      <c r="B194" s="225"/>
      <c r="C194" s="225"/>
      <c r="D194" s="225"/>
      <c r="E194" s="225"/>
      <c r="F194" s="225"/>
      <c r="G194" s="225"/>
      <c r="H194" s="225"/>
      <c r="I194" s="225"/>
      <c r="J194" s="225"/>
      <c r="K194" s="225"/>
      <c r="L194" s="225"/>
      <c r="M194" s="225"/>
      <c r="N194" s="225"/>
      <c r="O194" s="225"/>
      <c r="P194" s="225"/>
      <c r="Q194" s="225"/>
      <c r="R194" s="225"/>
      <c r="S194" s="225"/>
      <c r="T194" s="225"/>
      <c r="U194" s="225"/>
      <c r="V194" s="225"/>
      <c r="W194" s="225"/>
      <c r="X194" s="225"/>
      <c r="Y194" s="225"/>
      <c r="Z194" s="225"/>
      <c r="AA194" s="225"/>
      <c r="AB194" s="225"/>
      <c r="AC194" s="225"/>
      <c r="AD194" s="225"/>
    </row>
    <row r="195" spans="1:30" ht="16.5">
      <c r="A195" s="225"/>
      <c r="B195" s="225"/>
      <c r="C195" s="225"/>
      <c r="D195" s="225"/>
      <c r="E195" s="225"/>
      <c r="F195" s="225"/>
      <c r="G195" s="225"/>
      <c r="H195" s="225"/>
      <c r="I195" s="225"/>
      <c r="J195" s="225"/>
      <c r="K195" s="225"/>
      <c r="L195" s="225"/>
      <c r="M195" s="225"/>
      <c r="N195" s="225"/>
      <c r="O195" s="225"/>
      <c r="P195" s="225"/>
      <c r="Q195" s="225"/>
      <c r="R195" s="225"/>
      <c r="S195" s="225"/>
      <c r="T195" s="225"/>
      <c r="U195" s="225"/>
      <c r="V195" s="225"/>
      <c r="W195" s="225"/>
      <c r="X195" s="225"/>
      <c r="Y195" s="225"/>
      <c r="Z195" s="225"/>
      <c r="AA195" s="225"/>
      <c r="AB195" s="225"/>
      <c r="AC195" s="225"/>
      <c r="AD195" s="225"/>
    </row>
    <row r="196" spans="1:30" ht="16.5">
      <c r="A196" s="225"/>
      <c r="B196" s="225"/>
      <c r="C196" s="225"/>
      <c r="D196" s="225"/>
      <c r="E196" s="225"/>
      <c r="F196" s="225"/>
      <c r="G196" s="225"/>
      <c r="H196" s="225"/>
      <c r="I196" s="225"/>
      <c r="J196" s="225"/>
      <c r="K196" s="225"/>
      <c r="L196" s="225"/>
      <c r="M196" s="225"/>
      <c r="N196" s="225"/>
      <c r="O196" s="225"/>
      <c r="P196" s="225"/>
      <c r="Q196" s="225"/>
      <c r="R196" s="225"/>
      <c r="S196" s="225"/>
      <c r="T196" s="225"/>
      <c r="U196" s="225"/>
      <c r="V196" s="225"/>
      <c r="W196" s="225"/>
      <c r="X196" s="225"/>
      <c r="Y196" s="225"/>
      <c r="Z196" s="225"/>
      <c r="AA196" s="225"/>
      <c r="AB196" s="225"/>
      <c r="AC196" s="225"/>
      <c r="AD196" s="225"/>
    </row>
    <row r="197" spans="1:30" ht="16.5">
      <c r="A197" s="225"/>
      <c r="B197" s="225"/>
      <c r="C197" s="225"/>
      <c r="D197" s="225"/>
      <c r="E197" s="225"/>
      <c r="F197" s="225"/>
      <c r="G197" s="225"/>
      <c r="H197" s="225"/>
      <c r="I197" s="225"/>
      <c r="J197" s="225"/>
      <c r="K197" s="225"/>
      <c r="L197" s="225"/>
      <c r="M197" s="225"/>
      <c r="N197" s="225"/>
      <c r="O197" s="225"/>
      <c r="P197" s="225"/>
      <c r="Q197" s="225"/>
      <c r="R197" s="225"/>
      <c r="S197" s="225"/>
      <c r="T197" s="225"/>
      <c r="U197" s="225"/>
      <c r="V197" s="225"/>
      <c r="W197" s="225"/>
      <c r="X197" s="225"/>
      <c r="Y197" s="225"/>
      <c r="Z197" s="225"/>
      <c r="AA197" s="225"/>
      <c r="AB197" s="225"/>
      <c r="AC197" s="225"/>
      <c r="AD197" s="225"/>
    </row>
    <row r="198" spans="1:30" ht="16.5">
      <c r="A198" s="225"/>
      <c r="B198" s="225"/>
      <c r="C198" s="225"/>
      <c r="D198" s="225"/>
      <c r="E198" s="225"/>
      <c r="F198" s="225"/>
      <c r="G198" s="225"/>
      <c r="H198" s="225"/>
      <c r="I198" s="225"/>
      <c r="J198" s="225"/>
      <c r="K198" s="225"/>
      <c r="L198" s="225"/>
      <c r="M198" s="225"/>
      <c r="N198" s="225"/>
      <c r="O198" s="225"/>
      <c r="P198" s="225"/>
      <c r="Q198" s="225"/>
      <c r="R198" s="225"/>
      <c r="S198" s="225"/>
      <c r="T198" s="225"/>
      <c r="U198" s="225"/>
      <c r="V198" s="225"/>
      <c r="W198" s="225"/>
      <c r="X198" s="225"/>
      <c r="Y198" s="225"/>
      <c r="Z198" s="225"/>
      <c r="AA198" s="225"/>
      <c r="AB198" s="225"/>
      <c r="AC198" s="225"/>
      <c r="AD198" s="225"/>
    </row>
    <row r="199" spans="1:30" ht="16.5">
      <c r="A199" s="225"/>
      <c r="B199" s="225"/>
      <c r="C199" s="225"/>
      <c r="D199" s="225"/>
      <c r="E199" s="225"/>
      <c r="F199" s="225"/>
      <c r="G199" s="225"/>
      <c r="H199" s="225"/>
      <c r="I199" s="225"/>
      <c r="J199" s="225"/>
      <c r="K199" s="225"/>
      <c r="L199" s="225"/>
      <c r="M199" s="225"/>
      <c r="N199" s="225"/>
      <c r="O199" s="225"/>
      <c r="P199" s="225"/>
      <c r="Q199" s="225"/>
      <c r="R199" s="225"/>
      <c r="S199" s="225"/>
      <c r="T199" s="225"/>
      <c r="U199" s="225"/>
      <c r="V199" s="225"/>
      <c r="W199" s="225"/>
      <c r="X199" s="225"/>
      <c r="Y199" s="225"/>
      <c r="Z199" s="225"/>
      <c r="AA199" s="225"/>
      <c r="AB199" s="225"/>
      <c r="AC199" s="225"/>
      <c r="AD199" s="225"/>
    </row>
    <row r="200" spans="1:30" ht="16.5">
      <c r="A200" s="225"/>
      <c r="B200" s="225"/>
      <c r="C200" s="225"/>
      <c r="D200" s="225"/>
      <c r="E200" s="225"/>
      <c r="F200" s="225"/>
      <c r="G200" s="225"/>
      <c r="H200" s="225"/>
      <c r="I200" s="225"/>
      <c r="J200" s="225"/>
      <c r="K200" s="225"/>
      <c r="L200" s="225"/>
      <c r="M200" s="225"/>
      <c r="N200" s="225"/>
      <c r="O200" s="225"/>
      <c r="P200" s="225"/>
      <c r="Q200" s="225"/>
      <c r="R200" s="225"/>
      <c r="S200" s="225"/>
      <c r="T200" s="225"/>
      <c r="U200" s="225"/>
      <c r="V200" s="225"/>
      <c r="W200" s="225"/>
      <c r="X200" s="225"/>
      <c r="Y200" s="225"/>
      <c r="Z200" s="225"/>
      <c r="AA200" s="225"/>
      <c r="AB200" s="225"/>
      <c r="AC200" s="225"/>
      <c r="AD200" s="225"/>
    </row>
    <row r="201" spans="1:30" ht="16.5">
      <c r="A201" s="225"/>
      <c r="B201" s="225"/>
      <c r="C201" s="225"/>
      <c r="D201" s="225"/>
      <c r="E201" s="225"/>
      <c r="F201" s="225"/>
      <c r="G201" s="225"/>
      <c r="H201" s="225"/>
      <c r="I201" s="225"/>
      <c r="J201" s="225"/>
      <c r="K201" s="225"/>
      <c r="L201" s="225"/>
      <c r="M201" s="225"/>
      <c r="N201" s="225"/>
      <c r="O201" s="225"/>
      <c r="P201" s="225"/>
      <c r="Q201" s="225"/>
      <c r="R201" s="225"/>
      <c r="S201" s="225"/>
      <c r="T201" s="225"/>
      <c r="U201" s="225"/>
      <c r="V201" s="225"/>
      <c r="W201" s="225"/>
      <c r="X201" s="225"/>
      <c r="Y201" s="225"/>
      <c r="Z201" s="225"/>
      <c r="AA201" s="225"/>
      <c r="AB201" s="225"/>
      <c r="AC201" s="225"/>
      <c r="AD201" s="225"/>
    </row>
    <row r="202" spans="1:30" ht="16.5">
      <c r="A202" s="225"/>
      <c r="B202" s="225"/>
      <c r="C202" s="225"/>
      <c r="D202" s="225"/>
      <c r="E202" s="225"/>
      <c r="F202" s="225"/>
      <c r="G202" s="225"/>
      <c r="H202" s="225"/>
      <c r="I202" s="225"/>
      <c r="J202" s="225"/>
      <c r="K202" s="225"/>
      <c r="L202" s="225"/>
      <c r="M202" s="225"/>
      <c r="N202" s="225"/>
      <c r="O202" s="225"/>
      <c r="P202" s="225"/>
      <c r="Q202" s="225"/>
      <c r="R202" s="225"/>
      <c r="S202" s="225"/>
      <c r="T202" s="225"/>
      <c r="U202" s="225"/>
      <c r="V202" s="225"/>
      <c r="W202" s="225"/>
      <c r="X202" s="225"/>
      <c r="Y202" s="225"/>
      <c r="Z202" s="225"/>
      <c r="AA202" s="225"/>
      <c r="AB202" s="225"/>
      <c r="AC202" s="225"/>
      <c r="AD202" s="225"/>
    </row>
    <row r="203" spans="1:30" ht="16.5">
      <c r="A203" s="225"/>
      <c r="B203" s="225"/>
      <c r="C203" s="225"/>
      <c r="D203" s="225"/>
      <c r="E203" s="225"/>
      <c r="F203" s="225"/>
      <c r="G203" s="225"/>
      <c r="H203" s="225"/>
      <c r="I203" s="225"/>
      <c r="J203" s="225"/>
      <c r="K203" s="225"/>
      <c r="L203" s="225"/>
      <c r="M203" s="225"/>
      <c r="N203" s="225"/>
      <c r="O203" s="225"/>
      <c r="P203" s="225"/>
      <c r="Q203" s="225"/>
      <c r="R203" s="225"/>
      <c r="S203" s="225"/>
      <c r="T203" s="225"/>
      <c r="U203" s="225"/>
      <c r="V203" s="225"/>
      <c r="W203" s="225"/>
      <c r="X203" s="225"/>
      <c r="Y203" s="225"/>
      <c r="Z203" s="225"/>
      <c r="AA203" s="225"/>
      <c r="AB203" s="225"/>
      <c r="AC203" s="225"/>
      <c r="AD203" s="225"/>
    </row>
    <row r="204" spans="1:30" ht="16.5">
      <c r="A204" s="225"/>
      <c r="B204" s="225"/>
      <c r="C204" s="225"/>
      <c r="D204" s="225"/>
      <c r="E204" s="225"/>
      <c r="F204" s="225"/>
      <c r="G204" s="225"/>
      <c r="H204" s="225"/>
      <c r="I204" s="225"/>
      <c r="J204" s="225"/>
      <c r="K204" s="225"/>
      <c r="L204" s="225"/>
      <c r="M204" s="225"/>
      <c r="N204" s="225"/>
      <c r="O204" s="225"/>
      <c r="P204" s="225"/>
      <c r="Q204" s="225"/>
      <c r="R204" s="225"/>
      <c r="S204" s="225"/>
      <c r="T204" s="225"/>
      <c r="U204" s="225"/>
      <c r="V204" s="225"/>
      <c r="W204" s="225"/>
      <c r="X204" s="225"/>
      <c r="Y204" s="225"/>
      <c r="Z204" s="225"/>
      <c r="AA204" s="225"/>
      <c r="AB204" s="225"/>
      <c r="AC204" s="225"/>
      <c r="AD204" s="225"/>
    </row>
    <row r="205" spans="1:30" ht="16.5">
      <c r="A205" s="225"/>
      <c r="B205" s="225"/>
      <c r="C205" s="225"/>
      <c r="D205" s="225"/>
      <c r="E205" s="225"/>
      <c r="F205" s="225"/>
      <c r="G205" s="225"/>
      <c r="H205" s="225"/>
      <c r="I205" s="225"/>
      <c r="J205" s="225"/>
      <c r="K205" s="225"/>
      <c r="L205" s="225"/>
      <c r="M205" s="225"/>
      <c r="N205" s="225"/>
      <c r="O205" s="225"/>
      <c r="P205" s="225"/>
      <c r="Q205" s="225"/>
      <c r="R205" s="225"/>
      <c r="S205" s="225"/>
      <c r="T205" s="225"/>
      <c r="U205" s="225"/>
      <c r="V205" s="225"/>
      <c r="W205" s="225"/>
      <c r="X205" s="225"/>
      <c r="Y205" s="225"/>
      <c r="Z205" s="225"/>
      <c r="AA205" s="225"/>
      <c r="AB205" s="225"/>
      <c r="AC205" s="225"/>
      <c r="AD205" s="225"/>
    </row>
    <row r="206" spans="1:30" ht="16.5">
      <c r="A206" s="225"/>
      <c r="B206" s="225"/>
      <c r="C206" s="225"/>
      <c r="D206" s="225"/>
      <c r="E206" s="225"/>
      <c r="F206" s="225"/>
      <c r="G206" s="225"/>
      <c r="H206" s="225"/>
      <c r="I206" s="225"/>
      <c r="J206" s="225"/>
      <c r="K206" s="225"/>
      <c r="L206" s="225"/>
      <c r="M206" s="225"/>
      <c r="N206" s="225"/>
      <c r="O206" s="225"/>
      <c r="P206" s="225"/>
      <c r="Q206" s="225"/>
      <c r="R206" s="225"/>
      <c r="S206" s="225"/>
      <c r="T206" s="225"/>
      <c r="U206" s="225"/>
      <c r="V206" s="225"/>
      <c r="W206" s="225"/>
      <c r="X206" s="225"/>
      <c r="Y206" s="225"/>
      <c r="Z206" s="225"/>
      <c r="AA206" s="225"/>
      <c r="AB206" s="225"/>
      <c r="AC206" s="225"/>
      <c r="AD206" s="225"/>
    </row>
    <row r="207" spans="1:30" ht="16.5">
      <c r="A207" s="225"/>
      <c r="B207" s="225"/>
      <c r="C207" s="225"/>
      <c r="D207" s="225"/>
      <c r="E207" s="225"/>
      <c r="F207" s="225"/>
      <c r="G207" s="225"/>
      <c r="H207" s="225"/>
      <c r="I207" s="225"/>
      <c r="J207" s="225"/>
      <c r="K207" s="225"/>
      <c r="L207" s="225"/>
      <c r="M207" s="225"/>
      <c r="N207" s="225"/>
      <c r="O207" s="225"/>
      <c r="P207" s="225"/>
      <c r="Q207" s="225"/>
      <c r="R207" s="225"/>
      <c r="S207" s="225"/>
      <c r="T207" s="225"/>
      <c r="U207" s="225"/>
      <c r="V207" s="225"/>
      <c r="W207" s="225"/>
      <c r="X207" s="225"/>
      <c r="Y207" s="225"/>
      <c r="Z207" s="225"/>
      <c r="AA207" s="225"/>
      <c r="AB207" s="225"/>
      <c r="AC207" s="225"/>
      <c r="AD207" s="225"/>
    </row>
    <row r="208" spans="1:30" ht="16.5">
      <c r="A208" s="225"/>
      <c r="B208" s="225"/>
      <c r="C208" s="225"/>
      <c r="D208" s="225"/>
      <c r="E208" s="225"/>
      <c r="F208" s="225"/>
      <c r="G208" s="225"/>
      <c r="H208" s="225"/>
      <c r="I208" s="225"/>
      <c r="J208" s="225"/>
      <c r="K208" s="225"/>
      <c r="L208" s="225"/>
      <c r="M208" s="225"/>
      <c r="N208" s="225"/>
      <c r="O208" s="225"/>
      <c r="P208" s="225"/>
      <c r="Q208" s="225"/>
      <c r="R208" s="225"/>
      <c r="S208" s="225"/>
      <c r="T208" s="225"/>
      <c r="U208" s="225"/>
      <c r="V208" s="225"/>
      <c r="W208" s="225"/>
      <c r="X208" s="225"/>
      <c r="Y208" s="225"/>
      <c r="Z208" s="225"/>
      <c r="AA208" s="225"/>
      <c r="AB208" s="225"/>
      <c r="AC208" s="225"/>
      <c r="AD208" s="225"/>
    </row>
    <row r="209" spans="1:30" ht="16.5">
      <c r="A209" s="225"/>
      <c r="B209" s="225"/>
      <c r="C209" s="225"/>
      <c r="D209" s="225"/>
      <c r="E209" s="225"/>
      <c r="F209" s="225"/>
      <c r="G209" s="225"/>
      <c r="H209" s="225"/>
      <c r="I209" s="225"/>
      <c r="J209" s="225"/>
      <c r="K209" s="225"/>
      <c r="L209" s="225"/>
      <c r="M209" s="225"/>
      <c r="N209" s="225"/>
      <c r="O209" s="225"/>
      <c r="P209" s="225"/>
      <c r="Q209" s="225"/>
      <c r="R209" s="225"/>
      <c r="S209" s="225"/>
      <c r="T209" s="225"/>
      <c r="U209" s="225"/>
      <c r="V209" s="225"/>
      <c r="W209" s="225"/>
      <c r="X209" s="225"/>
      <c r="Y209" s="225"/>
      <c r="Z209" s="225"/>
      <c r="AA209" s="225"/>
      <c r="AB209" s="225"/>
      <c r="AC209" s="225"/>
      <c r="AD209" s="225"/>
    </row>
    <row r="210" spans="1:30" ht="16.5">
      <c r="A210" s="225"/>
      <c r="B210" s="225"/>
      <c r="C210" s="225"/>
      <c r="D210" s="225"/>
      <c r="E210" s="225"/>
      <c r="F210" s="225"/>
      <c r="G210" s="225"/>
      <c r="H210" s="225"/>
      <c r="I210" s="225"/>
      <c r="J210" s="225"/>
      <c r="K210" s="225"/>
      <c r="L210" s="225"/>
      <c r="M210" s="225"/>
      <c r="N210" s="225"/>
      <c r="O210" s="225"/>
      <c r="P210" s="225"/>
      <c r="Q210" s="225"/>
      <c r="R210" s="225"/>
      <c r="S210" s="225"/>
      <c r="T210" s="225"/>
      <c r="U210" s="225"/>
      <c r="V210" s="225"/>
      <c r="W210" s="225"/>
      <c r="X210" s="225"/>
      <c r="Y210" s="225"/>
      <c r="Z210" s="225"/>
      <c r="AA210" s="225"/>
      <c r="AB210" s="225"/>
      <c r="AC210" s="225"/>
      <c r="AD210" s="225"/>
    </row>
    <row r="211" spans="1:30" ht="16.5">
      <c r="A211" s="225"/>
      <c r="B211" s="225"/>
      <c r="C211" s="225"/>
      <c r="D211" s="225"/>
      <c r="E211" s="225"/>
      <c r="F211" s="225"/>
      <c r="G211" s="225"/>
      <c r="H211" s="225"/>
      <c r="I211" s="225"/>
      <c r="J211" s="225"/>
      <c r="K211" s="225"/>
      <c r="L211" s="225"/>
      <c r="M211" s="225"/>
      <c r="N211" s="225"/>
      <c r="O211" s="225"/>
      <c r="P211" s="225"/>
      <c r="Q211" s="225"/>
      <c r="R211" s="225"/>
      <c r="S211" s="225"/>
      <c r="T211" s="225"/>
      <c r="U211" s="225"/>
      <c r="V211" s="225"/>
      <c r="W211" s="225"/>
      <c r="X211" s="225"/>
      <c r="Y211" s="225"/>
      <c r="Z211" s="225"/>
      <c r="AA211" s="225"/>
      <c r="AB211" s="225"/>
      <c r="AC211" s="225"/>
      <c r="AD211" s="225"/>
    </row>
    <row r="212" spans="1:30" ht="16.5">
      <c r="A212" s="225"/>
      <c r="B212" s="225"/>
      <c r="C212" s="225"/>
      <c r="D212" s="225"/>
      <c r="E212" s="225"/>
      <c r="F212" s="225"/>
      <c r="G212" s="225"/>
      <c r="H212" s="225"/>
      <c r="I212" s="225"/>
      <c r="J212" s="225"/>
      <c r="K212" s="225"/>
      <c r="L212" s="225"/>
      <c r="M212" s="225"/>
      <c r="N212" s="225"/>
      <c r="O212" s="225"/>
      <c r="P212" s="225"/>
      <c r="Q212" s="225"/>
      <c r="R212" s="225"/>
      <c r="S212" s="225"/>
      <c r="T212" s="225"/>
      <c r="U212" s="225"/>
      <c r="V212" s="225"/>
      <c r="W212" s="225"/>
      <c r="X212" s="225"/>
      <c r="Y212" s="225"/>
      <c r="Z212" s="225"/>
      <c r="AA212" s="225"/>
      <c r="AB212" s="225"/>
      <c r="AC212" s="225"/>
      <c r="AD212" s="225"/>
    </row>
    <row r="213" spans="1:30" ht="16.5">
      <c r="A213" s="225"/>
      <c r="B213" s="225"/>
      <c r="C213" s="225"/>
      <c r="D213" s="225"/>
      <c r="E213" s="225"/>
      <c r="F213" s="225"/>
      <c r="G213" s="225"/>
      <c r="H213" s="225"/>
      <c r="I213" s="225"/>
      <c r="J213" s="225"/>
      <c r="K213" s="225"/>
      <c r="L213" s="225"/>
      <c r="M213" s="225"/>
      <c r="N213" s="225"/>
      <c r="O213" s="225"/>
      <c r="P213" s="225"/>
      <c r="Q213" s="225"/>
      <c r="R213" s="225"/>
      <c r="S213" s="225"/>
      <c r="T213" s="225"/>
      <c r="U213" s="225"/>
      <c r="V213" s="225"/>
      <c r="W213" s="225"/>
      <c r="X213" s="225"/>
      <c r="Y213" s="225"/>
      <c r="Z213" s="225"/>
      <c r="AA213" s="225"/>
      <c r="AB213" s="225"/>
      <c r="AC213" s="225"/>
      <c r="AD213" s="225"/>
    </row>
    <row r="214" spans="1:30" ht="16.5">
      <c r="A214" s="225"/>
      <c r="B214" s="225"/>
      <c r="C214" s="225"/>
      <c r="D214" s="225"/>
      <c r="E214" s="225"/>
      <c r="F214" s="225"/>
      <c r="G214" s="225"/>
      <c r="H214" s="225"/>
      <c r="I214" s="225"/>
      <c r="J214" s="225"/>
      <c r="K214" s="225"/>
      <c r="L214" s="225"/>
      <c r="M214" s="225"/>
      <c r="N214" s="225"/>
      <c r="O214" s="225"/>
      <c r="P214" s="225"/>
      <c r="Q214" s="225"/>
      <c r="R214" s="225"/>
      <c r="S214" s="225"/>
      <c r="T214" s="225"/>
      <c r="U214" s="225"/>
      <c r="V214" s="225"/>
      <c r="W214" s="225"/>
      <c r="X214" s="225"/>
      <c r="Y214" s="225"/>
      <c r="Z214" s="225"/>
      <c r="AA214" s="225"/>
      <c r="AB214" s="225"/>
      <c r="AC214" s="225"/>
      <c r="AD214" s="225"/>
    </row>
  </sheetData>
  <phoneticPr fontId="64"/>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H21:H30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AC816"/>
  <sheetViews>
    <sheetView zoomScale="90" zoomScaleNormal="90" workbookViewId="0">
      <pane xSplit="2" ySplit="1" topLeftCell="C790" activePane="bottomRight" state="frozen"/>
      <selection pane="topRight" activeCell="C1" sqref="C1"/>
      <selection pane="bottomLeft" activeCell="A2" sqref="A2"/>
      <selection pane="bottomRight" activeCell="E805" sqref="E805"/>
    </sheetView>
  </sheetViews>
  <sheetFormatPr defaultRowHeight="15.75"/>
  <cols>
    <col min="1" max="1" width="21.125" style="136" customWidth="1"/>
    <col min="2" max="2" width="15.625" style="116" customWidth="1"/>
    <col min="3" max="3" width="28.25" style="145" customWidth="1"/>
    <col min="4" max="4" width="10.125" style="108" customWidth="1"/>
    <col min="5" max="5" width="14" style="108" customWidth="1"/>
    <col min="6" max="6" width="9.5" style="139" customWidth="1"/>
    <col min="7" max="7" width="11.25" style="139" customWidth="1"/>
    <col min="8" max="8" width="8.625" style="116" customWidth="1"/>
    <col min="9" max="9" width="12" style="112" customWidth="1"/>
    <col min="10" max="11" width="15.5" style="112" customWidth="1"/>
    <col min="12" max="12" width="10.625" style="109" customWidth="1"/>
    <col min="13" max="13" width="12.75" style="109" customWidth="1"/>
    <col min="14" max="14" width="16.125" style="109" customWidth="1"/>
    <col min="15" max="15" width="17.75" style="112" customWidth="1"/>
    <col min="16" max="17" width="23.5" style="112" customWidth="1"/>
    <col min="18" max="19" width="10.75" style="112" customWidth="1"/>
    <col min="20" max="20" width="10.875" style="112" customWidth="1"/>
    <col min="21" max="23" width="10.625" style="112" customWidth="1"/>
    <col min="24" max="26" width="8" style="106" customWidth="1"/>
    <col min="27" max="27" width="27.375" style="106" customWidth="1"/>
    <col min="28" max="28" width="9" style="106"/>
    <col min="29" max="29" width="14.25" style="106" customWidth="1"/>
    <col min="30" max="16384" width="9" style="106"/>
  </cols>
  <sheetData>
    <row r="1" spans="1:29">
      <c r="A1" s="163" t="s">
        <v>2274</v>
      </c>
      <c r="B1" s="164" t="s">
        <v>0</v>
      </c>
      <c r="C1" s="165" t="s">
        <v>2617</v>
      </c>
      <c r="D1" s="166" t="s">
        <v>2684</v>
      </c>
      <c r="E1" s="166" t="s">
        <v>2685</v>
      </c>
      <c r="F1" s="144" t="s">
        <v>3066</v>
      </c>
      <c r="G1" s="144" t="s">
        <v>3141</v>
      </c>
      <c r="H1" s="164" t="s">
        <v>2293</v>
      </c>
      <c r="I1" s="103" t="s">
        <v>2404</v>
      </c>
      <c r="J1" s="103" t="s">
        <v>3165</v>
      </c>
      <c r="K1" s="103" t="s">
        <v>2227</v>
      </c>
      <c r="L1" s="105" t="s">
        <v>2224</v>
      </c>
      <c r="M1" s="104" t="s">
        <v>2297</v>
      </c>
      <c r="N1" s="104" t="s">
        <v>1457</v>
      </c>
      <c r="O1" s="103" t="s">
        <v>2415</v>
      </c>
      <c r="P1" s="103" t="s">
        <v>2226</v>
      </c>
      <c r="Q1" s="103" t="s">
        <v>4811</v>
      </c>
      <c r="R1" s="103" t="s">
        <v>4810</v>
      </c>
      <c r="S1" s="103" t="s">
        <v>4808</v>
      </c>
      <c r="T1" s="103" t="s">
        <v>4806</v>
      </c>
      <c r="U1" s="103" t="s">
        <v>4763</v>
      </c>
      <c r="V1" s="103" t="s">
        <v>4807</v>
      </c>
      <c r="W1" s="103" t="s">
        <v>4809</v>
      </c>
      <c r="X1" s="104" t="s">
        <v>2302</v>
      </c>
      <c r="Y1" s="104" t="s">
        <v>2303</v>
      </c>
      <c r="Z1" s="104" t="s">
        <v>2407</v>
      </c>
      <c r="AA1" s="104" t="s">
        <v>2421</v>
      </c>
      <c r="AB1" s="104" t="s">
        <v>2225</v>
      </c>
      <c r="AC1" s="104" t="s">
        <v>2301</v>
      </c>
    </row>
    <row r="2" spans="1:29">
      <c r="A2" s="136" t="s">
        <v>2290</v>
      </c>
      <c r="B2" s="127"/>
      <c r="C2" s="169" t="s">
        <v>2773</v>
      </c>
      <c r="E2" s="108" t="s">
        <v>2666</v>
      </c>
      <c r="H2" s="127"/>
      <c r="I2" s="110"/>
      <c r="J2" s="110"/>
      <c r="K2" s="110"/>
      <c r="M2" s="113"/>
      <c r="N2" s="111" t="s">
        <v>2237</v>
      </c>
      <c r="O2" s="110"/>
      <c r="AC2" s="112"/>
    </row>
    <row r="3" spans="1:29">
      <c r="A3" s="124" t="s">
        <v>284</v>
      </c>
      <c r="B3" s="124" t="s">
        <v>286</v>
      </c>
      <c r="C3" s="145" t="s">
        <v>2846</v>
      </c>
      <c r="F3" s="139">
        <v>462</v>
      </c>
      <c r="H3" s="124"/>
      <c r="M3" s="113"/>
      <c r="N3" s="111"/>
    </row>
    <row r="4" spans="1:29" ht="31.5">
      <c r="A4" s="115" t="s">
        <v>3094</v>
      </c>
      <c r="B4" s="115" t="s">
        <v>1851</v>
      </c>
      <c r="C4" s="145" t="s">
        <v>2884</v>
      </c>
      <c r="F4" s="139">
        <v>366</v>
      </c>
      <c r="H4" s="115"/>
      <c r="I4" s="115"/>
      <c r="J4" s="115"/>
      <c r="K4" s="115"/>
      <c r="L4" s="115" t="s">
        <v>1289</v>
      </c>
      <c r="M4" s="114"/>
      <c r="N4" s="114" t="s">
        <v>1778</v>
      </c>
      <c r="O4" s="115"/>
    </row>
    <row r="5" spans="1:29">
      <c r="A5" s="124" t="s">
        <v>819</v>
      </c>
      <c r="B5" s="124" t="s">
        <v>818</v>
      </c>
      <c r="C5" s="145" t="s">
        <v>2885</v>
      </c>
      <c r="E5" s="108" t="s">
        <v>2666</v>
      </c>
      <c r="H5" s="124"/>
      <c r="J5" s="110"/>
      <c r="K5" s="110"/>
      <c r="L5" s="116"/>
      <c r="M5" s="117"/>
      <c r="N5" s="111"/>
    </row>
    <row r="6" spans="1:29">
      <c r="A6" s="115" t="s">
        <v>1909</v>
      </c>
      <c r="B6" s="115" t="s">
        <v>1910</v>
      </c>
      <c r="C6" s="145" t="s">
        <v>2886</v>
      </c>
      <c r="F6" s="139">
        <v>48</v>
      </c>
      <c r="H6" s="115"/>
      <c r="I6" s="115"/>
      <c r="J6" s="115"/>
      <c r="K6" s="115"/>
      <c r="L6" s="115" t="s">
        <v>1262</v>
      </c>
      <c r="M6" s="107"/>
      <c r="N6" s="114" t="s">
        <v>1733</v>
      </c>
      <c r="O6" s="115"/>
    </row>
    <row r="7" spans="1:29">
      <c r="A7" s="115" t="s">
        <v>2047</v>
      </c>
      <c r="B7" s="115" t="s">
        <v>1910</v>
      </c>
      <c r="C7" s="145" t="s">
        <v>2886</v>
      </c>
      <c r="F7" s="139">
        <v>48</v>
      </c>
      <c r="H7" s="115"/>
      <c r="I7" s="115"/>
      <c r="J7" s="115"/>
      <c r="K7" s="115"/>
      <c r="L7" s="115" t="s">
        <v>2046</v>
      </c>
      <c r="M7" s="114"/>
      <c r="N7" s="114"/>
      <c r="O7" s="115"/>
    </row>
    <row r="8" spans="1:29" ht="31.5">
      <c r="A8" s="115" t="s">
        <v>2030</v>
      </c>
      <c r="B8" s="115" t="s">
        <v>2031</v>
      </c>
      <c r="C8" s="145" t="s">
        <v>2887</v>
      </c>
      <c r="F8" s="139">
        <v>52</v>
      </c>
      <c r="H8" s="115"/>
      <c r="I8" s="115"/>
      <c r="J8" s="115"/>
      <c r="K8" s="115"/>
      <c r="L8" s="115" t="s">
        <v>1262</v>
      </c>
      <c r="M8" s="114"/>
      <c r="N8" s="114" t="s">
        <v>1812</v>
      </c>
      <c r="O8" s="115"/>
    </row>
    <row r="9" spans="1:29">
      <c r="A9" s="124" t="s">
        <v>768</v>
      </c>
      <c r="B9" s="124" t="s">
        <v>290</v>
      </c>
      <c r="C9" s="145" t="s">
        <v>2864</v>
      </c>
      <c r="F9" s="139">
        <v>461</v>
      </c>
      <c r="H9" s="124"/>
      <c r="M9" s="113"/>
      <c r="N9" s="111"/>
    </row>
    <row r="10" spans="1:29">
      <c r="A10" s="136" t="s">
        <v>1258</v>
      </c>
      <c r="B10" s="127"/>
      <c r="C10" s="145" t="s">
        <v>2888</v>
      </c>
      <c r="F10" s="139">
        <v>386</v>
      </c>
      <c r="H10" s="127"/>
      <c r="M10" s="111"/>
      <c r="N10" s="111" t="s">
        <v>2238</v>
      </c>
    </row>
    <row r="11" spans="1:29">
      <c r="A11" s="124" t="s">
        <v>1074</v>
      </c>
      <c r="B11" s="124" t="s">
        <v>1073</v>
      </c>
      <c r="C11" s="145" t="s">
        <v>2826</v>
      </c>
      <c r="F11" s="139">
        <v>148</v>
      </c>
      <c r="H11" s="124"/>
      <c r="M11" s="111"/>
      <c r="N11" s="111"/>
    </row>
    <row r="12" spans="1:29">
      <c r="A12" s="118" t="s">
        <v>2532</v>
      </c>
      <c r="B12" s="150" t="s">
        <v>2483</v>
      </c>
      <c r="C12" s="151" t="s">
        <v>2642</v>
      </c>
      <c r="D12" s="118"/>
      <c r="E12" s="118"/>
      <c r="F12" s="140">
        <v>303</v>
      </c>
      <c r="G12" s="140"/>
      <c r="H12" s="118"/>
      <c r="I12" s="120"/>
      <c r="J12" s="120"/>
      <c r="K12" s="120"/>
      <c r="L12" s="158"/>
      <c r="M12" s="107"/>
      <c r="N12" s="117" t="s">
        <v>2236</v>
      </c>
      <c r="O12" s="120"/>
      <c r="P12" s="120"/>
      <c r="Q12" s="120"/>
      <c r="R12" s="120"/>
      <c r="S12" s="120"/>
      <c r="T12" s="120"/>
      <c r="U12" s="120"/>
      <c r="V12" s="120"/>
      <c r="W12" s="120"/>
      <c r="X12" s="120"/>
      <c r="Y12" s="120"/>
      <c r="Z12" s="120"/>
      <c r="AA12" s="120"/>
      <c r="AB12" s="120"/>
      <c r="AC12" s="120"/>
    </row>
    <row r="13" spans="1:29" ht="31.5">
      <c r="A13" s="115" t="s">
        <v>1562</v>
      </c>
      <c r="B13" s="127" t="s">
        <v>1561</v>
      </c>
      <c r="C13" s="145" t="s">
        <v>2889</v>
      </c>
      <c r="F13" s="139">
        <v>332</v>
      </c>
      <c r="H13" s="127"/>
      <c r="I13" s="115"/>
      <c r="J13" s="115"/>
      <c r="K13" s="115"/>
      <c r="L13" s="160"/>
      <c r="M13" s="107"/>
      <c r="N13" s="107"/>
      <c r="O13" s="115"/>
      <c r="P13" s="115"/>
      <c r="Q13" s="115"/>
      <c r="R13" s="115"/>
      <c r="S13" s="115"/>
      <c r="T13" s="115"/>
      <c r="U13" s="115"/>
      <c r="V13" s="115"/>
      <c r="W13" s="115"/>
    </row>
    <row r="14" spans="1:29" ht="17.25">
      <c r="A14" s="115" t="s">
        <v>1664</v>
      </c>
      <c r="B14" s="127" t="s">
        <v>1665</v>
      </c>
      <c r="C14" s="145" t="s">
        <v>2890</v>
      </c>
      <c r="F14" s="139">
        <v>470</v>
      </c>
      <c r="H14" s="127"/>
      <c r="I14" s="115"/>
      <c r="J14" s="115"/>
      <c r="K14" s="115"/>
      <c r="L14" s="160"/>
      <c r="M14" s="107"/>
      <c r="N14" s="107"/>
      <c r="O14" s="115"/>
      <c r="P14" s="115"/>
      <c r="Q14" s="220" t="s">
        <v>2402</v>
      </c>
      <c r="R14" s="115"/>
      <c r="S14" s="115"/>
      <c r="T14" s="115"/>
      <c r="U14" s="115"/>
      <c r="V14" s="115"/>
      <c r="W14" s="115"/>
    </row>
    <row r="15" spans="1:29">
      <c r="A15" s="124" t="s">
        <v>310</v>
      </c>
      <c r="B15" s="124" t="s">
        <v>309</v>
      </c>
      <c r="C15" s="145" t="s">
        <v>2891</v>
      </c>
      <c r="E15" s="108" t="s">
        <v>2666</v>
      </c>
      <c r="H15" s="124"/>
      <c r="L15" s="160"/>
      <c r="M15" s="114"/>
      <c r="N15" s="111"/>
    </row>
    <row r="16" spans="1:29">
      <c r="A16" s="115"/>
      <c r="B16" s="127" t="s">
        <v>1585</v>
      </c>
      <c r="C16" s="145" t="s">
        <v>2892</v>
      </c>
      <c r="F16" s="139">
        <v>491</v>
      </c>
      <c r="H16" s="127"/>
      <c r="I16" s="115"/>
      <c r="J16" s="115"/>
      <c r="K16" s="115"/>
      <c r="L16" s="160"/>
      <c r="M16" s="107"/>
      <c r="N16" s="107"/>
      <c r="O16" s="115"/>
      <c r="P16" s="115" t="s">
        <v>1681</v>
      </c>
      <c r="Q16" s="115"/>
      <c r="R16" s="115"/>
      <c r="S16" s="115"/>
      <c r="T16" s="115"/>
      <c r="U16" s="115"/>
      <c r="V16" s="115"/>
      <c r="W16" s="115"/>
    </row>
    <row r="17" spans="1:29" ht="94.5">
      <c r="A17" s="115" t="s">
        <v>1659</v>
      </c>
      <c r="B17" s="127" t="s">
        <v>1541</v>
      </c>
      <c r="C17" s="153" t="s">
        <v>2388</v>
      </c>
      <c r="D17" s="121"/>
      <c r="E17" s="121"/>
      <c r="F17" s="141">
        <v>73</v>
      </c>
      <c r="G17" s="141"/>
      <c r="H17" s="127" t="s">
        <v>2420</v>
      </c>
      <c r="I17" s="115">
        <v>357226928</v>
      </c>
      <c r="J17" s="115" t="s">
        <v>2419</v>
      </c>
      <c r="K17" s="115"/>
      <c r="L17" s="160"/>
      <c r="M17" s="114"/>
      <c r="N17" s="107"/>
      <c r="O17" s="115"/>
      <c r="P17" s="115" t="s">
        <v>1660</v>
      </c>
      <c r="Q17" s="115"/>
      <c r="R17" s="115"/>
      <c r="S17" s="220" t="s">
        <v>2402</v>
      </c>
      <c r="T17" s="115"/>
      <c r="U17" s="115"/>
      <c r="V17" s="115"/>
      <c r="W17" s="115"/>
      <c r="X17" s="106" t="s">
        <v>2402</v>
      </c>
      <c r="AA17" s="112" t="s">
        <v>2422</v>
      </c>
    </row>
    <row r="18" spans="1:29">
      <c r="A18" s="115" t="s">
        <v>32</v>
      </c>
      <c r="B18" s="127" t="s">
        <v>2535</v>
      </c>
      <c r="C18" s="145" t="s">
        <v>2893</v>
      </c>
      <c r="F18" s="139">
        <v>57</v>
      </c>
      <c r="H18" s="127"/>
      <c r="J18" s="110"/>
      <c r="K18" s="110"/>
      <c r="L18" s="160"/>
      <c r="M18" s="113"/>
      <c r="N18" s="111"/>
    </row>
    <row r="19" spans="1:29">
      <c r="A19" s="115" t="s">
        <v>225</v>
      </c>
      <c r="B19" s="127" t="s">
        <v>224</v>
      </c>
      <c r="C19" s="145" t="s">
        <v>2894</v>
      </c>
      <c r="F19" s="139">
        <v>381</v>
      </c>
      <c r="H19" s="127"/>
      <c r="L19" s="160"/>
      <c r="M19" s="107"/>
      <c r="N19" s="111"/>
    </row>
    <row r="20" spans="1:29">
      <c r="A20" s="88" t="s">
        <v>1091</v>
      </c>
      <c r="B20" s="88" t="s">
        <v>1090</v>
      </c>
      <c r="C20" s="88" t="s">
        <v>1092</v>
      </c>
      <c r="D20"/>
      <c r="E20"/>
      <c r="F20">
        <v>488</v>
      </c>
      <c r="G20"/>
      <c r="H20"/>
      <c r="I20"/>
      <c r="J20"/>
      <c r="K20"/>
      <c r="L20" s="203"/>
      <c r="M20" s="62"/>
      <c r="N20" s="62"/>
      <c r="O20"/>
      <c r="P20"/>
      <c r="Q20"/>
      <c r="R20"/>
      <c r="S20"/>
      <c r="T20"/>
      <c r="U20"/>
      <c r="V20"/>
      <c r="W20"/>
      <c r="X20"/>
      <c r="Y20"/>
      <c r="Z20"/>
      <c r="AA20"/>
      <c r="AB20"/>
      <c r="AC20"/>
    </row>
    <row r="21" spans="1:29">
      <c r="A21" s="136" t="s">
        <v>2536</v>
      </c>
      <c r="B21" s="127" t="s">
        <v>2538</v>
      </c>
      <c r="C21" s="145" t="s">
        <v>2895</v>
      </c>
      <c r="F21" s="139">
        <v>329</v>
      </c>
      <c r="H21" s="127"/>
      <c r="L21" s="160"/>
      <c r="M21" s="113"/>
      <c r="N21" s="111"/>
    </row>
    <row r="22" spans="1:29">
      <c r="A22" s="115" t="s">
        <v>1550</v>
      </c>
      <c r="B22" s="127" t="s">
        <v>1549</v>
      </c>
      <c r="C22" s="145" t="s">
        <v>2896</v>
      </c>
      <c r="F22" s="139">
        <v>89</v>
      </c>
      <c r="H22" s="127"/>
      <c r="I22" s="115"/>
      <c r="J22" s="115"/>
      <c r="K22" s="115"/>
      <c r="L22" s="160"/>
      <c r="M22" s="114"/>
      <c r="N22" s="107"/>
      <c r="O22" s="115"/>
      <c r="P22" s="115" t="s">
        <v>1668</v>
      </c>
      <c r="Q22" s="115"/>
      <c r="R22" s="115"/>
      <c r="S22" s="115"/>
      <c r="T22" s="115"/>
      <c r="U22" s="115"/>
      <c r="V22" s="115"/>
      <c r="W22" s="115"/>
    </row>
    <row r="23" spans="1:29">
      <c r="A23" s="115" t="s">
        <v>1937</v>
      </c>
      <c r="B23" s="115" t="s">
        <v>1938</v>
      </c>
      <c r="C23" s="145" t="s">
        <v>2897</v>
      </c>
      <c r="E23" s="108" t="s">
        <v>2661</v>
      </c>
      <c r="H23" s="115"/>
      <c r="I23" s="115"/>
      <c r="J23" s="115"/>
      <c r="K23" s="115"/>
      <c r="L23" s="159" t="s">
        <v>1262</v>
      </c>
      <c r="M23" s="113"/>
      <c r="N23" s="114" t="s">
        <v>1505</v>
      </c>
      <c r="O23" s="115"/>
    </row>
    <row r="24" spans="1:29">
      <c r="A24" s="150" t="s">
        <v>1467</v>
      </c>
      <c r="B24" s="150" t="s">
        <v>2473</v>
      </c>
      <c r="C24" s="151" t="s">
        <v>2898</v>
      </c>
      <c r="D24" s="118"/>
      <c r="E24" s="118" t="s">
        <v>2666</v>
      </c>
      <c r="F24" s="140"/>
      <c r="G24" s="140"/>
      <c r="H24" s="118"/>
      <c r="I24" s="120"/>
      <c r="J24" s="120"/>
      <c r="K24" s="120"/>
      <c r="L24" s="158"/>
      <c r="M24" s="114"/>
      <c r="N24" s="117"/>
      <c r="O24" s="120"/>
      <c r="P24" s="120"/>
      <c r="Q24" s="120"/>
      <c r="R24" s="120"/>
      <c r="S24" s="120"/>
      <c r="T24" s="120"/>
      <c r="U24" s="120"/>
      <c r="V24" s="120"/>
      <c r="W24" s="120"/>
      <c r="X24" s="120"/>
      <c r="Y24" s="120"/>
      <c r="Z24" s="120"/>
      <c r="AA24" s="120"/>
      <c r="AB24" s="120"/>
      <c r="AC24" s="120"/>
    </row>
    <row r="25" spans="1:29">
      <c r="A25" s="115" t="s">
        <v>151</v>
      </c>
      <c r="B25" s="127" t="s">
        <v>153</v>
      </c>
      <c r="C25" s="145" t="s">
        <v>2899</v>
      </c>
      <c r="E25" s="155" t="s">
        <v>2666</v>
      </c>
      <c r="H25" s="127"/>
      <c r="L25" s="160"/>
      <c r="M25" s="111"/>
      <c r="N25" s="111"/>
    </row>
    <row r="26" spans="1:29">
      <c r="A26" s="136" t="s">
        <v>2235</v>
      </c>
      <c r="B26" s="127" t="s">
        <v>2300</v>
      </c>
      <c r="C26" s="145" t="s">
        <v>2900</v>
      </c>
      <c r="E26" s="108" t="s">
        <v>3104</v>
      </c>
      <c r="H26" s="127"/>
      <c r="L26" s="160"/>
      <c r="M26" s="111"/>
      <c r="N26" s="111" t="s">
        <v>2236</v>
      </c>
    </row>
    <row r="27" spans="1:29">
      <c r="A27" s="115" t="s">
        <v>2009</v>
      </c>
      <c r="B27" s="115" t="s">
        <v>2010</v>
      </c>
      <c r="C27" s="145" t="s">
        <v>2901</v>
      </c>
      <c r="F27" s="139">
        <v>66</v>
      </c>
      <c r="H27" s="115"/>
      <c r="I27" s="115"/>
      <c r="J27" s="115"/>
      <c r="K27" s="115"/>
      <c r="L27" s="159" t="s">
        <v>1262</v>
      </c>
      <c r="M27" s="117"/>
      <c r="N27" s="114" t="s">
        <v>1852</v>
      </c>
      <c r="O27" s="115"/>
      <c r="P27" s="110"/>
      <c r="Q27" s="110"/>
      <c r="R27" s="110"/>
      <c r="S27" s="110"/>
      <c r="T27" s="110"/>
      <c r="U27" s="110"/>
      <c r="V27" s="110"/>
      <c r="W27" s="110"/>
    </row>
    <row r="28" spans="1:29">
      <c r="A28" s="115" t="s">
        <v>234</v>
      </c>
      <c r="B28" s="127" t="s">
        <v>233</v>
      </c>
      <c r="C28" s="145" t="s">
        <v>2902</v>
      </c>
      <c r="F28" s="139">
        <v>406</v>
      </c>
      <c r="H28" s="127"/>
      <c r="L28" s="160"/>
      <c r="M28" s="107"/>
      <c r="N28" s="111"/>
    </row>
    <row r="29" spans="1:29">
      <c r="A29" s="115" t="s">
        <v>2151</v>
      </c>
      <c r="B29" s="115" t="s">
        <v>233</v>
      </c>
      <c r="C29" s="145" t="s">
        <v>2903</v>
      </c>
      <c r="F29" s="139">
        <v>359</v>
      </c>
      <c r="H29" s="115"/>
      <c r="I29" s="115"/>
      <c r="J29" s="115"/>
      <c r="K29" s="115"/>
      <c r="L29" s="160"/>
      <c r="M29" s="114"/>
      <c r="N29" s="114" t="s">
        <v>1707</v>
      </c>
      <c r="O29" s="115"/>
    </row>
    <row r="30" spans="1:29">
      <c r="A30" s="124" t="s">
        <v>349</v>
      </c>
      <c r="B30" s="124" t="s">
        <v>351</v>
      </c>
      <c r="C30" s="145" t="s">
        <v>2777</v>
      </c>
      <c r="F30" s="139">
        <v>206</v>
      </c>
      <c r="H30" s="124"/>
      <c r="L30" s="160"/>
      <c r="M30" s="113"/>
      <c r="N30" s="111"/>
    </row>
    <row r="31" spans="1:29" ht="31.5">
      <c r="A31" s="124" t="s">
        <v>4005</v>
      </c>
      <c r="B31" s="131" t="s">
        <v>4004</v>
      </c>
      <c r="C31" s="156" t="s">
        <v>4007</v>
      </c>
      <c r="F31" s="139">
        <v>510</v>
      </c>
      <c r="H31" s="131" t="s">
        <v>2400</v>
      </c>
      <c r="I31" s="124"/>
      <c r="J31" s="124">
        <v>13911120217</v>
      </c>
      <c r="K31" s="88">
        <v>2152929911</v>
      </c>
      <c r="L31" s="160"/>
      <c r="M31" s="123"/>
      <c r="N31" s="204" t="s">
        <v>4006</v>
      </c>
      <c r="O31" s="124"/>
    </row>
    <row r="32" spans="1:29" ht="28.5">
      <c r="A32" s="154" t="s">
        <v>2487</v>
      </c>
      <c r="B32" s="168" t="s">
        <v>463</v>
      </c>
      <c r="C32" s="151" t="s">
        <v>2904</v>
      </c>
      <c r="D32" s="118"/>
      <c r="E32" s="118"/>
      <c r="F32" s="140">
        <v>315</v>
      </c>
      <c r="G32" s="140"/>
      <c r="H32" s="154"/>
      <c r="I32" s="120"/>
      <c r="J32" s="120"/>
      <c r="K32" s="120"/>
      <c r="L32" s="161"/>
      <c r="M32" s="107"/>
      <c r="N32" s="59"/>
      <c r="O32" s="120"/>
      <c r="P32" s="120"/>
      <c r="Q32" s="120"/>
      <c r="R32" s="120"/>
      <c r="S32" s="120"/>
      <c r="T32" s="120"/>
      <c r="U32" s="120"/>
      <c r="V32" s="120"/>
      <c r="W32" s="120"/>
      <c r="X32" s="120"/>
      <c r="Y32" s="120"/>
      <c r="Z32" s="120"/>
      <c r="AA32" s="120"/>
      <c r="AB32" s="120"/>
      <c r="AC32" s="120"/>
    </row>
    <row r="33" spans="1:29" ht="31.5">
      <c r="A33" s="115" t="s">
        <v>1639</v>
      </c>
      <c r="B33" s="127" t="s">
        <v>1638</v>
      </c>
      <c r="C33" s="145" t="s">
        <v>2905</v>
      </c>
      <c r="F33" s="139">
        <v>62</v>
      </c>
      <c r="H33" s="127"/>
      <c r="I33" s="115"/>
      <c r="J33" s="115"/>
      <c r="K33" s="115"/>
      <c r="L33" s="160"/>
      <c r="M33" s="113"/>
      <c r="N33" s="107"/>
      <c r="O33" s="115"/>
      <c r="P33" s="115"/>
      <c r="Q33" s="115"/>
      <c r="R33" s="115"/>
      <c r="S33" s="115"/>
      <c r="T33" s="115"/>
      <c r="U33" s="115"/>
      <c r="V33" s="115"/>
      <c r="W33" s="115"/>
    </row>
    <row r="34" spans="1:29" ht="31.5">
      <c r="A34" s="115" t="s">
        <v>1452</v>
      </c>
      <c r="B34" s="127"/>
      <c r="C34" s="145" t="s">
        <v>2906</v>
      </c>
      <c r="E34" s="108" t="s">
        <v>2661</v>
      </c>
      <c r="H34" s="127"/>
      <c r="I34" s="122"/>
      <c r="J34" s="122" t="s">
        <v>1453</v>
      </c>
      <c r="K34" s="122"/>
      <c r="L34" s="162" t="s">
        <v>1284</v>
      </c>
      <c r="M34" s="114"/>
      <c r="N34" s="111"/>
      <c r="O34" s="122"/>
    </row>
    <row r="35" spans="1:29">
      <c r="A35" s="124"/>
      <c r="B35" s="131" t="s">
        <v>1581</v>
      </c>
      <c r="C35" s="145" t="s">
        <v>2907</v>
      </c>
      <c r="F35" s="139">
        <v>492</v>
      </c>
      <c r="H35" s="131"/>
      <c r="I35" s="124"/>
      <c r="J35" s="124"/>
      <c r="K35" s="124"/>
      <c r="L35" s="160"/>
      <c r="M35" s="123"/>
      <c r="N35" s="111"/>
      <c r="O35" s="124"/>
    </row>
    <row r="36" spans="1:29">
      <c r="A36" s="124" t="s">
        <v>1598</v>
      </c>
      <c r="B36" s="131" t="s">
        <v>2539</v>
      </c>
      <c r="C36" s="145" t="s">
        <v>2908</v>
      </c>
      <c r="F36" s="139">
        <v>321</v>
      </c>
      <c r="H36" s="131"/>
      <c r="I36" s="124"/>
      <c r="J36" s="124"/>
      <c r="K36" s="124"/>
      <c r="L36" s="160"/>
      <c r="M36" s="114"/>
      <c r="N36" s="111" t="s">
        <v>2318</v>
      </c>
      <c r="O36" s="124"/>
    </row>
    <row r="37" spans="1:29" ht="31.5">
      <c r="A37" s="124" t="s">
        <v>3168</v>
      </c>
      <c r="B37" s="131" t="s">
        <v>3167</v>
      </c>
      <c r="C37" s="156" t="s">
        <v>3169</v>
      </c>
      <c r="F37" s="139">
        <v>316</v>
      </c>
      <c r="H37" s="131" t="s">
        <v>2400</v>
      </c>
      <c r="I37" s="124"/>
      <c r="J37" s="124">
        <v>13701973472</v>
      </c>
      <c r="K37" s="124">
        <v>52400718</v>
      </c>
      <c r="L37" s="160"/>
      <c r="M37" s="59"/>
      <c r="N37" s="111" t="s">
        <v>2318</v>
      </c>
      <c r="O37" s="124"/>
    </row>
    <row r="38" spans="1:29">
      <c r="A38" s="136" t="s">
        <v>2337</v>
      </c>
      <c r="B38" s="127" t="s">
        <v>2430</v>
      </c>
      <c r="C38" s="153" t="s">
        <v>2391</v>
      </c>
      <c r="D38" s="121"/>
      <c r="E38" s="121"/>
      <c r="F38" s="141">
        <v>176</v>
      </c>
      <c r="G38" s="141"/>
      <c r="H38" s="127"/>
      <c r="L38" s="160"/>
      <c r="M38" s="59"/>
      <c r="N38" s="111" t="s">
        <v>2318</v>
      </c>
    </row>
    <row r="39" spans="1:29" ht="31.5">
      <c r="A39" s="115" t="s">
        <v>1455</v>
      </c>
      <c r="B39" s="127"/>
      <c r="C39" s="145" t="s">
        <v>2910</v>
      </c>
      <c r="E39" s="108" t="s">
        <v>2661</v>
      </c>
      <c r="H39" s="127"/>
      <c r="I39" s="122"/>
      <c r="J39" s="122"/>
      <c r="K39" s="122"/>
      <c r="L39" s="162" t="s">
        <v>1262</v>
      </c>
      <c r="M39" s="114"/>
      <c r="N39" s="111"/>
      <c r="O39" s="122"/>
    </row>
    <row r="40" spans="1:29">
      <c r="A40" s="124" t="s">
        <v>608</v>
      </c>
      <c r="B40" s="124" t="s">
        <v>607</v>
      </c>
      <c r="C40" s="145" t="s">
        <v>2911</v>
      </c>
      <c r="E40" s="108" t="s">
        <v>2661</v>
      </c>
      <c r="H40" s="124"/>
      <c r="I40" s="110"/>
      <c r="J40" s="110"/>
      <c r="K40" s="110"/>
      <c r="L40" s="160"/>
      <c r="M40" s="113"/>
      <c r="N40" s="111"/>
      <c r="O40" s="110"/>
      <c r="P40" s="110"/>
      <c r="Q40" s="110"/>
      <c r="R40" s="110"/>
      <c r="S40" s="110"/>
      <c r="T40" s="110"/>
      <c r="U40" s="110"/>
      <c r="V40" s="110"/>
      <c r="W40" s="110"/>
    </row>
    <row r="41" spans="1:29">
      <c r="A41" s="115" t="s">
        <v>2040</v>
      </c>
      <c r="B41" s="115" t="s">
        <v>2041</v>
      </c>
      <c r="C41" s="145" t="s">
        <v>2912</v>
      </c>
      <c r="F41" s="139">
        <v>415</v>
      </c>
      <c r="H41" s="115"/>
      <c r="I41" s="115"/>
      <c r="J41" s="115"/>
      <c r="K41" s="115"/>
      <c r="L41" s="159" t="s">
        <v>1262</v>
      </c>
      <c r="M41" s="114"/>
      <c r="N41" s="114" t="s">
        <v>1461</v>
      </c>
      <c r="O41" s="115"/>
    </row>
    <row r="42" spans="1:29">
      <c r="A42" s="136" t="s">
        <v>2316</v>
      </c>
      <c r="B42" s="127" t="s">
        <v>2323</v>
      </c>
      <c r="C42" s="145" t="s">
        <v>2913</v>
      </c>
      <c r="E42" s="108" t="s">
        <v>2666</v>
      </c>
      <c r="H42" s="127"/>
      <c r="L42" s="160"/>
      <c r="M42" s="114"/>
      <c r="N42" s="111" t="s">
        <v>2315</v>
      </c>
    </row>
    <row r="43" spans="1:29">
      <c r="A43" s="136" t="s">
        <v>2534</v>
      </c>
      <c r="B43" s="127" t="s">
        <v>2533</v>
      </c>
      <c r="C43" s="145" t="s">
        <v>2914</v>
      </c>
      <c r="E43" s="108" t="s">
        <v>2666</v>
      </c>
      <c r="H43" s="127"/>
      <c r="I43" s="110"/>
      <c r="J43" s="110"/>
      <c r="K43" s="110"/>
      <c r="L43" s="160"/>
      <c r="M43" s="107"/>
      <c r="N43" s="111" t="s">
        <v>2234</v>
      </c>
      <c r="O43" s="110"/>
    </row>
    <row r="44" spans="1:29">
      <c r="A44" s="115" t="s">
        <v>251</v>
      </c>
      <c r="B44" s="127" t="s">
        <v>253</v>
      </c>
      <c r="C44" s="145" t="s">
        <v>2915</v>
      </c>
      <c r="E44" s="108" t="s">
        <v>2666</v>
      </c>
      <c r="H44" s="127"/>
      <c r="I44" s="110"/>
      <c r="J44" s="110"/>
      <c r="K44" s="110"/>
      <c r="L44" s="160"/>
      <c r="M44" s="107"/>
      <c r="N44" s="111"/>
      <c r="O44" s="110"/>
    </row>
    <row r="45" spans="1:29" ht="31.5">
      <c r="A45" s="115" t="s">
        <v>2063</v>
      </c>
      <c r="B45" s="115" t="s">
        <v>2064</v>
      </c>
      <c r="C45" s="145" t="s">
        <v>2916</v>
      </c>
      <c r="E45" s="108" t="s">
        <v>2663</v>
      </c>
      <c r="H45" s="115"/>
      <c r="I45" s="114"/>
      <c r="J45" s="114"/>
      <c r="K45" s="115"/>
      <c r="L45" s="115" t="s">
        <v>1262</v>
      </c>
      <c r="M45" s="114"/>
      <c r="N45" s="114" t="s">
        <v>1461</v>
      </c>
      <c r="O45" s="114"/>
      <c r="P45" s="125"/>
      <c r="Q45" s="110"/>
      <c r="R45" s="110"/>
      <c r="S45" s="110"/>
      <c r="T45" s="110"/>
      <c r="U45" s="110"/>
      <c r="V45" s="110"/>
      <c r="W45" s="110"/>
      <c r="AC45" s="106" t="s">
        <v>4697</v>
      </c>
    </row>
    <row r="46" spans="1:29">
      <c r="A46" s="115" t="s">
        <v>1349</v>
      </c>
      <c r="B46" s="127"/>
      <c r="C46" s="145" t="s">
        <v>2917</v>
      </c>
      <c r="F46" s="139">
        <v>483</v>
      </c>
      <c r="H46" s="127"/>
      <c r="I46" s="128"/>
      <c r="J46" s="128"/>
      <c r="K46" s="122"/>
      <c r="L46" s="127" t="s">
        <v>1284</v>
      </c>
      <c r="M46" s="107"/>
      <c r="N46" s="111"/>
      <c r="O46" s="128"/>
      <c r="P46" s="125"/>
      <c r="Q46" s="110"/>
      <c r="R46" s="110"/>
      <c r="S46" s="110"/>
      <c r="T46" s="110"/>
      <c r="U46" s="110"/>
      <c r="V46" s="110"/>
      <c r="W46" s="110"/>
    </row>
    <row r="47" spans="1:29" ht="31.5">
      <c r="A47" s="115" t="s">
        <v>3445</v>
      </c>
      <c r="B47" s="127"/>
      <c r="C47" s="55" t="s">
        <v>4695</v>
      </c>
      <c r="F47" s="139">
        <v>511</v>
      </c>
      <c r="H47" s="127"/>
      <c r="I47" s="128"/>
      <c r="J47" s="128"/>
      <c r="K47" s="122"/>
      <c r="L47" s="127" t="s">
        <v>1355</v>
      </c>
      <c r="M47" s="107"/>
      <c r="N47" s="111"/>
      <c r="O47" s="128"/>
      <c r="P47" s="125"/>
      <c r="Q47" s="110"/>
      <c r="R47" s="110"/>
      <c r="S47" s="110"/>
      <c r="T47" s="110"/>
      <c r="U47" s="110"/>
      <c r="V47" s="110"/>
      <c r="W47" s="110"/>
    </row>
    <row r="48" spans="1:29" ht="31.5">
      <c r="A48" s="115" t="s">
        <v>3445</v>
      </c>
      <c r="B48" s="127"/>
      <c r="C48" s="55" t="s">
        <v>4696</v>
      </c>
      <c r="F48" s="139">
        <v>512</v>
      </c>
      <c r="H48" s="127"/>
      <c r="I48" s="128"/>
      <c r="J48" s="128"/>
      <c r="K48" s="122"/>
      <c r="L48" s="127"/>
      <c r="M48" s="107"/>
      <c r="N48" s="111"/>
      <c r="O48" s="128"/>
      <c r="P48" s="125"/>
      <c r="Q48" s="110"/>
      <c r="R48" s="110"/>
      <c r="S48" s="110"/>
      <c r="T48" s="110"/>
      <c r="U48" s="110"/>
      <c r="V48" s="110"/>
      <c r="W48" s="110"/>
    </row>
    <row r="49" spans="1:29" ht="47.25">
      <c r="A49" s="115"/>
      <c r="B49" s="115" t="s">
        <v>2044</v>
      </c>
      <c r="C49" s="145" t="s">
        <v>2919</v>
      </c>
      <c r="F49" s="139">
        <v>493</v>
      </c>
      <c r="H49" s="115"/>
      <c r="I49" s="114"/>
      <c r="J49" s="114"/>
      <c r="K49" s="115"/>
      <c r="L49" s="115"/>
      <c r="M49" s="114"/>
      <c r="N49" s="114" t="s">
        <v>1465</v>
      </c>
      <c r="O49" s="114"/>
      <c r="P49" s="114" t="s">
        <v>2043</v>
      </c>
      <c r="Q49" s="115"/>
      <c r="R49" s="115"/>
      <c r="S49" s="115"/>
      <c r="T49" s="115"/>
      <c r="U49" s="115"/>
      <c r="V49" s="115"/>
      <c r="W49" s="115"/>
    </row>
    <row r="50" spans="1:29">
      <c r="A50" s="115" t="s">
        <v>200</v>
      </c>
      <c r="B50" s="127" t="s">
        <v>199</v>
      </c>
      <c r="C50" s="145" t="s">
        <v>2920</v>
      </c>
      <c r="F50" s="139">
        <v>311</v>
      </c>
      <c r="H50" s="127"/>
      <c r="I50" s="125"/>
      <c r="J50" s="125"/>
      <c r="L50" s="116"/>
      <c r="M50" s="123"/>
      <c r="N50" s="111"/>
      <c r="O50" s="125"/>
      <c r="P50" s="125"/>
      <c r="Q50" s="110"/>
      <c r="R50" s="110"/>
      <c r="S50" s="110"/>
      <c r="T50" s="110"/>
      <c r="U50" s="110"/>
      <c r="V50" s="110"/>
      <c r="W50" s="110"/>
    </row>
    <row r="51" spans="1:29">
      <c r="A51" s="88" t="s">
        <v>811</v>
      </c>
      <c r="B51" s="88" t="s">
        <v>810</v>
      </c>
      <c r="C51" s="88"/>
      <c r="D51"/>
      <c r="E51"/>
      <c r="F51"/>
      <c r="G51"/>
      <c r="H51"/>
      <c r="I51" s="62"/>
      <c r="J51" s="62"/>
      <c r="K51"/>
      <c r="L51"/>
      <c r="M51" s="62"/>
      <c r="N51" s="62"/>
      <c r="O51" s="62"/>
      <c r="P51" s="62"/>
      <c r="Q51" s="71"/>
      <c r="R51" s="71"/>
      <c r="S51" s="71"/>
      <c r="T51" s="71"/>
      <c r="U51" s="71"/>
      <c r="V51" s="71"/>
      <c r="W51" s="71"/>
      <c r="X51"/>
      <c r="Y51"/>
      <c r="Z51"/>
      <c r="AA51"/>
      <c r="AB51"/>
      <c r="AC51"/>
    </row>
    <row r="52" spans="1:29">
      <c r="A52" s="88" t="s">
        <v>1234</v>
      </c>
      <c r="B52" s="88" t="s">
        <v>1068</v>
      </c>
      <c r="C52" s="88"/>
      <c r="D52"/>
      <c r="E52"/>
      <c r="F52"/>
      <c r="G52"/>
      <c r="H52"/>
      <c r="I52" s="62"/>
      <c r="J52" s="62"/>
      <c r="K52"/>
      <c r="L52"/>
      <c r="M52" s="62"/>
      <c r="N52" s="62"/>
      <c r="O52" s="62"/>
      <c r="P52" s="62"/>
      <c r="Q52" s="71"/>
      <c r="R52" s="71"/>
      <c r="S52" s="71"/>
      <c r="T52" s="71"/>
      <c r="U52" s="71"/>
      <c r="V52" s="71"/>
      <c r="W52" s="71"/>
      <c r="X52"/>
      <c r="Y52"/>
      <c r="Z52"/>
      <c r="AA52"/>
      <c r="AB52"/>
      <c r="AC52"/>
    </row>
    <row r="53" spans="1:29">
      <c r="A53" s="88" t="s">
        <v>548</v>
      </c>
      <c r="B53" s="88" t="s">
        <v>550</v>
      </c>
      <c r="C53" s="88" t="s">
        <v>551</v>
      </c>
      <c r="D53"/>
      <c r="E53"/>
      <c r="F53">
        <v>26</v>
      </c>
      <c r="G53"/>
      <c r="H53"/>
      <c r="I53"/>
      <c r="J53"/>
      <c r="K53"/>
      <c r="L53"/>
      <c r="M53"/>
      <c r="N53"/>
      <c r="O53"/>
      <c r="P53"/>
      <c r="Q53"/>
      <c r="R53"/>
      <c r="S53"/>
      <c r="T53"/>
      <c r="U53"/>
      <c r="V53"/>
      <c r="W53"/>
      <c r="X53"/>
      <c r="Y53"/>
      <c r="Z53"/>
      <c r="AA53"/>
      <c r="AB53"/>
      <c r="AC53"/>
    </row>
    <row r="54" spans="1:29">
      <c r="A54" s="115" t="s">
        <v>2347</v>
      </c>
      <c r="B54" s="127" t="s">
        <v>2395</v>
      </c>
      <c r="C54" s="153" t="s">
        <v>2394</v>
      </c>
      <c r="D54" s="121"/>
      <c r="E54" s="121" t="s">
        <v>2666</v>
      </c>
      <c r="F54" s="141"/>
      <c r="G54" s="141"/>
      <c r="H54" s="127"/>
      <c r="I54" s="110"/>
      <c r="J54" s="110"/>
      <c r="K54" s="110"/>
      <c r="L54" s="116"/>
      <c r="M54" s="127"/>
      <c r="N54" s="116"/>
      <c r="O54" s="110"/>
      <c r="P54" s="110"/>
      <c r="Q54" s="110"/>
      <c r="R54" s="110"/>
      <c r="S54" s="110"/>
      <c r="T54" s="110"/>
      <c r="U54" s="110"/>
      <c r="V54" s="110"/>
      <c r="W54" s="110"/>
    </row>
    <row r="55" spans="1:29">
      <c r="A55" s="115" t="s">
        <v>46</v>
      </c>
      <c r="B55" s="115" t="s">
        <v>1872</v>
      </c>
      <c r="C55" s="145" t="s">
        <v>2927</v>
      </c>
      <c r="E55" s="108">
        <v>550</v>
      </c>
      <c r="H55" s="115"/>
      <c r="I55" s="115"/>
      <c r="J55" s="115"/>
      <c r="K55" s="115"/>
      <c r="L55" s="115" t="s">
        <v>1289</v>
      </c>
      <c r="M55" s="118"/>
      <c r="N55" s="115" t="s">
        <v>1778</v>
      </c>
      <c r="O55" s="115"/>
      <c r="P55" s="110"/>
      <c r="Q55" s="110"/>
      <c r="R55" s="110"/>
      <c r="S55" s="110"/>
      <c r="T55" s="110"/>
      <c r="U55" s="110"/>
      <c r="V55" s="110"/>
      <c r="W55" s="110"/>
    </row>
    <row r="56" spans="1:29">
      <c r="A56" s="124" t="s">
        <v>386</v>
      </c>
      <c r="B56" s="124" t="s">
        <v>1181</v>
      </c>
      <c r="C56" s="145" t="s">
        <v>2928</v>
      </c>
      <c r="E56" s="108" t="s">
        <v>2666</v>
      </c>
      <c r="H56" s="124"/>
      <c r="I56" s="110"/>
      <c r="J56" s="110"/>
      <c r="K56" s="110"/>
      <c r="L56" s="116"/>
      <c r="M56" s="127"/>
      <c r="N56" s="116"/>
      <c r="O56" s="110"/>
      <c r="P56" s="110"/>
      <c r="Q56" s="110"/>
      <c r="R56" s="110"/>
      <c r="S56" s="110"/>
      <c r="T56" s="110"/>
      <c r="U56" s="110"/>
      <c r="V56" s="110"/>
      <c r="W56" s="110"/>
    </row>
    <row r="57" spans="1:29">
      <c r="A57" s="136" t="s">
        <v>2299</v>
      </c>
      <c r="B57" s="127" t="s">
        <v>2309</v>
      </c>
      <c r="C57" s="145" t="s">
        <v>2929</v>
      </c>
      <c r="E57" s="118" t="s">
        <v>2666</v>
      </c>
      <c r="H57" s="127"/>
      <c r="I57" s="110"/>
      <c r="J57" s="110"/>
      <c r="K57" s="110"/>
      <c r="L57" s="116"/>
      <c r="M57" s="116"/>
      <c r="N57" s="116"/>
      <c r="O57" s="110"/>
      <c r="P57" s="110"/>
      <c r="Q57" s="110"/>
      <c r="R57" s="110"/>
      <c r="S57" s="110"/>
      <c r="T57" s="110"/>
      <c r="U57" s="110"/>
      <c r="V57" s="110"/>
      <c r="W57" s="110"/>
    </row>
    <row r="58" spans="1:29">
      <c r="A58" s="118" t="s">
        <v>2528</v>
      </c>
      <c r="B58" s="150" t="s">
        <v>2527</v>
      </c>
      <c r="C58" s="151" t="s">
        <v>2930</v>
      </c>
      <c r="D58" s="118"/>
      <c r="E58" s="118" t="s">
        <v>2666</v>
      </c>
      <c r="F58" s="140"/>
      <c r="G58" s="140"/>
      <c r="H58" s="118"/>
      <c r="I58" s="155"/>
      <c r="J58" s="155"/>
      <c r="K58" s="155"/>
      <c r="L58" s="119"/>
      <c r="M58" s="118"/>
      <c r="N58" s="118"/>
      <c r="O58" s="155"/>
      <c r="P58" s="155"/>
      <c r="Q58" s="155"/>
      <c r="R58" s="155"/>
      <c r="S58" s="155"/>
      <c r="T58" s="155"/>
      <c r="U58" s="155"/>
      <c r="V58" s="155"/>
      <c r="W58" s="155"/>
      <c r="X58" s="120"/>
      <c r="Y58" s="120"/>
      <c r="Z58" s="120"/>
      <c r="AA58" s="120"/>
      <c r="AB58" s="120"/>
      <c r="AC58" s="120"/>
    </row>
    <row r="59" spans="1:29">
      <c r="A59" s="124" t="s">
        <v>2347</v>
      </c>
      <c r="B59" s="131"/>
      <c r="C59" s="172" t="s">
        <v>849</v>
      </c>
      <c r="E59" s="108" t="s">
        <v>2666</v>
      </c>
      <c r="H59" s="131"/>
      <c r="I59" s="124"/>
      <c r="J59" s="124"/>
      <c r="K59" s="124"/>
      <c r="M59" s="131"/>
      <c r="N59" s="116"/>
      <c r="O59" s="124"/>
      <c r="P59" s="110"/>
      <c r="Q59" s="110"/>
      <c r="R59" s="110"/>
      <c r="S59" s="110"/>
      <c r="T59" s="110"/>
      <c r="U59" s="110"/>
      <c r="V59" s="110"/>
      <c r="W59" s="110"/>
    </row>
    <row r="60" spans="1:29">
      <c r="A60" s="124" t="s">
        <v>708</v>
      </c>
      <c r="B60" s="124" t="s">
        <v>707</v>
      </c>
      <c r="C60" s="145" t="s">
        <v>2931</v>
      </c>
      <c r="E60" s="108" t="s">
        <v>2665</v>
      </c>
      <c r="H60" s="124"/>
      <c r="I60" s="110"/>
      <c r="J60" s="110"/>
      <c r="K60" s="110"/>
      <c r="L60" s="116"/>
      <c r="M60" s="124"/>
      <c r="N60" s="116"/>
      <c r="O60" s="110"/>
      <c r="P60" s="110"/>
      <c r="Q60" s="110"/>
      <c r="R60" s="110"/>
      <c r="S60" s="110"/>
      <c r="T60" s="110"/>
      <c r="U60" s="110"/>
      <c r="V60" s="110"/>
      <c r="W60" s="110"/>
    </row>
    <row r="61" spans="1:29">
      <c r="A61" s="124" t="s">
        <v>1545</v>
      </c>
      <c r="B61" s="131" t="s">
        <v>1544</v>
      </c>
      <c r="C61" s="145" t="s">
        <v>2932</v>
      </c>
      <c r="E61" s="108" t="s">
        <v>2666</v>
      </c>
      <c r="H61" s="131"/>
      <c r="I61" s="124"/>
      <c r="J61" s="124"/>
      <c r="K61" s="124"/>
      <c r="L61" s="116"/>
      <c r="M61" s="127"/>
      <c r="N61" s="116"/>
      <c r="O61" s="124"/>
      <c r="P61" s="110"/>
      <c r="Q61" s="110"/>
      <c r="R61" s="110"/>
      <c r="S61" s="110"/>
      <c r="T61" s="110"/>
      <c r="U61" s="110"/>
      <c r="V61" s="110"/>
      <c r="W61" s="110"/>
    </row>
    <row r="62" spans="1:29" ht="31.5">
      <c r="A62" s="131" t="s">
        <v>3152</v>
      </c>
      <c r="B62" s="124" t="s">
        <v>3151</v>
      </c>
      <c r="C62" s="55" t="s">
        <v>3155</v>
      </c>
      <c r="F62" s="139">
        <v>445</v>
      </c>
      <c r="H62" s="131"/>
      <c r="I62" s="124"/>
      <c r="J62" s="155"/>
      <c r="K62" s="124" t="s">
        <v>3154</v>
      </c>
      <c r="M62" s="131"/>
      <c r="N62" s="116" t="s">
        <v>3153</v>
      </c>
      <c r="O62" s="124"/>
      <c r="P62" s="110"/>
      <c r="Q62" s="110"/>
      <c r="R62" s="110"/>
      <c r="S62" s="110"/>
      <c r="T62" s="110"/>
      <c r="U62" s="110"/>
      <c r="V62" s="110"/>
      <c r="W62" s="110"/>
    </row>
    <row r="63" spans="1:29">
      <c r="A63" s="118" t="s">
        <v>1097</v>
      </c>
      <c r="B63" s="150" t="s">
        <v>1096</v>
      </c>
      <c r="C63" s="151" t="s">
        <v>2774</v>
      </c>
      <c r="D63" s="118"/>
      <c r="E63" s="118"/>
      <c r="F63" s="140">
        <v>427</v>
      </c>
      <c r="G63" s="140"/>
      <c r="H63" s="118"/>
      <c r="I63" s="155"/>
      <c r="J63" s="126"/>
      <c r="K63" s="155"/>
      <c r="L63" s="119"/>
      <c r="M63" s="117"/>
      <c r="N63" s="117"/>
      <c r="O63" s="155"/>
      <c r="P63" s="155"/>
      <c r="Q63" s="155"/>
      <c r="R63" s="155"/>
      <c r="S63" s="155"/>
      <c r="T63" s="155"/>
      <c r="U63" s="155"/>
      <c r="V63" s="155"/>
      <c r="W63" s="155"/>
      <c r="X63" s="120"/>
      <c r="Y63" s="120"/>
      <c r="Z63" s="120"/>
      <c r="AA63" s="120"/>
      <c r="AB63" s="120"/>
      <c r="AC63" s="120"/>
    </row>
    <row r="64" spans="1:29" ht="31.5">
      <c r="A64" s="136" t="s">
        <v>2351</v>
      </c>
      <c r="B64" s="127" t="s">
        <v>2350</v>
      </c>
      <c r="C64" s="145" t="s">
        <v>2933</v>
      </c>
      <c r="E64" s="108" t="s">
        <v>2663</v>
      </c>
      <c r="H64" s="127"/>
      <c r="I64" s="110"/>
      <c r="J64" s="125"/>
      <c r="K64" s="110"/>
      <c r="L64" s="116"/>
      <c r="M64" s="114"/>
      <c r="N64" s="111" t="s">
        <v>2352</v>
      </c>
      <c r="O64" s="110"/>
      <c r="P64" s="110"/>
      <c r="Q64" s="110"/>
      <c r="R64" s="110"/>
      <c r="S64" s="110"/>
      <c r="T64" s="110"/>
      <c r="U64" s="110"/>
      <c r="V64" s="110"/>
      <c r="W64" s="110"/>
    </row>
    <row r="65" spans="1:29" ht="31.5">
      <c r="A65" s="115" t="s">
        <v>184</v>
      </c>
      <c r="B65" s="127" t="s">
        <v>1547</v>
      </c>
      <c r="C65" s="145" t="s">
        <v>2934</v>
      </c>
      <c r="F65" s="139">
        <v>299</v>
      </c>
      <c r="H65" s="127"/>
      <c r="I65" s="115"/>
      <c r="J65" s="114"/>
      <c r="K65" s="115"/>
      <c r="L65" s="116"/>
      <c r="M65" s="59"/>
      <c r="N65" s="107"/>
      <c r="O65" s="115"/>
      <c r="P65" s="115" t="s">
        <v>1663</v>
      </c>
      <c r="Q65" s="115"/>
      <c r="R65" s="115"/>
      <c r="S65" s="115"/>
      <c r="T65" s="115"/>
      <c r="U65" s="115"/>
      <c r="V65" s="115"/>
      <c r="W65" s="115"/>
    </row>
    <row r="66" spans="1:29">
      <c r="A66" s="115" t="s">
        <v>151</v>
      </c>
      <c r="B66" s="127" t="s">
        <v>150</v>
      </c>
      <c r="C66" s="145" t="s">
        <v>2935</v>
      </c>
      <c r="E66" s="155" t="s">
        <v>2666</v>
      </c>
      <c r="F66" s="171"/>
      <c r="G66" s="171"/>
      <c r="H66" s="127"/>
      <c r="I66" s="110"/>
      <c r="J66" s="125"/>
      <c r="K66" s="110"/>
      <c r="L66" s="116"/>
      <c r="M66" s="107"/>
      <c r="N66" s="111"/>
      <c r="O66" s="110"/>
      <c r="P66" s="110"/>
      <c r="Q66" s="110"/>
      <c r="R66" s="110"/>
      <c r="S66" s="110"/>
      <c r="T66" s="110"/>
      <c r="U66" s="110"/>
      <c r="V66" s="110"/>
      <c r="W66" s="110"/>
    </row>
    <row r="67" spans="1:29">
      <c r="A67" s="124" t="s">
        <v>665</v>
      </c>
      <c r="B67" s="124" t="s">
        <v>664</v>
      </c>
      <c r="C67" s="145" t="s">
        <v>2936</v>
      </c>
      <c r="E67" s="118" t="s">
        <v>2666</v>
      </c>
      <c r="H67" s="124"/>
      <c r="I67" s="110"/>
      <c r="J67" s="125"/>
      <c r="K67" s="177"/>
      <c r="L67" s="160"/>
      <c r="M67" s="119"/>
      <c r="N67" s="116"/>
      <c r="O67" s="110"/>
      <c r="P67" s="110"/>
      <c r="Q67" s="110"/>
      <c r="R67" s="110"/>
      <c r="S67" s="110"/>
      <c r="T67" s="110"/>
      <c r="U67" s="110"/>
      <c r="V67" s="110"/>
      <c r="W67" s="110"/>
    </row>
    <row r="68" spans="1:29" ht="31.5">
      <c r="A68" s="115" t="s">
        <v>2057</v>
      </c>
      <c r="B68" s="115" t="s">
        <v>2058</v>
      </c>
      <c r="C68" s="145" t="s">
        <v>2937</v>
      </c>
      <c r="F68" s="139">
        <v>482</v>
      </c>
      <c r="H68" s="115"/>
      <c r="I68" s="115"/>
      <c r="J68" s="114"/>
      <c r="K68" s="159"/>
      <c r="L68" s="159" t="s">
        <v>1986</v>
      </c>
      <c r="M68" s="115"/>
      <c r="N68" s="115" t="s">
        <v>1733</v>
      </c>
      <c r="O68" s="115"/>
    </row>
    <row r="69" spans="1:29">
      <c r="A69" s="118" t="s">
        <v>234</v>
      </c>
      <c r="B69" s="150" t="s">
        <v>2499</v>
      </c>
      <c r="C69" s="151" t="s">
        <v>2938</v>
      </c>
      <c r="D69" s="118"/>
      <c r="E69" s="118" t="s">
        <v>2666</v>
      </c>
      <c r="F69" s="140"/>
      <c r="G69" s="140"/>
      <c r="H69" s="118"/>
      <c r="I69" s="120"/>
      <c r="J69" s="126"/>
      <c r="K69" s="178"/>
      <c r="L69" s="158"/>
      <c r="M69" s="119"/>
      <c r="N69" s="119"/>
      <c r="O69" s="120"/>
      <c r="P69" s="120"/>
      <c r="Q69" s="120"/>
      <c r="R69" s="120"/>
      <c r="S69" s="120"/>
      <c r="T69" s="120"/>
      <c r="U69" s="120"/>
      <c r="V69" s="120"/>
      <c r="W69" s="120"/>
      <c r="X69" s="120"/>
      <c r="Y69" s="120"/>
      <c r="Z69" s="120"/>
      <c r="AA69" s="120"/>
      <c r="AB69" s="120"/>
      <c r="AC69" s="120"/>
    </row>
    <row r="70" spans="1:29">
      <c r="A70" s="124" t="s">
        <v>181</v>
      </c>
      <c r="B70" s="124" t="s">
        <v>591</v>
      </c>
      <c r="C70" s="145" t="s">
        <v>2939</v>
      </c>
      <c r="E70" s="108" t="s">
        <v>2666</v>
      </c>
      <c r="H70" s="124"/>
      <c r="J70" s="125"/>
      <c r="K70" s="177"/>
      <c r="L70" s="160"/>
      <c r="M70" s="127"/>
      <c r="N70" s="116"/>
    </row>
    <row r="71" spans="1:29">
      <c r="A71" s="136" t="s">
        <v>2353</v>
      </c>
      <c r="B71" s="127" t="s">
        <v>2354</v>
      </c>
      <c r="C71" s="145" t="s">
        <v>2859</v>
      </c>
      <c r="F71" s="139">
        <v>256</v>
      </c>
      <c r="H71" s="127"/>
      <c r="J71" s="125"/>
      <c r="K71" s="177"/>
      <c r="L71" s="160"/>
      <c r="M71" s="116"/>
      <c r="N71" s="116"/>
    </row>
    <row r="72" spans="1:29">
      <c r="A72" s="118" t="s">
        <v>1117</v>
      </c>
      <c r="B72" s="150" t="s">
        <v>1116</v>
      </c>
      <c r="C72" s="151" t="s">
        <v>2872</v>
      </c>
      <c r="D72" s="118"/>
      <c r="E72" s="118"/>
      <c r="F72" s="140">
        <v>226</v>
      </c>
      <c r="G72" s="140"/>
      <c r="H72" s="118"/>
      <c r="I72" s="120"/>
      <c r="J72" s="126"/>
      <c r="K72" s="178"/>
      <c r="L72" s="158"/>
      <c r="M72" s="116"/>
      <c r="N72" s="119"/>
      <c r="O72" s="120"/>
      <c r="P72" s="120"/>
      <c r="Q72" s="120"/>
      <c r="R72" s="120"/>
      <c r="S72" s="120"/>
      <c r="T72" s="120"/>
      <c r="U72" s="120"/>
      <c r="V72" s="120"/>
      <c r="W72" s="120"/>
      <c r="X72" s="120"/>
      <c r="Y72" s="120"/>
      <c r="Z72" s="120"/>
      <c r="AA72" s="120"/>
      <c r="AB72" s="120"/>
      <c r="AC72" s="120"/>
    </row>
    <row r="73" spans="1:29">
      <c r="A73" s="136" t="s">
        <v>2426</v>
      </c>
      <c r="B73" s="127" t="s">
        <v>2425</v>
      </c>
      <c r="C73" s="145" t="s">
        <v>2940</v>
      </c>
      <c r="F73" s="139">
        <v>227</v>
      </c>
      <c r="H73" s="127"/>
      <c r="J73" s="125"/>
      <c r="K73" s="177"/>
      <c r="L73" s="160"/>
      <c r="M73" s="119"/>
      <c r="N73" s="116"/>
    </row>
    <row r="74" spans="1:29">
      <c r="A74" s="136" t="s">
        <v>2355</v>
      </c>
      <c r="B74" s="127"/>
      <c r="C74" s="145" t="s">
        <v>2861</v>
      </c>
      <c r="F74" s="139">
        <v>403</v>
      </c>
      <c r="H74" s="127"/>
      <c r="J74" s="125"/>
      <c r="K74" s="177"/>
      <c r="L74" s="160"/>
      <c r="M74" s="116"/>
      <c r="N74" s="116"/>
    </row>
    <row r="75" spans="1:29" ht="47.25">
      <c r="A75" s="115" t="s">
        <v>1372</v>
      </c>
      <c r="B75" s="127" t="s">
        <v>1373</v>
      </c>
      <c r="C75" s="145" t="s">
        <v>2941</v>
      </c>
      <c r="E75" s="108" t="s">
        <v>2666</v>
      </c>
      <c r="H75" s="127"/>
      <c r="I75" s="122"/>
      <c r="J75" s="128" t="s">
        <v>2239</v>
      </c>
      <c r="K75" s="179"/>
      <c r="L75" s="162" t="s">
        <v>1341</v>
      </c>
      <c r="M75" s="127"/>
      <c r="N75" s="116"/>
      <c r="O75" s="122"/>
    </row>
    <row r="76" spans="1:29">
      <c r="A76" s="136" t="s">
        <v>2295</v>
      </c>
      <c r="B76" s="127" t="s">
        <v>2310</v>
      </c>
      <c r="C76" s="145" t="s">
        <v>2942</v>
      </c>
      <c r="E76" s="108">
        <v>365</v>
      </c>
      <c r="H76" s="127"/>
      <c r="L76" s="116"/>
      <c r="M76" s="116"/>
      <c r="N76" s="116" t="s">
        <v>2296</v>
      </c>
    </row>
    <row r="77" spans="1:29">
      <c r="A77" s="136" t="s">
        <v>2356</v>
      </c>
      <c r="B77" s="127"/>
      <c r="C77" s="167" t="s">
        <v>2367</v>
      </c>
      <c r="D77" s="121"/>
      <c r="E77" s="121"/>
      <c r="F77" s="141">
        <v>98</v>
      </c>
      <c r="G77" s="141"/>
      <c r="H77" s="127"/>
      <c r="I77" s="110"/>
      <c r="J77" s="110"/>
      <c r="K77" s="110"/>
      <c r="L77" s="116"/>
      <c r="M77" s="119"/>
      <c r="N77" s="116"/>
      <c r="O77" s="110"/>
      <c r="P77" s="110"/>
      <c r="Q77" s="110"/>
      <c r="R77" s="110"/>
      <c r="S77" s="110"/>
      <c r="T77" s="110"/>
      <c r="U77" s="110"/>
      <c r="V77" s="110"/>
      <c r="W77" s="110"/>
    </row>
    <row r="78" spans="1:29">
      <c r="A78" s="115" t="s">
        <v>1816</v>
      </c>
      <c r="B78" s="115" t="s">
        <v>1817</v>
      </c>
      <c r="C78" s="145" t="s">
        <v>2943</v>
      </c>
      <c r="F78" s="139">
        <v>342</v>
      </c>
      <c r="H78" s="115"/>
      <c r="I78" s="115"/>
      <c r="J78" s="115"/>
      <c r="K78" s="115"/>
      <c r="L78" s="115" t="s">
        <v>1289</v>
      </c>
      <c r="M78" s="115"/>
      <c r="N78" s="115" t="s">
        <v>1818</v>
      </c>
      <c r="O78" s="115"/>
    </row>
    <row r="79" spans="1:29">
      <c r="A79" s="115" t="s">
        <v>184</v>
      </c>
      <c r="B79" s="127" t="s">
        <v>186</v>
      </c>
      <c r="C79" s="145" t="s">
        <v>2944</v>
      </c>
      <c r="F79" s="139">
        <v>300</v>
      </c>
      <c r="H79" s="127"/>
      <c r="L79" s="116"/>
      <c r="M79" s="127"/>
      <c r="N79" s="116"/>
    </row>
    <row r="80" spans="1:29" ht="31.5">
      <c r="A80" s="115" t="s">
        <v>1925</v>
      </c>
      <c r="B80" s="115" t="s">
        <v>2078</v>
      </c>
      <c r="C80" s="145" t="s">
        <v>2945</v>
      </c>
      <c r="E80" s="108" t="s">
        <v>2666</v>
      </c>
      <c r="H80" s="115"/>
      <c r="I80" s="115"/>
      <c r="J80" s="115"/>
      <c r="K80" s="115"/>
      <c r="L80" s="115" t="s">
        <v>1380</v>
      </c>
      <c r="M80" s="56"/>
      <c r="N80" s="115" t="s">
        <v>1786</v>
      </c>
      <c r="O80" s="115"/>
    </row>
    <row r="81" spans="1:29">
      <c r="A81" s="115" t="s">
        <v>1087</v>
      </c>
      <c r="B81" s="115" t="s">
        <v>1920</v>
      </c>
      <c r="C81" s="145" t="s">
        <v>2946</v>
      </c>
      <c r="F81" s="139">
        <v>452</v>
      </c>
      <c r="H81" s="115"/>
      <c r="I81" s="115"/>
      <c r="J81" s="115"/>
      <c r="K81" s="115"/>
      <c r="L81" s="115" t="s">
        <v>1284</v>
      </c>
      <c r="M81" s="115"/>
      <c r="N81" s="115" t="s">
        <v>1699</v>
      </c>
      <c r="O81" s="115"/>
    </row>
    <row r="82" spans="1:29">
      <c r="A82" s="118" t="s">
        <v>791</v>
      </c>
      <c r="B82" s="150" t="s">
        <v>790</v>
      </c>
      <c r="C82" s="169" t="s">
        <v>2947</v>
      </c>
      <c r="D82" s="118"/>
      <c r="E82" s="118"/>
      <c r="F82" s="140">
        <v>25</v>
      </c>
      <c r="G82" s="140"/>
      <c r="H82" s="118"/>
      <c r="I82" s="120"/>
      <c r="J82" s="155"/>
      <c r="K82" s="155"/>
      <c r="L82" s="118"/>
      <c r="M82" s="127"/>
      <c r="N82" s="116" t="s">
        <v>2427</v>
      </c>
      <c r="O82" s="120"/>
      <c r="P82" s="120"/>
      <c r="Q82" s="120"/>
      <c r="R82" s="120"/>
      <c r="S82" s="120"/>
      <c r="T82" s="120"/>
      <c r="U82" s="120"/>
      <c r="V82" s="120"/>
      <c r="W82" s="120"/>
      <c r="X82" s="120"/>
      <c r="Y82" s="120"/>
      <c r="Z82" s="120"/>
      <c r="AA82" s="120"/>
      <c r="AB82" s="120"/>
      <c r="AC82" s="120"/>
    </row>
    <row r="83" spans="1:29">
      <c r="A83" s="124" t="s">
        <v>461</v>
      </c>
      <c r="B83" s="124" t="s">
        <v>467</v>
      </c>
      <c r="C83" s="145" t="s">
        <v>2948</v>
      </c>
      <c r="E83" s="108" t="s">
        <v>2666</v>
      </c>
      <c r="H83" s="124"/>
      <c r="J83" s="110"/>
      <c r="K83" s="110"/>
      <c r="L83" s="116"/>
      <c r="M83" s="127"/>
      <c r="N83" s="116"/>
    </row>
    <row r="84" spans="1:29">
      <c r="A84" s="115" t="s">
        <v>1883</v>
      </c>
      <c r="B84" s="115" t="s">
        <v>1887</v>
      </c>
      <c r="C84" s="145" t="s">
        <v>2949</v>
      </c>
      <c r="E84" s="108" t="s">
        <v>2666</v>
      </c>
      <c r="H84" s="115"/>
      <c r="I84" s="115"/>
      <c r="J84" s="115"/>
      <c r="K84" s="115"/>
      <c r="L84" s="115" t="s">
        <v>1289</v>
      </c>
      <c r="M84" s="124"/>
      <c r="N84" s="115"/>
      <c r="O84" s="115"/>
      <c r="P84" s="110"/>
      <c r="Q84" s="110"/>
      <c r="R84" s="110"/>
      <c r="S84" s="110"/>
      <c r="T84" s="110"/>
      <c r="U84" s="110"/>
      <c r="V84" s="110"/>
      <c r="W84" s="110"/>
    </row>
    <row r="85" spans="1:29">
      <c r="B85" s="127" t="s">
        <v>552</v>
      </c>
      <c r="C85" s="145" t="s">
        <v>2950</v>
      </c>
      <c r="F85" s="139">
        <v>494</v>
      </c>
      <c r="H85" s="127"/>
      <c r="J85" s="110"/>
      <c r="K85" s="110"/>
      <c r="L85" s="116"/>
      <c r="M85" s="116"/>
      <c r="N85" s="116"/>
    </row>
    <row r="86" spans="1:29">
      <c r="A86" s="124" t="s">
        <v>29</v>
      </c>
      <c r="B86" s="124" t="s">
        <v>552</v>
      </c>
      <c r="C86" s="145" t="s">
        <v>2951</v>
      </c>
      <c r="E86" s="108" t="s">
        <v>2663</v>
      </c>
      <c r="H86" s="124"/>
      <c r="J86" s="110"/>
      <c r="K86" s="110"/>
      <c r="L86" s="116"/>
      <c r="M86" s="124"/>
      <c r="N86" s="116"/>
    </row>
    <row r="87" spans="1:29">
      <c r="A87" s="124" t="s">
        <v>2357</v>
      </c>
      <c r="B87" s="150" t="s">
        <v>807</v>
      </c>
      <c r="C87" s="151" t="s">
        <v>2627</v>
      </c>
      <c r="D87" s="118"/>
      <c r="E87" s="118" t="s">
        <v>2663</v>
      </c>
      <c r="F87" s="140"/>
      <c r="G87" s="140"/>
      <c r="H87" s="118"/>
      <c r="I87" s="120"/>
      <c r="J87" s="155"/>
      <c r="K87" s="155"/>
      <c r="L87" s="119"/>
      <c r="M87" s="115"/>
      <c r="N87" s="118"/>
      <c r="O87" s="120"/>
      <c r="P87" s="120"/>
      <c r="Q87" s="120"/>
      <c r="R87" s="120"/>
      <c r="S87" s="120"/>
      <c r="T87" s="120"/>
      <c r="U87" s="120"/>
      <c r="V87" s="120"/>
      <c r="W87" s="120"/>
      <c r="X87" s="120"/>
      <c r="Y87" s="120"/>
      <c r="Z87" s="120"/>
      <c r="AA87" s="120"/>
      <c r="AB87" s="120"/>
      <c r="AC87" s="120"/>
    </row>
    <row r="88" spans="1:29">
      <c r="A88" s="88" t="s">
        <v>4012</v>
      </c>
      <c r="B88" s="88" t="s">
        <v>4011</v>
      </c>
      <c r="C88" s="88" t="s">
        <v>4013</v>
      </c>
      <c r="D88"/>
      <c r="E88"/>
      <c r="F88">
        <v>513</v>
      </c>
      <c r="G88"/>
      <c r="H88"/>
      <c r="I88"/>
      <c r="J88"/>
      <c r="K88"/>
      <c r="L88"/>
      <c r="M88"/>
      <c r="N88"/>
      <c r="O88"/>
      <c r="P88"/>
      <c r="Q88"/>
      <c r="R88"/>
      <c r="S88"/>
      <c r="T88"/>
      <c r="U88"/>
      <c r="V88"/>
      <c r="W88"/>
      <c r="X88"/>
      <c r="Y88"/>
      <c r="Z88"/>
      <c r="AA88"/>
      <c r="AB88"/>
      <c r="AC88"/>
    </row>
    <row r="89" spans="1:29">
      <c r="B89" s="127" t="s">
        <v>968</v>
      </c>
      <c r="C89" s="145" t="s">
        <v>2952</v>
      </c>
      <c r="F89" s="139">
        <v>495</v>
      </c>
      <c r="H89" s="127"/>
      <c r="I89" s="110"/>
      <c r="J89" s="110"/>
      <c r="K89" s="110"/>
      <c r="L89" s="116"/>
      <c r="M89" s="116"/>
      <c r="N89" s="116"/>
      <c r="O89" s="110"/>
      <c r="P89" s="110"/>
      <c r="Q89" s="110"/>
      <c r="R89" s="110"/>
      <c r="S89" s="110"/>
      <c r="T89" s="110"/>
      <c r="U89" s="110"/>
      <c r="V89" s="110"/>
      <c r="W89" s="110"/>
    </row>
    <row r="90" spans="1:29" ht="31.5">
      <c r="A90" s="124" t="s">
        <v>487</v>
      </c>
      <c r="B90" s="124" t="s">
        <v>491</v>
      </c>
      <c r="C90" s="145" t="s">
        <v>2805</v>
      </c>
      <c r="E90" s="108" t="s">
        <v>2666</v>
      </c>
      <c r="H90" s="124"/>
      <c r="I90" s="110"/>
      <c r="J90" s="110"/>
      <c r="K90" s="110"/>
      <c r="L90" s="116"/>
      <c r="M90" s="124"/>
      <c r="N90" s="116"/>
      <c r="O90" s="110"/>
      <c r="P90" s="110"/>
      <c r="Q90" s="110"/>
      <c r="R90" s="110"/>
      <c r="S90" s="110"/>
      <c r="T90" s="110"/>
      <c r="U90" s="110"/>
      <c r="V90" s="110"/>
      <c r="W90" s="110"/>
    </row>
    <row r="91" spans="1:29" ht="31.5">
      <c r="A91" s="115" t="s">
        <v>2068</v>
      </c>
      <c r="B91" s="115" t="s">
        <v>2069</v>
      </c>
      <c r="C91" s="145" t="s">
        <v>2953</v>
      </c>
      <c r="E91" s="108" t="s">
        <v>2666</v>
      </c>
      <c r="H91" s="115"/>
      <c r="I91" s="115"/>
      <c r="J91" s="115"/>
      <c r="K91" s="115"/>
      <c r="L91" s="115"/>
      <c r="M91" s="115"/>
      <c r="N91" s="115" t="s">
        <v>1808</v>
      </c>
      <c r="O91" s="115"/>
      <c r="P91" s="110"/>
      <c r="Q91" s="110"/>
      <c r="R91" s="110"/>
      <c r="S91" s="110"/>
      <c r="T91" s="110"/>
      <c r="U91" s="110"/>
      <c r="V91" s="110"/>
      <c r="W91" s="110"/>
    </row>
    <row r="92" spans="1:29">
      <c r="A92" s="136" t="s">
        <v>2541</v>
      </c>
      <c r="B92" s="127" t="s">
        <v>2540</v>
      </c>
      <c r="C92" s="145" t="s">
        <v>2954</v>
      </c>
      <c r="F92" s="139">
        <v>56</v>
      </c>
      <c r="H92" s="127"/>
      <c r="I92" s="110"/>
      <c r="J92" s="110"/>
      <c r="K92" s="110"/>
      <c r="L92" s="116"/>
      <c r="M92" s="115"/>
      <c r="N92" s="116" t="s">
        <v>2542</v>
      </c>
      <c r="O92" s="110"/>
      <c r="P92" s="110"/>
      <c r="Q92" s="110"/>
      <c r="R92" s="110"/>
      <c r="S92" s="110"/>
      <c r="T92" s="110"/>
      <c r="U92" s="110"/>
      <c r="V92" s="110"/>
      <c r="W92" s="110"/>
    </row>
    <row r="93" spans="1:29">
      <c r="A93" s="88" t="s">
        <v>159</v>
      </c>
      <c r="B93" s="88" t="s">
        <v>450</v>
      </c>
      <c r="C93" s="88" t="s">
        <v>451</v>
      </c>
      <c r="D93"/>
      <c r="E93"/>
      <c r="F93">
        <v>229</v>
      </c>
      <c r="G93"/>
      <c r="H93"/>
      <c r="I93"/>
      <c r="J93" s="71"/>
      <c r="K93" s="71"/>
      <c r="L93" s="71"/>
      <c r="M93"/>
      <c r="N93"/>
      <c r="O93"/>
      <c r="P93"/>
      <c r="Q93"/>
      <c r="R93"/>
      <c r="S93"/>
      <c r="T93"/>
      <c r="U93"/>
      <c r="V93"/>
      <c r="W93"/>
      <c r="X93"/>
      <c r="Y93"/>
      <c r="Z93"/>
      <c r="AA93"/>
      <c r="AB93"/>
      <c r="AC93"/>
    </row>
    <row r="94" spans="1:29" ht="47.25">
      <c r="A94" s="115" t="s">
        <v>1267</v>
      </c>
      <c r="B94" s="127" t="s">
        <v>450</v>
      </c>
      <c r="C94" s="145" t="s">
        <v>2955</v>
      </c>
      <c r="F94" s="139">
        <v>266</v>
      </c>
      <c r="H94" s="127"/>
      <c r="I94" s="122"/>
      <c r="J94" s="122" t="s">
        <v>2240</v>
      </c>
      <c r="K94" s="122"/>
      <c r="L94" s="127" t="s">
        <v>1262</v>
      </c>
      <c r="M94" s="127"/>
      <c r="N94" s="116"/>
      <c r="O94" s="122"/>
      <c r="P94" s="110"/>
      <c r="Q94" s="110"/>
      <c r="R94" s="110"/>
      <c r="S94" s="110"/>
      <c r="T94" s="110"/>
      <c r="U94" s="110"/>
      <c r="V94" s="110"/>
      <c r="W94" s="110"/>
    </row>
    <row r="95" spans="1:29">
      <c r="A95" s="136" t="s">
        <v>2291</v>
      </c>
      <c r="B95" s="127" t="s">
        <v>2312</v>
      </c>
      <c r="C95" s="145" t="s">
        <v>2646</v>
      </c>
      <c r="F95" s="139">
        <v>290</v>
      </c>
      <c r="H95" s="127"/>
      <c r="I95" s="110"/>
      <c r="J95" s="110"/>
      <c r="K95" s="110"/>
      <c r="L95" s="116"/>
      <c r="M95" s="124"/>
      <c r="N95" s="116" t="s">
        <v>2292</v>
      </c>
      <c r="O95" s="110"/>
      <c r="P95" s="110"/>
      <c r="Q95" s="110"/>
      <c r="R95" s="110"/>
      <c r="S95" s="110"/>
      <c r="T95" s="110"/>
      <c r="U95" s="110"/>
      <c r="V95" s="110"/>
      <c r="W95" s="110"/>
    </row>
    <row r="96" spans="1:29">
      <c r="A96" s="124" t="s">
        <v>651</v>
      </c>
      <c r="B96" s="124" t="s">
        <v>650</v>
      </c>
      <c r="C96" s="145" t="s">
        <v>2836</v>
      </c>
      <c r="F96" s="139">
        <v>293</v>
      </c>
      <c r="H96" s="124"/>
      <c r="I96" s="110"/>
      <c r="J96" s="110"/>
      <c r="K96" s="110"/>
      <c r="L96" s="116"/>
      <c r="M96" s="119"/>
      <c r="N96" s="116"/>
      <c r="O96" s="110"/>
      <c r="P96" s="110"/>
      <c r="Q96" s="110"/>
      <c r="R96" s="110"/>
      <c r="S96" s="110"/>
      <c r="T96" s="110"/>
      <c r="U96" s="110"/>
      <c r="V96" s="110"/>
      <c r="W96" s="110"/>
    </row>
    <row r="97" spans="1:29">
      <c r="A97" s="124" t="s">
        <v>730</v>
      </c>
      <c r="B97" s="124" t="s">
        <v>729</v>
      </c>
      <c r="C97" s="145" t="s">
        <v>2853</v>
      </c>
      <c r="F97" s="139">
        <v>389</v>
      </c>
      <c r="H97" s="124"/>
      <c r="I97" s="110"/>
      <c r="J97" s="110"/>
      <c r="K97" s="110"/>
      <c r="L97" s="116"/>
      <c r="M97" s="124"/>
      <c r="N97" s="116"/>
      <c r="O97" s="110"/>
      <c r="P97" s="110"/>
      <c r="Q97" s="110"/>
      <c r="R97" s="110"/>
      <c r="S97" s="110"/>
      <c r="T97" s="110"/>
      <c r="U97" s="110"/>
      <c r="V97" s="110"/>
      <c r="W97" s="110"/>
    </row>
    <row r="98" spans="1:29">
      <c r="A98" s="115" t="s">
        <v>298</v>
      </c>
      <c r="B98" s="127" t="s">
        <v>2396</v>
      </c>
      <c r="C98" s="145" t="s">
        <v>2956</v>
      </c>
      <c r="F98" s="139">
        <v>469</v>
      </c>
      <c r="H98" s="127"/>
      <c r="I98" s="110"/>
      <c r="J98" s="110"/>
      <c r="K98" s="110"/>
      <c r="L98" s="116"/>
      <c r="M98" s="127"/>
      <c r="N98" s="116"/>
      <c r="O98" s="110"/>
      <c r="P98" s="110"/>
      <c r="Q98" s="110"/>
      <c r="R98" s="110"/>
      <c r="S98" s="110"/>
      <c r="T98" s="110"/>
      <c r="U98" s="110"/>
      <c r="V98" s="110"/>
      <c r="W98" s="110"/>
    </row>
    <row r="99" spans="1:29">
      <c r="A99" s="124" t="s">
        <v>822</v>
      </c>
      <c r="B99" s="124" t="s">
        <v>832</v>
      </c>
      <c r="C99" s="145" t="s">
        <v>2957</v>
      </c>
      <c r="E99" s="108" t="s">
        <v>2663</v>
      </c>
      <c r="H99" s="124"/>
      <c r="I99" s="110"/>
      <c r="J99" s="110"/>
      <c r="K99" s="110"/>
      <c r="L99" s="116"/>
      <c r="M99" s="124"/>
      <c r="N99" s="116"/>
      <c r="O99" s="110"/>
      <c r="P99" s="110"/>
      <c r="Q99" s="110"/>
      <c r="R99" s="110"/>
      <c r="S99" s="110"/>
      <c r="T99" s="110"/>
      <c r="U99" s="110"/>
      <c r="V99" s="110"/>
      <c r="W99" s="110"/>
    </row>
    <row r="100" spans="1:29">
      <c r="A100" s="124" t="s">
        <v>814</v>
      </c>
      <c r="B100" s="124" t="s">
        <v>813</v>
      </c>
      <c r="C100" s="145" t="s">
        <v>2875</v>
      </c>
      <c r="F100" s="139">
        <v>55</v>
      </c>
      <c r="H100" s="124"/>
      <c r="I100" s="110"/>
      <c r="J100" s="110"/>
      <c r="K100" s="110"/>
      <c r="L100" s="116"/>
      <c r="M100" s="116"/>
      <c r="N100" s="116"/>
      <c r="O100" s="110"/>
      <c r="P100" s="110"/>
      <c r="Q100" s="110"/>
      <c r="R100" s="110"/>
      <c r="S100" s="110"/>
      <c r="T100" s="110"/>
      <c r="U100" s="110"/>
      <c r="V100" s="110"/>
      <c r="W100" s="110"/>
    </row>
    <row r="101" spans="1:29">
      <c r="A101" s="124" t="s">
        <v>231</v>
      </c>
      <c r="B101" s="124" t="s">
        <v>412</v>
      </c>
      <c r="C101" s="145" t="s">
        <v>2958</v>
      </c>
      <c r="F101" s="139">
        <v>395</v>
      </c>
      <c r="H101" s="124"/>
      <c r="I101" s="110"/>
      <c r="J101" s="110"/>
      <c r="K101" s="110"/>
      <c r="L101" s="116"/>
      <c r="M101" s="124"/>
      <c r="N101" s="116"/>
      <c r="O101" s="110"/>
      <c r="P101" s="110"/>
      <c r="Q101" s="110"/>
      <c r="R101" s="110"/>
      <c r="S101" s="110"/>
      <c r="T101" s="110"/>
      <c r="U101" s="110"/>
      <c r="V101" s="110"/>
      <c r="W101" s="110"/>
    </row>
    <row r="102" spans="1:29">
      <c r="A102" s="150" t="s">
        <v>1863</v>
      </c>
      <c r="B102" s="150" t="s">
        <v>2437</v>
      </c>
      <c r="C102" s="151" t="s">
        <v>2959</v>
      </c>
      <c r="D102" s="118"/>
      <c r="E102" s="118" t="s">
        <v>2663</v>
      </c>
      <c r="F102" s="140"/>
      <c r="G102" s="140"/>
      <c r="H102" s="118"/>
      <c r="I102" s="120"/>
      <c r="J102" s="155"/>
      <c r="K102" s="155"/>
      <c r="L102" s="118"/>
      <c r="M102" s="116"/>
      <c r="N102" s="119"/>
      <c r="O102" s="120"/>
      <c r="P102" s="120"/>
      <c r="Q102" s="120"/>
      <c r="R102" s="120"/>
      <c r="S102" s="120"/>
      <c r="T102" s="120"/>
      <c r="U102" s="120"/>
      <c r="V102" s="120"/>
      <c r="W102" s="120"/>
      <c r="X102" s="120"/>
      <c r="Y102" s="120"/>
      <c r="Z102" s="120"/>
      <c r="AA102" s="120"/>
      <c r="AB102" s="120"/>
      <c r="AC102" s="120"/>
    </row>
    <row r="103" spans="1:29">
      <c r="A103" s="124" t="s">
        <v>159</v>
      </c>
      <c r="B103" s="124" t="s">
        <v>455</v>
      </c>
      <c r="C103" s="145" t="s">
        <v>2767</v>
      </c>
      <c r="F103" s="139">
        <v>230</v>
      </c>
      <c r="H103" s="124"/>
      <c r="I103" s="110"/>
      <c r="J103" s="110"/>
      <c r="K103" s="110"/>
      <c r="L103" s="116"/>
      <c r="M103" s="131"/>
      <c r="N103" s="116"/>
      <c r="O103" s="110"/>
      <c r="P103" s="110"/>
      <c r="Q103" s="110"/>
      <c r="R103" s="110"/>
      <c r="S103" s="110"/>
      <c r="T103" s="110"/>
      <c r="U103" s="110"/>
      <c r="V103" s="110"/>
      <c r="W103" s="110"/>
    </row>
    <row r="104" spans="1:29">
      <c r="A104" s="150" t="s">
        <v>3097</v>
      </c>
      <c r="B104" s="150" t="s">
        <v>2434</v>
      </c>
      <c r="C104" s="151" t="s">
        <v>2960</v>
      </c>
      <c r="D104" s="118"/>
      <c r="E104" s="118" t="s">
        <v>2670</v>
      </c>
      <c r="F104" s="140"/>
      <c r="G104" s="140"/>
      <c r="H104" s="118"/>
      <c r="I104" s="120"/>
      <c r="J104" s="155"/>
      <c r="K104" s="155"/>
      <c r="L104" s="118"/>
      <c r="M104" s="118"/>
      <c r="N104" s="118"/>
      <c r="O104" s="120"/>
      <c r="P104" s="120"/>
      <c r="Q104" s="120"/>
      <c r="R104" s="120"/>
      <c r="S104" s="120"/>
      <c r="T104" s="120"/>
      <c r="U104" s="120"/>
      <c r="V104" s="120"/>
      <c r="W104" s="120"/>
      <c r="X104" s="120"/>
      <c r="Y104" s="120"/>
      <c r="Z104" s="120"/>
      <c r="AA104" s="120"/>
      <c r="AB104" s="120"/>
      <c r="AC104" s="120"/>
    </row>
    <row r="105" spans="1:29">
      <c r="A105" s="118" t="s">
        <v>109</v>
      </c>
      <c r="B105" s="150"/>
      <c r="C105" s="151" t="s">
        <v>2961</v>
      </c>
      <c r="D105" s="118"/>
      <c r="E105" s="118">
        <v>550</v>
      </c>
      <c r="F105" s="140"/>
      <c r="G105" s="140"/>
      <c r="H105" s="118"/>
      <c r="I105" s="120"/>
      <c r="J105" s="155"/>
      <c r="K105" s="155"/>
      <c r="L105" s="118"/>
      <c r="M105" s="124"/>
      <c r="N105" s="119"/>
      <c r="O105" s="120"/>
      <c r="P105" s="120"/>
      <c r="Q105" s="120"/>
      <c r="R105" s="120"/>
      <c r="S105" s="120"/>
      <c r="T105" s="120"/>
      <c r="U105" s="120"/>
      <c r="V105" s="120"/>
      <c r="W105" s="120"/>
      <c r="X105" s="120"/>
      <c r="Y105" s="120"/>
      <c r="Z105" s="120"/>
      <c r="AA105" s="120"/>
      <c r="AB105" s="120"/>
      <c r="AC105" s="120"/>
    </row>
    <row r="106" spans="1:29">
      <c r="A106" s="115" t="s">
        <v>164</v>
      </c>
      <c r="B106" s="127" t="s">
        <v>163</v>
      </c>
      <c r="C106" s="145" t="s">
        <v>2962</v>
      </c>
      <c r="F106" s="139">
        <v>238</v>
      </c>
      <c r="H106" s="127"/>
      <c r="I106" s="110"/>
      <c r="J106" s="110"/>
      <c r="K106" s="110"/>
      <c r="L106" s="116"/>
      <c r="M106" s="119"/>
      <c r="N106" s="116"/>
      <c r="O106" s="110"/>
      <c r="P106" s="110"/>
      <c r="Q106" s="110"/>
      <c r="R106" s="110"/>
      <c r="S106" s="110"/>
      <c r="T106" s="110"/>
      <c r="U106" s="110"/>
      <c r="V106" s="110"/>
      <c r="W106" s="110"/>
    </row>
    <row r="107" spans="1:29">
      <c r="A107" s="118" t="s">
        <v>2520</v>
      </c>
      <c r="B107" s="150" t="s">
        <v>2519</v>
      </c>
      <c r="C107" s="151" t="s">
        <v>2870</v>
      </c>
      <c r="D107" s="118"/>
      <c r="E107" s="118"/>
      <c r="F107" s="140">
        <v>459</v>
      </c>
      <c r="G107" s="140"/>
      <c r="H107" s="118"/>
      <c r="I107" s="120"/>
      <c r="J107" s="155"/>
      <c r="K107" s="155"/>
      <c r="L107" s="118"/>
      <c r="M107" s="119"/>
      <c r="N107" s="119"/>
      <c r="O107" s="120"/>
      <c r="P107" s="120"/>
      <c r="Q107" s="120"/>
      <c r="R107" s="120"/>
      <c r="S107" s="120"/>
      <c r="T107" s="120"/>
      <c r="U107" s="120"/>
      <c r="V107" s="120"/>
      <c r="W107" s="120"/>
      <c r="X107" s="120"/>
      <c r="Y107" s="120"/>
      <c r="Z107" s="120"/>
      <c r="AA107" s="120"/>
      <c r="AB107" s="120"/>
      <c r="AC107" s="120"/>
    </row>
    <row r="108" spans="1:29">
      <c r="A108" s="124" t="s">
        <v>637</v>
      </c>
      <c r="B108" s="124" t="s">
        <v>636</v>
      </c>
      <c r="C108" s="145" t="s">
        <v>2832</v>
      </c>
      <c r="F108" s="139">
        <v>121</v>
      </c>
      <c r="H108" s="124"/>
      <c r="I108" s="110"/>
      <c r="J108" s="110"/>
      <c r="K108" s="110"/>
      <c r="L108" s="116"/>
      <c r="M108" s="124"/>
      <c r="N108" s="116"/>
      <c r="O108" s="110"/>
      <c r="P108" s="110"/>
      <c r="Q108" s="110"/>
      <c r="R108" s="110"/>
      <c r="S108" s="110"/>
      <c r="T108" s="110"/>
      <c r="U108" s="110"/>
      <c r="V108" s="110"/>
      <c r="W108" s="110"/>
    </row>
    <row r="109" spans="1:29">
      <c r="B109" s="127" t="s">
        <v>1006</v>
      </c>
      <c r="C109" s="145" t="s">
        <v>2963</v>
      </c>
      <c r="F109" s="139">
        <v>496</v>
      </c>
      <c r="H109" s="127"/>
      <c r="I109" s="110"/>
      <c r="J109" s="110"/>
      <c r="K109" s="110"/>
      <c r="L109" s="116"/>
      <c r="M109" s="116"/>
      <c r="N109" s="116"/>
      <c r="O109" s="110"/>
      <c r="P109" s="110"/>
      <c r="Q109" s="110"/>
      <c r="R109" s="110"/>
      <c r="S109" s="110"/>
      <c r="T109" s="110"/>
      <c r="U109" s="110"/>
      <c r="V109" s="110"/>
      <c r="W109" s="110"/>
    </row>
    <row r="110" spans="1:29">
      <c r="A110" s="124" t="s">
        <v>611</v>
      </c>
      <c r="B110" s="124" t="s">
        <v>610</v>
      </c>
      <c r="C110" s="145" t="s">
        <v>2828</v>
      </c>
      <c r="F110" s="139">
        <v>205</v>
      </c>
      <c r="H110" s="124"/>
      <c r="I110" s="110"/>
      <c r="J110" s="110"/>
      <c r="K110" s="110"/>
      <c r="L110" s="116"/>
      <c r="M110" s="127"/>
      <c r="N110" s="116"/>
      <c r="O110" s="110"/>
      <c r="P110" s="110"/>
      <c r="Q110" s="110"/>
      <c r="R110" s="110"/>
      <c r="S110" s="110"/>
      <c r="T110" s="110"/>
      <c r="U110" s="110"/>
      <c r="V110" s="110"/>
      <c r="W110" s="110"/>
    </row>
    <row r="111" spans="1:29">
      <c r="A111" s="124" t="s">
        <v>631</v>
      </c>
      <c r="B111" s="124" t="s">
        <v>630</v>
      </c>
      <c r="C111" s="145" t="s">
        <v>2964</v>
      </c>
      <c r="F111" s="139">
        <v>201</v>
      </c>
      <c r="H111" s="124"/>
      <c r="I111" s="110"/>
      <c r="J111" s="110"/>
      <c r="K111" s="110"/>
      <c r="L111" s="116"/>
      <c r="M111" s="124"/>
      <c r="N111" s="116"/>
      <c r="O111" s="110"/>
      <c r="P111" s="110"/>
      <c r="Q111" s="110"/>
      <c r="R111" s="110"/>
      <c r="S111" s="110"/>
      <c r="T111" s="110"/>
      <c r="U111" s="110"/>
      <c r="V111" s="110"/>
      <c r="W111" s="110"/>
    </row>
    <row r="112" spans="1:29" ht="31.5">
      <c r="B112" s="127" t="s">
        <v>1050</v>
      </c>
      <c r="C112" s="145" t="s">
        <v>2965</v>
      </c>
      <c r="E112" s="108" t="s">
        <v>2666</v>
      </c>
      <c r="H112" s="127"/>
      <c r="M112" s="116"/>
      <c r="P112" s="112" t="s">
        <v>2230</v>
      </c>
    </row>
    <row r="113" spans="1:25" ht="31.5">
      <c r="B113" s="127" t="s">
        <v>1041</v>
      </c>
      <c r="C113" s="145" t="s">
        <v>2966</v>
      </c>
      <c r="E113" s="108" t="s">
        <v>2670</v>
      </c>
      <c r="H113" s="127"/>
      <c r="M113" s="116"/>
      <c r="P113" s="129" t="s">
        <v>1038</v>
      </c>
      <c r="Q113" s="129"/>
      <c r="R113" s="129"/>
      <c r="S113" s="129"/>
      <c r="T113" s="129"/>
      <c r="U113" s="129"/>
      <c r="V113" s="129"/>
      <c r="W113" s="129"/>
    </row>
    <row r="114" spans="1:25" ht="31.5">
      <c r="A114" s="115" t="s">
        <v>1838</v>
      </c>
      <c r="B114" s="115" t="s">
        <v>1839</v>
      </c>
      <c r="C114" s="145" t="s">
        <v>2967</v>
      </c>
      <c r="E114" s="108">
        <v>550</v>
      </c>
      <c r="H114" s="115"/>
      <c r="I114" s="115"/>
      <c r="J114" s="115"/>
      <c r="K114" s="115"/>
      <c r="L114" s="115" t="s">
        <v>1289</v>
      </c>
      <c r="M114" s="127"/>
      <c r="N114" s="115" t="s">
        <v>1699</v>
      </c>
      <c r="O114" s="115"/>
    </row>
    <row r="115" spans="1:25" ht="31.5">
      <c r="A115" s="115" t="s">
        <v>1759</v>
      </c>
      <c r="B115" s="115" t="s">
        <v>1760</v>
      </c>
      <c r="C115" s="145" t="s">
        <v>2968</v>
      </c>
      <c r="D115" s="108" t="s">
        <v>2673</v>
      </c>
      <c r="F115" s="139">
        <v>353</v>
      </c>
      <c r="H115" s="115"/>
      <c r="I115" s="115"/>
      <c r="J115" s="115"/>
      <c r="K115" s="115"/>
      <c r="L115" s="115" t="s">
        <v>1289</v>
      </c>
      <c r="M115" s="115"/>
      <c r="N115" s="115" t="s">
        <v>1707</v>
      </c>
      <c r="O115" s="115"/>
    </row>
    <row r="116" spans="1:25" ht="47.25">
      <c r="A116" s="115" t="s">
        <v>1297</v>
      </c>
      <c r="B116" s="127" t="s">
        <v>1298</v>
      </c>
      <c r="C116" s="145" t="s">
        <v>2969</v>
      </c>
      <c r="E116" s="108" t="s">
        <v>2661</v>
      </c>
      <c r="H116" s="127"/>
      <c r="I116" s="122"/>
      <c r="J116" s="122" t="s">
        <v>2241</v>
      </c>
      <c r="K116" s="122"/>
      <c r="L116" s="127" t="s">
        <v>1284</v>
      </c>
      <c r="M116" s="127"/>
      <c r="N116" s="116"/>
      <c r="O116" s="122"/>
    </row>
    <row r="117" spans="1:25" ht="31.5">
      <c r="A117" s="115" t="s">
        <v>1400</v>
      </c>
      <c r="B117" s="127"/>
      <c r="C117" s="145" t="s">
        <v>2970</v>
      </c>
      <c r="F117" s="139">
        <v>318</v>
      </c>
      <c r="H117" s="127"/>
      <c r="I117" s="122"/>
      <c r="J117" s="122" t="s">
        <v>1401</v>
      </c>
      <c r="K117" s="122"/>
      <c r="L117" s="127" t="s">
        <v>1399</v>
      </c>
      <c r="M117" s="127"/>
      <c r="O117" s="122"/>
    </row>
    <row r="118" spans="1:25" ht="47.25">
      <c r="A118" s="115" t="s">
        <v>1301</v>
      </c>
      <c r="B118" s="127" t="s">
        <v>1302</v>
      </c>
      <c r="C118" s="145" t="s">
        <v>2971</v>
      </c>
      <c r="F118" s="139">
        <v>317</v>
      </c>
      <c r="H118" s="127"/>
      <c r="I118" s="122"/>
      <c r="J118" s="122" t="s">
        <v>2242</v>
      </c>
      <c r="K118" s="122"/>
      <c r="L118" s="127" t="s">
        <v>1284</v>
      </c>
      <c r="M118" s="131"/>
      <c r="O118" s="122"/>
    </row>
    <row r="119" spans="1:25" ht="47.25">
      <c r="A119" s="115" t="s">
        <v>2243</v>
      </c>
      <c r="B119" s="127" t="s">
        <v>540</v>
      </c>
      <c r="C119" s="145" t="s">
        <v>2972</v>
      </c>
      <c r="E119" s="108" t="s">
        <v>2666</v>
      </c>
      <c r="H119" s="127"/>
      <c r="I119" s="122"/>
      <c r="J119" s="122" t="s">
        <v>2244</v>
      </c>
      <c r="K119" s="122"/>
      <c r="L119" s="127" t="s">
        <v>1284</v>
      </c>
      <c r="M119" s="127"/>
      <c r="O119" s="122"/>
    </row>
    <row r="120" spans="1:25" ht="31.5">
      <c r="A120" s="124" t="s">
        <v>690</v>
      </c>
      <c r="B120" s="124" t="s">
        <v>689</v>
      </c>
      <c r="C120" s="145" t="s">
        <v>2973</v>
      </c>
      <c r="E120" s="108" t="s">
        <v>2666</v>
      </c>
      <c r="H120" s="124"/>
      <c r="M120" s="115"/>
    </row>
    <row r="121" spans="1:25">
      <c r="A121" s="124" t="s">
        <v>1241</v>
      </c>
      <c r="B121" s="124"/>
      <c r="C121" s="145" t="s">
        <v>2876</v>
      </c>
      <c r="F121" s="139">
        <v>347</v>
      </c>
      <c r="H121" s="124"/>
      <c r="M121" s="124"/>
    </row>
    <row r="122" spans="1:25">
      <c r="A122" s="115" t="s">
        <v>1753</v>
      </c>
      <c r="B122" s="115" t="s">
        <v>1868</v>
      </c>
      <c r="C122" s="145" t="s">
        <v>2974</v>
      </c>
      <c r="F122" s="139">
        <v>349</v>
      </c>
      <c r="H122" s="115"/>
      <c r="I122" s="115"/>
      <c r="J122" s="115"/>
      <c r="K122" s="115"/>
      <c r="L122" s="115" t="s">
        <v>1289</v>
      </c>
      <c r="M122" s="115"/>
      <c r="N122" s="115" t="s">
        <v>1699</v>
      </c>
      <c r="O122" s="115"/>
    </row>
    <row r="123" spans="1:25" ht="31.5">
      <c r="A123" s="115" t="s">
        <v>2021</v>
      </c>
      <c r="B123" s="115" t="s">
        <v>2025</v>
      </c>
      <c r="C123" s="145" t="s">
        <v>2975</v>
      </c>
      <c r="F123" s="139">
        <v>282</v>
      </c>
      <c r="H123" s="115"/>
      <c r="I123" s="115"/>
      <c r="J123" s="115"/>
      <c r="K123" s="115"/>
      <c r="L123" s="115" t="s">
        <v>2020</v>
      </c>
      <c r="M123" s="115"/>
      <c r="N123" s="115" t="s">
        <v>1474</v>
      </c>
      <c r="O123" s="115"/>
    </row>
    <row r="124" spans="1:25">
      <c r="A124" s="136" t="s">
        <v>2358</v>
      </c>
      <c r="B124" s="127"/>
      <c r="C124" s="145" t="s">
        <v>2878</v>
      </c>
      <c r="F124" s="139">
        <v>189</v>
      </c>
      <c r="H124" s="127"/>
      <c r="I124" s="110"/>
      <c r="J124" s="110"/>
      <c r="K124" s="110"/>
      <c r="L124" s="116"/>
      <c r="M124" s="127"/>
      <c r="N124" s="109" t="s">
        <v>2315</v>
      </c>
      <c r="O124" s="110"/>
    </row>
    <row r="125" spans="1:25">
      <c r="A125" s="136" t="s">
        <v>2291</v>
      </c>
      <c r="B125" s="127" t="s">
        <v>2328</v>
      </c>
      <c r="C125" s="156" t="s">
        <v>2645</v>
      </c>
      <c r="F125" s="139">
        <v>291</v>
      </c>
      <c r="H125" s="127"/>
      <c r="L125" s="116"/>
      <c r="M125" s="116"/>
      <c r="N125" s="116" t="s">
        <v>2237</v>
      </c>
    </row>
    <row r="126" spans="1:25">
      <c r="A126" s="115" t="s">
        <v>175</v>
      </c>
      <c r="B126" s="127" t="s">
        <v>174</v>
      </c>
      <c r="C126" s="145" t="s">
        <v>2976</v>
      </c>
      <c r="E126" s="108" t="s">
        <v>2666</v>
      </c>
      <c r="H126" s="127"/>
      <c r="L126" s="116"/>
      <c r="M126" s="127"/>
      <c r="N126" s="116"/>
    </row>
    <row r="127" spans="1:25" ht="47.25">
      <c r="A127" s="115" t="s">
        <v>1315</v>
      </c>
      <c r="B127" s="127" t="s">
        <v>1316</v>
      </c>
      <c r="C127" s="145" t="s">
        <v>2977</v>
      </c>
      <c r="E127" s="108" t="s">
        <v>2666</v>
      </c>
      <c r="H127" s="127"/>
      <c r="I127" s="122"/>
      <c r="J127" s="122" t="s">
        <v>2245</v>
      </c>
      <c r="K127" s="122"/>
      <c r="L127" s="127" t="s">
        <v>1314</v>
      </c>
      <c r="M127" s="115"/>
      <c r="O127" s="122"/>
    </row>
    <row r="128" spans="1:25" ht="31.5">
      <c r="A128" s="124" t="s">
        <v>2359</v>
      </c>
      <c r="B128" s="131" t="s">
        <v>2401</v>
      </c>
      <c r="C128" s="152" t="s">
        <v>2398</v>
      </c>
      <c r="D128" s="130"/>
      <c r="E128" s="130"/>
      <c r="F128" s="142">
        <v>166</v>
      </c>
      <c r="G128" s="142"/>
      <c r="H128" s="131" t="s">
        <v>2400</v>
      </c>
      <c r="I128" s="124"/>
      <c r="J128" s="124">
        <v>13661287248</v>
      </c>
      <c r="K128" s="124"/>
      <c r="L128" s="175" t="s">
        <v>2399</v>
      </c>
      <c r="M128" s="116"/>
      <c r="N128" s="109" t="s">
        <v>2315</v>
      </c>
      <c r="O128" s="124"/>
      <c r="Y128" s="106" t="s">
        <v>2402</v>
      </c>
    </row>
    <row r="129" spans="1:29">
      <c r="A129" s="115" t="s">
        <v>170</v>
      </c>
      <c r="B129" s="115" t="s">
        <v>169</v>
      </c>
      <c r="C129" s="145" t="s">
        <v>2978</v>
      </c>
      <c r="E129" s="108" t="s">
        <v>2666</v>
      </c>
      <c r="H129" s="115"/>
      <c r="I129" s="115"/>
      <c r="J129" s="115"/>
      <c r="K129" s="115"/>
      <c r="L129" s="115" t="s">
        <v>1262</v>
      </c>
      <c r="M129" s="127"/>
      <c r="N129" s="115" t="s">
        <v>1778</v>
      </c>
      <c r="O129" s="115"/>
    </row>
    <row r="130" spans="1:29">
      <c r="A130" s="118" t="s">
        <v>2467</v>
      </c>
      <c r="B130" s="150" t="s">
        <v>2466</v>
      </c>
      <c r="C130" s="151" t="s">
        <v>2979</v>
      </c>
      <c r="D130" s="118"/>
      <c r="E130" s="118" t="s">
        <v>2661</v>
      </c>
      <c r="F130" s="140"/>
      <c r="G130" s="140"/>
      <c r="H130" s="118"/>
      <c r="I130" s="120"/>
      <c r="J130" s="120"/>
      <c r="K130" s="120"/>
      <c r="L130" s="119"/>
      <c r="M130" s="127"/>
      <c r="N130" s="119"/>
      <c r="O130" s="120"/>
      <c r="P130" s="120"/>
      <c r="Q130" s="120"/>
      <c r="R130" s="120"/>
      <c r="S130" s="120"/>
      <c r="T130" s="120"/>
      <c r="U130" s="120"/>
      <c r="V130" s="120"/>
      <c r="W130" s="120"/>
      <c r="X130" s="120"/>
      <c r="Y130" s="120"/>
      <c r="Z130" s="120"/>
      <c r="AA130" s="120"/>
      <c r="AB130" s="120"/>
      <c r="AC130" s="120"/>
    </row>
    <row r="131" spans="1:29">
      <c r="A131" s="124" t="s">
        <v>605</v>
      </c>
      <c r="B131" s="124" t="s">
        <v>604</v>
      </c>
      <c r="C131" s="145" t="s">
        <v>2980</v>
      </c>
      <c r="F131" s="139">
        <v>431</v>
      </c>
      <c r="H131" s="124"/>
      <c r="M131" s="124"/>
    </row>
    <row r="132" spans="1:29">
      <c r="A132" s="115" t="s">
        <v>1976</v>
      </c>
      <c r="B132" s="115" t="s">
        <v>1977</v>
      </c>
      <c r="C132" s="145" t="s">
        <v>2981</v>
      </c>
      <c r="E132" s="108" t="s">
        <v>2666</v>
      </c>
      <c r="H132" s="115"/>
      <c r="I132" s="115"/>
      <c r="J132" s="115"/>
      <c r="K132" s="115"/>
      <c r="L132" s="115" t="s">
        <v>1262</v>
      </c>
      <c r="M132" s="115"/>
      <c r="N132" s="115" t="s">
        <v>1978</v>
      </c>
      <c r="O132" s="115"/>
    </row>
    <row r="133" spans="1:29" ht="47.25">
      <c r="A133" s="115" t="s">
        <v>1351</v>
      </c>
      <c r="B133" s="127" t="s">
        <v>1352</v>
      </c>
      <c r="C133" s="145" t="s">
        <v>2982</v>
      </c>
      <c r="F133" s="139">
        <v>429</v>
      </c>
      <c r="H133" s="127"/>
      <c r="I133" s="122"/>
      <c r="J133" s="122" t="s">
        <v>2246</v>
      </c>
      <c r="K133" s="122"/>
      <c r="L133" s="127" t="s">
        <v>1262</v>
      </c>
      <c r="M133" s="127"/>
      <c r="N133" s="116"/>
      <c r="O133" s="122"/>
    </row>
    <row r="134" spans="1:29">
      <c r="A134" s="115" t="s">
        <v>2048</v>
      </c>
      <c r="B134" s="115" t="s">
        <v>2049</v>
      </c>
      <c r="C134" s="145" t="s">
        <v>2983</v>
      </c>
      <c r="E134" s="108" t="s">
        <v>2666</v>
      </c>
      <c r="H134" s="115"/>
      <c r="I134" s="115"/>
      <c r="J134" s="115"/>
      <c r="K134" s="115"/>
      <c r="L134" s="115" t="s">
        <v>1284</v>
      </c>
      <c r="M134" s="115"/>
      <c r="N134" s="115" t="s">
        <v>1770</v>
      </c>
      <c r="O134" s="115"/>
    </row>
    <row r="135" spans="1:29" ht="31.5">
      <c r="B135" s="127" t="s">
        <v>1058</v>
      </c>
      <c r="C135" s="145" t="s">
        <v>2984</v>
      </c>
      <c r="E135" s="108" t="s">
        <v>2666</v>
      </c>
      <c r="H135" s="127"/>
      <c r="I135" s="110"/>
      <c r="J135" s="110"/>
      <c r="K135" s="110"/>
      <c r="M135" s="116"/>
      <c r="N135" s="116"/>
      <c r="O135" s="110"/>
      <c r="P135" s="112" t="s">
        <v>2232</v>
      </c>
    </row>
    <row r="136" spans="1:29">
      <c r="A136" s="115" t="s">
        <v>1965</v>
      </c>
      <c r="B136" s="115" t="s">
        <v>1754</v>
      </c>
      <c r="C136" s="145" t="s">
        <v>2985</v>
      </c>
      <c r="E136" s="108" t="s">
        <v>2661</v>
      </c>
      <c r="H136" s="115"/>
      <c r="I136" s="115"/>
      <c r="J136" s="115"/>
      <c r="K136" s="115"/>
      <c r="L136" s="115" t="s">
        <v>1262</v>
      </c>
      <c r="M136" s="127"/>
      <c r="N136" s="115" t="s">
        <v>1966</v>
      </c>
      <c r="O136" s="115"/>
    </row>
    <row r="137" spans="1:29">
      <c r="A137" s="124" t="s">
        <v>295</v>
      </c>
      <c r="B137" s="124" t="s">
        <v>576</v>
      </c>
      <c r="C137" s="145" t="s">
        <v>2986</v>
      </c>
      <c r="E137" s="108">
        <v>550</v>
      </c>
      <c r="H137" s="124"/>
      <c r="I137" s="110"/>
      <c r="J137" s="110"/>
      <c r="K137" s="110"/>
      <c r="M137" s="124"/>
      <c r="N137" s="116"/>
      <c r="O137" s="110"/>
    </row>
    <row r="138" spans="1:29">
      <c r="A138" s="118" t="s">
        <v>2439</v>
      </c>
      <c r="B138" s="150" t="s">
        <v>2438</v>
      </c>
      <c r="C138" s="151" t="s">
        <v>2987</v>
      </c>
      <c r="D138" s="118"/>
      <c r="E138" s="118" t="s">
        <v>2666</v>
      </c>
      <c r="F138" s="140"/>
      <c r="G138" s="140"/>
      <c r="H138" s="118"/>
      <c r="I138" s="120"/>
      <c r="J138" s="120"/>
      <c r="K138" s="120"/>
      <c r="L138" s="118"/>
      <c r="M138" s="127"/>
      <c r="N138" s="118"/>
      <c r="O138" s="120"/>
      <c r="P138" s="120"/>
      <c r="Q138" s="120"/>
      <c r="R138" s="120"/>
      <c r="S138" s="120"/>
      <c r="T138" s="120"/>
      <c r="U138" s="120"/>
      <c r="V138" s="120"/>
      <c r="W138" s="120"/>
      <c r="X138" s="120"/>
      <c r="Y138" s="120"/>
      <c r="Z138" s="120"/>
      <c r="AA138" s="120"/>
      <c r="AB138" s="120"/>
      <c r="AC138" s="120"/>
    </row>
    <row r="139" spans="1:29">
      <c r="A139" s="124" t="s">
        <v>640</v>
      </c>
      <c r="B139" s="124" t="s">
        <v>639</v>
      </c>
      <c r="C139" s="145" t="s">
        <v>2833</v>
      </c>
      <c r="F139" s="139">
        <v>382</v>
      </c>
      <c r="H139" s="124"/>
      <c r="I139" s="110"/>
      <c r="J139" s="110"/>
      <c r="K139" s="110"/>
      <c r="M139" s="124"/>
      <c r="N139" s="116"/>
      <c r="O139" s="110"/>
    </row>
    <row r="140" spans="1:29">
      <c r="A140" s="115" t="s">
        <v>46</v>
      </c>
      <c r="B140" s="127" t="s">
        <v>2360</v>
      </c>
      <c r="C140" s="145" t="s">
        <v>2988</v>
      </c>
      <c r="E140" s="108">
        <v>550</v>
      </c>
      <c r="H140" s="127"/>
      <c r="I140" s="110"/>
      <c r="J140" s="110"/>
      <c r="K140" s="110"/>
      <c r="L140" s="116"/>
      <c r="M140" s="115"/>
      <c r="N140" s="116" t="s">
        <v>2317</v>
      </c>
      <c r="O140" s="110"/>
      <c r="P140" s="110"/>
      <c r="Q140" s="110"/>
      <c r="R140" s="110"/>
      <c r="S140" s="110"/>
      <c r="T140" s="110"/>
      <c r="U140" s="110"/>
      <c r="V140" s="110"/>
      <c r="W140" s="110"/>
    </row>
    <row r="141" spans="1:29" ht="31.5">
      <c r="A141" s="124" t="s">
        <v>494</v>
      </c>
      <c r="B141" s="124" t="s">
        <v>498</v>
      </c>
      <c r="C141" s="145" t="s">
        <v>2649</v>
      </c>
      <c r="D141" s="108" t="s">
        <v>2673</v>
      </c>
      <c r="F141" s="139">
        <v>216</v>
      </c>
      <c r="H141" s="124"/>
      <c r="I141" s="110"/>
      <c r="J141" s="110"/>
      <c r="K141" s="110"/>
      <c r="M141" s="127"/>
      <c r="N141" s="116"/>
      <c r="O141" s="110"/>
    </row>
    <row r="142" spans="1:29">
      <c r="A142" s="115" t="s">
        <v>1958</v>
      </c>
      <c r="B142" s="115" t="s">
        <v>2147</v>
      </c>
      <c r="C142" s="145" t="s">
        <v>2989</v>
      </c>
      <c r="F142" s="139">
        <v>87</v>
      </c>
      <c r="H142" s="115"/>
      <c r="I142" s="115"/>
      <c r="J142" s="115"/>
      <c r="K142" s="115"/>
      <c r="M142" s="127"/>
      <c r="N142" s="115" t="s">
        <v>1474</v>
      </c>
      <c r="O142" s="115"/>
    </row>
    <row r="143" spans="1:29">
      <c r="A143" s="124" t="s">
        <v>654</v>
      </c>
      <c r="B143" s="124" t="s">
        <v>653</v>
      </c>
      <c r="C143" s="145" t="s">
        <v>2990</v>
      </c>
      <c r="D143" s="108" t="s">
        <v>2673</v>
      </c>
      <c r="F143" s="139">
        <v>413</v>
      </c>
      <c r="H143" s="124"/>
      <c r="I143" s="110"/>
      <c r="J143" s="110"/>
      <c r="K143" s="110"/>
      <c r="M143" s="124"/>
      <c r="N143" s="116"/>
      <c r="O143" s="110"/>
    </row>
    <row r="144" spans="1:29">
      <c r="A144" s="124" t="s">
        <v>234</v>
      </c>
      <c r="B144" s="124" t="s">
        <v>754</v>
      </c>
      <c r="C144" s="145" t="s">
        <v>2860</v>
      </c>
      <c r="F144" s="139">
        <v>404</v>
      </c>
      <c r="H144" s="124"/>
      <c r="I144" s="110"/>
      <c r="J144" s="110"/>
      <c r="K144" s="110"/>
      <c r="L144" s="116"/>
      <c r="M144" s="124"/>
      <c r="N144" s="116"/>
      <c r="O144" s="110"/>
    </row>
    <row r="145" spans="1:29">
      <c r="A145" s="136" t="s">
        <v>2544</v>
      </c>
      <c r="B145" s="127" t="s">
        <v>2543</v>
      </c>
      <c r="C145" s="145" t="s">
        <v>2991</v>
      </c>
      <c r="E145" s="108" t="s">
        <v>2663</v>
      </c>
      <c r="H145" s="127"/>
      <c r="I145" s="110"/>
      <c r="J145" s="110"/>
      <c r="K145" s="110"/>
      <c r="L145" s="116"/>
      <c r="M145" s="115"/>
      <c r="N145" s="116" t="s">
        <v>2236</v>
      </c>
      <c r="O145" s="110"/>
    </row>
    <row r="146" spans="1:29">
      <c r="A146" s="88" t="s">
        <v>1958</v>
      </c>
      <c r="B146" s="88" t="s">
        <v>2147</v>
      </c>
      <c r="C146" s="88" t="s">
        <v>4010</v>
      </c>
      <c r="D146"/>
      <c r="E146"/>
      <c r="F146">
        <v>514</v>
      </c>
      <c r="G146"/>
      <c r="H146"/>
      <c r="I146"/>
      <c r="J146"/>
      <c r="K146"/>
      <c r="L146"/>
      <c r="M146"/>
      <c r="N146"/>
      <c r="O146"/>
      <c r="P146"/>
      <c r="Q146"/>
      <c r="R146"/>
      <c r="S146"/>
      <c r="T146"/>
      <c r="U146"/>
      <c r="V146"/>
      <c r="W146"/>
      <c r="X146"/>
      <c r="Y146"/>
      <c r="Z146"/>
      <c r="AA146"/>
      <c r="AB146"/>
      <c r="AC146"/>
    </row>
    <row r="147" spans="1:29">
      <c r="A147" s="124" t="s">
        <v>417</v>
      </c>
      <c r="B147" s="124" t="s">
        <v>421</v>
      </c>
      <c r="C147" s="145" t="s">
        <v>2793</v>
      </c>
      <c r="F147" s="139">
        <v>7</v>
      </c>
      <c r="H147" s="124"/>
      <c r="I147" s="110"/>
      <c r="J147" s="110"/>
      <c r="K147" s="110"/>
      <c r="L147" s="116"/>
      <c r="M147" s="115"/>
      <c r="N147" s="116"/>
      <c r="O147" s="110"/>
    </row>
    <row r="148" spans="1:29">
      <c r="A148" s="115" t="s">
        <v>1997</v>
      </c>
      <c r="B148" s="115" t="s">
        <v>1998</v>
      </c>
      <c r="C148" s="145" t="s">
        <v>2992</v>
      </c>
      <c r="F148" s="139">
        <v>437</v>
      </c>
      <c r="H148" s="115"/>
      <c r="I148" s="115"/>
      <c r="J148" s="115"/>
      <c r="K148" s="115"/>
      <c r="L148" s="115" t="s">
        <v>1986</v>
      </c>
      <c r="M148" s="115"/>
      <c r="N148" s="115" t="s">
        <v>1703</v>
      </c>
      <c r="O148" s="115"/>
    </row>
    <row r="149" spans="1:29" ht="31.5">
      <c r="A149" s="115" t="s">
        <v>1756</v>
      </c>
      <c r="B149" s="115" t="s">
        <v>1757</v>
      </c>
      <c r="C149" s="145" t="s">
        <v>2993</v>
      </c>
      <c r="F149" s="139">
        <v>351</v>
      </c>
      <c r="H149" s="115"/>
      <c r="I149" s="115"/>
      <c r="J149" s="115"/>
      <c r="K149" s="115"/>
      <c r="L149" s="115" t="s">
        <v>1289</v>
      </c>
      <c r="M149" s="115"/>
      <c r="N149" s="115" t="s">
        <v>1707</v>
      </c>
      <c r="O149" s="115"/>
    </row>
    <row r="150" spans="1:29" ht="31.5">
      <c r="A150" s="115" t="s">
        <v>1590</v>
      </c>
      <c r="B150" s="127" t="s">
        <v>1589</v>
      </c>
      <c r="C150" s="145" t="s">
        <v>2994</v>
      </c>
      <c r="E150" s="108" t="s">
        <v>2663</v>
      </c>
      <c r="H150" s="127" t="s">
        <v>2400</v>
      </c>
      <c r="I150" s="120" t="s">
        <v>2413</v>
      </c>
      <c r="J150" s="115">
        <v>13003144992</v>
      </c>
      <c r="K150" s="115"/>
      <c r="L150" s="116"/>
      <c r="M150" s="127"/>
      <c r="N150" s="127"/>
      <c r="O150" s="120"/>
      <c r="P150" s="115" t="s">
        <v>1695</v>
      </c>
      <c r="Q150" s="115"/>
      <c r="R150" s="115"/>
      <c r="S150" s="115"/>
      <c r="T150" s="115"/>
      <c r="U150" s="115"/>
      <c r="V150" s="115"/>
      <c r="W150" s="115"/>
    </row>
    <row r="151" spans="1:29" ht="47.25">
      <c r="A151" s="115" t="s">
        <v>1329</v>
      </c>
      <c r="B151" s="127" t="s">
        <v>353</v>
      </c>
      <c r="C151" s="153" t="s">
        <v>2652</v>
      </c>
      <c r="F151" s="139">
        <v>210</v>
      </c>
      <c r="H151" s="127"/>
      <c r="I151" s="122"/>
      <c r="J151" s="122" t="s">
        <v>2247</v>
      </c>
      <c r="K151" s="122"/>
      <c r="L151" s="127" t="s">
        <v>1262</v>
      </c>
      <c r="M151" s="124"/>
      <c r="N151" s="127" t="s">
        <v>1465</v>
      </c>
      <c r="O151" s="122"/>
      <c r="P151" s="110"/>
      <c r="Q151" s="110"/>
      <c r="R151" s="110"/>
      <c r="S151" s="110"/>
      <c r="T151" s="110"/>
      <c r="U151" s="110"/>
      <c r="V151" s="110"/>
      <c r="W151" s="110"/>
    </row>
    <row r="152" spans="1:29" ht="47.25">
      <c r="A152" s="115" t="s">
        <v>2248</v>
      </c>
      <c r="B152" s="127" t="s">
        <v>1435</v>
      </c>
      <c r="C152" s="145" t="s">
        <v>2995</v>
      </c>
      <c r="F152" s="139">
        <v>135</v>
      </c>
      <c r="H152" s="127"/>
      <c r="I152" s="122"/>
      <c r="J152" s="122" t="s">
        <v>2249</v>
      </c>
      <c r="K152" s="122"/>
      <c r="L152" s="127" t="s">
        <v>1289</v>
      </c>
      <c r="M152" s="124"/>
      <c r="N152" s="116"/>
      <c r="O152" s="122"/>
      <c r="P152" s="110"/>
      <c r="Q152" s="110"/>
      <c r="R152" s="110"/>
      <c r="S152" s="110"/>
      <c r="T152" s="110"/>
      <c r="U152" s="110"/>
      <c r="V152" s="110"/>
      <c r="W152" s="110"/>
    </row>
    <row r="153" spans="1:29">
      <c r="A153" s="136" t="s">
        <v>2368</v>
      </c>
      <c r="B153" s="127" t="s">
        <v>2370</v>
      </c>
      <c r="C153" s="145" t="s">
        <v>2996</v>
      </c>
      <c r="E153" s="108">
        <v>550</v>
      </c>
      <c r="H153" s="127"/>
      <c r="I153" s="110"/>
      <c r="J153" s="110"/>
      <c r="K153" s="110"/>
      <c r="L153" s="116"/>
      <c r="M153" s="127"/>
      <c r="N153" s="116" t="s">
        <v>2369</v>
      </c>
      <c r="O153" s="110"/>
    </row>
    <row r="154" spans="1:29">
      <c r="A154" s="115" t="s">
        <v>1902</v>
      </c>
      <c r="B154" s="115" t="s">
        <v>1903</v>
      </c>
      <c r="C154" s="145" t="s">
        <v>2997</v>
      </c>
      <c r="F154" s="139">
        <v>67</v>
      </c>
      <c r="H154" s="115"/>
      <c r="I154" s="115"/>
      <c r="J154" s="115"/>
      <c r="K154" s="115"/>
      <c r="L154" s="115" t="s">
        <v>1284</v>
      </c>
      <c r="M154" s="115"/>
      <c r="N154" s="115" t="s">
        <v>1461</v>
      </c>
      <c r="O154" s="115"/>
      <c r="P154" s="110"/>
      <c r="Q154" s="110"/>
      <c r="R154" s="110"/>
      <c r="S154" s="110"/>
      <c r="T154" s="110"/>
      <c r="U154" s="110"/>
      <c r="V154" s="110"/>
      <c r="W154" s="110"/>
    </row>
    <row r="155" spans="1:29">
      <c r="A155" s="124" t="s">
        <v>386</v>
      </c>
      <c r="B155" s="124" t="s">
        <v>95</v>
      </c>
      <c r="C155" s="145" t="s">
        <v>2785</v>
      </c>
      <c r="F155" s="139">
        <v>130</v>
      </c>
      <c r="H155" s="124"/>
      <c r="I155" s="110"/>
      <c r="J155" s="110"/>
      <c r="K155" s="110"/>
      <c r="L155" s="116"/>
      <c r="M155" s="124"/>
      <c r="O155" s="110"/>
    </row>
    <row r="156" spans="1:29">
      <c r="A156" s="124" t="s">
        <v>29</v>
      </c>
      <c r="B156" s="124" t="s">
        <v>558</v>
      </c>
      <c r="C156" s="145" t="s">
        <v>2998</v>
      </c>
      <c r="F156" s="139">
        <v>150</v>
      </c>
      <c r="H156" s="124"/>
      <c r="I156" s="110"/>
      <c r="J156" s="110"/>
      <c r="K156" s="110"/>
      <c r="L156" s="116"/>
      <c r="M156" s="124"/>
      <c r="O156" s="110"/>
    </row>
    <row r="157" spans="1:29">
      <c r="A157" s="115" t="s">
        <v>234</v>
      </c>
      <c r="B157" s="127" t="s">
        <v>236</v>
      </c>
      <c r="C157" s="145" t="s">
        <v>2999</v>
      </c>
      <c r="F157" s="139">
        <v>407</v>
      </c>
      <c r="H157" s="127"/>
      <c r="I157" s="110"/>
      <c r="J157" s="110"/>
      <c r="K157" s="110"/>
      <c r="L157" s="116"/>
      <c r="M157" s="127"/>
      <c r="N157" s="116"/>
      <c r="O157" s="110"/>
      <c r="P157" s="110"/>
      <c r="Q157" s="110"/>
      <c r="R157" s="110"/>
      <c r="S157" s="110"/>
      <c r="T157" s="110"/>
      <c r="U157" s="110"/>
      <c r="V157" s="110"/>
      <c r="W157" s="110"/>
    </row>
    <row r="158" spans="1:29">
      <c r="A158" s="124" t="s">
        <v>432</v>
      </c>
      <c r="B158" s="124" t="s">
        <v>436</v>
      </c>
      <c r="C158" s="145" t="s">
        <v>2798</v>
      </c>
      <c r="F158" s="139">
        <v>296</v>
      </c>
      <c r="H158" s="124"/>
      <c r="I158" s="110"/>
      <c r="J158" s="110"/>
      <c r="K158" s="110"/>
      <c r="L158" s="116"/>
      <c r="M158" s="119"/>
      <c r="O158" s="110"/>
    </row>
    <row r="159" spans="1:29" ht="31.5">
      <c r="A159" s="115" t="s">
        <v>1772</v>
      </c>
      <c r="B159" s="115" t="s">
        <v>1773</v>
      </c>
      <c r="C159" s="145" t="s">
        <v>3000</v>
      </c>
      <c r="F159" s="139">
        <v>276</v>
      </c>
      <c r="H159" s="115"/>
      <c r="I159" s="115"/>
      <c r="J159" s="115"/>
      <c r="K159" s="115"/>
      <c r="L159" s="115" t="s">
        <v>1289</v>
      </c>
      <c r="M159" s="127"/>
      <c r="N159" s="115" t="s">
        <v>1774</v>
      </c>
      <c r="O159" s="115"/>
      <c r="P159" s="110"/>
      <c r="Q159" s="110"/>
      <c r="R159" s="110"/>
      <c r="S159" s="110"/>
      <c r="T159" s="110"/>
      <c r="U159" s="110"/>
      <c r="V159" s="110"/>
      <c r="W159" s="110"/>
    </row>
    <row r="160" spans="1:29">
      <c r="A160" s="124" t="s">
        <v>461</v>
      </c>
      <c r="B160" s="124" t="s">
        <v>460</v>
      </c>
      <c r="C160" s="145" t="s">
        <v>2801</v>
      </c>
      <c r="F160" s="139">
        <v>319</v>
      </c>
      <c r="H160" s="124"/>
      <c r="I160" s="110"/>
      <c r="J160" s="110"/>
      <c r="K160" s="110"/>
      <c r="L160" s="116"/>
      <c r="M160" s="124"/>
      <c r="O160" s="110"/>
    </row>
    <row r="161" spans="1:29">
      <c r="A161" s="124" t="s">
        <v>581</v>
      </c>
      <c r="B161" s="124" t="s">
        <v>580</v>
      </c>
      <c r="C161" s="145" t="s">
        <v>2819</v>
      </c>
      <c r="F161" s="139">
        <v>304</v>
      </c>
      <c r="H161" s="124"/>
      <c r="I161" s="110"/>
      <c r="J161" s="110"/>
      <c r="K161" s="110"/>
      <c r="L161" s="116"/>
      <c r="M161" s="119"/>
      <c r="N161" s="116" t="s">
        <v>2236</v>
      </c>
      <c r="O161" s="110"/>
      <c r="P161" s="110"/>
      <c r="Q161" s="110"/>
      <c r="R161" s="110"/>
      <c r="S161" s="110"/>
      <c r="T161" s="110"/>
      <c r="U161" s="110"/>
      <c r="V161" s="110"/>
      <c r="W161" s="110"/>
    </row>
    <row r="162" spans="1:29">
      <c r="A162" s="136" t="s">
        <v>2361</v>
      </c>
      <c r="B162" s="127" t="s">
        <v>2371</v>
      </c>
      <c r="C162" s="145" t="s">
        <v>2816</v>
      </c>
      <c r="F162" s="139">
        <v>14</v>
      </c>
      <c r="H162" s="127"/>
      <c r="I162" s="110"/>
      <c r="J162" s="110"/>
      <c r="K162" s="110"/>
      <c r="L162" s="116"/>
      <c r="M162" s="127"/>
      <c r="N162" s="116" t="s">
        <v>2362</v>
      </c>
      <c r="O162" s="110"/>
    </row>
    <row r="163" spans="1:29">
      <c r="A163" s="115" t="s">
        <v>23</v>
      </c>
      <c r="B163" s="127" t="s">
        <v>22</v>
      </c>
      <c r="C163" s="145" t="s">
        <v>3001</v>
      </c>
      <c r="F163" s="139">
        <v>24</v>
      </c>
      <c r="H163" s="127"/>
      <c r="I163" s="110"/>
      <c r="J163" s="110"/>
      <c r="K163" s="110"/>
      <c r="L163" s="116"/>
      <c r="M163" s="127"/>
      <c r="N163" s="116"/>
      <c r="O163" s="110"/>
    </row>
    <row r="164" spans="1:29">
      <c r="A164" s="124" t="s">
        <v>536</v>
      </c>
      <c r="B164" s="124" t="s">
        <v>22</v>
      </c>
      <c r="C164" s="145" t="s">
        <v>2811</v>
      </c>
      <c r="F164" s="139">
        <v>244</v>
      </c>
      <c r="H164" s="124"/>
      <c r="I164" s="110"/>
      <c r="J164" s="110"/>
      <c r="K164" s="110"/>
      <c r="L164" s="116"/>
      <c r="M164" s="124"/>
      <c r="O164" s="110"/>
    </row>
    <row r="165" spans="1:29">
      <c r="A165" s="124" t="s">
        <v>470</v>
      </c>
      <c r="B165" s="124" t="s">
        <v>474</v>
      </c>
      <c r="C165" s="145" t="s">
        <v>3002</v>
      </c>
      <c r="F165" s="139">
        <v>37</v>
      </c>
      <c r="H165" s="124"/>
      <c r="I165" s="110"/>
      <c r="J165" s="110"/>
      <c r="K165" s="110"/>
      <c r="L165" s="116"/>
      <c r="M165" s="116"/>
      <c r="N165" s="116"/>
      <c r="O165" s="110"/>
      <c r="P165" s="110"/>
      <c r="Q165" s="110"/>
      <c r="R165" s="110"/>
      <c r="S165" s="110"/>
      <c r="T165" s="110"/>
      <c r="U165" s="110"/>
      <c r="V165" s="110"/>
      <c r="W165" s="110"/>
    </row>
    <row r="166" spans="1:29" ht="31.5">
      <c r="A166" s="115" t="s">
        <v>40</v>
      </c>
      <c r="B166" s="127" t="s">
        <v>39</v>
      </c>
      <c r="C166" s="145" t="s">
        <v>3003</v>
      </c>
      <c r="E166" s="108" t="s">
        <v>2666</v>
      </c>
      <c r="H166" s="127"/>
      <c r="I166" s="110"/>
      <c r="J166" s="110"/>
      <c r="K166" s="110"/>
      <c r="L166" s="116"/>
      <c r="M166" s="115"/>
      <c r="N166" s="116"/>
      <c r="O166" s="110"/>
      <c r="P166" s="110"/>
      <c r="Q166" s="110"/>
      <c r="R166" s="110"/>
      <c r="S166" s="110"/>
      <c r="T166" s="110"/>
      <c r="U166" s="110"/>
      <c r="V166" s="110"/>
      <c r="W166" s="110"/>
    </row>
    <row r="167" spans="1:29" ht="31.5">
      <c r="A167" s="115" t="s">
        <v>1366</v>
      </c>
      <c r="B167" s="127"/>
      <c r="C167" s="145" t="s">
        <v>3004</v>
      </c>
      <c r="F167" s="139">
        <v>335</v>
      </c>
      <c r="H167" s="127"/>
      <c r="I167" s="122"/>
      <c r="J167" s="122" t="s">
        <v>2250</v>
      </c>
      <c r="K167" s="122"/>
      <c r="L167" s="127" t="s">
        <v>1275</v>
      </c>
      <c r="M167" s="127"/>
      <c r="O167" s="122"/>
    </row>
    <row r="168" spans="1:29">
      <c r="A168" s="124" t="s">
        <v>2364</v>
      </c>
      <c r="B168" s="131" t="s">
        <v>1623</v>
      </c>
      <c r="C168" s="145" t="s">
        <v>3005</v>
      </c>
      <c r="F168" s="139">
        <v>447</v>
      </c>
      <c r="H168" s="131"/>
      <c r="I168" s="124"/>
      <c r="J168" s="124"/>
      <c r="K168" s="124"/>
      <c r="L168" s="116"/>
      <c r="M168" s="131"/>
      <c r="N168" s="109" t="s">
        <v>2363</v>
      </c>
      <c r="O168" s="124"/>
    </row>
    <row r="169" spans="1:29">
      <c r="A169" s="118" t="s">
        <v>2513</v>
      </c>
      <c r="B169" s="150" t="s">
        <v>215</v>
      </c>
      <c r="C169" s="151" t="s">
        <v>3006</v>
      </c>
      <c r="D169" s="118"/>
      <c r="E169" s="118">
        <v>501</v>
      </c>
      <c r="F169" s="140"/>
      <c r="G169" s="140"/>
      <c r="H169" s="118"/>
      <c r="I169" s="120"/>
      <c r="J169" s="120"/>
      <c r="K169" s="120"/>
      <c r="L169" s="119"/>
      <c r="M169" s="119"/>
      <c r="N169" s="119"/>
      <c r="O169" s="120"/>
      <c r="P169" s="120"/>
      <c r="Q169" s="120"/>
      <c r="R169" s="120"/>
      <c r="S169" s="120"/>
      <c r="T169" s="120"/>
      <c r="U169" s="120"/>
      <c r="V169" s="120"/>
      <c r="W169" s="120"/>
      <c r="X169" s="120"/>
      <c r="Y169" s="120"/>
      <c r="Z169" s="120"/>
      <c r="AA169" s="120"/>
      <c r="AB169" s="120"/>
      <c r="AC169" s="120"/>
    </row>
    <row r="170" spans="1:29">
      <c r="A170" s="115" t="s">
        <v>216</v>
      </c>
      <c r="B170" s="127" t="s">
        <v>215</v>
      </c>
      <c r="C170" s="145" t="s">
        <v>3007</v>
      </c>
      <c r="F170" s="139">
        <v>372</v>
      </c>
      <c r="H170" s="127"/>
      <c r="I170" s="110"/>
      <c r="J170" s="110"/>
      <c r="K170" s="110"/>
      <c r="L170" s="116"/>
      <c r="M170" s="127"/>
      <c r="O170" s="110"/>
    </row>
    <row r="171" spans="1:29" ht="31.5">
      <c r="A171" s="115" t="s">
        <v>1697</v>
      </c>
      <c r="B171" s="115" t="s">
        <v>1698</v>
      </c>
      <c r="C171" s="145" t="s">
        <v>3008</v>
      </c>
      <c r="F171" s="139">
        <v>142</v>
      </c>
      <c r="H171" s="115"/>
      <c r="I171" s="133"/>
      <c r="J171" s="133"/>
      <c r="K171" s="133"/>
      <c r="L171" s="127" t="s">
        <v>1314</v>
      </c>
      <c r="M171" s="115"/>
      <c r="N171" s="115" t="s">
        <v>1699</v>
      </c>
      <c r="O171" s="133"/>
      <c r="P171" s="110"/>
      <c r="Q171" s="110"/>
      <c r="R171" s="110"/>
      <c r="S171" s="110"/>
      <c r="T171" s="110"/>
      <c r="U171" s="110"/>
      <c r="V171" s="110"/>
      <c r="W171" s="110"/>
    </row>
    <row r="172" spans="1:29">
      <c r="A172" s="118" t="s">
        <v>2459</v>
      </c>
      <c r="B172" s="150" t="s">
        <v>2458</v>
      </c>
      <c r="C172" s="151" t="s">
        <v>3009</v>
      </c>
      <c r="D172" s="118"/>
      <c r="E172" s="118">
        <v>550</v>
      </c>
      <c r="F172" s="140"/>
      <c r="G172" s="140"/>
      <c r="H172" s="118"/>
      <c r="I172" s="120"/>
      <c r="J172" s="120"/>
      <c r="K172" s="120"/>
      <c r="L172" s="119"/>
      <c r="M172" s="115"/>
      <c r="N172" s="119"/>
      <c r="O172" s="120"/>
      <c r="P172" s="120"/>
      <c r="Q172" s="120"/>
      <c r="R172" s="120"/>
      <c r="S172" s="120"/>
      <c r="T172" s="120"/>
      <c r="U172" s="120"/>
      <c r="V172" s="120"/>
      <c r="W172" s="120"/>
      <c r="X172" s="120"/>
      <c r="Y172" s="120"/>
      <c r="Z172" s="120"/>
      <c r="AA172" s="120"/>
      <c r="AB172" s="120"/>
      <c r="AC172" s="120"/>
    </row>
    <row r="173" spans="1:29">
      <c r="A173" s="115" t="s">
        <v>2087</v>
      </c>
      <c r="B173" s="115" t="s">
        <v>2088</v>
      </c>
      <c r="C173" s="145" t="s">
        <v>3010</v>
      </c>
      <c r="F173" s="139">
        <v>402</v>
      </c>
      <c r="H173" s="115"/>
      <c r="I173" s="115"/>
      <c r="J173" s="115"/>
      <c r="K173" s="115"/>
      <c r="L173" s="115" t="s">
        <v>1262</v>
      </c>
      <c r="M173" s="115"/>
      <c r="N173" s="115" t="s">
        <v>1778</v>
      </c>
      <c r="O173" s="115"/>
      <c r="P173" s="110"/>
      <c r="Q173" s="110"/>
      <c r="R173" s="110"/>
      <c r="S173" s="110"/>
      <c r="T173" s="110"/>
      <c r="U173" s="110"/>
      <c r="V173" s="110"/>
      <c r="W173" s="110"/>
    </row>
    <row r="174" spans="1:29">
      <c r="A174" s="115" t="s">
        <v>1511</v>
      </c>
      <c r="B174" s="115" t="s">
        <v>2120</v>
      </c>
      <c r="C174" s="156" t="s">
        <v>3083</v>
      </c>
      <c r="F174" s="139">
        <v>13</v>
      </c>
      <c r="H174" s="115"/>
      <c r="I174" s="115"/>
      <c r="J174" s="115"/>
      <c r="K174" s="115"/>
      <c r="L174" s="116"/>
      <c r="M174" s="116"/>
      <c r="N174" s="115"/>
      <c r="O174" s="115"/>
    </row>
    <row r="175" spans="1:29">
      <c r="A175" s="124" t="s">
        <v>470</v>
      </c>
      <c r="B175" s="124" t="s">
        <v>469</v>
      </c>
      <c r="C175" s="145" t="s">
        <v>3011</v>
      </c>
      <c r="F175" s="139">
        <v>38</v>
      </c>
      <c r="H175" s="124"/>
      <c r="I175" s="110"/>
      <c r="J175" s="110"/>
      <c r="K175" s="110"/>
      <c r="L175" s="116"/>
      <c r="M175" s="124"/>
      <c r="N175" s="116"/>
      <c r="O175" s="110"/>
      <c r="P175" s="110"/>
      <c r="Q175" s="110"/>
      <c r="R175" s="110"/>
      <c r="S175" s="110"/>
      <c r="T175" s="110"/>
      <c r="U175" s="110"/>
      <c r="V175" s="110"/>
      <c r="W175" s="110"/>
    </row>
    <row r="176" spans="1:29">
      <c r="A176" s="115" t="s">
        <v>26</v>
      </c>
      <c r="B176" s="115" t="s">
        <v>469</v>
      </c>
      <c r="C176" s="145" t="s">
        <v>3012</v>
      </c>
      <c r="F176" s="139">
        <v>43</v>
      </c>
      <c r="H176" s="115"/>
      <c r="I176" s="115"/>
      <c r="J176" s="115"/>
      <c r="K176" s="115"/>
      <c r="L176" s="116"/>
      <c r="M176" s="124"/>
      <c r="N176" s="115" t="s">
        <v>1465</v>
      </c>
      <c r="O176" s="115"/>
      <c r="P176" s="110"/>
      <c r="Q176" s="110"/>
      <c r="R176" s="110"/>
      <c r="S176" s="110"/>
      <c r="T176" s="110"/>
      <c r="U176" s="110"/>
      <c r="V176" s="110"/>
      <c r="W176" s="110"/>
    </row>
    <row r="177" spans="1:23" ht="31.5">
      <c r="A177" s="115" t="s">
        <v>136</v>
      </c>
      <c r="B177" s="127" t="s">
        <v>135</v>
      </c>
      <c r="C177" s="145" t="s">
        <v>3013</v>
      </c>
      <c r="F177" s="139">
        <v>192</v>
      </c>
      <c r="H177" s="127"/>
      <c r="I177" s="110"/>
      <c r="J177" s="110"/>
      <c r="K177" s="110"/>
      <c r="L177" s="116"/>
      <c r="M177" s="115"/>
      <c r="O177" s="110"/>
    </row>
    <row r="178" spans="1:23" ht="31.5">
      <c r="A178" s="115" t="s">
        <v>17</v>
      </c>
      <c r="B178" s="127" t="s">
        <v>1641</v>
      </c>
      <c r="C178" s="145" t="s">
        <v>3014</v>
      </c>
      <c r="F178" s="139">
        <v>19</v>
      </c>
      <c r="H178" s="127"/>
      <c r="I178" s="115"/>
      <c r="J178" s="115" t="s">
        <v>2403</v>
      </c>
      <c r="K178" s="115"/>
      <c r="L178" s="116"/>
      <c r="M178" s="127"/>
      <c r="N178" s="127" t="s">
        <v>2306</v>
      </c>
      <c r="O178" s="115"/>
      <c r="P178" s="115"/>
      <c r="Q178" s="115"/>
      <c r="R178" s="115"/>
      <c r="S178" s="115"/>
      <c r="T178" s="115"/>
      <c r="U178" s="115"/>
      <c r="V178" s="115"/>
      <c r="W178" s="115"/>
    </row>
    <row r="179" spans="1:23">
      <c r="A179" s="115" t="s">
        <v>11</v>
      </c>
      <c r="B179" s="127" t="s">
        <v>10</v>
      </c>
      <c r="C179" s="145" t="s">
        <v>2675</v>
      </c>
      <c r="D179" s="108" t="s">
        <v>2673</v>
      </c>
      <c r="F179" s="139">
        <v>75</v>
      </c>
      <c r="H179" s="127" t="s">
        <v>2420</v>
      </c>
      <c r="I179" s="110"/>
      <c r="J179" s="110"/>
      <c r="K179" s="110"/>
      <c r="L179" s="116"/>
      <c r="M179" s="127"/>
      <c r="N179" s="116"/>
      <c r="O179" s="110"/>
      <c r="P179" s="110"/>
      <c r="Q179" s="110"/>
      <c r="R179" s="110"/>
      <c r="S179" s="110"/>
      <c r="T179" s="110"/>
      <c r="U179" s="110"/>
      <c r="V179" s="110"/>
      <c r="W179" s="110"/>
    </row>
    <row r="180" spans="1:23">
      <c r="A180" s="124" t="s">
        <v>2307</v>
      </c>
      <c r="B180" s="131" t="s">
        <v>25</v>
      </c>
      <c r="C180" s="145" t="s">
        <v>3015</v>
      </c>
      <c r="F180" s="139">
        <v>44</v>
      </c>
      <c r="H180" s="131"/>
      <c r="I180" s="124"/>
      <c r="J180" s="124"/>
      <c r="K180" s="124"/>
      <c r="L180" s="116"/>
      <c r="M180" s="115"/>
      <c r="N180" s="116" t="s">
        <v>2317</v>
      </c>
      <c r="O180" s="124"/>
      <c r="P180" s="110"/>
      <c r="Q180" s="110"/>
      <c r="R180" s="110"/>
      <c r="S180" s="110"/>
      <c r="T180" s="110"/>
      <c r="U180" s="110"/>
      <c r="V180" s="110"/>
      <c r="W180" s="110"/>
    </row>
    <row r="181" spans="1:23" ht="31.5">
      <c r="A181" s="124" t="s">
        <v>3399</v>
      </c>
      <c r="B181" s="124" t="s">
        <v>3975</v>
      </c>
      <c r="C181" s="55" t="s">
        <v>3976</v>
      </c>
      <c r="F181" s="139">
        <v>158</v>
      </c>
      <c r="H181" s="131"/>
      <c r="I181" s="124"/>
      <c r="J181" s="124"/>
      <c r="K181" s="124"/>
      <c r="M181" s="131"/>
      <c r="O181" s="124"/>
    </row>
    <row r="182" spans="1:23">
      <c r="A182" s="124" t="s">
        <v>364</v>
      </c>
      <c r="B182" s="124" t="s">
        <v>363</v>
      </c>
      <c r="C182" s="145" t="s">
        <v>3016</v>
      </c>
      <c r="E182" s="108">
        <v>550</v>
      </c>
      <c r="H182" s="124"/>
      <c r="M182" s="124"/>
    </row>
    <row r="183" spans="1:23">
      <c r="A183" s="115" t="s">
        <v>1857</v>
      </c>
      <c r="B183" s="115" t="s">
        <v>1858</v>
      </c>
      <c r="C183" s="145" t="s">
        <v>3017</v>
      </c>
      <c r="F183" s="139">
        <v>261</v>
      </c>
      <c r="H183" s="115"/>
      <c r="I183" s="115"/>
      <c r="J183" s="115"/>
      <c r="K183" s="115"/>
      <c r="L183" s="115" t="s">
        <v>1289</v>
      </c>
      <c r="M183" s="124"/>
      <c r="N183" s="115"/>
      <c r="O183" s="115"/>
    </row>
    <row r="184" spans="1:23" ht="47.25">
      <c r="A184" s="115" t="s">
        <v>1392</v>
      </c>
      <c r="B184" s="127" t="s">
        <v>1393</v>
      </c>
      <c r="C184" s="145" t="s">
        <v>3018</v>
      </c>
      <c r="E184" s="108" t="s">
        <v>3128</v>
      </c>
      <c r="H184" s="127"/>
      <c r="I184" s="122"/>
      <c r="J184" s="122" t="s">
        <v>1394</v>
      </c>
      <c r="K184" s="122"/>
      <c r="L184" s="127" t="s">
        <v>1289</v>
      </c>
      <c r="M184" s="127"/>
      <c r="O184" s="122"/>
    </row>
    <row r="185" spans="1:23">
      <c r="A185" s="124" t="s">
        <v>530</v>
      </c>
      <c r="B185" s="124" t="s">
        <v>529</v>
      </c>
      <c r="C185" s="145" t="s">
        <v>2810</v>
      </c>
      <c r="F185" s="139">
        <v>418</v>
      </c>
      <c r="H185" s="124"/>
      <c r="M185" s="124"/>
    </row>
    <row r="186" spans="1:23">
      <c r="A186" s="115" t="s">
        <v>170</v>
      </c>
      <c r="B186" s="127" t="s">
        <v>172</v>
      </c>
      <c r="C186" s="145" t="s">
        <v>3019</v>
      </c>
      <c r="E186" s="108" t="s">
        <v>2666</v>
      </c>
      <c r="H186" s="127"/>
      <c r="M186" s="115"/>
    </row>
    <row r="187" spans="1:23">
      <c r="A187" s="124" t="s">
        <v>1223</v>
      </c>
      <c r="B187" s="131" t="s">
        <v>2314</v>
      </c>
      <c r="C187" s="145" t="s">
        <v>3020</v>
      </c>
      <c r="E187" s="108">
        <v>550</v>
      </c>
      <c r="H187" s="131"/>
      <c r="I187" s="124"/>
      <c r="J187" s="124">
        <v>13636585707</v>
      </c>
      <c r="K187" s="124"/>
      <c r="M187" s="115"/>
      <c r="N187" s="109" t="s">
        <v>2237</v>
      </c>
      <c r="O187" s="124"/>
    </row>
    <row r="188" spans="1:23">
      <c r="A188" s="124" t="s">
        <v>596</v>
      </c>
      <c r="B188" s="124" t="s">
        <v>542</v>
      </c>
      <c r="C188" s="145" t="s">
        <v>3021</v>
      </c>
      <c r="E188" s="108" t="s">
        <v>2677</v>
      </c>
      <c r="H188" s="124"/>
      <c r="M188" s="115"/>
    </row>
    <row r="189" spans="1:23">
      <c r="A189" s="124" t="s">
        <v>536</v>
      </c>
      <c r="B189" s="124" t="s">
        <v>542</v>
      </c>
      <c r="C189" s="145" t="s">
        <v>3022</v>
      </c>
      <c r="E189" s="108" t="s">
        <v>2661</v>
      </c>
      <c r="H189" s="124"/>
      <c r="M189" s="124"/>
      <c r="N189" s="109" t="s">
        <v>2236</v>
      </c>
    </row>
    <row r="190" spans="1:23">
      <c r="A190" s="115" t="s">
        <v>2004</v>
      </c>
      <c r="B190" s="115" t="s">
        <v>2005</v>
      </c>
      <c r="C190" s="145" t="s">
        <v>3023</v>
      </c>
      <c r="E190" s="108" t="s">
        <v>2677</v>
      </c>
      <c r="H190" s="115"/>
      <c r="I190" s="115"/>
      <c r="J190" s="115"/>
      <c r="K190" s="115"/>
      <c r="L190" s="115"/>
      <c r="M190" s="115"/>
      <c r="N190" s="115"/>
      <c r="O190" s="115"/>
    </row>
    <row r="191" spans="1:23">
      <c r="A191" s="124" t="s">
        <v>344</v>
      </c>
      <c r="B191" s="124" t="s">
        <v>346</v>
      </c>
      <c r="C191" s="145" t="s">
        <v>3024</v>
      </c>
      <c r="E191" s="108" t="s">
        <v>2682</v>
      </c>
      <c r="H191" s="124"/>
      <c r="M191" s="124"/>
    </row>
    <row r="192" spans="1:23">
      <c r="A192" s="124" t="s">
        <v>432</v>
      </c>
      <c r="B192" s="124" t="s">
        <v>438</v>
      </c>
      <c r="C192" s="145" t="s">
        <v>2799</v>
      </c>
      <c r="F192" s="139">
        <v>297</v>
      </c>
      <c r="H192" s="124"/>
      <c r="M192" s="124"/>
      <c r="N192" s="116"/>
    </row>
    <row r="193" spans="1:23">
      <c r="A193" s="124" t="s">
        <v>194</v>
      </c>
      <c r="B193" s="124" t="s">
        <v>328</v>
      </c>
      <c r="C193" s="145" t="s">
        <v>3025</v>
      </c>
      <c r="F193" s="139">
        <v>307</v>
      </c>
      <c r="H193" s="124"/>
      <c r="M193" s="116"/>
    </row>
    <row r="194" spans="1:23">
      <c r="A194" s="115" t="s">
        <v>194</v>
      </c>
      <c r="B194" s="127" t="s">
        <v>193</v>
      </c>
      <c r="C194" s="145" t="s">
        <v>3026</v>
      </c>
      <c r="F194" s="139">
        <v>308</v>
      </c>
      <c r="H194" s="127"/>
      <c r="M194" s="124"/>
    </row>
    <row r="195" spans="1:23">
      <c r="A195" s="115" t="s">
        <v>1556</v>
      </c>
      <c r="B195" s="127" t="s">
        <v>1555</v>
      </c>
      <c r="C195" s="145" t="s">
        <v>3027</v>
      </c>
      <c r="F195" s="139">
        <v>240</v>
      </c>
      <c r="H195" s="127"/>
      <c r="I195" s="115"/>
      <c r="J195" s="115"/>
      <c r="K195" s="115"/>
      <c r="L195" s="116"/>
      <c r="M195" s="124"/>
      <c r="N195" s="127"/>
      <c r="O195" s="115"/>
      <c r="P195" s="115" t="s">
        <v>1671</v>
      </c>
      <c r="Q195" s="115"/>
      <c r="R195" s="115"/>
      <c r="S195" s="115"/>
      <c r="T195" s="115"/>
      <c r="U195" s="115"/>
      <c r="V195" s="115"/>
      <c r="W195" s="115"/>
    </row>
    <row r="196" spans="1:23" ht="31.5">
      <c r="A196" s="115" t="s">
        <v>1419</v>
      </c>
      <c r="B196" s="127"/>
      <c r="C196" s="145" t="s">
        <v>3028</v>
      </c>
      <c r="F196" s="139">
        <v>432</v>
      </c>
      <c r="H196" s="127"/>
      <c r="I196" s="122"/>
      <c r="J196" s="122" t="s">
        <v>1420</v>
      </c>
      <c r="K196" s="122"/>
      <c r="L196" s="127" t="s">
        <v>1262</v>
      </c>
      <c r="M196" s="127"/>
      <c r="O196" s="122"/>
    </row>
    <row r="197" spans="1:23" ht="47.25">
      <c r="A197" s="115" t="s">
        <v>1305</v>
      </c>
      <c r="B197" s="127"/>
      <c r="C197" s="145" t="s">
        <v>3029</v>
      </c>
      <c r="E197" s="108" t="s">
        <v>2666</v>
      </c>
      <c r="H197" s="127"/>
      <c r="I197" s="122"/>
      <c r="J197" s="122" t="s">
        <v>2251</v>
      </c>
      <c r="K197" s="122"/>
      <c r="L197" s="127" t="s">
        <v>1284</v>
      </c>
      <c r="M197" s="127"/>
      <c r="N197" s="116"/>
      <c r="O197" s="122"/>
      <c r="P197" s="110"/>
      <c r="Q197" s="110"/>
      <c r="R197" s="110"/>
      <c r="S197" s="110"/>
      <c r="T197" s="110"/>
      <c r="U197" s="110"/>
      <c r="V197" s="110"/>
      <c r="W197" s="110"/>
    </row>
    <row r="198" spans="1:23">
      <c r="A198" s="115" t="s">
        <v>4</v>
      </c>
      <c r="B198" s="127" t="s">
        <v>3</v>
      </c>
      <c r="C198" s="145" t="s">
        <v>3030</v>
      </c>
      <c r="F198" s="139">
        <v>274</v>
      </c>
      <c r="H198" s="127"/>
      <c r="M198" s="124"/>
    </row>
    <row r="199" spans="1:23">
      <c r="A199" s="115" t="s">
        <v>1843</v>
      </c>
      <c r="B199" s="115" t="s">
        <v>1844</v>
      </c>
      <c r="C199" s="145" t="s">
        <v>3031</v>
      </c>
      <c r="F199" s="139">
        <v>370</v>
      </c>
      <c r="H199" s="115"/>
      <c r="I199" s="115"/>
      <c r="J199" s="115"/>
      <c r="K199" s="115"/>
      <c r="L199" s="115" t="s">
        <v>1289</v>
      </c>
      <c r="M199" s="115"/>
      <c r="N199" s="115" t="s">
        <v>1699</v>
      </c>
      <c r="O199" s="115"/>
    </row>
    <row r="200" spans="1:23">
      <c r="A200" s="136" t="s">
        <v>3132</v>
      </c>
      <c r="B200" s="127" t="s">
        <v>3131</v>
      </c>
      <c r="C200" s="145" t="s">
        <v>3032</v>
      </c>
      <c r="F200" s="139">
        <v>476</v>
      </c>
      <c r="H200" s="127"/>
      <c r="M200" s="116"/>
    </row>
    <row r="201" spans="1:23" ht="31.5">
      <c r="A201" s="115" t="s">
        <v>1727</v>
      </c>
      <c r="B201" s="115" t="s">
        <v>1728</v>
      </c>
      <c r="C201" s="145" t="s">
        <v>3033</v>
      </c>
      <c r="F201" s="139">
        <v>365</v>
      </c>
      <c r="H201" s="115"/>
      <c r="I201" s="133"/>
      <c r="J201" s="133"/>
      <c r="K201" s="133"/>
      <c r="L201" s="127" t="s">
        <v>1289</v>
      </c>
      <c r="M201" s="115"/>
      <c r="N201" s="115" t="s">
        <v>1729</v>
      </c>
      <c r="O201" s="133"/>
    </row>
    <row r="202" spans="1:23">
      <c r="A202" s="115" t="s">
        <v>1746</v>
      </c>
      <c r="B202" s="115" t="s">
        <v>1747</v>
      </c>
      <c r="C202" s="145" t="s">
        <v>3034</v>
      </c>
      <c r="F202" s="139">
        <v>104</v>
      </c>
      <c r="H202" s="115"/>
      <c r="I202" s="115"/>
      <c r="J202" s="115"/>
      <c r="K202" s="115"/>
      <c r="L202" s="115" t="s">
        <v>1289</v>
      </c>
      <c r="M202" s="124"/>
      <c r="N202" s="115" t="s">
        <v>1748</v>
      </c>
      <c r="O202" s="115"/>
    </row>
    <row r="203" spans="1:23">
      <c r="A203" s="115"/>
      <c r="B203" s="115" t="s">
        <v>2145</v>
      </c>
      <c r="C203" s="145" t="s">
        <v>3035</v>
      </c>
      <c r="D203" s="108" t="s">
        <v>2673</v>
      </c>
      <c r="F203" s="139">
        <v>497</v>
      </c>
      <c r="H203" s="115"/>
      <c r="I203" s="115"/>
      <c r="J203" s="115"/>
      <c r="K203" s="115"/>
      <c r="M203" s="115"/>
      <c r="N203" s="115"/>
      <c r="O203" s="115"/>
    </row>
    <row r="204" spans="1:23">
      <c r="A204" s="124" t="s">
        <v>295</v>
      </c>
      <c r="B204" s="124" t="s">
        <v>578</v>
      </c>
      <c r="C204" s="145" t="s">
        <v>2625</v>
      </c>
      <c r="F204" s="139">
        <v>466</v>
      </c>
      <c r="H204" s="124"/>
      <c r="M204" s="124"/>
    </row>
    <row r="205" spans="1:23">
      <c r="A205" s="124" t="s">
        <v>561</v>
      </c>
      <c r="B205" s="124" t="s">
        <v>560</v>
      </c>
      <c r="C205" s="145" t="s">
        <v>3036</v>
      </c>
      <c r="E205" s="108" t="s">
        <v>3142</v>
      </c>
      <c r="H205" s="124"/>
      <c r="M205" s="124"/>
    </row>
    <row r="206" spans="1:23" ht="31.5">
      <c r="A206" s="115" t="s">
        <v>1403</v>
      </c>
      <c r="B206" s="127"/>
      <c r="C206" s="145" t="s">
        <v>3037</v>
      </c>
      <c r="E206" s="108" t="s">
        <v>2666</v>
      </c>
      <c r="H206" s="127"/>
      <c r="I206" s="122"/>
      <c r="J206" s="122" t="s">
        <v>1404</v>
      </c>
      <c r="K206" s="122"/>
      <c r="L206" s="127" t="s">
        <v>1314</v>
      </c>
      <c r="M206" s="115"/>
      <c r="O206" s="122"/>
    </row>
    <row r="207" spans="1:23">
      <c r="A207" s="124" t="s">
        <v>284</v>
      </c>
      <c r="B207" s="131" t="s">
        <v>1592</v>
      </c>
      <c r="C207" s="145" t="s">
        <v>3038</v>
      </c>
      <c r="E207" s="108" t="s">
        <v>2666</v>
      </c>
      <c r="H207" s="131"/>
      <c r="I207" s="124"/>
      <c r="J207" s="124"/>
      <c r="K207" s="124"/>
      <c r="M207" s="131"/>
      <c r="N207" s="116"/>
      <c r="O207" s="124"/>
    </row>
    <row r="208" spans="1:23">
      <c r="A208" s="124" t="s">
        <v>1600</v>
      </c>
      <c r="B208" s="127" t="s">
        <v>2372</v>
      </c>
      <c r="C208" s="145" t="s">
        <v>3039</v>
      </c>
      <c r="E208" s="108" t="s">
        <v>2672</v>
      </c>
      <c r="H208" s="127"/>
      <c r="I208" s="110"/>
      <c r="J208" s="110"/>
      <c r="K208" s="110"/>
      <c r="M208" s="116"/>
      <c r="N208" s="116" t="s">
        <v>2236</v>
      </c>
      <c r="O208" s="110"/>
    </row>
    <row r="209" spans="1:29">
      <c r="A209" s="124" t="s">
        <v>1237</v>
      </c>
      <c r="B209" s="124" t="s">
        <v>1212</v>
      </c>
      <c r="C209" s="145" t="s">
        <v>3040</v>
      </c>
      <c r="E209" s="108" t="s">
        <v>2662</v>
      </c>
      <c r="H209" s="124"/>
      <c r="I209" s="110"/>
      <c r="J209" s="110"/>
      <c r="K209" s="110"/>
      <c r="M209" s="124"/>
      <c r="N209" s="116"/>
      <c r="O209" s="110"/>
    </row>
    <row r="210" spans="1:29">
      <c r="A210" s="115" t="s">
        <v>1863</v>
      </c>
      <c r="B210" s="115" t="s">
        <v>1864</v>
      </c>
      <c r="C210" s="145" t="s">
        <v>3041</v>
      </c>
      <c r="F210" s="139">
        <v>145</v>
      </c>
      <c r="H210" s="115"/>
      <c r="I210" s="115"/>
      <c r="J210" s="115"/>
      <c r="K210" s="115"/>
      <c r="L210" s="115" t="s">
        <v>1289</v>
      </c>
      <c r="M210" s="119"/>
      <c r="N210" s="115" t="s">
        <v>1699</v>
      </c>
      <c r="O210" s="115"/>
    </row>
    <row r="211" spans="1:29">
      <c r="A211" s="118" t="s">
        <v>1217</v>
      </c>
      <c r="B211" s="150" t="s">
        <v>2488</v>
      </c>
      <c r="C211" s="151" t="s">
        <v>3042</v>
      </c>
      <c r="D211" s="118"/>
      <c r="E211" s="118">
        <v>550</v>
      </c>
      <c r="F211" s="140"/>
      <c r="G211" s="140"/>
      <c r="H211" s="118"/>
      <c r="I211" s="120"/>
      <c r="J211" s="120"/>
      <c r="K211" s="120"/>
      <c r="L211" s="119"/>
      <c r="M211" s="119"/>
      <c r="N211" s="119"/>
      <c r="O211" s="120"/>
      <c r="P211" s="120"/>
      <c r="Q211" s="120"/>
      <c r="R211" s="120"/>
      <c r="S211" s="120"/>
      <c r="T211" s="120"/>
      <c r="U211" s="120"/>
      <c r="V211" s="120"/>
      <c r="W211" s="120"/>
      <c r="X211" s="120"/>
      <c r="Y211" s="120"/>
      <c r="Z211" s="120"/>
      <c r="AA211" s="120"/>
      <c r="AB211" s="120"/>
      <c r="AC211" s="120"/>
    </row>
    <row r="212" spans="1:29" ht="31.5">
      <c r="A212" s="115" t="s">
        <v>1889</v>
      </c>
      <c r="B212" s="115" t="s">
        <v>1894</v>
      </c>
      <c r="C212" s="145" t="s">
        <v>3043</v>
      </c>
      <c r="F212" s="139">
        <v>360</v>
      </c>
      <c r="H212" s="115"/>
      <c r="I212" s="115"/>
      <c r="J212" s="115"/>
      <c r="K212" s="115"/>
      <c r="L212" s="115" t="s">
        <v>1289</v>
      </c>
      <c r="M212" s="115"/>
      <c r="N212" s="115" t="s">
        <v>1895</v>
      </c>
      <c r="O212" s="115"/>
    </row>
    <row r="213" spans="1:29">
      <c r="A213" s="115" t="s">
        <v>1409</v>
      </c>
      <c r="B213" s="115" t="s">
        <v>2002</v>
      </c>
      <c r="C213" s="145" t="s">
        <v>3044</v>
      </c>
      <c r="E213" s="108" t="s">
        <v>2666</v>
      </c>
      <c r="H213" s="115"/>
      <c r="I213" s="115"/>
      <c r="J213" s="115"/>
      <c r="K213" s="115"/>
      <c r="L213" s="115" t="s">
        <v>1262</v>
      </c>
      <c r="M213" s="115"/>
      <c r="N213" s="115" t="s">
        <v>1786</v>
      </c>
      <c r="O213" s="115"/>
    </row>
    <row r="214" spans="1:29">
      <c r="A214" s="124" t="s">
        <v>470</v>
      </c>
      <c r="B214" s="124" t="s">
        <v>476</v>
      </c>
      <c r="C214" s="145" t="s">
        <v>3045</v>
      </c>
      <c r="F214" s="139">
        <v>39</v>
      </c>
      <c r="H214" s="124"/>
      <c r="I214" s="110"/>
      <c r="J214" s="110"/>
      <c r="K214" s="110"/>
      <c r="L214" s="116"/>
      <c r="M214" s="124"/>
      <c r="N214" s="116"/>
      <c r="O214" s="110"/>
      <c r="P214" s="110"/>
      <c r="Q214" s="110"/>
      <c r="R214" s="110"/>
      <c r="S214" s="110"/>
      <c r="T214" s="110"/>
      <c r="U214" s="110"/>
      <c r="V214" s="110"/>
      <c r="W214" s="110"/>
    </row>
    <row r="215" spans="1:29">
      <c r="A215" s="124" t="s">
        <v>802</v>
      </c>
      <c r="B215" s="124" t="s">
        <v>2373</v>
      </c>
      <c r="C215" s="145" t="s">
        <v>3046</v>
      </c>
      <c r="E215" s="108" t="s">
        <v>2661</v>
      </c>
      <c r="H215" s="124"/>
      <c r="M215" s="131"/>
      <c r="N215" s="109" t="s">
        <v>2317</v>
      </c>
    </row>
    <row r="216" spans="1:29">
      <c r="A216" s="124" t="s">
        <v>284</v>
      </c>
      <c r="B216" s="124" t="s">
        <v>687</v>
      </c>
      <c r="C216" s="145" t="s">
        <v>3047</v>
      </c>
      <c r="F216" s="139">
        <v>463</v>
      </c>
      <c r="H216" s="124"/>
      <c r="M216" s="124"/>
    </row>
    <row r="217" spans="1:29" ht="47.25">
      <c r="A217" s="115" t="s">
        <v>1422</v>
      </c>
      <c r="B217" s="127" t="s">
        <v>1423</v>
      </c>
      <c r="C217" s="145" t="s">
        <v>3048</v>
      </c>
      <c r="F217" s="139">
        <v>473</v>
      </c>
      <c r="H217" s="127"/>
      <c r="I217" s="122"/>
      <c r="J217" s="122" t="s">
        <v>2252</v>
      </c>
      <c r="K217" s="122"/>
      <c r="L217" s="127" t="s">
        <v>1262</v>
      </c>
      <c r="M217" s="127"/>
      <c r="O217" s="122"/>
    </row>
    <row r="218" spans="1:29">
      <c r="A218" s="115" t="s">
        <v>67</v>
      </c>
      <c r="B218" s="127" t="s">
        <v>66</v>
      </c>
      <c r="C218" s="145" t="s">
        <v>3049</v>
      </c>
      <c r="F218" s="139">
        <v>83</v>
      </c>
      <c r="H218" s="127"/>
      <c r="M218" s="119"/>
    </row>
    <row r="219" spans="1:29" ht="31.5">
      <c r="A219" s="115" t="s">
        <v>494</v>
      </c>
      <c r="B219" s="115" t="s">
        <v>2158</v>
      </c>
      <c r="C219" s="145" t="s">
        <v>3050</v>
      </c>
      <c r="D219" s="108" t="s">
        <v>2673</v>
      </c>
      <c r="F219" s="139">
        <v>218</v>
      </c>
      <c r="H219" s="115"/>
      <c r="I219" s="115"/>
      <c r="J219" s="115"/>
      <c r="K219" s="115"/>
      <c r="M219" s="124"/>
      <c r="N219" s="115" t="s">
        <v>1461</v>
      </c>
      <c r="O219" s="115"/>
    </row>
    <row r="220" spans="1:29">
      <c r="A220" s="115" t="s">
        <v>2154</v>
      </c>
      <c r="B220" s="115" t="s">
        <v>2155</v>
      </c>
      <c r="C220" s="145" t="s">
        <v>3051</v>
      </c>
      <c r="F220" s="139">
        <v>352</v>
      </c>
      <c r="H220" s="115"/>
      <c r="I220" s="115"/>
      <c r="J220" s="115"/>
      <c r="K220" s="115"/>
      <c r="L220" s="116"/>
      <c r="M220" s="115"/>
      <c r="N220" s="115" t="s">
        <v>2156</v>
      </c>
      <c r="O220" s="115"/>
    </row>
    <row r="221" spans="1:29">
      <c r="A221" s="115" t="s">
        <v>1409</v>
      </c>
      <c r="B221" s="115" t="s">
        <v>2102</v>
      </c>
      <c r="C221" s="145" t="s">
        <v>3052</v>
      </c>
      <c r="D221" s="108" t="s">
        <v>2673</v>
      </c>
      <c r="F221" s="139">
        <v>154</v>
      </c>
      <c r="H221" s="115"/>
      <c r="I221" s="115"/>
      <c r="J221" s="115"/>
      <c r="K221" s="115"/>
      <c r="L221" s="116"/>
      <c r="M221" s="115"/>
      <c r="N221" s="115" t="s">
        <v>1707</v>
      </c>
      <c r="O221" s="115"/>
    </row>
    <row r="222" spans="1:29">
      <c r="A222" s="115" t="s">
        <v>109</v>
      </c>
      <c r="B222" s="127" t="s">
        <v>118</v>
      </c>
      <c r="C222" s="145" t="s">
        <v>3053</v>
      </c>
      <c r="F222" s="139">
        <v>172</v>
      </c>
      <c r="H222" s="127"/>
      <c r="I222" s="110"/>
      <c r="J222" s="110"/>
      <c r="K222" s="110"/>
      <c r="L222" s="116"/>
      <c r="M222" s="119"/>
      <c r="O222" s="110"/>
    </row>
    <row r="223" spans="1:29" ht="47.25">
      <c r="A223" s="115" t="s">
        <v>1270</v>
      </c>
      <c r="B223" s="127" t="s">
        <v>701</v>
      </c>
      <c r="C223" s="145" t="s">
        <v>3054</v>
      </c>
      <c r="E223" s="108" t="s">
        <v>3143</v>
      </c>
      <c r="H223" s="127"/>
      <c r="I223" s="122"/>
      <c r="J223" s="122" t="s">
        <v>2253</v>
      </c>
      <c r="K223" s="122"/>
      <c r="L223" s="127" t="s">
        <v>1262</v>
      </c>
      <c r="M223" s="127"/>
      <c r="O223" s="122"/>
    </row>
    <row r="224" spans="1:29" ht="31.5">
      <c r="B224" s="127" t="s">
        <v>1044</v>
      </c>
      <c r="C224" s="145" t="s">
        <v>3055</v>
      </c>
      <c r="E224" s="108" t="s">
        <v>2666</v>
      </c>
      <c r="H224" s="127"/>
      <c r="I224" s="110"/>
      <c r="J224" s="110"/>
      <c r="K224" s="110"/>
      <c r="M224" s="116"/>
      <c r="N224" s="116"/>
      <c r="O224" s="110"/>
      <c r="P224" s="110" t="s">
        <v>2228</v>
      </c>
      <c r="Q224" s="110"/>
      <c r="R224" s="110"/>
      <c r="S224" s="110"/>
      <c r="T224" s="110"/>
      <c r="U224" s="110"/>
      <c r="V224" s="110"/>
      <c r="W224" s="110"/>
    </row>
    <row r="225" spans="1:23">
      <c r="A225" s="115" t="s">
        <v>29</v>
      </c>
      <c r="B225" s="115" t="s">
        <v>1934</v>
      </c>
      <c r="C225" s="145" t="s">
        <v>3056</v>
      </c>
      <c r="E225" s="108" t="s">
        <v>2666</v>
      </c>
      <c r="H225" s="115"/>
      <c r="I225" s="115"/>
      <c r="J225" s="115"/>
      <c r="K225" s="115"/>
      <c r="L225" s="115" t="s">
        <v>1262</v>
      </c>
      <c r="M225" s="124"/>
      <c r="N225" s="115" t="s">
        <v>1935</v>
      </c>
      <c r="O225" s="115"/>
    </row>
    <row r="226" spans="1:23">
      <c r="A226" s="136" t="s">
        <v>2374</v>
      </c>
      <c r="B226" s="127" t="s">
        <v>2376</v>
      </c>
      <c r="C226" s="145" t="s">
        <v>2780</v>
      </c>
      <c r="F226" s="139">
        <v>139</v>
      </c>
      <c r="H226" s="127"/>
      <c r="I226" s="110"/>
      <c r="J226" s="110"/>
      <c r="K226" s="110"/>
      <c r="L226" s="116"/>
      <c r="M226" s="124"/>
      <c r="N226" s="109" t="s">
        <v>2375</v>
      </c>
      <c r="O226" s="110"/>
    </row>
    <row r="227" spans="1:23">
      <c r="A227" s="115" t="s">
        <v>101</v>
      </c>
      <c r="B227" s="127" t="s">
        <v>2376</v>
      </c>
      <c r="C227" s="145" t="s">
        <v>3057</v>
      </c>
      <c r="E227" s="108" t="s">
        <v>2666</v>
      </c>
      <c r="H227" s="127"/>
      <c r="I227" s="110"/>
      <c r="J227" s="110"/>
      <c r="K227" s="110"/>
      <c r="L227" s="116"/>
      <c r="M227" s="116"/>
      <c r="O227" s="110"/>
    </row>
    <row r="228" spans="1:23">
      <c r="A228" s="115" t="s">
        <v>101</v>
      </c>
      <c r="B228" s="127" t="s">
        <v>100</v>
      </c>
      <c r="C228" s="145" t="s">
        <v>3058</v>
      </c>
      <c r="F228" s="139">
        <v>138</v>
      </c>
      <c r="H228" s="127"/>
      <c r="I228" s="110"/>
      <c r="J228" s="110"/>
      <c r="K228" s="110"/>
      <c r="L228" s="116"/>
      <c r="M228" s="127"/>
      <c r="O228" s="110"/>
    </row>
    <row r="229" spans="1:23">
      <c r="A229" s="115" t="s">
        <v>128</v>
      </c>
      <c r="B229" s="127" t="s">
        <v>127</v>
      </c>
      <c r="C229" s="145" t="s">
        <v>3059</v>
      </c>
      <c r="F229" s="139">
        <v>187</v>
      </c>
      <c r="H229" s="127"/>
      <c r="M229" s="124"/>
    </row>
    <row r="230" spans="1:23">
      <c r="A230" s="115" t="s">
        <v>14</v>
      </c>
      <c r="B230" s="127" t="s">
        <v>13</v>
      </c>
      <c r="C230" s="145" t="s">
        <v>3060</v>
      </c>
      <c r="F230" s="139">
        <v>11</v>
      </c>
      <c r="H230" s="127"/>
      <c r="L230" s="116"/>
      <c r="M230" s="154"/>
      <c r="N230" s="116"/>
    </row>
    <row r="231" spans="1:23">
      <c r="A231" s="124" t="s">
        <v>1626</v>
      </c>
      <c r="B231" s="131" t="s">
        <v>419</v>
      </c>
      <c r="C231" s="145" t="s">
        <v>3061</v>
      </c>
      <c r="F231" s="139">
        <v>144</v>
      </c>
      <c r="H231" s="131"/>
      <c r="I231" s="124"/>
      <c r="J231" s="124"/>
      <c r="K231" s="124"/>
      <c r="M231" s="127"/>
      <c r="O231" s="124"/>
    </row>
    <row r="232" spans="1:23">
      <c r="A232" s="124" t="s">
        <v>674</v>
      </c>
      <c r="B232" s="124" t="s">
        <v>673</v>
      </c>
      <c r="C232" s="145" t="s">
        <v>3062</v>
      </c>
      <c r="E232" s="108" t="s">
        <v>2662</v>
      </c>
      <c r="H232" s="124"/>
      <c r="M232" s="115"/>
    </row>
    <row r="233" spans="1:23" ht="31.5">
      <c r="A233" s="115" t="s">
        <v>139</v>
      </c>
      <c r="B233" s="127" t="s">
        <v>138</v>
      </c>
      <c r="C233" s="145" t="s">
        <v>3068</v>
      </c>
      <c r="E233" s="108" t="s">
        <v>2661</v>
      </c>
      <c r="H233" s="127"/>
      <c r="M233" s="116"/>
    </row>
    <row r="234" spans="1:23" ht="31.5">
      <c r="A234" s="115" t="s">
        <v>1539</v>
      </c>
      <c r="B234" s="127" t="s">
        <v>1538</v>
      </c>
      <c r="C234" s="145" t="s">
        <v>2632</v>
      </c>
      <c r="F234" s="139">
        <v>195</v>
      </c>
      <c r="H234" s="127" t="s">
        <v>2400</v>
      </c>
      <c r="I234" s="115" t="s">
        <v>2414</v>
      </c>
      <c r="J234" s="115">
        <v>18616310717</v>
      </c>
      <c r="K234" s="115"/>
      <c r="L234" s="116" t="s">
        <v>2417</v>
      </c>
      <c r="M234" s="127"/>
      <c r="N234" s="127"/>
      <c r="O234" s="115" t="s">
        <v>2416</v>
      </c>
      <c r="P234" s="115" t="s">
        <v>1658</v>
      </c>
      <c r="Q234" s="115"/>
      <c r="R234" s="115"/>
      <c r="S234" s="115"/>
      <c r="T234" s="115"/>
      <c r="U234" s="115"/>
      <c r="V234" s="115"/>
      <c r="W234" s="115"/>
    </row>
    <row r="235" spans="1:23">
      <c r="A235" s="115" t="s">
        <v>1507</v>
      </c>
      <c r="B235" s="127" t="s">
        <v>1508</v>
      </c>
      <c r="C235" s="145" t="s">
        <v>3069</v>
      </c>
      <c r="E235" s="108" t="s">
        <v>2666</v>
      </c>
      <c r="H235" s="127"/>
      <c r="I235" s="122"/>
      <c r="J235" s="122"/>
      <c r="K235" s="122"/>
      <c r="M235" s="127"/>
      <c r="N235" s="127" t="s">
        <v>1509</v>
      </c>
      <c r="O235" s="122"/>
    </row>
    <row r="236" spans="1:23" ht="31.5">
      <c r="A236" s="124" t="s">
        <v>494</v>
      </c>
      <c r="B236" s="124" t="s">
        <v>493</v>
      </c>
      <c r="C236" s="145" t="s">
        <v>3070</v>
      </c>
      <c r="D236" s="108" t="s">
        <v>2673</v>
      </c>
      <c r="F236" s="139">
        <v>219</v>
      </c>
      <c r="H236" s="124"/>
      <c r="M236" s="115"/>
    </row>
    <row r="237" spans="1:23">
      <c r="A237" s="124" t="s">
        <v>614</v>
      </c>
      <c r="B237" s="124" t="s">
        <v>613</v>
      </c>
      <c r="C237" s="145" t="s">
        <v>2829</v>
      </c>
      <c r="F237" s="139">
        <v>449</v>
      </c>
      <c r="H237" s="124"/>
      <c r="I237" s="110"/>
      <c r="J237" s="110"/>
      <c r="K237" s="110"/>
      <c r="L237" s="116"/>
      <c r="M237" s="124"/>
      <c r="O237" s="110"/>
    </row>
    <row r="238" spans="1:23">
      <c r="A238" s="115" t="s">
        <v>234</v>
      </c>
      <c r="B238" s="127" t="s">
        <v>238</v>
      </c>
      <c r="C238" s="145" t="s">
        <v>3071</v>
      </c>
      <c r="F238" s="139">
        <v>408</v>
      </c>
      <c r="H238" s="127"/>
      <c r="I238" s="110"/>
      <c r="J238" s="110"/>
      <c r="K238" s="110"/>
      <c r="L238" s="116"/>
      <c r="M238" s="127"/>
      <c r="O238" s="110"/>
    </row>
    <row r="239" spans="1:23">
      <c r="A239" s="124" t="s">
        <v>213</v>
      </c>
      <c r="B239" s="124" t="s">
        <v>761</v>
      </c>
      <c r="C239" s="145" t="s">
        <v>3072</v>
      </c>
      <c r="E239" s="108" t="s">
        <v>2663</v>
      </c>
      <c r="H239" s="124"/>
      <c r="M239" s="124"/>
    </row>
    <row r="240" spans="1:23">
      <c r="A240" s="115" t="s">
        <v>1731</v>
      </c>
      <c r="B240" s="115" t="s">
        <v>1732</v>
      </c>
      <c r="C240" s="145" t="s">
        <v>1734</v>
      </c>
      <c r="F240" s="139">
        <v>281</v>
      </c>
      <c r="H240" s="115"/>
      <c r="I240" s="115"/>
      <c r="J240" s="115"/>
      <c r="K240" s="115"/>
      <c r="L240" s="115" t="s">
        <v>1289</v>
      </c>
      <c r="M240" s="131"/>
      <c r="N240" s="115" t="s">
        <v>1733</v>
      </c>
      <c r="O240" s="115"/>
    </row>
    <row r="241" spans="1:29" ht="31.5">
      <c r="A241" s="124" t="s">
        <v>487</v>
      </c>
      <c r="B241" s="124" t="s">
        <v>489</v>
      </c>
      <c r="C241" s="145" t="s">
        <v>490</v>
      </c>
      <c r="E241" s="108" t="s">
        <v>2666</v>
      </c>
      <c r="H241" s="124"/>
      <c r="M241" s="124"/>
    </row>
    <row r="242" spans="1:29">
      <c r="A242" s="115" t="s">
        <v>228</v>
      </c>
      <c r="B242" s="127" t="s">
        <v>227</v>
      </c>
      <c r="C242" s="145" t="s">
        <v>229</v>
      </c>
      <c r="E242" s="108">
        <v>550</v>
      </c>
      <c r="H242" s="127"/>
      <c r="M242" s="127"/>
    </row>
    <row r="243" spans="1:29">
      <c r="A243" s="124" t="s">
        <v>646</v>
      </c>
      <c r="B243" s="124" t="s">
        <v>648</v>
      </c>
      <c r="C243" s="145" t="s">
        <v>649</v>
      </c>
      <c r="E243" s="108">
        <v>550</v>
      </c>
      <c r="H243" s="124"/>
      <c r="I243" s="110"/>
      <c r="J243" s="110"/>
      <c r="K243" s="110"/>
      <c r="L243" s="116"/>
      <c r="M243" s="127"/>
      <c r="O243" s="110"/>
    </row>
    <row r="244" spans="1:29">
      <c r="A244" s="115" t="s">
        <v>1835</v>
      </c>
      <c r="B244" s="115" t="s">
        <v>1836</v>
      </c>
      <c r="C244" s="145" t="s">
        <v>1837</v>
      </c>
      <c r="F244" s="139">
        <v>263</v>
      </c>
      <c r="H244" s="115"/>
      <c r="I244" s="115"/>
      <c r="J244" s="115"/>
      <c r="K244" s="115"/>
      <c r="L244" s="115" t="s">
        <v>1289</v>
      </c>
      <c r="M244" s="116"/>
      <c r="N244" s="115" t="s">
        <v>1770</v>
      </c>
      <c r="O244" s="115"/>
    </row>
    <row r="245" spans="1:29">
      <c r="A245" s="124" t="s">
        <v>417</v>
      </c>
      <c r="B245" s="124" t="s">
        <v>419</v>
      </c>
      <c r="C245" s="151" t="s">
        <v>420</v>
      </c>
      <c r="D245" s="118"/>
      <c r="E245" s="118"/>
      <c r="F245" s="140">
        <v>9</v>
      </c>
      <c r="G245" s="140"/>
      <c r="H245" s="154"/>
      <c r="I245" s="120"/>
      <c r="J245" s="120"/>
      <c r="K245" s="120"/>
      <c r="L245" s="154"/>
      <c r="M245" s="124"/>
      <c r="N245" s="154"/>
      <c r="O245" s="120"/>
      <c r="P245" s="120"/>
      <c r="Q245" s="120"/>
      <c r="R245" s="120"/>
      <c r="S245" s="120"/>
      <c r="T245" s="120"/>
      <c r="U245" s="120"/>
      <c r="V245" s="120"/>
      <c r="W245" s="120"/>
      <c r="X245" s="120"/>
      <c r="Y245" s="120"/>
      <c r="Z245" s="120"/>
      <c r="AA245" s="120"/>
      <c r="AB245" s="120"/>
      <c r="AC245" s="120"/>
    </row>
    <row r="246" spans="1:29" ht="31.5">
      <c r="A246" s="115" t="s">
        <v>2036</v>
      </c>
      <c r="B246" s="115" t="s">
        <v>2037</v>
      </c>
      <c r="C246" s="145" t="s">
        <v>2039</v>
      </c>
      <c r="F246" s="139">
        <v>384</v>
      </c>
      <c r="H246" s="115"/>
      <c r="I246" s="115"/>
      <c r="J246" s="115"/>
      <c r="K246" s="115"/>
      <c r="L246" s="115" t="s">
        <v>1262</v>
      </c>
      <c r="M246" s="115"/>
      <c r="N246" s="115" t="s">
        <v>2038</v>
      </c>
      <c r="O246" s="115"/>
    </row>
    <row r="247" spans="1:29" ht="31.5">
      <c r="A247" s="115" t="s">
        <v>1381</v>
      </c>
      <c r="B247" s="127" t="s">
        <v>1382</v>
      </c>
      <c r="C247" s="167" t="s">
        <v>3105</v>
      </c>
      <c r="E247" s="108" t="s">
        <v>2661</v>
      </c>
      <c r="H247" s="127"/>
      <c r="I247" s="122"/>
      <c r="J247" s="122"/>
      <c r="K247" s="122"/>
      <c r="L247" s="127"/>
      <c r="M247" s="127"/>
      <c r="O247" s="122"/>
    </row>
    <row r="248" spans="1:29">
      <c r="A248" s="118" t="s">
        <v>2461</v>
      </c>
      <c r="B248" s="150" t="s">
        <v>2460</v>
      </c>
      <c r="C248" s="151" t="s">
        <v>2462</v>
      </c>
      <c r="D248" s="118"/>
      <c r="E248" s="118" t="s">
        <v>2666</v>
      </c>
      <c r="F248" s="140"/>
      <c r="G248" s="140"/>
      <c r="H248" s="118"/>
      <c r="I248" s="120"/>
      <c r="J248" s="120"/>
      <c r="K248" s="120"/>
      <c r="L248" s="119"/>
      <c r="M248" s="115"/>
      <c r="N248" s="119"/>
      <c r="O248" s="120"/>
      <c r="P248" s="120"/>
      <c r="Q248" s="120"/>
      <c r="R248" s="120"/>
      <c r="S248" s="120"/>
      <c r="T248" s="120"/>
      <c r="U248" s="120"/>
      <c r="V248" s="120"/>
      <c r="W248" s="120"/>
      <c r="X248" s="120"/>
      <c r="Y248" s="120"/>
      <c r="Z248" s="120"/>
      <c r="AA248" s="120"/>
      <c r="AB248" s="120"/>
      <c r="AC248" s="120"/>
    </row>
    <row r="249" spans="1:29" ht="31.5">
      <c r="A249" s="115" t="s">
        <v>1576</v>
      </c>
      <c r="B249" s="127" t="s">
        <v>1575</v>
      </c>
      <c r="C249" s="145" t="s">
        <v>1577</v>
      </c>
      <c r="E249" s="108">
        <v>550</v>
      </c>
      <c r="H249" s="127"/>
      <c r="I249" s="115" t="s">
        <v>2406</v>
      </c>
      <c r="J249" s="132"/>
      <c r="K249" s="132"/>
      <c r="L249" s="116" t="s">
        <v>2408</v>
      </c>
      <c r="M249" s="127"/>
      <c r="N249" s="127"/>
      <c r="O249" s="115"/>
      <c r="P249" s="115" t="s">
        <v>1673</v>
      </c>
      <c r="Q249" s="115"/>
      <c r="R249" s="115"/>
      <c r="S249" s="115"/>
      <c r="T249" s="115"/>
      <c r="U249" s="115"/>
      <c r="V249" s="115"/>
      <c r="W249" s="115"/>
      <c r="Y249" s="106" t="s">
        <v>2402</v>
      </c>
      <c r="Z249" s="106" t="s">
        <v>2402</v>
      </c>
    </row>
    <row r="250" spans="1:29">
      <c r="A250" s="124" t="s">
        <v>159</v>
      </c>
      <c r="B250" s="124" t="s">
        <v>1183</v>
      </c>
      <c r="C250" s="145" t="s">
        <v>1130</v>
      </c>
      <c r="F250" s="139">
        <v>231</v>
      </c>
      <c r="H250" s="124"/>
      <c r="I250" s="110"/>
      <c r="J250" s="110"/>
      <c r="K250" s="110"/>
      <c r="L250" s="116"/>
      <c r="M250" s="124"/>
      <c r="O250" s="110"/>
      <c r="P250" s="110"/>
      <c r="Q250" s="110"/>
      <c r="R250" s="110"/>
      <c r="S250" s="110"/>
      <c r="T250" s="110"/>
      <c r="U250" s="110"/>
      <c r="V250" s="110"/>
      <c r="W250" s="110"/>
    </row>
    <row r="251" spans="1:29">
      <c r="A251" s="88" t="s">
        <v>17</v>
      </c>
      <c r="B251" s="88" t="s">
        <v>574</v>
      </c>
      <c r="C251" s="88" t="s">
        <v>575</v>
      </c>
      <c r="D251"/>
      <c r="E251"/>
      <c r="F251">
        <v>23</v>
      </c>
      <c r="G251"/>
      <c r="H251"/>
      <c r="I251"/>
      <c r="J251"/>
      <c r="K251"/>
      <c r="L251"/>
      <c r="M251"/>
      <c r="N251"/>
      <c r="O251"/>
      <c r="P251"/>
      <c r="Q251"/>
      <c r="R251"/>
      <c r="S251"/>
      <c r="T251"/>
      <c r="U251"/>
      <c r="V251"/>
      <c r="W251"/>
      <c r="X251"/>
      <c r="Y251"/>
      <c r="Z251"/>
      <c r="AA251"/>
      <c r="AB251"/>
      <c r="AC251"/>
    </row>
    <row r="252" spans="1:29" ht="31.5">
      <c r="A252" s="115" t="s">
        <v>1438</v>
      </c>
      <c r="B252" s="127" t="s">
        <v>401</v>
      </c>
      <c r="C252" s="145" t="s">
        <v>1440</v>
      </c>
      <c r="E252" s="108" t="s">
        <v>2661</v>
      </c>
      <c r="H252" s="127"/>
      <c r="I252" s="122"/>
      <c r="J252" s="122" t="s">
        <v>1439</v>
      </c>
      <c r="K252" s="122"/>
      <c r="L252" s="127" t="s">
        <v>1289</v>
      </c>
      <c r="M252" s="127"/>
      <c r="O252" s="122"/>
    </row>
    <row r="253" spans="1:29" ht="31.5">
      <c r="A253" s="115" t="s">
        <v>1369</v>
      </c>
      <c r="B253" s="127" t="s">
        <v>1473</v>
      </c>
      <c r="C253" s="167" t="s">
        <v>3106</v>
      </c>
      <c r="E253" s="108" t="s">
        <v>3107</v>
      </c>
      <c r="H253" s="127"/>
      <c r="I253" s="134"/>
      <c r="J253" s="134" t="s">
        <v>3108</v>
      </c>
      <c r="K253" s="134"/>
      <c r="M253" s="127"/>
      <c r="N253" s="127" t="s">
        <v>1474</v>
      </c>
      <c r="O253" s="134"/>
    </row>
    <row r="254" spans="1:29">
      <c r="A254" s="115" t="s">
        <v>1467</v>
      </c>
      <c r="B254" s="127" t="s">
        <v>1468</v>
      </c>
      <c r="C254" s="145" t="s">
        <v>1470</v>
      </c>
      <c r="F254" s="139">
        <v>191</v>
      </c>
      <c r="H254" s="127"/>
      <c r="I254" s="122"/>
      <c r="J254" s="122" t="s">
        <v>1471</v>
      </c>
      <c r="K254" s="122"/>
      <c r="L254" s="116"/>
      <c r="M254" s="118"/>
      <c r="N254" s="127" t="s">
        <v>1469</v>
      </c>
      <c r="O254" s="122"/>
    </row>
    <row r="255" spans="1:29" ht="47.25">
      <c r="A255" s="115" t="s">
        <v>1377</v>
      </c>
      <c r="B255" s="127"/>
      <c r="C255" s="145" t="s">
        <v>1379</v>
      </c>
      <c r="E255" s="108" t="s">
        <v>2666</v>
      </c>
      <c r="H255" s="127"/>
      <c r="I255" s="122"/>
      <c r="J255" s="122" t="s">
        <v>2255</v>
      </c>
      <c r="K255" s="122"/>
      <c r="L255" s="127" t="s">
        <v>1376</v>
      </c>
      <c r="M255" s="116"/>
      <c r="O255" s="122"/>
    </row>
    <row r="256" spans="1:29" ht="31.5">
      <c r="A256" s="115" t="s">
        <v>2256</v>
      </c>
      <c r="B256" s="127"/>
      <c r="C256" s="145" t="s">
        <v>1418</v>
      </c>
      <c r="F256" s="139">
        <v>92</v>
      </c>
      <c r="H256" s="127"/>
      <c r="I256" s="122"/>
      <c r="J256" s="122" t="s">
        <v>1417</v>
      </c>
      <c r="K256" s="122"/>
      <c r="L256" s="127" t="s">
        <v>1284</v>
      </c>
      <c r="M256" s="124"/>
      <c r="N256" s="116"/>
      <c r="O256" s="122"/>
    </row>
    <row r="257" spans="1:23" ht="47.25">
      <c r="A257" s="115" t="s">
        <v>1381</v>
      </c>
      <c r="B257" s="127" t="s">
        <v>1382</v>
      </c>
      <c r="C257" s="167" t="s">
        <v>3075</v>
      </c>
      <c r="E257" s="108" t="s">
        <v>2661</v>
      </c>
      <c r="H257" s="127"/>
      <c r="I257" s="122"/>
      <c r="J257" s="122" t="s">
        <v>2258</v>
      </c>
      <c r="K257" s="122"/>
      <c r="L257" s="127" t="s">
        <v>1380</v>
      </c>
      <c r="M257" s="127"/>
      <c r="O257" s="122"/>
    </row>
    <row r="258" spans="1:23" ht="47.25">
      <c r="A258" s="115" t="s">
        <v>1323</v>
      </c>
      <c r="B258" s="127" t="s">
        <v>1324</v>
      </c>
      <c r="C258" s="145" t="s">
        <v>927</v>
      </c>
      <c r="F258" s="139">
        <v>262</v>
      </c>
      <c r="H258" s="127"/>
      <c r="I258" s="122"/>
      <c r="J258" s="122" t="s">
        <v>2259</v>
      </c>
      <c r="K258" s="122"/>
      <c r="L258" s="127" t="s">
        <v>1289</v>
      </c>
      <c r="M258" s="127"/>
      <c r="O258" s="122"/>
    </row>
    <row r="259" spans="1:23">
      <c r="A259" s="124" t="s">
        <v>323</v>
      </c>
      <c r="B259" s="124" t="s">
        <v>322</v>
      </c>
      <c r="C259" s="152" t="s">
        <v>324</v>
      </c>
      <c r="F259" s="139">
        <v>257</v>
      </c>
      <c r="H259" s="124"/>
      <c r="M259" s="116"/>
    </row>
    <row r="260" spans="1:23">
      <c r="A260" s="136" t="s">
        <v>2379</v>
      </c>
      <c r="B260" s="127" t="s">
        <v>2378</v>
      </c>
      <c r="C260" s="145" t="s">
        <v>753</v>
      </c>
      <c r="F260" s="139">
        <v>193</v>
      </c>
      <c r="H260" s="127"/>
      <c r="I260" s="110"/>
      <c r="J260" s="110"/>
      <c r="K260" s="110"/>
      <c r="L260" s="116"/>
      <c r="M260" s="127"/>
      <c r="N260" s="109" t="s">
        <v>2306</v>
      </c>
      <c r="O260" s="110"/>
    </row>
    <row r="261" spans="1:23">
      <c r="A261" s="136" t="s">
        <v>2307</v>
      </c>
      <c r="B261" s="127" t="s">
        <v>1460</v>
      </c>
      <c r="C261" s="145" t="s">
        <v>1462</v>
      </c>
      <c r="F261" s="139">
        <v>45</v>
      </c>
      <c r="H261" s="127"/>
      <c r="I261" s="122"/>
      <c r="J261" s="122" t="s">
        <v>1463</v>
      </c>
      <c r="K261" s="122"/>
      <c r="L261" s="116"/>
      <c r="M261" s="131"/>
      <c r="N261" s="127" t="s">
        <v>1461</v>
      </c>
      <c r="O261" s="122"/>
      <c r="P261" s="110"/>
      <c r="Q261" s="110"/>
      <c r="R261" s="110"/>
      <c r="S261" s="110"/>
      <c r="T261" s="110"/>
      <c r="U261" s="110"/>
      <c r="V261" s="110"/>
      <c r="W261" s="110"/>
    </row>
    <row r="262" spans="1:23" ht="31.5">
      <c r="A262" s="115" t="s">
        <v>1311</v>
      </c>
      <c r="B262" s="127"/>
      <c r="C262" s="145" t="s">
        <v>1313</v>
      </c>
      <c r="E262" s="108" t="s">
        <v>2666</v>
      </c>
      <c r="H262" s="127"/>
      <c r="I262" s="122"/>
      <c r="J262" s="122" t="s">
        <v>2260</v>
      </c>
      <c r="K262" s="122"/>
      <c r="L262" s="127" t="s">
        <v>1275</v>
      </c>
      <c r="M262" s="115"/>
      <c r="O262" s="122"/>
    </row>
    <row r="263" spans="1:23">
      <c r="A263" s="124" t="s">
        <v>461</v>
      </c>
      <c r="B263" s="124" t="s">
        <v>463</v>
      </c>
      <c r="C263" s="145" t="s">
        <v>464</v>
      </c>
      <c r="F263" s="139">
        <v>320</v>
      </c>
      <c r="H263" s="124"/>
      <c r="M263" s="124"/>
    </row>
    <row r="264" spans="1:23">
      <c r="A264" s="115" t="s">
        <v>1413</v>
      </c>
      <c r="B264" s="127"/>
      <c r="C264" s="145" t="s">
        <v>1415</v>
      </c>
      <c r="F264" s="139">
        <v>27</v>
      </c>
      <c r="H264" s="127"/>
      <c r="I264" s="122"/>
      <c r="J264" s="122" t="s">
        <v>1414</v>
      </c>
      <c r="K264" s="122"/>
      <c r="L264" s="127" t="s">
        <v>1412</v>
      </c>
      <c r="M264" s="116"/>
      <c r="N264" s="116"/>
      <c r="O264" s="122"/>
    </row>
    <row r="265" spans="1:23">
      <c r="A265" s="115" t="s">
        <v>1485</v>
      </c>
      <c r="B265" s="127" t="s">
        <v>1486</v>
      </c>
      <c r="C265" s="145" t="s">
        <v>1488</v>
      </c>
      <c r="E265" s="108" t="s">
        <v>2661</v>
      </c>
      <c r="H265" s="127"/>
      <c r="I265" s="122"/>
      <c r="J265" s="122" t="s">
        <v>1489</v>
      </c>
      <c r="K265" s="122"/>
      <c r="L265" s="116"/>
      <c r="M265" s="127"/>
      <c r="N265" s="127" t="s">
        <v>1487</v>
      </c>
      <c r="O265" s="122"/>
    </row>
    <row r="266" spans="1:23" ht="47.25">
      <c r="A266" s="115" t="s">
        <v>1272</v>
      </c>
      <c r="B266" s="127" t="s">
        <v>498</v>
      </c>
      <c r="H266" s="127"/>
      <c r="I266" s="122"/>
      <c r="J266" s="122" t="s">
        <v>3063</v>
      </c>
      <c r="K266" s="122"/>
      <c r="L266" s="127" t="s">
        <v>1262</v>
      </c>
      <c r="M266" s="127"/>
      <c r="O266" s="122"/>
    </row>
    <row r="267" spans="1:23">
      <c r="A267" s="136" t="s">
        <v>2380</v>
      </c>
      <c r="B267" s="127" t="s">
        <v>2322</v>
      </c>
      <c r="C267" s="145" t="s">
        <v>798</v>
      </c>
      <c r="F267" s="139">
        <v>471</v>
      </c>
      <c r="H267" s="127"/>
      <c r="M267" s="116"/>
      <c r="N267" s="109" t="s">
        <v>2381</v>
      </c>
    </row>
    <row r="268" spans="1:23">
      <c r="B268" s="127" t="s">
        <v>637</v>
      </c>
      <c r="C268" s="145" t="s">
        <v>930</v>
      </c>
      <c r="F268" s="139">
        <v>498</v>
      </c>
      <c r="H268" s="127"/>
      <c r="M268" s="116"/>
    </row>
    <row r="269" spans="1:23">
      <c r="A269" s="136" t="s">
        <v>2384</v>
      </c>
      <c r="B269" s="127" t="s">
        <v>2383</v>
      </c>
      <c r="C269" s="145" t="s">
        <v>992</v>
      </c>
      <c r="F269" s="139">
        <v>383</v>
      </c>
      <c r="H269" s="127"/>
      <c r="M269" s="116"/>
      <c r="N269" s="109" t="s">
        <v>2382</v>
      </c>
    </row>
    <row r="270" spans="1:23">
      <c r="A270" s="124" t="s">
        <v>1215</v>
      </c>
      <c r="B270" s="124" t="s">
        <v>1176</v>
      </c>
      <c r="C270" s="145" t="s">
        <v>1125</v>
      </c>
      <c r="F270" s="139">
        <v>440</v>
      </c>
      <c r="H270" s="124"/>
      <c r="M270" s="124"/>
    </row>
    <row r="271" spans="1:23" ht="31.5">
      <c r="A271" s="136" t="s">
        <v>2307</v>
      </c>
      <c r="B271" s="127" t="s">
        <v>3100</v>
      </c>
      <c r="C271" s="145" t="s">
        <v>1335</v>
      </c>
      <c r="F271" s="139">
        <v>46</v>
      </c>
      <c r="H271" s="127"/>
      <c r="I271" s="122"/>
      <c r="J271" s="122" t="s">
        <v>1334</v>
      </c>
      <c r="K271" s="122"/>
      <c r="L271" s="127" t="s">
        <v>1262</v>
      </c>
      <c r="M271" s="127"/>
      <c r="N271" s="116"/>
      <c r="O271" s="122"/>
      <c r="P271" s="110"/>
      <c r="Q271" s="110"/>
      <c r="R271" s="110"/>
      <c r="S271" s="110"/>
      <c r="T271" s="110"/>
      <c r="U271" s="110"/>
      <c r="V271" s="110"/>
      <c r="W271" s="110"/>
    </row>
    <row r="272" spans="1:23">
      <c r="A272" s="115" t="s">
        <v>46</v>
      </c>
      <c r="B272" s="127" t="s">
        <v>45</v>
      </c>
      <c r="C272" s="145" t="s">
        <v>47</v>
      </c>
      <c r="E272" s="108">
        <v>550</v>
      </c>
      <c r="H272" s="127"/>
      <c r="I272" s="110"/>
      <c r="J272" s="110"/>
      <c r="K272" s="110"/>
      <c r="L272" s="116"/>
      <c r="M272" s="116"/>
      <c r="N272" s="116"/>
      <c r="O272" s="110"/>
      <c r="P272" s="110"/>
      <c r="Q272" s="110"/>
      <c r="R272" s="110"/>
      <c r="S272" s="110"/>
      <c r="T272" s="110"/>
      <c r="U272" s="110"/>
      <c r="V272" s="110"/>
      <c r="W272" s="110"/>
    </row>
    <row r="273" spans="1:29" ht="31.5">
      <c r="A273" s="124" t="s">
        <v>617</v>
      </c>
      <c r="B273" s="124" t="s">
        <v>1198</v>
      </c>
      <c r="C273" s="145" t="s">
        <v>1148</v>
      </c>
      <c r="E273" s="108">
        <v>550</v>
      </c>
      <c r="H273" s="124"/>
      <c r="L273" s="116"/>
      <c r="M273" s="115"/>
      <c r="N273" s="116"/>
    </row>
    <row r="274" spans="1:29" ht="31.5">
      <c r="A274" s="115" t="s">
        <v>1762</v>
      </c>
      <c r="B274" s="115" t="s">
        <v>1796</v>
      </c>
      <c r="C274" s="145" t="s">
        <v>1797</v>
      </c>
      <c r="E274" s="108">
        <v>550</v>
      </c>
      <c r="H274" s="115"/>
      <c r="I274" s="115"/>
      <c r="J274" s="115"/>
      <c r="K274" s="115"/>
      <c r="L274" s="115" t="s">
        <v>1289</v>
      </c>
      <c r="M274" s="115"/>
      <c r="N274" s="115" t="s">
        <v>1699</v>
      </c>
      <c r="O274" s="115"/>
    </row>
    <row r="275" spans="1:29">
      <c r="A275" s="115" t="s">
        <v>1822</v>
      </c>
      <c r="B275" s="115" t="s">
        <v>1823</v>
      </c>
      <c r="C275" s="145" t="s">
        <v>1824</v>
      </c>
      <c r="F275" s="139">
        <v>28</v>
      </c>
      <c r="H275" s="115"/>
      <c r="I275" s="115"/>
      <c r="J275" s="115"/>
      <c r="K275" s="115"/>
      <c r="L275" s="115" t="s">
        <v>1289</v>
      </c>
      <c r="M275" s="118"/>
      <c r="N275" s="115" t="s">
        <v>1789</v>
      </c>
      <c r="O275" s="115"/>
    </row>
    <row r="276" spans="1:29">
      <c r="A276" s="124" t="s">
        <v>35</v>
      </c>
      <c r="B276" s="124" t="s">
        <v>669</v>
      </c>
      <c r="C276" s="145" t="s">
        <v>670</v>
      </c>
      <c r="E276" s="108" t="s">
        <v>2666</v>
      </c>
      <c r="H276" s="124"/>
      <c r="I276" s="110"/>
      <c r="J276" s="110"/>
      <c r="K276" s="110"/>
      <c r="L276" s="116"/>
      <c r="M276" s="127"/>
      <c r="N276" s="116"/>
      <c r="O276" s="110"/>
      <c r="P276" s="110"/>
      <c r="Q276" s="110"/>
      <c r="R276" s="110"/>
      <c r="S276" s="110"/>
      <c r="T276" s="110"/>
      <c r="U276" s="110"/>
      <c r="V276" s="110"/>
      <c r="W276" s="110"/>
    </row>
    <row r="277" spans="1:29">
      <c r="A277" s="55" t="s">
        <v>3064</v>
      </c>
      <c r="B277" s="168" t="s">
        <v>325</v>
      </c>
      <c r="C277" s="151" t="s">
        <v>327</v>
      </c>
      <c r="D277" s="118"/>
      <c r="E277" s="118"/>
      <c r="F277" s="140">
        <v>94</v>
      </c>
      <c r="G277" s="140"/>
      <c r="H277" s="154"/>
      <c r="I277" s="120"/>
      <c r="J277" s="120"/>
      <c r="K277" s="120"/>
      <c r="L277" s="135"/>
      <c r="M277" s="124"/>
      <c r="N277" s="135"/>
      <c r="O277" s="120"/>
      <c r="P277" s="120"/>
      <c r="Q277" s="120"/>
      <c r="R277" s="120"/>
      <c r="S277" s="120"/>
      <c r="T277" s="120"/>
      <c r="U277" s="120"/>
      <c r="V277" s="120"/>
      <c r="W277" s="120"/>
      <c r="X277" s="120"/>
      <c r="Y277" s="120"/>
      <c r="Z277" s="120"/>
      <c r="AA277" s="120"/>
      <c r="AB277" s="120"/>
      <c r="AC277" s="120"/>
    </row>
    <row r="278" spans="1:29">
      <c r="A278" s="115" t="s">
        <v>561</v>
      </c>
      <c r="B278" s="115" t="s">
        <v>2017</v>
      </c>
      <c r="C278" s="145" t="s">
        <v>2019</v>
      </c>
      <c r="E278" s="108" t="s">
        <v>3142</v>
      </c>
      <c r="H278" s="115"/>
      <c r="I278" s="115"/>
      <c r="J278" s="115"/>
      <c r="K278" s="115"/>
      <c r="L278" s="115" t="s">
        <v>2016</v>
      </c>
      <c r="M278" s="124"/>
      <c r="N278" s="115" t="s">
        <v>2018</v>
      </c>
      <c r="O278" s="115"/>
    </row>
    <row r="279" spans="1:29">
      <c r="A279" s="115" t="s">
        <v>82</v>
      </c>
      <c r="B279" s="127" t="s">
        <v>81</v>
      </c>
      <c r="C279" s="145" t="s">
        <v>83</v>
      </c>
      <c r="F279" s="139">
        <v>107</v>
      </c>
      <c r="H279" s="127"/>
      <c r="J279" s="110"/>
      <c r="K279" s="110"/>
      <c r="L279" s="116"/>
      <c r="M279" s="119"/>
    </row>
    <row r="280" spans="1:29">
      <c r="A280" s="115" t="s">
        <v>142</v>
      </c>
      <c r="B280" s="127" t="s">
        <v>141</v>
      </c>
      <c r="C280" s="145" t="s">
        <v>143</v>
      </c>
      <c r="F280" s="139">
        <v>202</v>
      </c>
      <c r="H280" s="127"/>
      <c r="M280" s="135"/>
    </row>
    <row r="281" spans="1:29">
      <c r="A281" s="150" t="s">
        <v>131</v>
      </c>
      <c r="B281" s="150" t="s">
        <v>2471</v>
      </c>
      <c r="C281" s="151" t="s">
        <v>2472</v>
      </c>
      <c r="D281" s="118"/>
      <c r="E281" s="108" t="s">
        <v>2661</v>
      </c>
      <c r="F281" s="140"/>
      <c r="G281" s="140"/>
      <c r="H281" s="118"/>
      <c r="I281" s="120"/>
      <c r="J281" s="120"/>
      <c r="K281" s="120"/>
      <c r="L281" s="119"/>
      <c r="M281" s="127"/>
      <c r="N281" s="119"/>
      <c r="O281" s="120"/>
      <c r="P281" s="120"/>
      <c r="Q281" s="120"/>
      <c r="R281" s="120"/>
      <c r="S281" s="120"/>
      <c r="T281" s="120"/>
      <c r="U281" s="120"/>
      <c r="V281" s="120"/>
      <c r="W281" s="120"/>
      <c r="X281" s="120"/>
      <c r="Y281" s="120"/>
      <c r="Z281" s="120"/>
      <c r="AA281" s="120"/>
      <c r="AB281" s="120"/>
      <c r="AC281" s="120"/>
    </row>
    <row r="282" spans="1:29">
      <c r="A282" s="115" t="s">
        <v>46</v>
      </c>
      <c r="B282" s="115" t="s">
        <v>1877</v>
      </c>
      <c r="C282" s="145" t="s">
        <v>1878</v>
      </c>
      <c r="F282" s="139">
        <v>69</v>
      </c>
      <c r="H282" s="115"/>
      <c r="I282" s="115"/>
      <c r="J282" s="115"/>
      <c r="K282" s="115"/>
      <c r="L282" s="115" t="s">
        <v>1289</v>
      </c>
      <c r="M282" s="127"/>
      <c r="N282" s="115" t="s">
        <v>1875</v>
      </c>
      <c r="O282" s="115"/>
      <c r="P282" s="110"/>
      <c r="Q282" s="110"/>
      <c r="R282" s="110"/>
      <c r="S282" s="110"/>
      <c r="T282" s="110"/>
      <c r="U282" s="110"/>
      <c r="V282" s="110"/>
      <c r="W282" s="110"/>
    </row>
    <row r="283" spans="1:29">
      <c r="A283" s="115" t="s">
        <v>194</v>
      </c>
      <c r="B283" s="115" t="s">
        <v>1825</v>
      </c>
      <c r="C283" s="145" t="s">
        <v>1826</v>
      </c>
      <c r="E283" s="108" t="s">
        <v>2666</v>
      </c>
      <c r="H283" s="115"/>
      <c r="I283" s="115"/>
      <c r="J283" s="115"/>
      <c r="K283" s="115"/>
      <c r="L283" s="115" t="s">
        <v>1289</v>
      </c>
      <c r="M283" s="127"/>
      <c r="N283" s="115" t="s">
        <v>1778</v>
      </c>
      <c r="O283" s="115"/>
    </row>
    <row r="284" spans="1:29">
      <c r="A284" s="115" t="s">
        <v>87</v>
      </c>
      <c r="B284" s="127" t="s">
        <v>86</v>
      </c>
      <c r="C284" s="145" t="s">
        <v>88</v>
      </c>
      <c r="E284" s="108" t="s">
        <v>3128</v>
      </c>
      <c r="H284" s="127"/>
      <c r="J284" s="110"/>
      <c r="K284" s="110"/>
      <c r="L284" s="116"/>
      <c r="M284" s="127"/>
    </row>
    <row r="285" spans="1:29">
      <c r="A285" s="124" t="s">
        <v>1079</v>
      </c>
      <c r="B285" s="124" t="s">
        <v>1078</v>
      </c>
      <c r="C285" s="145" t="s">
        <v>1080</v>
      </c>
      <c r="F285" s="139">
        <v>122</v>
      </c>
      <c r="H285" s="124"/>
      <c r="J285" s="110"/>
      <c r="K285" s="110"/>
      <c r="L285" s="116"/>
      <c r="M285" s="124"/>
      <c r="N285" s="116"/>
    </row>
    <row r="286" spans="1:29" ht="13.5" customHeight="1">
      <c r="A286" s="136" t="s">
        <v>2305</v>
      </c>
      <c r="B286" s="127" t="s">
        <v>2313</v>
      </c>
      <c r="C286" s="145" t="s">
        <v>884</v>
      </c>
      <c r="E286" s="108" t="s">
        <v>2663</v>
      </c>
      <c r="H286" s="127"/>
      <c r="M286" s="116"/>
    </row>
    <row r="287" spans="1:29">
      <c r="A287" s="124" t="s">
        <v>2386</v>
      </c>
      <c r="B287" s="131" t="s">
        <v>1620</v>
      </c>
      <c r="C287" s="145" t="s">
        <v>1622</v>
      </c>
      <c r="F287" s="139">
        <v>196</v>
      </c>
      <c r="H287" s="131"/>
      <c r="I287" s="124"/>
      <c r="J287" s="124">
        <v>13621793309</v>
      </c>
      <c r="K287" s="124"/>
      <c r="M287" s="127"/>
      <c r="N287" s="109" t="s">
        <v>2385</v>
      </c>
      <c r="O287" s="124"/>
    </row>
    <row r="288" spans="1:29" ht="31.5">
      <c r="A288" s="115" t="s">
        <v>2133</v>
      </c>
      <c r="B288" s="115" t="s">
        <v>2134</v>
      </c>
      <c r="C288" s="145" t="s">
        <v>2135</v>
      </c>
      <c r="F288" s="139">
        <v>313</v>
      </c>
      <c r="H288" s="115"/>
      <c r="I288" s="115"/>
      <c r="J288" s="115"/>
      <c r="K288" s="115"/>
      <c r="M288" s="127"/>
      <c r="N288" s="115"/>
      <c r="O288" s="115"/>
    </row>
    <row r="289" spans="1:29">
      <c r="A289" s="115" t="s">
        <v>93</v>
      </c>
      <c r="B289" s="127" t="s">
        <v>92</v>
      </c>
      <c r="C289" s="145" t="s">
        <v>94</v>
      </c>
      <c r="F289" s="139">
        <v>115</v>
      </c>
      <c r="H289" s="127"/>
      <c r="I289" s="110"/>
      <c r="J289" s="110"/>
      <c r="K289" s="110"/>
      <c r="L289" s="116"/>
      <c r="M289" s="127"/>
      <c r="O289" s="110"/>
    </row>
    <row r="290" spans="1:29">
      <c r="A290" s="124" t="s">
        <v>589</v>
      </c>
      <c r="B290" s="124" t="s">
        <v>588</v>
      </c>
      <c r="C290" s="145" t="s">
        <v>590</v>
      </c>
      <c r="E290" s="108" t="s">
        <v>2666</v>
      </c>
      <c r="H290" s="124"/>
      <c r="M290" s="124"/>
    </row>
    <row r="291" spans="1:29">
      <c r="A291" s="124" t="s">
        <v>561</v>
      </c>
      <c r="B291" s="124" t="s">
        <v>563</v>
      </c>
      <c r="C291" s="145" t="s">
        <v>564</v>
      </c>
      <c r="F291" s="139">
        <v>85</v>
      </c>
      <c r="H291" s="124"/>
      <c r="M291" s="115"/>
    </row>
    <row r="292" spans="1:29" ht="31.5">
      <c r="A292" s="124" t="s">
        <v>487</v>
      </c>
      <c r="B292" s="124" t="s">
        <v>486</v>
      </c>
      <c r="C292" s="145" t="s">
        <v>488</v>
      </c>
      <c r="E292" s="108" t="s">
        <v>2666</v>
      </c>
      <c r="H292" s="124"/>
      <c r="M292" s="124"/>
    </row>
    <row r="293" spans="1:29" ht="31.5">
      <c r="A293" s="115" t="s">
        <v>1727</v>
      </c>
      <c r="B293" s="115" t="s">
        <v>1814</v>
      </c>
      <c r="C293" s="145" t="s">
        <v>1815</v>
      </c>
      <c r="E293" s="108" t="s">
        <v>2661</v>
      </c>
      <c r="H293" s="115"/>
      <c r="I293" s="115"/>
      <c r="J293" s="115"/>
      <c r="K293" s="115"/>
      <c r="L293" s="115" t="s">
        <v>1289</v>
      </c>
      <c r="M293" s="115"/>
      <c r="N293" s="115" t="s">
        <v>1770</v>
      </c>
      <c r="O293" s="115"/>
    </row>
    <row r="294" spans="1:29">
      <c r="A294" s="115" t="s">
        <v>96</v>
      </c>
      <c r="B294" s="127" t="s">
        <v>95</v>
      </c>
      <c r="C294" s="145" t="s">
        <v>97</v>
      </c>
      <c r="F294" s="139">
        <v>134</v>
      </c>
      <c r="H294" s="127"/>
      <c r="M294" s="56"/>
    </row>
    <row r="295" spans="1:29">
      <c r="A295" s="124" t="s">
        <v>17</v>
      </c>
      <c r="B295" s="124" t="s">
        <v>1191</v>
      </c>
      <c r="C295" s="145" t="s">
        <v>1140</v>
      </c>
      <c r="E295" s="108" t="s">
        <v>2666</v>
      </c>
      <c r="H295" s="124"/>
      <c r="L295" s="116"/>
      <c r="M295" s="127"/>
      <c r="N295" s="116"/>
    </row>
    <row r="296" spans="1:29">
      <c r="A296" s="115" t="s">
        <v>206</v>
      </c>
      <c r="B296" s="127" t="s">
        <v>205</v>
      </c>
      <c r="C296" s="145" t="s">
        <v>207</v>
      </c>
      <c r="E296" s="108" t="s">
        <v>2661</v>
      </c>
      <c r="H296" s="127"/>
      <c r="M296" s="124"/>
    </row>
    <row r="297" spans="1:29">
      <c r="A297" s="115" t="s">
        <v>11</v>
      </c>
      <c r="B297" s="127" t="s">
        <v>55</v>
      </c>
      <c r="C297" s="145" t="s">
        <v>56</v>
      </c>
      <c r="E297" s="108" t="s">
        <v>2666</v>
      </c>
      <c r="H297" s="127"/>
      <c r="I297" s="110"/>
      <c r="J297" s="110"/>
      <c r="K297" s="110"/>
      <c r="M297" s="127"/>
      <c r="N297" s="116"/>
      <c r="O297" s="110"/>
      <c r="P297" s="110"/>
      <c r="Q297" s="110"/>
      <c r="R297" s="110"/>
      <c r="S297" s="110"/>
      <c r="T297" s="110"/>
      <c r="U297" s="110"/>
      <c r="V297" s="110"/>
      <c r="W297" s="110"/>
    </row>
    <row r="298" spans="1:29">
      <c r="A298" s="115" t="s">
        <v>46</v>
      </c>
      <c r="B298" s="124" t="s">
        <v>1185</v>
      </c>
      <c r="C298" s="145" t="s">
        <v>1133</v>
      </c>
      <c r="E298" s="108">
        <v>550</v>
      </c>
      <c r="H298" s="124"/>
      <c r="I298" s="110"/>
      <c r="J298" s="110"/>
      <c r="K298" s="110"/>
      <c r="L298" s="116"/>
      <c r="M298" s="115"/>
      <c r="N298" s="116"/>
      <c r="O298" s="110"/>
      <c r="P298" s="110"/>
      <c r="Q298" s="110"/>
      <c r="R298" s="110"/>
      <c r="S298" s="110"/>
      <c r="T298" s="110"/>
      <c r="U298" s="110"/>
      <c r="V298" s="110"/>
      <c r="W298" s="110"/>
    </row>
    <row r="299" spans="1:29" ht="31.5">
      <c r="A299" s="115" t="s">
        <v>1972</v>
      </c>
      <c r="B299" s="115" t="s">
        <v>1973</v>
      </c>
      <c r="C299" s="145" t="s">
        <v>1975</v>
      </c>
      <c r="E299" s="108" t="s">
        <v>2661</v>
      </c>
      <c r="H299" s="115"/>
      <c r="I299" s="115"/>
      <c r="J299" s="115"/>
      <c r="K299" s="115"/>
      <c r="L299" s="115" t="s">
        <v>1262</v>
      </c>
      <c r="M299" s="115"/>
      <c r="N299" s="115" t="s">
        <v>1974</v>
      </c>
      <c r="O299" s="115"/>
    </row>
    <row r="300" spans="1:29" ht="47.25">
      <c r="A300" s="115" t="s">
        <v>1358</v>
      </c>
      <c r="B300" s="127" t="s">
        <v>1359</v>
      </c>
      <c r="C300" s="145" t="s">
        <v>1361</v>
      </c>
      <c r="F300" s="139">
        <v>47</v>
      </c>
      <c r="H300" s="127"/>
      <c r="I300" s="122"/>
      <c r="J300" s="122" t="s">
        <v>2261</v>
      </c>
      <c r="K300" s="122"/>
      <c r="L300" s="127" t="s">
        <v>1341</v>
      </c>
      <c r="M300" s="116"/>
      <c r="N300" s="116"/>
      <c r="O300" s="122"/>
    </row>
    <row r="301" spans="1:29">
      <c r="A301" s="115"/>
      <c r="B301" s="115" t="s">
        <v>2122</v>
      </c>
      <c r="C301" s="145" t="s">
        <v>2123</v>
      </c>
      <c r="F301" s="139">
        <v>499</v>
      </c>
      <c r="H301" s="115"/>
      <c r="I301" s="115"/>
      <c r="J301" s="115"/>
      <c r="K301" s="115"/>
      <c r="M301" s="115"/>
      <c r="N301" s="115"/>
      <c r="O301" s="115"/>
    </row>
    <row r="302" spans="1:29">
      <c r="A302" s="124" t="s">
        <v>367</v>
      </c>
      <c r="B302" s="124" t="s">
        <v>366</v>
      </c>
      <c r="C302" s="145" t="s">
        <v>368</v>
      </c>
      <c r="F302" s="139">
        <v>119</v>
      </c>
      <c r="H302" s="124"/>
      <c r="J302" s="110"/>
      <c r="K302" s="110"/>
      <c r="L302" s="116"/>
      <c r="M302" s="124"/>
    </row>
    <row r="303" spans="1:29">
      <c r="A303" s="118" t="s">
        <v>2441</v>
      </c>
      <c r="B303" s="150" t="s">
        <v>2440</v>
      </c>
      <c r="C303" s="151" t="s">
        <v>2442</v>
      </c>
      <c r="D303" s="118"/>
      <c r="E303" s="118" t="s">
        <v>2661</v>
      </c>
      <c r="F303" s="140"/>
      <c r="G303" s="140"/>
      <c r="H303" s="118"/>
      <c r="I303" s="155"/>
      <c r="J303" s="155"/>
      <c r="K303" s="120"/>
      <c r="L303" s="118"/>
      <c r="M303" s="127"/>
      <c r="N303" s="118"/>
      <c r="O303" s="155"/>
      <c r="P303" s="155"/>
      <c r="Q303" s="155"/>
      <c r="R303" s="155"/>
      <c r="S303" s="155"/>
      <c r="T303" s="155"/>
      <c r="U303" s="155"/>
      <c r="V303" s="155"/>
      <c r="W303" s="155"/>
      <c r="X303" s="120"/>
      <c r="Y303" s="120"/>
      <c r="Z303" s="120"/>
      <c r="AA303" s="120"/>
      <c r="AB303" s="120"/>
      <c r="AC303" s="120"/>
    </row>
    <row r="304" spans="1:29">
      <c r="A304" s="136" t="s">
        <v>3134</v>
      </c>
      <c r="B304" s="127" t="s">
        <v>3133</v>
      </c>
      <c r="C304" s="145" t="s">
        <v>965</v>
      </c>
      <c r="F304" s="139">
        <v>30</v>
      </c>
      <c r="H304" s="127"/>
      <c r="I304" s="110"/>
      <c r="J304" s="110"/>
      <c r="K304" s="110"/>
      <c r="L304" s="116"/>
      <c r="M304" s="118"/>
      <c r="N304" s="116"/>
      <c r="O304" s="110"/>
      <c r="P304" s="110"/>
      <c r="Q304" s="110"/>
      <c r="R304" s="110"/>
      <c r="S304" s="110"/>
      <c r="T304" s="110"/>
      <c r="U304" s="110"/>
      <c r="V304" s="110"/>
      <c r="W304" s="110"/>
    </row>
    <row r="305" spans="1:15">
      <c r="A305" s="115" t="s">
        <v>159</v>
      </c>
      <c r="B305" s="127" t="s">
        <v>161</v>
      </c>
      <c r="C305" s="145" t="s">
        <v>162</v>
      </c>
      <c r="E305" s="108" t="s">
        <v>2666</v>
      </c>
      <c r="H305" s="127"/>
      <c r="M305" s="124"/>
    </row>
    <row r="306" spans="1:15">
      <c r="A306" s="115" t="s">
        <v>307</v>
      </c>
      <c r="B306" s="127" t="s">
        <v>306</v>
      </c>
      <c r="C306" s="145" t="s">
        <v>308</v>
      </c>
      <c r="F306" s="139">
        <v>480</v>
      </c>
      <c r="H306" s="127"/>
      <c r="M306" s="127"/>
    </row>
    <row r="307" spans="1:15" ht="31.5">
      <c r="A307" s="115" t="s">
        <v>1889</v>
      </c>
      <c r="B307" s="115" t="s">
        <v>1892</v>
      </c>
      <c r="C307" s="145" t="s">
        <v>1893</v>
      </c>
      <c r="F307" s="139">
        <v>361</v>
      </c>
      <c r="H307" s="115"/>
      <c r="I307" s="115"/>
      <c r="J307" s="115"/>
      <c r="K307" s="115"/>
      <c r="L307" s="115" t="s">
        <v>1289</v>
      </c>
      <c r="M307" s="115"/>
      <c r="N307" s="115" t="s">
        <v>1786</v>
      </c>
      <c r="O307" s="115"/>
    </row>
    <row r="308" spans="1:15">
      <c r="A308" s="124" t="s">
        <v>109</v>
      </c>
      <c r="B308" s="124" t="s">
        <v>2327</v>
      </c>
      <c r="C308" s="145" t="s">
        <v>110</v>
      </c>
      <c r="F308" s="139">
        <v>167</v>
      </c>
      <c r="H308" s="124"/>
      <c r="M308" s="127"/>
    </row>
    <row r="309" spans="1:15">
      <c r="A309" s="124" t="s">
        <v>1216</v>
      </c>
      <c r="B309" s="124" t="s">
        <v>1178</v>
      </c>
      <c r="C309" s="145" t="s">
        <v>1127</v>
      </c>
      <c r="E309" s="108" t="s">
        <v>2666</v>
      </c>
      <c r="H309" s="124"/>
      <c r="M309" s="127"/>
    </row>
    <row r="310" spans="1:15">
      <c r="A310" s="124" t="s">
        <v>1230</v>
      </c>
      <c r="B310" s="124" t="s">
        <v>1201</v>
      </c>
      <c r="C310" s="145" t="s">
        <v>1151</v>
      </c>
      <c r="E310" s="108" t="s">
        <v>2662</v>
      </c>
      <c r="H310" s="124"/>
      <c r="M310" s="115"/>
    </row>
    <row r="311" spans="1:15">
      <c r="A311" s="124" t="s">
        <v>685</v>
      </c>
      <c r="B311" s="124" t="s">
        <v>684</v>
      </c>
      <c r="C311" s="145" t="s">
        <v>686</v>
      </c>
      <c r="F311" s="139">
        <v>250</v>
      </c>
      <c r="H311" s="124"/>
      <c r="M311" s="124"/>
    </row>
    <row r="312" spans="1:15" ht="31.5">
      <c r="A312" s="115" t="s">
        <v>1406</v>
      </c>
      <c r="B312" s="127"/>
      <c r="C312" s="145" t="s">
        <v>1408</v>
      </c>
      <c r="E312" s="108" t="s">
        <v>2666</v>
      </c>
      <c r="H312" s="127"/>
      <c r="I312" s="122"/>
      <c r="J312" s="122" t="s">
        <v>1407</v>
      </c>
      <c r="K312" s="122"/>
      <c r="L312" s="127" t="s">
        <v>1284</v>
      </c>
      <c r="M312" s="127"/>
      <c r="O312" s="122"/>
    </row>
    <row r="313" spans="1:15">
      <c r="A313" s="115" t="s">
        <v>262</v>
      </c>
      <c r="B313" s="127" t="s">
        <v>261</v>
      </c>
      <c r="C313" s="145" t="s">
        <v>263</v>
      </c>
      <c r="E313" s="108" t="s">
        <v>2661</v>
      </c>
      <c r="H313" s="127"/>
      <c r="L313" s="116"/>
      <c r="M313" s="127"/>
      <c r="N313" s="116"/>
    </row>
    <row r="314" spans="1:15">
      <c r="A314" s="124" t="s">
        <v>432</v>
      </c>
      <c r="B314" s="124" t="s">
        <v>434</v>
      </c>
      <c r="C314" s="145" t="s">
        <v>435</v>
      </c>
      <c r="E314" s="108" t="s">
        <v>2666</v>
      </c>
      <c r="H314" s="124"/>
      <c r="M314" s="124"/>
    </row>
    <row r="315" spans="1:15" ht="31.5">
      <c r="A315" s="115" t="s">
        <v>1950</v>
      </c>
      <c r="B315" s="115" t="s">
        <v>1951</v>
      </c>
      <c r="C315" s="145" t="s">
        <v>1952</v>
      </c>
      <c r="E315" s="108" t="s">
        <v>2666</v>
      </c>
      <c r="H315" s="115"/>
      <c r="I315" s="115"/>
      <c r="J315" s="115"/>
      <c r="K315" s="115"/>
      <c r="L315" s="115" t="s">
        <v>1949</v>
      </c>
      <c r="M315" s="127"/>
      <c r="N315" s="115" t="s">
        <v>1461</v>
      </c>
      <c r="O315" s="115"/>
    </row>
    <row r="316" spans="1:15" ht="47.25">
      <c r="A316" s="115" t="s">
        <v>1285</v>
      </c>
      <c r="B316" s="127" t="s">
        <v>1286</v>
      </c>
      <c r="C316" s="145" t="s">
        <v>1288</v>
      </c>
      <c r="F316" s="139">
        <v>331</v>
      </c>
      <c r="H316" s="127"/>
      <c r="I316" s="122"/>
      <c r="J316" s="122" t="s">
        <v>2262</v>
      </c>
      <c r="K316" s="122"/>
      <c r="L316" s="127" t="s">
        <v>1284</v>
      </c>
      <c r="M316" s="127"/>
      <c r="O316" s="122"/>
    </row>
    <row r="317" spans="1:15" ht="31.5">
      <c r="A317" s="115" t="s">
        <v>1940</v>
      </c>
      <c r="B317" s="115" t="s">
        <v>2080</v>
      </c>
      <c r="C317" s="145" t="s">
        <v>2081</v>
      </c>
      <c r="E317" s="108" t="s">
        <v>2666</v>
      </c>
      <c r="H317" s="115"/>
      <c r="I317" s="115"/>
      <c r="J317" s="115"/>
      <c r="K317" s="115"/>
      <c r="L317" s="115" t="s">
        <v>1262</v>
      </c>
      <c r="M317" s="127"/>
      <c r="N317" s="115"/>
      <c r="O317" s="115"/>
    </row>
    <row r="318" spans="1:15">
      <c r="A318" s="124" t="s">
        <v>341</v>
      </c>
      <c r="B318" s="124" t="s">
        <v>340</v>
      </c>
      <c r="C318" s="145" t="s">
        <v>342</v>
      </c>
      <c r="E318" s="108" t="s">
        <v>2666</v>
      </c>
      <c r="H318" s="124"/>
      <c r="M318" s="124"/>
    </row>
    <row r="319" spans="1:15" ht="47.25">
      <c r="A319" s="115" t="s">
        <v>1280</v>
      </c>
      <c r="B319" s="127" t="s">
        <v>1281</v>
      </c>
      <c r="C319" s="145" t="s">
        <v>1283</v>
      </c>
      <c r="F319" s="139">
        <v>322</v>
      </c>
      <c r="H319" s="127"/>
      <c r="I319" s="122"/>
      <c r="J319" s="122" t="s">
        <v>2263</v>
      </c>
      <c r="K319" s="122"/>
      <c r="L319" s="127" t="s">
        <v>1262</v>
      </c>
      <c r="M319" s="131"/>
      <c r="O319" s="122"/>
    </row>
    <row r="320" spans="1:15">
      <c r="A320" s="124" t="s">
        <v>11</v>
      </c>
      <c r="B320" s="124" t="s">
        <v>1188</v>
      </c>
      <c r="C320" s="145" t="s">
        <v>1137</v>
      </c>
      <c r="E320" s="108" t="s">
        <v>2666</v>
      </c>
      <c r="H320" s="124"/>
      <c r="M320" s="127"/>
    </row>
    <row r="321" spans="1:29" ht="31.5">
      <c r="A321" s="115" t="s">
        <v>1925</v>
      </c>
      <c r="B321" s="115" t="s">
        <v>1926</v>
      </c>
      <c r="C321" s="145" t="s">
        <v>1927</v>
      </c>
      <c r="E321" s="108" t="s">
        <v>2666</v>
      </c>
      <c r="H321" s="115"/>
      <c r="I321" s="115"/>
      <c r="J321" s="115"/>
      <c r="K321" s="115"/>
      <c r="L321" s="115" t="s">
        <v>1262</v>
      </c>
      <c r="M321" s="115"/>
      <c r="N321" s="115" t="s">
        <v>1786</v>
      </c>
      <c r="O321" s="115"/>
    </row>
    <row r="322" spans="1:29">
      <c r="A322" s="115" t="s">
        <v>46</v>
      </c>
      <c r="B322" s="115" t="s">
        <v>1870</v>
      </c>
      <c r="C322" s="145" t="s">
        <v>1871</v>
      </c>
      <c r="F322" s="139">
        <v>70</v>
      </c>
      <c r="H322" s="115"/>
      <c r="I322" s="115"/>
      <c r="J322" s="115"/>
      <c r="K322" s="115"/>
      <c r="L322" s="115" t="s">
        <v>1289</v>
      </c>
      <c r="M322" s="124"/>
      <c r="N322" s="115" t="s">
        <v>1699</v>
      </c>
      <c r="O322" s="115"/>
      <c r="P322" s="110"/>
      <c r="Q322" s="110"/>
      <c r="R322" s="110"/>
      <c r="S322" s="110"/>
      <c r="T322" s="110"/>
      <c r="U322" s="110"/>
      <c r="V322" s="110"/>
      <c r="W322" s="110"/>
    </row>
    <row r="323" spans="1:29">
      <c r="A323" s="124" t="s">
        <v>1229</v>
      </c>
      <c r="B323" s="124" t="s">
        <v>1199</v>
      </c>
      <c r="C323" s="145" t="s">
        <v>1149</v>
      </c>
      <c r="F323" s="139">
        <v>90</v>
      </c>
      <c r="H323" s="124"/>
      <c r="M323" s="127"/>
    </row>
    <row r="324" spans="1:29">
      <c r="A324" s="115" t="s">
        <v>458</v>
      </c>
      <c r="B324" s="115" t="s">
        <v>2170</v>
      </c>
      <c r="C324" s="145" t="s">
        <v>2171</v>
      </c>
      <c r="F324" s="139">
        <v>241</v>
      </c>
      <c r="H324" s="115"/>
      <c r="I324" s="115"/>
      <c r="J324" s="115"/>
      <c r="K324" s="115"/>
      <c r="M324" s="127"/>
      <c r="N324" s="115" t="s">
        <v>1461</v>
      </c>
      <c r="O324" s="115"/>
    </row>
    <row r="325" spans="1:29" ht="31.5">
      <c r="A325" s="55" t="s">
        <v>3160</v>
      </c>
      <c r="B325" s="168" t="s">
        <v>3159</v>
      </c>
      <c r="C325" s="55" t="s">
        <v>3161</v>
      </c>
      <c r="D325" s="118"/>
      <c r="E325" s="118"/>
      <c r="F325" s="140">
        <v>203</v>
      </c>
      <c r="G325" s="140"/>
      <c r="H325" s="154" t="s">
        <v>2420</v>
      </c>
      <c r="I325" s="120"/>
      <c r="J325" s="146" t="s">
        <v>3162</v>
      </c>
      <c r="K325" s="146"/>
      <c r="L325" s="135"/>
      <c r="M325" s="124"/>
      <c r="N325" s="135" t="s">
        <v>2542</v>
      </c>
      <c r="O325" s="120"/>
      <c r="P325" s="120"/>
      <c r="Q325" s="120"/>
      <c r="R325" s="120"/>
      <c r="S325" s="120"/>
      <c r="T325" s="120"/>
      <c r="U325" s="120"/>
      <c r="V325" s="120"/>
      <c r="W325" s="120"/>
      <c r="X325" s="120"/>
      <c r="Y325" s="120"/>
      <c r="Z325" s="120"/>
      <c r="AA325" s="120"/>
      <c r="AB325" s="120"/>
      <c r="AC325" s="120"/>
    </row>
    <row r="326" spans="1:29">
      <c r="A326" s="115" t="s">
        <v>284</v>
      </c>
      <c r="B326" s="127" t="s">
        <v>283</v>
      </c>
      <c r="C326" s="145" t="s">
        <v>285</v>
      </c>
      <c r="F326" s="139">
        <v>464</v>
      </c>
      <c r="H326" s="127"/>
      <c r="M326" s="127"/>
    </row>
    <row r="327" spans="1:29">
      <c r="A327" s="115" t="s">
        <v>281</v>
      </c>
      <c r="B327" s="127" t="s">
        <v>280</v>
      </c>
      <c r="C327" s="145" t="s">
        <v>282</v>
      </c>
      <c r="F327" s="139">
        <v>458</v>
      </c>
      <c r="H327" s="127"/>
      <c r="M327" s="127"/>
    </row>
    <row r="328" spans="1:29">
      <c r="A328" s="124" t="s">
        <v>736</v>
      </c>
      <c r="B328" s="124" t="s">
        <v>735</v>
      </c>
      <c r="C328" s="145" t="s">
        <v>737</v>
      </c>
      <c r="E328" s="108" t="s">
        <v>2663</v>
      </c>
      <c r="H328" s="124"/>
      <c r="M328" s="127"/>
    </row>
    <row r="329" spans="1:29">
      <c r="A329" s="124" t="s">
        <v>1074</v>
      </c>
      <c r="B329" s="124" t="s">
        <v>1076</v>
      </c>
      <c r="C329" s="145" t="s">
        <v>1077</v>
      </c>
      <c r="F329" s="139">
        <v>149</v>
      </c>
      <c r="H329" s="124"/>
      <c r="M329" s="124"/>
    </row>
    <row r="330" spans="1:29">
      <c r="A330" s="118" t="s">
        <v>2464</v>
      </c>
      <c r="B330" s="150" t="s">
        <v>2463</v>
      </c>
      <c r="C330" s="151" t="s">
        <v>2465</v>
      </c>
      <c r="D330" s="118"/>
      <c r="E330" s="118" t="s">
        <v>2663</v>
      </c>
      <c r="F330" s="140"/>
      <c r="G330" s="140"/>
      <c r="H330" s="118"/>
      <c r="I330" s="120"/>
      <c r="J330" s="120"/>
      <c r="K330" s="120"/>
      <c r="L330" s="119"/>
      <c r="M330" s="131"/>
      <c r="N330" s="119"/>
      <c r="O330" s="120"/>
      <c r="P330" s="120"/>
      <c r="Q330" s="120"/>
      <c r="R330" s="120"/>
      <c r="S330" s="120"/>
      <c r="T330" s="120"/>
      <c r="U330" s="120"/>
      <c r="V330" s="120"/>
      <c r="W330" s="120"/>
      <c r="X330" s="120"/>
      <c r="Y330" s="120"/>
      <c r="Z330" s="120"/>
      <c r="AA330" s="120"/>
      <c r="AB330" s="120"/>
      <c r="AC330" s="120"/>
    </row>
    <row r="331" spans="1:29">
      <c r="A331" s="115" t="s">
        <v>76</v>
      </c>
      <c r="B331" s="127" t="s">
        <v>75</v>
      </c>
      <c r="C331" s="145" t="s">
        <v>77</v>
      </c>
      <c r="F331" s="139">
        <v>93</v>
      </c>
      <c r="H331" s="127"/>
      <c r="J331" s="110"/>
      <c r="K331" s="110"/>
      <c r="M331" s="127"/>
      <c r="N331" s="116"/>
    </row>
    <row r="332" spans="1:29" ht="31.5">
      <c r="A332" s="115" t="s">
        <v>1762</v>
      </c>
      <c r="B332" s="115" t="s">
        <v>1763</v>
      </c>
      <c r="C332" s="145" t="s">
        <v>1764</v>
      </c>
      <c r="E332" s="108">
        <v>550</v>
      </c>
      <c r="H332" s="115"/>
      <c r="I332" s="115"/>
      <c r="J332" s="115"/>
      <c r="K332" s="115"/>
      <c r="L332" s="115" t="s">
        <v>1289</v>
      </c>
      <c r="M332" s="115"/>
      <c r="N332" s="115" t="s">
        <v>1699</v>
      </c>
      <c r="O332" s="115"/>
    </row>
    <row r="333" spans="1:29">
      <c r="A333" s="115" t="s">
        <v>2136</v>
      </c>
      <c r="B333" s="115" t="s">
        <v>98</v>
      </c>
      <c r="C333" s="145" t="s">
        <v>99</v>
      </c>
      <c r="F333" s="139">
        <v>123</v>
      </c>
      <c r="H333" s="115"/>
      <c r="I333" s="115"/>
      <c r="J333" s="115"/>
      <c r="K333" s="115"/>
      <c r="L333" s="116"/>
      <c r="M333" s="124"/>
      <c r="N333" s="115" t="s">
        <v>1461</v>
      </c>
      <c r="O333" s="115"/>
    </row>
    <row r="334" spans="1:29">
      <c r="A334" s="115" t="s">
        <v>203</v>
      </c>
      <c r="B334" s="127" t="s">
        <v>202</v>
      </c>
      <c r="C334" s="145" t="s">
        <v>204</v>
      </c>
      <c r="F334" s="139">
        <v>312</v>
      </c>
      <c r="H334" s="127"/>
      <c r="M334" s="127"/>
    </row>
    <row r="335" spans="1:29" ht="31.5">
      <c r="A335" s="124" t="s">
        <v>494</v>
      </c>
      <c r="B335" s="124" t="s">
        <v>4703</v>
      </c>
      <c r="C335" s="145" t="s">
        <v>509</v>
      </c>
      <c r="F335" s="139">
        <v>220</v>
      </c>
      <c r="H335" s="124"/>
      <c r="M335" s="124"/>
      <c r="N335" s="116"/>
      <c r="P335" s="129" t="s">
        <v>1036</v>
      </c>
      <c r="Q335" s="129"/>
      <c r="R335" s="129"/>
      <c r="S335" s="129"/>
      <c r="T335" s="129"/>
      <c r="U335" s="129"/>
      <c r="V335" s="129"/>
      <c r="W335" s="129"/>
    </row>
    <row r="336" spans="1:29" ht="31.5">
      <c r="A336" s="115" t="s">
        <v>148</v>
      </c>
      <c r="B336" s="127" t="s">
        <v>147</v>
      </c>
      <c r="C336" s="145" t="s">
        <v>149</v>
      </c>
      <c r="D336" s="108" t="s">
        <v>2673</v>
      </c>
      <c r="F336" s="139">
        <v>213</v>
      </c>
      <c r="H336" s="127"/>
      <c r="M336" s="116"/>
      <c r="N336" s="109" t="s">
        <v>1034</v>
      </c>
    </row>
    <row r="337" spans="1:29">
      <c r="A337" s="124" t="s">
        <v>634</v>
      </c>
      <c r="B337" s="124" t="s">
        <v>633</v>
      </c>
      <c r="C337" s="145" t="s">
        <v>635</v>
      </c>
      <c r="E337" s="108" t="s">
        <v>2663</v>
      </c>
      <c r="H337" s="124"/>
      <c r="M337" s="124"/>
    </row>
    <row r="338" spans="1:29">
      <c r="A338" s="115"/>
      <c r="B338" s="115" t="s">
        <v>2176</v>
      </c>
      <c r="C338" s="145" t="s">
        <v>2177</v>
      </c>
      <c r="F338" s="139">
        <v>419</v>
      </c>
      <c r="H338" s="115"/>
      <c r="I338" s="115"/>
      <c r="J338" s="115"/>
      <c r="K338" s="115"/>
      <c r="L338" s="116"/>
      <c r="M338" s="115"/>
      <c r="N338" s="115"/>
      <c r="O338" s="115"/>
    </row>
    <row r="339" spans="1:29">
      <c r="A339" t="s">
        <v>3977</v>
      </c>
      <c r="B339" t="s">
        <v>2289</v>
      </c>
      <c r="C339" s="55" t="s">
        <v>3978</v>
      </c>
      <c r="F339" s="139">
        <v>420</v>
      </c>
      <c r="H339" s="131"/>
      <c r="I339" s="124"/>
      <c r="J339" s="124"/>
      <c r="K339" s="124"/>
      <c r="M339" s="131"/>
      <c r="O339" s="124"/>
    </row>
    <row r="340" spans="1:29">
      <c r="A340" s="124" t="s">
        <v>344</v>
      </c>
      <c r="B340" s="124" t="s">
        <v>343</v>
      </c>
      <c r="C340" s="145" t="s">
        <v>345</v>
      </c>
      <c r="E340" s="108" t="s">
        <v>2682</v>
      </c>
      <c r="H340" s="124"/>
      <c r="M340" s="124"/>
    </row>
    <row r="341" spans="1:29">
      <c r="A341" s="115" t="s">
        <v>274</v>
      </c>
      <c r="B341" s="127" t="s">
        <v>273</v>
      </c>
      <c r="C341" s="145" t="s">
        <v>275</v>
      </c>
      <c r="E341" s="108" t="s">
        <v>2666</v>
      </c>
      <c r="H341" s="127"/>
      <c r="M341" s="127"/>
    </row>
    <row r="342" spans="1:29" ht="31.5">
      <c r="A342" s="115" t="s">
        <v>1914</v>
      </c>
      <c r="B342" s="115" t="s">
        <v>1915</v>
      </c>
      <c r="C342" s="145" t="s">
        <v>1916</v>
      </c>
      <c r="F342" s="139">
        <v>53</v>
      </c>
      <c r="H342" s="115"/>
      <c r="I342" s="115"/>
      <c r="J342" s="115"/>
      <c r="K342" s="115"/>
      <c r="L342" s="115" t="s">
        <v>1262</v>
      </c>
      <c r="M342" s="127"/>
      <c r="N342" s="115" t="s">
        <v>1786</v>
      </c>
      <c r="O342" s="115"/>
    </row>
    <row r="343" spans="1:29" ht="31.5">
      <c r="B343" s="127" t="s">
        <v>1039</v>
      </c>
      <c r="C343" s="145" t="s">
        <v>1040</v>
      </c>
      <c r="E343" s="108" t="s">
        <v>2666</v>
      </c>
      <c r="H343" s="127"/>
      <c r="M343" s="116"/>
      <c r="P343" s="129" t="s">
        <v>1038</v>
      </c>
      <c r="Q343" s="129"/>
      <c r="R343" s="129"/>
      <c r="S343" s="129"/>
      <c r="T343" s="129"/>
      <c r="U343" s="129"/>
      <c r="V343" s="129"/>
      <c r="W343" s="129"/>
    </row>
    <row r="344" spans="1:29" ht="31.5">
      <c r="A344" s="115" t="s">
        <v>2033</v>
      </c>
      <c r="B344" s="115" t="s">
        <v>2034</v>
      </c>
      <c r="C344" s="145" t="s">
        <v>2035</v>
      </c>
      <c r="F344" s="139">
        <v>328</v>
      </c>
      <c r="H344" s="115"/>
      <c r="I344" s="115"/>
      <c r="J344" s="115"/>
      <c r="K344" s="115"/>
      <c r="L344" s="115" t="s">
        <v>1284</v>
      </c>
      <c r="M344" s="127"/>
      <c r="N344" s="115" t="s">
        <v>1461</v>
      </c>
      <c r="O344" s="115"/>
    </row>
    <row r="345" spans="1:29">
      <c r="A345" s="118" t="s">
        <v>2444</v>
      </c>
      <c r="B345" s="150" t="s">
        <v>2443</v>
      </c>
      <c r="C345" s="151" t="s">
        <v>2445</v>
      </c>
      <c r="D345" s="118"/>
      <c r="E345" s="118" t="s">
        <v>2661</v>
      </c>
      <c r="F345" s="140"/>
      <c r="G345" s="140"/>
      <c r="H345" s="118"/>
      <c r="I345" s="120"/>
      <c r="J345" s="155"/>
      <c r="K345" s="155"/>
      <c r="L345" s="118"/>
      <c r="M345" s="118"/>
      <c r="N345" s="118"/>
      <c r="O345" s="120"/>
      <c r="P345" s="120"/>
      <c r="Q345" s="120"/>
      <c r="R345" s="120"/>
      <c r="S345" s="120"/>
      <c r="T345" s="120"/>
      <c r="U345" s="120"/>
      <c r="V345" s="120"/>
      <c r="W345" s="120"/>
      <c r="X345" s="120"/>
      <c r="Y345" s="120"/>
      <c r="Z345" s="120"/>
      <c r="AA345" s="120"/>
      <c r="AB345" s="120"/>
      <c r="AC345" s="120"/>
    </row>
    <row r="346" spans="1:29">
      <c r="A346" s="124" t="s">
        <v>432</v>
      </c>
      <c r="B346" s="124" t="s">
        <v>431</v>
      </c>
      <c r="C346" s="145" t="s">
        <v>433</v>
      </c>
      <c r="F346" s="139">
        <v>298</v>
      </c>
      <c r="H346" s="124"/>
      <c r="M346" s="124"/>
    </row>
    <row r="347" spans="1:29">
      <c r="A347" s="124" t="s">
        <v>159</v>
      </c>
      <c r="B347" s="124" t="s">
        <v>453</v>
      </c>
      <c r="C347" s="145" t="s">
        <v>454</v>
      </c>
      <c r="E347" s="108" t="s">
        <v>2666</v>
      </c>
      <c r="H347" s="124"/>
      <c r="M347" s="127"/>
    </row>
    <row r="348" spans="1:29">
      <c r="A348" s="124" t="s">
        <v>680</v>
      </c>
      <c r="B348" s="124" t="s">
        <v>679</v>
      </c>
      <c r="C348" s="145" t="s">
        <v>681</v>
      </c>
      <c r="F348" s="139">
        <v>305</v>
      </c>
      <c r="H348" s="124"/>
      <c r="M348" s="127"/>
    </row>
    <row r="349" spans="1:29">
      <c r="A349" s="115" t="s">
        <v>1753</v>
      </c>
      <c r="B349" s="115" t="s">
        <v>1754</v>
      </c>
      <c r="C349" s="145" t="s">
        <v>1755</v>
      </c>
      <c r="E349" s="108" t="s">
        <v>2666</v>
      </c>
      <c r="H349" s="115"/>
      <c r="I349" s="115"/>
      <c r="J349" s="115"/>
      <c r="K349" s="115"/>
      <c r="L349" s="115" t="s">
        <v>1289</v>
      </c>
      <c r="M349" s="115"/>
      <c r="N349" s="115"/>
      <c r="O349" s="115"/>
    </row>
    <row r="350" spans="1:29">
      <c r="A350" s="115" t="s">
        <v>222</v>
      </c>
      <c r="B350" s="127" t="s">
        <v>221</v>
      </c>
      <c r="C350" s="145" t="s">
        <v>223</v>
      </c>
      <c r="E350" s="108" t="s">
        <v>2663</v>
      </c>
      <c r="H350" s="127"/>
      <c r="L350" s="116"/>
      <c r="M350" s="127"/>
      <c r="N350" s="116"/>
    </row>
    <row r="351" spans="1:29">
      <c r="A351" s="115" t="s">
        <v>256</v>
      </c>
      <c r="B351" s="127" t="s">
        <v>255</v>
      </c>
      <c r="C351" s="145" t="s">
        <v>257</v>
      </c>
      <c r="F351" s="139">
        <v>423</v>
      </c>
      <c r="H351" s="127"/>
      <c r="M351" s="127"/>
    </row>
    <row r="352" spans="1:29">
      <c r="A352" s="136" t="s">
        <v>2338</v>
      </c>
      <c r="B352" s="127" t="s">
        <v>3135</v>
      </c>
      <c r="C352" s="145" t="s">
        <v>726</v>
      </c>
      <c r="F352" s="139">
        <v>301</v>
      </c>
      <c r="H352" s="127"/>
      <c r="M352" s="124"/>
      <c r="N352" s="109" t="s">
        <v>2318</v>
      </c>
    </row>
    <row r="353" spans="1:29">
      <c r="A353" s="124" t="s">
        <v>517</v>
      </c>
      <c r="B353" s="124" t="s">
        <v>521</v>
      </c>
      <c r="C353" s="145" t="s">
        <v>522</v>
      </c>
      <c r="E353" s="108" t="s">
        <v>2663</v>
      </c>
      <c r="H353" s="124"/>
      <c r="M353" s="124"/>
    </row>
    <row r="354" spans="1:29">
      <c r="A354" s="115" t="s">
        <v>1720</v>
      </c>
      <c r="B354" s="115" t="s">
        <v>1721</v>
      </c>
      <c r="C354" s="145" t="s">
        <v>1723</v>
      </c>
      <c r="F354" s="139">
        <v>251</v>
      </c>
      <c r="H354" s="115"/>
      <c r="I354" s="133"/>
      <c r="J354" s="133"/>
      <c r="K354" s="133"/>
      <c r="L354" s="127" t="s">
        <v>1314</v>
      </c>
      <c r="M354" s="124"/>
      <c r="N354" s="115" t="s">
        <v>1722</v>
      </c>
      <c r="O354" s="133"/>
    </row>
    <row r="355" spans="1:29">
      <c r="A355" s="115" t="s">
        <v>243</v>
      </c>
      <c r="B355" s="127" t="s">
        <v>242</v>
      </c>
      <c r="C355" s="145" t="s">
        <v>244</v>
      </c>
      <c r="E355" s="108">
        <v>550</v>
      </c>
      <c r="H355" s="127"/>
      <c r="M355" s="127"/>
    </row>
    <row r="356" spans="1:29" ht="31.5">
      <c r="A356" s="115" t="s">
        <v>1831</v>
      </c>
      <c r="B356" s="115" t="s">
        <v>1832</v>
      </c>
      <c r="C356" s="145" t="s">
        <v>1834</v>
      </c>
      <c r="E356" s="108">
        <v>550</v>
      </c>
      <c r="H356" s="115"/>
      <c r="I356" s="115"/>
      <c r="J356" s="115"/>
      <c r="K356" s="115"/>
      <c r="L356" s="115" t="s">
        <v>1289</v>
      </c>
      <c r="M356" s="115"/>
      <c r="N356" s="115" t="s">
        <v>1833</v>
      </c>
      <c r="O356" s="115"/>
    </row>
    <row r="357" spans="1:29">
      <c r="A357" s="149" t="s">
        <v>1685</v>
      </c>
      <c r="B357" s="150" t="s">
        <v>2474</v>
      </c>
      <c r="C357" s="151" t="s">
        <v>2475</v>
      </c>
      <c r="D357" s="118"/>
      <c r="E357" s="118"/>
      <c r="F357" s="140">
        <v>197</v>
      </c>
      <c r="G357" s="140"/>
      <c r="H357" s="118"/>
      <c r="I357" s="120"/>
      <c r="J357" s="120"/>
      <c r="K357" s="120"/>
      <c r="L357" s="135"/>
      <c r="M357" s="131"/>
      <c r="N357" s="135"/>
      <c r="O357" s="120"/>
      <c r="P357" s="120"/>
      <c r="Q357" s="120"/>
      <c r="R357" s="120"/>
      <c r="S357" s="120"/>
      <c r="T357" s="120"/>
      <c r="U357" s="120"/>
      <c r="V357" s="120"/>
      <c r="W357" s="120"/>
      <c r="X357" s="120"/>
      <c r="Y357" s="120"/>
      <c r="Z357" s="120"/>
      <c r="AA357" s="120"/>
      <c r="AB357" s="120"/>
      <c r="AC357" s="120"/>
    </row>
    <row r="358" spans="1:29">
      <c r="A358" s="115" t="s">
        <v>251</v>
      </c>
      <c r="B358" s="115" t="s">
        <v>2114</v>
      </c>
      <c r="C358" s="145" t="s">
        <v>2116</v>
      </c>
      <c r="E358" s="108" t="s">
        <v>2666</v>
      </c>
      <c r="H358" s="115"/>
      <c r="I358" s="115"/>
      <c r="J358" s="115"/>
      <c r="K358" s="115"/>
      <c r="M358" s="115"/>
      <c r="N358" s="115" t="s">
        <v>2115</v>
      </c>
      <c r="O358" s="115"/>
    </row>
    <row r="359" spans="1:29">
      <c r="A359" s="115" t="s">
        <v>109</v>
      </c>
      <c r="B359" s="127" t="s">
        <v>114</v>
      </c>
      <c r="C359" s="145" t="s">
        <v>115</v>
      </c>
      <c r="F359" s="139">
        <v>173</v>
      </c>
      <c r="H359" s="127"/>
      <c r="M359" s="124"/>
    </row>
    <row r="360" spans="1:29">
      <c r="A360" s="124" t="s">
        <v>67</v>
      </c>
      <c r="B360" s="124" t="s">
        <v>334</v>
      </c>
      <c r="C360" s="145" t="s">
        <v>335</v>
      </c>
      <c r="E360" s="108" t="s">
        <v>2683</v>
      </c>
      <c r="H360" s="124"/>
      <c r="M360" s="127"/>
    </row>
    <row r="361" spans="1:29">
      <c r="A361" s="174" t="s">
        <v>1863</v>
      </c>
      <c r="B361" s="150" t="s">
        <v>2435</v>
      </c>
      <c r="C361" s="151" t="s">
        <v>2436</v>
      </c>
      <c r="D361" s="118"/>
      <c r="E361" s="118"/>
      <c r="F361" s="140">
        <v>146</v>
      </c>
      <c r="G361" s="140"/>
      <c r="H361" s="118"/>
      <c r="I361" s="120"/>
      <c r="J361" s="120"/>
      <c r="K361" s="120"/>
      <c r="L361" s="135"/>
      <c r="M361" s="115"/>
      <c r="N361" s="135"/>
      <c r="O361" s="120"/>
      <c r="P361" s="120"/>
      <c r="Q361" s="120"/>
      <c r="R361" s="120"/>
      <c r="S361" s="120"/>
      <c r="T361" s="120"/>
      <c r="U361" s="120"/>
      <c r="V361" s="120"/>
      <c r="W361" s="120"/>
      <c r="X361" s="120"/>
      <c r="Y361" s="120"/>
      <c r="Z361" s="120"/>
      <c r="AA361" s="120"/>
      <c r="AB361" s="120"/>
      <c r="AC361" s="120"/>
    </row>
    <row r="362" spans="1:29">
      <c r="A362" s="124" t="s">
        <v>646</v>
      </c>
      <c r="B362" s="124" t="s">
        <v>645</v>
      </c>
      <c r="C362" s="145" t="s">
        <v>647</v>
      </c>
      <c r="F362" s="139">
        <v>113</v>
      </c>
      <c r="H362" s="124"/>
      <c r="J362" s="110"/>
      <c r="K362" s="110"/>
      <c r="L362" s="116"/>
      <c r="M362" s="124"/>
    </row>
    <row r="363" spans="1:29">
      <c r="A363" s="124" t="s">
        <v>1553</v>
      </c>
      <c r="B363" s="131" t="s">
        <v>1552</v>
      </c>
      <c r="C363" s="145" t="s">
        <v>1554</v>
      </c>
      <c r="F363" s="139">
        <v>484</v>
      </c>
      <c r="H363" s="131"/>
      <c r="I363" s="124"/>
      <c r="J363" s="124"/>
      <c r="K363" s="124"/>
      <c r="M363" s="131"/>
      <c r="O363" s="124"/>
    </row>
    <row r="364" spans="1:29">
      <c r="A364" s="115" t="s">
        <v>1553</v>
      </c>
      <c r="B364" s="127" t="s">
        <v>1552</v>
      </c>
      <c r="C364" s="145" t="s">
        <v>1669</v>
      </c>
      <c r="F364" s="139">
        <v>485</v>
      </c>
      <c r="H364" s="127"/>
      <c r="I364" s="115"/>
      <c r="J364" s="115"/>
      <c r="K364" s="115"/>
      <c r="M364" s="127"/>
      <c r="N364" s="127"/>
      <c r="O364" s="115"/>
      <c r="P364" s="115" t="s">
        <v>1670</v>
      </c>
      <c r="Q364" s="115"/>
      <c r="R364" s="115"/>
      <c r="S364" s="115"/>
      <c r="T364" s="115"/>
      <c r="U364" s="115"/>
      <c r="V364" s="115"/>
      <c r="W364" s="115"/>
    </row>
    <row r="365" spans="1:29" ht="31.5">
      <c r="A365" s="115" t="s">
        <v>1735</v>
      </c>
      <c r="B365" s="115" t="s">
        <v>1736</v>
      </c>
      <c r="C365" s="145" t="s">
        <v>1738</v>
      </c>
      <c r="F365" s="139">
        <v>354</v>
      </c>
      <c r="H365" s="115"/>
      <c r="I365" s="115"/>
      <c r="J365" s="115"/>
      <c r="K365" s="115"/>
      <c r="L365" s="115" t="s">
        <v>1289</v>
      </c>
      <c r="M365" s="115"/>
      <c r="N365" s="115" t="s">
        <v>1737</v>
      </c>
      <c r="O365" s="115"/>
    </row>
    <row r="366" spans="1:29">
      <c r="A366" s="118" t="s">
        <v>2478</v>
      </c>
      <c r="B366" s="150" t="s">
        <v>2477</v>
      </c>
      <c r="C366" s="151" t="s">
        <v>2479</v>
      </c>
      <c r="D366" s="118"/>
      <c r="E366" s="118" t="s">
        <v>2661</v>
      </c>
      <c r="F366" s="140"/>
      <c r="G366" s="140"/>
      <c r="H366" s="118"/>
      <c r="I366" s="120"/>
      <c r="J366" s="120"/>
      <c r="K366" s="120"/>
      <c r="L366" s="119"/>
      <c r="M366" s="124"/>
      <c r="N366" s="119"/>
      <c r="O366" s="120"/>
      <c r="P366" s="120"/>
      <c r="Q366" s="120"/>
      <c r="R366" s="120"/>
      <c r="S366" s="120"/>
      <c r="T366" s="120"/>
      <c r="U366" s="120"/>
      <c r="V366" s="120"/>
      <c r="W366" s="120"/>
      <c r="X366" s="120"/>
      <c r="Y366" s="120"/>
      <c r="Z366" s="120"/>
      <c r="AA366" s="120"/>
      <c r="AB366" s="120"/>
      <c r="AC366" s="120"/>
    </row>
    <row r="367" spans="1:29">
      <c r="A367" s="124" t="s">
        <v>622</v>
      </c>
      <c r="B367" s="124" t="s">
        <v>621</v>
      </c>
      <c r="C367" s="145" t="s">
        <v>623</v>
      </c>
      <c r="E367" s="108">
        <v>550</v>
      </c>
      <c r="H367" s="124"/>
      <c r="M367" s="116"/>
    </row>
    <row r="368" spans="1:29">
      <c r="A368" s="124" t="s">
        <v>231</v>
      </c>
      <c r="B368" s="124" t="s">
        <v>408</v>
      </c>
      <c r="C368" s="145" t="s">
        <v>409</v>
      </c>
      <c r="F368" s="139">
        <v>400</v>
      </c>
      <c r="H368" s="124"/>
      <c r="M368" s="124"/>
    </row>
    <row r="369" spans="1:23">
      <c r="A369" s="136" t="s">
        <v>2374</v>
      </c>
      <c r="B369" s="127" t="s">
        <v>2681</v>
      </c>
      <c r="C369" s="145" t="s">
        <v>911</v>
      </c>
      <c r="E369" s="108" t="s">
        <v>2666</v>
      </c>
      <c r="H369" s="127"/>
      <c r="M369" s="116"/>
    </row>
    <row r="370" spans="1:23">
      <c r="A370" s="124" t="s">
        <v>1216</v>
      </c>
      <c r="B370" s="124" t="s">
        <v>2681</v>
      </c>
      <c r="C370" s="145" t="s">
        <v>1128</v>
      </c>
      <c r="E370" s="108" t="s">
        <v>2666</v>
      </c>
      <c r="H370" s="124"/>
      <c r="M370" s="124"/>
    </row>
    <row r="371" spans="1:23" ht="31.5">
      <c r="A371" s="115" t="s">
        <v>2054</v>
      </c>
      <c r="B371" s="115" t="s">
        <v>2055</v>
      </c>
      <c r="C371" s="145" t="s">
        <v>2056</v>
      </c>
      <c r="E371" s="108" t="s">
        <v>2663</v>
      </c>
      <c r="H371" s="115"/>
      <c r="I371" s="115"/>
      <c r="J371" s="115"/>
      <c r="K371" s="115"/>
      <c r="L371" s="115" t="s">
        <v>1399</v>
      </c>
      <c r="M371" s="124"/>
      <c r="N371" s="115" t="s">
        <v>1699</v>
      </c>
      <c r="O371" s="115"/>
    </row>
    <row r="372" spans="1:23">
      <c r="A372" s="115" t="s">
        <v>1545</v>
      </c>
      <c r="B372" s="127" t="s">
        <v>1544</v>
      </c>
      <c r="C372" s="145" t="s">
        <v>1661</v>
      </c>
      <c r="F372" s="139">
        <v>58</v>
      </c>
      <c r="H372" s="127"/>
      <c r="I372" s="115"/>
      <c r="J372" s="115"/>
      <c r="K372" s="115"/>
      <c r="L372" s="116"/>
      <c r="M372" s="131"/>
      <c r="N372" s="127"/>
      <c r="O372" s="115"/>
      <c r="P372" s="115" t="s">
        <v>1662</v>
      </c>
      <c r="Q372" s="115"/>
      <c r="R372" s="115"/>
      <c r="S372" s="115"/>
      <c r="T372" s="115"/>
      <c r="U372" s="115"/>
      <c r="V372" s="115"/>
      <c r="W372" s="115"/>
    </row>
    <row r="373" spans="1:23">
      <c r="A373" s="115" t="s">
        <v>1694</v>
      </c>
      <c r="B373" s="127" t="s">
        <v>1647</v>
      </c>
      <c r="C373" s="145" t="s">
        <v>1649</v>
      </c>
      <c r="F373" s="139">
        <v>454</v>
      </c>
      <c r="H373" s="127"/>
      <c r="I373" s="115"/>
      <c r="J373" s="115">
        <v>18600050826</v>
      </c>
      <c r="K373" s="115"/>
      <c r="L373" s="109" t="s">
        <v>2424</v>
      </c>
      <c r="M373" s="127"/>
      <c r="N373" s="127" t="s">
        <v>2318</v>
      </c>
      <c r="O373" s="115"/>
      <c r="P373" s="115"/>
      <c r="Q373" s="115"/>
      <c r="R373" s="115"/>
      <c r="S373" s="115"/>
      <c r="T373" s="115"/>
      <c r="U373" s="115"/>
      <c r="V373" s="115"/>
      <c r="W373" s="115"/>
    </row>
    <row r="374" spans="1:23">
      <c r="A374" s="124" t="s">
        <v>1099</v>
      </c>
      <c r="B374" s="124" t="s">
        <v>1098</v>
      </c>
      <c r="C374" s="145" t="s">
        <v>1100</v>
      </c>
      <c r="E374" s="108" t="s">
        <v>2666</v>
      </c>
      <c r="H374" s="124"/>
      <c r="M374" s="124"/>
    </row>
    <row r="375" spans="1:23" ht="31.5">
      <c r="A375" s="115" t="s">
        <v>1709</v>
      </c>
      <c r="B375" s="115" t="s">
        <v>2109</v>
      </c>
      <c r="C375" s="145" t="s">
        <v>2110</v>
      </c>
      <c r="F375" s="139">
        <v>368</v>
      </c>
      <c r="H375" s="115"/>
      <c r="I375" s="115"/>
      <c r="J375" s="115"/>
      <c r="K375" s="115"/>
      <c r="M375" s="115"/>
      <c r="N375" s="115" t="s">
        <v>1703</v>
      </c>
      <c r="O375" s="115"/>
    </row>
    <row r="376" spans="1:23" ht="31.5">
      <c r="A376" s="115" t="s">
        <v>2111</v>
      </c>
      <c r="B376" s="115" t="s">
        <v>2112</v>
      </c>
      <c r="C376" s="145" t="s">
        <v>2113</v>
      </c>
      <c r="E376" s="108">
        <v>550</v>
      </c>
      <c r="H376" s="115"/>
      <c r="I376" s="115"/>
      <c r="J376" s="115"/>
      <c r="K376" s="115"/>
      <c r="M376" s="115"/>
      <c r="N376" s="115" t="s">
        <v>1505</v>
      </c>
      <c r="O376" s="115"/>
    </row>
    <row r="377" spans="1:23">
      <c r="A377" s="124" t="s">
        <v>109</v>
      </c>
      <c r="B377" s="124" t="s">
        <v>1204</v>
      </c>
      <c r="C377" s="145" t="s">
        <v>1154</v>
      </c>
      <c r="F377" s="139">
        <v>168</v>
      </c>
      <c r="H377" s="124"/>
      <c r="M377" s="127"/>
    </row>
    <row r="378" spans="1:23">
      <c r="A378" s="115" t="s">
        <v>178</v>
      </c>
      <c r="B378" s="127" t="s">
        <v>177</v>
      </c>
      <c r="C378" s="145" t="s">
        <v>179</v>
      </c>
      <c r="F378" s="139">
        <v>285</v>
      </c>
      <c r="H378" s="127"/>
      <c r="M378" s="124"/>
    </row>
    <row r="379" spans="1:23">
      <c r="A379" s="115" t="s">
        <v>181</v>
      </c>
      <c r="B379" s="127" t="s">
        <v>180</v>
      </c>
      <c r="C379" s="145" t="s">
        <v>182</v>
      </c>
      <c r="D379" s="108" t="s">
        <v>2673</v>
      </c>
      <c r="F379" s="139">
        <v>286</v>
      </c>
      <c r="H379" s="127"/>
      <c r="M379" s="124"/>
    </row>
    <row r="380" spans="1:23" ht="31.5">
      <c r="A380" s="115" t="s">
        <v>1701</v>
      </c>
      <c r="B380" s="115" t="s">
        <v>1702</v>
      </c>
      <c r="C380" s="145" t="s">
        <v>1704</v>
      </c>
      <c r="E380" s="108" t="s">
        <v>3107</v>
      </c>
      <c r="H380" s="115"/>
      <c r="I380" s="133"/>
      <c r="J380" s="133"/>
      <c r="K380" s="133"/>
      <c r="L380" s="127" t="s">
        <v>1314</v>
      </c>
      <c r="M380" s="115"/>
      <c r="N380" s="115" t="s">
        <v>1703</v>
      </c>
      <c r="O380" s="133"/>
    </row>
    <row r="381" spans="1:23">
      <c r="A381" s="115" t="s">
        <v>1863</v>
      </c>
      <c r="B381" s="115" t="s">
        <v>1866</v>
      </c>
      <c r="C381" s="145" t="s">
        <v>1867</v>
      </c>
      <c r="E381" s="108">
        <v>550</v>
      </c>
      <c r="H381" s="115"/>
      <c r="I381" s="115"/>
      <c r="J381" s="115"/>
      <c r="K381" s="115"/>
      <c r="L381" s="115" t="s">
        <v>1289</v>
      </c>
      <c r="M381" s="135"/>
      <c r="N381" s="115" t="s">
        <v>1699</v>
      </c>
      <c r="O381" s="115"/>
    </row>
    <row r="382" spans="1:23">
      <c r="A382" s="124" t="s">
        <v>376</v>
      </c>
      <c r="B382" s="124" t="s">
        <v>375</v>
      </c>
      <c r="C382" s="145" t="s">
        <v>377</v>
      </c>
      <c r="E382" s="108" t="s">
        <v>2663</v>
      </c>
      <c r="H382" s="124"/>
      <c r="M382" s="115"/>
    </row>
    <row r="383" spans="1:23" ht="31.5">
      <c r="A383" s="115" t="s">
        <v>1794</v>
      </c>
      <c r="B383" s="115" t="s">
        <v>1179</v>
      </c>
      <c r="C383" s="145" t="s">
        <v>1795</v>
      </c>
      <c r="F383" s="139">
        <v>358</v>
      </c>
      <c r="H383" s="115"/>
      <c r="I383" s="115"/>
      <c r="J383" s="115"/>
      <c r="K383" s="115"/>
      <c r="L383" s="115" t="s">
        <v>1289</v>
      </c>
      <c r="M383" s="115"/>
      <c r="N383" s="115" t="s">
        <v>1778</v>
      </c>
      <c r="O383" s="115"/>
    </row>
    <row r="384" spans="1:23">
      <c r="A384" s="124" t="s">
        <v>399</v>
      </c>
      <c r="B384" s="124" t="s">
        <v>401</v>
      </c>
      <c r="C384" s="145" t="s">
        <v>402</v>
      </c>
      <c r="F384" s="139">
        <v>341</v>
      </c>
      <c r="H384" s="124"/>
      <c r="M384" s="124"/>
    </row>
    <row r="385" spans="1:29">
      <c r="A385" s="115" t="s">
        <v>159</v>
      </c>
      <c r="B385" s="127" t="s">
        <v>158</v>
      </c>
      <c r="C385" s="145" t="s">
        <v>160</v>
      </c>
      <c r="E385" s="108" t="s">
        <v>2666</v>
      </c>
      <c r="H385" s="127"/>
      <c r="M385" s="116"/>
    </row>
    <row r="386" spans="1:29" ht="31.5">
      <c r="B386" s="127" t="s">
        <v>1055</v>
      </c>
      <c r="C386" s="145" t="s">
        <v>1056</v>
      </c>
      <c r="F386" s="139">
        <v>500</v>
      </c>
      <c r="H386" s="127"/>
      <c r="M386" s="116"/>
      <c r="P386" s="112" t="s">
        <v>2231</v>
      </c>
    </row>
    <row r="387" spans="1:29" ht="31.5">
      <c r="A387" s="115" t="s">
        <v>1651</v>
      </c>
      <c r="B387" s="127" t="s">
        <v>2405</v>
      </c>
      <c r="C387" s="145" t="s">
        <v>1653</v>
      </c>
      <c r="E387" s="108" t="s">
        <v>2666</v>
      </c>
      <c r="H387" s="127" t="s">
        <v>2400</v>
      </c>
      <c r="I387" s="115">
        <v>13918965395</v>
      </c>
      <c r="J387" s="115">
        <v>13918965395</v>
      </c>
      <c r="K387" s="115"/>
      <c r="M387" s="127"/>
      <c r="N387" s="127"/>
      <c r="O387" s="115"/>
      <c r="P387" s="115" t="s">
        <v>1654</v>
      </c>
      <c r="Q387" s="115"/>
      <c r="R387" s="115"/>
      <c r="S387" s="115"/>
      <c r="T387" s="115"/>
      <c r="U387" s="115"/>
      <c r="V387" s="115"/>
      <c r="W387" s="115"/>
      <c r="Y387" s="106" t="s">
        <v>2402</v>
      </c>
    </row>
    <row r="388" spans="1:29">
      <c r="A388" s="124" t="s">
        <v>367</v>
      </c>
      <c r="B388" s="124" t="s">
        <v>369</v>
      </c>
      <c r="C388" s="145" t="s">
        <v>370</v>
      </c>
      <c r="F388" s="139">
        <v>120</v>
      </c>
      <c r="H388" s="124"/>
      <c r="J388" s="110"/>
      <c r="K388" s="110"/>
      <c r="L388" s="116"/>
      <c r="M388" s="124"/>
    </row>
    <row r="389" spans="1:29">
      <c r="A389" s="115" t="s">
        <v>268</v>
      </c>
      <c r="B389" s="115" t="s">
        <v>267</v>
      </c>
      <c r="C389" s="145" t="s">
        <v>2107</v>
      </c>
      <c r="F389" s="139">
        <v>444</v>
      </c>
      <c r="H389" s="115"/>
      <c r="I389" s="115"/>
      <c r="J389" s="115"/>
      <c r="K389" s="115"/>
      <c r="M389" s="115"/>
      <c r="N389" s="115" t="s">
        <v>1474</v>
      </c>
      <c r="O389" s="115"/>
    </row>
    <row r="390" spans="1:29">
      <c r="A390" s="115" t="s">
        <v>1768</v>
      </c>
      <c r="B390" s="115" t="s">
        <v>1769</v>
      </c>
      <c r="C390" s="145" t="s">
        <v>1771</v>
      </c>
      <c r="F390" s="139">
        <v>288</v>
      </c>
      <c r="H390" s="115"/>
      <c r="I390" s="115"/>
      <c r="J390" s="115"/>
      <c r="K390" s="115"/>
      <c r="L390" s="115" t="s">
        <v>1289</v>
      </c>
      <c r="M390" s="124"/>
      <c r="N390" s="115" t="s">
        <v>1770</v>
      </c>
      <c r="O390" s="115"/>
    </row>
    <row r="391" spans="1:29">
      <c r="A391" s="115" t="s">
        <v>268</v>
      </c>
      <c r="B391" s="127" t="s">
        <v>267</v>
      </c>
      <c r="C391" s="145" t="s">
        <v>269</v>
      </c>
      <c r="E391" s="108" t="s">
        <v>2661</v>
      </c>
      <c r="H391" s="127"/>
      <c r="M391" s="127"/>
    </row>
    <row r="392" spans="1:29">
      <c r="A392" s="115" t="s">
        <v>284</v>
      </c>
      <c r="B392" s="127" t="s">
        <v>286</v>
      </c>
      <c r="C392" s="145" t="s">
        <v>287</v>
      </c>
      <c r="E392" s="108" t="s">
        <v>2666</v>
      </c>
      <c r="H392" s="127"/>
      <c r="M392" s="127"/>
    </row>
    <row r="393" spans="1:29">
      <c r="A393" s="115" t="s">
        <v>2014</v>
      </c>
      <c r="B393" s="115" t="s">
        <v>1884</v>
      </c>
      <c r="C393" s="145" t="s">
        <v>2015</v>
      </c>
      <c r="F393" s="139">
        <v>109</v>
      </c>
      <c r="H393" s="115"/>
      <c r="I393" s="115"/>
      <c r="J393" s="115"/>
      <c r="K393" s="115"/>
      <c r="L393" s="115" t="s">
        <v>1284</v>
      </c>
      <c r="M393" s="116"/>
      <c r="N393" s="115" t="s">
        <v>1786</v>
      </c>
      <c r="O393" s="115"/>
    </row>
    <row r="394" spans="1:29">
      <c r="A394" s="115" t="s">
        <v>1883</v>
      </c>
      <c r="B394" s="115" t="s">
        <v>1884</v>
      </c>
      <c r="C394" s="145" t="s">
        <v>1886</v>
      </c>
      <c r="E394" s="108" t="s">
        <v>2666</v>
      </c>
      <c r="H394" s="115"/>
      <c r="I394" s="115"/>
      <c r="J394" s="115"/>
      <c r="K394" s="115"/>
      <c r="L394" s="115" t="s">
        <v>1289</v>
      </c>
      <c r="M394" s="115"/>
      <c r="N394" s="115" t="s">
        <v>1885</v>
      </c>
      <c r="O394" s="115"/>
    </row>
    <row r="395" spans="1:29">
      <c r="A395" s="115" t="s">
        <v>284</v>
      </c>
      <c r="B395" s="127" t="s">
        <v>288</v>
      </c>
      <c r="C395" s="145" t="s">
        <v>289</v>
      </c>
      <c r="E395" s="108" t="s">
        <v>2666</v>
      </c>
      <c r="H395" s="127"/>
      <c r="M395" s="127"/>
    </row>
    <row r="396" spans="1:29">
      <c r="A396" s="115" t="s">
        <v>90</v>
      </c>
      <c r="B396" s="127" t="s">
        <v>89</v>
      </c>
      <c r="C396" s="145" t="s">
        <v>91</v>
      </c>
      <c r="E396" s="108">
        <v>550</v>
      </c>
      <c r="H396" s="127"/>
      <c r="J396" s="110"/>
      <c r="K396" s="110"/>
      <c r="L396" s="116"/>
      <c r="M396" s="127"/>
    </row>
    <row r="397" spans="1:29">
      <c r="A397" s="136" t="s">
        <v>2307</v>
      </c>
      <c r="B397" s="127" t="s">
        <v>2308</v>
      </c>
      <c r="C397" s="145" t="s">
        <v>482</v>
      </c>
      <c r="F397" s="139">
        <v>40</v>
      </c>
      <c r="H397" s="127"/>
      <c r="I397" s="110"/>
      <c r="J397" s="110"/>
      <c r="K397" s="110"/>
      <c r="L397" s="116"/>
      <c r="M397" s="127"/>
      <c r="N397" s="116" t="s">
        <v>2237</v>
      </c>
      <c r="O397" s="110"/>
      <c r="P397" s="110"/>
      <c r="Q397" s="110"/>
      <c r="R397" s="110"/>
      <c r="S397" s="110"/>
      <c r="T397" s="110"/>
      <c r="U397" s="110"/>
      <c r="V397" s="110"/>
      <c r="W397" s="110"/>
    </row>
    <row r="398" spans="1:29">
      <c r="A398" s="118" t="s">
        <v>2485</v>
      </c>
      <c r="B398" s="150" t="s">
        <v>2484</v>
      </c>
      <c r="C398" s="151" t="s">
        <v>2486</v>
      </c>
      <c r="D398" s="118"/>
      <c r="E398" s="118" t="s">
        <v>2661</v>
      </c>
      <c r="F398" s="140"/>
      <c r="G398" s="140"/>
      <c r="H398" s="118"/>
      <c r="I398" s="120"/>
      <c r="J398" s="120"/>
      <c r="K398" s="120"/>
      <c r="L398" s="119"/>
      <c r="M398" s="118"/>
      <c r="N398" s="119"/>
      <c r="O398" s="120"/>
      <c r="P398" s="120"/>
      <c r="Q398" s="120"/>
      <c r="R398" s="120"/>
      <c r="S398" s="120"/>
      <c r="T398" s="120"/>
      <c r="U398" s="120"/>
      <c r="V398" s="120"/>
      <c r="W398" s="120"/>
      <c r="X398" s="120"/>
      <c r="Y398" s="120"/>
      <c r="Z398" s="120"/>
      <c r="AA398" s="120"/>
      <c r="AB398" s="120"/>
      <c r="AC398" s="120"/>
    </row>
    <row r="399" spans="1:29" ht="31.5">
      <c r="A399" s="124" t="s">
        <v>376</v>
      </c>
      <c r="B399" s="124" t="s">
        <v>378</v>
      </c>
      <c r="C399" s="145" t="s">
        <v>379</v>
      </c>
      <c r="F399" s="139">
        <v>271</v>
      </c>
      <c r="H399" s="124"/>
      <c r="M399" s="124"/>
    </row>
    <row r="400" spans="1:29">
      <c r="A400" s="124" t="s">
        <v>376</v>
      </c>
      <c r="B400" s="124" t="s">
        <v>378</v>
      </c>
      <c r="C400" s="55" t="s">
        <v>3974</v>
      </c>
      <c r="F400" s="139">
        <v>515</v>
      </c>
      <c r="H400" s="124"/>
      <c r="M400" s="124"/>
    </row>
    <row r="401" spans="1:23">
      <c r="A401" s="115"/>
      <c r="B401" s="115"/>
      <c r="H401" s="115"/>
      <c r="I401" s="115"/>
      <c r="J401" s="115"/>
      <c r="K401" s="115"/>
      <c r="M401" s="115"/>
      <c r="N401" s="115"/>
      <c r="O401" s="115"/>
    </row>
    <row r="402" spans="1:23">
      <c r="A402" s="115" t="s">
        <v>1500</v>
      </c>
      <c r="B402" s="127" t="s">
        <v>1501</v>
      </c>
      <c r="C402" s="145" t="s">
        <v>1502</v>
      </c>
      <c r="E402" s="108" t="s">
        <v>2666</v>
      </c>
      <c r="H402" s="127"/>
      <c r="I402" s="122"/>
      <c r="J402" s="122"/>
      <c r="K402" s="122"/>
      <c r="M402" s="119"/>
      <c r="N402" s="127" t="s">
        <v>1465</v>
      </c>
      <c r="O402" s="122"/>
    </row>
    <row r="403" spans="1:23">
      <c r="A403" s="124" t="s">
        <v>617</v>
      </c>
      <c r="B403" s="124" t="s">
        <v>619</v>
      </c>
      <c r="C403" s="145" t="s">
        <v>620</v>
      </c>
      <c r="E403" s="108">
        <v>550</v>
      </c>
      <c r="H403" s="124"/>
      <c r="M403" s="124"/>
    </row>
    <row r="404" spans="1:23">
      <c r="A404" s="115" t="s">
        <v>284</v>
      </c>
      <c r="B404" s="127" t="s">
        <v>290</v>
      </c>
      <c r="C404" s="145" t="s">
        <v>291</v>
      </c>
      <c r="E404" s="108" t="s">
        <v>2666</v>
      </c>
      <c r="H404" s="127"/>
      <c r="M404" s="127"/>
    </row>
    <row r="405" spans="1:23">
      <c r="A405" s="115" t="s">
        <v>1223</v>
      </c>
      <c r="B405" s="127" t="s">
        <v>836</v>
      </c>
      <c r="C405" s="145" t="s">
        <v>837</v>
      </c>
      <c r="F405" s="139">
        <v>284</v>
      </c>
      <c r="H405" s="127"/>
      <c r="I405" s="115"/>
      <c r="J405" s="115"/>
      <c r="K405" s="115"/>
      <c r="M405" s="131"/>
      <c r="N405" s="127" t="s">
        <v>2236</v>
      </c>
      <c r="O405" s="115"/>
      <c r="P405" s="115"/>
      <c r="Q405" s="115"/>
      <c r="R405" s="115"/>
      <c r="S405" s="115"/>
      <c r="T405" s="115"/>
      <c r="U405" s="115"/>
      <c r="V405" s="115"/>
      <c r="W405" s="115"/>
    </row>
    <row r="406" spans="1:23">
      <c r="A406" s="124" t="s">
        <v>788</v>
      </c>
      <c r="B406" s="127" t="s">
        <v>2669</v>
      </c>
      <c r="C406" s="153" t="s">
        <v>3065</v>
      </c>
      <c r="D406" s="108" t="s">
        <v>2759</v>
      </c>
      <c r="F406" s="139">
        <v>184</v>
      </c>
      <c r="H406" s="127"/>
      <c r="M406" s="119"/>
    </row>
    <row r="407" spans="1:23">
      <c r="A407" s="115" t="s">
        <v>2160</v>
      </c>
      <c r="B407" s="115" t="s">
        <v>2161</v>
      </c>
      <c r="C407" s="145" t="s">
        <v>2162</v>
      </c>
      <c r="E407" s="108" t="s">
        <v>2666</v>
      </c>
      <c r="H407" s="115"/>
      <c r="I407" s="115"/>
      <c r="J407" s="115"/>
      <c r="K407" s="115"/>
      <c r="M407" s="115"/>
      <c r="N407" s="115" t="s">
        <v>1707</v>
      </c>
      <c r="O407" s="115"/>
    </row>
    <row r="408" spans="1:23">
      <c r="A408" s="124" t="s">
        <v>659</v>
      </c>
      <c r="B408" s="124" t="s">
        <v>658</v>
      </c>
      <c r="C408" s="145" t="s">
        <v>660</v>
      </c>
      <c r="E408" s="108" t="s">
        <v>2666</v>
      </c>
      <c r="H408" s="124"/>
      <c r="M408" s="124"/>
    </row>
    <row r="409" spans="1:23" ht="47.25">
      <c r="A409" s="115" t="s">
        <v>1319</v>
      </c>
      <c r="B409" s="127" t="s">
        <v>1320</v>
      </c>
      <c r="C409" s="145" t="s">
        <v>1322</v>
      </c>
      <c r="E409" s="108" t="s">
        <v>2666</v>
      </c>
      <c r="H409" s="127"/>
      <c r="I409" s="122"/>
      <c r="J409" s="122" t="s">
        <v>2264</v>
      </c>
      <c r="K409" s="122"/>
      <c r="L409" s="127" t="s">
        <v>1284</v>
      </c>
      <c r="M409" s="127"/>
      <c r="O409" s="122"/>
    </row>
    <row r="410" spans="1:23">
      <c r="A410" s="124" t="s">
        <v>386</v>
      </c>
      <c r="B410" s="124" t="s">
        <v>392</v>
      </c>
      <c r="C410" s="145" t="s">
        <v>393</v>
      </c>
      <c r="F410" s="139">
        <v>133</v>
      </c>
      <c r="H410" s="124"/>
      <c r="I410" s="110"/>
      <c r="J410" s="110"/>
      <c r="K410" s="110"/>
      <c r="L410" s="116"/>
      <c r="M410" s="124"/>
      <c r="N410" s="116"/>
      <c r="O410" s="110"/>
    </row>
    <row r="411" spans="1:23">
      <c r="B411" s="127" t="s">
        <v>944</v>
      </c>
      <c r="C411" s="145" t="s">
        <v>945</v>
      </c>
      <c r="F411" s="139">
        <v>501</v>
      </c>
      <c r="H411" s="127"/>
      <c r="M411" s="116"/>
    </row>
    <row r="412" spans="1:23">
      <c r="A412" s="124" t="s">
        <v>662</v>
      </c>
      <c r="B412" s="124" t="s">
        <v>661</v>
      </c>
      <c r="C412" s="145" t="s">
        <v>663</v>
      </c>
      <c r="E412" s="108" t="s">
        <v>2666</v>
      </c>
      <c r="H412" s="124"/>
      <c r="M412" s="124"/>
    </row>
    <row r="413" spans="1:23">
      <c r="A413" s="124" t="s">
        <v>213</v>
      </c>
      <c r="B413" s="124" t="s">
        <v>763</v>
      </c>
      <c r="C413" s="145" t="s">
        <v>764</v>
      </c>
      <c r="E413" s="108" t="s">
        <v>2662</v>
      </c>
      <c r="H413" s="124"/>
      <c r="M413" s="124"/>
    </row>
    <row r="414" spans="1:23">
      <c r="A414" s="115" t="s">
        <v>35</v>
      </c>
      <c r="B414" s="127" t="s">
        <v>34</v>
      </c>
      <c r="C414" s="167" t="s">
        <v>3101</v>
      </c>
      <c r="F414" s="139">
        <v>60</v>
      </c>
      <c r="H414" s="127"/>
      <c r="J414" s="110"/>
      <c r="K414" s="110"/>
      <c r="L414" s="116"/>
      <c r="M414" s="124"/>
      <c r="N414" s="116"/>
    </row>
    <row r="415" spans="1:23">
      <c r="A415" s="115" t="s">
        <v>64</v>
      </c>
      <c r="B415" s="127" t="s">
        <v>2428</v>
      </c>
      <c r="C415" s="145" t="s">
        <v>65</v>
      </c>
      <c r="F415" s="139">
        <v>81</v>
      </c>
      <c r="H415" s="127"/>
      <c r="M415" s="127"/>
    </row>
    <row r="416" spans="1:23">
      <c r="A416" s="115" t="s">
        <v>1490</v>
      </c>
      <c r="B416" s="127" t="s">
        <v>1491</v>
      </c>
      <c r="C416" s="145" t="s">
        <v>1492</v>
      </c>
      <c r="F416" s="139">
        <v>114</v>
      </c>
      <c r="H416" s="127"/>
      <c r="I416" s="122"/>
      <c r="J416" s="122" t="s">
        <v>1493</v>
      </c>
      <c r="K416" s="122"/>
      <c r="L416" s="116"/>
      <c r="M416" s="124"/>
      <c r="N416" s="127" t="s">
        <v>1465</v>
      </c>
      <c r="O416" s="122"/>
    </row>
    <row r="417" spans="1:29">
      <c r="A417" s="115" t="s">
        <v>58</v>
      </c>
      <c r="B417" s="127" t="s">
        <v>57</v>
      </c>
      <c r="C417" s="145" t="s">
        <v>59</v>
      </c>
      <c r="F417" s="139">
        <v>79</v>
      </c>
      <c r="H417" s="127"/>
      <c r="M417" s="124"/>
    </row>
    <row r="418" spans="1:29">
      <c r="A418" s="124" t="s">
        <v>159</v>
      </c>
      <c r="B418" s="124"/>
      <c r="C418" s="145" t="s">
        <v>452</v>
      </c>
      <c r="F418" s="139">
        <v>232</v>
      </c>
      <c r="H418" s="124"/>
      <c r="M418" s="127"/>
    </row>
    <row r="419" spans="1:29" ht="47.25">
      <c r="A419" s="115" t="s">
        <v>1290</v>
      </c>
      <c r="B419" s="127" t="s">
        <v>1291</v>
      </c>
      <c r="C419" s="145" t="s">
        <v>1293</v>
      </c>
      <c r="E419" s="108">
        <v>501</v>
      </c>
      <c r="H419" s="127"/>
      <c r="I419" s="122"/>
      <c r="J419" s="122" t="s">
        <v>2265</v>
      </c>
      <c r="K419" s="122"/>
      <c r="L419" s="127" t="s">
        <v>1289</v>
      </c>
      <c r="M419" s="127"/>
      <c r="O419" s="122"/>
    </row>
    <row r="420" spans="1:29">
      <c r="A420" s="124" t="s">
        <v>29</v>
      </c>
      <c r="B420" s="124" t="s">
        <v>556</v>
      </c>
      <c r="C420" s="145" t="s">
        <v>557</v>
      </c>
      <c r="F420" s="139">
        <v>151</v>
      </c>
      <c r="H420" s="124"/>
      <c r="M420" s="115"/>
    </row>
    <row r="421" spans="1:29">
      <c r="A421" s="115" t="s">
        <v>1342</v>
      </c>
      <c r="B421" s="127" t="s">
        <v>3077</v>
      </c>
      <c r="C421" s="55" t="s">
        <v>3079</v>
      </c>
      <c r="E421" s="108" t="s">
        <v>2661</v>
      </c>
      <c r="H421" s="127"/>
      <c r="I421" s="122"/>
      <c r="J421" s="122"/>
      <c r="K421" s="122"/>
      <c r="L421" s="127"/>
      <c r="M421" s="127"/>
      <c r="N421" s="116"/>
      <c r="O421" s="122"/>
      <c r="P421" s="110"/>
      <c r="Q421" s="110"/>
      <c r="R421" s="110"/>
      <c r="S421" s="110"/>
      <c r="T421" s="110"/>
      <c r="U421" s="110"/>
      <c r="V421" s="110"/>
      <c r="W421" s="110"/>
    </row>
    <row r="422" spans="1:29" s="120" customFormat="1">
      <c r="A422" s="115" t="s">
        <v>1994</v>
      </c>
      <c r="B422" s="115" t="s">
        <v>1995</v>
      </c>
      <c r="C422" s="145" t="s">
        <v>1996</v>
      </c>
      <c r="D422" s="108"/>
      <c r="E422" s="108"/>
      <c r="F422" s="139">
        <v>411</v>
      </c>
      <c r="G422" s="139"/>
      <c r="H422" s="115"/>
      <c r="I422" s="115"/>
      <c r="J422" s="115"/>
      <c r="K422" s="115"/>
      <c r="L422" s="115" t="s">
        <v>1262</v>
      </c>
      <c r="M422" s="115"/>
      <c r="N422" s="115" t="s">
        <v>1707</v>
      </c>
      <c r="O422" s="115"/>
      <c r="P422" s="112"/>
      <c r="Q422" s="112"/>
      <c r="R422" s="112"/>
      <c r="S422" s="112"/>
      <c r="T422" s="112"/>
      <c r="U422" s="112"/>
      <c r="V422" s="112"/>
      <c r="W422" s="112"/>
      <c r="X422" s="106"/>
      <c r="Y422" s="106"/>
      <c r="Z422" s="106"/>
      <c r="AA422" s="106"/>
      <c r="AB422" s="106"/>
      <c r="AC422" s="106"/>
    </row>
    <row r="423" spans="1:29" s="120" customFormat="1">
      <c r="A423" s="115"/>
      <c r="B423" s="115" t="s">
        <v>2142</v>
      </c>
      <c r="C423" s="145" t="s">
        <v>2143</v>
      </c>
      <c r="D423" s="108"/>
      <c r="E423" s="108"/>
      <c r="F423" s="139">
        <v>502</v>
      </c>
      <c r="G423" s="139"/>
      <c r="H423" s="115"/>
      <c r="I423" s="115"/>
      <c r="J423" s="115"/>
      <c r="K423" s="115"/>
      <c r="L423" s="109"/>
      <c r="M423" s="115"/>
      <c r="N423" s="115"/>
      <c r="O423" s="115"/>
      <c r="P423" s="112"/>
      <c r="Q423" s="112"/>
      <c r="R423" s="112"/>
      <c r="S423" s="112"/>
      <c r="T423" s="112"/>
      <c r="U423" s="112"/>
      <c r="V423" s="112"/>
      <c r="W423" s="112"/>
      <c r="X423" s="106"/>
      <c r="Y423" s="106"/>
      <c r="Z423" s="106"/>
      <c r="AA423" s="106"/>
      <c r="AB423" s="106"/>
      <c r="AC423" s="106"/>
    </row>
    <row r="424" spans="1:29" s="120" customFormat="1">
      <c r="A424" s="115" t="s">
        <v>2117</v>
      </c>
      <c r="B424" s="115" t="s">
        <v>2118</v>
      </c>
      <c r="C424" s="167" t="s">
        <v>3090</v>
      </c>
      <c r="D424" s="108"/>
      <c r="E424" s="108"/>
      <c r="F424" s="139">
        <v>4</v>
      </c>
      <c r="G424" s="139"/>
      <c r="H424" s="115"/>
      <c r="I424" s="115"/>
      <c r="J424" s="115"/>
      <c r="K424" s="115"/>
      <c r="L424" s="109"/>
      <c r="M424" s="116"/>
      <c r="N424" s="115" t="s">
        <v>1786</v>
      </c>
      <c r="O424" s="115"/>
      <c r="P424" s="112"/>
      <c r="Q424" s="112"/>
      <c r="R424" s="112"/>
      <c r="S424" s="112"/>
      <c r="T424" s="112"/>
      <c r="U424" s="112"/>
      <c r="V424" s="112"/>
      <c r="W424" s="112"/>
      <c r="X424" s="106"/>
      <c r="Y424" s="106"/>
      <c r="Z424" s="106"/>
      <c r="AA424" s="106"/>
      <c r="AB424" s="106"/>
      <c r="AC424" s="106"/>
    </row>
    <row r="425" spans="1:29" s="120" customFormat="1" ht="31.5">
      <c r="A425" s="115" t="s">
        <v>1705</v>
      </c>
      <c r="B425" s="115" t="s">
        <v>1706</v>
      </c>
      <c r="C425" s="145" t="s">
        <v>1708</v>
      </c>
      <c r="D425" s="108"/>
      <c r="E425" s="108"/>
      <c r="F425" s="139">
        <v>199</v>
      </c>
      <c r="G425" s="139"/>
      <c r="H425" s="115"/>
      <c r="I425" s="133"/>
      <c r="J425" s="133"/>
      <c r="K425" s="133"/>
      <c r="L425" s="127" t="s">
        <v>1314</v>
      </c>
      <c r="M425" s="131"/>
      <c r="N425" s="115" t="s">
        <v>1707</v>
      </c>
      <c r="O425" s="133"/>
      <c r="P425" s="112"/>
      <c r="Q425" s="112"/>
      <c r="R425" s="112"/>
      <c r="S425" s="112"/>
      <c r="T425" s="112"/>
      <c r="U425" s="112"/>
      <c r="V425" s="112"/>
      <c r="W425" s="112"/>
      <c r="X425" s="106"/>
      <c r="Y425" s="106"/>
      <c r="Z425" s="106"/>
      <c r="AA425" s="106"/>
      <c r="AB425" s="106"/>
      <c r="AC425" s="106"/>
    </row>
    <row r="426" spans="1:29" s="120" customFormat="1">
      <c r="A426" s="115" t="s">
        <v>82</v>
      </c>
      <c r="B426" s="127" t="s">
        <v>84</v>
      </c>
      <c r="C426" s="145" t="s">
        <v>85</v>
      </c>
      <c r="D426" s="108"/>
      <c r="E426" s="108"/>
      <c r="F426" s="139">
        <v>108</v>
      </c>
      <c r="G426" s="139"/>
      <c r="H426" s="127"/>
      <c r="I426" s="112"/>
      <c r="J426" s="110"/>
      <c r="K426" s="110"/>
      <c r="L426" s="116"/>
      <c r="M426" s="127"/>
      <c r="N426" s="109"/>
      <c r="O426" s="112"/>
      <c r="P426" s="112"/>
      <c r="Q426" s="112"/>
      <c r="R426" s="112"/>
      <c r="S426" s="112"/>
      <c r="T426" s="112"/>
      <c r="U426" s="112"/>
      <c r="V426" s="112"/>
      <c r="W426" s="112"/>
      <c r="X426" s="106"/>
      <c r="Y426" s="106"/>
      <c r="Z426" s="106"/>
      <c r="AA426" s="106"/>
      <c r="AB426" s="106"/>
      <c r="AC426" s="106"/>
    </row>
    <row r="427" spans="1:29" s="120" customFormat="1" ht="47.25">
      <c r="A427" s="115" t="s">
        <v>1346</v>
      </c>
      <c r="B427" s="127" t="s">
        <v>388</v>
      </c>
      <c r="C427" s="145" t="s">
        <v>1348</v>
      </c>
      <c r="D427" s="108"/>
      <c r="E427" s="108"/>
      <c r="F427" s="139">
        <v>124</v>
      </c>
      <c r="G427" s="139"/>
      <c r="H427" s="127"/>
      <c r="I427" s="122"/>
      <c r="J427" s="122" t="s">
        <v>2266</v>
      </c>
      <c r="K427" s="122"/>
      <c r="L427" s="127" t="s">
        <v>1284</v>
      </c>
      <c r="M427" s="115"/>
      <c r="N427" s="109"/>
      <c r="O427" s="122"/>
      <c r="P427" s="112"/>
      <c r="Q427" s="112"/>
      <c r="R427" s="112"/>
      <c r="S427" s="112"/>
      <c r="T427" s="112"/>
      <c r="U427" s="112"/>
      <c r="V427" s="112"/>
      <c r="W427" s="112"/>
      <c r="X427" s="106"/>
      <c r="Y427" s="106"/>
      <c r="Z427" s="106"/>
      <c r="AA427" s="106"/>
      <c r="AB427" s="106"/>
      <c r="AC427" s="106"/>
    </row>
    <row r="428" spans="1:29" s="120" customFormat="1">
      <c r="A428" s="124" t="s">
        <v>386</v>
      </c>
      <c r="B428" s="124" t="s">
        <v>388</v>
      </c>
      <c r="C428" s="145" t="s">
        <v>389</v>
      </c>
      <c r="D428" s="108"/>
      <c r="E428" s="108"/>
      <c r="F428" s="139">
        <v>131</v>
      </c>
      <c r="G428" s="139"/>
      <c r="H428" s="124"/>
      <c r="I428" s="112"/>
      <c r="J428" s="110"/>
      <c r="K428" s="110"/>
      <c r="L428" s="116"/>
      <c r="M428" s="124"/>
      <c r="N428" s="109"/>
      <c r="O428" s="112"/>
      <c r="P428" s="112"/>
      <c r="Q428" s="112"/>
      <c r="R428" s="112"/>
      <c r="S428" s="112"/>
      <c r="T428" s="112"/>
      <c r="U428" s="112"/>
      <c r="V428" s="112"/>
      <c r="W428" s="112"/>
      <c r="X428" s="106"/>
      <c r="Y428" s="106"/>
      <c r="Z428" s="106"/>
      <c r="AA428" s="106"/>
      <c r="AB428" s="106"/>
      <c r="AC428" s="106"/>
    </row>
    <row r="429" spans="1:29" s="120" customFormat="1">
      <c r="A429" s="115" t="s">
        <v>1511</v>
      </c>
      <c r="B429" s="115" t="s">
        <v>276</v>
      </c>
      <c r="C429" s="145" t="s">
        <v>569</v>
      </c>
      <c r="D429" s="108"/>
      <c r="E429" s="108"/>
      <c r="F429" s="139">
        <v>16</v>
      </c>
      <c r="G429" s="139"/>
      <c r="H429" s="115"/>
      <c r="I429" s="115"/>
      <c r="J429" s="115"/>
      <c r="K429" s="115"/>
      <c r="L429" s="115" t="s">
        <v>1262</v>
      </c>
      <c r="M429" s="127"/>
      <c r="N429" s="115" t="s">
        <v>1778</v>
      </c>
      <c r="O429" s="115"/>
      <c r="P429" s="112"/>
      <c r="Q429" s="112"/>
      <c r="R429" s="112"/>
      <c r="S429" s="112"/>
      <c r="T429" s="112"/>
      <c r="U429" s="112"/>
      <c r="V429" s="112"/>
      <c r="W429" s="112"/>
      <c r="X429" s="106"/>
      <c r="Y429" s="106"/>
      <c r="Z429" s="106"/>
      <c r="AA429" s="106"/>
      <c r="AB429" s="106"/>
      <c r="AC429" s="106"/>
    </row>
    <row r="430" spans="1:29" s="120" customFormat="1" ht="31.5">
      <c r="A430" s="115" t="s">
        <v>2137</v>
      </c>
      <c r="B430" s="115" t="s">
        <v>2140</v>
      </c>
      <c r="C430" s="145" t="s">
        <v>2141</v>
      </c>
      <c r="D430" s="108"/>
      <c r="E430" s="108"/>
      <c r="F430" s="139">
        <v>336</v>
      </c>
      <c r="G430" s="139"/>
      <c r="H430" s="115"/>
      <c r="I430" s="115"/>
      <c r="J430" s="115"/>
      <c r="K430" s="115"/>
      <c r="L430" s="109"/>
      <c r="M430" s="115"/>
      <c r="N430" s="115" t="s">
        <v>2138</v>
      </c>
      <c r="O430" s="115"/>
      <c r="P430" s="112"/>
      <c r="Q430" s="112"/>
      <c r="R430" s="112"/>
      <c r="S430" s="112"/>
      <c r="T430" s="112"/>
      <c r="U430" s="112"/>
      <c r="V430" s="112"/>
      <c r="W430" s="112"/>
      <c r="X430" s="106"/>
      <c r="Y430" s="106"/>
      <c r="Z430" s="106"/>
      <c r="AA430" s="106"/>
      <c r="AB430" s="106"/>
      <c r="AC430" s="106"/>
    </row>
    <row r="431" spans="1:29" s="120" customFormat="1">
      <c r="A431" s="115" t="s">
        <v>458</v>
      </c>
      <c r="B431" s="115" t="s">
        <v>2168</v>
      </c>
      <c r="C431" s="145" t="s">
        <v>2169</v>
      </c>
      <c r="D431" s="108"/>
      <c r="E431" s="108" t="s">
        <v>2623</v>
      </c>
      <c r="F431" s="139"/>
      <c r="G431" s="139"/>
      <c r="H431" s="115"/>
      <c r="I431" s="115"/>
      <c r="J431" s="115"/>
      <c r="K431" s="115"/>
      <c r="L431" s="116"/>
      <c r="M431" s="115"/>
      <c r="N431" s="115" t="s">
        <v>1461</v>
      </c>
      <c r="O431" s="115"/>
      <c r="P431" s="112"/>
      <c r="Q431" s="112"/>
      <c r="R431" s="112"/>
      <c r="S431" s="112"/>
      <c r="T431" s="112"/>
      <c r="U431" s="112"/>
      <c r="V431" s="112"/>
      <c r="W431" s="112"/>
      <c r="X431" s="106"/>
      <c r="Y431" s="106"/>
      <c r="Z431" s="106"/>
      <c r="AA431" s="106"/>
      <c r="AB431" s="106"/>
      <c r="AC431" s="106"/>
    </row>
    <row r="432" spans="1:29" s="120" customFormat="1" ht="28.5">
      <c r="A432" s="124" t="s">
        <v>1605</v>
      </c>
      <c r="B432" s="131" t="s">
        <v>1604</v>
      </c>
      <c r="C432" s="169" t="s">
        <v>3089</v>
      </c>
      <c r="D432" s="108"/>
      <c r="E432" s="108"/>
      <c r="F432" s="139">
        <v>310</v>
      </c>
      <c r="G432" s="139"/>
      <c r="H432" s="131"/>
      <c r="I432" s="124"/>
      <c r="J432" s="124"/>
      <c r="K432" s="124"/>
      <c r="L432" s="109"/>
      <c r="M432" s="127"/>
      <c r="N432" s="109"/>
      <c r="O432" s="124"/>
      <c r="P432" s="112"/>
      <c r="Q432" s="112"/>
      <c r="R432" s="112"/>
      <c r="S432" s="112"/>
      <c r="T432" s="112"/>
      <c r="U432" s="112"/>
      <c r="V432" s="112"/>
      <c r="W432" s="112"/>
      <c r="X432" s="106"/>
      <c r="Y432" s="106"/>
      <c r="Z432" s="106"/>
      <c r="AA432" s="106"/>
      <c r="AB432" s="106"/>
      <c r="AC432" s="106"/>
    </row>
    <row r="433" spans="1:29" s="120" customFormat="1" ht="31.5">
      <c r="A433" s="136" t="s">
        <v>2647</v>
      </c>
      <c r="B433" s="127" t="s">
        <v>3136</v>
      </c>
      <c r="C433" s="145" t="s">
        <v>507</v>
      </c>
      <c r="D433" s="108" t="s">
        <v>2673</v>
      </c>
      <c r="E433" s="108"/>
      <c r="F433" s="139">
        <v>221</v>
      </c>
      <c r="G433" s="139"/>
      <c r="H433" s="127"/>
      <c r="I433" s="112"/>
      <c r="J433" s="112"/>
      <c r="K433" s="112"/>
      <c r="L433" s="109"/>
      <c r="M433" s="124"/>
      <c r="N433" s="109" t="s">
        <v>2318</v>
      </c>
      <c r="O433" s="112"/>
      <c r="P433" s="112"/>
      <c r="Q433" s="112"/>
      <c r="R433" s="112"/>
      <c r="S433" s="112"/>
      <c r="T433" s="112"/>
      <c r="U433" s="112"/>
      <c r="V433" s="112"/>
      <c r="W433" s="112"/>
      <c r="X433" s="106"/>
      <c r="Y433" s="106"/>
      <c r="Z433" s="106"/>
      <c r="AA433" s="106"/>
      <c r="AB433" s="106"/>
      <c r="AC433" s="106"/>
    </row>
    <row r="434" spans="1:29" s="120" customFormat="1">
      <c r="A434" s="124" t="s">
        <v>693</v>
      </c>
      <c r="B434" s="124" t="s">
        <v>692</v>
      </c>
      <c r="C434" s="145" t="s">
        <v>694</v>
      </c>
      <c r="D434" s="108"/>
      <c r="E434" s="108"/>
      <c r="F434" s="139">
        <v>105</v>
      </c>
      <c r="G434" s="139"/>
      <c r="H434" s="124"/>
      <c r="I434" s="112"/>
      <c r="J434" s="110"/>
      <c r="K434" s="110"/>
      <c r="L434" s="116"/>
      <c r="M434" s="124"/>
      <c r="N434" s="109"/>
      <c r="O434" s="112"/>
      <c r="P434" s="112"/>
      <c r="Q434" s="112"/>
      <c r="R434" s="112"/>
      <c r="S434" s="112"/>
      <c r="T434" s="112"/>
      <c r="U434" s="112"/>
      <c r="V434" s="112"/>
      <c r="W434" s="112"/>
      <c r="X434" s="106"/>
      <c r="Y434" s="106"/>
      <c r="Z434" s="106"/>
      <c r="AA434" s="106"/>
      <c r="AB434" s="106"/>
      <c r="AC434" s="106"/>
    </row>
    <row r="435" spans="1:29" s="120" customFormat="1" ht="31.5">
      <c r="A435" s="124" t="s">
        <v>494</v>
      </c>
      <c r="B435" s="124" t="s">
        <v>496</v>
      </c>
      <c r="C435" s="145" t="s">
        <v>497</v>
      </c>
      <c r="D435" s="108" t="s">
        <v>2673</v>
      </c>
      <c r="E435" s="108"/>
      <c r="F435" s="139">
        <v>222</v>
      </c>
      <c r="G435" s="139"/>
      <c r="H435" s="124"/>
      <c r="I435" s="112"/>
      <c r="J435" s="112"/>
      <c r="K435" s="112"/>
      <c r="L435" s="109"/>
      <c r="M435" s="116"/>
      <c r="N435" s="109"/>
      <c r="O435" s="112"/>
      <c r="P435" s="112"/>
      <c r="Q435" s="112"/>
      <c r="R435" s="112"/>
      <c r="S435" s="112"/>
      <c r="T435" s="112"/>
      <c r="U435" s="112"/>
      <c r="V435" s="112"/>
      <c r="W435" s="112"/>
      <c r="X435" s="106"/>
      <c r="Y435" s="106"/>
      <c r="Z435" s="106"/>
      <c r="AA435" s="106"/>
      <c r="AB435" s="106"/>
      <c r="AC435" s="106"/>
    </row>
    <row r="436" spans="1:29" s="120" customFormat="1">
      <c r="A436" s="115" t="s">
        <v>274</v>
      </c>
      <c r="B436" s="127" t="s">
        <v>276</v>
      </c>
      <c r="C436" s="145" t="s">
        <v>277</v>
      </c>
      <c r="D436" s="108"/>
      <c r="E436" s="108"/>
      <c r="F436" s="139">
        <v>455</v>
      </c>
      <c r="G436" s="139"/>
      <c r="H436" s="127"/>
      <c r="I436" s="112"/>
      <c r="J436" s="112"/>
      <c r="K436" s="112"/>
      <c r="L436" s="109"/>
      <c r="M436" s="127"/>
      <c r="N436" s="109"/>
      <c r="O436" s="112"/>
      <c r="P436" s="112"/>
      <c r="Q436" s="112"/>
      <c r="R436" s="112"/>
      <c r="S436" s="112"/>
      <c r="T436" s="112"/>
      <c r="U436" s="112"/>
      <c r="V436" s="112"/>
      <c r="W436" s="112"/>
      <c r="X436" s="106"/>
      <c r="Y436" s="106"/>
      <c r="Z436" s="106"/>
      <c r="AA436" s="106"/>
      <c r="AB436" s="106"/>
      <c r="AC436" s="106"/>
    </row>
    <row r="437" spans="1:29" s="120" customFormat="1">
      <c r="A437" s="115" t="s">
        <v>1690</v>
      </c>
      <c r="B437" s="127" t="s">
        <v>1630</v>
      </c>
      <c r="C437" s="145" t="s">
        <v>1632</v>
      </c>
      <c r="D437" s="108"/>
      <c r="E437" s="108"/>
      <c r="F437" s="139">
        <v>279</v>
      </c>
      <c r="G437" s="139"/>
      <c r="H437" s="127"/>
      <c r="I437" s="115"/>
      <c r="J437" s="115"/>
      <c r="K437" s="115"/>
      <c r="L437" s="109"/>
      <c r="M437" s="124"/>
      <c r="N437" s="127" t="s">
        <v>2236</v>
      </c>
      <c r="O437" s="115"/>
      <c r="P437" s="115"/>
      <c r="Q437" s="115"/>
      <c r="R437" s="115"/>
      <c r="S437" s="115"/>
      <c r="T437" s="115"/>
      <c r="U437" s="115"/>
      <c r="V437" s="115"/>
      <c r="W437" s="115"/>
      <c r="X437" s="106"/>
      <c r="Y437" s="106"/>
      <c r="Z437" s="106"/>
      <c r="AA437" s="106"/>
      <c r="AB437" s="106"/>
      <c r="AC437" s="106"/>
    </row>
    <row r="438" spans="1:29" s="120" customFormat="1">
      <c r="A438" s="124" t="s">
        <v>822</v>
      </c>
      <c r="B438" s="124" t="s">
        <v>824</v>
      </c>
      <c r="C438" s="145" t="s">
        <v>825</v>
      </c>
      <c r="D438" s="108"/>
      <c r="E438" s="108"/>
      <c r="F438" s="139">
        <v>390</v>
      </c>
      <c r="G438" s="139"/>
      <c r="H438" s="124"/>
      <c r="I438" s="110"/>
      <c r="J438" s="110"/>
      <c r="K438" s="110"/>
      <c r="L438" s="109"/>
      <c r="M438" s="124"/>
      <c r="N438" s="116"/>
      <c r="O438" s="110"/>
      <c r="P438" s="110"/>
      <c r="Q438" s="110"/>
      <c r="R438" s="110"/>
      <c r="S438" s="110"/>
      <c r="T438" s="110"/>
      <c r="U438" s="110"/>
      <c r="V438" s="110"/>
      <c r="W438" s="110"/>
      <c r="X438" s="106"/>
      <c r="Y438" s="106"/>
      <c r="Z438" s="106"/>
      <c r="AA438" s="106"/>
      <c r="AB438" s="106"/>
      <c r="AC438" s="106"/>
    </row>
    <row r="439" spans="1:29" s="120" customFormat="1">
      <c r="A439" s="136"/>
      <c r="B439" s="127" t="s">
        <v>856</v>
      </c>
      <c r="C439" s="145" t="s">
        <v>857</v>
      </c>
      <c r="D439" s="108"/>
      <c r="E439" s="108"/>
      <c r="F439" s="139">
        <v>84</v>
      </c>
      <c r="G439" s="139"/>
      <c r="H439" s="127"/>
      <c r="I439" s="112"/>
      <c r="J439" s="112"/>
      <c r="K439" s="112"/>
      <c r="L439" s="116"/>
      <c r="M439" s="116"/>
      <c r="N439" s="116"/>
      <c r="O439" s="112"/>
      <c r="P439" s="112"/>
      <c r="Q439" s="112"/>
      <c r="R439" s="112"/>
      <c r="S439" s="112"/>
      <c r="T439" s="112"/>
      <c r="U439" s="112"/>
      <c r="V439" s="112"/>
      <c r="W439" s="112"/>
      <c r="X439" s="106"/>
      <c r="Y439" s="106"/>
      <c r="Z439" s="106"/>
      <c r="AA439" s="106"/>
      <c r="AB439" s="106"/>
      <c r="AC439" s="106"/>
    </row>
    <row r="440" spans="1:29" s="120" customFormat="1">
      <c r="A440" s="115" t="s">
        <v>1503</v>
      </c>
      <c r="B440" s="127" t="s">
        <v>1504</v>
      </c>
      <c r="C440" s="145" t="s">
        <v>1506</v>
      </c>
      <c r="D440" s="108"/>
      <c r="E440" s="108"/>
      <c r="F440" s="139">
        <v>253</v>
      </c>
      <c r="G440" s="139"/>
      <c r="H440" s="127"/>
      <c r="I440" s="122"/>
      <c r="J440" s="122"/>
      <c r="K440" s="122"/>
      <c r="L440" s="109"/>
      <c r="M440" s="127"/>
      <c r="N440" s="127" t="s">
        <v>1505</v>
      </c>
      <c r="O440" s="122"/>
      <c r="P440" s="112"/>
      <c r="Q440" s="112"/>
      <c r="R440" s="112"/>
      <c r="S440" s="112"/>
      <c r="T440" s="112"/>
      <c r="U440" s="112"/>
      <c r="V440" s="112"/>
      <c r="W440" s="112"/>
      <c r="X440" s="106"/>
      <c r="Y440" s="106"/>
      <c r="Z440" s="106"/>
      <c r="AA440" s="106"/>
      <c r="AB440" s="106"/>
      <c r="AC440" s="106"/>
    </row>
    <row r="441" spans="1:29" s="120" customFormat="1" ht="14.25">
      <c r="A441" s="118" t="s">
        <v>2514</v>
      </c>
      <c r="B441" s="150" t="s">
        <v>1504</v>
      </c>
      <c r="C441" s="151" t="s">
        <v>2515</v>
      </c>
      <c r="D441" s="118"/>
      <c r="E441" s="118" t="s">
        <v>2661</v>
      </c>
      <c r="F441" s="140"/>
      <c r="G441" s="140"/>
      <c r="H441" s="118"/>
      <c r="L441" s="119"/>
      <c r="M441" s="119"/>
      <c r="N441" s="119"/>
    </row>
    <row r="442" spans="1:29" s="120" customFormat="1">
      <c r="A442" s="115" t="s">
        <v>323</v>
      </c>
      <c r="B442" s="127" t="s">
        <v>1504</v>
      </c>
      <c r="C442" s="145" t="s">
        <v>1686</v>
      </c>
      <c r="D442" s="108"/>
      <c r="E442" s="108" t="s">
        <v>2666</v>
      </c>
      <c r="F442" s="139"/>
      <c r="G442" s="139"/>
      <c r="H442" s="127"/>
      <c r="I442" s="115"/>
      <c r="J442" s="115"/>
      <c r="K442" s="115"/>
      <c r="L442" s="109"/>
      <c r="M442" s="124"/>
      <c r="N442" s="127" t="s">
        <v>2236</v>
      </c>
      <c r="O442" s="115"/>
      <c r="P442" s="115"/>
      <c r="Q442" s="115"/>
      <c r="R442" s="115"/>
      <c r="S442" s="115"/>
      <c r="T442" s="115"/>
      <c r="U442" s="115"/>
      <c r="V442" s="115"/>
      <c r="W442" s="115"/>
      <c r="X442" s="106"/>
      <c r="Y442" s="106"/>
      <c r="Z442" s="106"/>
      <c r="AA442" s="106"/>
      <c r="AB442" s="106"/>
      <c r="AC442" s="106"/>
    </row>
    <row r="443" spans="1:29" s="120" customFormat="1">
      <c r="A443" s="115" t="s">
        <v>20</v>
      </c>
      <c r="B443" s="127" t="s">
        <v>19</v>
      </c>
      <c r="C443" s="145" t="s">
        <v>21</v>
      </c>
      <c r="D443" s="108"/>
      <c r="E443" s="108" t="s">
        <v>2666</v>
      </c>
      <c r="F443" s="139"/>
      <c r="G443" s="139"/>
      <c r="H443" s="127"/>
      <c r="I443" s="112"/>
      <c r="J443" s="112"/>
      <c r="K443" s="112"/>
      <c r="L443" s="116"/>
      <c r="M443" s="154"/>
      <c r="N443" s="116"/>
      <c r="O443" s="112"/>
      <c r="P443" s="112"/>
      <c r="Q443" s="112"/>
      <c r="R443" s="112"/>
      <c r="S443" s="112"/>
      <c r="T443" s="112"/>
      <c r="U443" s="112"/>
      <c r="V443" s="112"/>
      <c r="W443" s="112"/>
      <c r="X443" s="106"/>
      <c r="Y443" s="106"/>
      <c r="Z443" s="106"/>
      <c r="AA443" s="106"/>
      <c r="AB443" s="106"/>
      <c r="AC443" s="106"/>
    </row>
    <row r="444" spans="1:29" s="120" customFormat="1" ht="31.5">
      <c r="A444" s="115" t="s">
        <v>123</v>
      </c>
      <c r="B444" s="115" t="s">
        <v>2071</v>
      </c>
      <c r="C444" s="145" t="s">
        <v>2072</v>
      </c>
      <c r="D444" s="108"/>
      <c r="E444" s="108"/>
      <c r="F444" s="139">
        <v>182</v>
      </c>
      <c r="G444" s="139"/>
      <c r="H444" s="115"/>
      <c r="I444" s="115"/>
      <c r="J444" s="115"/>
      <c r="K444" s="115"/>
      <c r="L444" s="115"/>
      <c r="M444" s="119"/>
      <c r="N444" s="115"/>
      <c r="O444" s="115"/>
      <c r="P444" s="112"/>
      <c r="Q444" s="112"/>
      <c r="R444" s="112"/>
      <c r="S444" s="112"/>
      <c r="T444" s="112"/>
      <c r="U444" s="112"/>
      <c r="V444" s="112"/>
      <c r="W444" s="112"/>
      <c r="X444" s="106"/>
      <c r="Y444" s="106"/>
      <c r="Z444" s="106"/>
      <c r="AA444" s="106"/>
      <c r="AB444" s="106"/>
      <c r="AC444" s="106"/>
    </row>
    <row r="445" spans="1:29" s="120" customFormat="1">
      <c r="A445" s="136" t="s">
        <v>2281</v>
      </c>
      <c r="B445" s="124" t="s">
        <v>294</v>
      </c>
      <c r="C445" s="145" t="s">
        <v>296</v>
      </c>
      <c r="D445" s="108"/>
      <c r="E445" s="108"/>
      <c r="F445" s="139">
        <v>467</v>
      </c>
      <c r="G445" s="139"/>
      <c r="H445" s="127"/>
      <c r="I445" s="112"/>
      <c r="J445" s="112"/>
      <c r="K445" s="112"/>
      <c r="L445" s="109"/>
      <c r="M445" s="116"/>
      <c r="N445" s="109" t="s">
        <v>2320</v>
      </c>
      <c r="O445" s="112"/>
      <c r="P445" s="112"/>
      <c r="Q445" s="112"/>
      <c r="R445" s="112"/>
      <c r="S445" s="112"/>
      <c r="T445" s="112"/>
      <c r="U445" s="112"/>
      <c r="V445" s="112"/>
      <c r="W445" s="112"/>
      <c r="X445" s="106"/>
      <c r="Y445" s="106"/>
      <c r="Z445" s="106"/>
      <c r="AA445" s="106"/>
      <c r="AB445" s="106"/>
      <c r="AC445" s="106"/>
    </row>
    <row r="446" spans="1:29" s="120" customFormat="1">
      <c r="A446" s="124" t="s">
        <v>494</v>
      </c>
      <c r="B446" s="124" t="s">
        <v>1055</v>
      </c>
      <c r="C446" s="145" t="s">
        <v>1132</v>
      </c>
      <c r="D446" s="108"/>
      <c r="E446" s="108"/>
      <c r="F446" s="139">
        <v>217</v>
      </c>
      <c r="G446" s="139"/>
      <c r="H446" s="124"/>
      <c r="I446" s="112"/>
      <c r="J446" s="112"/>
      <c r="K446" s="112"/>
      <c r="L446" s="109"/>
      <c r="M446" s="124"/>
      <c r="N446" s="109"/>
      <c r="O446" s="112"/>
      <c r="P446" s="112"/>
      <c r="Q446" s="112"/>
      <c r="R446" s="112"/>
      <c r="S446" s="112"/>
      <c r="T446" s="112"/>
      <c r="U446" s="112"/>
      <c r="V446" s="112"/>
      <c r="W446" s="112"/>
      <c r="X446" s="106"/>
      <c r="Y446" s="106"/>
      <c r="Z446" s="106"/>
      <c r="AA446" s="106"/>
      <c r="AB446" s="106"/>
      <c r="AC446" s="106"/>
    </row>
    <row r="447" spans="1:29" s="120" customFormat="1" ht="31.5">
      <c r="A447" s="115" t="s">
        <v>1651</v>
      </c>
      <c r="B447" s="127" t="s">
        <v>1655</v>
      </c>
      <c r="C447" s="145" t="s">
        <v>1656</v>
      </c>
      <c r="D447" s="108"/>
      <c r="E447" s="108" t="s">
        <v>2666</v>
      </c>
      <c r="F447" s="139"/>
      <c r="G447" s="139"/>
      <c r="H447" s="127" t="s">
        <v>2400</v>
      </c>
      <c r="I447" s="115" t="s">
        <v>2409</v>
      </c>
      <c r="J447" s="115">
        <v>13512167983</v>
      </c>
      <c r="K447" s="115"/>
      <c r="L447" s="109"/>
      <c r="M447" s="127"/>
      <c r="N447" s="127"/>
      <c r="O447" s="115"/>
      <c r="P447" s="115" t="s">
        <v>1657</v>
      </c>
      <c r="Q447" s="115"/>
      <c r="R447" s="115"/>
      <c r="S447" s="115"/>
      <c r="T447" s="115"/>
      <c r="U447" s="115"/>
      <c r="V447" s="115"/>
      <c r="W447" s="115"/>
      <c r="X447" s="109" t="s">
        <v>2402</v>
      </c>
      <c r="Y447" s="109" t="s">
        <v>2402</v>
      </c>
      <c r="Z447" s="106"/>
      <c r="AA447" s="106"/>
      <c r="AB447" s="106"/>
      <c r="AC447" s="106"/>
    </row>
    <row r="448" spans="1:29" s="120" customFormat="1" ht="14.25">
      <c r="A448" s="149" t="s">
        <v>1109</v>
      </c>
      <c r="B448" s="150" t="s">
        <v>1108</v>
      </c>
      <c r="C448" s="151" t="s">
        <v>1110</v>
      </c>
      <c r="D448" s="118"/>
      <c r="E448" s="118"/>
      <c r="F448" s="140">
        <v>435</v>
      </c>
      <c r="G448" s="140"/>
      <c r="H448" s="118"/>
      <c r="L448" s="135"/>
      <c r="M448" s="135"/>
      <c r="N448" s="135"/>
    </row>
    <row r="449" spans="1:29" s="120" customFormat="1">
      <c r="A449" s="136" t="s">
        <v>2411</v>
      </c>
      <c r="B449" s="127" t="s">
        <v>2412</v>
      </c>
      <c r="C449" s="145" t="s">
        <v>960</v>
      </c>
      <c r="D449" s="108"/>
      <c r="E449" s="108"/>
      <c r="F449" s="139">
        <v>436</v>
      </c>
      <c r="G449" s="139"/>
      <c r="H449" s="127"/>
      <c r="I449" s="112"/>
      <c r="J449" s="112"/>
      <c r="K449" s="112"/>
      <c r="L449" s="109"/>
      <c r="M449" s="116"/>
      <c r="N449" s="109" t="s">
        <v>2410</v>
      </c>
      <c r="O449" s="112"/>
      <c r="P449" s="112"/>
      <c r="Q449" s="112"/>
      <c r="R449" s="112"/>
      <c r="S449" s="112"/>
      <c r="T449" s="112"/>
      <c r="U449" s="112"/>
      <c r="V449" s="112"/>
      <c r="W449" s="112"/>
      <c r="X449" s="106"/>
      <c r="Y449" s="106"/>
      <c r="Z449" s="106"/>
      <c r="AA449" s="106"/>
      <c r="AB449" s="106"/>
      <c r="AC449" s="106"/>
    </row>
    <row r="450" spans="1:29" s="120" customFormat="1">
      <c r="A450" s="115" t="s">
        <v>1498</v>
      </c>
      <c r="B450" s="127" t="s">
        <v>1202</v>
      </c>
      <c r="C450" s="145" t="s">
        <v>1499</v>
      </c>
      <c r="D450" s="108"/>
      <c r="E450" s="108"/>
      <c r="F450" s="139">
        <v>165</v>
      </c>
      <c r="G450" s="139"/>
      <c r="H450" s="127"/>
      <c r="I450" s="122"/>
      <c r="J450" s="122"/>
      <c r="K450" s="122"/>
      <c r="L450" s="109"/>
      <c r="M450" s="131"/>
      <c r="N450" s="127" t="s">
        <v>1474</v>
      </c>
      <c r="O450" s="122"/>
      <c r="P450" s="112"/>
      <c r="Q450" s="112"/>
      <c r="R450" s="112"/>
      <c r="S450" s="112"/>
      <c r="T450" s="112"/>
      <c r="U450" s="112"/>
      <c r="V450" s="112"/>
      <c r="W450" s="112"/>
      <c r="X450" s="106"/>
      <c r="Y450" s="106"/>
      <c r="Z450" s="106"/>
      <c r="AA450" s="106"/>
      <c r="AB450" s="106"/>
      <c r="AC450" s="106"/>
    </row>
    <row r="451" spans="1:29" s="120" customFormat="1">
      <c r="A451" s="124" t="s">
        <v>1257</v>
      </c>
      <c r="B451" s="124"/>
      <c r="C451" s="145" t="s">
        <v>1030</v>
      </c>
      <c r="D451" s="108"/>
      <c r="E451" s="108"/>
      <c r="F451" s="139">
        <v>223</v>
      </c>
      <c r="G451" s="139"/>
      <c r="H451" s="124"/>
      <c r="I451" s="112"/>
      <c r="J451" s="112"/>
      <c r="K451" s="112"/>
      <c r="L451" s="109"/>
      <c r="M451" s="115"/>
      <c r="N451" s="109" t="s">
        <v>4702</v>
      </c>
      <c r="O451" s="112"/>
      <c r="P451" s="112"/>
      <c r="Q451" s="112"/>
      <c r="R451" s="112"/>
      <c r="S451" s="112"/>
      <c r="T451" s="112"/>
      <c r="U451" s="112"/>
      <c r="V451" s="112"/>
      <c r="W451" s="112"/>
      <c r="X451" s="106"/>
      <c r="Y451" s="106"/>
      <c r="Z451" s="106"/>
      <c r="AA451" s="106"/>
      <c r="AB451" s="106"/>
      <c r="AC451" s="106"/>
    </row>
    <row r="452" spans="1:29" s="120" customFormat="1" ht="31.5">
      <c r="A452" s="124" t="s">
        <v>1226</v>
      </c>
      <c r="B452" s="124" t="s">
        <v>1195</v>
      </c>
      <c r="C452" s="145" t="s">
        <v>1144</v>
      </c>
      <c r="D452" s="108"/>
      <c r="E452" s="108" t="s">
        <v>2666</v>
      </c>
      <c r="F452" s="139"/>
      <c r="G452" s="139"/>
      <c r="H452" s="124"/>
      <c r="I452" s="112"/>
      <c r="J452" s="112"/>
      <c r="K452" s="112"/>
      <c r="L452" s="109"/>
      <c r="M452" s="124"/>
      <c r="N452" s="109"/>
      <c r="O452" s="112"/>
      <c r="P452" s="112"/>
      <c r="Q452" s="112"/>
      <c r="R452" s="112"/>
      <c r="S452" s="112"/>
      <c r="T452" s="112"/>
      <c r="U452" s="112"/>
      <c r="V452" s="112"/>
      <c r="W452" s="112"/>
      <c r="X452" s="106"/>
      <c r="Y452" s="106"/>
      <c r="Z452" s="106"/>
      <c r="AA452" s="106"/>
      <c r="AB452" s="106"/>
      <c r="AC452" s="106"/>
    </row>
    <row r="453" spans="1:29" s="120" customFormat="1">
      <c r="A453" s="115" t="s">
        <v>246</v>
      </c>
      <c r="B453" s="127" t="s">
        <v>245</v>
      </c>
      <c r="C453" s="145" t="s">
        <v>247</v>
      </c>
      <c r="D453" s="108"/>
      <c r="E453" s="108"/>
      <c r="F453" s="139">
        <v>417</v>
      </c>
      <c r="G453" s="139"/>
      <c r="H453" s="127"/>
      <c r="I453" s="112"/>
      <c r="J453" s="112"/>
      <c r="K453" s="112"/>
      <c r="L453" s="109"/>
      <c r="M453" s="127"/>
      <c r="N453" s="109"/>
      <c r="O453" s="112"/>
      <c r="P453" s="112"/>
      <c r="Q453" s="112"/>
      <c r="R453" s="112"/>
      <c r="S453" s="112"/>
      <c r="T453" s="112"/>
      <c r="U453" s="112"/>
      <c r="V453" s="112"/>
      <c r="W453" s="112"/>
      <c r="X453" s="106"/>
      <c r="Y453" s="106"/>
      <c r="Z453" s="106"/>
      <c r="AA453" s="106"/>
      <c r="AB453" s="106"/>
      <c r="AC453" s="106"/>
    </row>
    <row r="454" spans="1:29" s="120" customFormat="1">
      <c r="A454" s="127" t="s">
        <v>922</v>
      </c>
      <c r="C454" s="145" t="s">
        <v>923</v>
      </c>
      <c r="D454" s="108" t="s">
        <v>2673</v>
      </c>
      <c r="E454" s="108"/>
      <c r="F454" s="139">
        <v>103</v>
      </c>
      <c r="G454" s="139"/>
      <c r="H454" s="127"/>
      <c r="I454" s="112"/>
      <c r="J454" s="112"/>
      <c r="K454" s="112"/>
      <c r="L454" s="109"/>
      <c r="M454" s="116"/>
      <c r="N454" s="109"/>
      <c r="O454" s="112"/>
      <c r="P454" s="112"/>
      <c r="Q454" s="112"/>
      <c r="R454" s="112"/>
      <c r="S454" s="112"/>
      <c r="T454" s="112"/>
      <c r="U454" s="112"/>
      <c r="V454" s="112"/>
      <c r="W454" s="112"/>
      <c r="X454" s="106"/>
      <c r="Y454" s="106"/>
      <c r="Z454" s="106"/>
      <c r="AA454" s="106"/>
      <c r="AB454" s="106"/>
      <c r="AC454" s="106"/>
    </row>
    <row r="455" spans="1:29" s="120" customFormat="1">
      <c r="A455" s="176" t="s">
        <v>3164</v>
      </c>
      <c r="B455" s="131" t="s">
        <v>3163</v>
      </c>
      <c r="C455" s="55" t="s">
        <v>3166</v>
      </c>
      <c r="D455" s="108"/>
      <c r="E455" s="108"/>
      <c r="F455" s="139">
        <v>478</v>
      </c>
      <c r="G455" s="139"/>
      <c r="H455" s="131" t="s">
        <v>2400</v>
      </c>
      <c r="I455" s="124"/>
      <c r="J455" s="124">
        <v>15202180470</v>
      </c>
      <c r="K455" s="124"/>
      <c r="L455" s="109"/>
      <c r="M455" s="131"/>
      <c r="N455" s="109" t="s">
        <v>3153</v>
      </c>
      <c r="O455" s="124"/>
      <c r="P455" s="112"/>
      <c r="Q455" s="112"/>
      <c r="R455" s="112"/>
      <c r="S455" s="112"/>
      <c r="T455" s="112"/>
      <c r="U455" s="112"/>
      <c r="V455" s="112"/>
      <c r="W455" s="112"/>
      <c r="X455" s="106"/>
      <c r="Y455" s="106"/>
      <c r="Z455" s="106"/>
      <c r="AA455" s="106"/>
      <c r="AB455" s="106"/>
      <c r="AC455" s="106"/>
    </row>
    <row r="456" spans="1:29" s="120" customFormat="1">
      <c r="A456" s="124" t="s">
        <v>159</v>
      </c>
      <c r="B456" s="124" t="s">
        <v>446</v>
      </c>
      <c r="C456" s="145" t="s">
        <v>447</v>
      </c>
      <c r="D456" s="108"/>
      <c r="E456" s="108" t="s">
        <v>2666</v>
      </c>
      <c r="F456" s="139"/>
      <c r="G456" s="139"/>
      <c r="H456" s="124"/>
      <c r="I456" s="112"/>
      <c r="J456" s="112"/>
      <c r="K456" s="112"/>
      <c r="L456" s="109"/>
      <c r="M456" s="124"/>
      <c r="N456" s="109"/>
      <c r="O456" s="112"/>
      <c r="P456" s="112"/>
      <c r="Q456" s="112"/>
      <c r="R456" s="112"/>
      <c r="S456" s="112"/>
      <c r="T456" s="112"/>
      <c r="U456" s="112"/>
      <c r="V456" s="112"/>
      <c r="W456" s="112"/>
      <c r="X456" s="106"/>
      <c r="Y456" s="106"/>
      <c r="Z456" s="106"/>
      <c r="AA456" s="106"/>
      <c r="AB456" s="106"/>
      <c r="AC456" s="106"/>
    </row>
    <row r="457" spans="1:29" s="120" customFormat="1">
      <c r="A457" s="124" t="s">
        <v>159</v>
      </c>
      <c r="B457" s="124" t="s">
        <v>442</v>
      </c>
      <c r="C457" s="145" t="s">
        <v>443</v>
      </c>
      <c r="D457" s="108"/>
      <c r="E457" s="108"/>
      <c r="F457" s="139">
        <v>233</v>
      </c>
      <c r="G457" s="139"/>
      <c r="H457" s="124"/>
      <c r="I457" s="112"/>
      <c r="J457" s="112"/>
      <c r="K457" s="112"/>
      <c r="L457" s="109"/>
      <c r="M457" s="124"/>
      <c r="N457" s="109"/>
      <c r="O457" s="112"/>
      <c r="P457" s="112"/>
      <c r="Q457" s="112"/>
      <c r="R457" s="112"/>
      <c r="S457" s="112"/>
      <c r="T457" s="112"/>
      <c r="U457" s="112"/>
      <c r="V457" s="112"/>
      <c r="W457" s="112"/>
      <c r="X457" s="106"/>
      <c r="Y457" s="106"/>
      <c r="Z457" s="106"/>
      <c r="AA457" s="106"/>
      <c r="AB457" s="106"/>
      <c r="AC457" s="106"/>
    </row>
    <row r="458" spans="1:29" s="120" customFormat="1">
      <c r="A458" s="124" t="s">
        <v>1227</v>
      </c>
      <c r="B458" s="124" t="s">
        <v>1196</v>
      </c>
      <c r="C458" s="145" t="s">
        <v>1145</v>
      </c>
      <c r="D458" s="108"/>
      <c r="E458" s="108"/>
      <c r="F458" s="139">
        <v>249</v>
      </c>
      <c r="G458" s="139"/>
      <c r="H458" s="124"/>
      <c r="I458" s="112"/>
      <c r="J458" s="112"/>
      <c r="K458" s="112"/>
      <c r="L458" s="109"/>
      <c r="M458" s="115"/>
      <c r="N458" s="109"/>
      <c r="O458" s="112"/>
      <c r="P458" s="112"/>
      <c r="Q458" s="112"/>
      <c r="R458" s="112"/>
      <c r="S458" s="112"/>
      <c r="T458" s="112"/>
      <c r="U458" s="112"/>
      <c r="V458" s="112"/>
      <c r="W458" s="112"/>
      <c r="X458" s="106"/>
      <c r="Y458" s="106"/>
      <c r="Z458" s="106"/>
      <c r="AA458" s="106"/>
      <c r="AB458" s="106"/>
      <c r="AC458" s="106"/>
    </row>
    <row r="459" spans="1:29" s="120" customFormat="1">
      <c r="A459" s="124" t="s">
        <v>101</v>
      </c>
      <c r="B459" s="124" t="s">
        <v>361</v>
      </c>
      <c r="C459" s="145" t="s">
        <v>362</v>
      </c>
      <c r="D459" s="108"/>
      <c r="E459" s="108"/>
      <c r="F459" s="139">
        <v>140</v>
      </c>
      <c r="G459" s="139"/>
      <c r="H459" s="124"/>
      <c r="I459" s="112"/>
      <c r="J459" s="112"/>
      <c r="K459" s="112"/>
      <c r="L459" s="109"/>
      <c r="M459" s="127"/>
      <c r="N459" s="109"/>
      <c r="O459" s="112"/>
      <c r="P459" s="112"/>
      <c r="Q459" s="112"/>
      <c r="R459" s="112"/>
      <c r="S459" s="112"/>
      <c r="T459" s="112"/>
      <c r="U459" s="112"/>
      <c r="V459" s="112"/>
      <c r="W459" s="112"/>
      <c r="X459" s="106"/>
      <c r="Y459" s="106"/>
      <c r="Z459" s="106"/>
      <c r="AA459" s="106"/>
      <c r="AB459" s="106"/>
      <c r="AC459" s="106"/>
    </row>
    <row r="460" spans="1:29" s="120" customFormat="1">
      <c r="A460" s="118" t="s">
        <v>2469</v>
      </c>
      <c r="B460" s="150" t="s">
        <v>2468</v>
      </c>
      <c r="C460" s="151" t="s">
        <v>2470</v>
      </c>
      <c r="D460" s="118"/>
      <c r="E460" s="118" t="s">
        <v>2666</v>
      </c>
      <c r="F460" s="140"/>
      <c r="G460" s="140"/>
      <c r="H460" s="118"/>
      <c r="L460" s="119"/>
      <c r="M460" s="127"/>
      <c r="N460" s="119"/>
    </row>
    <row r="461" spans="1:29" s="120" customFormat="1" ht="31.5">
      <c r="A461" s="115" t="s">
        <v>1860</v>
      </c>
      <c r="B461" s="115" t="s">
        <v>1861</v>
      </c>
      <c r="C461" s="145" t="s">
        <v>1862</v>
      </c>
      <c r="D461" s="108"/>
      <c r="E461" s="108"/>
      <c r="F461" s="139">
        <v>357</v>
      </c>
      <c r="G461" s="139"/>
      <c r="H461" s="115"/>
      <c r="I461" s="115"/>
      <c r="J461" s="115"/>
      <c r="K461" s="115"/>
      <c r="L461" s="115" t="s">
        <v>1289</v>
      </c>
      <c r="M461" s="115"/>
      <c r="N461" s="115" t="s">
        <v>1789</v>
      </c>
      <c r="O461" s="115"/>
      <c r="P461" s="112"/>
      <c r="Q461" s="112"/>
      <c r="R461" s="112"/>
      <c r="S461" s="112"/>
      <c r="T461" s="112"/>
      <c r="U461" s="112"/>
      <c r="V461" s="112"/>
      <c r="W461" s="112"/>
      <c r="X461" s="106"/>
      <c r="Y461" s="106"/>
      <c r="Z461" s="106"/>
      <c r="AA461" s="106"/>
      <c r="AB461" s="106"/>
      <c r="AC461" s="106"/>
    </row>
    <row r="462" spans="1:29" s="120" customFormat="1">
      <c r="A462" s="124" t="s">
        <v>677</v>
      </c>
      <c r="B462" s="124" t="s">
        <v>676</v>
      </c>
      <c r="C462" s="145" t="s">
        <v>678</v>
      </c>
      <c r="D462" s="108"/>
      <c r="E462" s="108" t="s">
        <v>2663</v>
      </c>
      <c r="F462" s="139"/>
      <c r="G462" s="139"/>
      <c r="H462" s="124"/>
      <c r="I462" s="112"/>
      <c r="J462" s="112"/>
      <c r="K462" s="112"/>
      <c r="L462" s="109"/>
      <c r="M462" s="115"/>
      <c r="N462" s="109"/>
      <c r="O462" s="112"/>
      <c r="P462" s="112"/>
      <c r="Q462" s="112"/>
      <c r="R462" s="112"/>
      <c r="S462" s="112"/>
      <c r="T462" s="112"/>
      <c r="U462" s="112"/>
      <c r="V462" s="112"/>
      <c r="W462" s="112"/>
      <c r="X462" s="106"/>
      <c r="Y462" s="106"/>
      <c r="Z462" s="106"/>
      <c r="AA462" s="106"/>
      <c r="AB462" s="106"/>
      <c r="AC462" s="106"/>
    </row>
    <row r="463" spans="1:29" s="120" customFormat="1" ht="31.5">
      <c r="A463" s="115" t="s">
        <v>2093</v>
      </c>
      <c r="B463" s="115" t="s">
        <v>2094</v>
      </c>
      <c r="C463" s="145" t="s">
        <v>2095</v>
      </c>
      <c r="D463" s="108"/>
      <c r="E463" s="108" t="s">
        <v>2666</v>
      </c>
      <c r="F463" s="139"/>
      <c r="G463" s="139"/>
      <c r="H463" s="115"/>
      <c r="I463" s="115"/>
      <c r="J463" s="115"/>
      <c r="K463" s="115"/>
      <c r="L463" s="115" t="s">
        <v>1284</v>
      </c>
      <c r="M463" s="116"/>
      <c r="N463" s="115"/>
      <c r="O463" s="115"/>
      <c r="P463" s="112"/>
      <c r="Q463" s="112"/>
      <c r="R463" s="112"/>
      <c r="S463" s="112"/>
      <c r="T463" s="112"/>
      <c r="U463" s="112"/>
      <c r="V463" s="112"/>
      <c r="W463" s="112"/>
      <c r="X463" s="106"/>
      <c r="Y463" s="106"/>
      <c r="Z463" s="106"/>
      <c r="AA463" s="106"/>
      <c r="AB463" s="106"/>
      <c r="AC463" s="106"/>
    </row>
    <row r="464" spans="1:29" s="120" customFormat="1">
      <c r="A464" s="124" t="s">
        <v>395</v>
      </c>
      <c r="B464" s="124"/>
      <c r="C464" s="145" t="s">
        <v>397</v>
      </c>
      <c r="D464" s="108"/>
      <c r="E464" s="108"/>
      <c r="F464" s="139">
        <v>380</v>
      </c>
      <c r="G464" s="139"/>
      <c r="H464" s="124"/>
      <c r="I464" s="112"/>
      <c r="J464" s="112"/>
      <c r="K464" s="112"/>
      <c r="L464" s="109" t="s">
        <v>2345</v>
      </c>
      <c r="M464" s="124"/>
      <c r="N464" s="109"/>
      <c r="O464" s="112"/>
      <c r="P464" s="112"/>
      <c r="Q464" s="112"/>
      <c r="R464" s="112"/>
      <c r="S464" s="112"/>
      <c r="T464" s="112"/>
      <c r="U464" s="112"/>
      <c r="V464" s="112"/>
      <c r="W464" s="112"/>
      <c r="X464" s="106"/>
      <c r="Y464" s="106"/>
      <c r="Z464" s="106"/>
      <c r="AA464" s="106"/>
      <c r="AB464" s="106"/>
      <c r="AC464" s="106"/>
    </row>
    <row r="465" spans="1:29" s="120" customFormat="1">
      <c r="A465" s="136" t="s">
        <v>2658</v>
      </c>
      <c r="B465" s="127" t="s">
        <v>2657</v>
      </c>
      <c r="C465" s="145" t="s">
        <v>963</v>
      </c>
      <c r="D465" s="108"/>
      <c r="E465" s="108"/>
      <c r="F465" s="139">
        <v>35</v>
      </c>
      <c r="G465" s="139"/>
      <c r="H465" s="127"/>
      <c r="I465" s="110"/>
      <c r="J465" s="110"/>
      <c r="K465" s="110"/>
      <c r="L465" s="109"/>
      <c r="M465" s="124"/>
      <c r="N465" s="116" t="s">
        <v>2659</v>
      </c>
      <c r="O465" s="110"/>
      <c r="P465" s="110"/>
      <c r="Q465" s="110"/>
      <c r="R465" s="110"/>
      <c r="S465" s="110"/>
      <c r="T465" s="110"/>
      <c r="U465" s="110"/>
      <c r="V465" s="110"/>
      <c r="W465" s="110"/>
      <c r="X465" s="106"/>
      <c r="Y465" s="106"/>
      <c r="Z465" s="106"/>
      <c r="AA465" s="106"/>
      <c r="AB465" s="106"/>
      <c r="AC465" s="106"/>
    </row>
    <row r="466" spans="1:29" s="120" customFormat="1">
      <c r="A466" s="118" t="s">
        <v>2448</v>
      </c>
      <c r="B466" s="150" t="s">
        <v>2447</v>
      </c>
      <c r="C466" s="151" t="s">
        <v>2449</v>
      </c>
      <c r="D466" s="118"/>
      <c r="E466" s="118"/>
      <c r="F466" s="140">
        <v>68</v>
      </c>
      <c r="G466" s="140"/>
      <c r="H466" s="118"/>
      <c r="J466" s="155"/>
      <c r="K466" s="155"/>
      <c r="L466" s="118"/>
      <c r="M466" s="115"/>
      <c r="N466" s="119"/>
    </row>
    <row r="467" spans="1:29" s="120" customFormat="1">
      <c r="A467" s="124" t="s">
        <v>548</v>
      </c>
      <c r="B467" s="124" t="s">
        <v>547</v>
      </c>
      <c r="C467" s="145" t="s">
        <v>549</v>
      </c>
      <c r="D467" s="108"/>
      <c r="E467" s="108" t="s">
        <v>2679</v>
      </c>
      <c r="F467" s="139"/>
      <c r="G467" s="139"/>
      <c r="H467" s="124"/>
      <c r="I467" s="112"/>
      <c r="J467" s="112"/>
      <c r="K467" s="112"/>
      <c r="L467" s="109"/>
      <c r="M467" s="124"/>
      <c r="N467" s="109"/>
      <c r="O467" s="112"/>
      <c r="P467" s="112"/>
      <c r="Q467" s="112"/>
      <c r="R467" s="112"/>
      <c r="S467" s="112"/>
      <c r="T467" s="112"/>
      <c r="U467" s="112"/>
      <c r="V467" s="112"/>
      <c r="W467" s="112"/>
      <c r="X467" s="106"/>
      <c r="Y467" s="106"/>
      <c r="Z467" s="106"/>
      <c r="AA467" s="106"/>
      <c r="AB467" s="106"/>
      <c r="AC467" s="106"/>
    </row>
    <row r="468" spans="1:29" s="120" customFormat="1">
      <c r="A468" s="124"/>
      <c r="B468" s="131"/>
      <c r="C468" s="172" t="s">
        <v>2678</v>
      </c>
      <c r="D468" s="108"/>
      <c r="E468" s="108" t="s">
        <v>2661</v>
      </c>
      <c r="F468" s="139"/>
      <c r="G468" s="139"/>
      <c r="H468" s="131"/>
      <c r="I468" s="124"/>
      <c r="J468" s="124"/>
      <c r="K468" s="124"/>
      <c r="L468" s="109"/>
      <c r="M468" s="131"/>
      <c r="N468" s="109"/>
      <c r="O468" s="124"/>
      <c r="P468" s="112"/>
      <c r="Q468" s="112"/>
      <c r="R468" s="112"/>
      <c r="S468" s="112"/>
      <c r="T468" s="112"/>
      <c r="U468" s="112"/>
      <c r="V468" s="112"/>
      <c r="W468" s="112"/>
      <c r="X468" s="106"/>
      <c r="Y468" s="106"/>
      <c r="Z468" s="106"/>
      <c r="AA468" s="106"/>
      <c r="AB468" s="106"/>
      <c r="AC468" s="106"/>
    </row>
    <row r="469" spans="1:29" s="120" customFormat="1">
      <c r="A469" s="115" t="s">
        <v>1481</v>
      </c>
      <c r="B469" s="127" t="s">
        <v>1482</v>
      </c>
      <c r="C469" s="145" t="s">
        <v>1483</v>
      </c>
      <c r="D469" s="108"/>
      <c r="E469" s="108"/>
      <c r="F469" s="139">
        <v>426</v>
      </c>
      <c r="G469" s="139"/>
      <c r="H469" s="127"/>
      <c r="I469" s="122"/>
      <c r="J469" s="122" t="s">
        <v>1484</v>
      </c>
      <c r="K469" s="122"/>
      <c r="L469" s="109"/>
      <c r="M469" s="127"/>
      <c r="N469" s="127" t="s">
        <v>1465</v>
      </c>
      <c r="O469" s="122"/>
      <c r="P469" s="112"/>
      <c r="Q469" s="112"/>
      <c r="R469" s="112"/>
      <c r="S469" s="112"/>
      <c r="T469" s="112"/>
      <c r="U469" s="112"/>
      <c r="V469" s="112"/>
      <c r="W469" s="112"/>
      <c r="X469" s="106"/>
      <c r="Y469" s="106"/>
      <c r="Z469" s="106"/>
      <c r="AA469" s="106"/>
      <c r="AB469" s="106"/>
      <c r="AC469" s="106"/>
    </row>
    <row r="470" spans="1:29" s="120" customFormat="1">
      <c r="A470" s="124" t="s">
        <v>822</v>
      </c>
      <c r="B470" s="124" t="s">
        <v>826</v>
      </c>
      <c r="C470" s="145" t="s">
        <v>827</v>
      </c>
      <c r="D470" s="108"/>
      <c r="E470" s="108"/>
      <c r="F470" s="139">
        <v>391</v>
      </c>
      <c r="G470" s="139"/>
      <c r="H470" s="124"/>
      <c r="I470" s="112"/>
      <c r="J470" s="112"/>
      <c r="K470" s="112"/>
      <c r="L470" s="109"/>
      <c r="M470" s="124"/>
      <c r="N470" s="109"/>
      <c r="O470" s="112"/>
      <c r="P470" s="112"/>
      <c r="Q470" s="112"/>
      <c r="R470" s="112"/>
      <c r="S470" s="112"/>
      <c r="T470" s="112"/>
      <c r="U470" s="112"/>
      <c r="V470" s="112"/>
      <c r="W470" s="112"/>
      <c r="X470" s="106"/>
      <c r="Y470" s="106"/>
      <c r="Z470" s="106"/>
      <c r="AA470" s="106"/>
      <c r="AB470" s="106"/>
      <c r="AC470" s="106"/>
    </row>
    <row r="471" spans="1:29" s="120" customFormat="1">
      <c r="A471" s="118" t="s">
        <v>2481</v>
      </c>
      <c r="B471" s="150" t="s">
        <v>2480</v>
      </c>
      <c r="C471" s="151" t="s">
        <v>2482</v>
      </c>
      <c r="D471" s="118"/>
      <c r="E471" s="118"/>
      <c r="F471" s="140">
        <v>295</v>
      </c>
      <c r="G471" s="140"/>
      <c r="H471" s="118"/>
      <c r="L471" s="119"/>
      <c r="M471" s="124"/>
      <c r="N471" s="119"/>
    </row>
    <row r="472" spans="1:29" s="120" customFormat="1">
      <c r="A472" s="124" t="s">
        <v>584</v>
      </c>
      <c r="B472" s="124" t="s">
        <v>583</v>
      </c>
      <c r="C472" s="145" t="s">
        <v>585</v>
      </c>
      <c r="D472" s="108"/>
      <c r="E472" s="108"/>
      <c r="F472" s="139">
        <v>393</v>
      </c>
      <c r="G472" s="139"/>
      <c r="H472" s="124"/>
      <c r="I472" s="112"/>
      <c r="J472" s="112"/>
      <c r="K472" s="112"/>
      <c r="L472" s="109"/>
      <c r="M472" s="124"/>
      <c r="N472" s="109"/>
      <c r="O472" s="112"/>
      <c r="P472" s="112"/>
      <c r="Q472" s="112"/>
      <c r="R472" s="112"/>
      <c r="S472" s="112"/>
      <c r="T472" s="112"/>
      <c r="U472" s="112"/>
      <c r="V472" s="112"/>
      <c r="W472" s="112"/>
      <c r="X472" s="106"/>
      <c r="Y472" s="106"/>
      <c r="Z472" s="106"/>
      <c r="AA472" s="106"/>
      <c r="AB472" s="106"/>
      <c r="AC472" s="106"/>
    </row>
    <row r="473" spans="1:29" s="120" customFormat="1" ht="31.5">
      <c r="A473" s="115" t="s">
        <v>1385</v>
      </c>
      <c r="B473" s="127" t="s">
        <v>1386</v>
      </c>
      <c r="C473" s="145" t="s">
        <v>1388</v>
      </c>
      <c r="D473" s="108"/>
      <c r="E473" s="108"/>
      <c r="F473" s="139">
        <v>50</v>
      </c>
      <c r="G473" s="139"/>
      <c r="H473" s="127"/>
      <c r="I473" s="122"/>
      <c r="J473" s="122" t="s">
        <v>1387</v>
      </c>
      <c r="K473" s="122"/>
      <c r="L473" s="127" t="s">
        <v>1341</v>
      </c>
      <c r="M473" s="116"/>
      <c r="N473" s="116"/>
      <c r="O473" s="122"/>
      <c r="P473" s="112"/>
      <c r="Q473" s="112"/>
      <c r="R473" s="112"/>
      <c r="S473" s="112"/>
      <c r="T473" s="112"/>
      <c r="U473" s="112"/>
      <c r="V473" s="112"/>
      <c r="W473" s="112"/>
      <c r="X473" s="106"/>
      <c r="Y473" s="106"/>
      <c r="Z473" s="106"/>
      <c r="AA473" s="106"/>
      <c r="AB473" s="106"/>
      <c r="AC473" s="106"/>
    </row>
    <row r="474" spans="1:29" s="120" customFormat="1">
      <c r="A474" s="115" t="s">
        <v>1991</v>
      </c>
      <c r="B474" s="115" t="s">
        <v>1992</v>
      </c>
      <c r="C474" s="145" t="s">
        <v>1993</v>
      </c>
      <c r="D474" s="108"/>
      <c r="E474" s="108"/>
      <c r="F474" s="139">
        <v>324</v>
      </c>
      <c r="G474" s="139"/>
      <c r="H474" s="115"/>
      <c r="I474" s="115"/>
      <c r="J474" s="115"/>
      <c r="K474" s="115"/>
      <c r="L474" s="115" t="s">
        <v>1990</v>
      </c>
      <c r="M474" s="124"/>
      <c r="N474" s="115" t="s">
        <v>1733</v>
      </c>
      <c r="O474" s="115"/>
      <c r="P474" s="112"/>
      <c r="Q474" s="112"/>
      <c r="R474" s="112"/>
      <c r="S474" s="112"/>
      <c r="T474" s="112"/>
      <c r="U474" s="112"/>
      <c r="V474" s="112"/>
      <c r="W474" s="112"/>
      <c r="X474" s="106"/>
      <c r="Y474" s="106"/>
      <c r="Z474" s="106"/>
      <c r="AA474" s="106"/>
      <c r="AB474" s="106"/>
      <c r="AC474" s="106"/>
    </row>
    <row r="475" spans="1:29" s="120" customFormat="1" ht="31.5">
      <c r="A475" s="136"/>
      <c r="B475" s="127" t="s">
        <v>1062</v>
      </c>
      <c r="C475" s="145" t="s">
        <v>1063</v>
      </c>
      <c r="D475" s="108"/>
      <c r="E475" s="108" t="s">
        <v>2666</v>
      </c>
      <c r="F475" s="139"/>
      <c r="G475" s="139"/>
      <c r="H475" s="127"/>
      <c r="I475" s="112"/>
      <c r="J475" s="112"/>
      <c r="K475" s="112"/>
      <c r="L475" s="109"/>
      <c r="M475" s="116"/>
      <c r="N475" s="109"/>
      <c r="O475" s="112"/>
      <c r="P475" s="129" t="s">
        <v>1061</v>
      </c>
      <c r="Q475" s="129"/>
      <c r="R475" s="129"/>
      <c r="S475" s="129"/>
      <c r="T475" s="129"/>
      <c r="U475" s="129"/>
      <c r="V475" s="129"/>
      <c r="W475" s="129"/>
      <c r="X475" s="106"/>
      <c r="Y475" s="106"/>
      <c r="Z475" s="106"/>
      <c r="AA475" s="106"/>
      <c r="AB475" s="106"/>
      <c r="AC475" s="106"/>
    </row>
    <row r="476" spans="1:29" s="120" customFormat="1">
      <c r="A476" s="124" t="s">
        <v>594</v>
      </c>
      <c r="B476" s="124" t="s">
        <v>593</v>
      </c>
      <c r="C476" s="145" t="s">
        <v>595</v>
      </c>
      <c r="D476" s="108"/>
      <c r="E476" s="108"/>
      <c r="F476" s="139">
        <v>326</v>
      </c>
      <c r="G476" s="139"/>
      <c r="H476" s="124"/>
      <c r="I476" s="112"/>
      <c r="J476" s="112"/>
      <c r="K476" s="112"/>
      <c r="L476" s="109"/>
      <c r="M476" s="115"/>
      <c r="N476" s="109"/>
      <c r="O476" s="112"/>
      <c r="P476" s="112"/>
      <c r="Q476" s="112"/>
      <c r="R476" s="112"/>
      <c r="S476" s="112"/>
      <c r="T476" s="112"/>
      <c r="U476" s="112"/>
      <c r="V476" s="112"/>
      <c r="W476" s="112"/>
      <c r="X476" s="106"/>
      <c r="Y476" s="106"/>
      <c r="Z476" s="106"/>
      <c r="AA476" s="106"/>
      <c r="AB476" s="106"/>
      <c r="AC476" s="106"/>
    </row>
    <row r="477" spans="1:29" s="120" customFormat="1" ht="28.5">
      <c r="A477" s="118" t="s">
        <v>2507</v>
      </c>
      <c r="B477" s="150" t="s">
        <v>2506</v>
      </c>
      <c r="C477" s="151" t="s">
        <v>2508</v>
      </c>
      <c r="D477" s="118"/>
      <c r="E477" s="118" t="s">
        <v>2666</v>
      </c>
      <c r="F477" s="140"/>
      <c r="G477" s="140"/>
      <c r="H477" s="118"/>
      <c r="L477" s="119"/>
      <c r="M477" s="119"/>
      <c r="N477" s="119"/>
    </row>
    <row r="478" spans="1:29" s="120" customFormat="1" ht="31.5">
      <c r="A478" s="136" t="s">
        <v>2387</v>
      </c>
      <c r="B478" s="127" t="s">
        <v>3076</v>
      </c>
      <c r="C478" s="145" t="s">
        <v>940</v>
      </c>
      <c r="D478" s="108"/>
      <c r="E478" s="108"/>
      <c r="F478" s="139">
        <v>237</v>
      </c>
      <c r="G478" s="139"/>
      <c r="H478" s="127"/>
      <c r="I478" s="110"/>
      <c r="J478" s="110"/>
      <c r="K478" s="110"/>
      <c r="L478" s="116"/>
      <c r="M478" s="124"/>
      <c r="N478" s="109"/>
      <c r="O478" s="110"/>
      <c r="P478" s="112"/>
      <c r="Q478" s="112"/>
      <c r="R478" s="112"/>
      <c r="S478" s="112"/>
      <c r="T478" s="112"/>
      <c r="U478" s="112"/>
      <c r="V478" s="112"/>
      <c r="W478" s="112"/>
      <c r="X478" s="106"/>
      <c r="Y478" s="106"/>
      <c r="Z478" s="106"/>
      <c r="AA478" s="106"/>
      <c r="AB478" s="106"/>
      <c r="AC478" s="106"/>
    </row>
    <row r="479" spans="1:29" s="120" customFormat="1">
      <c r="A479" s="150" t="s">
        <v>3102</v>
      </c>
      <c r="B479" s="150" t="s">
        <v>2450</v>
      </c>
      <c r="C479" s="151" t="s">
        <v>2451</v>
      </c>
      <c r="D479" s="118"/>
      <c r="E479" s="118" t="s">
        <v>2661</v>
      </c>
      <c r="F479" s="140"/>
      <c r="G479" s="140"/>
      <c r="H479" s="118"/>
      <c r="L479" s="119"/>
      <c r="M479" s="115"/>
      <c r="N479" s="119" t="s">
        <v>2306</v>
      </c>
    </row>
    <row r="480" spans="1:29" s="120" customFormat="1">
      <c r="A480" s="115" t="s">
        <v>259</v>
      </c>
      <c r="B480" s="127" t="s">
        <v>258</v>
      </c>
      <c r="C480" s="145" t="s">
        <v>260</v>
      </c>
      <c r="D480" s="108"/>
      <c r="E480" s="108" t="s">
        <v>2666</v>
      </c>
      <c r="F480" s="139"/>
      <c r="G480" s="139"/>
      <c r="H480" s="127"/>
      <c r="I480" s="112"/>
      <c r="J480" s="112"/>
      <c r="K480" s="112"/>
      <c r="L480" s="109"/>
      <c r="M480" s="127"/>
      <c r="N480" s="109"/>
      <c r="O480" s="112"/>
      <c r="P480" s="112"/>
      <c r="Q480" s="112"/>
      <c r="R480" s="112"/>
      <c r="S480" s="112"/>
      <c r="T480" s="112"/>
      <c r="U480" s="112"/>
      <c r="V480" s="112"/>
      <c r="W480" s="112"/>
      <c r="X480" s="106"/>
      <c r="Y480" s="106"/>
      <c r="Z480" s="106"/>
      <c r="AA480" s="106"/>
      <c r="AB480" s="106"/>
      <c r="AC480" s="106"/>
    </row>
    <row r="481" spans="1:29" s="120" customFormat="1">
      <c r="A481" s="115" t="s">
        <v>109</v>
      </c>
      <c r="B481" s="127" t="s">
        <v>116</v>
      </c>
      <c r="C481" s="145" t="s">
        <v>117</v>
      </c>
      <c r="D481" s="108"/>
      <c r="E481" s="108"/>
      <c r="F481" s="139">
        <v>174</v>
      </c>
      <c r="G481" s="139"/>
      <c r="H481" s="127"/>
      <c r="I481" s="112"/>
      <c r="J481" s="112"/>
      <c r="K481" s="112"/>
      <c r="L481" s="109"/>
      <c r="M481" s="124"/>
      <c r="N481" s="109"/>
      <c r="O481" s="112"/>
      <c r="P481" s="112"/>
      <c r="Q481" s="112"/>
      <c r="R481" s="112"/>
      <c r="S481" s="112"/>
      <c r="T481" s="112"/>
      <c r="U481" s="112"/>
      <c r="V481" s="112"/>
      <c r="W481" s="112"/>
      <c r="X481" s="106"/>
      <c r="Y481" s="106"/>
      <c r="Z481" s="106"/>
      <c r="AA481" s="106"/>
      <c r="AB481" s="106"/>
      <c r="AC481" s="106"/>
    </row>
    <row r="482" spans="1:29" s="120" customFormat="1">
      <c r="A482" s="115" t="s">
        <v>2065</v>
      </c>
      <c r="B482" s="115" t="s">
        <v>3821</v>
      </c>
      <c r="C482" s="55" t="s">
        <v>3965</v>
      </c>
      <c r="D482" s="108"/>
      <c r="E482" s="108"/>
      <c r="F482" s="139">
        <v>516</v>
      </c>
      <c r="G482" s="139"/>
      <c r="H482" s="115"/>
      <c r="I482" s="115"/>
      <c r="J482" s="115"/>
      <c r="K482" s="115"/>
      <c r="L482" s="115"/>
      <c r="M482" s="115"/>
      <c r="N482" s="115"/>
      <c r="O482" s="115"/>
      <c r="P482" s="112"/>
      <c r="Q482" s="112"/>
      <c r="R482" s="112"/>
      <c r="S482" s="112"/>
      <c r="T482" s="112"/>
      <c r="U482" s="112"/>
      <c r="V482" s="112"/>
      <c r="W482" s="112"/>
      <c r="X482" s="106"/>
      <c r="Y482" s="106"/>
      <c r="Z482" s="106"/>
      <c r="AA482" s="106"/>
      <c r="AB482" s="106"/>
      <c r="AC482" s="106"/>
    </row>
    <row r="483" spans="1:29" s="120" customFormat="1">
      <c r="A483" s="115" t="s">
        <v>2065</v>
      </c>
      <c r="B483" s="115" t="s">
        <v>2066</v>
      </c>
      <c r="C483" s="145" t="s">
        <v>2067</v>
      </c>
      <c r="D483" s="108"/>
      <c r="E483" s="108"/>
      <c r="F483" s="139">
        <v>517</v>
      </c>
      <c r="G483" s="139"/>
      <c r="H483" s="115"/>
      <c r="I483" s="115"/>
      <c r="J483" s="115"/>
      <c r="K483" s="115"/>
      <c r="L483" s="115" t="s">
        <v>1262</v>
      </c>
      <c r="M483" s="115"/>
      <c r="N483" s="115" t="s">
        <v>1774</v>
      </c>
      <c r="O483" s="115"/>
      <c r="P483" s="112"/>
      <c r="Q483" s="112"/>
      <c r="R483" s="112"/>
      <c r="S483" s="112"/>
      <c r="T483" s="112"/>
      <c r="U483" s="112"/>
      <c r="V483" s="112"/>
      <c r="W483" s="112"/>
      <c r="X483" s="106"/>
      <c r="Y483" s="106"/>
      <c r="Z483" s="106"/>
      <c r="AA483" s="106"/>
      <c r="AB483" s="106"/>
      <c r="AC483" s="106"/>
    </row>
    <row r="484" spans="1:29" s="120" customFormat="1">
      <c r="A484" s="124" t="s">
        <v>723</v>
      </c>
      <c r="B484" s="124" t="s">
        <v>722</v>
      </c>
      <c r="C484" s="145" t="s">
        <v>724</v>
      </c>
      <c r="D484" s="108"/>
      <c r="E484" s="108" t="s">
        <v>2663</v>
      </c>
      <c r="F484" s="139"/>
      <c r="G484" s="139"/>
      <c r="H484" s="124"/>
      <c r="I484" s="112"/>
      <c r="J484" s="112"/>
      <c r="K484" s="112"/>
      <c r="L484" s="109"/>
      <c r="M484" s="116"/>
      <c r="N484" s="109" t="s">
        <v>2671</v>
      </c>
      <c r="O484" s="112"/>
      <c r="P484" s="112"/>
      <c r="Q484" s="112"/>
      <c r="R484" s="112"/>
      <c r="S484" s="112"/>
      <c r="T484" s="112"/>
      <c r="U484" s="112"/>
      <c r="V484" s="112"/>
      <c r="W484" s="112"/>
      <c r="X484" s="106"/>
      <c r="Y484" s="106"/>
      <c r="Z484" s="106"/>
      <c r="AA484" s="106"/>
      <c r="AB484" s="106"/>
      <c r="AC484" s="106"/>
    </row>
    <row r="485" spans="1:29" s="120" customFormat="1" ht="14.25">
      <c r="A485" s="118" t="s">
        <v>1217</v>
      </c>
      <c r="B485" s="150" t="s">
        <v>2489</v>
      </c>
      <c r="C485" s="151" t="s">
        <v>2490</v>
      </c>
      <c r="D485" s="118"/>
      <c r="E485" s="118">
        <v>550</v>
      </c>
      <c r="F485" s="140"/>
      <c r="G485" s="140"/>
      <c r="H485" s="118"/>
      <c r="L485" s="119"/>
      <c r="M485" s="119"/>
      <c r="N485" s="119"/>
    </row>
    <row r="486" spans="1:29" s="120" customFormat="1">
      <c r="A486" s="124" t="s">
        <v>759</v>
      </c>
      <c r="B486" s="124" t="s">
        <v>758</v>
      </c>
      <c r="C486" s="145" t="s">
        <v>760</v>
      </c>
      <c r="D486" s="108"/>
      <c r="E486" s="108"/>
      <c r="F486" s="139">
        <v>451</v>
      </c>
      <c r="G486" s="139"/>
      <c r="H486" s="124"/>
      <c r="I486" s="112"/>
      <c r="J486" s="112"/>
      <c r="K486" s="112"/>
      <c r="L486" s="109"/>
      <c r="M486" s="124"/>
      <c r="N486" s="109" t="s">
        <v>2306</v>
      </c>
      <c r="O486" s="112"/>
      <c r="P486" s="112"/>
      <c r="Q486" s="112"/>
      <c r="R486" s="112"/>
      <c r="S486" s="112"/>
      <c r="T486" s="112"/>
      <c r="U486" s="112"/>
      <c r="V486" s="112"/>
      <c r="W486" s="112"/>
      <c r="X486" s="106"/>
      <c r="Y486" s="106"/>
      <c r="Z486" s="106"/>
      <c r="AA486" s="106"/>
      <c r="AB486" s="106"/>
      <c r="AC486" s="106"/>
    </row>
    <row r="487" spans="1:29" s="120" customFormat="1">
      <c r="A487" s="115" t="s">
        <v>2060</v>
      </c>
      <c r="B487" s="115" t="s">
        <v>2061</v>
      </c>
      <c r="C487" s="145" t="s">
        <v>2062</v>
      </c>
      <c r="D487" s="108"/>
      <c r="E487" s="108"/>
      <c r="F487" s="139">
        <v>428</v>
      </c>
      <c r="G487" s="139"/>
      <c r="H487" s="115"/>
      <c r="I487" s="115"/>
      <c r="J487" s="115"/>
      <c r="K487" s="115"/>
      <c r="L487" s="115" t="s">
        <v>1262</v>
      </c>
      <c r="M487" s="115"/>
      <c r="N487" s="115" t="s">
        <v>1461</v>
      </c>
      <c r="O487" s="115"/>
      <c r="P487" s="112"/>
      <c r="Q487" s="112"/>
      <c r="R487" s="112"/>
      <c r="S487" s="112"/>
      <c r="T487" s="112"/>
      <c r="U487" s="112"/>
      <c r="V487" s="112"/>
      <c r="W487" s="112"/>
      <c r="X487" s="106"/>
      <c r="Y487" s="106"/>
      <c r="Z487" s="106"/>
      <c r="AA487" s="106"/>
      <c r="AB487" s="106"/>
      <c r="AC487" s="106"/>
    </row>
    <row r="488" spans="1:29" s="120" customFormat="1">
      <c r="A488" s="115" t="s">
        <v>1753</v>
      </c>
      <c r="B488" s="115" t="s">
        <v>1881</v>
      </c>
      <c r="C488" s="145" t="s">
        <v>1882</v>
      </c>
      <c r="D488" s="108"/>
      <c r="E488" s="108"/>
      <c r="F488" s="139">
        <v>350</v>
      </c>
      <c r="G488" s="139"/>
      <c r="H488" s="115"/>
      <c r="I488" s="115"/>
      <c r="J488" s="115"/>
      <c r="K488" s="115"/>
      <c r="L488" s="115" t="s">
        <v>1289</v>
      </c>
      <c r="M488" s="115"/>
      <c r="N488" s="115" t="s">
        <v>1699</v>
      </c>
      <c r="O488" s="115"/>
      <c r="P488" s="112"/>
      <c r="Q488" s="112"/>
      <c r="R488" s="112"/>
      <c r="S488" s="112"/>
      <c r="T488" s="112"/>
      <c r="U488" s="112"/>
      <c r="V488" s="112"/>
      <c r="W488" s="112"/>
      <c r="X488" s="106"/>
      <c r="Y488" s="106"/>
      <c r="Z488" s="106"/>
      <c r="AA488" s="106"/>
      <c r="AB488" s="106"/>
      <c r="AC488" s="106"/>
    </row>
    <row r="489" spans="1:29" s="120" customFormat="1" ht="31.5">
      <c r="A489" s="115" t="s">
        <v>2137</v>
      </c>
      <c r="B489" s="115" t="s">
        <v>1068</v>
      </c>
      <c r="C489" s="145" t="s">
        <v>2139</v>
      </c>
      <c r="D489" s="108"/>
      <c r="E489" s="108">
        <v>550</v>
      </c>
      <c r="F489" s="139"/>
      <c r="G489" s="139"/>
      <c r="H489" s="115"/>
      <c r="I489" s="115"/>
      <c r="J489" s="115"/>
      <c r="K489" s="115"/>
      <c r="L489" s="109"/>
      <c r="M489" s="115"/>
      <c r="N489" s="115" t="s">
        <v>2138</v>
      </c>
      <c r="O489" s="115"/>
      <c r="P489" s="112"/>
      <c r="Q489" s="112"/>
      <c r="R489" s="112"/>
      <c r="S489" s="112"/>
      <c r="T489" s="112"/>
      <c r="U489" s="112"/>
      <c r="V489" s="112"/>
      <c r="W489" s="112"/>
      <c r="X489" s="106"/>
      <c r="Y489" s="106"/>
      <c r="Z489" s="106"/>
      <c r="AA489" s="106"/>
      <c r="AB489" s="106"/>
      <c r="AC489" s="106"/>
    </row>
    <row r="490" spans="1:29" s="120" customFormat="1">
      <c r="A490" s="124" t="s">
        <v>67</v>
      </c>
      <c r="B490" s="124" t="s">
        <v>332</v>
      </c>
      <c r="C490" s="145" t="s">
        <v>333</v>
      </c>
      <c r="D490" s="108"/>
      <c r="E490" s="108" t="s">
        <v>2764</v>
      </c>
      <c r="F490" s="139"/>
      <c r="G490" s="139"/>
      <c r="H490" s="124"/>
      <c r="I490" s="112"/>
      <c r="J490" s="112"/>
      <c r="K490" s="112"/>
      <c r="L490" s="109"/>
      <c r="M490" s="124"/>
      <c r="N490" s="109"/>
      <c r="O490" s="112"/>
      <c r="P490" s="112"/>
      <c r="Q490" s="112"/>
      <c r="R490" s="112"/>
      <c r="S490" s="112"/>
      <c r="T490" s="112"/>
      <c r="U490" s="112"/>
      <c r="V490" s="112"/>
      <c r="W490" s="112"/>
      <c r="X490" s="106"/>
      <c r="Y490" s="106"/>
      <c r="Z490" s="106"/>
      <c r="AA490" s="106"/>
      <c r="AB490" s="106"/>
      <c r="AC490" s="106"/>
    </row>
    <row r="491" spans="1:29" s="120" customFormat="1">
      <c r="A491" s="115" t="s">
        <v>189</v>
      </c>
      <c r="B491" s="127" t="s">
        <v>188</v>
      </c>
      <c r="C491" s="145" t="s">
        <v>190</v>
      </c>
      <c r="D491" s="108"/>
      <c r="E491" s="108">
        <v>550</v>
      </c>
      <c r="F491" s="139"/>
      <c r="G491" s="139"/>
      <c r="H491" s="127"/>
      <c r="I491" s="112"/>
      <c r="J491" s="112"/>
      <c r="K491" s="112"/>
      <c r="L491" s="109"/>
      <c r="M491" s="115"/>
      <c r="N491" s="109"/>
      <c r="O491" s="112"/>
      <c r="P491" s="112"/>
      <c r="Q491" s="112"/>
      <c r="R491" s="112"/>
      <c r="S491" s="112"/>
      <c r="T491" s="112"/>
      <c r="U491" s="112"/>
      <c r="V491" s="112"/>
      <c r="W491" s="112"/>
      <c r="X491" s="106"/>
      <c r="Y491" s="106"/>
      <c r="Z491" s="106"/>
      <c r="AA491" s="106"/>
      <c r="AB491" s="106"/>
      <c r="AC491" s="106"/>
    </row>
    <row r="492" spans="1:29" s="120" customFormat="1">
      <c r="A492" s="124" t="s">
        <v>1120</v>
      </c>
      <c r="B492" s="124" t="s">
        <v>2304</v>
      </c>
      <c r="C492" s="145" t="s">
        <v>990</v>
      </c>
      <c r="D492" s="108"/>
      <c r="E492" s="108" t="s">
        <v>2663</v>
      </c>
      <c r="F492" s="139"/>
      <c r="G492" s="139"/>
      <c r="H492" s="124"/>
      <c r="I492" s="112"/>
      <c r="J492" s="112"/>
      <c r="K492" s="112"/>
      <c r="L492" s="109"/>
      <c r="M492" s="124"/>
      <c r="N492" s="116" t="s">
        <v>2237</v>
      </c>
      <c r="O492" s="112"/>
      <c r="P492" s="112"/>
      <c r="Q492" s="112"/>
      <c r="R492" s="112"/>
      <c r="S492" s="112"/>
      <c r="T492" s="112"/>
      <c r="U492" s="112"/>
      <c r="V492" s="112"/>
      <c r="W492" s="112"/>
      <c r="X492" s="106"/>
      <c r="Y492" s="106"/>
      <c r="Z492" s="106"/>
      <c r="AA492" s="106"/>
      <c r="AB492" s="106"/>
      <c r="AC492" s="106"/>
    </row>
    <row r="493" spans="1:29" s="120" customFormat="1">
      <c r="A493" s="124" t="s">
        <v>417</v>
      </c>
      <c r="B493" s="124" t="s">
        <v>424</v>
      </c>
      <c r="C493" s="151" t="s">
        <v>425</v>
      </c>
      <c r="D493" s="118"/>
      <c r="E493" s="118"/>
      <c r="F493" s="140">
        <v>10</v>
      </c>
      <c r="G493" s="140"/>
      <c r="H493" s="154"/>
      <c r="L493" s="154"/>
      <c r="M493" s="154"/>
      <c r="N493" s="154" t="s">
        <v>2660</v>
      </c>
    </row>
    <row r="494" spans="1:29" s="120" customFormat="1">
      <c r="A494" s="115" t="s">
        <v>723</v>
      </c>
      <c r="B494" s="115" t="s">
        <v>2000</v>
      </c>
      <c r="C494" s="145" t="s">
        <v>2001</v>
      </c>
      <c r="D494" s="108"/>
      <c r="E494" s="108"/>
      <c r="F494" s="139">
        <v>302</v>
      </c>
      <c r="G494" s="139"/>
      <c r="H494" s="115"/>
      <c r="I494" s="115"/>
      <c r="J494" s="115"/>
      <c r="K494" s="115"/>
      <c r="L494" s="115" t="s">
        <v>1262</v>
      </c>
      <c r="M494" s="124"/>
      <c r="N494" s="115" t="s">
        <v>1465</v>
      </c>
      <c r="O494" s="115"/>
      <c r="P494" s="112"/>
      <c r="Q494" s="112"/>
      <c r="R494" s="112"/>
      <c r="S494" s="112"/>
      <c r="T494" s="112"/>
      <c r="U494" s="112"/>
      <c r="V494" s="112"/>
      <c r="W494" s="112"/>
      <c r="X494" s="106"/>
      <c r="Y494" s="106"/>
      <c r="Z494" s="106"/>
      <c r="AA494" s="106"/>
      <c r="AB494" s="106"/>
      <c r="AC494" s="106"/>
    </row>
    <row r="495" spans="1:29" s="120" customFormat="1">
      <c r="A495" s="124" t="s">
        <v>265</v>
      </c>
      <c r="B495" s="124" t="s">
        <v>667</v>
      </c>
      <c r="C495" s="145" t="s">
        <v>668</v>
      </c>
      <c r="D495" s="108"/>
      <c r="E495" s="108"/>
      <c r="F495" s="139">
        <v>441</v>
      </c>
      <c r="G495" s="139"/>
      <c r="H495" s="124"/>
      <c r="I495" s="110"/>
      <c r="J495" s="110"/>
      <c r="K495" s="110"/>
      <c r="L495" s="116"/>
      <c r="M495" s="124"/>
      <c r="N495" s="109"/>
      <c r="O495" s="110"/>
      <c r="P495" s="112"/>
      <c r="Q495" s="112"/>
      <c r="R495" s="112"/>
      <c r="S495" s="112"/>
      <c r="T495" s="112"/>
      <c r="U495" s="112"/>
      <c r="V495" s="112"/>
      <c r="W495" s="112"/>
      <c r="X495" s="106"/>
      <c r="Y495" s="106"/>
      <c r="Z495" s="106"/>
      <c r="AA495" s="106"/>
      <c r="AB495" s="106"/>
      <c r="AC495" s="106"/>
    </row>
    <row r="496" spans="1:29" s="120" customFormat="1">
      <c r="A496" s="115" t="s">
        <v>304</v>
      </c>
      <c r="B496" s="127" t="s">
        <v>303</v>
      </c>
      <c r="C496" s="145" t="s">
        <v>305</v>
      </c>
      <c r="D496" s="108"/>
      <c r="E496" s="108"/>
      <c r="F496" s="139">
        <v>479</v>
      </c>
      <c r="G496" s="139"/>
      <c r="H496" s="127"/>
      <c r="I496" s="112"/>
      <c r="J496" s="112"/>
      <c r="K496" s="112"/>
      <c r="L496" s="109"/>
      <c r="M496" s="127"/>
      <c r="N496" s="109"/>
      <c r="O496" s="112"/>
      <c r="P496" s="112"/>
      <c r="Q496" s="112"/>
      <c r="R496" s="112"/>
      <c r="S496" s="112"/>
      <c r="T496" s="112"/>
      <c r="U496" s="112"/>
      <c r="V496" s="112"/>
      <c r="W496" s="112"/>
      <c r="X496" s="106"/>
      <c r="Y496" s="106"/>
      <c r="Z496" s="106"/>
      <c r="AA496" s="106"/>
      <c r="AB496" s="106"/>
      <c r="AC496" s="106"/>
    </row>
    <row r="497" spans="1:29" s="120" customFormat="1">
      <c r="A497" s="115" t="s">
        <v>197</v>
      </c>
      <c r="B497" s="127" t="s">
        <v>196</v>
      </c>
      <c r="C497" s="145" t="s">
        <v>198</v>
      </c>
      <c r="D497" s="108"/>
      <c r="E497" s="108" t="s">
        <v>2666</v>
      </c>
      <c r="F497" s="139"/>
      <c r="G497" s="139"/>
      <c r="H497" s="127"/>
      <c r="I497" s="112"/>
      <c r="J497" s="112"/>
      <c r="K497" s="112"/>
      <c r="L497" s="116"/>
      <c r="M497" s="131"/>
      <c r="N497" s="116"/>
      <c r="O497" s="112"/>
      <c r="P497" s="112"/>
      <c r="Q497" s="112"/>
      <c r="R497" s="112"/>
      <c r="S497" s="112"/>
      <c r="T497" s="112"/>
      <c r="U497" s="112"/>
      <c r="V497" s="112"/>
      <c r="W497" s="112"/>
      <c r="X497" s="106"/>
      <c r="Y497" s="106"/>
      <c r="Z497" s="106"/>
      <c r="AA497" s="106"/>
      <c r="AB497" s="106"/>
      <c r="AC497" s="106"/>
    </row>
    <row r="498" spans="1:29" s="120" customFormat="1" ht="31.5">
      <c r="A498" s="124" t="s">
        <v>494</v>
      </c>
      <c r="B498" s="124" t="s">
        <v>502</v>
      </c>
      <c r="C498" s="145" t="s">
        <v>503</v>
      </c>
      <c r="D498" s="108"/>
      <c r="E498" s="108" t="s">
        <v>2666</v>
      </c>
      <c r="F498" s="139"/>
      <c r="G498" s="139"/>
      <c r="H498" s="124"/>
      <c r="I498" s="110"/>
      <c r="J498" s="110"/>
      <c r="K498" s="110"/>
      <c r="L498" s="116"/>
      <c r="M498" s="124"/>
      <c r="N498" s="109"/>
      <c r="O498" s="110"/>
      <c r="P498" s="112"/>
      <c r="Q498" s="112"/>
      <c r="R498" s="112"/>
      <c r="S498" s="112"/>
      <c r="T498" s="112"/>
      <c r="U498" s="112"/>
      <c r="V498" s="112"/>
      <c r="W498" s="112"/>
      <c r="X498" s="106"/>
      <c r="Y498" s="106"/>
      <c r="Z498" s="106"/>
      <c r="AA498" s="106"/>
      <c r="AB498" s="106"/>
      <c r="AC498" s="106"/>
    </row>
    <row r="499" spans="1:29" s="120" customFormat="1">
      <c r="A499" s="124" t="s">
        <v>1235</v>
      </c>
      <c r="B499" s="124" t="s">
        <v>1211</v>
      </c>
      <c r="C499" s="145" t="s">
        <v>1158</v>
      </c>
      <c r="D499" s="108"/>
      <c r="E499" s="108" t="s">
        <v>2661</v>
      </c>
      <c r="F499" s="139"/>
      <c r="G499" s="139"/>
      <c r="H499" s="124"/>
      <c r="I499" s="112"/>
      <c r="J499" s="112"/>
      <c r="K499" s="112"/>
      <c r="L499" s="109"/>
      <c r="M499" s="124"/>
      <c r="N499" s="109"/>
      <c r="O499" s="112"/>
      <c r="P499" s="112"/>
      <c r="Q499" s="112"/>
      <c r="R499" s="112"/>
      <c r="S499" s="112"/>
      <c r="T499" s="112"/>
      <c r="U499" s="112"/>
      <c r="V499" s="112"/>
      <c r="W499" s="112"/>
      <c r="X499" s="106"/>
      <c r="Y499" s="106"/>
      <c r="Z499" s="106"/>
      <c r="AA499" s="106"/>
      <c r="AB499" s="106"/>
      <c r="AC499" s="106"/>
    </row>
    <row r="500" spans="1:29" s="120" customFormat="1">
      <c r="A500" s="124" t="s">
        <v>1216</v>
      </c>
      <c r="B500" s="124" t="s">
        <v>1177</v>
      </c>
      <c r="C500" s="145" t="s">
        <v>1126</v>
      </c>
      <c r="D500" s="108"/>
      <c r="E500" s="108" t="s">
        <v>2666</v>
      </c>
      <c r="F500" s="139"/>
      <c r="G500" s="139"/>
      <c r="H500" s="124"/>
      <c r="I500" s="112"/>
      <c r="J500" s="112"/>
      <c r="K500" s="112"/>
      <c r="L500" s="116"/>
      <c r="M500" s="124"/>
      <c r="N500" s="116"/>
      <c r="O500" s="112"/>
      <c r="P500" s="112"/>
      <c r="Q500" s="112"/>
      <c r="R500" s="112"/>
      <c r="S500" s="112"/>
      <c r="T500" s="112"/>
      <c r="U500" s="112"/>
      <c r="V500" s="112"/>
      <c r="W500" s="112"/>
      <c r="X500" s="106"/>
      <c r="Y500" s="106"/>
      <c r="Z500" s="106"/>
      <c r="AA500" s="106"/>
      <c r="AB500" s="106"/>
      <c r="AC500" s="106"/>
    </row>
    <row r="501" spans="1:29" s="120" customFormat="1" ht="47.25">
      <c r="A501" s="115" t="s">
        <v>1342</v>
      </c>
      <c r="B501" s="127" t="s">
        <v>3140</v>
      </c>
      <c r="C501" s="55" t="s">
        <v>3078</v>
      </c>
      <c r="D501" s="108"/>
      <c r="E501" s="108" t="s">
        <v>2661</v>
      </c>
      <c r="F501" s="139"/>
      <c r="G501" s="139"/>
      <c r="H501" s="127"/>
      <c r="I501" s="122"/>
      <c r="J501" s="122" t="s">
        <v>2267</v>
      </c>
      <c r="K501" s="122"/>
      <c r="L501" s="127" t="s">
        <v>1341</v>
      </c>
      <c r="M501" s="127"/>
      <c r="N501" s="116"/>
      <c r="O501" s="122"/>
      <c r="P501" s="110"/>
      <c r="Q501" s="110"/>
      <c r="R501" s="110"/>
      <c r="S501" s="110"/>
      <c r="T501" s="110"/>
      <c r="U501" s="110"/>
      <c r="V501" s="110"/>
      <c r="W501" s="110"/>
      <c r="X501" s="106"/>
      <c r="Y501" s="106"/>
      <c r="Z501" s="106"/>
      <c r="AA501" s="106"/>
      <c r="AB501" s="106"/>
      <c r="AC501" s="106"/>
    </row>
    <row r="502" spans="1:29" s="120" customFormat="1">
      <c r="A502" s="124" t="s">
        <v>17</v>
      </c>
      <c r="B502" s="124" t="s">
        <v>1192</v>
      </c>
      <c r="C502" s="145" t="s">
        <v>1141</v>
      </c>
      <c r="D502" s="108"/>
      <c r="E502" s="108" t="s">
        <v>2666</v>
      </c>
      <c r="F502" s="139"/>
      <c r="G502" s="139"/>
      <c r="H502" s="124"/>
      <c r="I502" s="112"/>
      <c r="J502" s="112"/>
      <c r="K502" s="112"/>
      <c r="L502" s="116"/>
      <c r="M502" s="124"/>
      <c r="N502" s="116"/>
      <c r="O502" s="112"/>
      <c r="P502" s="112"/>
      <c r="Q502" s="112"/>
      <c r="R502" s="112"/>
      <c r="S502" s="112"/>
      <c r="T502" s="112"/>
      <c r="U502" s="112"/>
      <c r="V502" s="112"/>
      <c r="W502" s="112"/>
      <c r="X502" s="106"/>
      <c r="Y502" s="106"/>
      <c r="Z502" s="106"/>
      <c r="AA502" s="106"/>
      <c r="AB502" s="106"/>
      <c r="AC502" s="106"/>
    </row>
    <row r="503" spans="1:29" s="120" customFormat="1">
      <c r="A503" s="115" t="s">
        <v>1685</v>
      </c>
      <c r="B503" s="127" t="s">
        <v>1607</v>
      </c>
      <c r="C503" s="145" t="s">
        <v>1609</v>
      </c>
      <c r="D503" s="108"/>
      <c r="E503" s="108"/>
      <c r="F503" s="139">
        <v>198</v>
      </c>
      <c r="G503" s="139"/>
      <c r="H503" s="127"/>
      <c r="I503" s="115"/>
      <c r="J503" s="115"/>
      <c r="K503" s="115"/>
      <c r="L503" s="109"/>
      <c r="M503" s="135"/>
      <c r="N503" s="127" t="s">
        <v>4701</v>
      </c>
      <c r="O503" s="115"/>
      <c r="P503" s="115"/>
      <c r="Q503" s="115"/>
      <c r="R503" s="115"/>
      <c r="S503" s="115"/>
      <c r="T503" s="115"/>
      <c r="U503" s="115"/>
      <c r="V503" s="115"/>
      <c r="W503" s="115"/>
      <c r="X503" s="106"/>
      <c r="Y503" s="106"/>
      <c r="Z503" s="106"/>
      <c r="AA503" s="106"/>
      <c r="AB503" s="106"/>
      <c r="AC503" s="106"/>
    </row>
    <row r="504" spans="1:29" s="120" customFormat="1">
      <c r="A504" s="124" t="s">
        <v>417</v>
      </c>
      <c r="B504" s="124" t="s">
        <v>416</v>
      </c>
      <c r="C504" s="145" t="s">
        <v>418</v>
      </c>
      <c r="D504" s="108"/>
      <c r="E504" s="108"/>
      <c r="F504" s="139">
        <v>8</v>
      </c>
      <c r="G504" s="139"/>
      <c r="H504" s="124"/>
      <c r="I504" s="112"/>
      <c r="J504" s="112"/>
      <c r="K504" s="112"/>
      <c r="L504" s="116"/>
      <c r="M504" s="124"/>
      <c r="N504" s="116"/>
      <c r="O504" s="112"/>
      <c r="P504" s="112"/>
      <c r="Q504" s="112"/>
      <c r="R504" s="112"/>
      <c r="S504" s="112"/>
      <c r="T504" s="112"/>
      <c r="U504" s="112"/>
      <c r="V504" s="112"/>
      <c r="W504" s="112"/>
      <c r="X504" s="106"/>
      <c r="Y504" s="106"/>
      <c r="Z504" s="106"/>
      <c r="AA504" s="106"/>
      <c r="AB504" s="106"/>
      <c r="AC504" s="106"/>
    </row>
    <row r="505" spans="1:29" s="120" customFormat="1">
      <c r="A505" s="115" t="s">
        <v>1810</v>
      </c>
      <c r="B505" s="115" t="s">
        <v>1811</v>
      </c>
      <c r="C505" s="145" t="s">
        <v>1813</v>
      </c>
      <c r="D505" s="108"/>
      <c r="E505" s="108"/>
      <c r="F505" s="139">
        <v>344</v>
      </c>
      <c r="G505" s="139"/>
      <c r="H505" s="115"/>
      <c r="I505" s="115"/>
      <c r="J505" s="115"/>
      <c r="K505" s="115"/>
      <c r="L505" s="115" t="s">
        <v>1289</v>
      </c>
      <c r="M505" s="115"/>
      <c r="N505" s="115" t="s">
        <v>1812</v>
      </c>
      <c r="O505" s="115"/>
      <c r="P505" s="112"/>
      <c r="Q505" s="112"/>
      <c r="R505" s="112"/>
      <c r="S505" s="112"/>
      <c r="T505" s="112"/>
      <c r="U505" s="112"/>
      <c r="V505" s="112"/>
      <c r="W505" s="112"/>
      <c r="X505" s="106"/>
      <c r="Y505" s="106"/>
      <c r="Z505" s="106"/>
      <c r="AA505" s="106"/>
      <c r="AB505" s="106"/>
      <c r="AC505" s="106"/>
    </row>
    <row r="506" spans="1:29" s="120" customFormat="1">
      <c r="A506" s="115" t="s">
        <v>1987</v>
      </c>
      <c r="B506" s="115" t="s">
        <v>1988</v>
      </c>
      <c r="C506" s="145" t="s">
        <v>1989</v>
      </c>
      <c r="D506" s="108"/>
      <c r="E506" s="108"/>
      <c r="F506" s="139">
        <v>412</v>
      </c>
      <c r="G506" s="139"/>
      <c r="H506" s="115"/>
      <c r="I506" s="115"/>
      <c r="J506" s="115"/>
      <c r="K506" s="115"/>
      <c r="L506" s="115" t="s">
        <v>1986</v>
      </c>
      <c r="M506" s="115"/>
      <c r="N506" s="115" t="s">
        <v>1461</v>
      </c>
      <c r="O506" s="115"/>
      <c r="P506" s="112"/>
      <c r="Q506" s="112"/>
      <c r="R506" s="112"/>
      <c r="S506" s="112"/>
      <c r="T506" s="112"/>
      <c r="U506" s="112"/>
      <c r="V506" s="112"/>
      <c r="W506" s="112"/>
      <c r="X506" s="106"/>
      <c r="Y506" s="106"/>
      <c r="Z506" s="106"/>
      <c r="AA506" s="106"/>
      <c r="AB506" s="106"/>
      <c r="AC506" s="106"/>
    </row>
    <row r="507" spans="1:29" s="120" customFormat="1" ht="31.5">
      <c r="A507" s="115" t="s">
        <v>148</v>
      </c>
      <c r="B507" s="127" t="s">
        <v>3137</v>
      </c>
      <c r="C507" s="145" t="s">
        <v>505</v>
      </c>
      <c r="D507" s="108"/>
      <c r="E507" s="108" t="s">
        <v>2666</v>
      </c>
      <c r="F507" s="139"/>
      <c r="G507" s="139"/>
      <c r="H507" s="127"/>
      <c r="I507" s="112"/>
      <c r="J507" s="112"/>
      <c r="K507" s="112"/>
      <c r="L507" s="109"/>
      <c r="M507" s="127"/>
      <c r="N507" s="109"/>
      <c r="O507" s="112"/>
      <c r="P507" s="112"/>
      <c r="Q507" s="112"/>
      <c r="R507" s="112"/>
      <c r="S507" s="112"/>
      <c r="T507" s="112"/>
      <c r="U507" s="112"/>
      <c r="V507" s="112"/>
      <c r="W507" s="112"/>
      <c r="X507" s="106"/>
      <c r="Y507" s="106"/>
      <c r="Z507" s="106"/>
      <c r="AA507" s="106"/>
      <c r="AB507" s="106"/>
      <c r="AC507" s="106"/>
    </row>
    <row r="508" spans="1:29" s="120" customFormat="1" ht="31.5">
      <c r="A508" s="115" t="s">
        <v>148</v>
      </c>
      <c r="B508" s="127" t="s">
        <v>504</v>
      </c>
      <c r="C508" s="145" t="s">
        <v>1035</v>
      </c>
      <c r="D508" s="108"/>
      <c r="E508" s="108"/>
      <c r="F508" s="139">
        <v>215</v>
      </c>
      <c r="G508" s="139"/>
      <c r="H508" s="127"/>
      <c r="I508" s="112"/>
      <c r="J508" s="112"/>
      <c r="K508" s="112"/>
      <c r="L508" s="109"/>
      <c r="M508" s="127"/>
      <c r="N508" s="109" t="s">
        <v>1034</v>
      </c>
      <c r="O508" s="112"/>
      <c r="P508" s="112"/>
      <c r="Q508" s="112"/>
      <c r="R508" s="112"/>
      <c r="S508" s="112"/>
      <c r="T508" s="112"/>
      <c r="U508" s="112"/>
      <c r="V508" s="112"/>
      <c r="W508" s="112"/>
      <c r="X508" s="106"/>
      <c r="Y508" s="106"/>
      <c r="Z508" s="106"/>
      <c r="AA508" s="106"/>
      <c r="AB508" s="106"/>
      <c r="AC508" s="106"/>
    </row>
    <row r="509" spans="1:29" s="120" customFormat="1">
      <c r="A509" s="124" t="s">
        <v>461</v>
      </c>
      <c r="B509" s="124" t="s">
        <v>465</v>
      </c>
      <c r="C509" s="145" t="s">
        <v>466</v>
      </c>
      <c r="D509" s="108"/>
      <c r="E509" s="108" t="s">
        <v>2666</v>
      </c>
      <c r="F509" s="139"/>
      <c r="G509" s="139"/>
      <c r="H509" s="124"/>
      <c r="I509" s="112"/>
      <c r="J509" s="112"/>
      <c r="K509" s="112"/>
      <c r="L509" s="116"/>
      <c r="M509" s="124"/>
      <c r="N509" s="116"/>
      <c r="O509" s="112"/>
      <c r="P509" s="112"/>
      <c r="Q509" s="112"/>
      <c r="R509" s="112"/>
      <c r="S509" s="112"/>
      <c r="T509" s="112"/>
      <c r="U509" s="112"/>
      <c r="V509" s="112"/>
      <c r="W509" s="112"/>
      <c r="X509" s="106"/>
      <c r="Y509" s="106"/>
      <c r="Z509" s="106"/>
      <c r="AA509" s="106"/>
      <c r="AB509" s="106"/>
      <c r="AC509" s="106"/>
    </row>
    <row r="510" spans="1:29" s="120" customFormat="1">
      <c r="A510" s="136" t="s">
        <v>2321</v>
      </c>
      <c r="B510" s="127" t="s">
        <v>2325</v>
      </c>
      <c r="C510" s="145" t="s">
        <v>998</v>
      </c>
      <c r="D510" s="108"/>
      <c r="E510" s="108" t="s">
        <v>3128</v>
      </c>
      <c r="F510" s="139"/>
      <c r="G510" s="139"/>
      <c r="H510" s="127"/>
      <c r="I510" s="112"/>
      <c r="J510" s="112"/>
      <c r="K510" s="112"/>
      <c r="L510" s="109"/>
      <c r="M510" s="116"/>
      <c r="N510" s="109"/>
      <c r="O510" s="112"/>
      <c r="P510" s="112"/>
      <c r="Q510" s="112"/>
      <c r="R510" s="112"/>
      <c r="S510" s="112"/>
      <c r="T510" s="112"/>
      <c r="U510" s="112"/>
      <c r="V510" s="112"/>
      <c r="W510" s="112"/>
      <c r="X510" s="106"/>
      <c r="Y510" s="106"/>
      <c r="Z510" s="106"/>
      <c r="AA510" s="106"/>
      <c r="AB510" s="106"/>
      <c r="AC510" s="106"/>
    </row>
    <row r="511" spans="1:29" s="120" customFormat="1">
      <c r="A511" s="124" t="s">
        <v>1219</v>
      </c>
      <c r="B511" s="124" t="s">
        <v>1184</v>
      </c>
      <c r="C511" s="145" t="s">
        <v>1131</v>
      </c>
      <c r="D511" s="108"/>
      <c r="E511" s="108" t="s">
        <v>3107</v>
      </c>
      <c r="F511" s="139"/>
      <c r="G511" s="139"/>
      <c r="H511" s="124"/>
      <c r="I511" s="112"/>
      <c r="J511" s="112"/>
      <c r="K511" s="112"/>
      <c r="L511" s="109"/>
      <c r="M511" s="124"/>
      <c r="N511" s="109"/>
      <c r="O511" s="112"/>
      <c r="P511" s="112"/>
      <c r="Q511" s="112"/>
      <c r="R511" s="112"/>
      <c r="S511" s="112"/>
      <c r="T511" s="112"/>
      <c r="U511" s="112"/>
      <c r="V511" s="112"/>
      <c r="W511" s="112"/>
      <c r="X511" s="106"/>
      <c r="Y511" s="106"/>
      <c r="Z511" s="106"/>
      <c r="AA511" s="106"/>
      <c r="AB511" s="106"/>
      <c r="AC511" s="106"/>
    </row>
    <row r="512" spans="1:29" s="120" customFormat="1">
      <c r="A512" s="136" t="s">
        <v>3139</v>
      </c>
      <c r="B512" s="127" t="s">
        <v>3138</v>
      </c>
      <c r="C512" s="145" t="s">
        <v>778</v>
      </c>
      <c r="D512" s="108"/>
      <c r="E512" s="108" t="s">
        <v>2666</v>
      </c>
      <c r="F512" s="139"/>
      <c r="G512" s="139"/>
      <c r="H512" s="127"/>
      <c r="I512" s="110"/>
      <c r="J512" s="110"/>
      <c r="K512" s="110"/>
      <c r="L512" s="109"/>
      <c r="M512" s="124"/>
      <c r="N512" s="116"/>
      <c r="O512" s="110"/>
      <c r="P512" s="112"/>
      <c r="Q512" s="112"/>
      <c r="R512" s="112"/>
      <c r="S512" s="112"/>
      <c r="T512" s="112"/>
      <c r="U512" s="112"/>
      <c r="V512" s="112"/>
      <c r="W512" s="112"/>
      <c r="X512" s="106"/>
      <c r="Y512" s="106"/>
      <c r="Z512" s="106"/>
      <c r="AA512" s="106"/>
      <c r="AB512" s="106"/>
      <c r="AC512" s="106"/>
    </row>
    <row r="513" spans="1:29" s="120" customFormat="1">
      <c r="A513" s="124" t="s">
        <v>3399</v>
      </c>
      <c r="B513" s="131" t="s">
        <v>3968</v>
      </c>
      <c r="C513" s="55" t="s">
        <v>3967</v>
      </c>
      <c r="D513" s="108"/>
      <c r="E513" s="108"/>
      <c r="F513" s="139">
        <v>157</v>
      </c>
      <c r="G513" s="139"/>
      <c r="H513" s="131"/>
      <c r="I513" s="124"/>
      <c r="J513" s="124"/>
      <c r="K513" s="124"/>
      <c r="L513" s="109"/>
      <c r="M513" s="131"/>
      <c r="N513" s="109"/>
      <c r="O513" s="124"/>
      <c r="P513" s="112"/>
      <c r="Q513" s="112"/>
      <c r="R513" s="112"/>
      <c r="S513" s="112"/>
      <c r="T513" s="112"/>
      <c r="U513" s="112"/>
      <c r="V513" s="112"/>
      <c r="W513" s="112"/>
      <c r="X513" s="106"/>
      <c r="Y513" s="106"/>
      <c r="Z513" s="106"/>
      <c r="AA513" s="106"/>
      <c r="AB513" s="106"/>
      <c r="AC513" s="106"/>
    </row>
    <row r="514" spans="1:29" s="120" customFormat="1">
      <c r="A514" s="115" t="s">
        <v>1494</v>
      </c>
      <c r="B514" s="127" t="s">
        <v>1495</v>
      </c>
      <c r="C514" s="145" t="s">
        <v>1496</v>
      </c>
      <c r="D514" s="108"/>
      <c r="E514" s="108" t="s">
        <v>2661</v>
      </c>
      <c r="F514" s="139"/>
      <c r="G514" s="139"/>
      <c r="H514" s="127"/>
      <c r="I514" s="122"/>
      <c r="J514" s="122" t="s">
        <v>1497</v>
      </c>
      <c r="K514" s="122"/>
      <c r="L514" s="109"/>
      <c r="M514" s="127"/>
      <c r="N514" s="127" t="s">
        <v>1469</v>
      </c>
      <c r="O514" s="122"/>
      <c r="P514" s="112"/>
      <c r="Q514" s="112"/>
      <c r="R514" s="112"/>
      <c r="S514" s="112"/>
      <c r="T514" s="112"/>
      <c r="U514" s="112"/>
      <c r="V514" s="112"/>
      <c r="W514" s="112"/>
      <c r="X514" s="106"/>
      <c r="Y514" s="106"/>
      <c r="Z514" s="106"/>
      <c r="AA514" s="106"/>
      <c r="AB514" s="106"/>
      <c r="AC514" s="106"/>
    </row>
    <row r="515" spans="1:29" s="120" customFormat="1">
      <c r="A515" s="115" t="s">
        <v>458</v>
      </c>
      <c r="B515" s="115" t="s">
        <v>2172</v>
      </c>
      <c r="C515" s="145" t="s">
        <v>2173</v>
      </c>
      <c r="D515" s="108" t="s">
        <v>2673</v>
      </c>
      <c r="E515" s="108"/>
      <c r="F515" s="139">
        <v>242</v>
      </c>
      <c r="G515" s="139"/>
      <c r="H515" s="115"/>
      <c r="I515" s="115"/>
      <c r="J515" s="115"/>
      <c r="K515" s="115"/>
      <c r="L515" s="109"/>
      <c r="M515" s="115"/>
      <c r="N515" s="115" t="s">
        <v>1786</v>
      </c>
      <c r="O515" s="115"/>
      <c r="P515" s="112"/>
      <c r="Q515" s="112"/>
      <c r="R515" s="112"/>
      <c r="S515" s="112"/>
      <c r="T515" s="112"/>
      <c r="U515" s="112"/>
      <c r="V515" s="112"/>
      <c r="W515" s="112"/>
      <c r="X515" s="106"/>
      <c r="Y515" s="106"/>
      <c r="Z515" s="106"/>
      <c r="AA515" s="106"/>
      <c r="AB515" s="106"/>
      <c r="AC515" s="106"/>
    </row>
    <row r="516" spans="1:29" s="120" customFormat="1">
      <c r="A516" s="124" t="s">
        <v>159</v>
      </c>
      <c r="B516" s="124" t="s">
        <v>444</v>
      </c>
      <c r="C516" s="145" t="s">
        <v>445</v>
      </c>
      <c r="D516" s="108"/>
      <c r="E516" s="108"/>
      <c r="F516" s="139">
        <v>234</v>
      </c>
      <c r="G516" s="139"/>
      <c r="H516" s="124"/>
      <c r="I516" s="112"/>
      <c r="J516" s="112"/>
      <c r="K516" s="112"/>
      <c r="L516" s="109"/>
      <c r="M516" s="116"/>
      <c r="N516" s="109"/>
      <c r="O516" s="112"/>
      <c r="P516" s="112"/>
      <c r="Q516" s="112"/>
      <c r="R516" s="112"/>
      <c r="S516" s="112"/>
      <c r="T516" s="112"/>
      <c r="U516" s="112"/>
      <c r="V516" s="112"/>
      <c r="W516" s="112"/>
      <c r="X516" s="106"/>
      <c r="Y516" s="106"/>
      <c r="Z516" s="106"/>
      <c r="AA516" s="106"/>
      <c r="AB516" s="106"/>
      <c r="AC516" s="106"/>
    </row>
    <row r="517" spans="1:29" s="120" customFormat="1">
      <c r="A517" s="115" t="s">
        <v>1780</v>
      </c>
      <c r="B517" s="115" t="s">
        <v>1781</v>
      </c>
      <c r="C517" s="145" t="s">
        <v>1783</v>
      </c>
      <c r="D517" s="108"/>
      <c r="E517" s="108" t="s">
        <v>2666</v>
      </c>
      <c r="F517" s="139"/>
      <c r="G517" s="139"/>
      <c r="H517" s="115"/>
      <c r="I517" s="115"/>
      <c r="J517" s="115"/>
      <c r="K517" s="115"/>
      <c r="L517" s="115" t="s">
        <v>1289</v>
      </c>
      <c r="M517" s="115"/>
      <c r="N517" s="115" t="s">
        <v>1782</v>
      </c>
      <c r="O517" s="115"/>
      <c r="P517" s="112"/>
      <c r="Q517" s="112"/>
      <c r="R517" s="112"/>
      <c r="S517" s="112"/>
      <c r="T517" s="112"/>
      <c r="U517" s="112"/>
      <c r="V517" s="112"/>
      <c r="W517" s="112"/>
      <c r="X517" s="106"/>
      <c r="Y517" s="106"/>
      <c r="Z517" s="106"/>
      <c r="AA517" s="106"/>
      <c r="AB517" s="106"/>
      <c r="AC517" s="106"/>
    </row>
    <row r="518" spans="1:29" s="120" customFormat="1">
      <c r="A518" s="115" t="s">
        <v>1687</v>
      </c>
      <c r="B518" s="127" t="s">
        <v>1616</v>
      </c>
      <c r="C518" s="145" t="s">
        <v>1618</v>
      </c>
      <c r="D518" s="108"/>
      <c r="E518" s="108">
        <v>550</v>
      </c>
      <c r="F518" s="139"/>
      <c r="G518" s="139"/>
      <c r="H518" s="127"/>
      <c r="I518" s="115"/>
      <c r="J518" s="115"/>
      <c r="K518" s="115"/>
      <c r="L518" s="116"/>
      <c r="M518" s="115"/>
      <c r="N518" s="127"/>
      <c r="O518" s="115"/>
      <c r="P518" s="115"/>
      <c r="Q518" s="115"/>
      <c r="R518" s="115"/>
      <c r="S518" s="115"/>
      <c r="T518" s="115"/>
      <c r="U518" s="115"/>
      <c r="V518" s="115"/>
      <c r="W518" s="115"/>
      <c r="X518" s="106"/>
      <c r="Y518" s="106"/>
      <c r="Z518" s="106"/>
      <c r="AA518" s="106"/>
      <c r="AB518" s="106"/>
      <c r="AC518" s="106"/>
    </row>
    <row r="519" spans="1:29" s="120" customFormat="1" ht="31.5">
      <c r="A519" s="136"/>
      <c r="B519" s="127" t="s">
        <v>1065</v>
      </c>
      <c r="C519" s="145" t="s">
        <v>1066</v>
      </c>
      <c r="D519" s="108"/>
      <c r="E519" s="108" t="s">
        <v>2666</v>
      </c>
      <c r="F519" s="139"/>
      <c r="G519" s="139"/>
      <c r="H519" s="127"/>
      <c r="I519" s="112"/>
      <c r="J519" s="112"/>
      <c r="K519" s="112"/>
      <c r="L519" s="109"/>
      <c r="M519" s="116"/>
      <c r="N519" s="109"/>
      <c r="O519" s="112"/>
      <c r="P519" s="129"/>
      <c r="Q519" s="129"/>
      <c r="R519" s="129"/>
      <c r="S519" s="221" t="s">
        <v>2402</v>
      </c>
      <c r="T519" s="129"/>
      <c r="U519" s="129"/>
      <c r="V519" s="129"/>
      <c r="W519" s="129"/>
      <c r="X519" s="106"/>
      <c r="Y519" s="106"/>
      <c r="Z519" s="106"/>
      <c r="AA519" s="106"/>
      <c r="AB519" s="106"/>
      <c r="AC519" s="106"/>
    </row>
    <row r="520" spans="1:29" s="120" customFormat="1" ht="31.5">
      <c r="A520" s="124" t="s">
        <v>1225</v>
      </c>
      <c r="B520" s="124" t="s">
        <v>1194</v>
      </c>
      <c r="C520" s="145" t="s">
        <v>1143</v>
      </c>
      <c r="D520" s="108"/>
      <c r="E520" s="108">
        <v>550</v>
      </c>
      <c r="F520" s="139"/>
      <c r="G520" s="139"/>
      <c r="H520" s="124"/>
      <c r="I520" s="112"/>
      <c r="J520" s="112"/>
      <c r="K520" s="112"/>
      <c r="L520" s="109"/>
      <c r="M520" s="115"/>
      <c r="N520" s="109"/>
      <c r="O520" s="112"/>
      <c r="P520" s="112"/>
      <c r="Q520" s="112"/>
      <c r="R520" s="112"/>
      <c r="S520" s="112"/>
      <c r="T520" s="112"/>
      <c r="U520" s="112"/>
      <c r="V520" s="112"/>
      <c r="W520" s="112"/>
      <c r="X520" s="106"/>
      <c r="Y520" s="106"/>
      <c r="Z520" s="106"/>
      <c r="AA520" s="106"/>
      <c r="AB520" s="106"/>
      <c r="AC520" s="106"/>
    </row>
    <row r="521" spans="1:29" s="120" customFormat="1">
      <c r="A521" s="124" t="s">
        <v>318</v>
      </c>
      <c r="B521" s="124" t="s">
        <v>320</v>
      </c>
      <c r="C521" s="145" t="s">
        <v>321</v>
      </c>
      <c r="D521" s="108"/>
      <c r="E521" s="108" t="s">
        <v>2661</v>
      </c>
      <c r="F521" s="139"/>
      <c r="G521" s="139"/>
      <c r="H521" s="124"/>
      <c r="I521" s="112"/>
      <c r="J521" s="112"/>
      <c r="K521" s="112"/>
      <c r="L521" s="109"/>
      <c r="M521" s="124"/>
      <c r="N521" s="109"/>
      <c r="O521" s="112"/>
      <c r="P521" s="112"/>
      <c r="Q521" s="112"/>
      <c r="R521" s="112"/>
      <c r="S521" s="112"/>
      <c r="T521" s="112"/>
      <c r="U521" s="112"/>
      <c r="V521" s="112"/>
      <c r="W521" s="112"/>
      <c r="X521" s="106"/>
      <c r="Y521" s="106"/>
      <c r="Z521" s="106"/>
      <c r="AA521" s="106"/>
      <c r="AB521" s="106"/>
      <c r="AC521" s="106"/>
    </row>
    <row r="522" spans="1:29" s="120" customFormat="1">
      <c r="A522" s="124" t="s">
        <v>109</v>
      </c>
      <c r="B522" s="124" t="s">
        <v>1202</v>
      </c>
      <c r="C522" s="145" t="s">
        <v>1152</v>
      </c>
      <c r="D522" s="108"/>
      <c r="E522" s="108"/>
      <c r="F522" s="139">
        <v>169</v>
      </c>
      <c r="G522" s="139"/>
      <c r="H522" s="124"/>
      <c r="I522" s="112"/>
      <c r="J522" s="112"/>
      <c r="K522" s="112"/>
      <c r="L522" s="109"/>
      <c r="M522" s="127"/>
      <c r="N522" s="109"/>
      <c r="O522" s="112"/>
      <c r="P522" s="112"/>
      <c r="Q522" s="112"/>
      <c r="R522" s="112"/>
      <c r="S522" s="112"/>
      <c r="T522" s="112"/>
      <c r="U522" s="112"/>
      <c r="V522" s="112"/>
      <c r="W522" s="112"/>
      <c r="X522" s="106"/>
      <c r="Y522" s="106"/>
      <c r="Z522" s="106"/>
      <c r="AA522" s="106"/>
      <c r="AB522" s="106"/>
      <c r="AC522" s="106"/>
    </row>
    <row r="523" spans="1:29" s="120" customFormat="1">
      <c r="A523" s="115" t="s">
        <v>70</v>
      </c>
      <c r="B523" s="127" t="s">
        <v>69</v>
      </c>
      <c r="C523" s="145" t="s">
        <v>71</v>
      </c>
      <c r="D523" s="108"/>
      <c r="E523" s="108">
        <v>550</v>
      </c>
      <c r="F523" s="139"/>
      <c r="G523" s="139"/>
      <c r="H523" s="127"/>
      <c r="I523" s="112"/>
      <c r="J523" s="112"/>
      <c r="K523" s="112"/>
      <c r="L523" s="109"/>
      <c r="M523" s="124"/>
      <c r="N523" s="109"/>
      <c r="O523" s="112"/>
      <c r="P523" s="112"/>
      <c r="Q523" s="112"/>
      <c r="R523" s="112"/>
      <c r="S523" s="112"/>
      <c r="T523" s="112"/>
      <c r="U523" s="112"/>
      <c r="V523" s="112"/>
      <c r="W523" s="112"/>
      <c r="X523" s="106"/>
      <c r="Y523" s="106"/>
      <c r="Z523" s="106"/>
      <c r="AA523" s="106"/>
      <c r="AB523" s="106"/>
      <c r="AC523" s="106"/>
    </row>
    <row r="524" spans="1:29" s="120" customFormat="1">
      <c r="A524" s="124" t="s">
        <v>313</v>
      </c>
      <c r="B524" s="124" t="s">
        <v>312</v>
      </c>
      <c r="C524" s="145" t="s">
        <v>314</v>
      </c>
      <c r="D524" s="108"/>
      <c r="E524" s="108" t="s">
        <v>2663</v>
      </c>
      <c r="F524" s="139"/>
      <c r="G524" s="139"/>
      <c r="H524" s="124"/>
      <c r="I524" s="112"/>
      <c r="J524" s="112"/>
      <c r="K524" s="112"/>
      <c r="L524" s="109"/>
      <c r="M524" s="124"/>
      <c r="N524" s="109"/>
      <c r="O524" s="112"/>
      <c r="P524" s="112"/>
      <c r="Q524" s="112"/>
      <c r="R524" s="112"/>
      <c r="S524" s="112"/>
      <c r="T524" s="112"/>
      <c r="U524" s="112"/>
      <c r="V524" s="112"/>
      <c r="W524" s="112"/>
      <c r="X524" s="106"/>
      <c r="Y524" s="106"/>
      <c r="Z524" s="106"/>
      <c r="AA524" s="106"/>
      <c r="AB524" s="106"/>
      <c r="AC524" s="106"/>
    </row>
    <row r="525" spans="1:29" s="120" customFormat="1">
      <c r="A525" s="124" t="s">
        <v>318</v>
      </c>
      <c r="B525" s="124" t="s">
        <v>317</v>
      </c>
      <c r="C525" s="145" t="s">
        <v>319</v>
      </c>
      <c r="D525" s="108"/>
      <c r="E525" s="108" t="s">
        <v>2661</v>
      </c>
      <c r="F525" s="139"/>
      <c r="G525" s="139"/>
      <c r="H525" s="124"/>
      <c r="I525" s="112"/>
      <c r="J525" s="112"/>
      <c r="K525" s="112"/>
      <c r="L525" s="109"/>
      <c r="M525" s="124"/>
      <c r="N525" s="109"/>
      <c r="O525" s="112"/>
      <c r="P525" s="112"/>
      <c r="Q525" s="112"/>
      <c r="R525" s="112"/>
      <c r="S525" s="112"/>
      <c r="T525" s="112"/>
      <c r="U525" s="112"/>
      <c r="V525" s="112"/>
      <c r="W525" s="112"/>
      <c r="X525" s="106"/>
      <c r="Y525" s="106"/>
      <c r="Z525" s="106"/>
      <c r="AA525" s="106"/>
      <c r="AB525" s="106"/>
      <c r="AC525" s="106"/>
    </row>
    <row r="526" spans="1:29" s="120" customFormat="1">
      <c r="A526" s="124" t="s">
        <v>517</v>
      </c>
      <c r="B526" s="124" t="s">
        <v>516</v>
      </c>
      <c r="C526" s="145" t="s">
        <v>518</v>
      </c>
      <c r="D526" s="108"/>
      <c r="E526" s="108" t="s">
        <v>2663</v>
      </c>
      <c r="F526" s="139"/>
      <c r="G526" s="139"/>
      <c r="H526" s="124"/>
      <c r="I526" s="112"/>
      <c r="J526" s="112"/>
      <c r="K526" s="112"/>
      <c r="L526" s="109"/>
      <c r="M526" s="124"/>
      <c r="N526" s="109"/>
      <c r="O526" s="112"/>
      <c r="P526" s="112"/>
      <c r="Q526" s="112"/>
      <c r="R526" s="112"/>
      <c r="S526" s="112"/>
      <c r="T526" s="112"/>
      <c r="U526" s="112"/>
      <c r="V526" s="112"/>
      <c r="W526" s="112"/>
      <c r="X526" s="106"/>
      <c r="Y526" s="106"/>
      <c r="Z526" s="106"/>
      <c r="AA526" s="106"/>
      <c r="AB526" s="106"/>
      <c r="AC526" s="106"/>
    </row>
    <row r="527" spans="1:29" s="120" customFormat="1" ht="31.5">
      <c r="A527" s="115" t="s">
        <v>581</v>
      </c>
      <c r="B527" s="115" t="s">
        <v>1912</v>
      </c>
      <c r="C527" s="145" t="s">
        <v>1913</v>
      </c>
      <c r="D527" s="108"/>
      <c r="E527" s="108" t="s">
        <v>2666</v>
      </c>
      <c r="F527" s="139"/>
      <c r="G527" s="139"/>
      <c r="H527" s="115"/>
      <c r="I527" s="115"/>
      <c r="J527" s="115"/>
      <c r="K527" s="115"/>
      <c r="L527" s="115" t="s">
        <v>1262</v>
      </c>
      <c r="M527" s="124"/>
      <c r="N527" s="115" t="s">
        <v>1699</v>
      </c>
      <c r="O527" s="115"/>
      <c r="P527" s="112"/>
      <c r="Q527" s="112"/>
      <c r="R527" s="112"/>
      <c r="S527" s="112"/>
      <c r="T527" s="112"/>
      <c r="U527" s="112"/>
      <c r="V527" s="112"/>
      <c r="W527" s="112"/>
      <c r="X527" s="106"/>
      <c r="Y527" s="106"/>
      <c r="Z527" s="106"/>
      <c r="AA527" s="106"/>
      <c r="AB527" s="106"/>
      <c r="AC527" s="106"/>
    </row>
    <row r="528" spans="1:29" s="120" customFormat="1">
      <c r="A528" s="124" t="s">
        <v>3973</v>
      </c>
      <c r="B528" s="124" t="s">
        <v>704</v>
      </c>
      <c r="C528" s="55" t="s">
        <v>3972</v>
      </c>
      <c r="D528" s="108"/>
      <c r="E528" s="108"/>
      <c r="F528" s="139">
        <v>474</v>
      </c>
      <c r="G528" s="139"/>
      <c r="H528" s="124"/>
      <c r="I528" s="112"/>
      <c r="J528" s="112"/>
      <c r="K528" s="112"/>
      <c r="L528" s="116"/>
      <c r="M528" s="124"/>
      <c r="N528" s="116"/>
      <c r="O528" s="112"/>
      <c r="P528" s="112"/>
      <c r="Q528" s="112"/>
      <c r="R528" s="112"/>
      <c r="S528" s="112"/>
      <c r="T528" s="112"/>
      <c r="U528" s="112"/>
      <c r="V528" s="112"/>
      <c r="W528" s="112"/>
      <c r="X528" s="106"/>
      <c r="Y528" s="106"/>
      <c r="Z528" s="106"/>
      <c r="AA528" s="106"/>
      <c r="AB528" s="106"/>
      <c r="AC528" s="106"/>
    </row>
    <row r="529" spans="1:29" s="120" customFormat="1">
      <c r="A529" s="124" t="s">
        <v>3970</v>
      </c>
      <c r="B529" s="124" t="s">
        <v>704</v>
      </c>
      <c r="C529" s="55" t="s">
        <v>3971</v>
      </c>
      <c r="D529" s="108"/>
      <c r="E529" s="108" t="s">
        <v>2667</v>
      </c>
      <c r="F529" s="139"/>
      <c r="G529" s="139"/>
      <c r="H529" s="124"/>
      <c r="I529" s="112"/>
      <c r="J529" s="112"/>
      <c r="K529" s="112"/>
      <c r="L529" s="116"/>
      <c r="M529" s="124"/>
      <c r="N529" s="116"/>
      <c r="O529" s="112"/>
      <c r="P529" s="112"/>
      <c r="Q529" s="112"/>
      <c r="R529" s="112"/>
      <c r="S529" s="112"/>
      <c r="T529" s="112"/>
      <c r="U529" s="112"/>
      <c r="V529" s="112"/>
      <c r="W529" s="112"/>
      <c r="X529" s="106"/>
      <c r="Y529" s="106"/>
      <c r="Z529" s="106"/>
      <c r="AA529" s="106"/>
      <c r="AB529" s="106"/>
      <c r="AC529" s="106"/>
    </row>
    <row r="530" spans="1:29" s="120" customFormat="1" ht="31.5">
      <c r="A530" s="124" t="s">
        <v>705</v>
      </c>
      <c r="B530" s="124" t="s">
        <v>704</v>
      </c>
      <c r="C530" s="145" t="s">
        <v>706</v>
      </c>
      <c r="D530" s="108"/>
      <c r="E530" s="108" t="s">
        <v>2667</v>
      </c>
      <c r="F530" s="139"/>
      <c r="G530" s="139"/>
      <c r="H530" s="124"/>
      <c r="I530" s="112"/>
      <c r="J530" s="112"/>
      <c r="K530" s="112"/>
      <c r="L530" s="116"/>
      <c r="M530" s="124"/>
      <c r="N530" s="116"/>
      <c r="O530" s="112"/>
      <c r="P530" s="112"/>
      <c r="Q530" s="112"/>
      <c r="R530" s="112"/>
      <c r="S530" s="112"/>
      <c r="T530" s="112"/>
      <c r="U530" s="112"/>
      <c r="V530" s="112"/>
      <c r="W530" s="112"/>
      <c r="X530" s="106"/>
      <c r="Y530" s="106"/>
      <c r="Z530" s="106"/>
      <c r="AA530" s="106"/>
      <c r="AB530" s="106"/>
      <c r="AC530" s="106"/>
    </row>
    <row r="531" spans="1:29" s="120" customFormat="1">
      <c r="A531" s="124" t="s">
        <v>643</v>
      </c>
      <c r="B531" s="124" t="s">
        <v>642</v>
      </c>
      <c r="C531" s="145" t="s">
        <v>644</v>
      </c>
      <c r="D531" s="108"/>
      <c r="E531" s="108"/>
      <c r="F531" s="139">
        <v>453</v>
      </c>
      <c r="G531" s="139"/>
      <c r="H531" s="124"/>
      <c r="I531" s="112"/>
      <c r="J531" s="112"/>
      <c r="K531" s="112"/>
      <c r="L531" s="109"/>
      <c r="M531" s="124"/>
      <c r="N531" s="109"/>
      <c r="O531" s="112"/>
      <c r="P531" s="112"/>
      <c r="Q531" s="112"/>
      <c r="R531" s="112"/>
      <c r="S531" s="112"/>
      <c r="T531" s="112"/>
      <c r="U531" s="112"/>
      <c r="V531" s="112"/>
      <c r="W531" s="112"/>
      <c r="X531" s="106"/>
      <c r="Y531" s="106"/>
      <c r="Z531" s="106"/>
      <c r="AA531" s="106"/>
      <c r="AB531" s="106"/>
      <c r="AC531" s="106"/>
    </row>
    <row r="532" spans="1:29" s="120" customFormat="1" ht="31.5">
      <c r="A532" s="115" t="s">
        <v>458</v>
      </c>
      <c r="B532" s="115" t="s">
        <v>457</v>
      </c>
      <c r="C532" s="145" t="s">
        <v>459</v>
      </c>
      <c r="D532" s="108" t="s">
        <v>2673</v>
      </c>
      <c r="E532" s="108"/>
      <c r="F532" s="139">
        <v>243</v>
      </c>
      <c r="G532" s="139"/>
      <c r="H532" s="115"/>
      <c r="I532" s="115"/>
      <c r="J532" s="115"/>
      <c r="K532" s="115"/>
      <c r="L532" s="109"/>
      <c r="M532" s="115"/>
      <c r="N532" s="115" t="s">
        <v>2018</v>
      </c>
      <c r="O532" s="115"/>
      <c r="P532" s="112"/>
      <c r="Q532" s="112"/>
      <c r="R532" s="112"/>
      <c r="S532" s="112"/>
      <c r="T532" s="112"/>
      <c r="U532" s="112"/>
      <c r="V532" s="112"/>
      <c r="W532" s="112"/>
      <c r="X532" s="106"/>
      <c r="Y532" s="106"/>
      <c r="Z532" s="106"/>
      <c r="AA532" s="106"/>
      <c r="AB532" s="106"/>
      <c r="AC532" s="106"/>
    </row>
    <row r="533" spans="1:29" s="120" customFormat="1">
      <c r="A533" s="124" t="s">
        <v>349</v>
      </c>
      <c r="B533" s="124" t="s">
        <v>355</v>
      </c>
      <c r="C533" s="145" t="s">
        <v>356</v>
      </c>
      <c r="D533" s="108"/>
      <c r="E533" s="108"/>
      <c r="F533" s="139">
        <v>207</v>
      </c>
      <c r="G533" s="139"/>
      <c r="H533" s="124"/>
      <c r="I533" s="112"/>
      <c r="J533" s="112"/>
      <c r="K533" s="112"/>
      <c r="L533" s="109"/>
      <c r="M533" s="124"/>
      <c r="N533" s="109"/>
      <c r="O533" s="112"/>
      <c r="P533" s="112"/>
      <c r="Q533" s="112"/>
      <c r="R533" s="112"/>
      <c r="S533" s="112"/>
      <c r="T533" s="112"/>
      <c r="U533" s="112"/>
      <c r="V533" s="112"/>
      <c r="W533" s="112"/>
      <c r="X533" s="106"/>
      <c r="Y533" s="106"/>
      <c r="Z533" s="106"/>
      <c r="AA533" s="106"/>
      <c r="AB533" s="106"/>
      <c r="AC533" s="106"/>
    </row>
    <row r="534" spans="1:29" s="120" customFormat="1" ht="31.5">
      <c r="A534" s="115" t="s">
        <v>1931</v>
      </c>
      <c r="B534" s="115" t="s">
        <v>1932</v>
      </c>
      <c r="C534" s="145" t="s">
        <v>1933</v>
      </c>
      <c r="D534" s="108"/>
      <c r="E534" s="108"/>
      <c r="F534" s="139">
        <v>161</v>
      </c>
      <c r="G534" s="139"/>
      <c r="H534" s="115"/>
      <c r="I534" s="115"/>
      <c r="J534" s="115"/>
      <c r="K534" s="115"/>
      <c r="L534" s="115" t="s">
        <v>1399</v>
      </c>
      <c r="M534" s="115"/>
      <c r="N534" s="115" t="s">
        <v>1733</v>
      </c>
      <c r="O534" s="115"/>
      <c r="P534" s="112"/>
      <c r="Q534" s="112"/>
      <c r="R534" s="112"/>
      <c r="S534" s="112"/>
      <c r="T534" s="112"/>
      <c r="U534" s="112"/>
      <c r="V534" s="112"/>
      <c r="W534" s="112"/>
      <c r="X534" s="106"/>
      <c r="Y534" s="106"/>
      <c r="Z534" s="106"/>
      <c r="AA534" s="106"/>
      <c r="AB534" s="106"/>
      <c r="AC534" s="106"/>
    </row>
    <row r="535" spans="1:29" s="120" customFormat="1">
      <c r="A535" s="115" t="s">
        <v>109</v>
      </c>
      <c r="B535" s="127" t="s">
        <v>120</v>
      </c>
      <c r="C535" s="145" t="s">
        <v>121</v>
      </c>
      <c r="D535" s="108"/>
      <c r="E535" s="108"/>
      <c r="F535" s="139">
        <v>175</v>
      </c>
      <c r="G535" s="139"/>
      <c r="H535" s="127"/>
      <c r="I535" s="112"/>
      <c r="J535" s="112"/>
      <c r="K535" s="112"/>
      <c r="L535" s="109"/>
      <c r="M535" s="124"/>
      <c r="N535" s="109"/>
      <c r="O535" s="112"/>
      <c r="P535" s="112"/>
      <c r="Q535" s="112"/>
      <c r="R535" s="112"/>
      <c r="S535" s="112"/>
      <c r="T535" s="112"/>
      <c r="U535" s="112"/>
      <c r="V535" s="112"/>
      <c r="W535" s="112"/>
      <c r="X535" s="106"/>
      <c r="Y535" s="106"/>
      <c r="Z535" s="106"/>
      <c r="AA535" s="106"/>
      <c r="AB535" s="106"/>
      <c r="AC535" s="106"/>
    </row>
    <row r="536" spans="1:29" s="120" customFormat="1">
      <c r="A536" s="124" t="s">
        <v>1221</v>
      </c>
      <c r="B536" s="124" t="s">
        <v>1189</v>
      </c>
      <c r="C536" s="145" t="s">
        <v>1138</v>
      </c>
      <c r="D536" s="108"/>
      <c r="E536" s="108" t="s">
        <v>2680</v>
      </c>
      <c r="F536" s="139"/>
      <c r="G536" s="139"/>
      <c r="H536" s="124"/>
      <c r="I536" s="112"/>
      <c r="J536" s="110"/>
      <c r="K536" s="110"/>
      <c r="L536" s="109"/>
      <c r="M536" s="124"/>
      <c r="N536" s="116"/>
      <c r="O536" s="112"/>
      <c r="P536" s="112"/>
      <c r="Q536" s="112"/>
      <c r="R536" s="112"/>
      <c r="S536" s="112"/>
      <c r="T536" s="112"/>
      <c r="U536" s="112"/>
      <c r="V536" s="112"/>
      <c r="W536" s="112"/>
      <c r="X536" s="106"/>
      <c r="Y536" s="106"/>
      <c r="Z536" s="106"/>
      <c r="AA536" s="106"/>
      <c r="AB536" s="106"/>
      <c r="AC536" s="106"/>
    </row>
    <row r="537" spans="1:29" s="120" customFormat="1">
      <c r="A537" s="115" t="s">
        <v>1954</v>
      </c>
      <c r="B537" s="115" t="s">
        <v>1955</v>
      </c>
      <c r="C537" s="145" t="s">
        <v>1957</v>
      </c>
      <c r="D537" s="108"/>
      <c r="E537" s="108"/>
      <c r="F537" s="139">
        <v>373</v>
      </c>
      <c r="G537" s="139"/>
      <c r="H537" s="115"/>
      <c r="I537" s="115"/>
      <c r="J537" s="115"/>
      <c r="K537" s="115"/>
      <c r="L537" s="115" t="s">
        <v>1953</v>
      </c>
      <c r="M537" s="115"/>
      <c r="N537" s="115" t="s">
        <v>1956</v>
      </c>
      <c r="O537" s="115"/>
      <c r="P537" s="112"/>
      <c r="Q537" s="112"/>
      <c r="R537" s="112"/>
      <c r="S537" s="112"/>
      <c r="T537" s="112"/>
      <c r="U537" s="112"/>
      <c r="V537" s="112"/>
      <c r="W537" s="112"/>
      <c r="X537" s="106"/>
      <c r="Y537" s="106"/>
      <c r="Z537" s="106"/>
      <c r="AA537" s="106"/>
      <c r="AB537" s="106"/>
      <c r="AC537" s="106"/>
    </row>
    <row r="538" spans="1:29" s="120" customFormat="1">
      <c r="A538" s="124" t="s">
        <v>617</v>
      </c>
      <c r="B538" s="124" t="s">
        <v>616</v>
      </c>
      <c r="C538" s="145" t="s">
        <v>618</v>
      </c>
      <c r="D538" s="108"/>
      <c r="E538" s="108"/>
      <c r="F538" s="139">
        <v>260</v>
      </c>
      <c r="G538" s="139"/>
      <c r="H538" s="124"/>
      <c r="I538" s="112"/>
      <c r="J538" s="112"/>
      <c r="K538" s="112"/>
      <c r="L538" s="109"/>
      <c r="M538" s="124"/>
      <c r="N538" s="109"/>
      <c r="O538" s="112"/>
      <c r="P538" s="112"/>
      <c r="Q538" s="112"/>
      <c r="R538" s="112"/>
      <c r="S538" s="112"/>
      <c r="T538" s="112"/>
      <c r="U538" s="112"/>
      <c r="V538" s="112"/>
      <c r="W538" s="112"/>
      <c r="X538" s="106"/>
      <c r="Y538" s="106"/>
      <c r="Z538" s="106"/>
      <c r="AA538" s="106"/>
      <c r="AB538" s="106"/>
      <c r="AC538" s="106"/>
    </row>
    <row r="539" spans="1:29" s="120" customFormat="1" ht="31.5">
      <c r="A539" s="136"/>
      <c r="B539" s="127" t="s">
        <v>1052</v>
      </c>
      <c r="C539" s="145" t="s">
        <v>1053</v>
      </c>
      <c r="D539" s="108"/>
      <c r="E539" s="108"/>
      <c r="F539" s="139">
        <v>503</v>
      </c>
      <c r="G539" s="139"/>
      <c r="H539" s="127"/>
      <c r="I539" s="112"/>
      <c r="J539" s="112"/>
      <c r="K539" s="112"/>
      <c r="L539" s="109"/>
      <c r="M539" s="116"/>
      <c r="N539" s="109"/>
      <c r="O539" s="112"/>
      <c r="P539" s="112"/>
      <c r="Q539" s="112"/>
      <c r="R539" s="112"/>
      <c r="S539" s="220" t="s">
        <v>2402</v>
      </c>
      <c r="T539" s="112"/>
      <c r="U539" s="112"/>
      <c r="V539" s="112"/>
      <c r="W539" s="112"/>
      <c r="X539" s="106"/>
      <c r="Y539" s="106"/>
      <c r="Z539" s="106"/>
      <c r="AA539" s="106"/>
      <c r="AB539" s="106"/>
      <c r="AC539" s="106"/>
    </row>
    <row r="540" spans="1:29" s="120" customFormat="1">
      <c r="A540" s="136"/>
      <c r="B540" s="127" t="s">
        <v>873</v>
      </c>
      <c r="C540" s="145" t="s">
        <v>874</v>
      </c>
      <c r="D540" s="108"/>
      <c r="E540" s="108"/>
      <c r="F540" s="139">
        <v>91</v>
      </c>
      <c r="G540" s="139"/>
      <c r="H540" s="127"/>
      <c r="I540" s="112"/>
      <c r="J540" s="112"/>
      <c r="K540" s="112"/>
      <c r="L540" s="109"/>
      <c r="M540" s="116"/>
      <c r="N540" s="109"/>
      <c r="O540" s="112"/>
      <c r="P540" s="112"/>
      <c r="Q540" s="112"/>
      <c r="R540" s="112"/>
      <c r="S540" s="112"/>
      <c r="T540" s="112"/>
      <c r="U540" s="112"/>
      <c r="V540" s="112"/>
      <c r="W540" s="112"/>
      <c r="X540" s="106"/>
      <c r="Y540" s="106"/>
      <c r="Z540" s="106"/>
      <c r="AA540" s="106"/>
      <c r="AB540" s="106"/>
      <c r="AC540" s="106"/>
    </row>
    <row r="541" spans="1:29" s="120" customFormat="1" ht="17.25">
      <c r="A541" s="115" t="s">
        <v>1573</v>
      </c>
      <c r="B541" s="131" t="s">
        <v>1572</v>
      </c>
      <c r="C541" s="145" t="s">
        <v>1676</v>
      </c>
      <c r="D541" s="108"/>
      <c r="E541" s="108" t="s">
        <v>2661</v>
      </c>
      <c r="F541" s="139"/>
      <c r="G541" s="139"/>
      <c r="H541" s="127"/>
      <c r="I541" s="115"/>
      <c r="J541" s="115"/>
      <c r="K541" s="115"/>
      <c r="L541" s="116"/>
      <c r="M541" s="127"/>
      <c r="N541" s="127"/>
      <c r="O541" s="115"/>
      <c r="P541" s="115"/>
      <c r="Q541" s="115"/>
      <c r="R541" s="115"/>
      <c r="S541" s="220" t="s">
        <v>2402</v>
      </c>
      <c r="T541" s="115"/>
      <c r="U541" s="115"/>
      <c r="V541" s="115"/>
      <c r="W541" s="115"/>
      <c r="X541" s="106"/>
      <c r="Y541" s="106"/>
      <c r="Z541" s="106"/>
      <c r="AA541" s="106"/>
      <c r="AB541" s="106"/>
      <c r="AC541" s="106"/>
    </row>
    <row r="542" spans="1:29" s="120" customFormat="1">
      <c r="A542" s="124" t="s">
        <v>349</v>
      </c>
      <c r="B542" s="124" t="s">
        <v>357</v>
      </c>
      <c r="C542" s="145" t="s">
        <v>358</v>
      </c>
      <c r="D542" s="108"/>
      <c r="E542" s="108"/>
      <c r="F542" s="139">
        <v>208</v>
      </c>
      <c r="G542" s="139"/>
      <c r="H542" s="124"/>
      <c r="I542" s="112"/>
      <c r="J542" s="112"/>
      <c r="K542" s="112"/>
      <c r="L542" s="109"/>
      <c r="M542" s="124"/>
      <c r="N542" s="109"/>
      <c r="O542" s="112"/>
      <c r="P542" s="112"/>
      <c r="Q542" s="112"/>
      <c r="R542" s="112"/>
      <c r="S542" s="112"/>
      <c r="T542" s="112"/>
      <c r="U542" s="112"/>
      <c r="V542" s="112"/>
      <c r="W542" s="112"/>
      <c r="X542" s="106"/>
      <c r="Y542" s="106"/>
      <c r="Z542" s="106"/>
      <c r="AA542" s="106"/>
      <c r="AB542" s="106"/>
      <c r="AC542" s="106"/>
    </row>
    <row r="543" spans="1:29" s="120" customFormat="1" ht="31.5">
      <c r="A543" s="115" t="s">
        <v>1940</v>
      </c>
      <c r="B543" s="115" t="s">
        <v>1941</v>
      </c>
      <c r="C543" s="145" t="s">
        <v>1942</v>
      </c>
      <c r="D543" s="108"/>
      <c r="E543" s="108" t="s">
        <v>2666</v>
      </c>
      <c r="F543" s="139"/>
      <c r="G543" s="139"/>
      <c r="H543" s="115"/>
      <c r="I543" s="115"/>
      <c r="J543" s="115"/>
      <c r="K543" s="115"/>
      <c r="L543" s="115" t="s">
        <v>1262</v>
      </c>
      <c r="M543" s="115"/>
      <c r="N543" s="115"/>
      <c r="O543" s="115"/>
      <c r="P543" s="112"/>
      <c r="Q543" s="112"/>
      <c r="R543" s="112"/>
      <c r="S543" s="112"/>
      <c r="T543" s="112"/>
      <c r="U543" s="112"/>
      <c r="V543" s="112"/>
      <c r="W543" s="112"/>
      <c r="X543" s="106"/>
      <c r="Y543" s="106"/>
      <c r="Z543" s="106"/>
      <c r="AA543" s="106"/>
      <c r="AB543" s="106"/>
      <c r="AC543" s="106"/>
    </row>
    <row r="544" spans="1:29" s="120" customFormat="1" ht="47.25">
      <c r="A544" s="115" t="s">
        <v>1294</v>
      </c>
      <c r="B544" s="127"/>
      <c r="C544" s="145" t="s">
        <v>1296</v>
      </c>
      <c r="D544" s="108"/>
      <c r="E544" s="108" t="s">
        <v>2666</v>
      </c>
      <c r="F544" s="139"/>
      <c r="G544" s="139"/>
      <c r="H544" s="127"/>
      <c r="I544" s="122"/>
      <c r="J544" s="122" t="s">
        <v>2268</v>
      </c>
      <c r="K544" s="122"/>
      <c r="L544" s="127" t="s">
        <v>1284</v>
      </c>
      <c r="M544" s="124"/>
      <c r="N544" s="109"/>
      <c r="O544" s="122"/>
      <c r="P544" s="112"/>
      <c r="Q544" s="112"/>
      <c r="R544" s="112"/>
      <c r="S544" s="112"/>
      <c r="T544" s="112"/>
      <c r="U544" s="112"/>
      <c r="V544" s="112"/>
      <c r="W544" s="112"/>
      <c r="X544" s="106"/>
      <c r="Y544" s="106"/>
      <c r="Z544" s="106"/>
      <c r="AA544" s="106"/>
      <c r="AB544" s="106"/>
      <c r="AC544" s="106"/>
    </row>
    <row r="545" spans="1:29" s="120" customFormat="1">
      <c r="A545" s="115" t="s">
        <v>46</v>
      </c>
      <c r="B545" s="115" t="s">
        <v>1879</v>
      </c>
      <c r="C545" s="145" t="s">
        <v>1880</v>
      </c>
      <c r="D545" s="108"/>
      <c r="E545" s="108"/>
      <c r="F545" s="139">
        <v>71</v>
      </c>
      <c r="G545" s="139"/>
      <c r="H545" s="115"/>
      <c r="I545" s="115"/>
      <c r="J545" s="115"/>
      <c r="K545" s="115"/>
      <c r="L545" s="115" t="s">
        <v>1289</v>
      </c>
      <c r="M545" s="115"/>
      <c r="N545" s="115" t="s">
        <v>1474</v>
      </c>
      <c r="O545" s="115"/>
      <c r="P545" s="110"/>
      <c r="Q545" s="110"/>
      <c r="R545" s="110"/>
      <c r="S545" s="110"/>
      <c r="T545" s="110"/>
      <c r="U545" s="110"/>
      <c r="V545" s="110"/>
      <c r="W545" s="110"/>
      <c r="X545" s="106"/>
      <c r="Y545" s="106"/>
      <c r="Z545" s="106"/>
      <c r="AA545" s="106"/>
      <c r="AB545" s="106"/>
      <c r="AC545" s="106"/>
    </row>
    <row r="546" spans="1:29" s="120" customFormat="1" ht="31.5">
      <c r="A546" s="115" t="s">
        <v>1444</v>
      </c>
      <c r="B546" s="127" t="s">
        <v>1445</v>
      </c>
      <c r="C546" s="145" t="s">
        <v>1447</v>
      </c>
      <c r="D546" s="108"/>
      <c r="E546" s="108" t="s">
        <v>2666</v>
      </c>
      <c r="F546" s="139"/>
      <c r="G546" s="139"/>
      <c r="H546" s="127"/>
      <c r="I546" s="122"/>
      <c r="J546" s="122" t="s">
        <v>1446</v>
      </c>
      <c r="K546" s="122"/>
      <c r="L546" s="127" t="s">
        <v>1275</v>
      </c>
      <c r="M546" s="115"/>
      <c r="N546" s="116"/>
      <c r="O546" s="122"/>
      <c r="P546" s="112"/>
      <c r="Q546" s="112"/>
      <c r="R546" s="112"/>
      <c r="S546" s="112"/>
      <c r="T546" s="112"/>
      <c r="U546" s="112"/>
      <c r="V546" s="112"/>
      <c r="W546" s="112"/>
      <c r="X546" s="106"/>
      <c r="Y546" s="106"/>
      <c r="Z546" s="106"/>
      <c r="AA546" s="106"/>
      <c r="AB546" s="106"/>
      <c r="AC546" s="106"/>
    </row>
    <row r="547" spans="1:29" s="120" customFormat="1">
      <c r="A547" s="118" t="s">
        <v>406</v>
      </c>
      <c r="B547" s="150" t="s">
        <v>2454</v>
      </c>
      <c r="C547" s="151" t="s">
        <v>2455</v>
      </c>
      <c r="D547" s="118"/>
      <c r="E547" s="118" t="s">
        <v>2666</v>
      </c>
      <c r="F547" s="140"/>
      <c r="G547" s="140"/>
      <c r="H547" s="118"/>
      <c r="L547" s="119"/>
      <c r="M547" s="124"/>
      <c r="N547" s="119"/>
    </row>
    <row r="548" spans="1:29" s="120" customFormat="1" ht="31.5">
      <c r="A548" s="115" t="s">
        <v>1430</v>
      </c>
      <c r="B548" s="127" t="s">
        <v>1431</v>
      </c>
      <c r="C548" s="145" t="s">
        <v>1433</v>
      </c>
      <c r="D548" s="108"/>
      <c r="E548" s="108" t="s">
        <v>2666</v>
      </c>
      <c r="F548" s="139"/>
      <c r="G548" s="139"/>
      <c r="H548" s="127"/>
      <c r="I548" s="122"/>
      <c r="J548" s="122" t="s">
        <v>1432</v>
      </c>
      <c r="K548" s="122"/>
      <c r="L548" s="127" t="s">
        <v>1284</v>
      </c>
      <c r="M548" s="127"/>
      <c r="N548" s="109"/>
      <c r="O548" s="122"/>
      <c r="P548" s="112"/>
      <c r="Q548" s="112"/>
      <c r="R548" s="112"/>
      <c r="S548" s="112"/>
      <c r="T548" s="112"/>
      <c r="U548" s="112"/>
      <c r="V548" s="112"/>
      <c r="W548" s="112"/>
      <c r="X548" s="106"/>
      <c r="Y548" s="106"/>
      <c r="Z548" s="106"/>
      <c r="AA548" s="106"/>
      <c r="AB548" s="106"/>
      <c r="AC548" s="106"/>
    </row>
    <row r="549" spans="1:29" s="120" customFormat="1">
      <c r="A549" s="124" t="s">
        <v>2357</v>
      </c>
      <c r="B549" s="124" t="s">
        <v>2769</v>
      </c>
      <c r="C549" s="153" t="s">
        <v>1153</v>
      </c>
      <c r="D549" s="108"/>
      <c r="E549" s="108"/>
      <c r="F549" s="139">
        <v>170</v>
      </c>
      <c r="G549" s="139"/>
      <c r="H549" s="124"/>
      <c r="I549" s="112"/>
      <c r="J549" s="112"/>
      <c r="K549" s="112"/>
      <c r="L549" s="109"/>
      <c r="M549" s="127"/>
      <c r="N549" s="109"/>
      <c r="O549" s="112"/>
      <c r="P549" s="112"/>
      <c r="Q549" s="112"/>
      <c r="R549" s="112"/>
      <c r="S549" s="112"/>
      <c r="T549" s="112"/>
      <c r="U549" s="112"/>
      <c r="V549" s="112"/>
      <c r="W549" s="112"/>
      <c r="X549" s="106"/>
      <c r="Y549" s="106"/>
      <c r="Z549" s="106"/>
      <c r="AA549" s="106"/>
      <c r="AB549" s="106"/>
      <c r="AC549" s="106"/>
    </row>
    <row r="550" spans="1:29" s="120" customFormat="1" ht="31.5">
      <c r="A550" s="115" t="s">
        <v>2084</v>
      </c>
      <c r="B550" s="115" t="s">
        <v>2085</v>
      </c>
      <c r="C550" s="145" t="s">
        <v>2086</v>
      </c>
      <c r="D550" s="108"/>
      <c r="E550" s="108"/>
      <c r="F550" s="139">
        <v>265</v>
      </c>
      <c r="G550" s="139"/>
      <c r="H550" s="115"/>
      <c r="I550" s="115"/>
      <c r="J550" s="115"/>
      <c r="K550" s="115"/>
      <c r="L550" s="115" t="s">
        <v>1262</v>
      </c>
      <c r="M550" s="124"/>
      <c r="N550" s="115"/>
      <c r="O550" s="115"/>
      <c r="P550" s="112"/>
      <c r="Q550" s="112"/>
      <c r="R550" s="112"/>
      <c r="S550" s="112"/>
      <c r="T550" s="112"/>
      <c r="U550" s="112"/>
      <c r="V550" s="112"/>
      <c r="W550" s="112"/>
      <c r="X550" s="106"/>
      <c r="Y550" s="106"/>
      <c r="Z550" s="106"/>
      <c r="AA550" s="106"/>
      <c r="AB550" s="106"/>
      <c r="AC550" s="106"/>
    </row>
    <row r="551" spans="1:29" s="120" customFormat="1">
      <c r="A551" s="136" t="s">
        <v>2654</v>
      </c>
      <c r="B551" s="127" t="s">
        <v>2653</v>
      </c>
      <c r="C551" s="145" t="s">
        <v>748</v>
      </c>
      <c r="D551" s="108"/>
      <c r="E551" s="108">
        <v>550</v>
      </c>
      <c r="F551" s="139"/>
      <c r="G551" s="139"/>
      <c r="H551" s="127"/>
      <c r="I551" s="112"/>
      <c r="J551" s="112"/>
      <c r="K551" s="112"/>
      <c r="L551" s="109"/>
      <c r="M551" s="127"/>
      <c r="N551" s="109" t="s">
        <v>2317</v>
      </c>
      <c r="O551" s="112"/>
      <c r="P551" s="112"/>
      <c r="Q551" s="112"/>
      <c r="R551" s="112"/>
      <c r="S551" s="112"/>
      <c r="T551" s="112"/>
      <c r="U551" s="112"/>
      <c r="V551" s="112"/>
      <c r="W551" s="112"/>
      <c r="X551" s="106"/>
      <c r="Y551" s="106"/>
      <c r="Z551" s="106"/>
      <c r="AA551" s="106"/>
      <c r="AB551" s="106"/>
      <c r="AC551" s="106"/>
    </row>
    <row r="552" spans="1:29" s="120" customFormat="1">
      <c r="A552" s="136" t="s">
        <v>2655</v>
      </c>
      <c r="B552" s="127" t="s">
        <v>2656</v>
      </c>
      <c r="C552" s="145" t="s">
        <v>528</v>
      </c>
      <c r="D552" s="108"/>
      <c r="E552" s="108" t="s">
        <v>2663</v>
      </c>
      <c r="F552" s="139"/>
      <c r="G552" s="139"/>
      <c r="H552" s="127"/>
      <c r="I552" s="112"/>
      <c r="J552" s="112"/>
      <c r="K552" s="112"/>
      <c r="L552" s="116"/>
      <c r="M552" s="118"/>
      <c r="N552" s="116" t="s">
        <v>2237</v>
      </c>
      <c r="O552" s="112"/>
      <c r="P552" s="112"/>
      <c r="Q552" s="112"/>
      <c r="R552" s="112"/>
      <c r="S552" s="112"/>
      <c r="T552" s="112"/>
      <c r="U552" s="112"/>
      <c r="V552" s="112"/>
      <c r="W552" s="112"/>
      <c r="X552" s="106"/>
      <c r="Y552" s="106"/>
      <c r="Z552" s="106"/>
      <c r="AA552" s="106"/>
      <c r="AB552" s="106"/>
      <c r="AC552" s="106"/>
    </row>
    <row r="553" spans="1:29" s="120" customFormat="1">
      <c r="A553" s="124" t="s">
        <v>545</v>
      </c>
      <c r="B553" s="124" t="s">
        <v>544</v>
      </c>
      <c r="C553" s="145" t="s">
        <v>546</v>
      </c>
      <c r="D553" s="108"/>
      <c r="E553" s="108">
        <v>550</v>
      </c>
      <c r="F553" s="139"/>
      <c r="G553" s="139"/>
      <c r="H553" s="124"/>
      <c r="I553" s="112"/>
      <c r="J553" s="112"/>
      <c r="K553" s="112"/>
      <c r="L553" s="109"/>
      <c r="M553" s="124"/>
      <c r="N553" s="109"/>
      <c r="O553" s="112"/>
      <c r="P553" s="112"/>
      <c r="Q553" s="112"/>
      <c r="R553" s="112"/>
      <c r="S553" s="112"/>
      <c r="T553" s="112"/>
      <c r="U553" s="112"/>
      <c r="V553" s="112"/>
      <c r="W553" s="112"/>
      <c r="X553" s="106"/>
      <c r="Y553" s="106"/>
      <c r="Z553" s="106"/>
      <c r="AA553" s="106"/>
      <c r="AB553" s="106"/>
      <c r="AC553" s="106"/>
    </row>
    <row r="554" spans="1:29" s="120" customFormat="1">
      <c r="A554" s="124" t="s">
        <v>17</v>
      </c>
      <c r="B554" s="124" t="s">
        <v>567</v>
      </c>
      <c r="C554" s="55" t="s">
        <v>3969</v>
      </c>
      <c r="D554" s="108" t="s">
        <v>2673</v>
      </c>
      <c r="E554" s="108"/>
      <c r="F554" s="139">
        <v>22</v>
      </c>
      <c r="G554" s="139"/>
      <c r="H554" s="124"/>
      <c r="I554" s="112"/>
      <c r="J554" s="112"/>
      <c r="K554" s="112"/>
      <c r="L554" s="116"/>
      <c r="M554" s="124"/>
      <c r="N554" s="116"/>
      <c r="O554" s="112"/>
      <c r="P554" s="112"/>
      <c r="Q554" s="112"/>
      <c r="R554" s="112"/>
      <c r="S554" s="112"/>
      <c r="T554" s="112"/>
      <c r="U554" s="112"/>
      <c r="V554" s="112"/>
      <c r="W554" s="112"/>
      <c r="X554" s="106"/>
      <c r="Y554" s="106"/>
      <c r="Z554" s="106"/>
      <c r="AA554" s="106"/>
      <c r="AB554" s="106"/>
      <c r="AC554" s="106"/>
    </row>
    <row r="555" spans="1:29" s="120" customFormat="1">
      <c r="A555" s="124" t="s">
        <v>17</v>
      </c>
      <c r="B555" s="124" t="s">
        <v>567</v>
      </c>
      <c r="C555" s="145" t="s">
        <v>568</v>
      </c>
      <c r="D555" s="108"/>
      <c r="E555" s="108"/>
      <c r="F555" s="139">
        <v>20</v>
      </c>
      <c r="G555" s="139"/>
      <c r="H555" s="124"/>
      <c r="I555" s="112"/>
      <c r="J555" s="112"/>
      <c r="K555" s="112"/>
      <c r="L555" s="116"/>
      <c r="M555" s="124"/>
      <c r="N555" s="116"/>
      <c r="O555" s="112"/>
      <c r="P555" s="112"/>
      <c r="Q555" s="112"/>
      <c r="R555" s="112"/>
      <c r="S555" s="112"/>
      <c r="T555" s="112"/>
      <c r="U555" s="112"/>
      <c r="V555" s="112"/>
      <c r="W555" s="112"/>
      <c r="X555" s="106"/>
      <c r="Y555" s="106"/>
      <c r="Z555" s="106"/>
      <c r="AA555" s="106"/>
      <c r="AB555" s="106"/>
      <c r="AC555" s="106"/>
    </row>
    <row r="556" spans="1:29" s="120" customFormat="1">
      <c r="A556" s="115" t="s">
        <v>156</v>
      </c>
      <c r="B556" s="127" t="s">
        <v>155</v>
      </c>
      <c r="C556" s="145" t="s">
        <v>157</v>
      </c>
      <c r="D556" s="108"/>
      <c r="E556" s="108" t="s">
        <v>2663</v>
      </c>
      <c r="F556" s="139"/>
      <c r="G556" s="139"/>
      <c r="H556" s="127"/>
      <c r="I556" s="112"/>
      <c r="J556" s="112"/>
      <c r="K556" s="112"/>
      <c r="L556" s="109"/>
      <c r="M556" s="116"/>
      <c r="N556" s="109"/>
      <c r="O556" s="112"/>
      <c r="P556" s="112"/>
      <c r="Q556" s="112"/>
      <c r="R556" s="112"/>
      <c r="S556" s="112"/>
      <c r="T556" s="112"/>
      <c r="U556" s="112"/>
      <c r="V556" s="112"/>
      <c r="W556" s="112"/>
      <c r="X556" s="106"/>
      <c r="Y556" s="106"/>
      <c r="Z556" s="106"/>
      <c r="AA556" s="106"/>
      <c r="AB556" s="106"/>
      <c r="AC556" s="106"/>
    </row>
    <row r="557" spans="1:29" s="120" customFormat="1">
      <c r="A557" s="115" t="s">
        <v>1409</v>
      </c>
      <c r="B557" s="115" t="s">
        <v>2166</v>
      </c>
      <c r="C557" s="145" t="s">
        <v>2167</v>
      </c>
      <c r="D557" s="108"/>
      <c r="E557" s="108" t="s">
        <v>2666</v>
      </c>
      <c r="F557" s="139"/>
      <c r="G557" s="139"/>
      <c r="H557" s="115"/>
      <c r="I557" s="115"/>
      <c r="J557" s="115"/>
      <c r="K557" s="115"/>
      <c r="L557" s="109"/>
      <c r="M557" s="127"/>
      <c r="N557" s="115" t="s">
        <v>1703</v>
      </c>
      <c r="O557" s="115"/>
      <c r="P557" s="112"/>
      <c r="Q557" s="112"/>
      <c r="R557" s="112"/>
      <c r="S557" s="112"/>
      <c r="T557" s="112"/>
      <c r="U557" s="112"/>
      <c r="V557" s="112"/>
      <c r="W557" s="112"/>
      <c r="X557" s="106"/>
      <c r="Y557" s="106"/>
      <c r="Z557" s="106"/>
      <c r="AA557" s="106"/>
      <c r="AB557" s="106"/>
      <c r="AC557" s="106"/>
    </row>
    <row r="558" spans="1:29" s="120" customFormat="1">
      <c r="A558" s="115" t="s">
        <v>1946</v>
      </c>
      <c r="B558" s="115" t="s">
        <v>1947</v>
      </c>
      <c r="C558" s="145" t="s">
        <v>1948</v>
      </c>
      <c r="D558" s="108"/>
      <c r="E558" s="108" t="s">
        <v>2666</v>
      </c>
      <c r="F558" s="139"/>
      <c r="G558" s="139"/>
      <c r="H558" s="115"/>
      <c r="I558" s="115"/>
      <c r="J558" s="115"/>
      <c r="K558" s="115"/>
      <c r="L558" s="115" t="s">
        <v>1262</v>
      </c>
      <c r="M558" s="124"/>
      <c r="N558" s="115" t="s">
        <v>1699</v>
      </c>
      <c r="O558" s="115"/>
      <c r="P558" s="112"/>
      <c r="Q558" s="112"/>
      <c r="R558" s="112"/>
      <c r="S558" s="112"/>
      <c r="T558" s="112"/>
      <c r="U558" s="112"/>
      <c r="V558" s="112"/>
      <c r="W558" s="112"/>
      <c r="X558" s="106"/>
      <c r="Y558" s="106"/>
      <c r="Z558" s="106"/>
      <c r="AA558" s="106"/>
      <c r="AB558" s="106"/>
      <c r="AC558" s="106"/>
    </row>
    <row r="559" spans="1:29" s="120" customFormat="1" ht="14.25">
      <c r="A559" s="150" t="s">
        <v>1841</v>
      </c>
      <c r="B559" s="150" t="s">
        <v>2432</v>
      </c>
      <c r="C559" s="151" t="s">
        <v>2433</v>
      </c>
      <c r="D559" s="118"/>
      <c r="E559" s="118" t="s">
        <v>2670</v>
      </c>
      <c r="F559" s="140"/>
      <c r="G559" s="140"/>
      <c r="H559" s="118"/>
      <c r="L559" s="118"/>
      <c r="M559" s="118"/>
      <c r="N559" s="118"/>
    </row>
    <row r="560" spans="1:29" s="120" customFormat="1" ht="31.5">
      <c r="A560" s="124" t="s">
        <v>376</v>
      </c>
      <c r="B560" s="124" t="s">
        <v>382</v>
      </c>
      <c r="C560" s="145" t="s">
        <v>383</v>
      </c>
      <c r="D560" s="108"/>
      <c r="E560" s="108"/>
      <c r="F560" s="139">
        <v>273</v>
      </c>
      <c r="G560" s="139"/>
      <c r="H560" s="124"/>
      <c r="I560" s="112"/>
      <c r="J560" s="112"/>
      <c r="K560" s="112"/>
      <c r="L560" s="109"/>
      <c r="M560" s="124"/>
      <c r="N560" s="109"/>
      <c r="O560" s="112"/>
      <c r="P560" s="112"/>
      <c r="Q560" s="112"/>
      <c r="R560" s="112"/>
      <c r="S560" s="112"/>
      <c r="T560" s="112"/>
      <c r="U560" s="112"/>
      <c r="V560" s="112"/>
      <c r="W560" s="112"/>
      <c r="X560" s="106"/>
      <c r="Y560" s="106"/>
      <c r="Z560" s="106"/>
      <c r="AA560" s="106"/>
      <c r="AB560" s="106"/>
      <c r="AC560" s="106"/>
    </row>
    <row r="561" spans="1:29" s="120" customFormat="1">
      <c r="A561" s="115" t="s">
        <v>49</v>
      </c>
      <c r="B561" s="127" t="s">
        <v>48</v>
      </c>
      <c r="C561" s="145" t="s">
        <v>50</v>
      </c>
      <c r="D561" s="108" t="s">
        <v>2673</v>
      </c>
      <c r="E561" s="108"/>
      <c r="F561" s="139">
        <v>74</v>
      </c>
      <c r="G561" s="139"/>
      <c r="H561" s="127"/>
      <c r="I561" s="110"/>
      <c r="J561" s="110"/>
      <c r="K561" s="110"/>
      <c r="L561" s="116"/>
      <c r="M561" s="127"/>
      <c r="N561" s="116"/>
      <c r="O561" s="110"/>
      <c r="P561" s="110"/>
      <c r="Q561" s="110"/>
      <c r="R561" s="110"/>
      <c r="S561" s="110"/>
      <c r="T561" s="110"/>
      <c r="U561" s="110"/>
      <c r="V561" s="110"/>
      <c r="W561" s="110"/>
      <c r="X561" s="106"/>
      <c r="Y561" s="106"/>
      <c r="Z561" s="106"/>
      <c r="AA561" s="106"/>
      <c r="AB561" s="106"/>
      <c r="AC561" s="106"/>
    </row>
    <row r="562" spans="1:29" s="120" customFormat="1">
      <c r="A562" s="115" t="s">
        <v>231</v>
      </c>
      <c r="B562" s="127" t="s">
        <v>230</v>
      </c>
      <c r="C562" s="145" t="s">
        <v>232</v>
      </c>
      <c r="D562" s="108"/>
      <c r="E562" s="108"/>
      <c r="F562" s="139">
        <v>397</v>
      </c>
      <c r="G562" s="139"/>
      <c r="H562" s="127"/>
      <c r="I562" s="112"/>
      <c r="J562" s="112"/>
      <c r="K562" s="112"/>
      <c r="L562" s="109"/>
      <c r="M562" s="127"/>
      <c r="N562" s="109"/>
      <c r="O562" s="112"/>
      <c r="P562" s="112"/>
      <c r="Q562" s="112"/>
      <c r="R562" s="112"/>
      <c r="S562" s="112"/>
      <c r="T562" s="112"/>
      <c r="U562" s="112"/>
      <c r="V562" s="112"/>
      <c r="W562" s="112"/>
      <c r="X562" s="106"/>
      <c r="Y562" s="106"/>
      <c r="Z562" s="106"/>
      <c r="AA562" s="106"/>
      <c r="AB562" s="106"/>
      <c r="AC562" s="106"/>
    </row>
    <row r="563" spans="1:29" s="120" customFormat="1">
      <c r="A563" s="115" t="s">
        <v>106</v>
      </c>
      <c r="B563" s="127" t="s">
        <v>105</v>
      </c>
      <c r="C563" s="145" t="s">
        <v>107</v>
      </c>
      <c r="D563" s="108"/>
      <c r="E563" s="108" t="s">
        <v>2666</v>
      </c>
      <c r="F563" s="139"/>
      <c r="G563" s="139"/>
      <c r="H563" s="127"/>
      <c r="I563" s="112"/>
      <c r="J563" s="112"/>
      <c r="K563" s="112"/>
      <c r="L563" s="109"/>
      <c r="M563" s="127"/>
      <c r="N563" s="109"/>
      <c r="O563" s="112"/>
      <c r="P563" s="112"/>
      <c r="Q563" s="112"/>
      <c r="R563" s="112"/>
      <c r="S563" s="112"/>
      <c r="T563" s="112"/>
      <c r="U563" s="112"/>
      <c r="V563" s="112"/>
      <c r="W563" s="112"/>
      <c r="X563" s="106"/>
      <c r="Y563" s="106"/>
      <c r="Z563" s="106"/>
      <c r="AA563" s="106"/>
      <c r="AB563" s="106"/>
      <c r="AC563" s="106"/>
    </row>
    <row r="564" spans="1:29" s="120" customFormat="1">
      <c r="A564" s="115" t="s">
        <v>265</v>
      </c>
      <c r="B564" s="127" t="s">
        <v>264</v>
      </c>
      <c r="C564" s="145" t="s">
        <v>266</v>
      </c>
      <c r="D564" s="108"/>
      <c r="E564" s="108"/>
      <c r="F564" s="139">
        <v>442</v>
      </c>
      <c r="G564" s="139"/>
      <c r="H564" s="127"/>
      <c r="I564" s="112"/>
      <c r="J564" s="112"/>
      <c r="K564" s="112"/>
      <c r="L564" s="109"/>
      <c r="M564" s="127"/>
      <c r="N564" s="109"/>
      <c r="O564" s="112"/>
      <c r="P564" s="112"/>
      <c r="Q564" s="112"/>
      <c r="R564" s="112"/>
      <c r="S564" s="112"/>
      <c r="T564" s="112"/>
      <c r="U564" s="112"/>
      <c r="V564" s="112"/>
      <c r="W564" s="112"/>
      <c r="X564" s="106"/>
      <c r="Y564" s="106"/>
      <c r="Z564" s="106"/>
      <c r="AA564" s="106"/>
      <c r="AB564" s="106"/>
      <c r="AC564" s="106"/>
    </row>
    <row r="565" spans="1:29" s="120" customFormat="1">
      <c r="A565" s="124" t="s">
        <v>869</v>
      </c>
      <c r="B565" s="115" t="s">
        <v>2074</v>
      </c>
      <c r="C565" s="145" t="s">
        <v>870</v>
      </c>
      <c r="D565" s="108"/>
      <c r="E565" s="108"/>
      <c r="F565" s="139">
        <v>180</v>
      </c>
      <c r="G565" s="139"/>
      <c r="H565" s="124"/>
      <c r="I565" s="112"/>
      <c r="J565" s="112"/>
      <c r="K565" s="112"/>
      <c r="L565" s="115" t="s">
        <v>1284</v>
      </c>
      <c r="M565" s="124"/>
      <c r="N565" s="109"/>
      <c r="O565" s="112"/>
      <c r="P565" s="112"/>
      <c r="Q565" s="112"/>
      <c r="R565" s="112"/>
      <c r="S565" s="112"/>
      <c r="T565" s="112"/>
      <c r="U565" s="112"/>
      <c r="V565" s="112"/>
      <c r="W565" s="112"/>
      <c r="X565" s="106"/>
      <c r="Y565" s="106"/>
      <c r="Z565" s="106"/>
      <c r="AA565" s="106"/>
      <c r="AB565" s="106"/>
      <c r="AC565" s="106"/>
    </row>
    <row r="566" spans="1:29" s="120" customFormat="1">
      <c r="A566" s="124" t="s">
        <v>517</v>
      </c>
      <c r="B566" s="124" t="s">
        <v>523</v>
      </c>
      <c r="C566" s="145" t="s">
        <v>524</v>
      </c>
      <c r="D566" s="108"/>
      <c r="E566" s="108"/>
      <c r="F566" s="139">
        <v>477</v>
      </c>
      <c r="G566" s="139"/>
      <c r="H566" s="124"/>
      <c r="I566" s="112"/>
      <c r="J566" s="112"/>
      <c r="K566" s="112"/>
      <c r="L566" s="109"/>
      <c r="M566" s="124"/>
      <c r="N566" s="109" t="s">
        <v>2237</v>
      </c>
      <c r="O566" s="112"/>
      <c r="P566" s="112"/>
      <c r="Q566" s="112"/>
      <c r="R566" s="112"/>
      <c r="S566" s="112"/>
      <c r="T566" s="112"/>
      <c r="U566" s="112"/>
      <c r="V566" s="112"/>
      <c r="W566" s="112"/>
      <c r="X566" s="106"/>
      <c r="Y566" s="106"/>
      <c r="Z566" s="106"/>
      <c r="AA566" s="106"/>
      <c r="AB566" s="106"/>
      <c r="AC566" s="106"/>
    </row>
    <row r="567" spans="1:29" s="120" customFormat="1">
      <c r="A567" s="124" t="s">
        <v>625</v>
      </c>
      <c r="B567" s="124" t="s">
        <v>624</v>
      </c>
      <c r="C567" s="145" t="s">
        <v>626</v>
      </c>
      <c r="D567" s="108"/>
      <c r="E567" s="108"/>
      <c r="F567" s="139">
        <v>254</v>
      </c>
      <c r="G567" s="139"/>
      <c r="H567" s="124"/>
      <c r="I567" s="112"/>
      <c r="J567" s="112"/>
      <c r="K567" s="112"/>
      <c r="L567" s="109"/>
      <c r="M567" s="124"/>
      <c r="N567" s="109"/>
      <c r="O567" s="112"/>
      <c r="P567" s="112"/>
      <c r="Q567" s="112"/>
      <c r="R567" s="112"/>
      <c r="S567" s="112"/>
      <c r="T567" s="112"/>
      <c r="U567" s="112"/>
      <c r="V567" s="112"/>
      <c r="W567" s="112"/>
      <c r="X567" s="106"/>
      <c r="Y567" s="106"/>
      <c r="Z567" s="106"/>
      <c r="AA567" s="106"/>
      <c r="AB567" s="106"/>
      <c r="AC567" s="106"/>
    </row>
    <row r="568" spans="1:29" s="120" customFormat="1" ht="28.5">
      <c r="A568" s="154" t="s">
        <v>2476</v>
      </c>
      <c r="B568" s="168" t="s">
        <v>624</v>
      </c>
      <c r="C568" s="151" t="s">
        <v>626</v>
      </c>
      <c r="D568" s="118"/>
      <c r="E568" s="118"/>
      <c r="F568" s="140">
        <v>254</v>
      </c>
      <c r="G568" s="140"/>
      <c r="H568" s="154"/>
      <c r="L568" s="56"/>
      <c r="M568" s="124"/>
      <c r="N568" s="56"/>
    </row>
    <row r="569" spans="1:29" s="120" customFormat="1">
      <c r="A569" s="115" t="s">
        <v>1714</v>
      </c>
      <c r="B569" s="115" t="s">
        <v>1715</v>
      </c>
      <c r="C569" s="145" t="s">
        <v>1716</v>
      </c>
      <c r="D569" s="108"/>
      <c r="E569" s="108"/>
      <c r="F569" s="139">
        <v>143</v>
      </c>
      <c r="G569" s="139"/>
      <c r="H569" s="115"/>
      <c r="I569" s="133"/>
      <c r="J569" s="133"/>
      <c r="K569" s="133"/>
      <c r="L569" s="127" t="s">
        <v>1314</v>
      </c>
      <c r="M569" s="115"/>
      <c r="N569" s="115" t="s">
        <v>1703</v>
      </c>
      <c r="O569" s="133"/>
      <c r="P569" s="112"/>
      <c r="Q569" s="112"/>
      <c r="R569" s="112"/>
      <c r="S569" s="112"/>
      <c r="T569" s="112"/>
      <c r="U569" s="112"/>
      <c r="V569" s="112"/>
      <c r="W569" s="112"/>
      <c r="X569" s="106"/>
      <c r="Y569" s="106"/>
      <c r="Z569" s="106"/>
      <c r="AA569" s="106"/>
      <c r="AB569" s="106"/>
      <c r="AC569" s="106"/>
    </row>
    <row r="570" spans="1:29" s="120" customFormat="1">
      <c r="A570" s="115" t="s">
        <v>301</v>
      </c>
      <c r="B570" s="127" t="s">
        <v>300</v>
      </c>
      <c r="C570" s="145" t="s">
        <v>302</v>
      </c>
      <c r="D570" s="108"/>
      <c r="E570" s="108" t="s">
        <v>2666</v>
      </c>
      <c r="F570" s="139"/>
      <c r="G570" s="139"/>
      <c r="H570" s="127"/>
      <c r="I570" s="112"/>
      <c r="J570" s="112"/>
      <c r="K570" s="112"/>
      <c r="L570" s="109"/>
      <c r="M570" s="127"/>
      <c r="N570" s="109"/>
      <c r="O570" s="112"/>
      <c r="P570" s="112"/>
      <c r="Q570" s="112"/>
      <c r="R570" s="112"/>
      <c r="S570" s="112"/>
      <c r="T570" s="112"/>
      <c r="U570" s="112"/>
      <c r="V570" s="112"/>
      <c r="W570" s="112"/>
      <c r="X570" s="106"/>
      <c r="Y570" s="106"/>
      <c r="Z570" s="106"/>
      <c r="AA570" s="106"/>
      <c r="AB570" s="106"/>
      <c r="AC570" s="106"/>
    </row>
    <row r="571" spans="1:29" s="120" customFormat="1">
      <c r="A571" s="124" t="s">
        <v>536</v>
      </c>
      <c r="B571" s="124" t="s">
        <v>540</v>
      </c>
      <c r="C571" s="145" t="s">
        <v>541</v>
      </c>
      <c r="D571" s="108"/>
      <c r="E571" s="108"/>
      <c r="F571" s="139">
        <v>245</v>
      </c>
      <c r="G571" s="139"/>
      <c r="H571" s="124"/>
      <c r="I571" s="112"/>
      <c r="J571" s="112"/>
      <c r="K571" s="112"/>
      <c r="L571" s="109"/>
      <c r="M571" s="124"/>
      <c r="N571" s="109"/>
      <c r="O571" s="112"/>
      <c r="P571" s="112"/>
      <c r="Q571" s="112"/>
      <c r="R571" s="112"/>
      <c r="S571" s="112"/>
      <c r="T571" s="112"/>
      <c r="U571" s="112"/>
      <c r="V571" s="112"/>
      <c r="W571" s="112"/>
      <c r="X571" s="106"/>
      <c r="Y571" s="106"/>
      <c r="Z571" s="106"/>
      <c r="AA571" s="106"/>
      <c r="AB571" s="106"/>
      <c r="AC571" s="106"/>
    </row>
    <row r="572" spans="1:29" s="120" customFormat="1" ht="31.5">
      <c r="A572" s="115" t="s">
        <v>1854</v>
      </c>
      <c r="B572" s="115" t="s">
        <v>1855</v>
      </c>
      <c r="C572" s="145" t="s">
        <v>1856</v>
      </c>
      <c r="D572" s="108"/>
      <c r="E572" s="108" t="s">
        <v>2623</v>
      </c>
      <c r="F572" s="139"/>
      <c r="G572" s="139"/>
      <c r="H572" s="115"/>
      <c r="I572" s="115"/>
      <c r="J572" s="115"/>
      <c r="K572" s="115"/>
      <c r="L572" s="115" t="s">
        <v>1289</v>
      </c>
      <c r="M572" s="115"/>
      <c r="N572" s="115" t="s">
        <v>1741</v>
      </c>
      <c r="O572" s="115"/>
      <c r="P572" s="112"/>
      <c r="Q572" s="112"/>
      <c r="R572" s="112"/>
      <c r="S572" s="112"/>
      <c r="T572" s="112"/>
      <c r="U572" s="112"/>
      <c r="V572" s="112"/>
      <c r="W572" s="112"/>
      <c r="X572" s="106"/>
      <c r="Y572" s="106"/>
      <c r="Z572" s="106"/>
      <c r="AA572" s="106"/>
      <c r="AB572" s="106"/>
      <c r="AC572" s="106"/>
    </row>
    <row r="573" spans="1:29" s="120" customFormat="1">
      <c r="A573" s="115" t="s">
        <v>219</v>
      </c>
      <c r="B573" s="127" t="s">
        <v>218</v>
      </c>
      <c r="C573" s="145" t="s">
        <v>220</v>
      </c>
      <c r="D573" s="108"/>
      <c r="E573" s="108"/>
      <c r="F573" s="139">
        <v>375</v>
      </c>
      <c r="G573" s="139"/>
      <c r="H573" s="127"/>
      <c r="I573" s="112"/>
      <c r="J573" s="112"/>
      <c r="K573" s="112"/>
      <c r="L573" s="109"/>
      <c r="M573" s="127"/>
      <c r="N573" s="109"/>
      <c r="O573" s="112"/>
      <c r="P573" s="112"/>
      <c r="Q573" s="112"/>
      <c r="R573" s="112"/>
      <c r="S573" s="112"/>
      <c r="T573" s="112"/>
      <c r="U573" s="112"/>
      <c r="V573" s="112"/>
      <c r="W573" s="112"/>
      <c r="X573" s="106"/>
      <c r="Y573" s="106"/>
      <c r="Z573" s="106"/>
      <c r="AA573" s="106"/>
      <c r="AB573" s="106"/>
      <c r="AC573" s="106"/>
    </row>
    <row r="574" spans="1:29" s="120" customFormat="1">
      <c r="A574" s="124" t="s">
        <v>470</v>
      </c>
      <c r="B574" s="124"/>
      <c r="C574" s="145" t="s">
        <v>478</v>
      </c>
      <c r="D574" s="108"/>
      <c r="E574" s="108"/>
      <c r="F574" s="139">
        <v>36</v>
      </c>
      <c r="G574" s="139"/>
      <c r="H574" s="124"/>
      <c r="I574" s="110"/>
      <c r="J574" s="110"/>
      <c r="K574" s="110"/>
      <c r="L574" s="116"/>
      <c r="M574" s="124"/>
      <c r="N574" s="116"/>
      <c r="O574" s="110"/>
      <c r="P574" s="110"/>
      <c r="Q574" s="110"/>
      <c r="R574" s="110"/>
      <c r="S574" s="110"/>
      <c r="T574" s="110"/>
      <c r="U574" s="110"/>
      <c r="V574" s="110"/>
      <c r="W574" s="110"/>
      <c r="X574" s="106"/>
      <c r="Y574" s="106"/>
      <c r="Z574" s="106"/>
      <c r="AA574" s="106"/>
      <c r="AB574" s="106"/>
      <c r="AC574" s="106"/>
    </row>
    <row r="575" spans="1:29" s="120" customFormat="1">
      <c r="A575" s="136"/>
      <c r="B575" s="127" t="s">
        <v>26</v>
      </c>
      <c r="C575" s="145" t="s">
        <v>835</v>
      </c>
      <c r="D575" s="108"/>
      <c r="E575" s="108"/>
      <c r="F575" s="139">
        <v>504</v>
      </c>
      <c r="G575" s="139"/>
      <c r="H575" s="127"/>
      <c r="I575" s="112"/>
      <c r="J575" s="112"/>
      <c r="K575" s="112"/>
      <c r="L575" s="116"/>
      <c r="M575" s="116"/>
      <c r="N575" s="116"/>
      <c r="O575" s="112"/>
      <c r="P575" s="112"/>
      <c r="Q575" s="112"/>
      <c r="R575" s="112"/>
      <c r="S575" s="112"/>
      <c r="T575" s="112"/>
      <c r="U575" s="112"/>
      <c r="V575" s="112"/>
      <c r="W575" s="112"/>
      <c r="X575" s="106"/>
      <c r="Y575" s="106"/>
      <c r="Z575" s="106"/>
      <c r="AA575" s="106"/>
      <c r="AB575" s="106"/>
      <c r="AC575" s="106"/>
    </row>
    <row r="576" spans="1:29" s="120" customFormat="1" ht="31.5">
      <c r="A576" s="115" t="s">
        <v>1828</v>
      </c>
      <c r="B576" s="115" t="s">
        <v>1829</v>
      </c>
      <c r="C576" s="145" t="s">
        <v>1830</v>
      </c>
      <c r="D576" s="108"/>
      <c r="E576" s="108"/>
      <c r="F576" s="139">
        <v>356</v>
      </c>
      <c r="G576" s="139"/>
      <c r="H576" s="115"/>
      <c r="I576" s="115"/>
      <c r="J576" s="115"/>
      <c r="K576" s="115"/>
      <c r="L576" s="115" t="s">
        <v>1289</v>
      </c>
      <c r="M576" s="115"/>
      <c r="N576" s="115" t="s">
        <v>1707</v>
      </c>
      <c r="O576" s="115"/>
      <c r="P576" s="112"/>
      <c r="Q576" s="112"/>
      <c r="R576" s="112"/>
      <c r="S576" s="112"/>
      <c r="T576" s="112"/>
      <c r="U576" s="112"/>
      <c r="V576" s="112"/>
      <c r="W576" s="112"/>
      <c r="X576" s="106"/>
      <c r="Y576" s="106"/>
      <c r="Z576" s="106"/>
      <c r="AA576" s="106"/>
      <c r="AB576" s="106"/>
      <c r="AC576" s="106"/>
    </row>
    <row r="577" spans="1:29" s="120" customFormat="1">
      <c r="A577" s="124" t="s">
        <v>386</v>
      </c>
      <c r="B577" s="124" t="s">
        <v>390</v>
      </c>
      <c r="C577" s="145" t="s">
        <v>391</v>
      </c>
      <c r="D577" s="108"/>
      <c r="E577" s="108"/>
      <c r="F577" s="139">
        <v>132</v>
      </c>
      <c r="G577" s="139"/>
      <c r="H577" s="124"/>
      <c r="I577" s="112"/>
      <c r="J577" s="112"/>
      <c r="K577" s="112"/>
      <c r="L577" s="116"/>
      <c r="M577" s="124"/>
      <c r="N577" s="116"/>
      <c r="O577" s="112"/>
      <c r="P577" s="112"/>
      <c r="Q577" s="112"/>
      <c r="R577" s="112"/>
      <c r="S577" s="112"/>
      <c r="T577" s="112"/>
      <c r="U577" s="112"/>
      <c r="V577" s="112"/>
      <c r="W577" s="112"/>
      <c r="X577" s="106"/>
      <c r="Y577" s="106"/>
      <c r="Z577" s="106"/>
      <c r="AA577" s="106"/>
      <c r="AB577" s="106"/>
      <c r="AC577" s="106"/>
    </row>
    <row r="578" spans="1:29" s="120" customFormat="1">
      <c r="A578" s="136"/>
      <c r="B578" s="127" t="s">
        <v>879</v>
      </c>
      <c r="C578" s="145" t="s">
        <v>880</v>
      </c>
      <c r="D578" s="108"/>
      <c r="E578" s="108"/>
      <c r="F578" s="139">
        <v>508</v>
      </c>
      <c r="G578" s="139"/>
      <c r="H578" s="127"/>
      <c r="I578" s="112"/>
      <c r="J578" s="112"/>
      <c r="K578" s="112"/>
      <c r="L578" s="109"/>
      <c r="M578" s="116"/>
      <c r="N578" s="109"/>
      <c r="O578" s="112"/>
      <c r="P578" s="112"/>
      <c r="Q578" s="112"/>
      <c r="R578" s="112"/>
      <c r="S578" s="112"/>
      <c r="T578" s="112"/>
      <c r="U578" s="112"/>
      <c r="V578" s="112"/>
      <c r="W578" s="112"/>
      <c r="X578" s="106"/>
      <c r="Y578" s="106"/>
      <c r="Z578" s="106"/>
      <c r="AA578" s="106"/>
      <c r="AB578" s="106"/>
      <c r="AC578" s="106"/>
    </row>
    <row r="579" spans="1:29" s="120" customFormat="1">
      <c r="A579" s="124" t="s">
        <v>248</v>
      </c>
      <c r="B579" s="124" t="s">
        <v>245</v>
      </c>
      <c r="C579" s="145" t="s">
        <v>1157</v>
      </c>
      <c r="D579" s="108"/>
      <c r="E579" s="108">
        <v>501</v>
      </c>
      <c r="F579" s="139"/>
      <c r="G579" s="139"/>
      <c r="H579" s="124"/>
      <c r="I579" s="112"/>
      <c r="J579" s="112"/>
      <c r="K579" s="112"/>
      <c r="L579" s="109"/>
      <c r="M579" s="124"/>
      <c r="N579" s="109"/>
      <c r="O579" s="112"/>
      <c r="P579" s="112"/>
      <c r="Q579" s="112"/>
      <c r="R579" s="112"/>
      <c r="S579" s="112"/>
      <c r="T579" s="112"/>
      <c r="U579" s="112"/>
      <c r="V579" s="112"/>
      <c r="W579" s="112"/>
      <c r="X579" s="106"/>
      <c r="Y579" s="106"/>
      <c r="Z579" s="106"/>
      <c r="AA579" s="106"/>
      <c r="AB579" s="106"/>
      <c r="AC579" s="106"/>
    </row>
    <row r="580" spans="1:29" s="120" customFormat="1" ht="31.5">
      <c r="A580" s="115" t="s">
        <v>1784</v>
      </c>
      <c r="B580" s="115" t="s">
        <v>1785</v>
      </c>
      <c r="C580" s="145" t="s">
        <v>241</v>
      </c>
      <c r="D580" s="108"/>
      <c r="E580" s="108"/>
      <c r="F580" s="139">
        <v>355</v>
      </c>
      <c r="G580" s="139"/>
      <c r="H580" s="115"/>
      <c r="I580" s="115"/>
      <c r="J580" s="115"/>
      <c r="K580" s="115"/>
      <c r="L580" s="115" t="s">
        <v>1289</v>
      </c>
      <c r="M580" s="115"/>
      <c r="N580" s="115" t="s">
        <v>1786</v>
      </c>
      <c r="O580" s="115"/>
      <c r="P580" s="112"/>
      <c r="Q580" s="112"/>
      <c r="R580" s="112"/>
      <c r="S580" s="112"/>
      <c r="T580" s="112"/>
      <c r="U580" s="112"/>
      <c r="V580" s="112"/>
      <c r="W580" s="112"/>
      <c r="X580" s="106"/>
      <c r="Y580" s="106"/>
      <c r="Z580" s="106"/>
      <c r="AA580" s="106"/>
      <c r="AB580" s="106"/>
      <c r="AC580" s="106"/>
    </row>
    <row r="581" spans="1:29" s="120" customFormat="1">
      <c r="A581" s="124" t="s">
        <v>1228</v>
      </c>
      <c r="B581" s="124" t="s">
        <v>1197</v>
      </c>
      <c r="C581" s="145" t="s">
        <v>1147</v>
      </c>
      <c r="D581" s="108"/>
      <c r="E581" s="108" t="s">
        <v>2666</v>
      </c>
      <c r="F581" s="139"/>
      <c r="G581" s="139"/>
      <c r="H581" s="124"/>
      <c r="I581" s="112"/>
      <c r="J581" s="112"/>
      <c r="K581" s="112"/>
      <c r="L581" s="109"/>
      <c r="M581" s="127"/>
      <c r="N581" s="109"/>
      <c r="O581" s="112"/>
      <c r="P581" s="112"/>
      <c r="Q581" s="112"/>
      <c r="R581" s="112"/>
      <c r="S581" s="112"/>
      <c r="T581" s="112"/>
      <c r="U581" s="112"/>
      <c r="V581" s="112"/>
      <c r="W581" s="112"/>
      <c r="X581" s="106"/>
      <c r="Y581" s="106"/>
      <c r="Z581" s="106"/>
      <c r="AA581" s="106"/>
      <c r="AB581" s="106"/>
      <c r="AC581" s="106"/>
    </row>
    <row r="582" spans="1:29" s="120" customFormat="1">
      <c r="A582" s="124" t="s">
        <v>470</v>
      </c>
      <c r="B582" s="124" t="s">
        <v>479</v>
      </c>
      <c r="C582" s="145" t="s">
        <v>480</v>
      </c>
      <c r="D582" s="108"/>
      <c r="E582" s="108"/>
      <c r="F582" s="139">
        <v>41</v>
      </c>
      <c r="G582" s="139"/>
      <c r="H582" s="124"/>
      <c r="I582" s="110"/>
      <c r="J582" s="110"/>
      <c r="K582" s="110"/>
      <c r="L582" s="116"/>
      <c r="M582" s="124"/>
      <c r="N582" s="116" t="s">
        <v>2318</v>
      </c>
      <c r="O582" s="110"/>
      <c r="P582" s="110"/>
      <c r="Q582" s="110"/>
      <c r="R582" s="110"/>
      <c r="S582" s="110"/>
      <c r="T582" s="110"/>
      <c r="U582" s="110"/>
      <c r="V582" s="110"/>
      <c r="W582" s="110"/>
      <c r="X582" s="106"/>
      <c r="Y582" s="106"/>
      <c r="Z582" s="106"/>
      <c r="AA582" s="106"/>
      <c r="AB582" s="106"/>
      <c r="AC582" s="106"/>
    </row>
    <row r="583" spans="1:29" s="120" customFormat="1">
      <c r="A583" s="136" t="s">
        <v>3129</v>
      </c>
      <c r="B583" s="127" t="s">
        <v>3130</v>
      </c>
      <c r="C583" s="145" t="s">
        <v>767</v>
      </c>
      <c r="D583" s="108"/>
      <c r="E583" s="108" t="s">
        <v>2666</v>
      </c>
      <c r="F583" s="139"/>
      <c r="G583" s="139"/>
      <c r="H583" s="127"/>
      <c r="I583" s="112"/>
      <c r="J583" s="110"/>
      <c r="K583" s="110"/>
      <c r="L583" s="116"/>
      <c r="M583" s="124"/>
      <c r="N583" s="109"/>
      <c r="O583" s="112"/>
      <c r="P583" s="112"/>
      <c r="Q583" s="112"/>
      <c r="R583" s="112"/>
      <c r="S583" s="112"/>
      <c r="T583" s="112"/>
      <c r="U583" s="112"/>
      <c r="V583" s="112"/>
      <c r="W583" s="112"/>
      <c r="X583" s="106"/>
      <c r="Y583" s="106"/>
      <c r="Z583" s="106"/>
      <c r="AA583" s="106"/>
      <c r="AB583" s="106"/>
      <c r="AC583" s="106"/>
    </row>
    <row r="584" spans="1:29" s="120" customFormat="1">
      <c r="A584" s="124" t="s">
        <v>785</v>
      </c>
      <c r="B584" s="124" t="s">
        <v>784</v>
      </c>
      <c r="C584" s="145" t="s">
        <v>786</v>
      </c>
      <c r="D584" s="108"/>
      <c r="E584" s="108"/>
      <c r="F584" s="139">
        <v>112</v>
      </c>
      <c r="G584" s="139"/>
      <c r="H584" s="124"/>
      <c r="I584" s="112"/>
      <c r="J584" s="110"/>
      <c r="K584" s="110"/>
      <c r="L584" s="116"/>
      <c r="M584" s="124"/>
      <c r="N584" s="109" t="s">
        <v>2317</v>
      </c>
      <c r="O584" s="112"/>
      <c r="P584" s="112"/>
      <c r="Q584" s="112"/>
      <c r="R584" s="112"/>
      <c r="S584" s="112"/>
      <c r="T584" s="112"/>
      <c r="U584" s="112"/>
      <c r="V584" s="112"/>
      <c r="W584" s="112"/>
      <c r="X584" s="106"/>
      <c r="Y584" s="106"/>
      <c r="Z584" s="106"/>
      <c r="AA584" s="106"/>
      <c r="AB584" s="106"/>
      <c r="AC584" s="106"/>
    </row>
    <row r="585" spans="1:29" s="120" customFormat="1">
      <c r="A585" s="115" t="s">
        <v>1905</v>
      </c>
      <c r="B585" s="115" t="s">
        <v>1906</v>
      </c>
      <c r="C585" s="145" t="s">
        <v>1908</v>
      </c>
      <c r="D585" s="108"/>
      <c r="E585" s="108"/>
      <c r="F585" s="139">
        <v>278</v>
      </c>
      <c r="G585" s="139"/>
      <c r="H585" s="115"/>
      <c r="I585" s="115"/>
      <c r="J585" s="115"/>
      <c r="K585" s="115"/>
      <c r="L585" s="115" t="s">
        <v>1284</v>
      </c>
      <c r="M585" s="127"/>
      <c r="N585" s="115" t="s">
        <v>1907</v>
      </c>
      <c r="O585" s="115"/>
      <c r="P585" s="112"/>
      <c r="Q585" s="112"/>
      <c r="R585" s="112"/>
      <c r="S585" s="112"/>
      <c r="T585" s="112"/>
      <c r="U585" s="112"/>
      <c r="V585" s="112"/>
      <c r="W585" s="112"/>
      <c r="X585" s="106"/>
      <c r="Y585" s="106"/>
      <c r="Z585" s="106"/>
      <c r="AA585" s="106"/>
      <c r="AB585" s="106"/>
      <c r="AC585" s="106"/>
    </row>
    <row r="586" spans="1:29" s="120" customFormat="1" ht="31.5">
      <c r="A586" s="124" t="s">
        <v>599</v>
      </c>
      <c r="B586" s="124"/>
      <c r="C586" s="145" t="s">
        <v>844</v>
      </c>
      <c r="D586" s="108"/>
      <c r="E586" s="108"/>
      <c r="F586" s="139">
        <v>96</v>
      </c>
      <c r="G586" s="139"/>
      <c r="H586" s="124"/>
      <c r="I586" s="112"/>
      <c r="J586" s="110"/>
      <c r="K586" s="110"/>
      <c r="L586" s="109"/>
      <c r="M586" s="135"/>
      <c r="N586" s="116"/>
      <c r="O586" s="112"/>
      <c r="P586" s="112"/>
      <c r="Q586" s="112"/>
      <c r="R586" s="112"/>
      <c r="S586" s="112"/>
      <c r="T586" s="112"/>
      <c r="U586" s="112"/>
      <c r="V586" s="112"/>
      <c r="W586" s="112"/>
      <c r="X586" s="106"/>
      <c r="Y586" s="106"/>
      <c r="Z586" s="106"/>
      <c r="AA586" s="106"/>
      <c r="AB586" s="106"/>
      <c r="AC586" s="106"/>
    </row>
    <row r="587" spans="1:29" s="120" customFormat="1">
      <c r="A587" s="124" t="s">
        <v>3144</v>
      </c>
      <c r="B587" s="124" t="s">
        <v>3145</v>
      </c>
      <c r="C587" s="145" t="s">
        <v>841</v>
      </c>
      <c r="D587" s="108"/>
      <c r="E587" s="108"/>
      <c r="F587" s="139">
        <v>409</v>
      </c>
      <c r="G587" s="139"/>
      <c r="H587" s="124"/>
      <c r="I587" s="112"/>
      <c r="J587" s="112"/>
      <c r="K587" s="112"/>
      <c r="L587" s="109"/>
      <c r="M587" s="124"/>
      <c r="N587" s="109"/>
      <c r="O587" s="112"/>
      <c r="P587" s="112"/>
      <c r="Q587" s="112"/>
      <c r="R587" s="112"/>
      <c r="S587" s="112"/>
      <c r="T587" s="112"/>
      <c r="U587" s="112"/>
      <c r="V587" s="112"/>
      <c r="W587" s="112"/>
      <c r="X587" s="106"/>
      <c r="Y587" s="106"/>
      <c r="Z587" s="106"/>
      <c r="AA587" s="106"/>
      <c r="AB587" s="106"/>
      <c r="AC587" s="106"/>
    </row>
    <row r="588" spans="1:29" s="120" customFormat="1">
      <c r="A588" s="115" t="s">
        <v>1958</v>
      </c>
      <c r="B588" s="115" t="s">
        <v>1959</v>
      </c>
      <c r="C588" s="145" t="s">
        <v>1961</v>
      </c>
      <c r="D588" s="108"/>
      <c r="E588" s="108"/>
      <c r="F588" s="139">
        <v>88</v>
      </c>
      <c r="G588" s="139"/>
      <c r="H588" s="115"/>
      <c r="I588" s="115"/>
      <c r="J588" s="115"/>
      <c r="K588" s="115"/>
      <c r="L588" s="115" t="s">
        <v>1262</v>
      </c>
      <c r="M588" s="116"/>
      <c r="N588" s="115" t="s">
        <v>3103</v>
      </c>
      <c r="O588" s="115"/>
      <c r="P588" s="112"/>
      <c r="Q588" s="112"/>
      <c r="R588" s="112"/>
      <c r="S588" s="112"/>
      <c r="T588" s="112"/>
      <c r="U588" s="112"/>
      <c r="V588" s="112"/>
      <c r="W588" s="112"/>
      <c r="X588" s="106"/>
      <c r="Y588" s="106"/>
      <c r="Z588" s="106"/>
      <c r="AA588" s="106"/>
      <c r="AB588" s="106"/>
      <c r="AC588" s="106"/>
    </row>
    <row r="589" spans="1:29" s="120" customFormat="1">
      <c r="A589" s="115" t="s">
        <v>1787</v>
      </c>
      <c r="B589" s="115" t="s">
        <v>1788</v>
      </c>
      <c r="C589" s="145" t="s">
        <v>1790</v>
      </c>
      <c r="D589" s="108" t="s">
        <v>2673</v>
      </c>
      <c r="E589" s="108"/>
      <c r="F589" s="139">
        <v>433</v>
      </c>
      <c r="G589" s="139"/>
      <c r="H589" s="115"/>
      <c r="I589" s="115"/>
      <c r="J589" s="115"/>
      <c r="K589" s="115"/>
      <c r="L589" s="115" t="s">
        <v>1289</v>
      </c>
      <c r="M589" s="115"/>
      <c r="N589" s="115" t="s">
        <v>1789</v>
      </c>
      <c r="O589" s="115"/>
      <c r="P589" s="112"/>
      <c r="Q589" s="112"/>
      <c r="R589" s="112"/>
      <c r="S589" s="112"/>
      <c r="T589" s="112"/>
      <c r="U589" s="112"/>
      <c r="V589" s="112"/>
      <c r="W589" s="112"/>
      <c r="X589" s="106"/>
      <c r="Y589" s="106"/>
      <c r="Z589" s="106"/>
      <c r="AA589" s="106"/>
      <c r="AB589" s="106"/>
      <c r="AC589" s="106"/>
    </row>
    <row r="590" spans="1:29" s="120" customFormat="1">
      <c r="A590" s="124" t="s">
        <v>788</v>
      </c>
      <c r="B590" s="124" t="s">
        <v>787</v>
      </c>
      <c r="C590" s="145" t="s">
        <v>789</v>
      </c>
      <c r="D590" s="108"/>
      <c r="E590" s="108" t="s">
        <v>2667</v>
      </c>
      <c r="F590" s="139"/>
      <c r="G590" s="139"/>
      <c r="H590" s="124"/>
      <c r="I590" s="112"/>
      <c r="J590" s="112"/>
      <c r="K590" s="112"/>
      <c r="L590" s="109"/>
      <c r="M590" s="116"/>
      <c r="N590" s="109" t="s">
        <v>2317</v>
      </c>
      <c r="O590" s="112"/>
      <c r="P590" s="112"/>
      <c r="Q590" s="112"/>
      <c r="R590" s="112"/>
      <c r="S590" s="112"/>
      <c r="T590" s="112"/>
      <c r="U590" s="112"/>
      <c r="V590" s="112"/>
      <c r="W590" s="112"/>
      <c r="X590" s="106"/>
      <c r="Y590" s="106"/>
      <c r="Z590" s="106"/>
      <c r="AA590" s="106"/>
      <c r="AB590" s="106"/>
      <c r="AC590" s="106"/>
    </row>
    <row r="591" spans="1:29" s="120" customFormat="1">
      <c r="A591" s="124" t="s">
        <v>699</v>
      </c>
      <c r="B591" s="124" t="s">
        <v>698</v>
      </c>
      <c r="C591" s="145" t="s">
        <v>700</v>
      </c>
      <c r="D591" s="108"/>
      <c r="E591" s="108">
        <v>550</v>
      </c>
      <c r="F591" s="139"/>
      <c r="G591" s="139"/>
      <c r="H591" s="124"/>
      <c r="I591" s="112"/>
      <c r="J591" s="110"/>
      <c r="K591" s="110"/>
      <c r="L591" s="116"/>
      <c r="M591" s="124"/>
      <c r="N591" s="116"/>
      <c r="O591" s="112"/>
      <c r="P591" s="112"/>
      <c r="Q591" s="112"/>
      <c r="R591" s="112"/>
      <c r="S591" s="112"/>
      <c r="T591" s="112"/>
      <c r="U591" s="112"/>
      <c r="V591" s="112"/>
      <c r="W591" s="112"/>
      <c r="X591" s="106"/>
      <c r="Y591" s="106"/>
      <c r="Z591" s="106"/>
      <c r="AA591" s="106"/>
      <c r="AB591" s="106"/>
      <c r="AC591" s="106"/>
    </row>
    <row r="592" spans="1:29" s="120" customFormat="1">
      <c r="A592" s="124" t="s">
        <v>417</v>
      </c>
      <c r="B592" s="124" t="s">
        <v>426</v>
      </c>
      <c r="C592" s="145" t="s">
        <v>427</v>
      </c>
      <c r="D592" s="108"/>
      <c r="E592" s="108" t="s">
        <v>2666</v>
      </c>
      <c r="F592" s="139"/>
      <c r="G592" s="139"/>
      <c r="H592" s="124"/>
      <c r="I592" s="112"/>
      <c r="J592" s="112"/>
      <c r="K592" s="112"/>
      <c r="L592" s="116"/>
      <c r="M592" s="124"/>
      <c r="N592" s="116" t="s">
        <v>2234</v>
      </c>
      <c r="O592" s="112"/>
      <c r="P592" s="112"/>
      <c r="Q592" s="112"/>
      <c r="R592" s="112"/>
      <c r="S592" s="112"/>
      <c r="T592" s="112"/>
      <c r="U592" s="112"/>
      <c r="V592" s="112"/>
      <c r="W592" s="112"/>
      <c r="X592" s="106"/>
      <c r="Y592" s="106"/>
      <c r="Z592" s="106"/>
      <c r="AA592" s="106"/>
      <c r="AB592" s="106"/>
      <c r="AC592" s="106"/>
    </row>
    <row r="593" spans="1:29" s="120" customFormat="1" ht="31.5">
      <c r="A593" s="115" t="s">
        <v>1449</v>
      </c>
      <c r="B593" s="127"/>
      <c r="C593" s="145" t="s">
        <v>1451</v>
      </c>
      <c r="D593" s="108"/>
      <c r="E593" s="108" t="s">
        <v>3128</v>
      </c>
      <c r="F593" s="139"/>
      <c r="G593" s="139"/>
      <c r="H593" s="127"/>
      <c r="I593" s="122"/>
      <c r="J593" s="122" t="s">
        <v>1450</v>
      </c>
      <c r="K593" s="122"/>
      <c r="L593" s="127" t="s">
        <v>1448</v>
      </c>
      <c r="M593" s="124"/>
      <c r="N593" s="109"/>
      <c r="O593" s="122"/>
      <c r="P593" s="112"/>
      <c r="Q593" s="112"/>
      <c r="R593" s="112"/>
      <c r="S593" s="112"/>
      <c r="T593" s="112"/>
      <c r="U593" s="112"/>
      <c r="V593" s="112"/>
      <c r="W593" s="112"/>
      <c r="X593" s="106"/>
      <c r="Y593" s="106"/>
      <c r="Z593" s="106"/>
      <c r="AA593" s="106"/>
      <c r="AB593" s="106"/>
      <c r="AC593" s="106"/>
    </row>
    <row r="594" spans="1:29" s="120" customFormat="1" ht="31.5">
      <c r="A594" s="115" t="s">
        <v>1943</v>
      </c>
      <c r="B594" s="115" t="s">
        <v>1944</v>
      </c>
      <c r="C594" s="145" t="s">
        <v>1945</v>
      </c>
      <c r="D594" s="108"/>
      <c r="E594" s="108"/>
      <c r="F594" s="139">
        <v>327</v>
      </c>
      <c r="G594" s="139"/>
      <c r="H594" s="115"/>
      <c r="I594" s="115"/>
      <c r="J594" s="115"/>
      <c r="K594" s="115"/>
      <c r="L594" s="115" t="s">
        <v>1284</v>
      </c>
      <c r="M594" s="124"/>
      <c r="N594" s="115" t="s">
        <v>1474</v>
      </c>
      <c r="O594" s="115"/>
      <c r="P594" s="112"/>
      <c r="Q594" s="112"/>
      <c r="R594" s="112"/>
      <c r="S594" s="112"/>
      <c r="T594" s="112"/>
      <c r="U594" s="112"/>
      <c r="V594" s="112"/>
      <c r="W594" s="112"/>
      <c r="X594" s="106"/>
      <c r="Y594" s="106"/>
      <c r="Z594" s="106"/>
      <c r="AA594" s="106"/>
      <c r="AB594" s="106"/>
      <c r="AC594" s="106"/>
    </row>
    <row r="595" spans="1:29" s="120" customFormat="1">
      <c r="A595" s="115" t="s">
        <v>1717</v>
      </c>
      <c r="B595" s="115" t="s">
        <v>1718</v>
      </c>
      <c r="C595" s="145" t="s">
        <v>1719</v>
      </c>
      <c r="D595" s="108"/>
      <c r="E595" s="108"/>
      <c r="F595" s="139">
        <v>259</v>
      </c>
      <c r="G595" s="139"/>
      <c r="H595" s="115"/>
      <c r="I595" s="133"/>
      <c r="J595" s="133"/>
      <c r="K595" s="133"/>
      <c r="L595" s="127" t="s">
        <v>1314</v>
      </c>
      <c r="M595" s="127"/>
      <c r="N595" s="115" t="s">
        <v>1474</v>
      </c>
      <c r="O595" s="133"/>
      <c r="P595" s="112"/>
      <c r="Q595" s="112"/>
      <c r="R595" s="112"/>
      <c r="S595" s="112"/>
      <c r="T595" s="112"/>
      <c r="U595" s="112"/>
      <c r="V595" s="112"/>
      <c r="W595" s="112"/>
      <c r="X595" s="106"/>
      <c r="Y595" s="106"/>
      <c r="Z595" s="106"/>
      <c r="AA595" s="106"/>
      <c r="AB595" s="106"/>
      <c r="AC595" s="106"/>
    </row>
    <row r="596" spans="1:29" s="120" customFormat="1">
      <c r="A596" s="124" t="s">
        <v>372</v>
      </c>
      <c r="B596" s="124" t="s">
        <v>374</v>
      </c>
      <c r="C596" s="145" t="s">
        <v>373</v>
      </c>
      <c r="D596" s="108"/>
      <c r="E596" s="108"/>
      <c r="F596" s="139">
        <v>34</v>
      </c>
      <c r="G596" s="139"/>
      <c r="H596" s="124"/>
      <c r="I596" s="110"/>
      <c r="J596" s="110"/>
      <c r="K596" s="110"/>
      <c r="L596" s="116"/>
      <c r="M596" s="124"/>
      <c r="N596" s="116"/>
      <c r="O596" s="110"/>
      <c r="P596" s="110"/>
      <c r="Q596" s="110"/>
      <c r="R596" s="110"/>
      <c r="S596" s="110"/>
      <c r="T596" s="110"/>
      <c r="U596" s="110"/>
      <c r="V596" s="110"/>
      <c r="W596" s="110"/>
      <c r="X596" s="106"/>
      <c r="Y596" s="106"/>
      <c r="Z596" s="106"/>
      <c r="AA596" s="106"/>
      <c r="AB596" s="106"/>
      <c r="AC596" s="106" t="s">
        <v>4698</v>
      </c>
    </row>
    <row r="597" spans="1:29" s="120" customFormat="1">
      <c r="A597" s="124" t="s">
        <v>372</v>
      </c>
      <c r="B597" s="124" t="s">
        <v>371</v>
      </c>
      <c r="C597" s="145" t="s">
        <v>373</v>
      </c>
      <c r="D597" s="108"/>
      <c r="E597" s="108"/>
      <c r="F597" s="139">
        <v>34</v>
      </c>
      <c r="G597" s="139"/>
      <c r="H597" s="124"/>
      <c r="I597" s="110"/>
      <c r="J597" s="110"/>
      <c r="K597" s="110"/>
      <c r="L597" s="116"/>
      <c r="M597" s="124"/>
      <c r="N597" s="116"/>
      <c r="O597" s="110"/>
      <c r="P597" s="110"/>
      <c r="Q597" s="110"/>
      <c r="R597" s="110"/>
      <c r="S597" s="110"/>
      <c r="T597" s="110"/>
      <c r="U597" s="110"/>
      <c r="V597" s="110"/>
      <c r="W597" s="110"/>
      <c r="X597" s="106"/>
      <c r="Y597" s="106"/>
      <c r="Z597" s="106"/>
      <c r="AA597" s="106"/>
      <c r="AB597" s="106"/>
      <c r="AC597" s="106" t="s">
        <v>4698</v>
      </c>
    </row>
    <row r="598" spans="1:29" s="120" customFormat="1" ht="31.5">
      <c r="A598" s="115" t="s">
        <v>1337</v>
      </c>
      <c r="B598" s="127" t="s">
        <v>1338</v>
      </c>
      <c r="C598" s="145" t="s">
        <v>1340</v>
      </c>
      <c r="D598" s="108"/>
      <c r="E598" s="108" t="s">
        <v>2661</v>
      </c>
      <c r="F598" s="139"/>
      <c r="G598" s="139"/>
      <c r="H598" s="127"/>
      <c r="I598" s="122"/>
      <c r="J598" s="122" t="s">
        <v>2269</v>
      </c>
      <c r="K598" s="122"/>
      <c r="L598" s="127" t="s">
        <v>1336</v>
      </c>
      <c r="M598" s="124"/>
      <c r="N598" s="109"/>
      <c r="O598" s="122"/>
      <c r="P598" s="112"/>
      <c r="Q598" s="112"/>
      <c r="R598" s="112"/>
      <c r="S598" s="112"/>
      <c r="T598" s="112"/>
      <c r="U598" s="112"/>
      <c r="V598" s="112"/>
      <c r="W598" s="112"/>
      <c r="X598" s="106"/>
      <c r="Y598" s="106"/>
      <c r="Z598" s="106"/>
      <c r="AA598" s="106"/>
      <c r="AB598" s="106"/>
      <c r="AC598" s="106"/>
    </row>
    <row r="599" spans="1:29" s="120" customFormat="1">
      <c r="A599" s="115" t="s">
        <v>1389</v>
      </c>
      <c r="B599" s="127" t="s">
        <v>1195</v>
      </c>
      <c r="C599" s="145" t="s">
        <v>1391</v>
      </c>
      <c r="D599" s="108"/>
      <c r="E599" s="108" t="s">
        <v>2666</v>
      </c>
      <c r="F599" s="139"/>
      <c r="G599" s="139"/>
      <c r="H599" s="127"/>
      <c r="I599" s="122"/>
      <c r="J599" s="122" t="s">
        <v>1390</v>
      </c>
      <c r="K599" s="122"/>
      <c r="L599" s="127" t="s">
        <v>1262</v>
      </c>
      <c r="M599" s="124"/>
      <c r="N599" s="109"/>
      <c r="O599" s="122"/>
      <c r="P599" s="112"/>
      <c r="Q599" s="112"/>
      <c r="R599" s="112"/>
      <c r="S599" s="112"/>
      <c r="T599" s="112"/>
      <c r="U599" s="112"/>
      <c r="V599" s="112"/>
      <c r="W599" s="112"/>
      <c r="X599" s="106"/>
      <c r="Y599" s="106"/>
      <c r="Z599" s="106"/>
      <c r="AA599" s="106"/>
      <c r="AB599" s="106"/>
      <c r="AC599" s="106"/>
    </row>
    <row r="600" spans="1:29" s="120" customFormat="1">
      <c r="A600" s="115" t="s">
        <v>61</v>
      </c>
      <c r="B600" s="127" t="s">
        <v>2429</v>
      </c>
      <c r="C600" s="170" t="s">
        <v>3073</v>
      </c>
      <c r="D600" s="137"/>
      <c r="E600" s="137"/>
      <c r="F600" s="143">
        <v>80</v>
      </c>
      <c r="G600" s="143"/>
      <c r="H600" s="127"/>
      <c r="I600" s="112"/>
      <c r="J600" s="112">
        <v>13699268838</v>
      </c>
      <c r="K600" s="112"/>
      <c r="L600" s="109"/>
      <c r="M600" s="127"/>
      <c r="N600" s="116"/>
      <c r="O600" s="112"/>
      <c r="P600" s="112"/>
      <c r="Q600" s="112"/>
      <c r="R600" s="112"/>
      <c r="S600" s="112"/>
      <c r="T600" s="112"/>
      <c r="U600" s="112"/>
      <c r="V600" s="112"/>
      <c r="W600" s="112"/>
      <c r="X600" s="106"/>
      <c r="Y600" s="106"/>
      <c r="Z600" s="106"/>
      <c r="AA600" s="106"/>
      <c r="AB600" s="106"/>
      <c r="AC600" s="106"/>
    </row>
    <row r="601" spans="1:29" s="120" customFormat="1">
      <c r="A601" s="115" t="s">
        <v>79</v>
      </c>
      <c r="B601" s="127" t="s">
        <v>78</v>
      </c>
      <c r="C601" s="145" t="s">
        <v>80</v>
      </c>
      <c r="D601" s="108"/>
      <c r="E601" s="108"/>
      <c r="F601" s="139">
        <v>101</v>
      </c>
      <c r="G601" s="139"/>
      <c r="H601" s="127"/>
      <c r="I601" s="112"/>
      <c r="J601" s="110"/>
      <c r="K601" s="110"/>
      <c r="L601" s="109"/>
      <c r="M601" s="115"/>
      <c r="N601" s="116"/>
      <c r="O601" s="112"/>
      <c r="P601" s="112"/>
      <c r="Q601" s="112"/>
      <c r="R601" s="112"/>
      <c r="S601" s="112"/>
      <c r="T601" s="112"/>
      <c r="U601" s="112"/>
      <c r="V601" s="112"/>
      <c r="W601" s="112"/>
      <c r="X601" s="106"/>
      <c r="Y601" s="106"/>
      <c r="Z601" s="106"/>
      <c r="AA601" s="106"/>
      <c r="AB601" s="106"/>
      <c r="AC601" s="106"/>
    </row>
    <row r="602" spans="1:29" s="120" customFormat="1" ht="31.5">
      <c r="A602" s="115" t="s">
        <v>1276</v>
      </c>
      <c r="B602" s="127" t="s">
        <v>1277</v>
      </c>
      <c r="C602" s="145" t="s">
        <v>1279</v>
      </c>
      <c r="D602" s="108"/>
      <c r="E602" s="108" t="s">
        <v>2666</v>
      </c>
      <c r="F602" s="139"/>
      <c r="G602" s="139"/>
      <c r="H602" s="127"/>
      <c r="I602" s="122"/>
      <c r="J602" s="122" t="s">
        <v>2270</v>
      </c>
      <c r="K602" s="122"/>
      <c r="L602" s="127" t="s">
        <v>1275</v>
      </c>
      <c r="M602" s="127"/>
      <c r="N602" s="116"/>
      <c r="O602" s="122"/>
      <c r="P602" s="112"/>
      <c r="Q602" s="112"/>
      <c r="R602" s="112"/>
      <c r="S602" s="112"/>
      <c r="T602" s="112"/>
      <c r="U602" s="112"/>
      <c r="V602" s="112"/>
      <c r="W602" s="112"/>
      <c r="X602" s="106"/>
      <c r="Y602" s="106"/>
      <c r="Z602" s="106"/>
      <c r="AA602" s="106"/>
      <c r="AB602" s="106"/>
      <c r="AC602" s="106"/>
    </row>
    <row r="603" spans="1:29" s="120" customFormat="1" ht="14.25">
      <c r="A603" s="118" t="s">
        <v>2530</v>
      </c>
      <c r="B603" s="150" t="s">
        <v>2529</v>
      </c>
      <c r="C603" s="151" t="s">
        <v>2531</v>
      </c>
      <c r="D603" s="118"/>
      <c r="E603" s="118">
        <v>550</v>
      </c>
      <c r="F603" s="140"/>
      <c r="G603" s="140"/>
      <c r="H603" s="118"/>
      <c r="L603" s="119"/>
      <c r="M603" s="119"/>
      <c r="N603" s="119"/>
    </row>
    <row r="604" spans="1:29" customFormat="1">
      <c r="A604" s="115" t="s">
        <v>11</v>
      </c>
      <c r="B604" s="127" t="s">
        <v>51</v>
      </c>
      <c r="C604" s="145" t="s">
        <v>52</v>
      </c>
      <c r="D604" s="108"/>
      <c r="E604" s="108" t="s">
        <v>2666</v>
      </c>
      <c r="F604" s="139"/>
      <c r="G604" s="139"/>
      <c r="H604" s="127"/>
      <c r="I604" s="112"/>
      <c r="J604" s="112"/>
      <c r="K604" s="112"/>
      <c r="L604" s="116"/>
      <c r="M604" s="124"/>
      <c r="N604" s="116"/>
      <c r="O604" s="112"/>
      <c r="P604" s="112"/>
      <c r="Q604" s="112"/>
      <c r="R604" s="112"/>
      <c r="S604" s="112"/>
      <c r="T604" s="112"/>
      <c r="U604" s="112"/>
      <c r="V604" s="112"/>
      <c r="W604" s="112"/>
      <c r="X604" s="106"/>
      <c r="Y604" s="106"/>
      <c r="Z604" s="106"/>
      <c r="AA604" s="106"/>
      <c r="AB604" s="106"/>
      <c r="AC604" s="106"/>
    </row>
    <row r="605" spans="1:29" customFormat="1">
      <c r="A605" s="118" t="s">
        <v>2431</v>
      </c>
      <c r="B605" s="150" t="s">
        <v>51</v>
      </c>
      <c r="C605" s="167" t="s">
        <v>3096</v>
      </c>
      <c r="D605" s="118"/>
      <c r="E605" s="118" t="s">
        <v>2661</v>
      </c>
      <c r="F605" s="140"/>
      <c r="G605" s="140"/>
      <c r="H605" s="118"/>
      <c r="I605" s="120"/>
      <c r="J605" s="120"/>
      <c r="K605" s="120"/>
      <c r="L605" s="119"/>
      <c r="M605" s="127"/>
      <c r="N605" s="118"/>
      <c r="O605" s="120"/>
      <c r="P605" s="120"/>
      <c r="Q605" s="120"/>
      <c r="R605" s="120"/>
      <c r="S605" s="120"/>
      <c r="T605" s="120"/>
      <c r="U605" s="120"/>
      <c r="V605" s="120"/>
      <c r="W605" s="120"/>
      <c r="X605" s="120"/>
      <c r="Y605" s="120"/>
      <c r="Z605" s="120"/>
      <c r="AA605" s="120"/>
      <c r="AB605" s="120"/>
      <c r="AC605" s="120"/>
    </row>
    <row r="606" spans="1:29" customFormat="1" ht="14.25">
      <c r="A606" s="118" t="s">
        <v>406</v>
      </c>
      <c r="B606" s="150" t="s">
        <v>2456</v>
      </c>
      <c r="C606" s="151" t="s">
        <v>2457</v>
      </c>
      <c r="D606" s="118"/>
      <c r="E606" s="118" t="s">
        <v>2666</v>
      </c>
      <c r="F606" s="140"/>
      <c r="G606" s="140"/>
      <c r="H606" s="118"/>
      <c r="I606" s="120"/>
      <c r="J606" s="120"/>
      <c r="K606" s="120"/>
      <c r="L606" s="119"/>
      <c r="M606" s="119"/>
      <c r="N606" s="119"/>
      <c r="O606" s="120"/>
      <c r="P606" s="120"/>
      <c r="Q606" s="120"/>
      <c r="R606" s="120"/>
      <c r="S606" s="120"/>
      <c r="T606" s="120"/>
      <c r="U606" s="120"/>
      <c r="V606" s="120"/>
      <c r="W606" s="120"/>
      <c r="X606" s="120"/>
      <c r="Y606" s="120"/>
      <c r="Z606" s="120"/>
      <c r="AA606" s="120"/>
      <c r="AB606" s="120"/>
      <c r="AC606" s="120"/>
    </row>
    <row r="607" spans="1:29" customFormat="1">
      <c r="A607" s="124" t="s">
        <v>771</v>
      </c>
      <c r="B607" s="124" t="s">
        <v>770</v>
      </c>
      <c r="C607" s="145" t="s">
        <v>772</v>
      </c>
      <c r="D607" s="108"/>
      <c r="E607" s="108" t="s">
        <v>2663</v>
      </c>
      <c r="F607" s="139"/>
      <c r="G607" s="139"/>
      <c r="H607" s="124"/>
      <c r="I607" s="112"/>
      <c r="J607" s="112"/>
      <c r="K607" s="112"/>
      <c r="L607" s="109"/>
      <c r="M607" s="131"/>
      <c r="N607" s="109" t="s">
        <v>2237</v>
      </c>
      <c r="O607" s="112"/>
      <c r="P607" s="112"/>
      <c r="Q607" s="112"/>
      <c r="R607" s="112"/>
      <c r="S607" s="112"/>
      <c r="T607" s="112"/>
      <c r="U607" s="112"/>
      <c r="V607" s="112"/>
      <c r="W607" s="112"/>
      <c r="X607" s="106"/>
      <c r="Y607" s="106"/>
      <c r="Z607" s="106"/>
      <c r="AA607" s="106"/>
      <c r="AB607" s="106"/>
      <c r="AC607" s="106"/>
    </row>
    <row r="608" spans="1:29" customFormat="1">
      <c r="A608" s="124" t="s">
        <v>536</v>
      </c>
      <c r="B608" s="124" t="s">
        <v>538</v>
      </c>
      <c r="C608" s="145" t="s">
        <v>539</v>
      </c>
      <c r="D608" s="108"/>
      <c r="E608" s="108"/>
      <c r="F608" s="139">
        <v>246</v>
      </c>
      <c r="G608" s="139"/>
      <c r="H608" s="124"/>
      <c r="I608" s="112"/>
      <c r="J608" s="112"/>
      <c r="K608" s="112"/>
      <c r="L608" s="109"/>
      <c r="M608" s="124"/>
      <c r="N608" s="109"/>
      <c r="O608" s="112"/>
      <c r="P608" s="112"/>
      <c r="Q608" s="112"/>
      <c r="R608" s="112"/>
      <c r="S608" s="112"/>
      <c r="T608" s="112"/>
      <c r="U608" s="112"/>
      <c r="V608" s="112"/>
      <c r="W608" s="112"/>
      <c r="X608" s="106"/>
      <c r="Y608" s="106"/>
      <c r="Z608" s="106"/>
      <c r="AA608" s="106"/>
      <c r="AB608" s="106"/>
      <c r="AC608" s="106"/>
    </row>
    <row r="609" spans="1:29" customFormat="1">
      <c r="A609" s="115" t="s">
        <v>1477</v>
      </c>
      <c r="B609" s="127" t="s">
        <v>692</v>
      </c>
      <c r="C609" s="145" t="s">
        <v>1479</v>
      </c>
      <c r="D609" s="108"/>
      <c r="E609" s="108" t="s">
        <v>2666</v>
      </c>
      <c r="F609" s="139"/>
      <c r="G609" s="139"/>
      <c r="H609" s="127"/>
      <c r="I609" s="122"/>
      <c r="J609" s="122" t="s">
        <v>1480</v>
      </c>
      <c r="K609" s="122"/>
      <c r="L609" s="109"/>
      <c r="M609" s="127"/>
      <c r="N609" s="127" t="s">
        <v>1478</v>
      </c>
      <c r="O609" s="122"/>
      <c r="P609" s="112"/>
      <c r="Q609" s="112"/>
      <c r="R609" s="112"/>
      <c r="S609" s="112"/>
      <c r="T609" s="112"/>
      <c r="U609" s="112"/>
      <c r="V609" s="112"/>
      <c r="W609" s="112"/>
      <c r="X609" s="106"/>
      <c r="Y609" s="106"/>
      <c r="Z609" s="106"/>
      <c r="AA609" s="106"/>
      <c r="AB609" s="106"/>
      <c r="AC609" s="106"/>
    </row>
    <row r="610" spans="1:29" customFormat="1">
      <c r="A610" s="115" t="s">
        <v>274</v>
      </c>
      <c r="B610" s="127" t="s">
        <v>278</v>
      </c>
      <c r="C610" s="145" t="s">
        <v>279</v>
      </c>
      <c r="D610" s="108"/>
      <c r="E610" s="108"/>
      <c r="F610" s="139">
        <v>456</v>
      </c>
      <c r="G610" s="139"/>
      <c r="H610" s="127"/>
      <c r="I610" s="112"/>
      <c r="J610" s="112"/>
      <c r="K610" s="112"/>
      <c r="L610" s="109"/>
      <c r="M610" s="127"/>
      <c r="N610" s="109"/>
      <c r="O610" s="112"/>
      <c r="P610" s="112"/>
      <c r="Q610" s="112"/>
      <c r="R610" s="112"/>
      <c r="S610" s="112"/>
      <c r="T610" s="112"/>
      <c r="U610" s="112"/>
      <c r="V610" s="112"/>
      <c r="W610" s="112"/>
      <c r="X610" s="106"/>
      <c r="Y610" s="106"/>
      <c r="Z610" s="106"/>
      <c r="AA610" s="106"/>
      <c r="AB610" s="106"/>
      <c r="AC610" s="106"/>
    </row>
    <row r="611" spans="1:29" customFormat="1">
      <c r="A611" s="124" t="s">
        <v>234</v>
      </c>
      <c r="B611" s="124" t="s">
        <v>756</v>
      </c>
      <c r="C611" s="145" t="s">
        <v>757</v>
      </c>
      <c r="D611" s="108"/>
      <c r="E611" s="108"/>
      <c r="F611" s="139">
        <v>405</v>
      </c>
      <c r="G611" s="139"/>
      <c r="H611" s="124"/>
      <c r="I611" s="112"/>
      <c r="J611" s="112"/>
      <c r="K611" s="112"/>
      <c r="L611" s="109"/>
      <c r="M611" s="124"/>
      <c r="N611" s="109" t="s">
        <v>1778</v>
      </c>
      <c r="O611" s="112"/>
      <c r="P611" s="112"/>
      <c r="Q611" s="112"/>
      <c r="R611" s="112"/>
      <c r="S611" s="112"/>
      <c r="T611" s="112"/>
      <c r="U611" s="112"/>
      <c r="V611" s="112"/>
      <c r="W611" s="112"/>
      <c r="X611" s="106"/>
      <c r="Y611" s="106"/>
      <c r="Z611" s="106"/>
      <c r="AA611" s="106"/>
      <c r="AB611" s="106"/>
      <c r="AC611" s="106"/>
    </row>
    <row r="612" spans="1:29" customFormat="1">
      <c r="A612" s="124" t="s">
        <v>1579</v>
      </c>
      <c r="B612" s="131" t="s">
        <v>1578</v>
      </c>
      <c r="C612" s="153" t="s">
        <v>1678</v>
      </c>
      <c r="D612" s="108"/>
      <c r="E612" s="108"/>
      <c r="F612" s="139">
        <v>228</v>
      </c>
      <c r="G612" s="139"/>
      <c r="H612" s="131"/>
      <c r="I612" s="124"/>
      <c r="J612" s="124"/>
      <c r="K612" s="124"/>
      <c r="L612" s="109"/>
      <c r="M612" s="116"/>
      <c r="N612" s="116"/>
      <c r="O612" s="124"/>
      <c r="P612" s="112"/>
      <c r="Q612" s="112"/>
      <c r="R612" s="112"/>
      <c r="S612" s="112"/>
      <c r="T612" s="112"/>
      <c r="U612" s="112"/>
      <c r="V612" s="112"/>
      <c r="W612" s="112"/>
      <c r="X612" s="106"/>
      <c r="Y612" s="106"/>
      <c r="Z612" s="106"/>
      <c r="AA612" s="106"/>
      <c r="AB612" s="106"/>
      <c r="AC612" s="106"/>
    </row>
    <row r="613" spans="1:29" customFormat="1" ht="28.5">
      <c r="A613" s="118" t="s">
        <v>2522</v>
      </c>
      <c r="B613" s="150" t="s">
        <v>2521</v>
      </c>
      <c r="C613" s="151" t="s">
        <v>2523</v>
      </c>
      <c r="D613" s="118"/>
      <c r="E613" s="118">
        <v>550</v>
      </c>
      <c r="F613" s="140"/>
      <c r="G613" s="140"/>
      <c r="H613" s="118"/>
      <c r="I613" s="120"/>
      <c r="J613" s="120"/>
      <c r="K613" s="120"/>
      <c r="L613" s="119"/>
      <c r="M613" s="119"/>
      <c r="N613" s="119"/>
      <c r="O613" s="120"/>
      <c r="P613" s="120"/>
      <c r="Q613" s="120"/>
      <c r="R613" s="120"/>
      <c r="S613" s="120"/>
      <c r="T613" s="120"/>
      <c r="U613" s="120"/>
      <c r="V613" s="120"/>
      <c r="W613" s="120"/>
      <c r="X613" s="120"/>
      <c r="Y613" s="120"/>
      <c r="Z613" s="120"/>
      <c r="AA613" s="120"/>
      <c r="AB613" s="120"/>
      <c r="AC613" s="120"/>
    </row>
    <row r="614" spans="1:29" customFormat="1">
      <c r="A614" s="124" t="s">
        <v>533</v>
      </c>
      <c r="B614" s="124" t="s">
        <v>532</v>
      </c>
      <c r="C614" s="145" t="s">
        <v>534</v>
      </c>
      <c r="D614" s="108"/>
      <c r="E614" s="108" t="s">
        <v>2666</v>
      </c>
      <c r="F614" s="139"/>
      <c r="G614" s="139"/>
      <c r="H614" s="124"/>
      <c r="I614" s="112"/>
      <c r="J614" s="112"/>
      <c r="K614" s="112"/>
      <c r="L614" s="109"/>
      <c r="M614" s="124"/>
      <c r="N614" s="109" t="s">
        <v>2317</v>
      </c>
      <c r="O614" s="112"/>
      <c r="P614" s="112"/>
      <c r="Q614" s="112"/>
      <c r="R614" s="112"/>
      <c r="S614" s="112"/>
      <c r="T614" s="112"/>
      <c r="U614" s="112"/>
      <c r="V614" s="112"/>
      <c r="W614" s="112"/>
      <c r="X614" s="106"/>
      <c r="Y614" s="106"/>
      <c r="Z614" s="106"/>
      <c r="AA614" s="106"/>
      <c r="AB614" s="106"/>
      <c r="AC614" s="106"/>
    </row>
    <row r="615" spans="1:29" customFormat="1">
      <c r="A615" s="124" t="s">
        <v>1602</v>
      </c>
      <c r="B615" s="131" t="s">
        <v>1601</v>
      </c>
      <c r="C615" s="145" t="s">
        <v>1603</v>
      </c>
      <c r="D615" s="108"/>
      <c r="E615" s="108"/>
      <c r="F615" s="139">
        <v>348</v>
      </c>
      <c r="G615" s="139"/>
      <c r="H615" s="131"/>
      <c r="I615" s="124"/>
      <c r="J615" s="124"/>
      <c r="K615" s="124"/>
      <c r="L615" s="109"/>
      <c r="M615" s="131"/>
      <c r="N615" s="109"/>
      <c r="O615" s="124"/>
      <c r="P615" s="112"/>
      <c r="Q615" s="112"/>
      <c r="R615" s="112"/>
      <c r="S615" s="112"/>
      <c r="T615" s="112"/>
      <c r="U615" s="112"/>
      <c r="V615" s="112"/>
      <c r="W615" s="112"/>
      <c r="X615" s="106"/>
      <c r="Y615" s="106"/>
      <c r="Z615" s="106"/>
      <c r="AA615" s="106"/>
      <c r="AB615" s="106"/>
      <c r="AC615" s="106"/>
    </row>
    <row r="616" spans="1:29" customFormat="1">
      <c r="A616" s="124" t="s">
        <v>1093</v>
      </c>
      <c r="B616" s="124" t="s">
        <v>871</v>
      </c>
      <c r="C616" s="145" t="s">
        <v>1094</v>
      </c>
      <c r="D616" s="108"/>
      <c r="E616" s="108"/>
      <c r="F616" s="139">
        <v>410</v>
      </c>
      <c r="G616" s="139"/>
      <c r="H616" s="124"/>
      <c r="I616" s="112"/>
      <c r="J616" s="112"/>
      <c r="K616" s="112"/>
      <c r="L616" s="109"/>
      <c r="M616" s="124"/>
      <c r="N616" s="109"/>
      <c r="O616" s="112"/>
      <c r="P616" s="112"/>
      <c r="Q616" s="112"/>
      <c r="R616" s="112"/>
      <c r="S616" s="112"/>
      <c r="T616" s="112"/>
      <c r="U616" s="112"/>
      <c r="V616" s="112"/>
      <c r="W616" s="112"/>
      <c r="X616" s="106"/>
      <c r="Y616" s="106"/>
      <c r="Z616" s="106"/>
      <c r="AA616" s="106"/>
      <c r="AB616" s="106"/>
      <c r="AC616" s="106"/>
    </row>
    <row r="617" spans="1:29" customFormat="1">
      <c r="A617" s="124" t="s">
        <v>1220</v>
      </c>
      <c r="B617" s="124" t="s">
        <v>1187</v>
      </c>
      <c r="C617" s="145" t="s">
        <v>1135</v>
      </c>
      <c r="D617" s="108"/>
      <c r="E617" s="108" t="s">
        <v>2666</v>
      </c>
      <c r="F617" s="139"/>
      <c r="G617" s="139"/>
      <c r="H617" s="124"/>
      <c r="I617" s="112"/>
      <c r="J617" s="112"/>
      <c r="K617" s="112"/>
      <c r="L617" s="109"/>
      <c r="M617" s="124"/>
      <c r="N617" s="109"/>
      <c r="O617" s="112"/>
      <c r="P617" s="112"/>
      <c r="Q617" s="112"/>
      <c r="R617" s="112"/>
      <c r="S617" s="112"/>
      <c r="T617" s="112"/>
      <c r="U617" s="112"/>
      <c r="V617" s="112"/>
      <c r="W617" s="112"/>
      <c r="X617" s="106"/>
      <c r="Y617" s="106"/>
      <c r="Z617" s="106"/>
      <c r="AA617" s="106"/>
      <c r="AB617" s="106"/>
      <c r="AC617" s="106"/>
    </row>
    <row r="618" spans="1:29" customFormat="1">
      <c r="A618" s="115" t="s">
        <v>43</v>
      </c>
      <c r="B618" s="127" t="s">
        <v>42</v>
      </c>
      <c r="C618" s="145" t="s">
        <v>44</v>
      </c>
      <c r="D618" s="108"/>
      <c r="E618" s="108"/>
      <c r="F618" s="139">
        <v>65</v>
      </c>
      <c r="G618" s="139"/>
      <c r="H618" s="127"/>
      <c r="I618" s="110"/>
      <c r="J618" s="110"/>
      <c r="K618" s="110"/>
      <c r="L618" s="116"/>
      <c r="M618" s="116"/>
      <c r="N618" s="116"/>
      <c r="O618" s="110"/>
      <c r="P618" s="110"/>
      <c r="Q618" s="110"/>
      <c r="R618" s="110"/>
      <c r="S618" s="110"/>
      <c r="T618" s="110"/>
      <c r="U618" s="110"/>
      <c r="V618" s="110"/>
      <c r="W618" s="110"/>
      <c r="X618" s="106"/>
      <c r="Y618" s="106"/>
      <c r="Z618" s="106"/>
      <c r="AA618" s="106"/>
      <c r="AB618" s="106"/>
      <c r="AC618" s="106"/>
    </row>
    <row r="619" spans="1:29" customFormat="1">
      <c r="A619" s="115" t="s">
        <v>73</v>
      </c>
      <c r="B619" s="127" t="s">
        <v>72</v>
      </c>
      <c r="C619" s="145" t="s">
        <v>74</v>
      </c>
      <c r="D619" s="108"/>
      <c r="E619" s="108">
        <v>550</v>
      </c>
      <c r="F619" s="139"/>
      <c r="G619" s="139"/>
      <c r="H619" s="127"/>
      <c r="I619" s="112"/>
      <c r="J619" s="112"/>
      <c r="K619" s="112"/>
      <c r="L619" s="109"/>
      <c r="M619" s="127"/>
      <c r="N619" s="109"/>
      <c r="O619" s="112"/>
      <c r="P619" s="112"/>
      <c r="Q619" s="112"/>
      <c r="R619" s="112"/>
      <c r="S619" s="112"/>
      <c r="T619" s="112"/>
      <c r="U619" s="112"/>
      <c r="V619" s="112"/>
      <c r="W619" s="112"/>
      <c r="X619" s="106"/>
      <c r="Y619" s="106"/>
      <c r="Z619" s="106"/>
      <c r="AA619" s="106"/>
      <c r="AB619" s="106"/>
      <c r="AC619" s="106"/>
    </row>
    <row r="620" spans="1:29" customFormat="1" ht="31.5">
      <c r="A620" s="124" t="s">
        <v>376</v>
      </c>
      <c r="B620" s="124" t="s">
        <v>380</v>
      </c>
      <c r="C620" s="145" t="s">
        <v>381</v>
      </c>
      <c r="D620" s="108"/>
      <c r="E620" s="108"/>
      <c r="F620" s="139">
        <v>272</v>
      </c>
      <c r="G620" s="139"/>
      <c r="H620" s="124"/>
      <c r="I620" s="112"/>
      <c r="J620" s="112"/>
      <c r="K620" s="112"/>
      <c r="L620" s="109"/>
      <c r="M620" s="124"/>
      <c r="N620" s="109"/>
      <c r="O620" s="112"/>
      <c r="P620" s="112"/>
      <c r="Q620" s="112"/>
      <c r="R620" s="112"/>
      <c r="S620" s="112"/>
      <c r="T620" s="112"/>
      <c r="U620" s="112"/>
      <c r="V620" s="112"/>
      <c r="W620" s="112"/>
      <c r="X620" s="106"/>
      <c r="Y620" s="106"/>
      <c r="Z620" s="106"/>
      <c r="AA620" s="106"/>
      <c r="AB620" s="106"/>
      <c r="AC620" s="106"/>
    </row>
    <row r="621" spans="1:29" customFormat="1" ht="28.5">
      <c r="A621" s="118" t="s">
        <v>2495</v>
      </c>
      <c r="B621" s="150" t="s">
        <v>2494</v>
      </c>
      <c r="C621" s="151" t="s">
        <v>2496</v>
      </c>
      <c r="D621" s="118"/>
      <c r="E621" s="118" t="s">
        <v>2666</v>
      </c>
      <c r="F621" s="140"/>
      <c r="G621" s="140"/>
      <c r="H621" s="118"/>
      <c r="I621" s="120"/>
      <c r="J621" s="120"/>
      <c r="K621" s="120"/>
      <c r="L621" s="119"/>
      <c r="M621" s="119"/>
      <c r="N621" s="119"/>
      <c r="O621" s="120"/>
      <c r="P621" s="120"/>
      <c r="Q621" s="120"/>
      <c r="R621" s="120"/>
      <c r="S621" s="120"/>
      <c r="T621" s="120"/>
      <c r="U621" s="120"/>
      <c r="V621" s="120"/>
      <c r="W621" s="120"/>
      <c r="X621" s="120"/>
      <c r="Y621" s="120"/>
      <c r="Z621" s="120"/>
      <c r="AA621" s="120"/>
      <c r="AB621" s="120"/>
      <c r="AC621" s="120"/>
    </row>
    <row r="622" spans="1:29" customFormat="1">
      <c r="A622" s="124" t="s">
        <v>159</v>
      </c>
      <c r="B622" s="124" t="s">
        <v>448</v>
      </c>
      <c r="C622" s="145" t="s">
        <v>449</v>
      </c>
      <c r="D622" s="108"/>
      <c r="E622" s="108"/>
      <c r="F622" s="139">
        <v>235</v>
      </c>
      <c r="G622" s="139"/>
      <c r="H622" s="124"/>
      <c r="I622" s="112"/>
      <c r="J622" s="112"/>
      <c r="K622" s="112"/>
      <c r="L622" s="109"/>
      <c r="M622" s="124"/>
      <c r="N622" s="109"/>
      <c r="O622" s="112"/>
      <c r="P622" s="112"/>
      <c r="Q622" s="112"/>
      <c r="R622" s="112"/>
      <c r="S622" s="112"/>
      <c r="T622" s="112"/>
      <c r="U622" s="112"/>
      <c r="V622" s="112"/>
      <c r="W622" s="112"/>
      <c r="X622" s="106"/>
      <c r="Y622" s="106"/>
      <c r="Z622" s="106"/>
      <c r="AA622" s="106"/>
      <c r="AB622" s="106"/>
      <c r="AC622" s="106"/>
    </row>
    <row r="623" spans="1:29" customFormat="1">
      <c r="A623" s="124" t="s">
        <v>1256</v>
      </c>
      <c r="B623" s="124"/>
      <c r="C623" s="145" t="s">
        <v>1172</v>
      </c>
      <c r="D623" s="108"/>
      <c r="E623" s="108"/>
      <c r="F623" s="139">
        <v>460</v>
      </c>
      <c r="G623" s="139"/>
      <c r="H623" s="124"/>
      <c r="I623" s="112"/>
      <c r="J623" s="112"/>
      <c r="K623" s="112"/>
      <c r="L623" s="109"/>
      <c r="M623" s="124"/>
      <c r="N623" s="109"/>
      <c r="O623" s="112"/>
      <c r="P623" s="112"/>
      <c r="Q623" s="112"/>
      <c r="R623" s="112"/>
      <c r="S623" s="112"/>
      <c r="T623" s="112"/>
      <c r="U623" s="112"/>
      <c r="V623" s="112"/>
      <c r="W623" s="112"/>
      <c r="X623" s="106"/>
      <c r="Y623" s="106"/>
      <c r="Z623" s="106"/>
      <c r="AA623" s="106"/>
      <c r="AB623" s="106"/>
      <c r="AC623" s="106"/>
    </row>
    <row r="624" spans="1:29" customFormat="1">
      <c r="A624" s="124" t="s">
        <v>628</v>
      </c>
      <c r="B624" s="124" t="s">
        <v>627</v>
      </c>
      <c r="C624" s="145" t="s">
        <v>629</v>
      </c>
      <c r="D624" s="108"/>
      <c r="E624" s="108" t="s">
        <v>2662</v>
      </c>
      <c r="F624" s="139"/>
      <c r="G624" s="139"/>
      <c r="H624" s="124"/>
      <c r="I624" s="112"/>
      <c r="J624" s="112"/>
      <c r="K624" s="112"/>
      <c r="L624" s="109"/>
      <c r="M624" s="124"/>
      <c r="N624" s="109"/>
      <c r="O624" s="112"/>
      <c r="P624" s="112"/>
      <c r="Q624" s="112"/>
      <c r="R624" s="112"/>
      <c r="S624" s="112"/>
      <c r="T624" s="112"/>
      <c r="U624" s="112"/>
      <c r="V624" s="112"/>
      <c r="W624" s="112"/>
      <c r="X624" s="106"/>
      <c r="Y624" s="106"/>
      <c r="Z624" s="106"/>
      <c r="AA624" s="106"/>
      <c r="AB624" s="106"/>
      <c r="AC624" s="106"/>
    </row>
    <row r="625" spans="1:29" customFormat="1">
      <c r="A625" s="124" t="s">
        <v>511</v>
      </c>
      <c r="B625" s="124" t="s">
        <v>510</v>
      </c>
      <c r="C625" s="145" t="s">
        <v>512</v>
      </c>
      <c r="D625" s="108"/>
      <c r="E625" s="108"/>
      <c r="F625" s="139">
        <v>224</v>
      </c>
      <c r="G625" s="139"/>
      <c r="H625" s="124"/>
      <c r="I625" s="112"/>
      <c r="J625" s="112"/>
      <c r="K625" s="112"/>
      <c r="L625" s="109"/>
      <c r="M625" s="124"/>
      <c r="N625" s="127" t="s">
        <v>3126</v>
      </c>
      <c r="O625" s="112"/>
      <c r="P625" s="112"/>
      <c r="Q625" s="112"/>
      <c r="R625" s="112"/>
      <c r="S625" s="112"/>
      <c r="T625" s="112"/>
      <c r="U625" s="112"/>
      <c r="V625" s="112"/>
      <c r="W625" s="112"/>
      <c r="X625" s="106"/>
      <c r="Y625" s="106"/>
      <c r="Z625" s="106"/>
      <c r="AA625" s="106"/>
      <c r="AB625" s="106"/>
      <c r="AC625" s="106"/>
    </row>
    <row r="626" spans="1:29" customFormat="1">
      <c r="A626" s="115" t="s">
        <v>2127</v>
      </c>
      <c r="B626" s="115" t="s">
        <v>2128</v>
      </c>
      <c r="C626" s="145" t="s">
        <v>2130</v>
      </c>
      <c r="D626" s="108" t="s">
        <v>2673</v>
      </c>
      <c r="E626" s="108"/>
      <c r="F626" s="139">
        <v>179</v>
      </c>
      <c r="G626" s="139"/>
      <c r="H626" s="115"/>
      <c r="I626" s="115"/>
      <c r="J626" s="115"/>
      <c r="K626" s="115"/>
      <c r="L626" s="109"/>
      <c r="M626" s="124"/>
      <c r="N626" s="115" t="s">
        <v>2129</v>
      </c>
      <c r="O626" s="115"/>
      <c r="P626" s="110"/>
      <c r="Q626" s="110"/>
      <c r="R626" s="110"/>
      <c r="S626" s="110"/>
      <c r="T626" s="110"/>
      <c r="U626" s="110"/>
      <c r="V626" s="110"/>
      <c r="W626" s="110"/>
      <c r="X626" s="106"/>
      <c r="Y626" s="106"/>
      <c r="Z626" s="106"/>
      <c r="AA626" s="106"/>
      <c r="AB626" s="106"/>
      <c r="AC626" s="106"/>
    </row>
    <row r="627" spans="1:29" customFormat="1">
      <c r="A627" s="124" t="s">
        <v>222</v>
      </c>
      <c r="B627" s="124" t="s">
        <v>656</v>
      </c>
      <c r="C627" s="145" t="s">
        <v>657</v>
      </c>
      <c r="D627" s="108"/>
      <c r="E627" s="108" t="s">
        <v>3128</v>
      </c>
      <c r="F627" s="139"/>
      <c r="G627" s="139"/>
      <c r="H627" s="124"/>
      <c r="I627" s="112"/>
      <c r="J627" s="112"/>
      <c r="K627" s="112"/>
      <c r="L627" s="109"/>
      <c r="M627" s="124"/>
      <c r="N627" s="109"/>
      <c r="O627" s="112"/>
      <c r="P627" s="112"/>
      <c r="Q627" s="112"/>
      <c r="R627" s="112"/>
      <c r="S627" s="112"/>
      <c r="T627" s="112"/>
      <c r="U627" s="112"/>
      <c r="V627" s="112"/>
      <c r="W627" s="112"/>
      <c r="X627" s="106"/>
      <c r="Y627" s="106"/>
      <c r="Z627" s="106"/>
      <c r="AA627" s="106"/>
      <c r="AB627" s="106"/>
      <c r="AC627" s="106"/>
    </row>
    <row r="628" spans="1:29" customFormat="1">
      <c r="A628" s="124" t="s">
        <v>1113</v>
      </c>
      <c r="B628" s="124" t="s">
        <v>532</v>
      </c>
      <c r="C628" s="145" t="s">
        <v>973</v>
      </c>
      <c r="D628" s="108"/>
      <c r="E628" s="108"/>
      <c r="F628" s="139">
        <v>106</v>
      </c>
      <c r="G628" s="139"/>
      <c r="H628" s="124"/>
      <c r="I628" s="112"/>
      <c r="J628" s="110"/>
      <c r="K628" s="110"/>
      <c r="L628" s="116"/>
      <c r="M628" s="124"/>
      <c r="N628" s="109"/>
      <c r="O628" s="112"/>
      <c r="P628" s="112"/>
      <c r="Q628" s="112"/>
      <c r="R628" s="112"/>
      <c r="S628" s="112"/>
      <c r="T628" s="112"/>
      <c r="U628" s="112"/>
      <c r="V628" s="112"/>
      <c r="W628" s="112"/>
      <c r="X628" s="106"/>
      <c r="Y628" s="106"/>
      <c r="Z628" s="106"/>
      <c r="AA628" s="106"/>
      <c r="AB628" s="106"/>
      <c r="AC628" s="106"/>
    </row>
    <row r="629" spans="1:29" customFormat="1" ht="31.5">
      <c r="A629" s="115" t="s">
        <v>1396</v>
      </c>
      <c r="B629" s="127"/>
      <c r="C629" s="145" t="s">
        <v>1398</v>
      </c>
      <c r="D629" s="108"/>
      <c r="E629" s="108" t="s">
        <v>2661</v>
      </c>
      <c r="F629" s="139"/>
      <c r="G629" s="139"/>
      <c r="H629" s="127"/>
      <c r="I629" s="122"/>
      <c r="J629" s="122" t="s">
        <v>1397</v>
      </c>
      <c r="K629" s="122"/>
      <c r="L629" s="127" t="s">
        <v>1262</v>
      </c>
      <c r="M629" s="124"/>
      <c r="N629" s="109"/>
      <c r="O629" s="122"/>
      <c r="P629" s="112"/>
      <c r="Q629" s="112"/>
      <c r="R629" s="112"/>
      <c r="S629" s="112"/>
      <c r="T629" s="112"/>
      <c r="U629" s="112"/>
      <c r="V629" s="112"/>
      <c r="W629" s="112"/>
      <c r="X629" s="106"/>
      <c r="Y629" s="106"/>
      <c r="Z629" s="106"/>
      <c r="AA629" s="106"/>
      <c r="AB629" s="106"/>
      <c r="AC629" s="106"/>
    </row>
    <row r="630" spans="1:29" customFormat="1" ht="31.5">
      <c r="A630" s="115" t="s">
        <v>1441</v>
      </c>
      <c r="B630" s="127"/>
      <c r="C630" s="145" t="s">
        <v>1443</v>
      </c>
      <c r="D630" s="108"/>
      <c r="E630" s="108" t="s">
        <v>2666</v>
      </c>
      <c r="F630" s="139"/>
      <c r="G630" s="139"/>
      <c r="H630" s="127"/>
      <c r="I630" s="122"/>
      <c r="J630" s="122" t="s">
        <v>1442</v>
      </c>
      <c r="K630" s="122"/>
      <c r="L630" s="127" t="s">
        <v>1275</v>
      </c>
      <c r="M630" s="115"/>
      <c r="N630" s="109"/>
      <c r="O630" s="122"/>
      <c r="P630" s="112"/>
      <c r="Q630" s="112"/>
      <c r="R630" s="112"/>
      <c r="S630" s="112"/>
      <c r="T630" s="112"/>
      <c r="U630" s="112"/>
      <c r="V630" s="112"/>
      <c r="W630" s="112"/>
      <c r="X630" s="106"/>
      <c r="Y630" s="106"/>
      <c r="Z630" s="106"/>
      <c r="AA630" s="106"/>
      <c r="AB630" s="106"/>
      <c r="AC630" s="106"/>
    </row>
    <row r="631" spans="1:29" customFormat="1">
      <c r="A631" s="124" t="s">
        <v>231</v>
      </c>
      <c r="B631" s="124" t="s">
        <v>414</v>
      </c>
      <c r="C631" s="145" t="s">
        <v>415</v>
      </c>
      <c r="D631" s="108"/>
      <c r="E631" s="108"/>
      <c r="F631" s="139">
        <v>398</v>
      </c>
      <c r="G631" s="139"/>
      <c r="H631" s="124"/>
      <c r="I631" s="112"/>
      <c r="J631" s="112"/>
      <c r="K631" s="112"/>
      <c r="L631" s="109"/>
      <c r="M631" s="124"/>
      <c r="N631" s="109"/>
      <c r="O631" s="112"/>
      <c r="P631" s="112"/>
      <c r="Q631" s="112"/>
      <c r="R631" s="112"/>
      <c r="S631" s="112"/>
      <c r="T631" s="112"/>
      <c r="U631" s="112"/>
      <c r="V631" s="112"/>
      <c r="W631" s="112"/>
      <c r="X631" s="106"/>
      <c r="Y631" s="106"/>
      <c r="Z631" s="106"/>
      <c r="AA631" s="106"/>
      <c r="AB631" s="106"/>
      <c r="AC631" s="106"/>
    </row>
    <row r="632" spans="1:29" customFormat="1">
      <c r="A632" s="136"/>
      <c r="B632" s="127" t="s">
        <v>942</v>
      </c>
      <c r="C632" s="145" t="s">
        <v>943</v>
      </c>
      <c r="D632" s="108"/>
      <c r="E632" s="108"/>
      <c r="F632" s="139">
        <v>509</v>
      </c>
      <c r="G632" s="139"/>
      <c r="H632" s="127"/>
      <c r="I632" s="112"/>
      <c r="J632" s="112"/>
      <c r="K632" s="112"/>
      <c r="L632" s="109"/>
      <c r="M632" s="116"/>
      <c r="N632" s="109"/>
      <c r="O632" s="112"/>
      <c r="P632" s="112"/>
      <c r="Q632" s="112"/>
      <c r="R632" s="112"/>
      <c r="S632" s="112"/>
      <c r="T632" s="112"/>
      <c r="U632" s="112"/>
      <c r="V632" s="112"/>
      <c r="W632" s="112"/>
      <c r="X632" s="106"/>
      <c r="Y632" s="106"/>
      <c r="Z632" s="106"/>
      <c r="AA632" s="106"/>
      <c r="AB632" s="106"/>
      <c r="AC632" s="106"/>
    </row>
    <row r="633" spans="1:29" customFormat="1">
      <c r="A633" s="124" t="s">
        <v>536</v>
      </c>
      <c r="B633" s="124" t="s">
        <v>535</v>
      </c>
      <c r="C633" s="145" t="s">
        <v>537</v>
      </c>
      <c r="D633" s="108"/>
      <c r="E633" s="108"/>
      <c r="F633" s="139">
        <v>247</v>
      </c>
      <c r="G633" s="139"/>
      <c r="H633" s="124"/>
      <c r="I633" s="112"/>
      <c r="J633" s="112"/>
      <c r="K633" s="112"/>
      <c r="L633" s="109"/>
      <c r="M633" s="124"/>
      <c r="N633" s="109"/>
      <c r="O633" s="112"/>
      <c r="P633" s="112"/>
      <c r="Q633" s="112"/>
      <c r="R633" s="112"/>
      <c r="S633" s="112"/>
      <c r="T633" s="112"/>
      <c r="U633" s="112"/>
      <c r="V633" s="112"/>
      <c r="W633" s="112"/>
      <c r="X633" s="106"/>
      <c r="Y633" s="106"/>
      <c r="Z633" s="106"/>
      <c r="AA633" s="106"/>
      <c r="AB633" s="106"/>
      <c r="AC633" s="106"/>
    </row>
    <row r="634" spans="1:29" customFormat="1" ht="14.25">
      <c r="A634" s="118" t="s">
        <v>2501</v>
      </c>
      <c r="B634" s="150" t="s">
        <v>2500</v>
      </c>
      <c r="C634" s="151" t="s">
        <v>2502</v>
      </c>
      <c r="D634" s="118"/>
      <c r="E634" s="118">
        <v>550</v>
      </c>
      <c r="F634" s="140"/>
      <c r="G634" s="140"/>
      <c r="H634" s="118"/>
      <c r="I634" s="120"/>
      <c r="J634" s="120"/>
      <c r="K634" s="120"/>
      <c r="L634" s="119"/>
      <c r="M634" s="119"/>
      <c r="N634" s="119"/>
      <c r="O634" s="120"/>
      <c r="P634" s="120"/>
      <c r="Q634" s="120"/>
      <c r="R634" s="120"/>
      <c r="S634" s="120"/>
      <c r="T634" s="120"/>
      <c r="U634" s="120"/>
      <c r="V634" s="120"/>
      <c r="W634" s="120"/>
      <c r="X634" s="120"/>
      <c r="Y634" s="120"/>
      <c r="Z634" s="120"/>
      <c r="AA634" s="120"/>
      <c r="AB634" s="120"/>
      <c r="AC634" s="120"/>
    </row>
    <row r="635" spans="1:29" customFormat="1">
      <c r="A635" s="136" t="s">
        <v>3092</v>
      </c>
      <c r="B635" s="127" t="s">
        <v>3093</v>
      </c>
      <c r="C635" s="145" t="s">
        <v>867</v>
      </c>
      <c r="D635" s="108"/>
      <c r="E635" s="108"/>
      <c r="F635" s="139">
        <v>214</v>
      </c>
      <c r="G635" s="139"/>
      <c r="H635" s="127"/>
      <c r="I635" s="112"/>
      <c r="J635" s="112"/>
      <c r="K635" s="112"/>
      <c r="L635" s="109"/>
      <c r="M635" s="127"/>
      <c r="N635" s="109" t="s">
        <v>2318</v>
      </c>
      <c r="O635" s="112"/>
      <c r="P635" s="112"/>
      <c r="Q635" s="112"/>
      <c r="R635" s="112"/>
      <c r="S635" s="112"/>
      <c r="T635" s="112"/>
      <c r="U635" s="112"/>
      <c r="V635" s="112"/>
      <c r="W635" s="112"/>
      <c r="X635" s="106"/>
      <c r="Y635" s="106"/>
      <c r="Z635" s="106"/>
      <c r="AA635" s="106"/>
      <c r="AB635" s="106"/>
      <c r="AC635" s="106"/>
    </row>
    <row r="636" spans="1:29" customFormat="1" ht="31.5">
      <c r="A636" s="115" t="s">
        <v>2090</v>
      </c>
      <c r="B636" s="115" t="s">
        <v>2091</v>
      </c>
      <c r="C636" s="145" t="s">
        <v>2092</v>
      </c>
      <c r="D636" s="108"/>
      <c r="E636" s="108"/>
      <c r="F636" s="139">
        <v>481</v>
      </c>
      <c r="G636" s="139"/>
      <c r="H636" s="115"/>
      <c r="I636" s="115"/>
      <c r="J636" s="115"/>
      <c r="K636" s="115"/>
      <c r="L636" s="115" t="s">
        <v>1986</v>
      </c>
      <c r="M636" s="115"/>
      <c r="N636" s="115" t="s">
        <v>1786</v>
      </c>
      <c r="O636" s="115"/>
      <c r="P636" s="112"/>
      <c r="Q636" s="112"/>
      <c r="R636" s="112"/>
      <c r="S636" s="112"/>
      <c r="T636" s="112"/>
      <c r="U636" s="112"/>
      <c r="V636" s="112"/>
      <c r="W636" s="112"/>
      <c r="X636" s="106"/>
      <c r="Y636" s="106"/>
      <c r="Z636" s="106"/>
      <c r="AA636" s="106"/>
      <c r="AB636" s="106"/>
      <c r="AC636" s="106"/>
    </row>
    <row r="637" spans="1:29" customFormat="1">
      <c r="A637" s="136" t="s">
        <v>3257</v>
      </c>
      <c r="B637" s="127" t="s">
        <v>3255</v>
      </c>
      <c r="C637" s="145" t="s">
        <v>672</v>
      </c>
      <c r="D637" s="108" t="s">
        <v>2673</v>
      </c>
      <c r="E637" s="108"/>
      <c r="F637" s="139">
        <v>59</v>
      </c>
      <c r="G637" s="139"/>
      <c r="H637" s="127"/>
      <c r="I637" s="112"/>
      <c r="J637" s="110"/>
      <c r="K637" s="110"/>
      <c r="L637" s="116"/>
      <c r="M637" s="116"/>
      <c r="N637" s="109" t="s">
        <v>3966</v>
      </c>
      <c r="O637" s="112"/>
      <c r="P637" s="112"/>
      <c r="Q637" s="112"/>
      <c r="R637" s="112"/>
      <c r="S637" s="112"/>
      <c r="T637" s="112"/>
      <c r="U637" s="112"/>
      <c r="V637" s="112"/>
      <c r="W637" s="112"/>
      <c r="X637" s="106"/>
      <c r="Y637" s="106"/>
      <c r="Z637" s="106"/>
      <c r="AA637" s="106"/>
      <c r="AB637" s="106"/>
      <c r="AC637" s="106"/>
    </row>
    <row r="638" spans="1:29" customFormat="1">
      <c r="A638" s="115" t="s">
        <v>248</v>
      </c>
      <c r="B638" s="127" t="s">
        <v>245</v>
      </c>
      <c r="C638" s="145" t="s">
        <v>249</v>
      </c>
      <c r="D638" s="108"/>
      <c r="E638" s="108" t="s">
        <v>2666</v>
      </c>
      <c r="F638" s="139"/>
      <c r="G638" s="139"/>
      <c r="H638" s="127"/>
      <c r="I638" s="112"/>
      <c r="J638" s="112"/>
      <c r="K638" s="112"/>
      <c r="L638" s="109"/>
      <c r="M638" s="127"/>
      <c r="N638" s="109"/>
      <c r="O638" s="112"/>
      <c r="P638" s="112"/>
      <c r="Q638" s="112"/>
      <c r="R638" s="112"/>
      <c r="S638" s="112"/>
      <c r="T638" s="112"/>
      <c r="U638" s="112"/>
      <c r="V638" s="112"/>
      <c r="W638" s="112"/>
      <c r="X638" s="106"/>
      <c r="Y638" s="106"/>
      <c r="Z638" s="106"/>
      <c r="AA638" s="106"/>
      <c r="AB638" s="106"/>
      <c r="AC638" s="106"/>
    </row>
    <row r="639" spans="1:29" customFormat="1">
      <c r="A639" s="118" t="s">
        <v>2492</v>
      </c>
      <c r="B639" s="150" t="s">
        <v>2491</v>
      </c>
      <c r="C639" s="151" t="s">
        <v>2493</v>
      </c>
      <c r="D639" s="118"/>
      <c r="E639" s="108" t="s">
        <v>2666</v>
      </c>
      <c r="F639" s="140"/>
      <c r="G639" s="140"/>
      <c r="H639" s="118"/>
      <c r="I639" s="120"/>
      <c r="J639" s="120"/>
      <c r="K639" s="120"/>
      <c r="L639" s="119"/>
      <c r="M639" s="119"/>
      <c r="N639" s="119"/>
      <c r="O639" s="120"/>
      <c r="P639" s="120"/>
      <c r="Q639" s="120"/>
      <c r="R639" s="120"/>
      <c r="S639" s="120"/>
      <c r="T639" s="120"/>
      <c r="U639" s="120"/>
      <c r="V639" s="120"/>
      <c r="W639" s="120"/>
      <c r="X639" s="120"/>
      <c r="Y639" s="120"/>
      <c r="Z639" s="120"/>
      <c r="AA639" s="120"/>
      <c r="AB639" s="120"/>
      <c r="AC639" s="120"/>
    </row>
    <row r="640" spans="1:29" customFormat="1" ht="47.25">
      <c r="A640" s="115" t="s">
        <v>1362</v>
      </c>
      <c r="B640" s="127" t="s">
        <v>1363</v>
      </c>
      <c r="C640" s="145" t="s">
        <v>1365</v>
      </c>
      <c r="D640" s="108"/>
      <c r="E640" s="108" t="s">
        <v>2764</v>
      </c>
      <c r="F640" s="139"/>
      <c r="G640" s="139"/>
      <c r="H640" s="127"/>
      <c r="I640" s="122"/>
      <c r="J640" s="122" t="s">
        <v>2271</v>
      </c>
      <c r="K640" s="122"/>
      <c r="L640" s="127" t="s">
        <v>1262</v>
      </c>
      <c r="M640" s="127"/>
      <c r="N640" s="109"/>
      <c r="O640" s="122"/>
      <c r="P640" s="112"/>
      <c r="Q640" s="112"/>
      <c r="R640" s="112"/>
      <c r="S640" s="112"/>
      <c r="T640" s="112"/>
      <c r="U640" s="112"/>
      <c r="V640" s="112"/>
      <c r="W640" s="112"/>
      <c r="X640" s="106"/>
      <c r="Y640" s="106"/>
      <c r="Z640" s="106"/>
      <c r="AA640" s="106"/>
      <c r="AB640" s="106"/>
      <c r="AC640" s="106"/>
    </row>
    <row r="641" spans="1:29" customFormat="1">
      <c r="A641" s="115" t="s">
        <v>194</v>
      </c>
      <c r="B641" s="115" t="s">
        <v>3158</v>
      </c>
      <c r="C641" s="145" t="s">
        <v>1827</v>
      </c>
      <c r="D641" s="108"/>
      <c r="E641" s="108" t="s">
        <v>2666</v>
      </c>
      <c r="F641" s="139"/>
      <c r="G641" s="139"/>
      <c r="H641" s="115"/>
      <c r="I641" s="115"/>
      <c r="J641" s="115"/>
      <c r="K641" s="115"/>
      <c r="L641" s="115" t="s">
        <v>1289</v>
      </c>
      <c r="M641" s="115"/>
      <c r="N641" s="115" t="s">
        <v>1703</v>
      </c>
      <c r="O641" s="115"/>
      <c r="P641" s="112"/>
      <c r="Q641" s="112"/>
      <c r="R641" s="112"/>
      <c r="S641" s="112"/>
      <c r="T641" s="112"/>
      <c r="U641" s="112"/>
      <c r="V641" s="112"/>
      <c r="W641" s="112"/>
      <c r="X641" s="106"/>
      <c r="Y641" s="106"/>
      <c r="Z641" s="106"/>
      <c r="AA641" s="106"/>
      <c r="AB641" s="106"/>
      <c r="AC641" s="106"/>
    </row>
    <row r="642" spans="1:29" customFormat="1">
      <c r="A642" s="124" t="s">
        <v>194</v>
      </c>
      <c r="B642" s="124" t="s">
        <v>330</v>
      </c>
      <c r="C642" s="145" t="s">
        <v>331</v>
      </c>
      <c r="D642" s="108"/>
      <c r="E642" s="108" t="s">
        <v>2666</v>
      </c>
      <c r="F642" s="139"/>
      <c r="G642" s="139"/>
      <c r="H642" s="124"/>
      <c r="I642" s="112"/>
      <c r="J642" s="112"/>
      <c r="K642" s="112"/>
      <c r="L642" s="109"/>
      <c r="M642" s="115"/>
      <c r="N642" s="109"/>
      <c r="O642" s="112"/>
      <c r="P642" s="112"/>
      <c r="Q642" s="112"/>
      <c r="R642" s="112"/>
      <c r="S642" s="112"/>
      <c r="T642" s="112"/>
      <c r="U642" s="112"/>
      <c r="V642" s="112"/>
      <c r="W642" s="112"/>
      <c r="X642" s="106"/>
      <c r="Y642" s="106"/>
      <c r="Z642" s="106"/>
      <c r="AA642" s="106"/>
      <c r="AB642" s="106"/>
      <c r="AC642" s="106"/>
    </row>
    <row r="643" spans="1:29" customFormat="1">
      <c r="A643" s="124" t="s">
        <v>3127</v>
      </c>
      <c r="B643" s="131" t="s">
        <v>330</v>
      </c>
      <c r="C643" s="145" t="s">
        <v>1629</v>
      </c>
      <c r="D643" s="108"/>
      <c r="E643" s="108"/>
      <c r="F643" s="139">
        <v>309</v>
      </c>
      <c r="G643" s="139"/>
      <c r="H643" s="131"/>
      <c r="I643" s="124"/>
      <c r="J643" s="124"/>
      <c r="K643" s="124"/>
      <c r="L643" s="109"/>
      <c r="M643" s="124"/>
      <c r="N643" s="109" t="s">
        <v>2315</v>
      </c>
      <c r="O643" s="124"/>
      <c r="P643" s="112"/>
      <c r="Q643" s="112"/>
      <c r="R643" s="112"/>
      <c r="S643" s="112"/>
      <c r="T643" s="112"/>
      <c r="U643" s="112"/>
      <c r="V643" s="112"/>
      <c r="W643" s="112"/>
      <c r="X643" s="106"/>
      <c r="Y643" s="106"/>
      <c r="Z643" s="106"/>
      <c r="AA643" s="106"/>
      <c r="AB643" s="106"/>
      <c r="AC643" s="106"/>
    </row>
    <row r="644" spans="1:29" customFormat="1">
      <c r="A644" s="118" t="s">
        <v>386</v>
      </c>
      <c r="B644" s="150" t="s">
        <v>719</v>
      </c>
      <c r="C644" s="145" t="s">
        <v>721</v>
      </c>
      <c r="D644" s="108"/>
      <c r="E644" s="108"/>
      <c r="F644" s="139">
        <v>129</v>
      </c>
      <c r="G644" s="139"/>
      <c r="H644" s="118"/>
      <c r="I644" s="110"/>
      <c r="J644" s="110"/>
      <c r="K644" s="110"/>
      <c r="L644" s="116"/>
      <c r="M644" s="124"/>
      <c r="N644" s="109"/>
      <c r="O644" s="110"/>
      <c r="P644" s="112"/>
      <c r="Q644" s="112"/>
      <c r="R644" s="112"/>
      <c r="S644" s="112"/>
      <c r="T644" s="112"/>
      <c r="U644" s="112"/>
      <c r="V644" s="112"/>
      <c r="W644" s="112"/>
      <c r="X644" s="106"/>
      <c r="Y644" s="106"/>
      <c r="Z644" s="106"/>
      <c r="AA644" s="106"/>
      <c r="AB644" s="106"/>
      <c r="AC644" s="106"/>
    </row>
    <row r="645" spans="1:29" customFormat="1" ht="31.5">
      <c r="A645" s="115" t="s">
        <v>131</v>
      </c>
      <c r="B645" s="127" t="s">
        <v>130</v>
      </c>
      <c r="C645" s="145" t="s">
        <v>132</v>
      </c>
      <c r="D645" s="108"/>
      <c r="E645" s="108" t="s">
        <v>2661</v>
      </c>
      <c r="F645" s="139"/>
      <c r="G645" s="139"/>
      <c r="H645" s="127"/>
      <c r="I645" s="112"/>
      <c r="J645" s="112"/>
      <c r="K645" s="112"/>
      <c r="L645" s="109"/>
      <c r="M645" s="119"/>
      <c r="N645" s="109"/>
      <c r="O645" s="112"/>
      <c r="P645" s="112"/>
      <c r="Q645" s="112"/>
      <c r="R645" s="112"/>
      <c r="S645" s="112"/>
      <c r="T645" s="112"/>
      <c r="U645" s="112"/>
      <c r="V645" s="112"/>
      <c r="W645" s="112"/>
      <c r="X645" s="106"/>
      <c r="Y645" s="106"/>
      <c r="Z645" s="106"/>
      <c r="AA645" s="106"/>
      <c r="AB645" s="106"/>
      <c r="AC645" s="106"/>
    </row>
    <row r="646" spans="1:29" customFormat="1">
      <c r="A646" s="124" t="s">
        <v>640</v>
      </c>
      <c r="B646" s="124" t="s">
        <v>1200</v>
      </c>
      <c r="C646" s="145" t="s">
        <v>1150</v>
      </c>
      <c r="D646" s="108"/>
      <c r="E646" s="108">
        <v>365</v>
      </c>
      <c r="F646" s="139"/>
      <c r="G646" s="139"/>
      <c r="H646" s="124"/>
      <c r="I646" s="112"/>
      <c r="J646" s="112"/>
      <c r="K646" s="112"/>
      <c r="L646" s="109"/>
      <c r="M646" s="124"/>
      <c r="N646" s="116"/>
      <c r="O646" s="112"/>
      <c r="P646" s="112"/>
      <c r="Q646" s="112"/>
      <c r="R646" s="112"/>
      <c r="S646" s="112"/>
      <c r="T646" s="112"/>
      <c r="U646" s="112"/>
      <c r="V646" s="112"/>
      <c r="W646" s="112"/>
      <c r="X646" s="106"/>
      <c r="Y646" s="106"/>
      <c r="Z646" s="106"/>
      <c r="AA646" s="106"/>
      <c r="AB646" s="106"/>
      <c r="AC646" s="106"/>
    </row>
    <row r="647" spans="1:29" customFormat="1" ht="31.5">
      <c r="A647" s="115" t="s">
        <v>1928</v>
      </c>
      <c r="B647" s="115" t="s">
        <v>1929</v>
      </c>
      <c r="C647" s="145" t="s">
        <v>1930</v>
      </c>
      <c r="D647" s="108"/>
      <c r="E647" s="108" t="s">
        <v>2666</v>
      </c>
      <c r="F647" s="139"/>
      <c r="G647" s="139"/>
      <c r="H647" s="115"/>
      <c r="I647" s="115"/>
      <c r="J647" s="115"/>
      <c r="K647" s="115"/>
      <c r="L647" s="115" t="s">
        <v>1284</v>
      </c>
      <c r="M647" s="115"/>
      <c r="N647" s="115" t="s">
        <v>1852</v>
      </c>
      <c r="O647" s="115"/>
      <c r="P647" s="112"/>
      <c r="Q647" s="112"/>
      <c r="R647" s="112"/>
      <c r="S647" s="112"/>
      <c r="T647" s="112"/>
      <c r="U647" s="112"/>
      <c r="V647" s="112"/>
      <c r="W647" s="112"/>
      <c r="X647" s="106"/>
      <c r="Y647" s="106"/>
      <c r="Z647" s="106"/>
      <c r="AA647" s="106"/>
      <c r="AB647" s="106"/>
      <c r="AC647" s="106"/>
    </row>
    <row r="648" spans="1:29" customFormat="1">
      <c r="A648" s="124" t="s">
        <v>599</v>
      </c>
      <c r="B648" s="124" t="s">
        <v>598</v>
      </c>
      <c r="C648" s="145" t="s">
        <v>600</v>
      </c>
      <c r="D648" s="108"/>
      <c r="E648" s="108"/>
      <c r="F648" s="139">
        <v>95</v>
      </c>
      <c r="G648" s="139"/>
      <c r="H648" s="124"/>
      <c r="I648" s="112"/>
      <c r="J648" s="110"/>
      <c r="K648" s="110"/>
      <c r="L648" s="109"/>
      <c r="M648" s="124"/>
      <c r="N648" s="116"/>
      <c r="O648" s="112"/>
      <c r="P648" s="112"/>
      <c r="Q648" s="112"/>
      <c r="R648" s="112"/>
      <c r="S648" s="112"/>
      <c r="T648" s="112"/>
      <c r="U648" s="112"/>
      <c r="V648" s="112"/>
      <c r="W648" s="112"/>
      <c r="X648" s="106"/>
      <c r="Y648" s="106"/>
      <c r="Z648" s="106"/>
      <c r="AA648" s="106"/>
      <c r="AB648" s="106"/>
      <c r="AC648" s="106"/>
    </row>
    <row r="649" spans="1:29" customFormat="1">
      <c r="A649" s="124" t="s">
        <v>822</v>
      </c>
      <c r="B649" s="124" t="s">
        <v>821</v>
      </c>
      <c r="C649" s="145" t="s">
        <v>823</v>
      </c>
      <c r="D649" s="108"/>
      <c r="E649" s="108" t="s">
        <v>2663</v>
      </c>
      <c r="F649" s="139"/>
      <c r="G649" s="139"/>
      <c r="H649" s="124"/>
      <c r="I649" s="112"/>
      <c r="J649" s="112"/>
      <c r="K649" s="112"/>
      <c r="L649" s="109"/>
      <c r="M649" s="124"/>
      <c r="N649" s="109"/>
      <c r="O649" s="112"/>
      <c r="P649" s="112"/>
      <c r="Q649" s="112"/>
      <c r="R649" s="112"/>
      <c r="S649" s="112"/>
      <c r="T649" s="112"/>
      <c r="U649" s="112"/>
      <c r="V649" s="112"/>
      <c r="W649" s="112"/>
      <c r="X649" s="106"/>
      <c r="Y649" s="106"/>
      <c r="Z649" s="106"/>
      <c r="AA649" s="106"/>
      <c r="AB649" s="106"/>
      <c r="AC649" s="106"/>
    </row>
    <row r="650" spans="1:29" customFormat="1">
      <c r="A650" s="167" t="s">
        <v>696</v>
      </c>
      <c r="B650" s="115" t="s">
        <v>1804</v>
      </c>
      <c r="C650" s="151" t="s">
        <v>1805</v>
      </c>
      <c r="D650" s="108"/>
      <c r="E650" s="108">
        <v>550</v>
      </c>
      <c r="F650" s="139"/>
      <c r="G650" s="139"/>
      <c r="H650" s="115"/>
      <c r="I650" s="115"/>
      <c r="J650" s="115"/>
      <c r="K650" s="115"/>
      <c r="L650" s="115" t="s">
        <v>1289</v>
      </c>
      <c r="M650" s="127"/>
      <c r="N650" s="115" t="s">
        <v>1461</v>
      </c>
      <c r="O650" s="115"/>
      <c r="P650" s="112"/>
      <c r="Q650" s="112"/>
      <c r="R650" s="112"/>
      <c r="S650" s="112"/>
      <c r="T650" s="112"/>
      <c r="U650" s="112"/>
      <c r="V650" s="112"/>
      <c r="W650" s="112"/>
      <c r="X650" s="106"/>
      <c r="Y650" s="106"/>
      <c r="Z650" s="106"/>
      <c r="AA650" s="106"/>
      <c r="AB650" s="106"/>
      <c r="AC650" s="106"/>
    </row>
    <row r="651" spans="1:29" customFormat="1" ht="14.25">
      <c r="A651" s="88" t="s">
        <v>696</v>
      </c>
      <c r="B651" s="88" t="s">
        <v>1804</v>
      </c>
      <c r="C651" s="88" t="s">
        <v>4009</v>
      </c>
      <c r="F651">
        <v>518</v>
      </c>
    </row>
    <row r="652" spans="1:29" customFormat="1">
      <c r="A652" s="124" t="s">
        <v>404</v>
      </c>
      <c r="B652" s="124" t="s">
        <v>403</v>
      </c>
      <c r="C652" s="145" t="s">
        <v>405</v>
      </c>
      <c r="D652" s="108"/>
      <c r="E652" s="108"/>
      <c r="F652" s="139">
        <v>100</v>
      </c>
      <c r="G652" s="139"/>
      <c r="H652" s="124"/>
      <c r="I652" s="112"/>
      <c r="J652" s="110"/>
      <c r="K652" s="110"/>
      <c r="L652" s="109"/>
      <c r="M652" s="116"/>
      <c r="N652" s="116"/>
      <c r="O652" s="112"/>
      <c r="P652" s="112"/>
      <c r="Q652" s="112"/>
      <c r="R652" s="112"/>
      <c r="S652" s="112"/>
      <c r="T652" s="112"/>
      <c r="U652" s="112"/>
      <c r="V652" s="112"/>
      <c r="W652" s="112"/>
      <c r="X652" s="106"/>
      <c r="Y652" s="106"/>
      <c r="Z652" s="106"/>
      <c r="AA652" s="106"/>
      <c r="AB652" s="106"/>
      <c r="AC652" s="106"/>
    </row>
    <row r="653" spans="1:29" customFormat="1">
      <c r="A653" s="124" t="s">
        <v>605</v>
      </c>
      <c r="B653" s="124"/>
      <c r="C653" s="145" t="s">
        <v>1146</v>
      </c>
      <c r="D653" s="108"/>
      <c r="E653" s="108" t="s">
        <v>2666</v>
      </c>
      <c r="F653" s="139"/>
      <c r="G653" s="139"/>
      <c r="H653" s="124"/>
      <c r="I653" s="112"/>
      <c r="J653" s="112"/>
      <c r="K653" s="112"/>
      <c r="L653" s="109"/>
      <c r="M653" s="124"/>
      <c r="N653" s="109"/>
      <c r="O653" s="112"/>
      <c r="P653" s="112"/>
      <c r="Q653" s="112"/>
      <c r="R653" s="112"/>
      <c r="S653" s="112"/>
      <c r="T653" s="112"/>
      <c r="U653" s="112"/>
      <c r="V653" s="112"/>
      <c r="W653" s="112"/>
      <c r="X653" s="106"/>
      <c r="Y653" s="106"/>
      <c r="Z653" s="106"/>
      <c r="AA653" s="106"/>
      <c r="AB653" s="106"/>
      <c r="AC653" s="106"/>
    </row>
    <row r="654" spans="1:29" customFormat="1">
      <c r="A654" s="124" t="s">
        <v>822</v>
      </c>
      <c r="B654" s="124" t="s">
        <v>830</v>
      </c>
      <c r="C654" s="145" t="s">
        <v>831</v>
      </c>
      <c r="D654" s="108"/>
      <c r="E654" s="108"/>
      <c r="F654" s="139">
        <v>392</v>
      </c>
      <c r="G654" s="139"/>
      <c r="H654" s="124"/>
      <c r="I654" s="112"/>
      <c r="J654" s="112"/>
      <c r="K654" s="112"/>
      <c r="L654" s="109"/>
      <c r="M654" s="124"/>
      <c r="N654" s="109"/>
      <c r="O654" s="112"/>
      <c r="P654" s="112"/>
      <c r="Q654" s="112"/>
      <c r="R654" s="112"/>
      <c r="S654" s="112"/>
      <c r="T654" s="112"/>
      <c r="U654" s="112"/>
      <c r="V654" s="112"/>
      <c r="W654" s="112"/>
      <c r="X654" s="106"/>
      <c r="Y654" s="106"/>
      <c r="Z654" s="106"/>
      <c r="AA654" s="106"/>
      <c r="AB654" s="106"/>
      <c r="AC654" s="106"/>
    </row>
    <row r="655" spans="1:29" customFormat="1">
      <c r="A655" s="115" t="s">
        <v>145</v>
      </c>
      <c r="B655" s="127" t="s">
        <v>144</v>
      </c>
      <c r="C655" s="145" t="s">
        <v>146</v>
      </c>
      <c r="D655" s="108"/>
      <c r="E655" s="108"/>
      <c r="F655" s="139">
        <v>212</v>
      </c>
      <c r="G655" s="139"/>
      <c r="H655" s="127"/>
      <c r="I655" s="112"/>
      <c r="J655" s="112"/>
      <c r="K655" s="112"/>
      <c r="L655" s="109"/>
      <c r="M655" s="115"/>
      <c r="N655" s="109"/>
      <c r="O655" s="112"/>
      <c r="P655" s="112"/>
      <c r="Q655" s="112"/>
      <c r="R655" s="112"/>
      <c r="S655" s="112"/>
      <c r="T655" s="112"/>
      <c r="U655" s="112"/>
      <c r="V655" s="112"/>
      <c r="W655" s="112"/>
      <c r="X655" s="106"/>
      <c r="Y655" s="106"/>
      <c r="Z655" s="106"/>
      <c r="AA655" s="106"/>
      <c r="AB655" s="106"/>
      <c r="AC655" s="106"/>
    </row>
    <row r="656" spans="1:29" customFormat="1" ht="31.5">
      <c r="A656" s="115" t="s">
        <v>2021</v>
      </c>
      <c r="B656" s="115" t="s">
        <v>2022</v>
      </c>
      <c r="C656" s="145" t="s">
        <v>2024</v>
      </c>
      <c r="D656" s="108"/>
      <c r="E656" s="108" t="s">
        <v>2663</v>
      </c>
      <c r="F656" s="139"/>
      <c r="G656" s="139"/>
      <c r="H656" s="115"/>
      <c r="I656" s="115"/>
      <c r="J656" s="115"/>
      <c r="K656" s="115"/>
      <c r="L656" s="115" t="s">
        <v>2020</v>
      </c>
      <c r="M656" s="115"/>
      <c r="N656" s="115" t="s">
        <v>2023</v>
      </c>
      <c r="O656" s="115"/>
      <c r="P656" s="112"/>
      <c r="Q656" s="112"/>
      <c r="R656" s="112"/>
      <c r="S656" s="112"/>
      <c r="T656" s="112"/>
      <c r="U656" s="112"/>
      <c r="V656" s="112"/>
      <c r="W656" s="112"/>
      <c r="X656" s="106"/>
      <c r="Y656" s="106"/>
      <c r="Z656" s="106"/>
      <c r="AA656" s="106"/>
      <c r="AB656" s="106"/>
      <c r="AC656" s="106"/>
    </row>
    <row r="657" spans="1:29" customFormat="1">
      <c r="A657" s="115" t="s">
        <v>2082</v>
      </c>
      <c r="B657" s="115" t="s">
        <v>535</v>
      </c>
      <c r="C657" s="145" t="s">
        <v>2083</v>
      </c>
      <c r="D657" s="108"/>
      <c r="E657" s="108"/>
      <c r="F657" s="139">
        <v>248</v>
      </c>
      <c r="G657" s="139"/>
      <c r="H657" s="115"/>
      <c r="I657" s="115"/>
      <c r="J657" s="115"/>
      <c r="K657" s="115"/>
      <c r="L657" s="115" t="s">
        <v>1284</v>
      </c>
      <c r="M657" s="124"/>
      <c r="N657" s="115" t="s">
        <v>1786</v>
      </c>
      <c r="O657" s="115"/>
      <c r="P657" s="112"/>
      <c r="Q657" s="112"/>
      <c r="R657" s="112"/>
      <c r="S657" s="112"/>
      <c r="T657" s="112"/>
      <c r="U657" s="112"/>
      <c r="V657" s="112"/>
      <c r="W657" s="112"/>
      <c r="X657" s="106"/>
      <c r="Y657" s="106"/>
      <c r="Z657" s="106"/>
      <c r="AA657" s="106"/>
      <c r="AB657" s="106"/>
      <c r="AC657" s="106"/>
    </row>
    <row r="658" spans="1:29" customFormat="1" ht="31.5">
      <c r="A658" s="115" t="s">
        <v>1791</v>
      </c>
      <c r="B658" s="115" t="s">
        <v>1792</v>
      </c>
      <c r="C658" s="145" t="s">
        <v>1793</v>
      </c>
      <c r="D658" s="108"/>
      <c r="E658" s="108"/>
      <c r="F658" s="139">
        <v>367</v>
      </c>
      <c r="G658" s="139"/>
      <c r="H658" s="115"/>
      <c r="I658" s="115"/>
      <c r="J658" s="115"/>
      <c r="K658" s="115"/>
      <c r="L658" s="115" t="s">
        <v>1289</v>
      </c>
      <c r="M658" s="115"/>
      <c r="N658" s="115" t="s">
        <v>1733</v>
      </c>
      <c r="O658" s="115"/>
      <c r="P658" s="112"/>
      <c r="Q658" s="112"/>
      <c r="R658" s="112"/>
      <c r="S658" s="112"/>
      <c r="T658" s="112"/>
      <c r="U658" s="112"/>
      <c r="V658" s="112"/>
      <c r="W658" s="112"/>
      <c r="X658" s="106"/>
      <c r="Y658" s="106"/>
      <c r="Z658" s="106"/>
      <c r="AA658" s="106"/>
      <c r="AB658" s="106"/>
      <c r="AC658" s="106"/>
    </row>
    <row r="659" spans="1:29" customFormat="1">
      <c r="A659" s="115" t="s">
        <v>2099</v>
      </c>
      <c r="B659" s="115" t="s">
        <v>2100</v>
      </c>
      <c r="C659" s="145" t="s">
        <v>2101</v>
      </c>
      <c r="D659" s="108"/>
      <c r="E659" s="108" t="s">
        <v>2666</v>
      </c>
      <c r="F659" s="139"/>
      <c r="G659" s="139"/>
      <c r="H659" s="115"/>
      <c r="I659" s="115"/>
      <c r="J659" s="115"/>
      <c r="K659" s="115"/>
      <c r="L659" s="109"/>
      <c r="M659" s="115"/>
      <c r="N659" s="115" t="s">
        <v>1786</v>
      </c>
      <c r="O659" s="115"/>
      <c r="P659" s="112"/>
      <c r="Q659" s="112"/>
      <c r="R659" s="112"/>
      <c r="S659" s="112"/>
      <c r="T659" s="112"/>
      <c r="U659" s="112"/>
      <c r="V659" s="112"/>
      <c r="W659" s="112"/>
      <c r="X659" s="106"/>
      <c r="Y659" s="106"/>
      <c r="Z659" s="106"/>
      <c r="AA659" s="106"/>
      <c r="AB659" s="106"/>
      <c r="AC659" s="106"/>
    </row>
    <row r="660" spans="1:29" customFormat="1">
      <c r="A660" s="115" t="s">
        <v>46</v>
      </c>
      <c r="B660" s="115" t="s">
        <v>1874</v>
      </c>
      <c r="C660" s="145" t="s">
        <v>1876</v>
      </c>
      <c r="D660" s="108"/>
      <c r="E660" s="108"/>
      <c r="F660" s="139">
        <v>72</v>
      </c>
      <c r="G660" s="139"/>
      <c r="H660" s="115"/>
      <c r="I660" s="115"/>
      <c r="J660" s="115"/>
      <c r="K660" s="115"/>
      <c r="L660" s="115" t="s">
        <v>1289</v>
      </c>
      <c r="M660" s="115"/>
      <c r="N660" s="115" t="s">
        <v>1875</v>
      </c>
      <c r="O660" s="115"/>
      <c r="P660" s="110"/>
      <c r="Q660" s="110"/>
      <c r="R660" s="110"/>
      <c r="S660" s="110"/>
      <c r="T660" s="110"/>
      <c r="U660" s="110"/>
      <c r="V660" s="110"/>
      <c r="W660" s="110"/>
      <c r="X660" s="106"/>
      <c r="Y660" s="106"/>
      <c r="Z660" s="106"/>
      <c r="AA660" s="106"/>
      <c r="AB660" s="106"/>
      <c r="AC660" s="106"/>
    </row>
    <row r="661" spans="1:29" customFormat="1">
      <c r="A661" s="115"/>
      <c r="B661" s="115" t="s">
        <v>2104</v>
      </c>
      <c r="C661" s="145" t="s">
        <v>2105</v>
      </c>
      <c r="D661" s="108"/>
      <c r="E661" s="108" t="s">
        <v>2666</v>
      </c>
      <c r="F661" s="139"/>
      <c r="G661" s="139"/>
      <c r="H661" s="115"/>
      <c r="I661" s="115"/>
      <c r="J661" s="115"/>
      <c r="K661" s="115"/>
      <c r="L661" s="109"/>
      <c r="M661" s="115"/>
      <c r="N661" s="115" t="s">
        <v>1786</v>
      </c>
      <c r="O661" s="115"/>
      <c r="P661" s="112"/>
      <c r="Q661" s="112"/>
      <c r="R661" s="112"/>
      <c r="S661" s="112"/>
      <c r="T661" s="112"/>
      <c r="U661" s="112"/>
      <c r="V661" s="112"/>
      <c r="W661" s="112"/>
      <c r="X661" s="106"/>
      <c r="Y661" s="106"/>
      <c r="Z661" s="106"/>
      <c r="AA661" s="106"/>
      <c r="AB661" s="106"/>
      <c r="AC661" s="106"/>
    </row>
    <row r="662" spans="1:29" customFormat="1">
      <c r="A662" s="124" t="s">
        <v>109</v>
      </c>
      <c r="B662" s="124" t="s">
        <v>1205</v>
      </c>
      <c r="C662" s="145" t="s">
        <v>1002</v>
      </c>
      <c r="D662" s="108"/>
      <c r="E662" s="108"/>
      <c r="F662" s="139">
        <v>171</v>
      </c>
      <c r="G662" s="139"/>
      <c r="H662" s="124"/>
      <c r="I662" s="112"/>
      <c r="J662" s="112"/>
      <c r="K662" s="112"/>
      <c r="L662" s="109"/>
      <c r="M662" s="124"/>
      <c r="N662" s="109"/>
      <c r="O662" s="112"/>
      <c r="P662" s="112"/>
      <c r="Q662" s="112"/>
      <c r="R662" s="112"/>
      <c r="S662" s="112"/>
      <c r="T662" s="112"/>
      <c r="U662" s="112"/>
      <c r="V662" s="112"/>
      <c r="W662" s="112"/>
      <c r="X662" s="106"/>
      <c r="Y662" s="106"/>
      <c r="Z662" s="106"/>
      <c r="AA662" s="106"/>
      <c r="AB662" s="106"/>
      <c r="AC662" s="106"/>
    </row>
    <row r="663" spans="1:29" customFormat="1">
      <c r="A663" s="124" t="s">
        <v>17</v>
      </c>
      <c r="B663" s="124" t="s">
        <v>565</v>
      </c>
      <c r="C663" s="145" t="s">
        <v>566</v>
      </c>
      <c r="D663" s="108"/>
      <c r="E663" s="108"/>
      <c r="F663" s="139">
        <v>21</v>
      </c>
      <c r="G663" s="139"/>
      <c r="H663" s="124"/>
      <c r="I663" s="112"/>
      <c r="J663" s="112"/>
      <c r="K663" s="112"/>
      <c r="L663" s="116"/>
      <c r="M663" s="124"/>
      <c r="N663" s="116"/>
      <c r="O663" s="112"/>
      <c r="P663" s="112"/>
      <c r="Q663" s="112"/>
      <c r="R663" s="112"/>
      <c r="S663" s="112"/>
      <c r="T663" s="112"/>
      <c r="U663" s="112"/>
      <c r="V663" s="112"/>
      <c r="W663" s="112"/>
      <c r="X663" s="106"/>
      <c r="Y663" s="106"/>
      <c r="Z663" s="106"/>
      <c r="AA663" s="106"/>
      <c r="AB663" s="106"/>
      <c r="AC663" s="106"/>
    </row>
    <row r="664" spans="1:29" customFormat="1">
      <c r="A664" s="115" t="s">
        <v>189</v>
      </c>
      <c r="B664" s="127" t="s">
        <v>191</v>
      </c>
      <c r="C664" s="145" t="s">
        <v>192</v>
      </c>
      <c r="D664" s="108"/>
      <c r="E664" s="108">
        <v>550</v>
      </c>
      <c r="F664" s="139"/>
      <c r="G664" s="139"/>
      <c r="H664" s="127"/>
      <c r="I664" s="112"/>
      <c r="J664" s="112"/>
      <c r="K664" s="112"/>
      <c r="L664" s="116"/>
      <c r="M664" s="127"/>
      <c r="N664" s="116"/>
      <c r="O664" s="112"/>
      <c r="P664" s="112"/>
      <c r="Q664" s="112"/>
      <c r="R664" s="112"/>
      <c r="S664" s="112"/>
      <c r="T664" s="112"/>
      <c r="U664" s="112"/>
      <c r="V664" s="112"/>
      <c r="W664" s="112"/>
      <c r="X664" s="106"/>
      <c r="Y664" s="106"/>
      <c r="Z664" s="106"/>
      <c r="AA664" s="106"/>
      <c r="AB664" s="106"/>
      <c r="AC664" s="106"/>
    </row>
    <row r="665" spans="1:29" customFormat="1" ht="14.25">
      <c r="A665" s="118" t="s">
        <v>2525</v>
      </c>
      <c r="B665" s="150" t="s">
        <v>2524</v>
      </c>
      <c r="C665" s="151" t="s">
        <v>2526</v>
      </c>
      <c r="D665" s="118"/>
      <c r="E665" s="118">
        <v>550</v>
      </c>
      <c r="F665" s="140"/>
      <c r="G665" s="140"/>
      <c r="H665" s="118"/>
      <c r="I665" s="120"/>
      <c r="J665" s="120"/>
      <c r="K665" s="120"/>
      <c r="L665" s="119"/>
      <c r="M665" s="119"/>
      <c r="N665" s="119"/>
      <c r="O665" s="120"/>
      <c r="P665" s="120"/>
      <c r="Q665" s="120"/>
      <c r="R665" s="120"/>
      <c r="S665" s="120"/>
      <c r="T665" s="120"/>
      <c r="U665" s="120"/>
      <c r="V665" s="120"/>
      <c r="W665" s="120"/>
      <c r="X665" s="120"/>
      <c r="Y665" s="120"/>
      <c r="Z665" s="120"/>
      <c r="AA665" s="120"/>
      <c r="AB665" s="120"/>
      <c r="AC665" s="120"/>
    </row>
    <row r="666" spans="1:29" customFormat="1">
      <c r="A666" s="115" t="s">
        <v>1899</v>
      </c>
      <c r="B666" s="115" t="s">
        <v>1900</v>
      </c>
      <c r="C666" s="145" t="s">
        <v>1901</v>
      </c>
      <c r="D666" s="108"/>
      <c r="E666" s="108" t="s">
        <v>2663</v>
      </c>
      <c r="F666" s="139"/>
      <c r="G666" s="139"/>
      <c r="H666" s="115"/>
      <c r="I666" s="115"/>
      <c r="J666" s="115"/>
      <c r="K666" s="115"/>
      <c r="L666" s="115" t="s">
        <v>1289</v>
      </c>
      <c r="M666" s="127"/>
      <c r="N666" s="115" t="s">
        <v>1733</v>
      </c>
      <c r="O666" s="115"/>
      <c r="P666" s="112"/>
      <c r="Q666" s="112"/>
      <c r="R666" s="112"/>
      <c r="S666" s="112"/>
      <c r="T666" s="112"/>
      <c r="U666" s="112"/>
      <c r="V666" s="112"/>
      <c r="W666" s="112"/>
      <c r="X666" s="106"/>
      <c r="Y666" s="106"/>
      <c r="Z666" s="106"/>
      <c r="AA666" s="106"/>
      <c r="AB666" s="106"/>
      <c r="AC666" s="106"/>
    </row>
    <row r="667" spans="1:29" customFormat="1">
      <c r="A667" s="136" t="s">
        <v>3115</v>
      </c>
      <c r="B667" s="127" t="s">
        <v>3114</v>
      </c>
      <c r="C667" s="145" t="s">
        <v>775</v>
      </c>
      <c r="D667" s="108"/>
      <c r="E667" s="108"/>
      <c r="F667" s="139">
        <v>438</v>
      </c>
      <c r="G667" s="139"/>
      <c r="H667" s="127"/>
      <c r="I667" s="112"/>
      <c r="J667" s="112"/>
      <c r="K667" s="112"/>
      <c r="L667" s="109"/>
      <c r="M667" s="116"/>
      <c r="N667" s="109" t="s">
        <v>3116</v>
      </c>
      <c r="O667" s="112"/>
      <c r="P667" s="112"/>
      <c r="Q667" s="112"/>
      <c r="R667" s="112"/>
      <c r="S667" s="112"/>
      <c r="T667" s="112"/>
      <c r="U667" s="112"/>
      <c r="V667" s="112"/>
      <c r="W667" s="112"/>
      <c r="X667" s="106"/>
      <c r="Y667" s="106"/>
      <c r="Z667" s="106"/>
      <c r="AA667" s="106"/>
      <c r="AB667" s="106"/>
      <c r="AC667" s="106"/>
    </row>
    <row r="668" spans="1:29" customFormat="1">
      <c r="A668" s="115" t="s">
        <v>2124</v>
      </c>
      <c r="B668" s="115" t="s">
        <v>2125</v>
      </c>
      <c r="C668" s="145" t="s">
        <v>2126</v>
      </c>
      <c r="D668" s="108"/>
      <c r="E668" s="108"/>
      <c r="F668" s="139">
        <v>160</v>
      </c>
      <c r="G668" s="139"/>
      <c r="H668" s="115"/>
      <c r="I668" s="115"/>
      <c r="J668" s="115"/>
      <c r="K668" s="115"/>
      <c r="L668" s="116"/>
      <c r="M668" s="115"/>
      <c r="N668" s="115" t="s">
        <v>1733</v>
      </c>
      <c r="O668" s="115"/>
      <c r="P668" s="112"/>
      <c r="Q668" s="112"/>
      <c r="R668" s="112"/>
      <c r="S668" s="112"/>
      <c r="T668" s="112"/>
      <c r="U668" s="112"/>
      <c r="V668" s="112"/>
      <c r="W668" s="112"/>
      <c r="X668" s="106"/>
      <c r="Y668" s="106"/>
      <c r="Z668" s="106"/>
      <c r="AA668" s="106"/>
      <c r="AB668" s="106"/>
      <c r="AC668" s="106"/>
    </row>
    <row r="669" spans="1:29" customFormat="1">
      <c r="A669" s="115" t="s">
        <v>271</v>
      </c>
      <c r="B669" s="127" t="s">
        <v>270</v>
      </c>
      <c r="C669" s="145" t="s">
        <v>272</v>
      </c>
      <c r="D669" s="108"/>
      <c r="E669" s="108"/>
      <c r="F669" s="139">
        <v>450</v>
      </c>
      <c r="G669" s="139"/>
      <c r="H669" s="127"/>
      <c r="I669" s="112"/>
      <c r="J669" s="112"/>
      <c r="K669" s="112"/>
      <c r="L669" s="109"/>
      <c r="M669" s="127"/>
      <c r="N669" s="109"/>
      <c r="O669" s="112"/>
      <c r="P669" s="112"/>
      <c r="Q669" s="112"/>
      <c r="R669" s="112"/>
      <c r="S669" s="112"/>
      <c r="T669" s="112"/>
      <c r="U669" s="112"/>
      <c r="V669" s="112"/>
      <c r="W669" s="112"/>
      <c r="X669" s="106"/>
      <c r="Y669" s="106"/>
      <c r="Z669" s="106"/>
      <c r="AA669" s="106"/>
      <c r="AB669" s="106"/>
      <c r="AC669" s="106"/>
    </row>
    <row r="670" spans="1:29" customFormat="1">
      <c r="A670" s="136" t="s">
        <v>2291</v>
      </c>
      <c r="B670" s="127" t="s">
        <v>3113</v>
      </c>
      <c r="C670" s="145" t="s">
        <v>741</v>
      </c>
      <c r="D670" s="108"/>
      <c r="E670" s="108"/>
      <c r="F670" s="139">
        <v>292</v>
      </c>
      <c r="G670" s="139"/>
      <c r="H670" s="127"/>
      <c r="I670" s="112"/>
      <c r="J670" s="112"/>
      <c r="K670" s="112"/>
      <c r="L670" s="109"/>
      <c r="M670" s="116" t="s">
        <v>2537</v>
      </c>
      <c r="N670" s="116" t="s">
        <v>2237</v>
      </c>
      <c r="O670" s="112"/>
      <c r="P670" s="112"/>
      <c r="Q670" s="112"/>
      <c r="R670" s="112"/>
      <c r="S670" s="112"/>
      <c r="T670" s="112"/>
      <c r="U670" s="112"/>
      <c r="V670" s="112"/>
      <c r="W670" s="112"/>
      <c r="X670" s="106"/>
      <c r="Y670" s="106"/>
      <c r="Z670" s="106"/>
      <c r="AA670" s="106"/>
      <c r="AB670" s="106"/>
      <c r="AC670" s="106"/>
    </row>
    <row r="671" spans="1:29" customFormat="1" ht="31.5">
      <c r="A671" s="115" t="s">
        <v>1917</v>
      </c>
      <c r="B671" s="115" t="s">
        <v>1918</v>
      </c>
      <c r="C671" s="145" t="s">
        <v>1919</v>
      </c>
      <c r="D671" s="108"/>
      <c r="E671" s="108" t="s">
        <v>2661</v>
      </c>
      <c r="F671" s="139"/>
      <c r="G671" s="139"/>
      <c r="H671" s="115"/>
      <c r="I671" s="115"/>
      <c r="J671" s="115"/>
      <c r="K671" s="115"/>
      <c r="L671" s="115" t="s">
        <v>1262</v>
      </c>
      <c r="M671" s="124"/>
      <c r="N671" s="115" t="s">
        <v>1852</v>
      </c>
      <c r="O671" s="115"/>
      <c r="P671" s="110"/>
      <c r="Q671" s="110"/>
      <c r="R671" s="110"/>
      <c r="S671" s="110"/>
      <c r="T671" s="110"/>
      <c r="U671" s="110"/>
      <c r="V671" s="110"/>
      <c r="W671" s="110"/>
      <c r="X671" s="106"/>
      <c r="Y671" s="106"/>
      <c r="Z671" s="106"/>
      <c r="AA671" s="106"/>
      <c r="AB671" s="106"/>
      <c r="AC671" s="106"/>
    </row>
    <row r="672" spans="1:29" customFormat="1" ht="14.25">
      <c r="A672" s="118" t="s">
        <v>2504</v>
      </c>
      <c r="B672" s="150" t="s">
        <v>2503</v>
      </c>
      <c r="C672" s="151" t="s">
        <v>2505</v>
      </c>
      <c r="D672" s="118"/>
      <c r="E672" s="118"/>
      <c r="F672" s="140">
        <v>416</v>
      </c>
      <c r="G672" s="140"/>
      <c r="H672" s="118"/>
      <c r="I672" s="120"/>
      <c r="J672" s="120"/>
      <c r="K672" s="120"/>
      <c r="L672" s="119"/>
      <c r="M672" s="119"/>
      <c r="N672" s="119"/>
      <c r="O672" s="120"/>
      <c r="P672" s="120"/>
      <c r="Q672" s="120"/>
      <c r="R672" s="120"/>
      <c r="S672" s="120"/>
      <c r="T672" s="120"/>
      <c r="U672" s="120"/>
      <c r="V672" s="120"/>
      <c r="W672" s="120"/>
      <c r="X672" s="120"/>
      <c r="Y672" s="120"/>
      <c r="Z672" s="120"/>
      <c r="AA672" s="120"/>
      <c r="AB672" s="120"/>
      <c r="AC672" s="120"/>
    </row>
    <row r="673" spans="1:29" customFormat="1" ht="14.25">
      <c r="A673" s="118" t="s">
        <v>1224</v>
      </c>
      <c r="B673" s="150" t="s">
        <v>2511</v>
      </c>
      <c r="C673" s="151" t="s">
        <v>2512</v>
      </c>
      <c r="D673" s="118"/>
      <c r="E673" s="118" t="s">
        <v>2666</v>
      </c>
      <c r="F673" s="140"/>
      <c r="G673" s="140"/>
      <c r="H673" s="118"/>
      <c r="I673" s="120"/>
      <c r="J673" s="120"/>
      <c r="K673" s="120"/>
      <c r="L673" s="119"/>
      <c r="M673" s="119"/>
      <c r="N673" s="119"/>
      <c r="O673" s="120"/>
      <c r="P673" s="120"/>
      <c r="Q673" s="120"/>
      <c r="R673" s="120"/>
      <c r="S673" s="120"/>
      <c r="T673" s="120"/>
      <c r="U673" s="120"/>
      <c r="V673" s="120"/>
      <c r="W673" s="120"/>
      <c r="X673" s="120"/>
      <c r="Y673" s="120"/>
      <c r="Z673" s="120"/>
      <c r="AA673" s="120"/>
      <c r="AB673" s="120"/>
      <c r="AC673" s="120"/>
    </row>
    <row r="674" spans="1:29" customFormat="1">
      <c r="A674" s="124" t="s">
        <v>1595</v>
      </c>
      <c r="B674" s="131" t="s">
        <v>1594</v>
      </c>
      <c r="C674" s="145" t="s">
        <v>1596</v>
      </c>
      <c r="D674" s="108"/>
      <c r="E674" s="108"/>
      <c r="F674" s="139">
        <v>159</v>
      </c>
      <c r="G674" s="139"/>
      <c r="H674" s="131"/>
      <c r="I674" s="124"/>
      <c r="J674" s="124"/>
      <c r="K674" s="124"/>
      <c r="L674" s="109"/>
      <c r="M674" s="115"/>
      <c r="N674" s="109"/>
      <c r="O674" s="124"/>
      <c r="P674" s="112"/>
      <c r="Q674" s="112"/>
      <c r="R674" s="112"/>
      <c r="S674" s="112"/>
      <c r="T674" s="112"/>
      <c r="U674" s="112"/>
      <c r="V674" s="112"/>
      <c r="W674" s="112"/>
      <c r="X674" s="106"/>
      <c r="Y674" s="106"/>
      <c r="Z674" s="106"/>
      <c r="AA674" s="106"/>
      <c r="AB674" s="106"/>
      <c r="AC674" s="106"/>
    </row>
    <row r="675" spans="1:29" customFormat="1">
      <c r="A675" s="124" t="s">
        <v>1221</v>
      </c>
      <c r="B675" s="124" t="s">
        <v>1190</v>
      </c>
      <c r="C675" s="145" t="s">
        <v>1139</v>
      </c>
      <c r="D675" s="108"/>
      <c r="E675" s="108" t="s">
        <v>2680</v>
      </c>
      <c r="F675" s="139"/>
      <c r="G675" s="139"/>
      <c r="H675" s="124"/>
      <c r="I675" s="112"/>
      <c r="J675" s="110"/>
      <c r="K675" s="110"/>
      <c r="L675" s="109"/>
      <c r="M675" s="124"/>
      <c r="N675" s="116"/>
      <c r="O675" s="112"/>
      <c r="P675" s="112"/>
      <c r="Q675" s="112"/>
      <c r="R675" s="112"/>
      <c r="S675" s="112"/>
      <c r="T675" s="112"/>
      <c r="U675" s="112"/>
      <c r="V675" s="112"/>
      <c r="W675" s="112"/>
      <c r="X675" s="106"/>
      <c r="Y675" s="106"/>
      <c r="Z675" s="106"/>
      <c r="AA675" s="106"/>
      <c r="AB675" s="106"/>
      <c r="AC675" s="106"/>
    </row>
    <row r="676" spans="1:29" customFormat="1">
      <c r="A676" s="115" t="s">
        <v>1765</v>
      </c>
      <c r="B676" s="115" t="s">
        <v>1766</v>
      </c>
      <c r="C676" s="145" t="s">
        <v>1767</v>
      </c>
      <c r="D676" s="108"/>
      <c r="E676" s="108"/>
      <c r="F676" s="139">
        <v>387</v>
      </c>
      <c r="G676" s="139"/>
      <c r="H676" s="115"/>
      <c r="I676" s="115"/>
      <c r="J676" s="115"/>
      <c r="K676" s="115"/>
      <c r="L676" s="115" t="s">
        <v>1289</v>
      </c>
      <c r="M676" s="115"/>
      <c r="N676" s="115" t="s">
        <v>1707</v>
      </c>
      <c r="O676" s="115"/>
      <c r="P676" s="112"/>
      <c r="Q676" s="112"/>
      <c r="R676" s="112"/>
      <c r="S676" s="112"/>
      <c r="T676" s="112"/>
      <c r="U676" s="112"/>
      <c r="V676" s="112"/>
      <c r="W676" s="112"/>
      <c r="X676" s="106"/>
      <c r="Y676" s="106"/>
      <c r="Z676" s="106"/>
      <c r="AA676" s="106"/>
      <c r="AB676" s="106"/>
      <c r="AC676" s="106"/>
    </row>
    <row r="677" spans="1:29" customFormat="1">
      <c r="A677" s="115" t="s">
        <v>3097</v>
      </c>
      <c r="B677" s="115" t="s">
        <v>3098</v>
      </c>
      <c r="C677" s="145" t="s">
        <v>712</v>
      </c>
      <c r="D677" s="108"/>
      <c r="E677" s="108"/>
      <c r="F677" s="139">
        <v>6</v>
      </c>
      <c r="G677" s="139"/>
      <c r="H677" s="115"/>
      <c r="I677" s="115"/>
      <c r="J677" s="115"/>
      <c r="K677" s="115"/>
      <c r="L677" s="115" t="s">
        <v>1289</v>
      </c>
      <c r="M677" s="118"/>
      <c r="N677" s="115" t="s">
        <v>1842</v>
      </c>
      <c r="O677" s="115"/>
      <c r="P677" s="112"/>
      <c r="Q677" s="112"/>
      <c r="R677" s="112"/>
      <c r="S677" s="112"/>
      <c r="T677" s="112"/>
      <c r="U677" s="112"/>
      <c r="V677" s="112"/>
      <c r="W677" s="112"/>
      <c r="X677" s="106"/>
      <c r="Y677" s="106"/>
      <c r="Z677" s="106"/>
      <c r="AA677" s="106"/>
      <c r="AB677" s="106"/>
      <c r="AC677" s="106"/>
    </row>
    <row r="678" spans="1:29" customFormat="1">
      <c r="A678" s="136" t="s">
        <v>2291</v>
      </c>
      <c r="B678" s="127" t="s">
        <v>6</v>
      </c>
      <c r="C678" s="145" t="s">
        <v>7</v>
      </c>
      <c r="D678" s="108"/>
      <c r="E678" s="108"/>
      <c r="F678" s="139">
        <v>2</v>
      </c>
      <c r="G678" s="139"/>
      <c r="H678" s="127"/>
      <c r="I678" s="112"/>
      <c r="J678" s="112"/>
      <c r="K678" s="112"/>
      <c r="L678" s="109"/>
      <c r="M678" s="116" t="s">
        <v>2537</v>
      </c>
      <c r="N678" s="116"/>
      <c r="O678" s="112"/>
      <c r="P678" s="112"/>
      <c r="Q678" s="112"/>
      <c r="R678" s="112"/>
      <c r="S678" s="112"/>
      <c r="T678" s="112"/>
      <c r="U678" s="112"/>
      <c r="V678" s="112"/>
      <c r="W678" s="112"/>
      <c r="X678" s="106"/>
      <c r="Y678" s="106"/>
      <c r="Z678" s="106"/>
      <c r="AA678" s="106"/>
      <c r="AB678" s="106"/>
      <c r="AC678" s="106"/>
    </row>
    <row r="679" spans="1:29" customFormat="1">
      <c r="A679" s="115" t="s">
        <v>1962</v>
      </c>
      <c r="B679" s="115" t="s">
        <v>1963</v>
      </c>
      <c r="C679" s="145" t="s">
        <v>1964</v>
      </c>
      <c r="D679" s="108"/>
      <c r="E679" s="108" t="s">
        <v>2663</v>
      </c>
      <c r="F679" s="139"/>
      <c r="G679" s="139"/>
      <c r="H679" s="115"/>
      <c r="I679" s="115"/>
      <c r="J679" s="115"/>
      <c r="K679" s="115"/>
      <c r="L679" s="115" t="s">
        <v>1262</v>
      </c>
      <c r="M679" s="115"/>
      <c r="N679" s="115" t="s">
        <v>1778</v>
      </c>
      <c r="O679" s="115"/>
      <c r="P679" s="112"/>
      <c r="Q679" s="112"/>
      <c r="R679" s="112"/>
      <c r="S679" s="112"/>
      <c r="T679" s="112"/>
      <c r="U679" s="112"/>
      <c r="V679" s="112"/>
      <c r="W679" s="112"/>
      <c r="X679" s="106"/>
      <c r="Y679" s="106"/>
      <c r="Z679" s="106"/>
      <c r="AA679" s="106"/>
      <c r="AB679" s="106"/>
      <c r="AC679" s="106"/>
    </row>
    <row r="680" spans="1:29" customFormat="1" ht="31.5">
      <c r="A680" s="115" t="s">
        <v>1889</v>
      </c>
      <c r="B680" s="115" t="s">
        <v>1890</v>
      </c>
      <c r="C680" s="145" t="s">
        <v>1891</v>
      </c>
      <c r="D680" s="108"/>
      <c r="E680" s="108"/>
      <c r="F680" s="139">
        <v>362</v>
      </c>
      <c r="G680" s="139"/>
      <c r="H680" s="115"/>
      <c r="I680" s="115"/>
      <c r="J680" s="115"/>
      <c r="K680" s="115"/>
      <c r="L680" s="115" t="s">
        <v>1289</v>
      </c>
      <c r="M680" s="115"/>
      <c r="N680" s="115"/>
      <c r="O680" s="115"/>
      <c r="P680" s="112"/>
      <c r="Q680" s="112"/>
      <c r="R680" s="112"/>
      <c r="S680" s="112"/>
      <c r="T680" s="112"/>
      <c r="U680" s="112"/>
      <c r="V680" s="112"/>
      <c r="W680" s="112"/>
      <c r="X680" s="106"/>
      <c r="Y680" s="106"/>
      <c r="Z680" s="106"/>
      <c r="AA680" s="106"/>
      <c r="AB680" s="106"/>
      <c r="AC680" s="106"/>
    </row>
    <row r="681" spans="1:29" customFormat="1">
      <c r="A681" s="136" t="s">
        <v>2298</v>
      </c>
      <c r="B681" s="124" t="s">
        <v>1106</v>
      </c>
      <c r="C681" s="145" t="s">
        <v>950</v>
      </c>
      <c r="D681" s="108"/>
      <c r="E681" s="108" t="s">
        <v>2663</v>
      </c>
      <c r="F681" s="139"/>
      <c r="G681" s="139"/>
      <c r="H681" s="127"/>
      <c r="I681" s="112"/>
      <c r="J681" s="112"/>
      <c r="K681" s="112"/>
      <c r="L681" s="109"/>
      <c r="M681" s="116"/>
      <c r="N681" s="116"/>
      <c r="O681" s="112"/>
      <c r="P681" s="112"/>
      <c r="Q681" s="112"/>
      <c r="R681" s="112"/>
      <c r="S681" s="112"/>
      <c r="T681" s="112"/>
      <c r="U681" s="112"/>
      <c r="V681" s="112"/>
      <c r="W681" s="112"/>
      <c r="X681" s="106"/>
      <c r="Y681" s="106"/>
      <c r="Z681" s="106"/>
      <c r="AA681" s="106"/>
      <c r="AB681" s="106"/>
      <c r="AC681" s="106"/>
    </row>
    <row r="682" spans="1:29" customFormat="1" ht="14.25">
      <c r="A682" s="118" t="s">
        <v>406</v>
      </c>
      <c r="B682" s="150" t="s">
        <v>2452</v>
      </c>
      <c r="C682" s="151" t="s">
        <v>2453</v>
      </c>
      <c r="D682" s="118"/>
      <c r="E682" s="118" t="s">
        <v>2666</v>
      </c>
      <c r="F682" s="140"/>
      <c r="G682" s="140"/>
      <c r="H682" s="118"/>
      <c r="I682" s="120"/>
      <c r="J682" s="120"/>
      <c r="K682" s="120"/>
      <c r="L682" s="119"/>
      <c r="M682" s="119"/>
      <c r="N682" s="119"/>
      <c r="O682" s="120"/>
      <c r="P682" s="120"/>
      <c r="Q682" s="120"/>
      <c r="R682" s="120"/>
      <c r="S682" s="120"/>
      <c r="T682" s="120"/>
      <c r="U682" s="120"/>
      <c r="V682" s="120"/>
      <c r="W682" s="120"/>
      <c r="X682" s="120"/>
      <c r="Y682" s="120"/>
      <c r="Z682" s="120"/>
      <c r="AA682" s="120"/>
      <c r="AB682" s="120"/>
      <c r="AC682" s="120"/>
    </row>
    <row r="683" spans="1:29" customFormat="1" ht="31.5">
      <c r="A683" s="115" t="s">
        <v>2051</v>
      </c>
      <c r="B683" s="115" t="s">
        <v>2052</v>
      </c>
      <c r="C683" s="145" t="s">
        <v>2053</v>
      </c>
      <c r="D683" s="108"/>
      <c r="E683" s="108">
        <v>550</v>
      </c>
      <c r="F683" s="139"/>
      <c r="G683" s="139"/>
      <c r="H683" s="115"/>
      <c r="I683" s="115"/>
      <c r="J683" s="115"/>
      <c r="K683" s="115"/>
      <c r="L683" s="115"/>
      <c r="M683" s="127"/>
      <c r="N683" s="115" t="s">
        <v>1699</v>
      </c>
      <c r="O683" s="115"/>
      <c r="P683" s="112"/>
      <c r="Q683" s="112"/>
      <c r="R683" s="112"/>
      <c r="S683" s="112"/>
      <c r="T683" s="112"/>
      <c r="U683" s="112"/>
      <c r="V683" s="112"/>
      <c r="W683" s="112"/>
      <c r="X683" s="106"/>
      <c r="Y683" s="106"/>
      <c r="Z683" s="106"/>
      <c r="AA683" s="106"/>
      <c r="AB683" s="106"/>
      <c r="AC683" s="106"/>
    </row>
    <row r="684" spans="1:29" customFormat="1">
      <c r="A684" s="136"/>
      <c r="B684" s="127" t="s">
        <v>893</v>
      </c>
      <c r="C684" s="145" t="s">
        <v>894</v>
      </c>
      <c r="D684" s="108"/>
      <c r="E684" s="108">
        <v>550</v>
      </c>
      <c r="F684" s="139"/>
      <c r="G684" s="139"/>
      <c r="H684" s="127"/>
      <c r="I684" s="112"/>
      <c r="J684" s="112"/>
      <c r="K684" s="112"/>
      <c r="L684" s="109"/>
      <c r="M684" s="116"/>
      <c r="N684" s="109"/>
      <c r="O684" s="112"/>
      <c r="P684" s="112"/>
      <c r="Q684" s="112"/>
      <c r="R684" s="112"/>
      <c r="S684" s="112"/>
      <c r="T684" s="112"/>
      <c r="U684" s="112"/>
      <c r="V684" s="112"/>
      <c r="W684" s="112"/>
      <c r="X684" s="106"/>
      <c r="Y684" s="106"/>
      <c r="Z684" s="106"/>
      <c r="AA684" s="106"/>
      <c r="AB684" s="106"/>
      <c r="AC684" s="106"/>
    </row>
    <row r="685" spans="1:29" customFormat="1">
      <c r="A685" s="136" t="s">
        <v>3118</v>
      </c>
      <c r="B685" s="127" t="s">
        <v>3119</v>
      </c>
      <c r="C685" s="145" t="s">
        <v>587</v>
      </c>
      <c r="D685" s="108"/>
      <c r="E685" s="108"/>
      <c r="F685" s="139">
        <v>394</v>
      </c>
      <c r="G685" s="139"/>
      <c r="H685" s="127"/>
      <c r="I685" s="112"/>
      <c r="J685" s="112"/>
      <c r="K685" s="112"/>
      <c r="L685" s="109"/>
      <c r="M685" s="116"/>
      <c r="N685" s="109" t="s">
        <v>2317</v>
      </c>
      <c r="O685" s="112"/>
      <c r="P685" s="112"/>
      <c r="Q685" s="112"/>
      <c r="R685" s="112"/>
      <c r="S685" s="112"/>
      <c r="T685" s="112"/>
      <c r="U685" s="112"/>
      <c r="V685" s="112"/>
      <c r="W685" s="112"/>
      <c r="X685" s="106"/>
      <c r="Y685" s="106"/>
      <c r="Z685" s="106"/>
      <c r="AA685" s="106"/>
      <c r="AB685" s="106"/>
      <c r="AC685" s="106"/>
    </row>
    <row r="686" spans="1:29" customFormat="1">
      <c r="A686" s="115"/>
      <c r="B686" s="115" t="s">
        <v>2174</v>
      </c>
      <c r="C686" s="145" t="s">
        <v>2175</v>
      </c>
      <c r="D686" s="108"/>
      <c r="E686" s="108"/>
      <c r="F686" s="139">
        <v>505</v>
      </c>
      <c r="G686" s="139"/>
      <c r="H686" s="115"/>
      <c r="I686" s="115"/>
      <c r="J686" s="115"/>
      <c r="K686" s="115"/>
      <c r="L686" s="109"/>
      <c r="M686" s="115"/>
      <c r="N686" s="115"/>
      <c r="O686" s="115"/>
      <c r="P686" s="112"/>
      <c r="Q686" s="112"/>
      <c r="R686" s="112"/>
      <c r="S686" s="112"/>
      <c r="T686" s="112"/>
      <c r="U686" s="112"/>
      <c r="V686" s="112"/>
      <c r="W686" s="112"/>
      <c r="X686" s="106"/>
      <c r="Y686" s="106"/>
      <c r="Z686" s="106"/>
      <c r="AA686" s="106"/>
      <c r="AB686" s="106"/>
      <c r="AC686" s="106"/>
    </row>
    <row r="687" spans="1:29" customFormat="1">
      <c r="A687" s="124" t="s">
        <v>1085</v>
      </c>
      <c r="B687" s="124" t="s">
        <v>1084</v>
      </c>
      <c r="C687" s="145" t="s">
        <v>1086</v>
      </c>
      <c r="D687" s="108"/>
      <c r="E687" s="108"/>
      <c r="F687" s="139">
        <v>200</v>
      </c>
      <c r="G687" s="139"/>
      <c r="H687" s="124"/>
      <c r="I687" s="112"/>
      <c r="J687" s="112"/>
      <c r="K687" s="112"/>
      <c r="L687" s="109"/>
      <c r="M687" s="124"/>
      <c r="N687" s="109"/>
      <c r="O687" s="112"/>
      <c r="P687" s="112"/>
      <c r="Q687" s="112"/>
      <c r="R687" s="112"/>
      <c r="S687" s="112"/>
      <c r="T687" s="112"/>
      <c r="U687" s="112"/>
      <c r="V687" s="112"/>
      <c r="W687" s="112"/>
      <c r="X687" s="106"/>
      <c r="Y687" s="106"/>
      <c r="Z687" s="106"/>
      <c r="AA687" s="106"/>
      <c r="AB687" s="106"/>
      <c r="AC687" s="106"/>
    </row>
    <row r="688" spans="1:29" customFormat="1">
      <c r="A688" s="124" t="s">
        <v>484</v>
      </c>
      <c r="B688" s="124" t="s">
        <v>483</v>
      </c>
      <c r="C688" s="145" t="s">
        <v>485</v>
      </c>
      <c r="D688" s="108"/>
      <c r="E688" s="108"/>
      <c r="F688" s="139">
        <v>287</v>
      </c>
      <c r="G688" s="139"/>
      <c r="H688" s="124"/>
      <c r="I688" s="112"/>
      <c r="J688" s="112"/>
      <c r="K688" s="112"/>
      <c r="L688" s="109"/>
      <c r="M688" s="127"/>
      <c r="N688" s="109"/>
      <c r="O688" s="112"/>
      <c r="P688" s="112"/>
      <c r="Q688" s="112"/>
      <c r="R688" s="112"/>
      <c r="S688" s="112"/>
      <c r="T688" s="112"/>
      <c r="U688" s="112"/>
      <c r="V688" s="112"/>
      <c r="W688" s="112"/>
      <c r="X688" s="106"/>
      <c r="Y688" s="106"/>
      <c r="Z688" s="106"/>
      <c r="AA688" s="106"/>
      <c r="AB688" s="106"/>
      <c r="AC688" s="106"/>
    </row>
    <row r="689" spans="1:29" customFormat="1">
      <c r="A689" s="124" t="s">
        <v>696</v>
      </c>
      <c r="B689" s="124" t="s">
        <v>695</v>
      </c>
      <c r="C689" s="145" t="s">
        <v>697</v>
      </c>
      <c r="D689" s="108"/>
      <c r="E689" s="108"/>
      <c r="F689" s="139">
        <v>239</v>
      </c>
      <c r="G689" s="139"/>
      <c r="H689" s="124"/>
      <c r="I689" s="112"/>
      <c r="J689" s="112"/>
      <c r="K689" s="112"/>
      <c r="L689" s="109"/>
      <c r="M689" s="115"/>
      <c r="N689" s="109"/>
      <c r="O689" s="112"/>
      <c r="P689" s="112"/>
      <c r="Q689" s="112"/>
      <c r="R689" s="112"/>
      <c r="S689" s="112"/>
      <c r="T689" s="112"/>
      <c r="U689" s="112"/>
      <c r="V689" s="112"/>
      <c r="W689" s="112"/>
      <c r="X689" s="106"/>
      <c r="Y689" s="106"/>
      <c r="Z689" s="106"/>
      <c r="AA689" s="106"/>
      <c r="AB689" s="106"/>
      <c r="AC689" s="106"/>
    </row>
    <row r="690" spans="1:29" customFormat="1">
      <c r="A690" s="124" t="s">
        <v>349</v>
      </c>
      <c r="B690" s="124" t="s">
        <v>348</v>
      </c>
      <c r="C690" s="145" t="s">
        <v>350</v>
      </c>
      <c r="D690" s="108"/>
      <c r="E690" s="108" t="s">
        <v>2662</v>
      </c>
      <c r="F690" s="139"/>
      <c r="G690" s="139"/>
      <c r="H690" s="124"/>
      <c r="I690" s="112"/>
      <c r="J690" s="112"/>
      <c r="K690" s="112"/>
      <c r="L690" s="109"/>
      <c r="M690" s="124"/>
      <c r="N690" s="109"/>
      <c r="O690" s="112"/>
      <c r="P690" s="112"/>
      <c r="Q690" s="112"/>
      <c r="R690" s="112"/>
      <c r="S690" s="112"/>
      <c r="T690" s="112"/>
      <c r="U690" s="112"/>
      <c r="V690" s="112"/>
      <c r="W690" s="112"/>
      <c r="X690" s="106"/>
      <c r="Y690" s="106"/>
      <c r="Z690" s="106"/>
      <c r="AA690" s="106"/>
      <c r="AB690" s="106"/>
      <c r="AC690" s="106"/>
    </row>
    <row r="691" spans="1:29" customFormat="1">
      <c r="A691" s="124" t="s">
        <v>470</v>
      </c>
      <c r="B691" s="124" t="s">
        <v>472</v>
      </c>
      <c r="C691" s="145" t="s">
        <v>473</v>
      </c>
      <c r="D691" s="108"/>
      <c r="E691" s="108"/>
      <c r="F691" s="139">
        <v>42</v>
      </c>
      <c r="G691" s="139"/>
      <c r="H691" s="124"/>
      <c r="I691" s="110"/>
      <c r="J691" s="110"/>
      <c r="K691" s="110"/>
      <c r="L691" s="116"/>
      <c r="M691" s="124"/>
      <c r="N691" s="116"/>
      <c r="O691" s="110"/>
      <c r="P691" s="110"/>
      <c r="Q691" s="110"/>
      <c r="R691" s="110"/>
      <c r="S691" s="110"/>
      <c r="T691" s="110"/>
      <c r="U691" s="110"/>
      <c r="V691" s="110"/>
      <c r="W691" s="110"/>
      <c r="X691" s="106"/>
      <c r="Y691" s="106"/>
      <c r="Z691" s="106"/>
      <c r="AA691" s="106"/>
      <c r="AB691" s="106"/>
      <c r="AC691" s="106"/>
    </row>
    <row r="692" spans="1:29" customFormat="1">
      <c r="A692" s="115" t="s">
        <v>251</v>
      </c>
      <c r="B692" s="127" t="s">
        <v>250</v>
      </c>
      <c r="C692" s="145" t="s">
        <v>252</v>
      </c>
      <c r="D692" s="108"/>
      <c r="E692" s="108" t="s">
        <v>2666</v>
      </c>
      <c r="F692" s="139"/>
      <c r="G692" s="139"/>
      <c r="H692" s="127"/>
      <c r="I692" s="112"/>
      <c r="J692" s="112"/>
      <c r="K692" s="112"/>
      <c r="L692" s="116"/>
      <c r="M692" s="127"/>
      <c r="N692" s="116"/>
      <c r="O692" s="112"/>
      <c r="P692" s="112"/>
      <c r="Q692" s="112"/>
      <c r="R692" s="112"/>
      <c r="S692" s="112"/>
      <c r="T692" s="112"/>
      <c r="U692" s="112"/>
      <c r="V692" s="112"/>
      <c r="W692" s="112"/>
      <c r="X692" s="106"/>
      <c r="Y692" s="106"/>
      <c r="Z692" s="106"/>
      <c r="AA692" s="106"/>
      <c r="AB692" s="106"/>
      <c r="AC692" s="106"/>
    </row>
    <row r="693" spans="1:29" customFormat="1" ht="17.25">
      <c r="A693" s="115" t="s">
        <v>1570</v>
      </c>
      <c r="B693" s="127" t="s">
        <v>1569</v>
      </c>
      <c r="C693" s="145" t="s">
        <v>1571</v>
      </c>
      <c r="D693" s="108"/>
      <c r="E693" s="108">
        <v>550</v>
      </c>
      <c r="F693" s="139"/>
      <c r="G693" s="139"/>
      <c r="H693" s="127" t="s">
        <v>2400</v>
      </c>
      <c r="I693" s="115" t="s">
        <v>2418</v>
      </c>
      <c r="J693" s="115"/>
      <c r="K693" s="115"/>
      <c r="L693" s="109"/>
      <c r="M693" s="127"/>
      <c r="N693" s="127"/>
      <c r="O693" s="115"/>
      <c r="P693" s="115"/>
      <c r="Q693" s="115"/>
      <c r="R693" s="115"/>
      <c r="S693" s="220" t="s">
        <v>2402</v>
      </c>
      <c r="T693" s="115"/>
      <c r="U693" s="115"/>
      <c r="V693" s="115"/>
      <c r="W693" s="220" t="s">
        <v>2402</v>
      </c>
      <c r="X693" s="106"/>
      <c r="Y693" s="106"/>
      <c r="Z693" s="106" t="s">
        <v>2402</v>
      </c>
      <c r="AA693" s="106"/>
      <c r="AB693" s="106"/>
      <c r="AC693" s="106"/>
    </row>
    <row r="694" spans="1:29" customFormat="1">
      <c r="A694" s="124" t="s">
        <v>17</v>
      </c>
      <c r="B694" s="124" t="s">
        <v>570</v>
      </c>
      <c r="C694" s="145" t="s">
        <v>571</v>
      </c>
      <c r="D694" s="108"/>
      <c r="E694" s="108"/>
      <c r="F694" s="139">
        <v>18</v>
      </c>
      <c r="G694" s="139"/>
      <c r="H694" s="124"/>
      <c r="I694" s="110"/>
      <c r="J694" s="110"/>
      <c r="K694" s="110"/>
      <c r="L694" s="116"/>
      <c r="M694" s="124"/>
      <c r="N694" s="116"/>
      <c r="O694" s="110"/>
      <c r="P694" s="112"/>
      <c r="Q694" s="112"/>
      <c r="R694" s="112"/>
      <c r="S694" s="112"/>
      <c r="T694" s="112"/>
      <c r="U694" s="112"/>
      <c r="V694" s="112"/>
      <c r="W694" s="112"/>
      <c r="X694" s="106"/>
      <c r="Y694" s="106"/>
      <c r="Z694" s="106"/>
      <c r="AA694" s="106"/>
      <c r="AB694" s="106"/>
      <c r="AC694" s="106"/>
    </row>
    <row r="695" spans="1:29" customFormat="1">
      <c r="A695" s="124" t="s">
        <v>90</v>
      </c>
      <c r="B695" s="124" t="s">
        <v>384</v>
      </c>
      <c r="C695" s="145" t="s">
        <v>385</v>
      </c>
      <c r="D695" s="108"/>
      <c r="E695" s="108"/>
      <c r="F695" s="139">
        <v>111</v>
      </c>
      <c r="G695" s="139"/>
      <c r="H695" s="124"/>
      <c r="I695" s="112"/>
      <c r="J695" s="110"/>
      <c r="K695" s="110"/>
      <c r="L695" s="116"/>
      <c r="M695" s="127"/>
      <c r="N695" s="109"/>
      <c r="O695" s="112"/>
      <c r="P695" s="112"/>
      <c r="Q695" s="112"/>
      <c r="R695" s="112"/>
      <c r="S695" s="112"/>
      <c r="T695" s="112"/>
      <c r="U695" s="112"/>
      <c r="V695" s="112"/>
      <c r="W695" s="112"/>
      <c r="X695" s="106"/>
      <c r="Y695" s="106"/>
      <c r="Z695" s="106"/>
      <c r="AA695" s="106"/>
      <c r="AB695" s="106"/>
      <c r="AC695" s="106"/>
    </row>
    <row r="696" spans="1:29" customFormat="1" ht="31.5">
      <c r="A696" s="124" t="s">
        <v>494</v>
      </c>
      <c r="B696" s="124" t="s">
        <v>500</v>
      </c>
      <c r="C696" s="145" t="s">
        <v>501</v>
      </c>
      <c r="D696" s="108"/>
      <c r="E696" s="108" t="s">
        <v>2666</v>
      </c>
      <c r="F696" s="139"/>
      <c r="G696" s="139"/>
      <c r="H696" s="124"/>
      <c r="I696" s="110"/>
      <c r="J696" s="110"/>
      <c r="K696" s="110"/>
      <c r="L696" s="109"/>
      <c r="M696" s="124"/>
      <c r="N696" s="116"/>
      <c r="O696" s="110"/>
      <c r="P696" s="110"/>
      <c r="Q696" s="110"/>
      <c r="R696" s="110"/>
      <c r="S696" s="110"/>
      <c r="T696" s="110"/>
      <c r="U696" s="110"/>
      <c r="V696" s="110"/>
      <c r="W696" s="110"/>
      <c r="X696" s="106"/>
      <c r="Y696" s="106"/>
      <c r="Z696" s="106"/>
      <c r="AA696" s="106"/>
      <c r="AB696" s="106"/>
      <c r="AC696" s="106"/>
    </row>
    <row r="697" spans="1:29" customFormat="1">
      <c r="A697" s="124" t="s">
        <v>1104</v>
      </c>
      <c r="B697" s="124" t="s">
        <v>1103</v>
      </c>
      <c r="C697" s="145" t="s">
        <v>1105</v>
      </c>
      <c r="D697" s="108"/>
      <c r="E697" s="108">
        <v>550</v>
      </c>
      <c r="F697" s="139"/>
      <c r="G697" s="139"/>
      <c r="H697" s="124"/>
      <c r="I697" s="112"/>
      <c r="J697" s="112"/>
      <c r="K697" s="112"/>
      <c r="L697" s="109"/>
      <c r="M697" s="124"/>
      <c r="N697" s="109"/>
      <c r="O697" s="112"/>
      <c r="P697" s="112"/>
      <c r="Q697" s="112"/>
      <c r="R697" s="112"/>
      <c r="S697" s="112"/>
      <c r="T697" s="112"/>
      <c r="U697" s="112"/>
      <c r="V697" s="112"/>
      <c r="W697" s="112"/>
      <c r="X697" s="106"/>
      <c r="Y697" s="106"/>
      <c r="Z697" s="106"/>
      <c r="AA697" s="106"/>
      <c r="AB697" s="106"/>
      <c r="AC697" s="106"/>
    </row>
    <row r="698" spans="1:29" customFormat="1">
      <c r="A698" s="124" t="s">
        <v>1082</v>
      </c>
      <c r="B698" s="124" t="s">
        <v>1081</v>
      </c>
      <c r="C698" s="145" t="s">
        <v>1083</v>
      </c>
      <c r="D698" s="108"/>
      <c r="E698" s="108"/>
      <c r="F698" s="139">
        <v>86</v>
      </c>
      <c r="G698" s="139"/>
      <c r="H698" s="124"/>
      <c r="I698" s="112"/>
      <c r="J698" s="112"/>
      <c r="K698" s="112"/>
      <c r="L698" s="109"/>
      <c r="M698" s="124"/>
      <c r="N698" s="109"/>
      <c r="O698" s="112"/>
      <c r="P698" s="112"/>
      <c r="Q698" s="112"/>
      <c r="R698" s="112"/>
      <c r="S698" s="112"/>
      <c r="T698" s="112"/>
      <c r="U698" s="112"/>
      <c r="V698" s="112"/>
      <c r="W698" s="112"/>
      <c r="X698" s="106"/>
      <c r="Y698" s="106"/>
      <c r="Z698" s="106"/>
      <c r="AA698" s="106"/>
      <c r="AB698" s="106"/>
      <c r="AC698" s="106"/>
    </row>
    <row r="699" spans="1:29" customFormat="1">
      <c r="A699" s="115" t="s">
        <v>123</v>
      </c>
      <c r="B699" s="127" t="s">
        <v>122</v>
      </c>
      <c r="C699" s="167" t="s">
        <v>3110</v>
      </c>
      <c r="D699" s="108"/>
      <c r="E699" s="108"/>
      <c r="F699" s="139">
        <v>183</v>
      </c>
      <c r="G699" s="139"/>
      <c r="H699" s="127"/>
      <c r="I699" s="112"/>
      <c r="J699" s="112"/>
      <c r="K699" s="112"/>
      <c r="L699" s="109"/>
      <c r="M699" s="115"/>
      <c r="N699" s="109"/>
      <c r="O699" s="112"/>
      <c r="P699" s="112"/>
      <c r="Q699" s="112"/>
      <c r="R699" s="112"/>
      <c r="S699" s="112"/>
      <c r="T699" s="112"/>
      <c r="U699" s="112"/>
      <c r="V699" s="112"/>
      <c r="W699" s="112"/>
      <c r="X699" s="106"/>
      <c r="Y699" s="106"/>
      <c r="Z699" s="106"/>
      <c r="AA699" s="106"/>
      <c r="AB699" s="106"/>
      <c r="AC699" s="106"/>
    </row>
    <row r="700" spans="1:29" customFormat="1">
      <c r="A700" s="115" t="s">
        <v>167</v>
      </c>
      <c r="B700" s="127" t="s">
        <v>166</v>
      </c>
      <c r="C700" s="145" t="s">
        <v>168</v>
      </c>
      <c r="D700" s="108"/>
      <c r="E700" s="108"/>
      <c r="F700" s="139">
        <v>252</v>
      </c>
      <c r="G700" s="139"/>
      <c r="H700" s="127"/>
      <c r="I700" s="112"/>
      <c r="J700" s="112"/>
      <c r="K700" s="112"/>
      <c r="L700" s="109"/>
      <c r="M700" s="115"/>
      <c r="N700" s="109"/>
      <c r="O700" s="112"/>
      <c r="P700" s="112"/>
      <c r="Q700" s="112"/>
      <c r="R700" s="112"/>
      <c r="S700" s="112"/>
      <c r="T700" s="112"/>
      <c r="U700" s="112"/>
      <c r="V700" s="112"/>
      <c r="W700" s="112"/>
      <c r="X700" s="106"/>
      <c r="Y700" s="106"/>
      <c r="Z700" s="106"/>
      <c r="AA700" s="106"/>
      <c r="AB700" s="106"/>
      <c r="AC700" s="106"/>
    </row>
    <row r="701" spans="1:29" customFormat="1">
      <c r="A701" s="115" t="s">
        <v>1962</v>
      </c>
      <c r="B701" s="115" t="s">
        <v>1980</v>
      </c>
      <c r="C701" s="145" t="s">
        <v>1982</v>
      </c>
      <c r="D701" s="108"/>
      <c r="E701" s="108"/>
      <c r="F701" s="139">
        <v>5</v>
      </c>
      <c r="G701" s="139"/>
      <c r="H701" s="115"/>
      <c r="I701" s="115"/>
      <c r="J701" s="115"/>
      <c r="K701" s="115"/>
      <c r="L701" s="115" t="s">
        <v>1262</v>
      </c>
      <c r="M701" s="115"/>
      <c r="N701" s="115" t="s">
        <v>1981</v>
      </c>
      <c r="O701" s="115"/>
      <c r="P701" s="112"/>
      <c r="Q701" s="112"/>
      <c r="R701" s="112"/>
      <c r="S701" s="112"/>
      <c r="T701" s="112"/>
      <c r="U701" s="112"/>
      <c r="V701" s="112"/>
      <c r="W701" s="112"/>
      <c r="X701" s="106"/>
      <c r="Y701" s="106"/>
      <c r="Z701" s="106"/>
      <c r="AA701" s="106"/>
      <c r="AB701" s="106"/>
      <c r="AC701" s="106"/>
    </row>
    <row r="702" spans="1:29" customFormat="1">
      <c r="A702" s="124" t="s">
        <v>29</v>
      </c>
      <c r="B702" s="124" t="s">
        <v>554</v>
      </c>
      <c r="C702" s="145" t="s">
        <v>555</v>
      </c>
      <c r="D702" s="108"/>
      <c r="E702" s="108"/>
      <c r="F702" s="139">
        <v>152</v>
      </c>
      <c r="G702" s="139"/>
      <c r="H702" s="124"/>
      <c r="I702" s="112"/>
      <c r="J702" s="112"/>
      <c r="K702" s="112"/>
      <c r="L702" s="109"/>
      <c r="M702" s="124"/>
      <c r="N702" s="109"/>
      <c r="O702" s="112"/>
      <c r="P702" s="112"/>
      <c r="Q702" s="112"/>
      <c r="R702" s="112"/>
      <c r="S702" s="112"/>
      <c r="T702" s="112"/>
      <c r="U702" s="112"/>
      <c r="V702" s="112"/>
      <c r="W702" s="112"/>
      <c r="X702" s="106"/>
      <c r="Y702" s="106"/>
      <c r="Z702" s="106"/>
      <c r="AA702" s="106"/>
      <c r="AB702" s="106"/>
      <c r="AC702" s="106"/>
    </row>
    <row r="703" spans="1:29" customFormat="1">
      <c r="A703" s="124" t="s">
        <v>194</v>
      </c>
      <c r="B703" s="124" t="s">
        <v>779</v>
      </c>
      <c r="C703" s="145" t="s">
        <v>780</v>
      </c>
      <c r="D703" s="108"/>
      <c r="E703" s="108" t="s">
        <v>2666</v>
      </c>
      <c r="F703" s="139"/>
      <c r="G703" s="139"/>
      <c r="H703" s="124"/>
      <c r="I703" s="110"/>
      <c r="J703" s="110"/>
      <c r="K703" s="110"/>
      <c r="L703" s="116"/>
      <c r="M703" s="124"/>
      <c r="N703" s="109" t="s">
        <v>3122</v>
      </c>
      <c r="O703" s="110"/>
      <c r="P703" s="112"/>
      <c r="Q703" s="112"/>
      <c r="R703" s="112"/>
      <c r="S703" s="112"/>
      <c r="T703" s="112"/>
      <c r="U703" s="112"/>
      <c r="V703" s="112"/>
      <c r="W703" s="112"/>
      <c r="X703" s="106"/>
      <c r="Y703" s="106"/>
      <c r="Z703" s="106"/>
      <c r="AA703" s="106"/>
      <c r="AB703" s="106"/>
      <c r="AC703" s="106"/>
    </row>
    <row r="704" spans="1:29" customFormat="1">
      <c r="A704" s="115" t="s">
        <v>1467</v>
      </c>
      <c r="B704" s="115" t="s">
        <v>2012</v>
      </c>
      <c r="C704" s="145" t="s">
        <v>2013</v>
      </c>
      <c r="D704" s="108"/>
      <c r="E704" s="108">
        <v>365</v>
      </c>
      <c r="F704" s="139"/>
      <c r="G704" s="139"/>
      <c r="H704" s="115"/>
      <c r="I704" s="115"/>
      <c r="J704" s="115"/>
      <c r="K704" s="115"/>
      <c r="L704" s="115" t="s">
        <v>1262</v>
      </c>
      <c r="M704" s="127"/>
      <c r="N704" s="115" t="s">
        <v>1808</v>
      </c>
      <c r="O704" s="115"/>
      <c r="P704" s="112"/>
      <c r="Q704" s="112"/>
      <c r="R704" s="112"/>
      <c r="S704" s="112"/>
      <c r="T704" s="112"/>
      <c r="U704" s="112"/>
      <c r="V704" s="112"/>
      <c r="W704" s="112"/>
      <c r="X704" s="106"/>
      <c r="Y704" s="106"/>
      <c r="Z704" s="106"/>
      <c r="AA704" s="106"/>
      <c r="AB704" s="106"/>
      <c r="AC704" s="106"/>
    </row>
    <row r="705" spans="1:29" customFormat="1">
      <c r="A705" s="124" t="s">
        <v>67</v>
      </c>
      <c r="B705" s="124" t="s">
        <v>336</v>
      </c>
      <c r="C705" s="145" t="s">
        <v>337</v>
      </c>
      <c r="D705" s="108"/>
      <c r="E705" s="108" t="s">
        <v>2666</v>
      </c>
      <c r="F705" s="139"/>
      <c r="G705" s="139"/>
      <c r="H705" s="124"/>
      <c r="I705" s="112"/>
      <c r="J705" s="112"/>
      <c r="K705" s="112"/>
      <c r="L705" s="109"/>
      <c r="M705" s="124"/>
      <c r="N705" s="109"/>
      <c r="O705" s="112"/>
      <c r="P705" s="112"/>
      <c r="Q705" s="112"/>
      <c r="R705" s="112"/>
      <c r="S705" s="112"/>
      <c r="T705" s="112"/>
      <c r="U705" s="112"/>
      <c r="V705" s="112"/>
      <c r="W705" s="112"/>
      <c r="X705" s="106"/>
      <c r="Y705" s="106"/>
      <c r="Z705" s="106"/>
      <c r="AA705" s="106"/>
      <c r="AB705" s="106"/>
      <c r="AC705" s="106"/>
    </row>
    <row r="706" spans="1:29" customFormat="1">
      <c r="A706" s="115" t="s">
        <v>184</v>
      </c>
      <c r="B706" s="127" t="s">
        <v>183</v>
      </c>
      <c r="C706" s="145" t="s">
        <v>185</v>
      </c>
      <c r="D706" s="108"/>
      <c r="E706" s="108" t="s">
        <v>2666</v>
      </c>
      <c r="F706" s="139"/>
      <c r="G706" s="139"/>
      <c r="H706" s="127"/>
      <c r="I706" s="112"/>
      <c r="J706" s="112"/>
      <c r="K706" s="112"/>
      <c r="L706" s="109"/>
      <c r="M706" s="127"/>
      <c r="N706" s="109"/>
      <c r="O706" s="112"/>
      <c r="P706" s="112"/>
      <c r="Q706" s="112"/>
      <c r="R706" s="112"/>
      <c r="S706" s="112"/>
      <c r="T706" s="112"/>
      <c r="U706" s="112"/>
      <c r="V706" s="112"/>
      <c r="W706" s="112"/>
      <c r="X706" s="106"/>
      <c r="Y706" s="106"/>
      <c r="Z706" s="106"/>
      <c r="AA706" s="106"/>
      <c r="AB706" s="106"/>
      <c r="AC706" s="106"/>
    </row>
    <row r="707" spans="1:29" customFormat="1">
      <c r="A707" s="115" t="s">
        <v>2163</v>
      </c>
      <c r="B707" s="115" t="s">
        <v>2164</v>
      </c>
      <c r="C707" s="145" t="s">
        <v>2165</v>
      </c>
      <c r="D707" s="108"/>
      <c r="E707" s="108" t="s">
        <v>3111</v>
      </c>
      <c r="F707" s="139"/>
      <c r="G707" s="139"/>
      <c r="H707" s="115"/>
      <c r="I707" s="115"/>
      <c r="J707" s="115"/>
      <c r="K707" s="115"/>
      <c r="L707" s="109"/>
      <c r="M707" s="115"/>
      <c r="N707" s="115" t="s">
        <v>1707</v>
      </c>
      <c r="O707" s="115"/>
      <c r="P707" s="112"/>
      <c r="Q707" s="112"/>
      <c r="R707" s="112"/>
      <c r="S707" s="112"/>
      <c r="T707" s="112"/>
      <c r="U707" s="112"/>
      <c r="V707" s="112"/>
      <c r="W707" s="112"/>
      <c r="X707" s="106"/>
      <c r="Y707" s="106"/>
      <c r="Z707" s="106"/>
      <c r="AA707" s="106"/>
      <c r="AB707" s="106"/>
      <c r="AC707" s="106"/>
    </row>
    <row r="708" spans="1:29" customFormat="1" ht="31.5">
      <c r="A708" s="115" t="s">
        <v>1750</v>
      </c>
      <c r="B708" s="115" t="s">
        <v>1751</v>
      </c>
      <c r="C708" s="145" t="s">
        <v>1752</v>
      </c>
      <c r="D708" s="108"/>
      <c r="E708" s="108" t="s">
        <v>2661</v>
      </c>
      <c r="F708" s="139"/>
      <c r="G708" s="139"/>
      <c r="H708" s="115"/>
      <c r="I708" s="115"/>
      <c r="J708" s="115"/>
      <c r="K708" s="115"/>
      <c r="L708" s="115" t="s">
        <v>1289</v>
      </c>
      <c r="M708" s="115"/>
      <c r="N708" s="115" t="s">
        <v>1741</v>
      </c>
      <c r="O708" s="115"/>
      <c r="P708" s="112"/>
      <c r="Q708" s="112"/>
      <c r="R708" s="112"/>
      <c r="S708" s="112"/>
      <c r="T708" s="112"/>
      <c r="U708" s="112"/>
      <c r="V708" s="112"/>
      <c r="W708" s="112"/>
      <c r="X708" s="106"/>
      <c r="Y708" s="106"/>
      <c r="Z708" s="106"/>
      <c r="AA708" s="106"/>
      <c r="AB708" s="106"/>
      <c r="AC708" s="106"/>
    </row>
    <row r="709" spans="1:29" customFormat="1" ht="31.5">
      <c r="A709" s="115" t="s">
        <v>2021</v>
      </c>
      <c r="B709" s="115" t="s">
        <v>2027</v>
      </c>
      <c r="C709" s="145" t="s">
        <v>2029</v>
      </c>
      <c r="D709" s="108"/>
      <c r="E709" s="108"/>
      <c r="F709" s="139">
        <v>283</v>
      </c>
      <c r="G709" s="139"/>
      <c r="H709" s="115"/>
      <c r="I709" s="115"/>
      <c r="J709" s="115"/>
      <c r="K709" s="115"/>
      <c r="L709" s="115" t="s">
        <v>2020</v>
      </c>
      <c r="M709" s="115"/>
      <c r="N709" s="115" t="s">
        <v>2028</v>
      </c>
      <c r="O709" s="115"/>
      <c r="P709" s="112"/>
      <c r="Q709" s="112"/>
      <c r="R709" s="112"/>
      <c r="S709" s="112"/>
      <c r="T709" s="112"/>
      <c r="U709" s="112"/>
      <c r="V709" s="112"/>
      <c r="W709" s="112"/>
      <c r="X709" s="106"/>
      <c r="Y709" s="106"/>
      <c r="Z709" s="106"/>
      <c r="AA709" s="106"/>
      <c r="AB709" s="106"/>
      <c r="AC709" s="106"/>
    </row>
    <row r="710" spans="1:29" customFormat="1" ht="31.5">
      <c r="A710" s="115" t="s">
        <v>1806</v>
      </c>
      <c r="B710" s="115" t="s">
        <v>1807</v>
      </c>
      <c r="C710" s="145" t="s">
        <v>1809</v>
      </c>
      <c r="D710" s="108"/>
      <c r="E710" s="108"/>
      <c r="F710" s="139">
        <v>364</v>
      </c>
      <c r="G710" s="139"/>
      <c r="H710" s="115"/>
      <c r="I710" s="115"/>
      <c r="J710" s="115"/>
      <c r="K710" s="115"/>
      <c r="L710" s="115" t="s">
        <v>1289</v>
      </c>
      <c r="M710" s="115"/>
      <c r="N710" s="115" t="s">
        <v>1808</v>
      </c>
      <c r="O710" s="115"/>
      <c r="P710" s="112"/>
      <c r="Q710" s="112"/>
      <c r="R710" s="112"/>
      <c r="S710" s="112"/>
      <c r="T710" s="112"/>
      <c r="U710" s="112"/>
      <c r="V710" s="112"/>
      <c r="W710" s="112"/>
      <c r="X710" s="106"/>
      <c r="Y710" s="106"/>
      <c r="Z710" s="106"/>
      <c r="AA710" s="106"/>
      <c r="AB710" s="106"/>
      <c r="AC710" s="106"/>
    </row>
    <row r="711" spans="1:29" customFormat="1">
      <c r="A711" s="115" t="s">
        <v>1409</v>
      </c>
      <c r="B711" s="115" t="s">
        <v>2007</v>
      </c>
      <c r="C711" s="145" t="s">
        <v>2008</v>
      </c>
      <c r="D711" s="108"/>
      <c r="E711" s="108"/>
      <c r="F711" s="139">
        <v>156</v>
      </c>
      <c r="G711" s="139"/>
      <c r="H711" s="115"/>
      <c r="I711" s="115"/>
      <c r="J711" s="115"/>
      <c r="K711" s="115"/>
      <c r="L711" s="115" t="s">
        <v>1262</v>
      </c>
      <c r="M711" s="115"/>
      <c r="N711" s="115" t="s">
        <v>1786</v>
      </c>
      <c r="O711" s="115"/>
      <c r="P711" s="110"/>
      <c r="Q711" s="110"/>
      <c r="R711" s="110"/>
      <c r="S711" s="110"/>
      <c r="T711" s="110"/>
      <c r="U711" s="110"/>
      <c r="V711" s="110"/>
      <c r="W711" s="110"/>
      <c r="X711" s="106"/>
      <c r="Y711" s="106"/>
      <c r="Z711" s="106"/>
      <c r="AA711" s="106"/>
      <c r="AB711" s="106"/>
      <c r="AC711" s="106"/>
    </row>
    <row r="712" spans="1:29" customFormat="1">
      <c r="A712" s="124" t="s">
        <v>67</v>
      </c>
      <c r="B712" s="124" t="s">
        <v>338</v>
      </c>
      <c r="C712" s="145" t="s">
        <v>339</v>
      </c>
      <c r="D712" s="108"/>
      <c r="E712" s="108"/>
      <c r="F712" s="139">
        <v>82</v>
      </c>
      <c r="G712" s="139"/>
      <c r="H712" s="124"/>
      <c r="I712" s="112"/>
      <c r="J712" s="112"/>
      <c r="K712" s="112"/>
      <c r="L712" s="109"/>
      <c r="M712" s="116"/>
      <c r="N712" s="109"/>
      <c r="O712" s="112"/>
      <c r="P712" s="112"/>
      <c r="Q712" s="112"/>
      <c r="R712" s="112"/>
      <c r="S712" s="112"/>
      <c r="T712" s="112"/>
      <c r="U712" s="112"/>
      <c r="V712" s="112"/>
      <c r="W712" s="112"/>
      <c r="X712" s="106"/>
      <c r="Y712" s="106"/>
      <c r="Z712" s="106"/>
      <c r="AA712" s="106"/>
      <c r="AB712" s="106"/>
      <c r="AC712" s="106"/>
    </row>
    <row r="713" spans="1:29" customFormat="1">
      <c r="A713" s="124" t="s">
        <v>1071</v>
      </c>
      <c r="B713" s="124" t="s">
        <v>1070</v>
      </c>
      <c r="C713" s="145" t="s">
        <v>1072</v>
      </c>
      <c r="D713" s="108"/>
      <c r="E713" s="108"/>
      <c r="F713" s="139">
        <v>264</v>
      </c>
      <c r="G713" s="139"/>
      <c r="H713" s="124"/>
      <c r="I713" s="112"/>
      <c r="J713" s="112"/>
      <c r="K713" s="112"/>
      <c r="L713" s="109"/>
      <c r="M713" s="115"/>
      <c r="N713" s="109"/>
      <c r="O713" s="112"/>
      <c r="P713" s="112"/>
      <c r="Q713" s="112"/>
      <c r="R713" s="112"/>
      <c r="S713" s="112"/>
      <c r="T713" s="112"/>
      <c r="U713" s="112"/>
      <c r="V713" s="112"/>
      <c r="W713" s="112"/>
      <c r="X713" s="106"/>
      <c r="Y713" s="106"/>
      <c r="Z713" s="106"/>
      <c r="AA713" s="106"/>
      <c r="AB713" s="106"/>
      <c r="AC713" s="106"/>
    </row>
    <row r="714" spans="1:29" customFormat="1">
      <c r="A714" s="115" t="s">
        <v>797</v>
      </c>
      <c r="B714" s="115" t="s">
        <v>796</v>
      </c>
      <c r="C714" s="145" t="s">
        <v>1713</v>
      </c>
      <c r="D714" s="108"/>
      <c r="E714" s="108"/>
      <c r="F714" s="139">
        <v>472</v>
      </c>
      <c r="G714" s="139"/>
      <c r="H714" s="115"/>
      <c r="I714" s="133"/>
      <c r="J714" s="133"/>
      <c r="K714" s="133"/>
      <c r="L714" s="127" t="s">
        <v>1314</v>
      </c>
      <c r="M714" s="127"/>
      <c r="N714" s="115" t="s">
        <v>1712</v>
      </c>
      <c r="O714" s="133"/>
      <c r="P714" s="112"/>
      <c r="Q714" s="112"/>
      <c r="R714" s="112"/>
      <c r="S714" s="112"/>
      <c r="T714" s="112"/>
      <c r="U714" s="112"/>
      <c r="V714" s="112"/>
      <c r="W714" s="112"/>
      <c r="X714" s="106"/>
      <c r="Y714" s="106"/>
      <c r="Z714" s="106"/>
      <c r="AA714" s="106"/>
      <c r="AB714" s="106"/>
      <c r="AC714" s="106"/>
    </row>
    <row r="715" spans="1:29" customFormat="1" ht="31.5">
      <c r="A715" s="124" t="s">
        <v>602</v>
      </c>
      <c r="B715" s="124" t="s">
        <v>601</v>
      </c>
      <c r="C715" s="145" t="s">
        <v>603</v>
      </c>
      <c r="D715" s="108"/>
      <c r="E715" s="108" t="s">
        <v>2666</v>
      </c>
      <c r="F715" s="139"/>
      <c r="G715" s="139"/>
      <c r="H715" s="124"/>
      <c r="I715" s="112"/>
      <c r="J715" s="112"/>
      <c r="K715" s="112"/>
      <c r="L715" s="109"/>
      <c r="M715" s="115"/>
      <c r="N715" s="109"/>
      <c r="O715" s="112"/>
      <c r="P715" s="112"/>
      <c r="Q715" s="112"/>
      <c r="R715" s="112"/>
      <c r="S715" s="112"/>
      <c r="T715" s="112"/>
      <c r="U715" s="112"/>
      <c r="V715" s="112"/>
      <c r="W715" s="112"/>
      <c r="X715" s="106"/>
      <c r="Y715" s="106"/>
      <c r="Z715" s="106"/>
      <c r="AA715" s="106"/>
      <c r="AB715" s="106"/>
      <c r="AC715" s="106"/>
    </row>
    <row r="716" spans="1:29" customFormat="1">
      <c r="A716" s="124" t="s">
        <v>3146</v>
      </c>
      <c r="B716" s="131" t="s">
        <v>1644</v>
      </c>
      <c r="C716" s="145" t="s">
        <v>1646</v>
      </c>
      <c r="D716" s="108"/>
      <c r="E716" s="108"/>
      <c r="F716" s="139">
        <v>434</v>
      </c>
      <c r="G716" s="139"/>
      <c r="H716" s="131"/>
      <c r="I716" s="124"/>
      <c r="J716" s="124">
        <v>13901129179</v>
      </c>
      <c r="K716" s="124"/>
      <c r="L716" s="109" t="s">
        <v>2424</v>
      </c>
      <c r="M716" s="131"/>
      <c r="N716" s="109" t="s">
        <v>2306</v>
      </c>
      <c r="O716" s="124"/>
      <c r="P716" s="112"/>
      <c r="Q716" s="112"/>
      <c r="R716" s="112"/>
      <c r="S716" s="112"/>
      <c r="T716" s="112"/>
      <c r="U716" s="112"/>
      <c r="V716" s="112"/>
      <c r="W716" s="112"/>
      <c r="X716" s="106"/>
      <c r="Y716" s="106"/>
      <c r="Z716" s="106"/>
      <c r="AA716" s="106"/>
      <c r="AB716" s="106"/>
      <c r="AC716" s="106"/>
    </row>
    <row r="717" spans="1:29" customFormat="1">
      <c r="A717" s="124" t="s">
        <v>231</v>
      </c>
      <c r="B717" s="124" t="s">
        <v>410</v>
      </c>
      <c r="C717" s="145" t="s">
        <v>411</v>
      </c>
      <c r="D717" s="108"/>
      <c r="E717" s="108"/>
      <c r="F717" s="139">
        <v>401</v>
      </c>
      <c r="G717" s="139"/>
      <c r="H717" s="124"/>
      <c r="I717" s="112"/>
      <c r="J717" s="112"/>
      <c r="K717" s="112"/>
      <c r="L717" s="109"/>
      <c r="M717" s="124"/>
      <c r="N717" s="109"/>
      <c r="O717" s="112"/>
      <c r="P717" s="112"/>
      <c r="Q717" s="112"/>
      <c r="R717" s="112"/>
      <c r="S717" s="112"/>
      <c r="T717" s="112"/>
      <c r="U717" s="112"/>
      <c r="V717" s="112"/>
      <c r="W717" s="112"/>
      <c r="X717" s="106"/>
      <c r="Y717" s="106"/>
      <c r="Z717" s="106"/>
      <c r="AA717" s="106"/>
      <c r="AB717" s="106"/>
      <c r="AC717" s="106"/>
    </row>
    <row r="718" spans="1:29" customFormat="1">
      <c r="A718" s="115" t="s">
        <v>213</v>
      </c>
      <c r="B718" s="115" t="s">
        <v>1820</v>
      </c>
      <c r="C718" s="145" t="s">
        <v>1821</v>
      </c>
      <c r="D718" s="108"/>
      <c r="E718" s="108" t="s">
        <v>2661</v>
      </c>
      <c r="F718" s="139"/>
      <c r="G718" s="139"/>
      <c r="H718" s="115"/>
      <c r="I718" s="115"/>
      <c r="J718" s="115"/>
      <c r="K718" s="115"/>
      <c r="L718" s="115" t="s">
        <v>1289</v>
      </c>
      <c r="M718" s="115"/>
      <c r="N718" s="115" t="s">
        <v>1699</v>
      </c>
      <c r="O718" s="115"/>
      <c r="P718" s="112"/>
      <c r="Q718" s="112"/>
      <c r="R718" s="112"/>
      <c r="S718" s="112"/>
      <c r="T718" s="112"/>
      <c r="U718" s="112"/>
      <c r="V718" s="112"/>
      <c r="W718" s="112"/>
      <c r="X718" s="106"/>
      <c r="Y718" s="106"/>
      <c r="Z718" s="106"/>
      <c r="AA718" s="106"/>
      <c r="AB718" s="106"/>
      <c r="AC718" s="106"/>
    </row>
    <row r="719" spans="1:29" customFormat="1">
      <c r="A719" s="124" t="s">
        <v>1220</v>
      </c>
      <c r="B719" s="124" t="s">
        <v>1186</v>
      </c>
      <c r="C719" s="145" t="s">
        <v>1134</v>
      </c>
      <c r="D719" s="108"/>
      <c r="E719" s="108" t="s">
        <v>2666</v>
      </c>
      <c r="F719" s="139"/>
      <c r="G719" s="139"/>
      <c r="H719" s="124"/>
      <c r="I719" s="112"/>
      <c r="J719" s="112"/>
      <c r="K719" s="112"/>
      <c r="L719" s="109"/>
      <c r="M719" s="124"/>
      <c r="N719" s="109"/>
      <c r="O719" s="112"/>
      <c r="P719" s="112"/>
      <c r="Q719" s="112"/>
      <c r="R719" s="112"/>
      <c r="S719" s="112"/>
      <c r="T719" s="112"/>
      <c r="U719" s="112"/>
      <c r="V719" s="112"/>
      <c r="W719" s="112"/>
      <c r="X719" s="106"/>
      <c r="Y719" s="106"/>
      <c r="Z719" s="106"/>
      <c r="AA719" s="106"/>
      <c r="AB719" s="106"/>
      <c r="AC719" s="106"/>
    </row>
    <row r="720" spans="1:29" customFormat="1" ht="31.5">
      <c r="A720" s="115" t="s">
        <v>123</v>
      </c>
      <c r="B720" s="127" t="s">
        <v>125</v>
      </c>
      <c r="C720" s="145" t="s">
        <v>126</v>
      </c>
      <c r="D720" s="108"/>
      <c r="E720" s="108" t="s">
        <v>2661</v>
      </c>
      <c r="F720" s="139"/>
      <c r="G720" s="139"/>
      <c r="H720" s="127"/>
      <c r="I720" s="112"/>
      <c r="J720" s="112"/>
      <c r="K720" s="112"/>
      <c r="L720" s="109"/>
      <c r="M720" s="127"/>
      <c r="N720" s="109"/>
      <c r="O720" s="112"/>
      <c r="P720" s="112"/>
      <c r="Q720" s="112"/>
      <c r="R720" s="112"/>
      <c r="S720" s="112"/>
      <c r="T720" s="112"/>
      <c r="U720" s="112"/>
      <c r="V720" s="112"/>
      <c r="W720" s="112"/>
      <c r="X720" s="106"/>
      <c r="Y720" s="106"/>
      <c r="Z720" s="106"/>
      <c r="AA720" s="106"/>
      <c r="AB720" s="106"/>
      <c r="AC720" s="106"/>
    </row>
    <row r="721" spans="1:29" customFormat="1" ht="31.5">
      <c r="A721" s="124" t="s">
        <v>1242</v>
      </c>
      <c r="B721" s="124"/>
      <c r="C721" s="145" t="s">
        <v>1028</v>
      </c>
      <c r="D721" s="108"/>
      <c r="E721" s="108"/>
      <c r="F721" s="139">
        <v>439</v>
      </c>
      <c r="G721" s="139"/>
      <c r="H721" s="124"/>
      <c r="I721" s="112"/>
      <c r="J721" s="112"/>
      <c r="K721" s="112"/>
      <c r="L721" s="109"/>
      <c r="M721" s="124"/>
      <c r="N721" s="109" t="s">
        <v>2317</v>
      </c>
      <c r="O721" s="112"/>
      <c r="P721" s="112"/>
      <c r="Q721" s="112"/>
      <c r="R721" s="112"/>
      <c r="S721" s="112"/>
      <c r="T721" s="112"/>
      <c r="U721" s="112"/>
      <c r="V721" s="112"/>
      <c r="W721" s="112"/>
      <c r="X721" s="106"/>
      <c r="Y721" s="106"/>
      <c r="Z721" s="106"/>
      <c r="AA721" s="106"/>
      <c r="AB721" s="106"/>
      <c r="AC721" s="106"/>
    </row>
    <row r="722" spans="1:29" customFormat="1" ht="31.5">
      <c r="A722" s="115" t="s">
        <v>1889</v>
      </c>
      <c r="B722" s="115" t="s">
        <v>1897</v>
      </c>
      <c r="C722" s="145" t="s">
        <v>1898</v>
      </c>
      <c r="D722" s="108"/>
      <c r="E722" s="108"/>
      <c r="F722" s="139">
        <v>363</v>
      </c>
      <c r="G722" s="139"/>
      <c r="H722" s="115"/>
      <c r="I722" s="115"/>
      <c r="J722" s="115"/>
      <c r="K722" s="115"/>
      <c r="L722" s="115" t="s">
        <v>1289</v>
      </c>
      <c r="M722" s="115"/>
      <c r="N722" s="115" t="s">
        <v>1699</v>
      </c>
      <c r="O722" s="115"/>
      <c r="P722" s="112"/>
      <c r="Q722" s="112"/>
      <c r="R722" s="112"/>
      <c r="S722" s="112"/>
      <c r="T722" s="112"/>
      <c r="U722" s="112"/>
      <c r="V722" s="112"/>
      <c r="W722" s="112"/>
      <c r="X722" s="106"/>
      <c r="Y722" s="106"/>
      <c r="Z722" s="106"/>
      <c r="AA722" s="106"/>
      <c r="AB722" s="106"/>
      <c r="AC722" s="106"/>
    </row>
    <row r="723" spans="1:29" customFormat="1" ht="31.5">
      <c r="A723" s="115" t="s">
        <v>2075</v>
      </c>
      <c r="B723" s="115" t="s">
        <v>2076</v>
      </c>
      <c r="C723" s="145" t="s">
        <v>2077</v>
      </c>
      <c r="D723" s="108"/>
      <c r="E723" s="108">
        <v>550</v>
      </c>
      <c r="F723" s="139"/>
      <c r="G723" s="139"/>
      <c r="H723" s="115"/>
      <c r="I723" s="115"/>
      <c r="J723" s="115"/>
      <c r="K723" s="115"/>
      <c r="L723" s="115" t="s">
        <v>1262</v>
      </c>
      <c r="M723" s="115"/>
      <c r="N723" s="115" t="s">
        <v>1748</v>
      </c>
      <c r="O723" s="115"/>
      <c r="P723" s="112"/>
      <c r="Q723" s="112"/>
      <c r="R723" s="112"/>
      <c r="S723" s="112"/>
      <c r="T723" s="112"/>
      <c r="U723" s="112"/>
      <c r="V723" s="112"/>
      <c r="W723" s="112"/>
      <c r="X723" s="106"/>
      <c r="Y723" s="106"/>
      <c r="Z723" s="106"/>
      <c r="AA723" s="106"/>
      <c r="AB723" s="106"/>
      <c r="AC723" s="106"/>
    </row>
    <row r="724" spans="1:29" customFormat="1" ht="31.5">
      <c r="A724" s="115" t="s">
        <v>1922</v>
      </c>
      <c r="B724" s="115" t="s">
        <v>1923</v>
      </c>
      <c r="C724" s="145" t="s">
        <v>1924</v>
      </c>
      <c r="D724" s="108"/>
      <c r="E724" s="108" t="s">
        <v>2663</v>
      </c>
      <c r="F724" s="139"/>
      <c r="G724" s="139"/>
      <c r="H724" s="115"/>
      <c r="I724" s="115"/>
      <c r="J724" s="115"/>
      <c r="K724" s="115"/>
      <c r="L724" s="115"/>
      <c r="M724" s="116"/>
      <c r="N724" s="115" t="s">
        <v>1461</v>
      </c>
      <c r="O724" s="115"/>
      <c r="P724" s="112"/>
      <c r="Q724" s="112"/>
      <c r="R724" s="112"/>
      <c r="S724" s="112"/>
      <c r="T724" s="112"/>
      <c r="U724" s="112"/>
      <c r="V724" s="112"/>
      <c r="W724" s="112"/>
      <c r="X724" s="106"/>
      <c r="Y724" s="106"/>
      <c r="Z724" s="106"/>
      <c r="AA724" s="106"/>
      <c r="AB724" s="106"/>
      <c r="AC724" s="106"/>
    </row>
    <row r="725" spans="1:29" customFormat="1" ht="14.25">
      <c r="A725" s="118" t="s">
        <v>2517</v>
      </c>
      <c r="B725" s="150" t="s">
        <v>2516</v>
      </c>
      <c r="C725" s="151" t="s">
        <v>2518</v>
      </c>
      <c r="D725" s="118"/>
      <c r="E725" s="118"/>
      <c r="F725" s="140">
        <v>457</v>
      </c>
      <c r="G725" s="140"/>
      <c r="H725" s="118"/>
      <c r="I725" s="120"/>
      <c r="J725" s="120"/>
      <c r="K725" s="120"/>
      <c r="L725" s="119"/>
      <c r="M725" s="119"/>
      <c r="N725" s="119"/>
      <c r="O725" s="120"/>
      <c r="P725" s="120"/>
      <c r="Q725" s="120"/>
      <c r="R725" s="120"/>
      <c r="S725" s="120"/>
      <c r="T725" s="120"/>
      <c r="U725" s="120"/>
      <c r="V725" s="120"/>
      <c r="W725" s="120"/>
      <c r="X725" s="120"/>
      <c r="Y725" s="120"/>
      <c r="Z725" s="120"/>
      <c r="AA725" s="120"/>
      <c r="AB725" s="120"/>
      <c r="AC725" s="120"/>
    </row>
    <row r="726" spans="1:29" customFormat="1" ht="47.25">
      <c r="A726" s="115" t="s">
        <v>1426</v>
      </c>
      <c r="B726" s="127" t="s">
        <v>1427</v>
      </c>
      <c r="C726" s="145" t="s">
        <v>1429</v>
      </c>
      <c r="D726" s="108"/>
      <c r="E726" s="108"/>
      <c r="F726" s="139">
        <v>333</v>
      </c>
      <c r="G726" s="139"/>
      <c r="H726" s="127"/>
      <c r="I726" s="122"/>
      <c r="J726" s="122" t="s">
        <v>2272</v>
      </c>
      <c r="K726" s="122"/>
      <c r="L726" s="127" t="s">
        <v>1284</v>
      </c>
      <c r="M726" s="127"/>
      <c r="N726" s="109"/>
      <c r="O726" s="122"/>
      <c r="P726" s="112"/>
      <c r="Q726" s="112"/>
      <c r="R726" s="112"/>
      <c r="S726" s="112"/>
      <c r="T726" s="112"/>
      <c r="U726" s="112"/>
      <c r="V726" s="112"/>
      <c r="W726" s="112"/>
      <c r="X726" s="106"/>
      <c r="Y726" s="106"/>
      <c r="Z726" s="106"/>
      <c r="AA726" s="106"/>
      <c r="AB726" s="106"/>
      <c r="AC726" s="106"/>
    </row>
    <row r="727" spans="1:29" customFormat="1" ht="31.5">
      <c r="A727" s="136" t="s">
        <v>3125</v>
      </c>
      <c r="B727" s="127" t="s">
        <v>3124</v>
      </c>
      <c r="C727" s="145" t="s">
        <v>751</v>
      </c>
      <c r="D727" s="108"/>
      <c r="E727" s="108"/>
      <c r="F727" s="139">
        <v>186</v>
      </c>
      <c r="G727" s="139"/>
      <c r="H727" s="127"/>
      <c r="I727" s="112"/>
      <c r="J727" s="110"/>
      <c r="K727" s="112"/>
      <c r="L727" s="109"/>
      <c r="M727" s="115"/>
      <c r="N727" s="116" t="s">
        <v>2542</v>
      </c>
      <c r="O727" s="112"/>
      <c r="P727" s="112"/>
      <c r="Q727" s="112"/>
      <c r="R727" s="112"/>
      <c r="S727" s="112"/>
      <c r="T727" s="112"/>
      <c r="U727" s="112"/>
      <c r="V727" s="112"/>
      <c r="W727" s="112"/>
      <c r="X727" s="106"/>
      <c r="Y727" s="106"/>
      <c r="Z727" s="106"/>
      <c r="AA727" s="106"/>
      <c r="AB727" s="106"/>
      <c r="AC727" s="106"/>
    </row>
    <row r="728" spans="1:29" customFormat="1" ht="31.5">
      <c r="A728" s="115" t="s">
        <v>1799</v>
      </c>
      <c r="B728" s="115" t="s">
        <v>1800</v>
      </c>
      <c r="C728" s="145" t="s">
        <v>1802</v>
      </c>
      <c r="D728" s="108"/>
      <c r="E728" s="108">
        <v>550</v>
      </c>
      <c r="F728" s="139"/>
      <c r="G728" s="139"/>
      <c r="H728" s="115"/>
      <c r="I728" s="115"/>
      <c r="J728" s="115"/>
      <c r="K728" s="115"/>
      <c r="L728" s="115" t="s">
        <v>1289</v>
      </c>
      <c r="M728" s="115"/>
      <c r="N728" s="115" t="s">
        <v>1801</v>
      </c>
      <c r="O728" s="115"/>
      <c r="P728" s="112"/>
      <c r="Q728" s="112"/>
      <c r="R728" s="112"/>
      <c r="S728" s="112"/>
      <c r="T728" s="112"/>
      <c r="U728" s="112"/>
      <c r="V728" s="112"/>
      <c r="W728" s="112"/>
      <c r="X728" s="106"/>
      <c r="Y728" s="106"/>
      <c r="Z728" s="106"/>
      <c r="AA728" s="106"/>
      <c r="AB728" s="106"/>
      <c r="AC728" s="106"/>
    </row>
    <row r="729" spans="1:29" customFormat="1">
      <c r="A729" s="136" t="s">
        <v>3121</v>
      </c>
      <c r="B729" s="127" t="s">
        <v>3120</v>
      </c>
      <c r="C729" s="55" t="s">
        <v>3080</v>
      </c>
      <c r="D729" s="108"/>
      <c r="E729" s="108" t="s">
        <v>2663</v>
      </c>
      <c r="F729" s="139"/>
      <c r="G729" s="139"/>
      <c r="H729" s="127"/>
      <c r="I729" s="112"/>
      <c r="J729" s="112"/>
      <c r="K729" s="112"/>
      <c r="L729" s="109"/>
      <c r="M729" s="116"/>
      <c r="N729" s="109"/>
      <c r="O729" s="112"/>
      <c r="P729" s="112"/>
      <c r="Q729" s="112"/>
      <c r="R729" s="112"/>
      <c r="S729" s="112"/>
      <c r="T729" s="112"/>
      <c r="U729" s="112"/>
      <c r="V729" s="112"/>
      <c r="W729" s="112"/>
      <c r="X729" s="106"/>
      <c r="Y729" s="106"/>
      <c r="Z729" s="106"/>
      <c r="AA729" s="106"/>
      <c r="AB729" s="106"/>
      <c r="AC729" s="106"/>
    </row>
    <row r="730" spans="1:29" customFormat="1">
      <c r="A730" s="124" t="s">
        <v>395</v>
      </c>
      <c r="B730" s="124" t="s">
        <v>394</v>
      </c>
      <c r="C730" s="145" t="s">
        <v>396</v>
      </c>
      <c r="D730" s="108"/>
      <c r="E730" s="108"/>
      <c r="F730" s="139">
        <v>379</v>
      </c>
      <c r="G730" s="139"/>
      <c r="H730" s="124"/>
      <c r="I730" s="112"/>
      <c r="J730" s="112"/>
      <c r="K730" s="112"/>
      <c r="L730" s="109"/>
      <c r="M730" s="124"/>
      <c r="N730" s="109"/>
      <c r="O730" s="112"/>
      <c r="P730" s="112"/>
      <c r="Q730" s="112"/>
      <c r="R730" s="112"/>
      <c r="S730" s="112"/>
      <c r="T730" s="112"/>
      <c r="U730" s="112"/>
      <c r="V730" s="112"/>
      <c r="W730" s="112"/>
      <c r="X730" s="106"/>
      <c r="Y730" s="106"/>
      <c r="Z730" s="106"/>
      <c r="AA730" s="106"/>
      <c r="AB730" s="106"/>
      <c r="AC730" s="106"/>
    </row>
    <row r="731" spans="1:29" customFormat="1">
      <c r="A731" s="115" t="s">
        <v>1846</v>
      </c>
      <c r="B731" s="115" t="s">
        <v>1847</v>
      </c>
      <c r="C731" s="145" t="s">
        <v>1849</v>
      </c>
      <c r="D731" s="108" t="s">
        <v>2673</v>
      </c>
      <c r="E731" s="108"/>
      <c r="F731" s="139">
        <v>29</v>
      </c>
      <c r="G731" s="139"/>
      <c r="H731" s="115"/>
      <c r="I731" s="115"/>
      <c r="J731" s="115"/>
      <c r="K731" s="115"/>
      <c r="L731" s="115" t="s">
        <v>1289</v>
      </c>
      <c r="M731" s="115"/>
      <c r="N731" s="115" t="s">
        <v>1848</v>
      </c>
      <c r="O731" s="115"/>
      <c r="P731" s="110"/>
      <c r="Q731" s="110"/>
      <c r="R731" s="110"/>
      <c r="S731" s="110"/>
      <c r="T731" s="110"/>
      <c r="U731" s="110"/>
      <c r="V731" s="110"/>
      <c r="W731" s="110"/>
      <c r="X731" s="106"/>
      <c r="Y731" s="106"/>
      <c r="Z731" s="106"/>
      <c r="AA731" s="106"/>
      <c r="AB731" s="106"/>
      <c r="AC731" s="106"/>
    </row>
    <row r="732" spans="1:29" customFormat="1" ht="14.25">
      <c r="A732" s="118" t="s">
        <v>3964</v>
      </c>
      <c r="B732" s="150" t="s">
        <v>2509</v>
      </c>
      <c r="C732" s="151" t="s">
        <v>2510</v>
      </c>
      <c r="D732" s="118"/>
      <c r="E732" s="118" t="s">
        <v>2666</v>
      </c>
      <c r="F732" s="140"/>
      <c r="G732" s="140"/>
      <c r="H732" s="118"/>
      <c r="I732" s="120"/>
      <c r="J732" s="120"/>
      <c r="K732" s="120"/>
      <c r="L732" s="119"/>
      <c r="M732" s="119"/>
      <c r="N732" s="119" t="s">
        <v>2318</v>
      </c>
      <c r="O732" s="120"/>
      <c r="P732" s="120"/>
      <c r="Q732" s="120"/>
      <c r="R732" s="120"/>
      <c r="S732" s="120"/>
      <c r="T732" s="120"/>
      <c r="U732" s="120"/>
      <c r="V732" s="120"/>
      <c r="W732" s="120"/>
      <c r="X732" s="120"/>
      <c r="Y732" s="120"/>
      <c r="Z732" s="120"/>
      <c r="AA732" s="120"/>
      <c r="AB732" s="120"/>
      <c r="AC732" s="120"/>
    </row>
    <row r="733" spans="1:29" customFormat="1">
      <c r="A733" s="136" t="s">
        <v>2319</v>
      </c>
      <c r="B733" s="127" t="s">
        <v>2324</v>
      </c>
      <c r="C733" s="145" t="s">
        <v>795</v>
      </c>
      <c r="D733" s="108"/>
      <c r="E733" s="108"/>
      <c r="F733" s="139">
        <v>63</v>
      </c>
      <c r="G733" s="139"/>
      <c r="H733" s="127"/>
      <c r="I733" s="112"/>
      <c r="J733" s="110"/>
      <c r="K733" s="110"/>
      <c r="L733" s="116"/>
      <c r="M733" s="127"/>
      <c r="N733" s="116" t="s">
        <v>2318</v>
      </c>
      <c r="O733" s="112"/>
      <c r="P733" s="112"/>
      <c r="Q733" s="112"/>
      <c r="R733" s="112"/>
      <c r="S733" s="112"/>
      <c r="T733" s="112"/>
      <c r="U733" s="112"/>
      <c r="V733" s="112"/>
      <c r="W733" s="112"/>
      <c r="X733" s="106"/>
      <c r="Y733" s="106"/>
      <c r="Z733" s="106"/>
      <c r="AA733" s="106"/>
      <c r="AB733" s="106"/>
      <c r="AC733" s="106"/>
    </row>
    <row r="734" spans="1:29" customFormat="1" ht="31.5">
      <c r="A734" s="115" t="s">
        <v>1709</v>
      </c>
      <c r="B734" s="115" t="s">
        <v>1710</v>
      </c>
      <c r="C734" s="145" t="s">
        <v>1711</v>
      </c>
      <c r="D734" s="108"/>
      <c r="E734" s="108"/>
      <c r="F734" s="139">
        <v>369</v>
      </c>
      <c r="G734" s="139"/>
      <c r="H734" s="115"/>
      <c r="I734" s="133"/>
      <c r="J734" s="133"/>
      <c r="K734" s="133"/>
      <c r="L734" s="127" t="s">
        <v>1289</v>
      </c>
      <c r="M734" s="115"/>
      <c r="N734" s="115" t="s">
        <v>1699</v>
      </c>
      <c r="O734" s="133"/>
      <c r="P734" s="112"/>
      <c r="Q734" s="112"/>
      <c r="R734" s="112"/>
      <c r="S734" s="112"/>
      <c r="T734" s="112"/>
      <c r="U734" s="112"/>
      <c r="V734" s="112"/>
      <c r="W734" s="112"/>
      <c r="X734" s="106"/>
      <c r="Y734" s="106"/>
      <c r="Z734" s="106"/>
      <c r="AA734" s="106"/>
      <c r="AB734" s="106"/>
      <c r="AC734" s="106"/>
    </row>
    <row r="735" spans="1:29" customFormat="1">
      <c r="A735" s="124" t="s">
        <v>429</v>
      </c>
      <c r="B735" s="124" t="s">
        <v>428</v>
      </c>
      <c r="C735" s="145" t="s">
        <v>430</v>
      </c>
      <c r="D735" s="108"/>
      <c r="E735" s="108"/>
      <c r="F735" s="139">
        <v>116</v>
      </c>
      <c r="G735" s="139"/>
      <c r="H735" s="124"/>
      <c r="I735" s="112"/>
      <c r="J735" s="110"/>
      <c r="K735" s="110"/>
      <c r="L735" s="116"/>
      <c r="M735" s="127"/>
      <c r="N735" s="109"/>
      <c r="O735" s="112"/>
      <c r="P735" s="112"/>
      <c r="Q735" s="112"/>
      <c r="R735" s="112"/>
      <c r="S735" s="112"/>
      <c r="T735" s="112"/>
      <c r="U735" s="112"/>
      <c r="V735" s="112"/>
      <c r="W735" s="112"/>
      <c r="X735" s="106"/>
      <c r="Y735" s="106"/>
      <c r="Z735" s="106"/>
      <c r="AA735" s="106"/>
      <c r="AB735" s="106"/>
      <c r="AC735" s="106"/>
    </row>
    <row r="736" spans="1:29" customFormat="1">
      <c r="A736" s="115" t="s">
        <v>1511</v>
      </c>
      <c r="B736" s="115" t="s">
        <v>428</v>
      </c>
      <c r="C736" s="145" t="s">
        <v>2149</v>
      </c>
      <c r="D736" s="108"/>
      <c r="E736" s="108" t="s">
        <v>2666</v>
      </c>
      <c r="F736" s="139"/>
      <c r="G736" s="139"/>
      <c r="H736" s="115"/>
      <c r="I736" s="115"/>
      <c r="J736" s="115"/>
      <c r="K736" s="115"/>
      <c r="L736" s="116"/>
      <c r="M736" s="115"/>
      <c r="N736" s="115" t="s">
        <v>1461</v>
      </c>
      <c r="O736" s="115"/>
      <c r="P736" s="112"/>
      <c r="Q736" s="112"/>
      <c r="R736" s="112"/>
      <c r="S736" s="112"/>
      <c r="T736" s="112"/>
      <c r="U736" s="112"/>
      <c r="V736" s="112"/>
      <c r="W736" s="112"/>
      <c r="X736" s="106"/>
      <c r="Y736" s="106"/>
      <c r="Z736" s="106"/>
      <c r="AA736" s="106"/>
      <c r="AB736" s="106"/>
      <c r="AC736" s="106"/>
    </row>
    <row r="737" spans="1:29" customFormat="1">
      <c r="A737" s="124"/>
      <c r="B737" s="131"/>
      <c r="C737" s="153" t="s">
        <v>3074</v>
      </c>
      <c r="D737" s="108"/>
      <c r="E737" s="108" t="s">
        <v>2663</v>
      </c>
      <c r="F737" s="139"/>
      <c r="G737" s="139"/>
      <c r="H737" s="131"/>
      <c r="I737" s="124"/>
      <c r="J737" s="124"/>
      <c r="K737" s="124"/>
      <c r="L737" s="109"/>
      <c r="M737" s="131"/>
      <c r="N737" s="109"/>
      <c r="O737" s="124"/>
      <c r="P737" s="112"/>
      <c r="Q737" s="112"/>
      <c r="R737" s="112"/>
      <c r="S737" s="112"/>
      <c r="T737" s="112"/>
      <c r="U737" s="112"/>
      <c r="V737" s="112"/>
      <c r="W737" s="112"/>
      <c r="X737" s="106"/>
      <c r="Y737" s="106"/>
      <c r="Z737" s="106"/>
      <c r="AA737" s="106"/>
      <c r="AB737" s="106"/>
      <c r="AC737" s="106"/>
    </row>
    <row r="738" spans="1:29" customFormat="1">
      <c r="A738" s="136" t="s">
        <v>2281</v>
      </c>
      <c r="B738" s="127"/>
      <c r="C738" s="145" t="s">
        <v>853</v>
      </c>
      <c r="D738" s="108"/>
      <c r="E738" s="108"/>
      <c r="F738" s="139">
        <v>468</v>
      </c>
      <c r="G738" s="139"/>
      <c r="H738" s="127"/>
      <c r="I738" s="112"/>
      <c r="J738" s="112"/>
      <c r="K738" s="112"/>
      <c r="L738" s="109"/>
      <c r="M738" s="116"/>
      <c r="N738" s="109"/>
      <c r="O738" s="112"/>
      <c r="P738" s="112"/>
      <c r="Q738" s="112"/>
      <c r="R738" s="112"/>
      <c r="S738" s="112"/>
      <c r="T738" s="112"/>
      <c r="U738" s="112"/>
      <c r="V738" s="112"/>
      <c r="W738" s="112"/>
      <c r="X738" s="106"/>
      <c r="Y738" s="106"/>
      <c r="Z738" s="106"/>
      <c r="AA738" s="106"/>
      <c r="AB738" s="106"/>
      <c r="AC738" s="106"/>
    </row>
    <row r="739" spans="1:29" customFormat="1" ht="31.5">
      <c r="A739" s="115" t="s">
        <v>1692</v>
      </c>
      <c r="B739" s="127" t="s">
        <v>1644</v>
      </c>
      <c r="C739" s="145" t="s">
        <v>1693</v>
      </c>
      <c r="D739" s="108"/>
      <c r="E739" s="108" t="s">
        <v>2661</v>
      </c>
      <c r="F739" s="139"/>
      <c r="G739" s="139"/>
      <c r="H739" s="127"/>
      <c r="I739" s="115"/>
      <c r="J739" s="115"/>
      <c r="K739" s="115"/>
      <c r="L739" s="109"/>
      <c r="M739" s="127"/>
      <c r="N739" s="127"/>
      <c r="O739" s="115"/>
      <c r="P739" s="115"/>
      <c r="Q739" s="115"/>
      <c r="R739" s="115"/>
      <c r="S739" s="115"/>
      <c r="T739" s="115"/>
      <c r="U739" s="115"/>
      <c r="V739" s="115"/>
      <c r="W739" s="115"/>
      <c r="X739" s="106"/>
      <c r="Y739" s="106"/>
      <c r="Z739" s="106"/>
      <c r="AA739" s="106"/>
      <c r="AB739" s="106"/>
      <c r="AC739" s="106"/>
    </row>
    <row r="740" spans="1:29" customFormat="1">
      <c r="A740" s="136" t="s">
        <v>2335</v>
      </c>
      <c r="B740" s="127" t="s">
        <v>2336</v>
      </c>
      <c r="C740" s="145" t="s">
        <v>994</v>
      </c>
      <c r="D740" s="108"/>
      <c r="E740" s="108" t="s">
        <v>2666</v>
      </c>
      <c r="F740" s="139"/>
      <c r="G740" s="139"/>
      <c r="H740" s="127"/>
      <c r="I740" s="112"/>
      <c r="J740" s="110"/>
      <c r="K740" s="110"/>
      <c r="L740" s="116"/>
      <c r="M740" s="124"/>
      <c r="N740" s="109" t="s">
        <v>2334</v>
      </c>
      <c r="O740" s="112"/>
      <c r="P740" s="112"/>
      <c r="Q740" s="112"/>
      <c r="R740" s="112"/>
      <c r="S740" s="112"/>
      <c r="T740" s="112"/>
      <c r="U740" s="112"/>
      <c r="V740" s="112"/>
      <c r="W740" s="112"/>
      <c r="X740" s="106"/>
      <c r="Y740" s="106"/>
      <c r="Z740" s="106"/>
      <c r="AA740" s="106"/>
      <c r="AB740" s="106"/>
      <c r="AC740" s="106"/>
    </row>
    <row r="741" spans="1:29" customFormat="1">
      <c r="A741" s="115" t="s">
        <v>1739</v>
      </c>
      <c r="B741" s="115" t="s">
        <v>1740</v>
      </c>
      <c r="C741" s="145" t="s">
        <v>1742</v>
      </c>
      <c r="D741" s="108"/>
      <c r="E741" s="108"/>
      <c r="F741" s="139">
        <v>211</v>
      </c>
      <c r="G741" s="139"/>
      <c r="H741" s="115"/>
      <c r="I741" s="115"/>
      <c r="J741" s="115"/>
      <c r="K741" s="115"/>
      <c r="L741" s="115" t="s">
        <v>1289</v>
      </c>
      <c r="M741" s="127"/>
      <c r="N741" s="115" t="s">
        <v>1741</v>
      </c>
      <c r="O741" s="115"/>
      <c r="P741" s="112"/>
      <c r="Q741" s="112"/>
      <c r="R741" s="112"/>
      <c r="S741" s="112"/>
      <c r="T741" s="112"/>
      <c r="U741" s="112"/>
      <c r="V741" s="112"/>
      <c r="W741" s="112"/>
      <c r="X741" s="106"/>
      <c r="Y741" s="106"/>
      <c r="Z741" s="106"/>
      <c r="AA741" s="106"/>
      <c r="AB741" s="106"/>
      <c r="AC741" s="106"/>
    </row>
    <row r="742" spans="1:29" customFormat="1">
      <c r="A742" s="124" t="s">
        <v>822</v>
      </c>
      <c r="B742" s="124" t="s">
        <v>828</v>
      </c>
      <c r="C742" s="145" t="s">
        <v>829</v>
      </c>
      <c r="D742" s="108"/>
      <c r="E742" s="108" t="s">
        <v>2666</v>
      </c>
      <c r="F742" s="139"/>
      <c r="G742" s="139"/>
      <c r="H742" s="124"/>
      <c r="I742" s="112"/>
      <c r="J742" s="112"/>
      <c r="K742" s="112"/>
      <c r="L742" s="109"/>
      <c r="M742" s="124"/>
      <c r="N742" s="109"/>
      <c r="O742" s="112"/>
      <c r="P742" s="112"/>
      <c r="Q742" s="112"/>
      <c r="R742" s="112"/>
      <c r="S742" s="112"/>
      <c r="T742" s="112"/>
      <c r="U742" s="112"/>
      <c r="V742" s="112"/>
      <c r="W742" s="112"/>
      <c r="X742" s="106"/>
      <c r="Y742" s="106"/>
      <c r="Z742" s="106"/>
      <c r="AA742" s="106"/>
      <c r="AB742" s="106"/>
      <c r="AC742" s="106"/>
    </row>
    <row r="743" spans="1:29" customFormat="1" ht="31.5">
      <c r="A743" s="115" t="s">
        <v>29</v>
      </c>
      <c r="B743" s="127" t="s">
        <v>28</v>
      </c>
      <c r="C743" s="145" t="s">
        <v>30</v>
      </c>
      <c r="D743" s="108"/>
      <c r="E743" s="108" t="s">
        <v>2666</v>
      </c>
      <c r="F743" s="139"/>
      <c r="G743" s="139"/>
      <c r="H743" s="127"/>
      <c r="I743" s="112"/>
      <c r="J743" s="112"/>
      <c r="K743" s="112"/>
      <c r="L743" s="109"/>
      <c r="M743" s="124"/>
      <c r="N743" s="109"/>
      <c r="O743" s="112"/>
      <c r="P743" s="112"/>
      <c r="Q743" s="112"/>
      <c r="R743" s="112"/>
      <c r="S743" s="112"/>
      <c r="T743" s="112"/>
      <c r="U743" s="112"/>
      <c r="V743" s="112"/>
      <c r="W743" s="112"/>
      <c r="X743" s="106"/>
      <c r="Y743" s="106"/>
      <c r="Z743" s="106"/>
      <c r="AA743" s="106"/>
      <c r="AB743" s="106"/>
      <c r="AC743" s="106"/>
    </row>
    <row r="744" spans="1:29" customFormat="1">
      <c r="A744" s="124" t="s">
        <v>1231</v>
      </c>
      <c r="B744" s="124" t="s">
        <v>1207</v>
      </c>
      <c r="C744" s="145" t="s">
        <v>1155</v>
      </c>
      <c r="D744" s="108"/>
      <c r="E744" s="108" t="s">
        <v>3107</v>
      </c>
      <c r="F744" s="139"/>
      <c r="G744" s="139"/>
      <c r="H744" s="124"/>
      <c r="I744" s="112"/>
      <c r="J744" s="112"/>
      <c r="K744" s="112"/>
      <c r="L744" s="109"/>
      <c r="M744" s="124"/>
      <c r="N744" s="109"/>
      <c r="O744" s="112"/>
      <c r="P744" s="112"/>
      <c r="Q744" s="112"/>
      <c r="R744" s="112"/>
      <c r="S744" s="112"/>
      <c r="T744" s="112"/>
      <c r="U744" s="112"/>
      <c r="V744" s="112"/>
      <c r="W744" s="112"/>
      <c r="X744" s="106"/>
      <c r="Y744" s="106"/>
      <c r="Z744" s="106"/>
      <c r="AA744" s="106"/>
      <c r="AB744" s="106"/>
      <c r="AC744" s="106"/>
    </row>
    <row r="745" spans="1:29" customFormat="1">
      <c r="A745" s="115" t="s">
        <v>2096</v>
      </c>
      <c r="B745" s="115" t="s">
        <v>2097</v>
      </c>
      <c r="C745" s="145" t="s">
        <v>2098</v>
      </c>
      <c r="D745" s="108"/>
      <c r="E745" s="108"/>
      <c r="F745" s="139">
        <v>177</v>
      </c>
      <c r="G745" s="139"/>
      <c r="H745" s="115"/>
      <c r="I745" s="115"/>
      <c r="J745" s="115"/>
      <c r="K745" s="115"/>
      <c r="L745" s="109"/>
      <c r="M745" s="116"/>
      <c r="N745" s="115" t="s">
        <v>1808</v>
      </c>
      <c r="O745" s="115"/>
      <c r="P745" s="112"/>
      <c r="Q745" s="112"/>
      <c r="R745" s="112"/>
      <c r="S745" s="112"/>
      <c r="T745" s="112"/>
      <c r="U745" s="112"/>
      <c r="V745" s="112"/>
      <c r="W745" s="112"/>
      <c r="X745" s="106"/>
      <c r="Y745" s="106"/>
      <c r="Z745" s="106"/>
      <c r="AA745" s="106"/>
      <c r="AB745" s="106"/>
      <c r="AC745" s="106"/>
    </row>
    <row r="746" spans="1:29" customFormat="1">
      <c r="A746" s="136" t="s">
        <v>2291</v>
      </c>
      <c r="B746" s="127" t="s">
        <v>8</v>
      </c>
      <c r="C746" s="145" t="s">
        <v>9</v>
      </c>
      <c r="D746" s="108"/>
      <c r="E746" s="108"/>
      <c r="F746" s="139">
        <v>3</v>
      </c>
      <c r="G746" s="139"/>
      <c r="H746" s="127"/>
      <c r="I746" s="112"/>
      <c r="J746" s="112"/>
      <c r="K746" s="112"/>
      <c r="L746" s="109"/>
      <c r="M746" s="127"/>
      <c r="N746" s="116"/>
      <c r="O746" s="112"/>
      <c r="P746" s="112"/>
      <c r="Q746" s="112"/>
      <c r="R746" s="112"/>
      <c r="S746" s="112"/>
      <c r="T746" s="112"/>
      <c r="U746" s="112"/>
      <c r="V746" s="112"/>
      <c r="W746" s="112"/>
      <c r="X746" s="106"/>
      <c r="Y746" s="106"/>
      <c r="Z746" s="106"/>
      <c r="AA746" s="106"/>
      <c r="AB746" s="106"/>
      <c r="AC746" s="106"/>
    </row>
    <row r="747" spans="1:29" customFormat="1">
      <c r="A747" s="124" t="s">
        <v>2332</v>
      </c>
      <c r="B747" s="131" t="s">
        <v>1633</v>
      </c>
      <c r="C747" s="145" t="s">
        <v>1635</v>
      </c>
      <c r="D747" s="108"/>
      <c r="E747" s="108">
        <v>550</v>
      </c>
      <c r="F747" s="139"/>
      <c r="G747" s="139"/>
      <c r="H747" s="131"/>
      <c r="I747" s="124"/>
      <c r="J747" s="124"/>
      <c r="K747" s="124"/>
      <c r="L747" s="109"/>
      <c r="M747" s="115"/>
      <c r="N747" s="116" t="s">
        <v>2331</v>
      </c>
      <c r="O747" s="124"/>
      <c r="P747" s="112"/>
      <c r="Q747" s="112"/>
      <c r="R747" s="112"/>
      <c r="S747" s="112"/>
      <c r="T747" s="112"/>
      <c r="U747" s="112"/>
      <c r="V747" s="112"/>
      <c r="W747" s="112"/>
      <c r="X747" s="106"/>
      <c r="Y747" s="106"/>
      <c r="Z747" s="106"/>
      <c r="AA747" s="106"/>
      <c r="AB747" s="106"/>
      <c r="AC747" s="106"/>
    </row>
    <row r="748" spans="1:29" customFormat="1">
      <c r="A748" s="124" t="s">
        <v>517</v>
      </c>
      <c r="B748" s="124" t="s">
        <v>519</v>
      </c>
      <c r="C748" s="145" t="s">
        <v>520</v>
      </c>
      <c r="D748" s="108"/>
      <c r="E748" s="108">
        <v>550</v>
      </c>
      <c r="F748" s="139"/>
      <c r="G748" s="139"/>
      <c r="H748" s="124"/>
      <c r="I748" s="112"/>
      <c r="J748" s="112"/>
      <c r="K748" s="112"/>
      <c r="L748" s="109"/>
      <c r="M748" s="124"/>
      <c r="N748" s="109"/>
      <c r="O748" s="112"/>
      <c r="P748" s="112"/>
      <c r="Q748" s="112"/>
      <c r="R748" s="112"/>
      <c r="S748" s="112"/>
      <c r="T748" s="112"/>
      <c r="U748" s="112"/>
      <c r="V748" s="112"/>
      <c r="W748" s="112"/>
      <c r="X748" s="106"/>
      <c r="Y748" s="106"/>
      <c r="Z748" s="106"/>
      <c r="AA748" s="106"/>
      <c r="AB748" s="106"/>
      <c r="AC748" s="106"/>
    </row>
    <row r="749" spans="1:29" customFormat="1">
      <c r="A749" s="115" t="s">
        <v>1968</v>
      </c>
      <c r="B749" s="115" t="s">
        <v>1969</v>
      </c>
      <c r="C749" s="145" t="s">
        <v>1971</v>
      </c>
      <c r="D749" s="108"/>
      <c r="E749" s="108">
        <v>550</v>
      </c>
      <c r="F749" s="139"/>
      <c r="G749" s="139"/>
      <c r="H749" s="115"/>
      <c r="I749" s="115"/>
      <c r="J749" s="115"/>
      <c r="K749" s="115"/>
      <c r="L749" s="115" t="s">
        <v>1262</v>
      </c>
      <c r="M749" s="127"/>
      <c r="N749" s="115" t="s">
        <v>1970</v>
      </c>
      <c r="O749" s="115"/>
      <c r="P749" s="112"/>
      <c r="Q749" s="112"/>
      <c r="R749" s="112"/>
      <c r="S749" s="112"/>
      <c r="T749" s="112"/>
      <c r="U749" s="112"/>
      <c r="V749" s="112"/>
      <c r="W749" s="112"/>
      <c r="X749" s="106"/>
      <c r="Y749" s="106"/>
      <c r="Z749" s="106"/>
      <c r="AA749" s="106"/>
      <c r="AB749" s="106"/>
      <c r="AC749" s="106"/>
    </row>
    <row r="750" spans="1:29" customFormat="1">
      <c r="A750" s="115" t="s">
        <v>131</v>
      </c>
      <c r="B750" s="127" t="s">
        <v>133</v>
      </c>
      <c r="C750" s="145" t="s">
        <v>134</v>
      </c>
      <c r="D750" s="108"/>
      <c r="E750" s="108" t="s">
        <v>2661</v>
      </c>
      <c r="F750" s="139"/>
      <c r="G750" s="139"/>
      <c r="H750" s="127"/>
      <c r="I750" s="112"/>
      <c r="J750" s="112"/>
      <c r="K750" s="112"/>
      <c r="L750" s="109"/>
      <c r="M750" s="127"/>
      <c r="N750" s="109"/>
      <c r="O750" s="112"/>
      <c r="P750" s="112"/>
      <c r="Q750" s="112"/>
      <c r="R750" s="112"/>
      <c r="S750" s="112"/>
      <c r="T750" s="112"/>
      <c r="U750" s="112"/>
      <c r="V750" s="112"/>
      <c r="W750" s="112"/>
      <c r="X750" s="106"/>
      <c r="Y750" s="106"/>
      <c r="Z750" s="106"/>
      <c r="AA750" s="106"/>
      <c r="AB750" s="106"/>
      <c r="AC750" s="106"/>
    </row>
    <row r="751" spans="1:29" customFormat="1">
      <c r="A751" s="115" t="s">
        <v>1983</v>
      </c>
      <c r="B751" s="115" t="s">
        <v>1984</v>
      </c>
      <c r="C751" s="145" t="s">
        <v>1985</v>
      </c>
      <c r="D751" s="108"/>
      <c r="E751" s="147"/>
      <c r="F751" s="148">
        <v>325</v>
      </c>
      <c r="G751" s="148"/>
      <c r="H751" s="115"/>
      <c r="I751" s="115"/>
      <c r="J751" s="115"/>
      <c r="K751" s="115"/>
      <c r="L751" s="115" t="s">
        <v>1284</v>
      </c>
      <c r="M751" s="115"/>
      <c r="N751" s="115" t="s">
        <v>1786</v>
      </c>
      <c r="O751" s="115"/>
      <c r="P751" s="112"/>
      <c r="Q751" s="112"/>
      <c r="R751" s="112"/>
      <c r="S751" s="112"/>
      <c r="T751" s="112"/>
      <c r="U751" s="112"/>
      <c r="V751" s="112"/>
      <c r="W751" s="112"/>
      <c r="X751" s="106"/>
      <c r="Y751" s="106"/>
      <c r="Z751" s="106"/>
      <c r="AA751" s="106"/>
      <c r="AB751" s="106"/>
      <c r="AC751" s="106"/>
    </row>
    <row r="752" spans="1:29" customFormat="1">
      <c r="A752" s="124" t="s">
        <v>714</v>
      </c>
      <c r="B752" s="124" t="s">
        <v>713</v>
      </c>
      <c r="C752" s="153" t="s">
        <v>715</v>
      </c>
      <c r="D752" s="121"/>
      <c r="E752" s="147" t="s">
        <v>2661</v>
      </c>
      <c r="F752" s="148"/>
      <c r="G752" s="148"/>
      <c r="H752" s="124"/>
      <c r="I752" s="112"/>
      <c r="J752" s="112"/>
      <c r="K752" s="112"/>
      <c r="L752" s="109"/>
      <c r="M752" s="127"/>
      <c r="N752" s="109"/>
      <c r="O752" s="112"/>
      <c r="P752" s="112"/>
      <c r="Q752" s="112"/>
      <c r="R752" s="112"/>
      <c r="S752" s="112"/>
      <c r="T752" s="112"/>
      <c r="U752" s="112"/>
      <c r="V752" s="112"/>
      <c r="W752" s="112"/>
      <c r="X752" s="106"/>
      <c r="Y752" s="106"/>
      <c r="Z752" s="106"/>
      <c r="AA752" s="106"/>
      <c r="AB752" s="106"/>
      <c r="AC752" s="106"/>
    </row>
    <row r="753" spans="1:29" customFormat="1">
      <c r="A753" s="115" t="s">
        <v>213</v>
      </c>
      <c r="B753" s="127" t="s">
        <v>212</v>
      </c>
      <c r="C753" s="145" t="s">
        <v>214</v>
      </c>
      <c r="D753" s="108"/>
      <c r="E753" s="108" t="s">
        <v>2661</v>
      </c>
      <c r="F753" s="139"/>
      <c r="G753" s="139"/>
      <c r="H753" s="127"/>
      <c r="I753" s="112"/>
      <c r="J753" s="112"/>
      <c r="K753" s="112"/>
      <c r="L753" s="109"/>
      <c r="M753" s="127"/>
      <c r="N753" s="109"/>
      <c r="O753" s="112"/>
      <c r="P753" s="112"/>
      <c r="Q753" s="112"/>
      <c r="R753" s="112"/>
      <c r="S753" s="112"/>
      <c r="T753" s="112"/>
      <c r="U753" s="112"/>
      <c r="V753" s="112"/>
      <c r="W753" s="112"/>
      <c r="X753" s="106"/>
      <c r="Y753" s="106"/>
      <c r="Z753" s="106"/>
      <c r="AA753" s="106"/>
      <c r="AB753" s="106"/>
      <c r="AC753" s="106"/>
    </row>
    <row r="754" spans="1:29" customFormat="1">
      <c r="A754" s="124" t="s">
        <v>1224</v>
      </c>
      <c r="B754" s="124" t="s">
        <v>1193</v>
      </c>
      <c r="C754" s="145" t="s">
        <v>1142</v>
      </c>
      <c r="D754" s="108"/>
      <c r="E754" s="108" t="s">
        <v>2666</v>
      </c>
      <c r="F754" s="139"/>
      <c r="G754" s="139"/>
      <c r="H754" s="124"/>
      <c r="I754" s="112"/>
      <c r="J754" s="112"/>
      <c r="K754" s="112"/>
      <c r="L754" s="109"/>
      <c r="M754" s="124"/>
      <c r="N754" s="109"/>
      <c r="O754" s="112"/>
      <c r="P754" s="112"/>
      <c r="Q754" s="112"/>
      <c r="R754" s="112"/>
      <c r="S754" s="112"/>
      <c r="T754" s="112"/>
      <c r="U754" s="112"/>
      <c r="V754" s="112"/>
      <c r="W754" s="112"/>
      <c r="X754" s="106"/>
      <c r="Y754" s="106"/>
      <c r="Z754" s="106"/>
      <c r="AA754" s="106"/>
      <c r="AB754" s="106"/>
      <c r="AC754" s="106"/>
    </row>
    <row r="755" spans="1:29" customFormat="1">
      <c r="A755" s="124" t="s">
        <v>159</v>
      </c>
      <c r="B755" s="124" t="s">
        <v>440</v>
      </c>
      <c r="C755" s="145" t="s">
        <v>441</v>
      </c>
      <c r="D755" s="108"/>
      <c r="E755" s="108"/>
      <c r="F755" s="139">
        <v>236</v>
      </c>
      <c r="G755" s="139"/>
      <c r="H755" s="124"/>
      <c r="I755" s="112"/>
      <c r="J755" s="112"/>
      <c r="K755" s="112"/>
      <c r="L755" s="109"/>
      <c r="M755" s="124"/>
      <c r="N755" s="109"/>
      <c r="O755" s="112"/>
      <c r="P755" s="112"/>
      <c r="Q755" s="112"/>
      <c r="R755" s="112"/>
      <c r="S755" s="112"/>
      <c r="T755" s="112"/>
      <c r="U755" s="112"/>
      <c r="V755" s="112"/>
      <c r="W755" s="112"/>
      <c r="X755" s="106"/>
      <c r="Y755" s="106"/>
      <c r="Z755" s="106"/>
      <c r="AA755" s="106"/>
      <c r="AB755" s="106"/>
      <c r="AC755" s="106"/>
    </row>
    <row r="756" spans="1:29" customFormat="1">
      <c r="A756" s="115" t="s">
        <v>206</v>
      </c>
      <c r="B756" s="127" t="s">
        <v>208</v>
      </c>
      <c r="C756" s="145" t="s">
        <v>209</v>
      </c>
      <c r="D756" s="108"/>
      <c r="E756" s="108">
        <v>550</v>
      </c>
      <c r="F756" s="139"/>
      <c r="G756" s="139"/>
      <c r="H756" s="127"/>
      <c r="I756" s="112"/>
      <c r="J756" s="112"/>
      <c r="K756" s="112"/>
      <c r="L756" s="109"/>
      <c r="M756" s="127"/>
      <c r="N756" s="109"/>
      <c r="O756" s="112"/>
      <c r="P756" s="112"/>
      <c r="Q756" s="112"/>
      <c r="R756" s="112"/>
      <c r="S756" s="112"/>
      <c r="T756" s="112"/>
      <c r="U756" s="112"/>
      <c r="V756" s="112"/>
      <c r="W756" s="112"/>
      <c r="X756" s="106"/>
      <c r="Y756" s="106"/>
      <c r="Z756" s="106"/>
      <c r="AA756" s="106"/>
      <c r="AB756" s="106"/>
      <c r="AC756" s="106"/>
    </row>
    <row r="757" spans="1:29" customFormat="1">
      <c r="A757" s="136" t="s">
        <v>2294</v>
      </c>
      <c r="B757" s="124" t="s">
        <v>1114</v>
      </c>
      <c r="C757" s="145" t="s">
        <v>978</v>
      </c>
      <c r="D757" s="108"/>
      <c r="E757" s="108"/>
      <c r="F757" s="139">
        <v>64</v>
      </c>
      <c r="G757" s="139"/>
      <c r="H757" s="124"/>
      <c r="I757" s="112"/>
      <c r="J757" s="110"/>
      <c r="K757" s="110"/>
      <c r="L757" s="116"/>
      <c r="M757" s="118"/>
      <c r="N757" s="116"/>
      <c r="O757" s="112"/>
      <c r="P757" s="112"/>
      <c r="Q757" s="112"/>
      <c r="R757" s="112"/>
      <c r="S757" s="112"/>
      <c r="T757" s="112"/>
      <c r="U757" s="112"/>
      <c r="V757" s="112"/>
      <c r="W757" s="112"/>
      <c r="X757" s="106"/>
      <c r="Y757" s="106"/>
      <c r="Z757" s="106"/>
      <c r="AA757" s="106"/>
      <c r="AB757" s="106"/>
      <c r="AC757" s="106"/>
    </row>
    <row r="758" spans="1:29" customFormat="1">
      <c r="A758" s="115" t="s">
        <v>206</v>
      </c>
      <c r="B758" s="127" t="s">
        <v>210</v>
      </c>
      <c r="C758" s="145" t="s">
        <v>211</v>
      </c>
      <c r="D758" s="108"/>
      <c r="E758" s="108"/>
      <c r="F758" s="139">
        <v>314</v>
      </c>
      <c r="G758" s="139"/>
      <c r="H758" s="127"/>
      <c r="I758" s="112"/>
      <c r="J758" s="112"/>
      <c r="K758" s="112"/>
      <c r="L758" s="109"/>
      <c r="M758" s="127"/>
      <c r="N758" s="109"/>
      <c r="O758" s="112"/>
      <c r="P758" s="112"/>
      <c r="Q758" s="112"/>
      <c r="R758" s="112"/>
      <c r="S758" s="112"/>
      <c r="T758" s="112"/>
      <c r="U758" s="112"/>
      <c r="V758" s="112"/>
      <c r="W758" s="112"/>
      <c r="X758" s="106"/>
      <c r="Y758" s="106"/>
      <c r="Z758" s="106"/>
      <c r="AA758" s="106"/>
      <c r="AB758" s="106"/>
      <c r="AC758" s="106"/>
    </row>
    <row r="759" spans="1:29" customFormat="1" ht="31.5">
      <c r="A759" s="136"/>
      <c r="B759" s="127" t="s">
        <v>1047</v>
      </c>
      <c r="C759" s="145" t="s">
        <v>1048</v>
      </c>
      <c r="D759" s="108"/>
      <c r="E759" s="108"/>
      <c r="F759" s="139">
        <v>506</v>
      </c>
      <c r="G759" s="139"/>
      <c r="H759" s="127"/>
      <c r="I759" s="112"/>
      <c r="J759" s="112"/>
      <c r="K759" s="112"/>
      <c r="L759" s="109"/>
      <c r="M759" s="116"/>
      <c r="N759" s="109"/>
      <c r="O759" s="112"/>
      <c r="P759" s="112" t="s">
        <v>2229</v>
      </c>
      <c r="Q759" s="112"/>
      <c r="R759" s="112"/>
      <c r="S759" s="112"/>
      <c r="T759" s="112"/>
      <c r="U759" s="112"/>
      <c r="V759" s="112"/>
      <c r="W759" s="112"/>
      <c r="X759" s="106"/>
      <c r="Y759" s="106"/>
      <c r="Z759" s="106"/>
      <c r="AA759" s="106"/>
      <c r="AB759" s="106"/>
      <c r="AC759" s="106"/>
    </row>
    <row r="760" spans="1:29" customFormat="1">
      <c r="A760" s="115"/>
      <c r="B760" s="115" t="s">
        <v>2131</v>
      </c>
      <c r="C760" s="145" t="s">
        <v>2132</v>
      </c>
      <c r="D760" s="108"/>
      <c r="E760" s="108"/>
      <c r="F760" s="139">
        <v>507</v>
      </c>
      <c r="G760" s="139"/>
      <c r="H760" s="115"/>
      <c r="I760" s="115"/>
      <c r="J760" s="115"/>
      <c r="K760" s="115"/>
      <c r="L760" s="109"/>
      <c r="M760" s="115"/>
      <c r="N760" s="115"/>
      <c r="O760" s="115"/>
      <c r="P760" s="112"/>
      <c r="Q760" s="112"/>
      <c r="R760" s="112"/>
      <c r="S760" s="112"/>
      <c r="T760" s="112"/>
      <c r="U760" s="112"/>
      <c r="V760" s="112"/>
      <c r="W760" s="112"/>
      <c r="X760" s="106"/>
      <c r="Y760" s="106"/>
      <c r="Z760" s="106"/>
      <c r="AA760" s="106"/>
      <c r="AB760" s="106"/>
      <c r="AC760" s="106"/>
    </row>
    <row r="761" spans="1:29" customFormat="1" ht="14.25">
      <c r="A761" s="118" t="s">
        <v>2497</v>
      </c>
      <c r="B761" s="150" t="s">
        <v>550</v>
      </c>
      <c r="C761" s="151" t="s">
        <v>2498</v>
      </c>
      <c r="D761" s="118"/>
      <c r="E761" s="118"/>
      <c r="F761" s="140">
        <v>388</v>
      </c>
      <c r="G761" s="140"/>
      <c r="H761" s="118"/>
      <c r="I761" s="120"/>
      <c r="J761" s="120"/>
      <c r="K761" s="120"/>
      <c r="L761" s="119"/>
      <c r="M761" s="119"/>
      <c r="N761" s="119"/>
      <c r="O761" s="120"/>
      <c r="P761" s="120"/>
      <c r="Q761" s="120"/>
      <c r="R761" s="120"/>
      <c r="S761" s="120"/>
      <c r="T761" s="120"/>
      <c r="U761" s="120"/>
      <c r="V761" s="120"/>
      <c r="W761" s="120"/>
      <c r="X761" s="120"/>
      <c r="Y761" s="120"/>
      <c r="Z761" s="120"/>
      <c r="AA761" s="120"/>
      <c r="AB761" s="120"/>
      <c r="AC761" s="120"/>
    </row>
    <row r="762" spans="1:29" customFormat="1">
      <c r="A762" s="115" t="s">
        <v>284</v>
      </c>
      <c r="B762" s="127" t="s">
        <v>292</v>
      </c>
      <c r="C762" s="145" t="s">
        <v>293</v>
      </c>
      <c r="D762" s="108"/>
      <c r="E762" s="108" t="s">
        <v>2666</v>
      </c>
      <c r="F762" s="139"/>
      <c r="G762" s="139"/>
      <c r="H762" s="127"/>
      <c r="I762" s="112"/>
      <c r="J762" s="112"/>
      <c r="K762" s="112"/>
      <c r="L762" s="109"/>
      <c r="M762" s="127"/>
      <c r="N762" s="109"/>
      <c r="O762" s="112"/>
      <c r="P762" s="112"/>
      <c r="Q762" s="112"/>
      <c r="R762" s="112"/>
      <c r="S762" s="112"/>
      <c r="T762" s="112"/>
      <c r="U762" s="112"/>
      <c r="V762" s="112"/>
      <c r="W762" s="112"/>
      <c r="X762" s="106"/>
      <c r="Y762" s="106"/>
      <c r="Z762" s="106"/>
      <c r="AA762" s="106"/>
      <c r="AB762" s="106"/>
      <c r="AC762" s="106"/>
    </row>
    <row r="763" spans="1:29" customFormat="1">
      <c r="A763" s="115" t="s">
        <v>1743</v>
      </c>
      <c r="B763" s="115" t="s">
        <v>1744</v>
      </c>
      <c r="C763" s="145" t="s">
        <v>1745</v>
      </c>
      <c r="D763" s="108"/>
      <c r="E763" s="108"/>
      <c r="F763" s="139">
        <v>323</v>
      </c>
      <c r="G763" s="139"/>
      <c r="H763" s="115"/>
      <c r="I763" s="115"/>
      <c r="J763" s="115"/>
      <c r="K763" s="115"/>
      <c r="L763" s="115" t="s">
        <v>1289</v>
      </c>
      <c r="M763" s="127"/>
      <c r="N763" s="115" t="s">
        <v>1699</v>
      </c>
      <c r="O763" s="115"/>
      <c r="P763" s="112"/>
      <c r="Q763" s="112"/>
      <c r="R763" s="112"/>
      <c r="S763" s="112"/>
      <c r="T763" s="112"/>
      <c r="U763" s="112"/>
      <c r="V763" s="112"/>
      <c r="W763" s="112"/>
      <c r="X763" s="106"/>
      <c r="Y763" s="106"/>
      <c r="Z763" s="106"/>
      <c r="AA763" s="106"/>
      <c r="AB763" s="106"/>
      <c r="AC763" s="106"/>
    </row>
    <row r="764" spans="1:29" customFormat="1">
      <c r="A764" s="124" t="s">
        <v>1217</v>
      </c>
      <c r="B764" s="124" t="s">
        <v>1180</v>
      </c>
      <c r="C764" s="145" t="s">
        <v>985</v>
      </c>
      <c r="D764" s="108"/>
      <c r="E764" s="108"/>
      <c r="F764" s="139">
        <v>346</v>
      </c>
      <c r="G764" s="139"/>
      <c r="H764" s="124"/>
      <c r="I764" s="112"/>
      <c r="J764" s="112"/>
      <c r="K764" s="112"/>
      <c r="L764" s="109" t="s">
        <v>2345</v>
      </c>
      <c r="M764" s="124"/>
      <c r="N764" s="109"/>
      <c r="O764" s="112"/>
      <c r="P764" s="112"/>
      <c r="Q764" s="112"/>
      <c r="R764" s="112"/>
      <c r="S764" s="112"/>
      <c r="T764" s="112"/>
      <c r="U764" s="112"/>
      <c r="V764" s="112"/>
      <c r="W764" s="112"/>
      <c r="X764" s="106"/>
      <c r="Y764" s="106"/>
      <c r="Z764" s="106"/>
      <c r="AA764" s="106"/>
      <c r="AB764" s="106"/>
      <c r="AC764" s="106"/>
    </row>
    <row r="765" spans="1:29" customFormat="1">
      <c r="A765" s="136" t="s">
        <v>2330</v>
      </c>
      <c r="B765" s="127" t="s">
        <v>2333</v>
      </c>
      <c r="C765" s="145" t="s">
        <v>526</v>
      </c>
      <c r="D765" s="108"/>
      <c r="E765" s="108"/>
      <c r="F765" s="139">
        <v>337</v>
      </c>
      <c r="G765" s="139"/>
      <c r="H765" s="127"/>
      <c r="I765" s="112"/>
      <c r="J765" s="112"/>
      <c r="K765" s="112"/>
      <c r="L765" s="109"/>
      <c r="M765" s="116"/>
      <c r="N765" s="109" t="s">
        <v>2329</v>
      </c>
      <c r="O765" s="112"/>
      <c r="P765" s="112"/>
      <c r="Q765" s="112"/>
      <c r="R765" s="112"/>
      <c r="S765" s="112"/>
      <c r="T765" s="112"/>
      <c r="U765" s="112"/>
      <c r="V765" s="112"/>
      <c r="W765" s="112"/>
      <c r="X765" s="106"/>
      <c r="Y765" s="106"/>
      <c r="Z765" s="106"/>
      <c r="AA765" s="106"/>
      <c r="AB765" s="106"/>
      <c r="AC765" s="106"/>
    </row>
    <row r="766" spans="1:29" customFormat="1">
      <c r="A766" s="115" t="s">
        <v>1724</v>
      </c>
      <c r="B766" s="115" t="s">
        <v>1725</v>
      </c>
      <c r="C766" s="145" t="s">
        <v>1726</v>
      </c>
      <c r="D766" s="108"/>
      <c r="E766" s="108"/>
      <c r="F766" s="139">
        <v>141</v>
      </c>
      <c r="G766" s="139"/>
      <c r="H766" s="115"/>
      <c r="I766" s="133"/>
      <c r="J766" s="133"/>
      <c r="K766" s="133"/>
      <c r="L766" s="127" t="s">
        <v>1314</v>
      </c>
      <c r="M766" s="124"/>
      <c r="N766" s="115"/>
      <c r="O766" s="133"/>
      <c r="P766" s="112"/>
      <c r="Q766" s="112"/>
      <c r="R766" s="112"/>
      <c r="S766" s="112"/>
      <c r="T766" s="112"/>
      <c r="U766" s="112"/>
      <c r="V766" s="112"/>
      <c r="W766" s="112"/>
      <c r="X766" s="106"/>
      <c r="Y766" s="106"/>
      <c r="Z766" s="106"/>
      <c r="AA766" s="106"/>
      <c r="AB766" s="106"/>
      <c r="AC766" s="106"/>
    </row>
    <row r="767" spans="1:29" customFormat="1">
      <c r="A767" s="136" t="s">
        <v>2366</v>
      </c>
      <c r="B767" s="127" t="s">
        <v>2365</v>
      </c>
      <c r="C767" s="145" t="s">
        <v>817</v>
      </c>
      <c r="D767" s="108"/>
      <c r="E767" s="108"/>
      <c r="F767" s="139">
        <v>475</v>
      </c>
      <c r="G767" s="139"/>
      <c r="H767" s="127"/>
      <c r="I767" s="112"/>
      <c r="J767" s="112"/>
      <c r="K767" s="112"/>
      <c r="L767" s="109"/>
      <c r="M767" s="116"/>
      <c r="N767" s="109"/>
      <c r="O767" s="112"/>
      <c r="P767" s="112"/>
      <c r="Q767" s="112"/>
      <c r="R767" s="112"/>
      <c r="S767" s="112"/>
      <c r="T767" s="112"/>
      <c r="U767" s="112"/>
      <c r="V767" s="112"/>
      <c r="W767" s="112"/>
      <c r="X767" s="106"/>
      <c r="Y767" s="106"/>
      <c r="Z767" s="106"/>
      <c r="AA767" s="106"/>
      <c r="AB767" s="106"/>
      <c r="AC767" s="106"/>
    </row>
    <row r="768" spans="1:29" customFormat="1">
      <c r="A768" s="115" t="s">
        <v>1517</v>
      </c>
      <c r="B768" s="127" t="s">
        <v>1518</v>
      </c>
      <c r="C768" s="145"/>
      <c r="D768" s="108"/>
      <c r="E768" s="108"/>
      <c r="F768" s="139"/>
      <c r="G768" s="139"/>
      <c r="H768" s="127"/>
      <c r="I768" s="122"/>
      <c r="J768" s="122" t="s">
        <v>1519</v>
      </c>
      <c r="K768" s="122"/>
      <c r="L768" s="109"/>
      <c r="M768" s="124"/>
      <c r="N768" s="127" t="s">
        <v>1469</v>
      </c>
      <c r="O768" s="122"/>
      <c r="P768" s="112"/>
      <c r="Q768" s="112"/>
      <c r="R768" s="112"/>
      <c r="S768" s="112"/>
      <c r="T768" s="112"/>
      <c r="U768" s="112"/>
      <c r="V768" s="112"/>
      <c r="W768" s="112"/>
      <c r="X768" s="106"/>
      <c r="Y768" s="106"/>
      <c r="Z768" s="106"/>
      <c r="AA768" s="106"/>
      <c r="AB768" s="106"/>
      <c r="AC768" s="106"/>
    </row>
    <row r="769" spans="1:29" customFormat="1" ht="47.25">
      <c r="A769" s="115" t="s">
        <v>1511</v>
      </c>
      <c r="B769" s="127" t="s">
        <v>1264</v>
      </c>
      <c r="C769" s="145"/>
      <c r="D769" s="108"/>
      <c r="E769" s="108"/>
      <c r="F769" s="139"/>
      <c r="G769" s="139"/>
      <c r="H769" s="127"/>
      <c r="I769" s="122"/>
      <c r="J769" s="122" t="s">
        <v>2254</v>
      </c>
      <c r="K769" s="122"/>
      <c r="L769" s="127" t="s">
        <v>1262</v>
      </c>
      <c r="M769" s="115"/>
      <c r="N769" s="116"/>
      <c r="O769" s="122"/>
      <c r="P769" s="112"/>
      <c r="Q769" s="112"/>
      <c r="R769" s="112"/>
      <c r="S769" s="112"/>
      <c r="T769" s="112"/>
      <c r="U769" s="112"/>
      <c r="V769" s="112"/>
      <c r="W769" s="112"/>
      <c r="X769" s="106"/>
      <c r="Y769" s="106"/>
      <c r="Z769" s="106"/>
      <c r="AA769" s="106"/>
      <c r="AB769" s="106"/>
      <c r="AC769" s="106"/>
    </row>
    <row r="770" spans="1:29" customFormat="1">
      <c r="A770" s="115" t="s">
        <v>1511</v>
      </c>
      <c r="B770" s="127" t="s">
        <v>1512</v>
      </c>
      <c r="C770" s="145"/>
      <c r="D770" s="108"/>
      <c r="E770" s="108"/>
      <c r="F770" s="139"/>
      <c r="G770" s="139"/>
      <c r="H770" s="127"/>
      <c r="I770" s="122"/>
      <c r="J770" s="122" t="s">
        <v>1513</v>
      </c>
      <c r="K770" s="122"/>
      <c r="L770" s="116"/>
      <c r="M770" s="115"/>
      <c r="N770" s="127" t="s">
        <v>1461</v>
      </c>
      <c r="O770" s="122"/>
      <c r="P770" s="112"/>
      <c r="Q770" s="112"/>
      <c r="R770" s="112"/>
      <c r="S770" s="112"/>
      <c r="T770" s="112"/>
      <c r="U770" s="112"/>
      <c r="V770" s="112"/>
      <c r="W770" s="112"/>
      <c r="X770" s="106"/>
      <c r="Y770" s="106"/>
      <c r="Z770" s="106"/>
      <c r="AA770" s="106"/>
      <c r="AB770" s="106"/>
      <c r="AC770" s="106"/>
    </row>
    <row r="771" spans="1:29" customFormat="1">
      <c r="A771" s="124" t="s">
        <v>17</v>
      </c>
      <c r="B771" s="124" t="s">
        <v>574</v>
      </c>
      <c r="C771" s="151"/>
      <c r="D771" s="118"/>
      <c r="E771" s="118"/>
      <c r="F771" s="140"/>
      <c r="G771" s="140"/>
      <c r="H771" s="154"/>
      <c r="I771" s="120"/>
      <c r="J771" s="120"/>
      <c r="K771" s="120"/>
      <c r="L771" s="154"/>
      <c r="M771" s="124"/>
      <c r="N771" s="154"/>
      <c r="O771" s="120"/>
      <c r="P771" s="120"/>
      <c r="Q771" s="120"/>
      <c r="R771" s="120"/>
      <c r="S771" s="120"/>
      <c r="T771" s="120"/>
      <c r="U771" s="120"/>
      <c r="V771" s="120"/>
      <c r="W771" s="120"/>
      <c r="X771" s="120"/>
      <c r="Y771" s="120"/>
      <c r="Z771" s="120"/>
      <c r="AA771" s="120"/>
      <c r="AB771" s="120"/>
      <c r="AC771" s="120"/>
    </row>
    <row r="772" spans="1:29" customFormat="1">
      <c r="A772" s="136" t="s">
        <v>2346</v>
      </c>
      <c r="B772" s="127"/>
      <c r="C772" s="145"/>
      <c r="D772" s="108"/>
      <c r="E772" s="108"/>
      <c r="F772" s="139"/>
      <c r="G772" s="139"/>
      <c r="H772" s="127"/>
      <c r="I772" s="112"/>
      <c r="J772" s="112"/>
      <c r="K772" s="112"/>
      <c r="L772" s="116"/>
      <c r="M772" s="116"/>
      <c r="N772" s="116"/>
      <c r="O772" s="112"/>
      <c r="P772" s="112"/>
      <c r="Q772" s="112"/>
      <c r="R772" s="112"/>
      <c r="S772" s="112"/>
      <c r="T772" s="112"/>
      <c r="U772" s="112"/>
      <c r="V772" s="112"/>
      <c r="W772" s="112"/>
      <c r="X772" s="106"/>
      <c r="Y772" s="106"/>
      <c r="Z772" s="106"/>
      <c r="AA772" s="106"/>
      <c r="AB772" s="106"/>
      <c r="AC772" s="106"/>
    </row>
    <row r="773" spans="1:29" customFormat="1">
      <c r="A773" s="115" t="s">
        <v>1532</v>
      </c>
      <c r="B773" s="127" t="s">
        <v>1533</v>
      </c>
      <c r="C773" s="145"/>
      <c r="D773" s="108"/>
      <c r="E773" s="108"/>
      <c r="F773" s="139"/>
      <c r="G773" s="139"/>
      <c r="H773" s="127"/>
      <c r="I773" s="122"/>
      <c r="J773" s="122" t="s">
        <v>1534</v>
      </c>
      <c r="K773" s="122"/>
      <c r="L773" s="116"/>
      <c r="M773" s="115"/>
      <c r="N773" s="127" t="s">
        <v>1469</v>
      </c>
      <c r="O773" s="122"/>
      <c r="P773" s="112"/>
      <c r="Q773" s="112"/>
      <c r="R773" s="112"/>
      <c r="S773" s="112"/>
      <c r="T773" s="112"/>
      <c r="U773" s="112"/>
      <c r="V773" s="112"/>
      <c r="W773" s="112"/>
      <c r="X773" s="106"/>
      <c r="Y773" s="106"/>
      <c r="Z773" s="106"/>
      <c r="AA773" s="106"/>
      <c r="AB773" s="106"/>
      <c r="AC773" s="106"/>
    </row>
    <row r="774" spans="1:29" customFormat="1">
      <c r="A774" s="124" t="s">
        <v>1214</v>
      </c>
      <c r="B774" s="124" t="s">
        <v>1175</v>
      </c>
      <c r="C774" s="145"/>
      <c r="D774" s="108"/>
      <c r="E774" s="108"/>
      <c r="F774" s="139"/>
      <c r="G774" s="139"/>
      <c r="H774" s="124"/>
      <c r="I774" s="110"/>
      <c r="J774" s="110"/>
      <c r="K774" s="110"/>
      <c r="L774" s="116"/>
      <c r="M774" s="116"/>
      <c r="N774" s="116"/>
      <c r="O774" s="110"/>
      <c r="P774" s="110"/>
      <c r="Q774" s="110"/>
      <c r="R774" s="110"/>
      <c r="S774" s="110"/>
      <c r="T774" s="110"/>
      <c r="U774" s="110"/>
      <c r="V774" s="110"/>
      <c r="W774" s="110"/>
      <c r="X774" s="106"/>
      <c r="Y774" s="106"/>
      <c r="Z774" s="106"/>
      <c r="AA774" s="106"/>
      <c r="AB774" s="106"/>
      <c r="AC774" s="106"/>
    </row>
    <row r="775" spans="1:29" customFormat="1">
      <c r="A775" s="115" t="s">
        <v>1526</v>
      </c>
      <c r="B775" s="127" t="s">
        <v>1527</v>
      </c>
      <c r="C775" s="145"/>
      <c r="D775" s="108"/>
      <c r="E775" s="108"/>
      <c r="F775" s="139"/>
      <c r="G775" s="139"/>
      <c r="H775" s="127"/>
      <c r="I775" s="122"/>
      <c r="J775" s="122" t="s">
        <v>1528</v>
      </c>
      <c r="K775" s="122"/>
      <c r="L775" s="116"/>
      <c r="M775" s="115"/>
      <c r="N775" s="127" t="s">
        <v>1509</v>
      </c>
      <c r="O775" s="122"/>
      <c r="P775" s="112"/>
      <c r="Q775" s="112"/>
      <c r="R775" s="112"/>
      <c r="S775" s="112"/>
      <c r="T775" s="112"/>
      <c r="U775" s="112"/>
      <c r="V775" s="112"/>
      <c r="W775" s="112"/>
      <c r="X775" s="106"/>
      <c r="Y775" s="106"/>
      <c r="Z775" s="106"/>
      <c r="AA775" s="106"/>
      <c r="AB775" s="106"/>
      <c r="AC775" s="106"/>
    </row>
    <row r="776" spans="1:29" customFormat="1">
      <c r="A776" s="124" t="s">
        <v>548</v>
      </c>
      <c r="B776" s="124" t="s">
        <v>550</v>
      </c>
      <c r="C776" s="145"/>
      <c r="D776" s="108"/>
      <c r="E776" s="108"/>
      <c r="F776" s="139"/>
      <c r="G776" s="139"/>
      <c r="H776" s="124"/>
      <c r="I776" s="112"/>
      <c r="J776" s="112"/>
      <c r="K776" s="112"/>
      <c r="L776" s="116"/>
      <c r="M776" s="124"/>
      <c r="N776" s="116"/>
      <c r="O776" s="112"/>
      <c r="P776" s="112"/>
      <c r="Q776" s="112"/>
      <c r="R776" s="112"/>
      <c r="S776" s="112"/>
      <c r="T776" s="112"/>
      <c r="U776" s="112"/>
      <c r="V776" s="112"/>
      <c r="W776" s="112"/>
      <c r="X776" s="106"/>
      <c r="Y776" s="106"/>
      <c r="Z776" s="106"/>
      <c r="AA776" s="106"/>
      <c r="AB776" s="106"/>
      <c r="AC776" s="106"/>
    </row>
    <row r="777" spans="1:29" customFormat="1">
      <c r="A777" s="124" t="s">
        <v>3149</v>
      </c>
      <c r="B777" s="131" t="s">
        <v>3147</v>
      </c>
      <c r="C777" s="120"/>
      <c r="D777" s="108"/>
      <c r="E777" s="108"/>
      <c r="F777" s="139"/>
      <c r="G777" s="139"/>
      <c r="H777" s="131"/>
      <c r="I777" s="124"/>
      <c r="J777" s="124"/>
      <c r="K777" s="124"/>
      <c r="L777" s="109"/>
      <c r="M777" s="124"/>
      <c r="N777" s="109" t="s">
        <v>2237</v>
      </c>
      <c r="O777" s="124"/>
      <c r="P777" s="112"/>
      <c r="Q777" s="112"/>
      <c r="R777" s="112"/>
      <c r="S777" s="112"/>
      <c r="T777" s="112"/>
      <c r="U777" s="112"/>
      <c r="V777" s="112"/>
      <c r="W777" s="112"/>
      <c r="X777" s="106"/>
      <c r="Y777" s="106"/>
      <c r="Z777" s="106"/>
      <c r="AA777" s="106"/>
      <c r="AB777" s="106"/>
      <c r="AC777" s="106"/>
    </row>
    <row r="778" spans="1:29" customFormat="1">
      <c r="A778" s="115" t="s">
        <v>1520</v>
      </c>
      <c r="B778" s="127" t="s">
        <v>255</v>
      </c>
      <c r="C778" s="145"/>
      <c r="D778" s="108"/>
      <c r="E778" s="108"/>
      <c r="F778" s="139"/>
      <c r="G778" s="139"/>
      <c r="H778" s="127"/>
      <c r="I778" s="122"/>
      <c r="J778" s="122" t="s">
        <v>1522</v>
      </c>
      <c r="K778" s="122"/>
      <c r="L778" s="109"/>
      <c r="M778" s="127"/>
      <c r="N778" s="127" t="s">
        <v>1521</v>
      </c>
      <c r="O778" s="122"/>
      <c r="P778" s="112"/>
      <c r="Q778" s="112"/>
      <c r="R778" s="112"/>
      <c r="S778" s="112"/>
      <c r="T778" s="112"/>
      <c r="U778" s="112"/>
      <c r="V778" s="112"/>
      <c r="W778" s="112"/>
      <c r="X778" s="106"/>
      <c r="Y778" s="106"/>
      <c r="Z778" s="106"/>
      <c r="AA778" s="106"/>
      <c r="AB778" s="106"/>
      <c r="AC778" s="106"/>
    </row>
    <row r="779" spans="1:29" customFormat="1">
      <c r="A779" s="115" t="s">
        <v>159</v>
      </c>
      <c r="B779" s="127" t="s">
        <v>1613</v>
      </c>
      <c r="C779" s="145"/>
      <c r="D779" s="108"/>
      <c r="E779" s="108"/>
      <c r="F779" s="139"/>
      <c r="G779" s="139"/>
      <c r="H779" s="127"/>
      <c r="I779" s="115"/>
      <c r="J779" s="115"/>
      <c r="K779" s="115"/>
      <c r="L779" s="109"/>
      <c r="M779" s="124"/>
      <c r="N779" s="127"/>
      <c r="O779" s="115"/>
      <c r="P779" s="115"/>
      <c r="Q779" s="115"/>
      <c r="R779" s="115"/>
      <c r="S779" s="115"/>
      <c r="T779" s="115"/>
      <c r="U779" s="115"/>
      <c r="V779" s="115"/>
      <c r="W779" s="115"/>
      <c r="X779" s="106"/>
      <c r="Y779" s="106"/>
      <c r="Z779" s="106"/>
      <c r="AA779" s="106"/>
      <c r="AB779" s="106"/>
      <c r="AC779" s="106"/>
    </row>
    <row r="780" spans="1:29" customFormat="1">
      <c r="A780" s="124" t="s">
        <v>2387</v>
      </c>
      <c r="B780" s="131" t="s">
        <v>1613</v>
      </c>
      <c r="C780" s="145"/>
      <c r="D780" s="108"/>
      <c r="E780" s="108"/>
      <c r="F780" s="139"/>
      <c r="G780" s="139"/>
      <c r="H780" s="131"/>
      <c r="I780" s="124"/>
      <c r="J780" s="124"/>
      <c r="K780" s="124"/>
      <c r="L780" s="109"/>
      <c r="M780" s="127"/>
      <c r="N780" s="109" t="s">
        <v>2375</v>
      </c>
      <c r="O780" s="124"/>
      <c r="P780" s="112"/>
      <c r="Q780" s="112"/>
      <c r="R780" s="112"/>
      <c r="S780" s="112"/>
      <c r="T780" s="112"/>
      <c r="U780" s="112"/>
      <c r="V780" s="112"/>
      <c r="W780" s="112"/>
      <c r="X780" s="106"/>
      <c r="Y780" s="106"/>
      <c r="Z780" s="106"/>
      <c r="AA780" s="106"/>
      <c r="AB780" s="106"/>
      <c r="AC780" s="106"/>
    </row>
    <row r="781" spans="1:29" customFormat="1">
      <c r="A781" s="115" t="s">
        <v>1503</v>
      </c>
      <c r="B781" s="127" t="s">
        <v>1514</v>
      </c>
      <c r="C781" s="145"/>
      <c r="D781" s="108"/>
      <c r="E781" s="108"/>
      <c r="F781" s="139"/>
      <c r="G781" s="139"/>
      <c r="H781" s="127"/>
      <c r="I781" s="122"/>
      <c r="J781" s="122" t="s">
        <v>1516</v>
      </c>
      <c r="K781" s="122"/>
      <c r="L781" s="109"/>
      <c r="M781" s="127"/>
      <c r="N781" s="127" t="s">
        <v>1515</v>
      </c>
      <c r="O781" s="122"/>
      <c r="P781" s="112"/>
      <c r="Q781" s="112"/>
      <c r="R781" s="112"/>
      <c r="S781" s="112"/>
      <c r="T781" s="112"/>
      <c r="U781" s="112"/>
      <c r="V781" s="112"/>
      <c r="W781" s="112"/>
      <c r="X781" s="106"/>
      <c r="Y781" s="106"/>
      <c r="Z781" s="106"/>
      <c r="AA781" s="106"/>
      <c r="AB781" s="106"/>
      <c r="AC781" s="106"/>
    </row>
    <row r="782" spans="1:29" customFormat="1">
      <c r="A782" s="136" t="s">
        <v>2342</v>
      </c>
      <c r="B782" s="127"/>
      <c r="C782" s="145"/>
      <c r="D782" s="108"/>
      <c r="E782" s="108"/>
      <c r="F782" s="139"/>
      <c r="G782" s="139"/>
      <c r="H782" s="127"/>
      <c r="I782" s="112"/>
      <c r="J782" s="112"/>
      <c r="K782" s="112"/>
      <c r="L782" s="116"/>
      <c r="M782" s="127"/>
      <c r="N782" s="116"/>
      <c r="O782" s="112"/>
      <c r="P782" s="112"/>
      <c r="Q782" s="112"/>
      <c r="R782" s="112"/>
      <c r="S782" s="112"/>
      <c r="T782" s="112"/>
      <c r="U782" s="112"/>
      <c r="V782" s="112"/>
      <c r="W782" s="112"/>
      <c r="X782" s="106"/>
      <c r="Y782" s="106"/>
      <c r="Z782" s="106"/>
      <c r="AA782" s="106"/>
      <c r="AB782" s="106"/>
      <c r="AC782" s="106" t="s">
        <v>4699</v>
      </c>
    </row>
    <row r="783" spans="1:29" customFormat="1">
      <c r="A783" s="124" t="s">
        <v>1565</v>
      </c>
      <c r="B783" s="131" t="s">
        <v>312</v>
      </c>
      <c r="C783" s="145"/>
      <c r="D783" s="108"/>
      <c r="E783" s="108"/>
      <c r="F783" s="139"/>
      <c r="G783" s="139"/>
      <c r="H783" s="131"/>
      <c r="I783" s="124"/>
      <c r="J783" s="124"/>
      <c r="K783" s="124"/>
      <c r="L783" s="109"/>
      <c r="M783" s="124"/>
      <c r="N783" s="109"/>
      <c r="O783" s="124"/>
      <c r="P783" s="112"/>
      <c r="Q783" s="112"/>
      <c r="R783" s="112"/>
      <c r="S783" s="112"/>
      <c r="T783" s="112"/>
      <c r="U783" s="112"/>
      <c r="V783" s="112"/>
      <c r="W783" s="112"/>
      <c r="X783" s="106"/>
      <c r="Y783" s="106"/>
      <c r="Z783" s="106"/>
      <c r="AA783" s="106"/>
      <c r="AB783" s="106"/>
      <c r="AC783" s="106"/>
    </row>
    <row r="784" spans="1:29" customFormat="1">
      <c r="A784" s="124" t="s">
        <v>2389</v>
      </c>
      <c r="B784" s="124" t="s">
        <v>315</v>
      </c>
      <c r="C784" s="153"/>
      <c r="D784" s="121"/>
      <c r="E784" s="121"/>
      <c r="F784" s="141"/>
      <c r="G784" s="141"/>
      <c r="H784" s="124"/>
      <c r="I784" s="112"/>
      <c r="J784" s="112"/>
      <c r="K784" s="112"/>
      <c r="L784" s="116"/>
      <c r="M784" s="131"/>
      <c r="N784" s="116"/>
      <c r="O784" s="112"/>
      <c r="P784" s="112"/>
      <c r="Q784" s="112"/>
      <c r="R784" s="112"/>
      <c r="S784" s="112"/>
      <c r="T784" s="112"/>
      <c r="U784" s="112"/>
      <c r="V784" s="112"/>
      <c r="W784" s="112"/>
      <c r="X784" s="106"/>
      <c r="Y784" s="106"/>
      <c r="Z784" s="106"/>
      <c r="AA784" s="106"/>
      <c r="AB784" s="106"/>
      <c r="AC784" s="106"/>
    </row>
    <row r="785" spans="1:29" customFormat="1">
      <c r="A785" s="115" t="s">
        <v>1535</v>
      </c>
      <c r="B785" s="127" t="s">
        <v>1536</v>
      </c>
      <c r="C785" s="145"/>
      <c r="D785" s="108"/>
      <c r="E785" s="108"/>
      <c r="F785" s="139"/>
      <c r="G785" s="139"/>
      <c r="H785" s="127"/>
      <c r="I785" s="134"/>
      <c r="J785" s="120"/>
      <c r="K785" s="134" t="s">
        <v>1537</v>
      </c>
      <c r="L785" s="116"/>
      <c r="M785" s="115"/>
      <c r="N785" s="127" t="s">
        <v>1509</v>
      </c>
      <c r="O785" s="134"/>
      <c r="P785" s="112"/>
      <c r="Q785" s="112"/>
      <c r="R785" s="112"/>
      <c r="S785" s="112"/>
      <c r="T785" s="112"/>
      <c r="U785" s="112"/>
      <c r="V785" s="112"/>
      <c r="W785" s="112"/>
      <c r="X785" s="106"/>
      <c r="Y785" s="106"/>
      <c r="Z785" s="106"/>
      <c r="AA785" s="106"/>
      <c r="AB785" s="106"/>
      <c r="AC785" s="106"/>
    </row>
    <row r="786" spans="1:29" customFormat="1" ht="31.5">
      <c r="A786" s="124" t="s">
        <v>1584</v>
      </c>
      <c r="B786" s="127" t="s">
        <v>3157</v>
      </c>
      <c r="C786" s="145"/>
      <c r="D786" s="108"/>
      <c r="E786" s="108"/>
      <c r="F786" s="139"/>
      <c r="G786" s="139"/>
      <c r="H786" s="127"/>
      <c r="I786" s="115" t="s">
        <v>3156</v>
      </c>
      <c r="J786" s="115">
        <v>18221771878</v>
      </c>
      <c r="K786" s="115"/>
      <c r="L786" s="109"/>
      <c r="M786" s="127"/>
      <c r="N786" s="127"/>
      <c r="O786" s="115"/>
      <c r="P786" s="115"/>
      <c r="Q786" s="115"/>
      <c r="R786" s="115"/>
      <c r="S786" s="115"/>
      <c r="T786" s="115"/>
      <c r="U786" s="115"/>
      <c r="V786" s="115"/>
      <c r="W786" s="115"/>
      <c r="X786" s="106"/>
      <c r="Y786" s="106"/>
      <c r="Z786" s="106"/>
      <c r="AA786" s="106"/>
      <c r="AB786" s="106"/>
      <c r="AC786" s="106"/>
    </row>
    <row r="787" spans="1:29" customFormat="1" ht="31.5">
      <c r="A787" s="115" t="s">
        <v>1682</v>
      </c>
      <c r="B787" s="127" t="s">
        <v>1683</v>
      </c>
      <c r="C787" s="145"/>
      <c r="D787" s="108"/>
      <c r="E787" s="108"/>
      <c r="F787" s="139"/>
      <c r="G787" s="139"/>
      <c r="H787" s="127"/>
      <c r="I787" s="115"/>
      <c r="J787" s="115"/>
      <c r="K787" s="115"/>
      <c r="L787" s="109"/>
      <c r="M787" s="127"/>
      <c r="N787" s="127"/>
      <c r="O787" s="115"/>
      <c r="P787" s="115" t="s">
        <v>1684</v>
      </c>
      <c r="Q787" s="115"/>
      <c r="R787" s="115"/>
      <c r="S787" s="115"/>
      <c r="T787" s="115"/>
      <c r="U787" s="115"/>
      <c r="V787" s="115"/>
      <c r="W787" s="115"/>
      <c r="X787" s="106"/>
      <c r="Y787" s="106"/>
      <c r="Z787" s="106"/>
      <c r="AA787" s="106"/>
      <c r="AB787" s="106"/>
      <c r="AC787" s="106"/>
    </row>
    <row r="788" spans="1:29" customFormat="1" ht="31.5">
      <c r="A788" s="115" t="s">
        <v>1559</v>
      </c>
      <c r="B788" s="127" t="s">
        <v>1558</v>
      </c>
      <c r="C788" s="145"/>
      <c r="D788" s="108"/>
      <c r="E788" s="108"/>
      <c r="F788" s="139"/>
      <c r="G788" s="139"/>
      <c r="H788" s="127" t="s">
        <v>2420</v>
      </c>
      <c r="I788" s="115" t="s">
        <v>2423</v>
      </c>
      <c r="J788" s="115">
        <v>18210186833</v>
      </c>
      <c r="K788" s="115"/>
      <c r="L788" s="116" t="s">
        <v>2424</v>
      </c>
      <c r="M788" s="127"/>
      <c r="N788" s="127"/>
      <c r="O788" s="115"/>
      <c r="P788" s="115" t="s">
        <v>1672</v>
      </c>
      <c r="Q788" s="115"/>
      <c r="R788" s="115"/>
      <c r="S788" s="115"/>
      <c r="T788" s="115"/>
      <c r="U788" s="115"/>
      <c r="V788" s="115"/>
      <c r="W788" s="115"/>
      <c r="X788" s="106"/>
      <c r="Y788" s="106" t="s">
        <v>2402</v>
      </c>
      <c r="Z788" s="106"/>
      <c r="AA788" s="106"/>
      <c r="AB788" s="106"/>
      <c r="AC788" s="106"/>
    </row>
    <row r="789" spans="1:29" customFormat="1">
      <c r="A789" s="115" t="s">
        <v>1529</v>
      </c>
      <c r="B789" s="127" t="s">
        <v>1530</v>
      </c>
      <c r="C789" s="145"/>
      <c r="D789" s="108"/>
      <c r="E789" s="108"/>
      <c r="F789" s="139"/>
      <c r="G789" s="139"/>
      <c r="H789" s="127"/>
      <c r="I789" s="122"/>
      <c r="J789" s="120"/>
      <c r="K789" s="122" t="s">
        <v>1531</v>
      </c>
      <c r="L789" s="109"/>
      <c r="M789" s="127"/>
      <c r="N789" s="127" t="s">
        <v>1469</v>
      </c>
      <c r="O789" s="122"/>
      <c r="P789" s="112"/>
      <c r="Q789" s="112"/>
      <c r="R789" s="112"/>
      <c r="S789" s="112"/>
      <c r="T789" s="112"/>
      <c r="U789" s="112"/>
      <c r="V789" s="112"/>
      <c r="W789" s="112"/>
      <c r="X789" s="106"/>
      <c r="Y789" s="106"/>
      <c r="Z789" s="106"/>
      <c r="AA789" s="106"/>
      <c r="AB789" s="106"/>
      <c r="AC789" s="106"/>
    </row>
    <row r="790" spans="1:29" customFormat="1">
      <c r="A790" s="124" t="s">
        <v>1567</v>
      </c>
      <c r="B790" s="131" t="s">
        <v>1566</v>
      </c>
      <c r="C790" s="145"/>
      <c r="D790" s="108"/>
      <c r="E790" s="108"/>
      <c r="F790" s="139"/>
      <c r="G790" s="139"/>
      <c r="H790" s="131"/>
      <c r="I790" s="124"/>
      <c r="J790" s="120"/>
      <c r="K790" s="124"/>
      <c r="L790" s="109"/>
      <c r="M790" s="131"/>
      <c r="N790" s="109"/>
      <c r="O790" s="124"/>
      <c r="P790" s="112"/>
      <c r="Q790" s="112"/>
      <c r="R790" s="112"/>
      <c r="S790" s="112"/>
      <c r="T790" s="112"/>
      <c r="U790" s="112"/>
      <c r="V790" s="112"/>
      <c r="W790" s="112"/>
      <c r="X790" s="106"/>
      <c r="Y790" s="106"/>
      <c r="Z790" s="106"/>
      <c r="AA790" s="106"/>
      <c r="AB790" s="106"/>
      <c r="AC790" s="106"/>
    </row>
    <row r="791" spans="1:29" customFormat="1">
      <c r="A791" s="124" t="s">
        <v>1234</v>
      </c>
      <c r="B791" s="124" t="s">
        <v>1068</v>
      </c>
      <c r="C791" s="145"/>
      <c r="D791" s="108"/>
      <c r="E791" s="108"/>
      <c r="F791" s="139"/>
      <c r="G791" s="139"/>
      <c r="H791" s="124"/>
      <c r="I791" s="112"/>
      <c r="J791" s="112"/>
      <c r="K791" s="112"/>
      <c r="L791" s="116"/>
      <c r="M791" s="124"/>
      <c r="N791" s="116" t="s">
        <v>2343</v>
      </c>
      <c r="O791" s="112"/>
      <c r="P791" s="112"/>
      <c r="Q791" s="112"/>
      <c r="R791" s="112"/>
      <c r="S791" s="112"/>
      <c r="T791" s="112"/>
      <c r="U791" s="112"/>
      <c r="V791" s="112"/>
      <c r="W791" s="112"/>
      <c r="X791" s="106"/>
      <c r="Y791" s="106"/>
      <c r="Z791" s="106"/>
      <c r="AA791" s="106"/>
      <c r="AB791" s="106"/>
      <c r="AC791" s="106"/>
    </row>
    <row r="792" spans="1:29" customFormat="1">
      <c r="A792" s="136" t="s">
        <v>2340</v>
      </c>
      <c r="B792" s="127" t="s">
        <v>2341</v>
      </c>
      <c r="C792" s="145"/>
      <c r="D792" s="108"/>
      <c r="E792" s="108"/>
      <c r="F792" s="139"/>
      <c r="G792" s="139"/>
      <c r="H792" s="127"/>
      <c r="I792" s="112"/>
      <c r="J792" s="112"/>
      <c r="K792" s="112"/>
      <c r="L792" s="116"/>
      <c r="M792" s="116"/>
      <c r="N792" s="116" t="s">
        <v>2339</v>
      </c>
      <c r="O792" s="112"/>
      <c r="P792" s="112"/>
      <c r="Q792" s="112"/>
      <c r="R792" s="112"/>
      <c r="S792" s="112"/>
      <c r="T792" s="112"/>
      <c r="U792" s="112"/>
      <c r="V792" s="112"/>
      <c r="W792" s="112"/>
      <c r="X792" s="106"/>
      <c r="Y792" s="106"/>
      <c r="Z792" s="106"/>
      <c r="AA792" s="106"/>
      <c r="AB792" s="106"/>
      <c r="AC792" s="106"/>
    </row>
    <row r="793" spans="1:29" customFormat="1" ht="14.25">
      <c r="A793" s="118" t="s">
        <v>811</v>
      </c>
      <c r="B793" s="150" t="s">
        <v>810</v>
      </c>
      <c r="C793" s="151"/>
      <c r="D793" s="118"/>
      <c r="E793" s="118"/>
      <c r="F793" s="140"/>
      <c r="G793" s="140"/>
      <c r="H793" s="118"/>
      <c r="I793" s="120"/>
      <c r="J793" s="120"/>
      <c r="K793" s="120"/>
      <c r="L793" s="118"/>
      <c r="M793" s="118"/>
      <c r="N793" s="118"/>
      <c r="O793" s="120"/>
      <c r="P793" s="120"/>
      <c r="Q793" s="120"/>
      <c r="R793" s="120"/>
      <c r="S793" s="120"/>
      <c r="T793" s="120"/>
      <c r="U793" s="120"/>
      <c r="V793" s="120"/>
      <c r="W793" s="120"/>
      <c r="X793" s="120"/>
      <c r="Y793" s="120"/>
      <c r="Z793" s="120"/>
      <c r="AA793" s="120"/>
      <c r="AB793" s="120"/>
      <c r="AC793" s="120"/>
    </row>
    <row r="794" spans="1:29" customFormat="1">
      <c r="A794" s="115" t="s">
        <v>1523</v>
      </c>
      <c r="B794" s="127" t="s">
        <v>1524</v>
      </c>
      <c r="C794" s="145"/>
      <c r="D794" s="108"/>
      <c r="E794" s="108"/>
      <c r="F794" s="139"/>
      <c r="G794" s="139"/>
      <c r="H794" s="127"/>
      <c r="I794" s="122"/>
      <c r="J794" s="120"/>
      <c r="K794" s="122" t="s">
        <v>1525</v>
      </c>
      <c r="L794" s="109"/>
      <c r="M794" s="127"/>
      <c r="N794" s="127" t="s">
        <v>1505</v>
      </c>
      <c r="O794" s="122"/>
      <c r="P794" s="112"/>
      <c r="Q794" s="112"/>
      <c r="R794" s="112"/>
      <c r="S794" s="112"/>
      <c r="T794" s="112"/>
      <c r="U794" s="112"/>
      <c r="V794" s="112"/>
      <c r="W794" s="112"/>
      <c r="X794" s="106"/>
      <c r="Y794" s="106"/>
      <c r="Z794" s="106"/>
      <c r="AA794" s="106"/>
      <c r="AB794" s="106"/>
      <c r="AC794" s="106"/>
    </row>
    <row r="795" spans="1:29" customFormat="1">
      <c r="A795" s="124"/>
      <c r="B795" s="131" t="s">
        <v>3148</v>
      </c>
      <c r="C795" s="145"/>
      <c r="D795" s="108"/>
      <c r="E795" s="108"/>
      <c r="F795" s="139"/>
      <c r="G795" s="139"/>
      <c r="H795" s="131"/>
      <c r="I795" s="124"/>
      <c r="J795" s="124"/>
      <c r="K795" s="124"/>
      <c r="L795" s="116"/>
      <c r="M795" s="131"/>
      <c r="N795" s="116"/>
      <c r="O795" s="124"/>
      <c r="P795" s="112"/>
      <c r="Q795" s="112"/>
      <c r="R795" s="175"/>
      <c r="S795" s="175"/>
      <c r="T795" s="175"/>
      <c r="U795" s="175"/>
      <c r="V795" s="175"/>
      <c r="W795" s="112"/>
      <c r="X795" s="106"/>
      <c r="Y795" s="106"/>
      <c r="Z795" s="106"/>
      <c r="AA795" s="106"/>
      <c r="AB795" s="106"/>
      <c r="AC795" s="106"/>
    </row>
    <row r="796" spans="1:29" customFormat="1">
      <c r="A796" s="124"/>
      <c r="B796" s="131" t="s">
        <v>1568</v>
      </c>
      <c r="C796" s="145"/>
      <c r="D796" s="108"/>
      <c r="E796" s="108"/>
      <c r="F796" s="139"/>
      <c r="G796" s="139"/>
      <c r="H796" s="131"/>
      <c r="I796" s="124"/>
      <c r="J796" s="124"/>
      <c r="K796" s="124"/>
      <c r="L796" s="109"/>
      <c r="M796" s="131"/>
      <c r="N796" s="109"/>
      <c r="O796" s="124"/>
      <c r="P796" s="112"/>
      <c r="Q796" s="112"/>
      <c r="R796" s="175"/>
      <c r="S796" s="175"/>
      <c r="T796" s="175"/>
      <c r="U796" s="175"/>
      <c r="V796" s="175"/>
      <c r="W796" s="112"/>
      <c r="X796" s="106"/>
      <c r="Y796" s="106"/>
      <c r="Z796" s="106"/>
      <c r="AA796" s="106"/>
      <c r="AB796" s="106"/>
      <c r="AC796" s="106"/>
    </row>
    <row r="797" spans="1:29" customFormat="1" ht="14.25">
      <c r="A797" t="s">
        <v>2635</v>
      </c>
      <c r="B797" t="s">
        <v>2636</v>
      </c>
      <c r="C797" s="55" t="s">
        <v>2637</v>
      </c>
      <c r="F797">
        <v>424</v>
      </c>
      <c r="R797" s="47"/>
      <c r="S797" s="47"/>
      <c r="T797" s="47"/>
      <c r="U797" s="47"/>
      <c r="V797" s="47"/>
      <c r="AC797" t="s">
        <v>4700</v>
      </c>
    </row>
    <row r="798" spans="1:29" customFormat="1" ht="16.5">
      <c r="A798" t="s">
        <v>2703</v>
      </c>
      <c r="B798" t="s">
        <v>4805</v>
      </c>
      <c r="C798" s="93" t="s">
        <v>4812</v>
      </c>
      <c r="R798" s="47"/>
      <c r="S798" s="47"/>
      <c r="T798" s="223" t="s">
        <v>2402</v>
      </c>
      <c r="U798" s="223" t="s">
        <v>2402</v>
      </c>
      <c r="V798" s="223" t="s">
        <v>2402</v>
      </c>
      <c r="W798" s="219"/>
    </row>
    <row r="799" spans="1:29" customFormat="1" ht="14.25">
      <c r="A799" t="s">
        <v>2703</v>
      </c>
      <c r="B799" t="s">
        <v>4813</v>
      </c>
      <c r="C799" s="93" t="s">
        <v>4814</v>
      </c>
      <c r="E799" t="s">
        <v>4822</v>
      </c>
      <c r="P799" t="s">
        <v>4815</v>
      </c>
      <c r="R799" s="47"/>
      <c r="S799" s="47"/>
      <c r="T799" s="47"/>
      <c r="U799" s="47"/>
      <c r="V799" s="47"/>
    </row>
    <row r="800" spans="1:29" customFormat="1" ht="16.5">
      <c r="A800" t="s">
        <v>2703</v>
      </c>
      <c r="B800" s="222" t="s">
        <v>4816</v>
      </c>
      <c r="C800" s="93" t="s">
        <v>4817</v>
      </c>
      <c r="E800" t="s">
        <v>4822</v>
      </c>
      <c r="P800" t="s">
        <v>4818</v>
      </c>
      <c r="R800" s="47"/>
      <c r="S800" s="47"/>
      <c r="T800" s="47"/>
      <c r="U800" s="47"/>
      <c r="V800" s="47"/>
    </row>
    <row r="801" spans="1:29" customFormat="1" ht="16.5">
      <c r="A801" t="s">
        <v>2703</v>
      </c>
      <c r="B801" t="s">
        <v>4820</v>
      </c>
      <c r="C801" s="93" t="s">
        <v>4819</v>
      </c>
      <c r="P801" t="s">
        <v>4821</v>
      </c>
      <c r="R801" s="47"/>
      <c r="S801" s="223" t="s">
        <v>2402</v>
      </c>
      <c r="T801" s="223" t="s">
        <v>2402</v>
      </c>
      <c r="U801" s="47"/>
      <c r="V801" s="47"/>
    </row>
    <row r="802" spans="1:29" customFormat="1" ht="14.25">
      <c r="A802" t="s">
        <v>2703</v>
      </c>
      <c r="B802" t="s">
        <v>4823</v>
      </c>
      <c r="C802" s="93" t="s">
        <v>4824</v>
      </c>
      <c r="E802" t="s">
        <v>4822</v>
      </c>
      <c r="P802" t="s">
        <v>4825</v>
      </c>
      <c r="R802" s="47"/>
      <c r="S802" s="47"/>
      <c r="T802" s="47"/>
      <c r="U802" s="47"/>
      <c r="V802" s="47"/>
    </row>
    <row r="803" spans="1:29" customFormat="1" ht="16.5">
      <c r="A803" t="s">
        <v>2703</v>
      </c>
      <c r="B803" t="s">
        <v>4826</v>
      </c>
      <c r="C803" s="222" t="s">
        <v>4827</v>
      </c>
      <c r="E803" t="s">
        <v>4822</v>
      </c>
      <c r="P803" t="s">
        <v>4828</v>
      </c>
      <c r="R803" s="47"/>
      <c r="S803" s="47"/>
      <c r="T803" s="47"/>
      <c r="U803" s="47"/>
      <c r="V803" s="47"/>
    </row>
    <row r="804" spans="1:29" customFormat="1" ht="16.5">
      <c r="A804" t="s">
        <v>2703</v>
      </c>
      <c r="B804" t="s">
        <v>4830</v>
      </c>
      <c r="C804" s="93" t="s">
        <v>4829</v>
      </c>
      <c r="P804" t="s">
        <v>4831</v>
      </c>
      <c r="R804" s="47"/>
      <c r="S804" s="223" t="s">
        <v>2402</v>
      </c>
      <c r="T804" s="223" t="s">
        <v>2402</v>
      </c>
      <c r="U804" s="47"/>
      <c r="V804" s="47"/>
    </row>
    <row r="805" spans="1:29" customFormat="1" ht="14.25">
      <c r="A805" t="s">
        <v>2703</v>
      </c>
      <c r="B805" t="s">
        <v>4833</v>
      </c>
      <c r="C805" s="93" t="s">
        <v>4832</v>
      </c>
      <c r="E805" t="s">
        <v>4822</v>
      </c>
      <c r="P805" t="s">
        <v>4834</v>
      </c>
      <c r="R805" s="47"/>
      <c r="S805" s="47"/>
      <c r="T805" s="47"/>
      <c r="U805" s="47"/>
      <c r="V805" s="47"/>
    </row>
    <row r="806" spans="1:29" customFormat="1" ht="14.25"/>
    <row r="807" spans="1:29" customFormat="1" ht="14.25"/>
    <row r="808" spans="1:29" customFormat="1" ht="14.25"/>
    <row r="809" spans="1:29" customFormat="1" ht="14.25"/>
    <row r="810" spans="1:29" customFormat="1" ht="14.25"/>
    <row r="811" spans="1:29" customFormat="1" ht="14.25"/>
    <row r="812" spans="1:29" customFormat="1" ht="14.25"/>
    <row r="813" spans="1:29" customFormat="1" ht="14.25"/>
    <row r="814" spans="1:29" customFormat="1" ht="14.25"/>
    <row r="815" spans="1:29">
      <c r="A815" s="124"/>
      <c r="B815" s="124"/>
      <c r="H815" s="124"/>
      <c r="M815" s="124"/>
    </row>
    <row r="816" spans="1:29">
      <c r="A816" s="173">
        <v>1</v>
      </c>
      <c r="B816" s="173">
        <v>2</v>
      </c>
      <c r="C816" s="173">
        <v>3</v>
      </c>
      <c r="D816" s="173">
        <v>4</v>
      </c>
      <c r="E816" s="173">
        <v>5</v>
      </c>
      <c r="F816" s="173">
        <v>6</v>
      </c>
      <c r="G816" s="173">
        <v>7</v>
      </c>
      <c r="H816" s="173">
        <v>8</v>
      </c>
      <c r="I816" s="173">
        <v>9</v>
      </c>
      <c r="J816" s="173">
        <v>10</v>
      </c>
      <c r="K816" s="173">
        <v>11</v>
      </c>
      <c r="L816" s="173">
        <v>12</v>
      </c>
      <c r="M816" s="173">
        <v>13</v>
      </c>
      <c r="N816" s="173">
        <v>14</v>
      </c>
      <c r="O816" s="173">
        <v>15</v>
      </c>
      <c r="P816" s="173">
        <v>16</v>
      </c>
      <c r="Q816" s="173">
        <v>17</v>
      </c>
      <c r="R816" s="173">
        <v>18</v>
      </c>
      <c r="S816" s="173">
        <v>19</v>
      </c>
      <c r="T816" s="173">
        <v>20</v>
      </c>
      <c r="U816" s="173">
        <v>21</v>
      </c>
      <c r="V816" s="173">
        <v>22</v>
      </c>
      <c r="W816" s="173">
        <v>23</v>
      </c>
      <c r="X816" s="173">
        <v>24</v>
      </c>
      <c r="Y816" s="173">
        <v>25</v>
      </c>
      <c r="Z816" s="173">
        <v>26</v>
      </c>
      <c r="AA816" s="173">
        <v>27</v>
      </c>
      <c r="AB816" s="173">
        <v>28</v>
      </c>
      <c r="AC816" s="173" t="s">
        <v>2326</v>
      </c>
    </row>
  </sheetData>
  <sortState xmlns:xlrd2="http://schemas.microsoft.com/office/spreadsheetml/2017/richdata2" ref="A2:AC797">
    <sortCondition ref="C2:C797"/>
  </sortState>
  <phoneticPr fontId="11" type="noConversion"/>
  <hyperlinks>
    <hyperlink ref="A357" r:id="rId1" display="javascript:void()" xr:uid="{F1DAA5FF-D1A1-4AD8-BB7A-3CCB723C91E5}"/>
    <hyperlink ref="A448" r:id="rId2" display="javascript:void()" xr:uid="{A2C16143-B0ED-41B4-A00A-F7B671EAE171}"/>
    <hyperlink ref="C174" r:id="rId3" xr:uid="{58C85CF8-3918-4F9E-BF0A-12AFFEBEF4C4}"/>
    <hyperlink ref="C37" r:id="rId4" xr:uid="{FA039575-8EEC-49B6-91BB-B237A84D5296}"/>
    <hyperlink ref="C31" r:id="rId5" xr:uid="{3FF2A57D-EA45-4435-98B6-DA667FB4A23E}"/>
    <hyperlink ref="C798" r:id="rId6" xr:uid="{5EF1AB01-6213-42F4-9CEC-2E494DB69BDE}"/>
    <hyperlink ref="C799" r:id="rId7" xr:uid="{E54F8D2A-E1C3-4A51-AF70-0E95F8FEDA49}"/>
    <hyperlink ref="C800" r:id="rId8" xr:uid="{662CC2DF-C3B5-4D83-BB44-768E33A48B7D}"/>
    <hyperlink ref="C801" r:id="rId9" xr:uid="{144B67EC-FC14-48A4-8748-6EA48A7F2717}"/>
    <hyperlink ref="C802" r:id="rId10" xr:uid="{9E80D660-3174-4B0D-B6AD-40C4325CCA00}"/>
    <hyperlink ref="C804" r:id="rId11" xr:uid="{AE53DB87-39DE-499C-871B-9E4ECBEF8E2F}"/>
    <hyperlink ref="C805" r:id="rId12" xr:uid="{4BFC1394-B394-4C01-A34F-2B8C6CAB755C}"/>
  </hyperlinks>
  <pageMargins left="0.7" right="0.7" top="0.75" bottom="0.75" header="0.3" footer="0.3"/>
  <pageSetup paperSize="9" orientation="portrait" horizontalDpi="4294967293" verticalDpi="4294967293" r:id="rId13"/>
  <legacyDrawing r:id="rId1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73"/>
  <sheetViews>
    <sheetView zoomScale="90" zoomScaleNormal="90" workbookViewId="0">
      <pane xSplit="2" ySplit="1" topLeftCell="C137" activePane="bottomRight" state="frozen"/>
      <selection pane="topRight" activeCell="E1" sqref="E1"/>
      <selection pane="bottomLeft" activeCell="A2" sqref="A2"/>
      <selection pane="bottomRight" activeCell="A146" sqref="A146:XFD146"/>
    </sheetView>
  </sheetViews>
  <sheetFormatPr defaultRowHeight="15.75"/>
  <cols>
    <col min="1" max="1" width="16.625" customWidth="1"/>
    <col min="2" max="2" width="30.375" customWidth="1"/>
    <col min="3" max="4" width="12.375" customWidth="1"/>
    <col min="5" max="5" width="9.5" style="139" customWidth="1"/>
    <col min="6" max="6" width="10.5" customWidth="1"/>
    <col min="7" max="8" width="12.375" customWidth="1"/>
    <col min="9" max="9" width="8.75" customWidth="1"/>
    <col min="11" max="11" width="7.625" style="47" customWidth="1"/>
    <col min="12" max="15" width="5.75" style="47" customWidth="1"/>
    <col min="16" max="16" width="52.625" customWidth="1"/>
    <col min="17" max="17" width="43.87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19.5">
      <c r="A1" s="30" t="s">
        <v>2274</v>
      </c>
      <c r="B1" s="45" t="s">
        <v>2278</v>
      </c>
      <c r="C1" s="92" t="s">
        <v>2684</v>
      </c>
      <c r="D1" s="92" t="s">
        <v>2685</v>
      </c>
      <c r="E1" s="144" t="s">
        <v>3066</v>
      </c>
      <c r="F1" s="30" t="s">
        <v>2393</v>
      </c>
      <c r="G1" s="92" t="s">
        <v>2723</v>
      </c>
      <c r="H1" s="92" t="s">
        <v>2724</v>
      </c>
      <c r="I1" s="92" t="s">
        <v>2713</v>
      </c>
      <c r="J1" s="46" t="s">
        <v>2273</v>
      </c>
      <c r="K1" s="46" t="s">
        <v>2303</v>
      </c>
      <c r="L1" s="46" t="s">
        <v>2276</v>
      </c>
      <c r="M1" s="46" t="s">
        <v>2277</v>
      </c>
      <c r="N1" s="46" t="s">
        <v>2599</v>
      </c>
      <c r="O1" s="46" t="s">
        <v>2719</v>
      </c>
      <c r="P1" s="30" t="s">
        <v>2564</v>
      </c>
      <c r="Q1" s="76" t="s">
        <v>2226</v>
      </c>
      <c r="R1" s="84" t="s">
        <v>2231</v>
      </c>
      <c r="S1" s="84" t="s">
        <v>2562</v>
      </c>
      <c r="T1" s="30" t="s">
        <v>3982</v>
      </c>
      <c r="U1" s="30" t="s">
        <v>3984</v>
      </c>
      <c r="V1" s="30" t="s">
        <v>1458</v>
      </c>
      <c r="W1" s="76" t="s">
        <v>2688</v>
      </c>
      <c r="X1" s="30" t="s">
        <v>2560</v>
      </c>
      <c r="Y1" s="30" t="s">
        <v>2690</v>
      </c>
      <c r="Z1" s="30" t="s">
        <v>2555</v>
      </c>
      <c r="AA1" s="30" t="s">
        <v>2556</v>
      </c>
      <c r="AB1" s="46" t="s">
        <v>2275</v>
      </c>
      <c r="AC1" s="46" t="s">
        <v>2415</v>
      </c>
      <c r="AD1" s="46" t="s">
        <v>2301</v>
      </c>
    </row>
    <row r="2" spans="1:30">
      <c r="A2" s="58" t="s">
        <v>417</v>
      </c>
      <c r="B2" s="58" t="s">
        <v>423</v>
      </c>
      <c r="C2" s="62"/>
      <c r="D2" s="62"/>
      <c r="E2" s="139">
        <v>490</v>
      </c>
      <c r="F2" s="58"/>
      <c r="G2" s="71"/>
      <c r="H2" s="71"/>
      <c r="I2" s="71"/>
      <c r="P2" s="71"/>
      <c r="R2" s="82"/>
      <c r="S2" s="82"/>
      <c r="T2" s="62"/>
      <c r="U2" s="62"/>
      <c r="V2" s="62"/>
      <c r="W2" s="58"/>
      <c r="X2" s="71"/>
      <c r="Y2" s="71"/>
      <c r="Z2" s="71"/>
      <c r="AA2" s="71"/>
      <c r="AB2" s="71"/>
      <c r="AD2" s="71"/>
    </row>
    <row r="3" spans="1:30" ht="31.5">
      <c r="A3" s="114" t="s">
        <v>1326</v>
      </c>
      <c r="B3" s="184" t="s">
        <v>1328</v>
      </c>
      <c r="C3" s="62"/>
      <c r="D3" s="188"/>
      <c r="E3" s="108">
        <v>12</v>
      </c>
      <c r="F3" s="107" t="s">
        <v>1284</v>
      </c>
      <c r="G3" s="139"/>
      <c r="H3" s="127"/>
      <c r="I3" s="122"/>
      <c r="K3" s="122"/>
      <c r="P3" s="72"/>
      <c r="R3" s="82"/>
      <c r="S3" s="82"/>
      <c r="T3" s="67"/>
      <c r="U3" s="67"/>
      <c r="V3" s="128" t="s">
        <v>1327</v>
      </c>
      <c r="W3" s="67"/>
      <c r="X3" s="72"/>
      <c r="Y3" s="72"/>
      <c r="Z3" s="72"/>
      <c r="AA3" s="72"/>
      <c r="AB3" s="71"/>
      <c r="AD3" s="71"/>
    </row>
    <row r="4" spans="1:30">
      <c r="A4" s="67" t="s">
        <v>2614</v>
      </c>
      <c r="B4" s="60" t="s">
        <v>2613</v>
      </c>
      <c r="C4" s="67"/>
      <c r="D4" s="67"/>
      <c r="E4" s="139">
        <v>17</v>
      </c>
      <c r="F4" s="67"/>
      <c r="G4" s="72"/>
      <c r="H4" s="72"/>
      <c r="I4" s="72"/>
      <c r="P4" s="72"/>
      <c r="R4" s="82"/>
      <c r="S4" s="82"/>
      <c r="T4" s="67"/>
      <c r="U4" s="67"/>
      <c r="V4" s="67"/>
      <c r="W4" s="67"/>
      <c r="X4" s="72"/>
      <c r="Y4" s="72"/>
      <c r="Z4" s="72"/>
      <c r="AA4" s="72"/>
      <c r="AB4" s="71"/>
      <c r="AD4" s="71"/>
    </row>
    <row r="5" spans="1:30" ht="17.25">
      <c r="A5" s="79" t="s">
        <v>3109</v>
      </c>
      <c r="B5" s="27" t="s">
        <v>575</v>
      </c>
      <c r="C5" s="27"/>
      <c r="D5" s="27"/>
      <c r="E5" s="139">
        <v>23</v>
      </c>
      <c r="F5" s="27"/>
      <c r="G5" s="68"/>
      <c r="H5" s="68"/>
      <c r="I5" s="68"/>
      <c r="P5" s="68"/>
      <c r="T5" s="62"/>
      <c r="U5" s="62"/>
      <c r="V5" s="27" t="s">
        <v>2188</v>
      </c>
      <c r="W5" s="79" t="s">
        <v>1263</v>
      </c>
      <c r="X5" s="68"/>
      <c r="Y5" s="68"/>
      <c r="Z5" s="68"/>
      <c r="AA5" s="68"/>
    </row>
    <row r="6" spans="1:30">
      <c r="A6" s="113" t="s">
        <v>17</v>
      </c>
      <c r="B6" s="61" t="s">
        <v>3194</v>
      </c>
      <c r="C6" s="67"/>
      <c r="D6" s="67"/>
      <c r="E6" s="139">
        <v>15</v>
      </c>
      <c r="F6" s="67"/>
      <c r="G6" s="72"/>
      <c r="H6" s="72"/>
      <c r="I6" s="72"/>
      <c r="P6" s="72"/>
      <c r="R6" s="82"/>
      <c r="S6" s="82"/>
      <c r="T6" s="67"/>
      <c r="U6" s="67"/>
      <c r="V6" s="67"/>
      <c r="W6" s="67"/>
      <c r="X6" s="72"/>
      <c r="Y6" s="72"/>
      <c r="Z6" s="72"/>
      <c r="AA6" s="72"/>
      <c r="AB6" s="71"/>
      <c r="AD6" s="71" t="s">
        <v>3957</v>
      </c>
    </row>
    <row r="7" spans="1:30">
      <c r="A7" s="62" t="s">
        <v>2740</v>
      </c>
      <c r="B7" s="157" t="s">
        <v>2739</v>
      </c>
      <c r="C7" s="187"/>
      <c r="D7" s="187" t="s">
        <v>2661</v>
      </c>
      <c r="F7" s="62"/>
      <c r="K7"/>
      <c r="L7"/>
      <c r="M7"/>
      <c r="N7"/>
      <c r="O7"/>
      <c r="Q7"/>
      <c r="R7" s="47" t="s">
        <v>2558</v>
      </c>
      <c r="S7"/>
      <c r="T7" s="62"/>
      <c r="U7" s="62"/>
      <c r="V7" s="62"/>
      <c r="W7" s="62"/>
    </row>
    <row r="8" spans="1:30">
      <c r="A8" s="191" t="s">
        <v>2346</v>
      </c>
      <c r="B8" s="194" t="s">
        <v>2925</v>
      </c>
      <c r="C8" s="194"/>
      <c r="D8" s="196"/>
      <c r="E8" s="108">
        <v>26</v>
      </c>
      <c r="F8" s="69"/>
      <c r="G8" s="7"/>
      <c r="H8" s="7"/>
      <c r="I8" s="7"/>
      <c r="P8" s="7"/>
      <c r="T8" s="69"/>
      <c r="U8" s="69"/>
      <c r="V8" s="69"/>
      <c r="W8" s="69"/>
      <c r="X8" s="7"/>
      <c r="Y8" s="7"/>
      <c r="Z8" s="7"/>
      <c r="AA8" s="7"/>
    </row>
    <row r="9" spans="1:30" ht="276.75">
      <c r="A9" s="180" t="s">
        <v>2597</v>
      </c>
      <c r="B9" s="183" t="s">
        <v>2602</v>
      </c>
      <c r="C9" s="50"/>
      <c r="D9" s="50"/>
      <c r="E9" s="139">
        <v>31</v>
      </c>
      <c r="F9" s="50"/>
      <c r="G9" s="72"/>
      <c r="H9" s="72"/>
      <c r="I9" s="72">
        <v>31750</v>
      </c>
      <c r="L9" s="47" t="s">
        <v>2558</v>
      </c>
      <c r="M9" s="47" t="s">
        <v>2558</v>
      </c>
      <c r="N9" s="47" t="s">
        <v>2558</v>
      </c>
      <c r="P9" s="75" t="s">
        <v>2699</v>
      </c>
      <c r="Q9" s="44" t="s">
        <v>2600</v>
      </c>
      <c r="R9" s="82"/>
      <c r="S9" s="82" t="s">
        <v>2601</v>
      </c>
      <c r="T9" s="50"/>
      <c r="U9" s="50"/>
      <c r="V9" s="50"/>
      <c r="W9" s="50"/>
      <c r="X9" s="73" t="s">
        <v>2598</v>
      </c>
      <c r="Y9" s="73"/>
      <c r="Z9" s="72"/>
      <c r="AA9" s="72"/>
      <c r="AB9" s="71"/>
      <c r="AD9" s="71"/>
    </row>
    <row r="10" spans="1:30">
      <c r="A10" s="193" t="s">
        <v>1214</v>
      </c>
      <c r="B10" s="195" t="s">
        <v>2921</v>
      </c>
      <c r="C10" s="195"/>
      <c r="D10" s="197" t="s">
        <v>2663</v>
      </c>
      <c r="E10" s="108"/>
      <c r="F10" s="50"/>
      <c r="G10" s="7"/>
      <c r="H10" s="7"/>
      <c r="I10" s="7"/>
      <c r="P10" s="7"/>
      <c r="T10" s="50"/>
      <c r="U10" s="50"/>
      <c r="V10" s="50"/>
      <c r="W10" s="50"/>
      <c r="X10" s="7"/>
      <c r="Y10" s="7"/>
      <c r="Z10" s="7"/>
      <c r="AA10" s="7"/>
    </row>
    <row r="11" spans="1:30" ht="16.5">
      <c r="A11" s="180" t="s">
        <v>2307</v>
      </c>
      <c r="B11" s="50"/>
      <c r="C11" s="50"/>
      <c r="D11" s="50"/>
      <c r="E11" s="141"/>
      <c r="F11" s="50"/>
      <c r="G11" s="7"/>
      <c r="H11" s="7"/>
      <c r="I11" s="7"/>
      <c r="P11" s="7"/>
      <c r="T11" s="50"/>
      <c r="U11" s="50"/>
      <c r="V11" s="50"/>
      <c r="W11" s="180" t="s">
        <v>3099</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39">
        <v>49</v>
      </c>
      <c r="F13" s="48"/>
      <c r="G13" s="68"/>
      <c r="H13" s="68"/>
      <c r="I13" s="68"/>
      <c r="P13" s="68"/>
      <c r="T13" s="71"/>
      <c r="U13" s="71"/>
      <c r="V13" s="48" t="s">
        <v>2204</v>
      </c>
      <c r="W13" s="77" t="s">
        <v>2202</v>
      </c>
      <c r="X13" s="68"/>
      <c r="Y13" s="68"/>
      <c r="Z13" s="68"/>
      <c r="AA13" s="68"/>
    </row>
    <row r="14" spans="1:30" ht="34.5">
      <c r="A14" s="77" t="s">
        <v>1385</v>
      </c>
      <c r="B14" s="48" t="s">
        <v>2195</v>
      </c>
      <c r="C14" s="48"/>
      <c r="D14" s="48"/>
      <c r="E14" s="139">
        <v>51</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39">
        <v>54</v>
      </c>
      <c r="F15" s="48"/>
      <c r="G15" s="68"/>
      <c r="H15" s="68"/>
      <c r="I15" s="68"/>
      <c r="P15" s="68"/>
      <c r="T15" s="71"/>
      <c r="U15" s="71"/>
      <c r="V15" s="48" t="s">
        <v>2198</v>
      </c>
      <c r="W15" s="77" t="s">
        <v>2196</v>
      </c>
      <c r="X15" s="68"/>
      <c r="Y15" s="68"/>
      <c r="Z15" s="68"/>
      <c r="AA15" s="68"/>
    </row>
    <row r="16" spans="1:30" ht="108.75">
      <c r="A16" s="182" t="s">
        <v>1639</v>
      </c>
      <c r="B16" s="183" t="s">
        <v>2715</v>
      </c>
      <c r="C16" s="50" t="s">
        <v>2664</v>
      </c>
      <c r="D16" s="50"/>
      <c r="E16" s="140">
        <v>61</v>
      </c>
      <c r="F16" s="52" t="s">
        <v>2714</v>
      </c>
      <c r="G16" s="7"/>
      <c r="H16" s="7"/>
      <c r="I16" s="7">
        <v>5421</v>
      </c>
      <c r="K16" s="47" t="s">
        <v>2558</v>
      </c>
      <c r="L16" s="47" t="s">
        <v>2558</v>
      </c>
      <c r="M16" s="47" t="s">
        <v>2558</v>
      </c>
      <c r="P16" s="7" t="s">
        <v>2716</v>
      </c>
      <c r="R16" s="47" t="s">
        <v>2558</v>
      </c>
      <c r="T16" s="72"/>
      <c r="U16" s="72"/>
      <c r="V16" s="50"/>
      <c r="W16" s="50"/>
      <c r="X16" s="7"/>
      <c r="Y16" s="7"/>
      <c r="Z16" s="7"/>
      <c r="AA16" s="7"/>
    </row>
    <row r="17" spans="1:30" ht="150.75">
      <c r="A17" s="180" t="s">
        <v>2546</v>
      </c>
      <c r="B17" s="51" t="s">
        <v>2545</v>
      </c>
      <c r="C17" s="50"/>
      <c r="D17" s="50"/>
      <c r="E17" s="141">
        <v>76</v>
      </c>
      <c r="F17" s="50"/>
      <c r="G17" s="72"/>
      <c r="H17" s="72"/>
      <c r="I17" s="72"/>
      <c r="J17" s="47" t="s">
        <v>2558</v>
      </c>
      <c r="K17" s="47" t="s">
        <v>2558</v>
      </c>
      <c r="L17" s="47" t="s">
        <v>2558</v>
      </c>
      <c r="M17" s="47" t="s">
        <v>2558</v>
      </c>
      <c r="P17" s="75" t="s">
        <v>2567</v>
      </c>
      <c r="Q17" s="82" t="s">
        <v>2582</v>
      </c>
      <c r="R17" s="47" t="s">
        <v>2558</v>
      </c>
      <c r="S17" s="82" t="s">
        <v>2566</v>
      </c>
      <c r="T17" s="72"/>
      <c r="U17" s="72"/>
      <c r="V17" s="50"/>
      <c r="W17" s="50"/>
      <c r="X17" s="73" t="s">
        <v>2565</v>
      </c>
      <c r="Y17" s="73"/>
      <c r="Z17" s="72"/>
      <c r="AA17" s="72"/>
      <c r="AB17" s="71"/>
      <c r="AD17" s="71"/>
    </row>
    <row r="18" spans="1:30" ht="18.75">
      <c r="A18" s="180" t="s">
        <v>2548</v>
      </c>
      <c r="B18" s="51" t="s">
        <v>2547</v>
      </c>
      <c r="C18" s="202" t="s">
        <v>3989</v>
      </c>
      <c r="D18" s="50"/>
      <c r="E18" s="139">
        <v>77</v>
      </c>
      <c r="F18" s="50"/>
      <c r="G18" s="72"/>
      <c r="H18" s="72"/>
      <c r="I18" s="72"/>
      <c r="P18" s="72"/>
      <c r="Q18" s="82"/>
      <c r="R18" s="82"/>
      <c r="S18" s="82"/>
      <c r="T18" s="72"/>
      <c r="U18" s="72"/>
      <c r="V18" s="50"/>
      <c r="W18" s="50"/>
      <c r="X18" s="72"/>
      <c r="Y18" s="72"/>
      <c r="Z18" s="72"/>
      <c r="AA18" s="72" t="s">
        <v>2568</v>
      </c>
      <c r="AB18" s="71"/>
      <c r="AD18" s="71"/>
    </row>
    <row r="19" spans="1:30" ht="16.5">
      <c r="A19" s="180" t="s">
        <v>2550</v>
      </c>
      <c r="B19" s="183" t="s">
        <v>2549</v>
      </c>
      <c r="C19" s="50"/>
      <c r="D19" s="50"/>
      <c r="E19" s="139">
        <v>78</v>
      </c>
      <c r="F19" s="50"/>
      <c r="G19" s="72"/>
      <c r="H19" s="72"/>
      <c r="I19" s="72"/>
      <c r="P19" s="72"/>
      <c r="R19" s="82"/>
      <c r="S19" s="82"/>
      <c r="T19" s="72"/>
      <c r="U19" s="72"/>
      <c r="V19" s="50"/>
      <c r="W19" s="50"/>
      <c r="X19" s="72"/>
      <c r="Y19" s="72"/>
      <c r="Z19" s="72"/>
      <c r="AA19" s="72"/>
      <c r="AB19" s="71"/>
      <c r="AD19" s="71"/>
    </row>
    <row r="20" spans="1:30" ht="14.25">
      <c r="A20" s="49" t="s">
        <v>2344</v>
      </c>
      <c r="B20" s="51" t="s">
        <v>2392</v>
      </c>
      <c r="C20" s="50"/>
      <c r="D20" s="50"/>
      <c r="E20" s="140">
        <v>102</v>
      </c>
      <c r="F20" s="49" t="s">
        <v>2345</v>
      </c>
      <c r="G20" s="72"/>
      <c r="H20" s="72"/>
      <c r="I20" s="72"/>
      <c r="P20" s="72"/>
      <c r="T20" s="72"/>
      <c r="U20" s="72"/>
      <c r="V20" s="50"/>
      <c r="W20" s="50"/>
      <c r="X20" s="72"/>
      <c r="Y20" s="72"/>
      <c r="Z20" s="72"/>
      <c r="AA20" s="72"/>
    </row>
    <row r="21" spans="1:30" ht="16.5">
      <c r="A21" s="180" t="s">
        <v>2551</v>
      </c>
      <c r="B21" s="51" t="s">
        <v>2552</v>
      </c>
      <c r="C21" s="50"/>
      <c r="D21" s="50"/>
      <c r="E21" s="139">
        <v>147</v>
      </c>
      <c r="F21" s="50"/>
      <c r="G21" s="72"/>
      <c r="H21" s="72"/>
      <c r="I21" s="72"/>
      <c r="P21" s="72"/>
      <c r="R21" s="82"/>
      <c r="S21" s="82"/>
      <c r="T21" s="72"/>
      <c r="U21" s="72"/>
      <c r="V21" s="50"/>
      <c r="W21" s="50"/>
      <c r="X21" s="72"/>
      <c r="Y21" s="72"/>
      <c r="Z21" s="72"/>
      <c r="AA21" s="72"/>
      <c r="AB21" s="71"/>
      <c r="AD21" s="71"/>
    </row>
    <row r="22" spans="1:30" ht="85.5">
      <c r="A22" s="91" t="s">
        <v>2748</v>
      </c>
      <c r="B22" s="183" t="s">
        <v>2750</v>
      </c>
      <c r="C22" s="50"/>
      <c r="D22" s="50">
        <v>550</v>
      </c>
      <c r="F22" s="87" t="s">
        <v>2424</v>
      </c>
      <c r="G22" s="7"/>
      <c r="H22" s="7"/>
      <c r="I22" s="7">
        <v>9280</v>
      </c>
      <c r="P22" s="97" t="s">
        <v>2749</v>
      </c>
      <c r="R22" s="47" t="s">
        <v>2558</v>
      </c>
      <c r="T22" s="7"/>
      <c r="U22" s="7"/>
      <c r="V22" s="50"/>
      <c r="W22" s="50"/>
      <c r="X22" s="7"/>
      <c r="Y22" s="7"/>
      <c r="Z22" s="7"/>
      <c r="AA22" s="7"/>
    </row>
    <row r="23" spans="1:30" ht="17.25">
      <c r="A23" s="77" t="s">
        <v>2180</v>
      </c>
      <c r="B23" s="48" t="s">
        <v>2181</v>
      </c>
      <c r="C23" s="48"/>
      <c r="D23" s="48"/>
      <c r="E23" s="139">
        <v>153</v>
      </c>
      <c r="F23" s="48"/>
      <c r="G23" s="68"/>
      <c r="H23" s="68"/>
      <c r="I23" s="68"/>
      <c r="P23" s="68"/>
      <c r="V23" s="48" t="s">
        <v>2182</v>
      </c>
      <c r="W23" s="77" t="s">
        <v>2180</v>
      </c>
      <c r="X23" s="68"/>
      <c r="Y23" s="68"/>
      <c r="Z23" s="68"/>
      <c r="AA23" s="68"/>
    </row>
    <row r="24" spans="1:30" ht="31.5">
      <c r="A24" s="192" t="s">
        <v>3399</v>
      </c>
      <c r="B24" s="145" t="s">
        <v>1411</v>
      </c>
      <c r="C24" s="52"/>
      <c r="D24" s="197"/>
      <c r="E24" s="108">
        <v>155</v>
      </c>
      <c r="F24" s="199" t="s">
        <v>1262</v>
      </c>
      <c r="G24" s="139"/>
      <c r="H24" s="127"/>
      <c r="I24" s="122"/>
      <c r="K24" s="122"/>
      <c r="P24" s="72"/>
      <c r="R24" s="82"/>
      <c r="S24" s="82"/>
      <c r="T24" s="50"/>
      <c r="U24" s="50"/>
      <c r="V24" s="201" t="s">
        <v>2257</v>
      </c>
      <c r="W24" s="50"/>
      <c r="X24" s="72"/>
      <c r="Y24" s="72"/>
      <c r="Z24" s="72"/>
      <c r="AA24" s="72"/>
      <c r="AB24" s="71"/>
      <c r="AD24" s="71" t="s">
        <v>3957</v>
      </c>
    </row>
    <row r="25" spans="1:30" ht="28.5">
      <c r="A25" s="71" t="s">
        <v>2686</v>
      </c>
      <c r="B25" s="167" t="s">
        <v>2687</v>
      </c>
      <c r="C25" s="72"/>
      <c r="D25" s="72"/>
      <c r="E25" s="139">
        <v>162</v>
      </c>
      <c r="F25" s="71"/>
      <c r="G25" s="72"/>
      <c r="H25" s="72"/>
      <c r="I25" s="72"/>
      <c r="P25" s="72"/>
      <c r="R25" s="82"/>
      <c r="S25" s="82"/>
      <c r="T25" s="72"/>
      <c r="U25" s="72"/>
      <c r="V25" s="72"/>
      <c r="W25" s="72"/>
      <c r="X25" s="72" t="s">
        <v>2689</v>
      </c>
      <c r="Y25" s="72" t="s">
        <v>2691</v>
      </c>
      <c r="Z25" s="72"/>
      <c r="AA25" s="72"/>
      <c r="AB25" s="71"/>
      <c r="AD25" s="71"/>
    </row>
    <row r="26" spans="1:30" s="42" customFormat="1">
      <c r="A26" s="66" t="s">
        <v>3149</v>
      </c>
      <c r="B26" s="61" t="s">
        <v>3150</v>
      </c>
      <c r="C26" s="72"/>
      <c r="D26" s="72"/>
      <c r="E26" s="139">
        <v>519</v>
      </c>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190" t="s">
        <v>2287</v>
      </c>
      <c r="B27" s="61" t="s">
        <v>2288</v>
      </c>
      <c r="C27" s="72"/>
      <c r="D27" s="72"/>
      <c r="E27" s="139">
        <v>163</v>
      </c>
      <c r="F27" s="190"/>
      <c r="G27" s="72"/>
      <c r="H27" s="72"/>
      <c r="I27" s="72"/>
      <c r="J27"/>
      <c r="K27" s="47"/>
      <c r="L27" s="47"/>
      <c r="M27" s="47"/>
      <c r="N27" s="47"/>
      <c r="O27" s="47"/>
      <c r="P27" s="72"/>
      <c r="Q27" s="44"/>
      <c r="R27" s="44"/>
      <c r="S27" s="44"/>
      <c r="T27" s="72"/>
      <c r="U27" s="72"/>
      <c r="V27" s="72"/>
      <c r="W27" s="190" t="s">
        <v>2287</v>
      </c>
      <c r="X27" s="72"/>
      <c r="Y27" s="72"/>
      <c r="Z27" s="72"/>
      <c r="AA27" s="72"/>
      <c r="AB27"/>
      <c r="AC27"/>
      <c r="AD27"/>
    </row>
    <row r="28" spans="1:30" ht="18.75">
      <c r="A28" s="181" t="s">
        <v>2357</v>
      </c>
      <c r="B28" s="167" t="s">
        <v>2397</v>
      </c>
      <c r="C28" s="87"/>
      <c r="D28" s="87" t="s">
        <v>2622</v>
      </c>
      <c r="F28" s="72"/>
      <c r="G28" s="87"/>
      <c r="H28" s="87"/>
      <c r="I28" s="87"/>
      <c r="P28" s="72"/>
      <c r="Q28" s="82"/>
      <c r="R28" s="82"/>
      <c r="S28" s="82"/>
      <c r="T28" s="72"/>
      <c r="U28" s="72"/>
      <c r="V28" s="72"/>
      <c r="W28" s="72"/>
      <c r="X28" s="72"/>
      <c r="Y28" s="72"/>
      <c r="Z28" s="72"/>
      <c r="AA28" s="72"/>
      <c r="AB28" s="71"/>
    </row>
    <row r="29" spans="1:30" s="42" customFormat="1">
      <c r="A29" s="66" t="s">
        <v>2283</v>
      </c>
      <c r="B29" s="61" t="s">
        <v>2284</v>
      </c>
      <c r="C29" s="75"/>
      <c r="D29" s="75"/>
      <c r="E29" s="139">
        <v>164</v>
      </c>
      <c r="F29" s="66"/>
      <c r="G29" s="75"/>
      <c r="H29" s="75"/>
      <c r="I29" s="75"/>
      <c r="J29"/>
      <c r="K29" s="47"/>
      <c r="L29" s="47"/>
      <c r="M29" s="47"/>
      <c r="N29" s="47"/>
      <c r="O29" s="47"/>
      <c r="P29" s="72"/>
      <c r="Q29" s="44"/>
      <c r="R29" s="44"/>
      <c r="S29" s="44"/>
      <c r="T29" s="75"/>
      <c r="U29" s="75"/>
      <c r="V29" s="72"/>
      <c r="W29" s="66" t="s">
        <v>2283</v>
      </c>
      <c r="X29" s="72"/>
      <c r="Y29" s="72"/>
      <c r="Z29" s="72"/>
      <c r="AA29" s="72"/>
      <c r="AB29"/>
      <c r="AC29"/>
      <c r="AD29"/>
    </row>
    <row r="30" spans="1:30" ht="117.75">
      <c r="A30" s="87" t="s">
        <v>2585</v>
      </c>
      <c r="B30" s="60" t="s">
        <v>2590</v>
      </c>
      <c r="C30" s="72" t="s">
        <v>2664</v>
      </c>
      <c r="D30" s="72"/>
      <c r="E30" s="139">
        <v>178</v>
      </c>
      <c r="F30" s="67"/>
      <c r="G30" s="72"/>
      <c r="H30" s="72"/>
      <c r="I30" s="72"/>
      <c r="J30" s="47" t="s">
        <v>2558</v>
      </c>
      <c r="K30" s="47" t="s">
        <v>2558</v>
      </c>
      <c r="L30" s="47" t="s">
        <v>2558</v>
      </c>
      <c r="P30" s="75" t="s">
        <v>2589</v>
      </c>
      <c r="Q30" s="44" t="s">
        <v>2587</v>
      </c>
      <c r="R30" s="47" t="s">
        <v>2558</v>
      </c>
      <c r="S30" s="82" t="s">
        <v>2588</v>
      </c>
      <c r="T30" s="72"/>
      <c r="U30" s="72"/>
      <c r="V30" s="72"/>
      <c r="W30" s="72"/>
      <c r="X30" s="73" t="s">
        <v>2586</v>
      </c>
      <c r="Y30" s="73"/>
      <c r="Z30" s="72"/>
      <c r="AA30" s="72"/>
      <c r="AB30" s="71"/>
      <c r="AD30" s="71"/>
    </row>
    <row r="31" spans="1:30" ht="71.25">
      <c r="A31" s="71" t="s">
        <v>123</v>
      </c>
      <c r="B31" s="62" t="s">
        <v>2711</v>
      </c>
      <c r="C31" s="72"/>
      <c r="D31" s="72"/>
      <c r="E31" s="139">
        <v>181</v>
      </c>
      <c r="F31" s="62" t="s">
        <v>2424</v>
      </c>
      <c r="G31" s="7"/>
      <c r="H31" s="7"/>
      <c r="I31" s="7">
        <v>4522</v>
      </c>
      <c r="K31" s="47" t="s">
        <v>2558</v>
      </c>
      <c r="L31" s="47" t="s">
        <v>2558</v>
      </c>
      <c r="P31" s="97" t="s">
        <v>2712</v>
      </c>
      <c r="R31" s="47" t="s">
        <v>2558</v>
      </c>
      <c r="T31" s="72"/>
      <c r="U31" s="72"/>
      <c r="V31" s="72"/>
      <c r="W31" s="72"/>
      <c r="X31" s="7"/>
      <c r="Y31" s="7"/>
      <c r="Z31" s="7"/>
      <c r="AA31" s="7"/>
    </row>
    <row r="32" spans="1:30" ht="17.25">
      <c r="A32" s="78" t="s">
        <v>788</v>
      </c>
      <c r="B32" s="157" t="s">
        <v>2760</v>
      </c>
      <c r="C32" s="68"/>
      <c r="D32" s="68"/>
      <c r="E32" s="139">
        <v>185</v>
      </c>
      <c r="F32" s="27"/>
      <c r="G32" s="68"/>
      <c r="H32" s="68"/>
      <c r="I32" s="68"/>
      <c r="P32" s="68"/>
      <c r="V32" s="68" t="s">
        <v>2179</v>
      </c>
      <c r="W32" s="78" t="s">
        <v>788</v>
      </c>
      <c r="X32" s="68"/>
      <c r="Y32" s="68"/>
      <c r="Z32" s="68"/>
      <c r="AA32" s="68"/>
    </row>
    <row r="33" spans="1:30" s="42" customFormat="1">
      <c r="A33" s="58" t="s">
        <v>131</v>
      </c>
      <c r="B33" s="82" t="s">
        <v>1165</v>
      </c>
      <c r="C33" s="62"/>
      <c r="D33" s="188" t="s">
        <v>2661</v>
      </c>
      <c r="E33" s="139">
        <v>188</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ht="18.75">
      <c r="A34" s="86" t="s">
        <v>2553</v>
      </c>
      <c r="B34" s="55" t="s">
        <v>4791</v>
      </c>
      <c r="C34" s="60"/>
      <c r="D34">
        <v>550</v>
      </c>
      <c r="E34" s="139">
        <v>190</v>
      </c>
      <c r="F34" s="67"/>
      <c r="G34" s="73"/>
      <c r="H34" s="73"/>
      <c r="I34" s="73"/>
      <c r="J34"/>
      <c r="K34" s="47"/>
      <c r="L34" s="47"/>
      <c r="M34" s="47"/>
      <c r="N34" s="47"/>
      <c r="O34" s="47"/>
      <c r="P34" s="62"/>
      <c r="Q34" s="200"/>
      <c r="R34" s="200"/>
      <c r="S34" s="200"/>
      <c r="T34" s="55" t="s">
        <v>4791</v>
      </c>
      <c r="U34" s="60"/>
      <c r="V34" s="67"/>
      <c r="W34" s="67"/>
      <c r="X34" s="67"/>
      <c r="Y34" s="67"/>
      <c r="Z34" s="86" t="s">
        <v>2557</v>
      </c>
      <c r="AA34" s="62">
        <v>13588552888</v>
      </c>
      <c r="AB34" s="62"/>
      <c r="AC34" s="90">
        <v>43825</v>
      </c>
      <c r="AD34" s="71"/>
    </row>
    <row r="35" spans="1:30" s="42" customFormat="1" ht="34.5">
      <c r="A35" s="78" t="s">
        <v>2208</v>
      </c>
      <c r="B35" s="68"/>
      <c r="C35" s="68"/>
      <c r="D35" s="68"/>
      <c r="E35" s="139"/>
      <c r="F35" s="68"/>
      <c r="G35" s="68"/>
      <c r="H35" s="68"/>
      <c r="I35" s="68"/>
      <c r="J35"/>
      <c r="K35" s="47"/>
      <c r="L35" s="47"/>
      <c r="M35" s="47"/>
      <c r="N35" s="47"/>
      <c r="O35" s="47"/>
      <c r="P35" s="68"/>
      <c r="Q35" s="44"/>
      <c r="R35" s="44"/>
      <c r="S35" s="44"/>
      <c r="T35" s="68"/>
      <c r="U35" s="68"/>
      <c r="V35" s="68" t="s">
        <v>2209</v>
      </c>
      <c r="W35" s="78" t="s">
        <v>2208</v>
      </c>
      <c r="X35" s="68"/>
      <c r="Y35" s="68"/>
      <c r="Z35" s="68"/>
      <c r="AA35" s="68"/>
      <c r="AB35"/>
      <c r="AC35"/>
      <c r="AD35"/>
    </row>
    <row r="36" spans="1:30" s="42" customFormat="1">
      <c r="A36" s="181" t="s">
        <v>3160</v>
      </c>
      <c r="B36" s="57" t="s">
        <v>3085</v>
      </c>
      <c r="C36" s="72"/>
      <c r="D36" s="72"/>
      <c r="E36" s="139">
        <v>204</v>
      </c>
      <c r="F36" s="72"/>
      <c r="G36" s="7"/>
      <c r="H36" s="7"/>
      <c r="I36" s="7"/>
      <c r="J36"/>
      <c r="K36" s="47"/>
      <c r="L36" s="47"/>
      <c r="M36" s="47"/>
      <c r="N36" s="47"/>
      <c r="O36" s="47"/>
      <c r="P36" s="72"/>
      <c r="Q36" s="82"/>
      <c r="R36" s="44"/>
      <c r="S36" s="82"/>
      <c r="T36" s="72"/>
      <c r="U36" s="72"/>
      <c r="V36" s="72" t="s">
        <v>3086</v>
      </c>
      <c r="W36" s="72"/>
      <c r="X36" s="72"/>
      <c r="Y36" s="72"/>
      <c r="Z36" s="72"/>
      <c r="AA36" s="72"/>
      <c r="AB36" s="71"/>
      <c r="AC36"/>
      <c r="AD36"/>
    </row>
    <row r="37" spans="1:30" s="42" customFormat="1">
      <c r="A37" s="102" t="s">
        <v>349</v>
      </c>
      <c r="B37" s="41" t="s">
        <v>847</v>
      </c>
      <c r="C37" s="71"/>
      <c r="D37" s="71"/>
      <c r="E37" s="139">
        <v>209</v>
      </c>
      <c r="F37" s="40"/>
      <c r="G37" s="71"/>
      <c r="H37" s="71"/>
      <c r="I37" s="71"/>
      <c r="J37"/>
      <c r="K37" s="47"/>
      <c r="L37" s="47"/>
      <c r="M37" s="47"/>
      <c r="N37" s="47"/>
      <c r="O37" s="47"/>
      <c r="P37" s="71"/>
      <c r="Q37" s="82"/>
      <c r="R37" s="82"/>
      <c r="S37" s="82"/>
      <c r="T37" s="71"/>
      <c r="U37" s="71"/>
      <c r="V37" s="71"/>
      <c r="W37" s="72"/>
      <c r="X37" s="71"/>
      <c r="Y37" s="71"/>
      <c r="Z37" s="71"/>
      <c r="AA37" s="71"/>
      <c r="AB37" s="71"/>
      <c r="AC37"/>
      <c r="AD37"/>
    </row>
    <row r="38" spans="1:30" s="42" customFormat="1" ht="28.5">
      <c r="A38" s="75" t="s">
        <v>2757</v>
      </c>
      <c r="B38" s="7"/>
      <c r="C38" s="7"/>
      <c r="D38" s="7"/>
      <c r="E38" s="140"/>
      <c r="F38" s="7"/>
      <c r="G38" s="7"/>
      <c r="H38" s="7"/>
      <c r="I38" s="7"/>
      <c r="J38"/>
      <c r="K38" s="47"/>
      <c r="L38" s="47"/>
      <c r="M38" s="47"/>
      <c r="N38" s="47"/>
      <c r="O38" s="47"/>
      <c r="P38" s="7"/>
      <c r="Q38" s="44"/>
      <c r="R38" s="47" t="s">
        <v>2558</v>
      </c>
      <c r="S38" s="44"/>
      <c r="T38" s="7"/>
      <c r="U38" s="7"/>
      <c r="V38" s="7"/>
      <c r="W38" s="7"/>
      <c r="X38" s="57" t="s">
        <v>2758</v>
      </c>
      <c r="Y38" s="7"/>
      <c r="Z38" s="7"/>
      <c r="AA38" s="7"/>
      <c r="AB38"/>
      <c r="AC38"/>
      <c r="AD38"/>
    </row>
    <row r="39" spans="1:30" s="42" customFormat="1" ht="84.75">
      <c r="A39" s="74" t="s">
        <v>2603</v>
      </c>
      <c r="B39" s="73" t="s">
        <v>2608</v>
      </c>
      <c r="C39" s="72"/>
      <c r="D39" s="72">
        <v>550</v>
      </c>
      <c r="E39" s="139">
        <v>225</v>
      </c>
      <c r="F39" s="72"/>
      <c r="G39" s="72"/>
      <c r="H39" s="72"/>
      <c r="I39" s="72"/>
      <c r="J39"/>
      <c r="K39" s="47" t="s">
        <v>2558</v>
      </c>
      <c r="L39" s="47" t="s">
        <v>2558</v>
      </c>
      <c r="M39" s="47"/>
      <c r="N39" s="47"/>
      <c r="O39" s="47"/>
      <c r="P39" s="75" t="s">
        <v>2607</v>
      </c>
      <c r="Q39" s="88" t="s">
        <v>2605</v>
      </c>
      <c r="R39" s="82"/>
      <c r="S39" s="82" t="s">
        <v>2606</v>
      </c>
      <c r="T39" s="72"/>
      <c r="U39" s="72"/>
      <c r="V39" s="72"/>
      <c r="W39" s="72"/>
      <c r="X39" s="73" t="s">
        <v>2604</v>
      </c>
      <c r="Y39" s="73"/>
      <c r="Z39" s="72"/>
      <c r="AA39" s="72"/>
      <c r="AB39" s="71"/>
      <c r="AC39"/>
      <c r="AD39" s="71"/>
    </row>
    <row r="40" spans="1:30" s="42" customFormat="1">
      <c r="A40" s="181" t="s">
        <v>2754</v>
      </c>
      <c r="B40" s="73" t="s">
        <v>2755</v>
      </c>
      <c r="C40" s="72" t="s">
        <v>2664</v>
      </c>
      <c r="D40" s="72"/>
      <c r="E40" s="139">
        <v>255</v>
      </c>
      <c r="F40" s="72"/>
      <c r="G40" s="7"/>
      <c r="H40" s="7"/>
      <c r="I40" s="7"/>
      <c r="J40"/>
      <c r="K40" s="47"/>
      <c r="L40" s="47"/>
      <c r="M40" s="47"/>
      <c r="N40" s="47"/>
      <c r="O40" s="47"/>
      <c r="P40" s="7"/>
      <c r="Q40" s="44"/>
      <c r="R40" s="47" t="s">
        <v>2558</v>
      </c>
      <c r="S40" s="44"/>
      <c r="T40" s="72"/>
      <c r="U40" s="72"/>
      <c r="V40" s="72"/>
      <c r="W40" s="72"/>
      <c r="X40" s="57" t="s">
        <v>2756</v>
      </c>
      <c r="Y40" s="7"/>
      <c r="Z40" s="7"/>
      <c r="AA40" s="7"/>
      <c r="AB40"/>
      <c r="AC40"/>
      <c r="AD40"/>
    </row>
    <row r="41" spans="1:30" s="42" customFormat="1">
      <c r="A41" s="136" t="s">
        <v>2342</v>
      </c>
      <c r="B41" s="145" t="s">
        <v>2923</v>
      </c>
      <c r="C41" s="145"/>
      <c r="D41" s="108" t="s">
        <v>2661</v>
      </c>
      <c r="E41" s="108"/>
      <c r="F41" s="72"/>
      <c r="G41" s="7"/>
      <c r="H41" s="7"/>
      <c r="I41" s="7"/>
      <c r="J41"/>
      <c r="K41" s="47"/>
      <c r="L41" s="47"/>
      <c r="M41" s="47"/>
      <c r="N41" s="47"/>
      <c r="O41" s="47"/>
      <c r="P41" s="7"/>
      <c r="Q41" s="44"/>
      <c r="R41" s="44"/>
      <c r="S41" s="44"/>
      <c r="T41" s="7"/>
      <c r="U41" s="7"/>
      <c r="V41" s="72"/>
      <c r="W41" s="72"/>
      <c r="X41" s="7"/>
      <c r="Y41" s="7"/>
      <c r="Z41" s="7"/>
      <c r="AA41" s="7"/>
      <c r="AB41"/>
      <c r="AC41"/>
      <c r="AD41"/>
    </row>
    <row r="42" spans="1:30" s="42" customFormat="1" ht="16.5">
      <c r="A42" s="181" t="s">
        <v>2752</v>
      </c>
      <c r="B42" s="73" t="s">
        <v>2751</v>
      </c>
      <c r="C42" s="186"/>
      <c r="D42" s="186" t="s">
        <v>2663</v>
      </c>
      <c r="E42" s="140"/>
      <c r="F42" s="72"/>
      <c r="G42" s="7"/>
      <c r="H42" s="7"/>
      <c r="I42" s="7"/>
      <c r="J42"/>
      <c r="K42" s="47"/>
      <c r="L42" s="47"/>
      <c r="M42" s="47"/>
      <c r="N42" s="47"/>
      <c r="O42" s="47"/>
      <c r="P42" s="7"/>
      <c r="Q42" s="44"/>
      <c r="R42" s="47" t="s">
        <v>2558</v>
      </c>
      <c r="S42" s="44"/>
      <c r="T42" s="7"/>
      <c r="U42" s="7"/>
      <c r="V42" s="72"/>
      <c r="W42" s="72"/>
      <c r="X42" s="57" t="s">
        <v>2753</v>
      </c>
      <c r="Y42" s="7"/>
      <c r="Z42" s="7"/>
      <c r="AA42" s="7"/>
      <c r="AB42"/>
      <c r="AC42"/>
      <c r="AD42"/>
    </row>
    <row r="43" spans="1:30" s="42" customFormat="1" ht="17.25">
      <c r="A43" s="78" t="s">
        <v>2214</v>
      </c>
      <c r="B43" s="68"/>
      <c r="C43" s="68"/>
      <c r="D43" s="68"/>
      <c r="E43" s="139"/>
      <c r="F43" s="68"/>
      <c r="G43" s="68"/>
      <c r="H43" s="68"/>
      <c r="I43" s="68"/>
      <c r="J43"/>
      <c r="K43" s="47"/>
      <c r="L43" s="47"/>
      <c r="M43" s="47"/>
      <c r="N43" s="47"/>
      <c r="O43" s="47"/>
      <c r="P43" s="68"/>
      <c r="Q43" s="44"/>
      <c r="R43" s="44"/>
      <c r="S43" s="44"/>
      <c r="T43" s="68"/>
      <c r="U43" s="68"/>
      <c r="V43" s="68" t="s">
        <v>2215</v>
      </c>
      <c r="W43" s="78" t="s">
        <v>2214</v>
      </c>
      <c r="X43" s="68"/>
      <c r="Y43" s="68"/>
      <c r="Z43" s="68"/>
      <c r="AA43" s="68"/>
      <c r="AB43"/>
      <c r="AC43"/>
      <c r="AD43"/>
    </row>
    <row r="44" spans="1:30" s="42" customFormat="1" ht="153">
      <c r="A44" s="74" t="s">
        <v>2591</v>
      </c>
      <c r="B44" s="73" t="s">
        <v>2596</v>
      </c>
      <c r="C44" s="72"/>
      <c r="D44" s="72"/>
      <c r="E44" s="139">
        <v>267</v>
      </c>
      <c r="F44" s="72"/>
      <c r="G44" s="72"/>
      <c r="H44" s="72"/>
      <c r="I44" s="72"/>
      <c r="J44"/>
      <c r="K44" s="47" t="s">
        <v>2558</v>
      </c>
      <c r="L44" s="47"/>
      <c r="M44" s="47"/>
      <c r="N44" s="47"/>
      <c r="O44" s="47"/>
      <c r="P44" s="75" t="s">
        <v>2595</v>
      </c>
      <c r="Q44" s="44" t="s">
        <v>2593</v>
      </c>
      <c r="R44" s="82"/>
      <c r="S44" s="82" t="s">
        <v>2594</v>
      </c>
      <c r="T44" s="72"/>
      <c r="U44" s="72"/>
      <c r="V44" s="72"/>
      <c r="W44" s="72"/>
      <c r="X44" s="73" t="s">
        <v>2592</v>
      </c>
      <c r="Y44" s="73"/>
      <c r="Z44" s="72"/>
      <c r="AA44" s="72"/>
      <c r="AB44" s="71"/>
      <c r="AC44"/>
      <c r="AD44" s="71"/>
    </row>
    <row r="45" spans="1:30" s="42" customFormat="1" ht="82.5">
      <c r="A45" s="74" t="s">
        <v>2578</v>
      </c>
      <c r="B45" s="73" t="s">
        <v>2579</v>
      </c>
      <c r="C45" s="72"/>
      <c r="D45" s="72"/>
      <c r="E45" s="139">
        <v>275</v>
      </c>
      <c r="F45" s="72"/>
      <c r="G45" s="72"/>
      <c r="H45" s="72"/>
      <c r="I45" s="72"/>
      <c r="J45" s="47" t="s">
        <v>2558</v>
      </c>
      <c r="K45" s="47" t="s">
        <v>2558</v>
      </c>
      <c r="L45" s="47" t="s">
        <v>2558</v>
      </c>
      <c r="M45" s="47" t="s">
        <v>2558</v>
      </c>
      <c r="N45" s="47"/>
      <c r="O45" s="47"/>
      <c r="P45" s="75" t="s">
        <v>2584</v>
      </c>
      <c r="Q45" s="44" t="s">
        <v>2581</v>
      </c>
      <c r="R45" s="47" t="s">
        <v>2558</v>
      </c>
      <c r="S45" s="82" t="s">
        <v>2583</v>
      </c>
      <c r="T45" s="72"/>
      <c r="U45" s="72"/>
      <c r="V45" s="72"/>
      <c r="W45" s="72"/>
      <c r="X45" s="72"/>
      <c r="Y45" s="72"/>
      <c r="Z45" s="72"/>
      <c r="AA45" s="72"/>
      <c r="AB45" s="71"/>
      <c r="AC45"/>
      <c r="AD45" s="71"/>
    </row>
    <row r="46" spans="1:30" s="42" customFormat="1" ht="171.75">
      <c r="A46" s="87" t="s">
        <v>4800</v>
      </c>
      <c r="B46" s="167" t="s">
        <v>2390</v>
      </c>
      <c r="C46" s="72"/>
      <c r="D46" s="72"/>
      <c r="E46" s="139">
        <v>277</v>
      </c>
      <c r="F46" s="87"/>
      <c r="G46" s="72"/>
      <c r="H46" s="72"/>
      <c r="I46" s="72"/>
      <c r="J46"/>
      <c r="K46" s="47" t="s">
        <v>2558</v>
      </c>
      <c r="L46" s="47" t="s">
        <v>2558</v>
      </c>
      <c r="M46" s="47"/>
      <c r="N46" s="47"/>
      <c r="O46" s="47"/>
      <c r="P46" s="75" t="s">
        <v>2612</v>
      </c>
      <c r="Q46" s="44" t="s">
        <v>2610</v>
      </c>
      <c r="R46" s="44"/>
      <c r="S46" s="44" t="s">
        <v>2611</v>
      </c>
      <c r="T46" s="72"/>
      <c r="U46" s="72"/>
      <c r="V46" s="72"/>
      <c r="W46" s="72"/>
      <c r="X46" s="72"/>
      <c r="Y46" s="72"/>
      <c r="Z46" s="72"/>
      <c r="AA46" s="72"/>
      <c r="AB46"/>
      <c r="AC46"/>
      <c r="AD46"/>
    </row>
    <row r="47" spans="1:30" s="42" customFormat="1" ht="17.25">
      <c r="A47" s="78" t="s">
        <v>2212</v>
      </c>
      <c r="B47" s="68"/>
      <c r="C47" s="68"/>
      <c r="D47" s="68"/>
      <c r="E47" s="139"/>
      <c r="F47" s="68"/>
      <c r="G47" s="68"/>
      <c r="H47" s="68"/>
      <c r="I47" s="68"/>
      <c r="J47"/>
      <c r="K47" s="47"/>
      <c r="L47" s="47"/>
      <c r="M47" s="47"/>
      <c r="N47" s="47"/>
      <c r="O47" s="47"/>
      <c r="P47" s="68"/>
      <c r="Q47" s="44"/>
      <c r="R47" s="44"/>
      <c r="S47" s="44"/>
      <c r="T47" s="68"/>
      <c r="U47" s="68"/>
      <c r="V47" s="68" t="s">
        <v>2213</v>
      </c>
      <c r="W47" s="78" t="s">
        <v>2212</v>
      </c>
      <c r="X47" s="68"/>
      <c r="Y47" s="68"/>
      <c r="Z47" s="68"/>
      <c r="AA47" s="68"/>
      <c r="AB47"/>
      <c r="AC47"/>
      <c r="AD47"/>
    </row>
    <row r="48" spans="1:30" s="42" customFormat="1" ht="17.25">
      <c r="A48" s="78" t="s">
        <v>2183</v>
      </c>
      <c r="B48" s="68" t="s">
        <v>1274</v>
      </c>
      <c r="C48" s="68"/>
      <c r="D48" s="68" t="s">
        <v>3128</v>
      </c>
      <c r="E48" s="139"/>
      <c r="F48" s="68"/>
      <c r="G48" s="68"/>
      <c r="H48" s="68"/>
      <c r="I48" s="68"/>
      <c r="J48"/>
      <c r="K48" s="47"/>
      <c r="L48" s="47"/>
      <c r="M48" s="47"/>
      <c r="N48" s="47"/>
      <c r="O48" s="47"/>
      <c r="P48" s="68"/>
      <c r="Q48" s="44"/>
      <c r="R48" s="44"/>
      <c r="S48" s="44"/>
      <c r="T48"/>
      <c r="U48"/>
      <c r="V48" s="68" t="s">
        <v>2184</v>
      </c>
      <c r="W48" s="78" t="s">
        <v>2183</v>
      </c>
      <c r="X48" s="68"/>
      <c r="Y48" s="68"/>
      <c r="Z48" s="68"/>
      <c r="AA48" s="68"/>
      <c r="AB48"/>
      <c r="AC48"/>
      <c r="AD48"/>
    </row>
    <row r="49" spans="1:30" s="42" customFormat="1" ht="82.5">
      <c r="A49" s="99" t="s">
        <v>2722</v>
      </c>
      <c r="B49" s="7" t="s">
        <v>2725</v>
      </c>
      <c r="C49" s="7"/>
      <c r="D49" s="7"/>
      <c r="E49" s="139">
        <v>280</v>
      </c>
      <c r="F49" s="96" t="s">
        <v>2424</v>
      </c>
      <c r="G49" s="47" t="s">
        <v>2558</v>
      </c>
      <c r="H49" s="7"/>
      <c r="I49">
        <v>1600</v>
      </c>
      <c r="J49" s="47" t="s">
        <v>2558</v>
      </c>
      <c r="K49" s="47"/>
      <c r="L49" s="47"/>
      <c r="M49" s="47"/>
      <c r="N49" s="47"/>
      <c r="O49" s="47"/>
      <c r="P49" s="99" t="s">
        <v>2726</v>
      </c>
      <c r="Q49" s="44"/>
      <c r="R49" s="47" t="s">
        <v>2558</v>
      </c>
      <c r="S49" s="44"/>
      <c r="T49" s="7"/>
      <c r="U49" s="7"/>
      <c r="V49" s="7"/>
      <c r="W49" s="7"/>
      <c r="X49" s="7"/>
      <c r="Y49" s="7"/>
      <c r="Z49" s="7"/>
      <c r="AA49" s="7"/>
      <c r="AB49"/>
      <c r="AC49"/>
      <c r="AD49"/>
    </row>
    <row r="50" spans="1:30" s="42" customFormat="1" ht="114">
      <c r="A50" s="181" t="s">
        <v>2727</v>
      </c>
      <c r="B50" s="73" t="s">
        <v>2730</v>
      </c>
      <c r="C50" s="72"/>
      <c r="D50" s="72">
        <v>550</v>
      </c>
      <c r="E50" s="139"/>
      <c r="F50" s="87" t="s">
        <v>2729</v>
      </c>
      <c r="G50" s="7"/>
      <c r="H50" s="7"/>
      <c r="I50" s="7">
        <v>975</v>
      </c>
      <c r="J50"/>
      <c r="K50" s="47"/>
      <c r="L50" s="47"/>
      <c r="M50" s="47"/>
      <c r="N50" s="47"/>
      <c r="O50" s="47"/>
      <c r="P50" s="97" t="s">
        <v>2728</v>
      </c>
      <c r="Q50" s="44"/>
      <c r="R50" s="47" t="s">
        <v>2558</v>
      </c>
      <c r="S50" s="44"/>
      <c r="T50" s="7"/>
      <c r="U50" s="7"/>
      <c r="V50" s="72"/>
      <c r="W50" s="72"/>
      <c r="X50" s="7"/>
      <c r="Y50" s="7"/>
      <c r="Z50" s="7"/>
      <c r="AA50" s="7"/>
      <c r="AB50"/>
      <c r="AC50"/>
      <c r="AD50"/>
    </row>
    <row r="51" spans="1:30" s="42" customFormat="1">
      <c r="A51" s="100" t="s">
        <v>2735</v>
      </c>
      <c r="B51" s="167" t="s">
        <v>2734</v>
      </c>
      <c r="C51" s="72"/>
      <c r="D51" s="72"/>
      <c r="E51" s="139">
        <v>289</v>
      </c>
      <c r="F51" s="72"/>
      <c r="G51" s="72"/>
      <c r="H51" s="72"/>
      <c r="I51" s="72"/>
      <c r="J51"/>
      <c r="K51" s="47"/>
      <c r="L51" s="47"/>
      <c r="M51" s="47"/>
      <c r="N51" s="47"/>
      <c r="O51" s="47"/>
      <c r="P51" s="72"/>
      <c r="Q51" s="44"/>
      <c r="R51" s="82"/>
      <c r="S51" s="82"/>
      <c r="T51" s="72"/>
      <c r="U51" s="72"/>
      <c r="V51" s="72"/>
      <c r="W51" s="72"/>
      <c r="X51" s="55" t="s">
        <v>2736</v>
      </c>
      <c r="Y51" s="72"/>
      <c r="Z51" s="72"/>
      <c r="AA51" s="72"/>
      <c r="AB51" s="71"/>
      <c r="AC51"/>
      <c r="AD51" s="71"/>
    </row>
    <row r="52" spans="1:30" s="42" customFormat="1" ht="17.25">
      <c r="A52" s="78" t="s">
        <v>2219</v>
      </c>
      <c r="B52" s="68"/>
      <c r="C52" s="68"/>
      <c r="D52" s="68"/>
      <c r="E52" s="139"/>
      <c r="F52" s="68"/>
      <c r="G52" s="68"/>
      <c r="H52" s="68"/>
      <c r="I52" s="68"/>
      <c r="J52"/>
      <c r="K52" s="47"/>
      <c r="L52" s="47"/>
      <c r="M52" s="47"/>
      <c r="N52" s="47"/>
      <c r="O52" s="47"/>
      <c r="P52" s="68"/>
      <c r="Q52" s="44"/>
      <c r="R52" s="44"/>
      <c r="S52" s="44"/>
      <c r="T52" s="68"/>
      <c r="U52" s="68"/>
      <c r="V52" s="68" t="s">
        <v>2220</v>
      </c>
      <c r="W52" s="78" t="s">
        <v>2219</v>
      </c>
      <c r="X52" s="68"/>
      <c r="Y52" s="68"/>
      <c r="Z52" s="68"/>
      <c r="AA52" s="68"/>
      <c r="AB52"/>
      <c r="AC52"/>
      <c r="AD52"/>
    </row>
    <row r="53" spans="1:30" s="42" customFormat="1" ht="34.5">
      <c r="A53" s="78" t="s">
        <v>2185</v>
      </c>
      <c r="B53" s="68" t="s">
        <v>2186</v>
      </c>
      <c r="C53" s="68"/>
      <c r="D53" s="68"/>
      <c r="E53" s="141">
        <v>294</v>
      </c>
      <c r="F53" s="68"/>
      <c r="G53" s="68"/>
      <c r="H53" s="68"/>
      <c r="I53" s="68"/>
      <c r="J53"/>
      <c r="K53" s="47"/>
      <c r="L53" s="47"/>
      <c r="M53" s="47"/>
      <c r="N53" s="47"/>
      <c r="O53" s="47"/>
      <c r="P53" s="68"/>
      <c r="Q53" s="44"/>
      <c r="R53" s="44"/>
      <c r="S53" s="44"/>
      <c r="T53"/>
      <c r="U53"/>
      <c r="V53" s="68" t="s">
        <v>2187</v>
      </c>
      <c r="W53" s="78" t="s">
        <v>2185</v>
      </c>
      <c r="X53" s="68"/>
      <c r="Y53" s="68"/>
      <c r="Z53" s="68"/>
      <c r="AA53" s="68"/>
      <c r="AB53"/>
      <c r="AC53"/>
      <c r="AD53"/>
    </row>
    <row r="54" spans="1:30" s="42" customFormat="1" ht="132">
      <c r="A54" s="96" t="s">
        <v>2703</v>
      </c>
      <c r="B54" s="57" t="s">
        <v>2705</v>
      </c>
      <c r="C54" s="101"/>
      <c r="D54" s="101" t="s">
        <v>2666</v>
      </c>
      <c r="E54" s="139"/>
      <c r="F54" s="96" t="s">
        <v>2704</v>
      </c>
      <c r="G54" s="7"/>
      <c r="H54" s="7"/>
      <c r="I54" s="7">
        <v>1796</v>
      </c>
      <c r="J54" s="47" t="s">
        <v>2558</v>
      </c>
      <c r="K54" s="47" t="s">
        <v>2558</v>
      </c>
      <c r="L54" s="47" t="s">
        <v>2558</v>
      </c>
      <c r="M54" s="47"/>
      <c r="N54" s="47"/>
      <c r="O54" s="47"/>
      <c r="P54" s="97" t="s">
        <v>2706</v>
      </c>
      <c r="Q54" s="44"/>
      <c r="R54" s="47" t="s">
        <v>2558</v>
      </c>
      <c r="S54" s="44"/>
      <c r="T54" s="7"/>
      <c r="U54" s="7"/>
      <c r="V54" s="7"/>
      <c r="W54" s="7"/>
      <c r="X54" s="7"/>
      <c r="Y54" s="7"/>
      <c r="Z54" s="7"/>
      <c r="AA54" s="7"/>
      <c r="AB54"/>
      <c r="AC54"/>
      <c r="AD54"/>
    </row>
    <row r="55" spans="1:30" s="42" customFormat="1">
      <c r="A55" s="82" t="s">
        <v>680</v>
      </c>
      <c r="B55" s="82" t="s">
        <v>682</v>
      </c>
      <c r="C55" s="71" t="s">
        <v>2664</v>
      </c>
      <c r="D55" s="71"/>
      <c r="E55" s="139">
        <v>489</v>
      </c>
      <c r="F55" s="82"/>
      <c r="G55" s="71"/>
      <c r="H55" s="71"/>
      <c r="I55" s="71"/>
      <c r="J55"/>
      <c r="K55" s="47"/>
      <c r="L55" s="47"/>
      <c r="M55" s="47"/>
      <c r="N55" s="47"/>
      <c r="O55" s="47"/>
      <c r="P55" s="71"/>
      <c r="Q55" s="44"/>
      <c r="R55" s="44"/>
      <c r="S55" s="44"/>
      <c r="T55" s="71"/>
      <c r="U55" s="71"/>
      <c r="V55" s="71"/>
      <c r="W55" s="82"/>
      <c r="X55" s="71"/>
      <c r="Y55" s="71"/>
      <c r="Z55" s="71"/>
      <c r="AA55" s="71"/>
      <c r="AB55"/>
      <c r="AC55"/>
      <c r="AD55"/>
    </row>
    <row r="56" spans="1:30" ht="34.5">
      <c r="A56" s="78" t="s">
        <v>2205</v>
      </c>
      <c r="B56" s="68" t="s">
        <v>2206</v>
      </c>
      <c r="C56" s="68"/>
      <c r="D56" s="68"/>
      <c r="E56" s="139">
        <v>306</v>
      </c>
      <c r="F56" s="68"/>
      <c r="G56" s="68"/>
      <c r="H56" s="68"/>
      <c r="I56" s="68"/>
      <c r="P56" s="68"/>
      <c r="T56" s="71"/>
      <c r="U56" s="71"/>
      <c r="V56" s="68" t="s">
        <v>2207</v>
      </c>
      <c r="W56" s="78" t="s">
        <v>2205</v>
      </c>
      <c r="X56" s="68"/>
      <c r="Y56" s="68"/>
      <c r="Z56" s="68"/>
      <c r="AA56" s="68"/>
    </row>
    <row r="57" spans="1:30" ht="34.5">
      <c r="A57" s="78" t="s">
        <v>2192</v>
      </c>
      <c r="B57" s="68" t="s">
        <v>2193</v>
      </c>
      <c r="C57" s="68"/>
      <c r="D57" s="68"/>
      <c r="E57" s="139">
        <v>330</v>
      </c>
      <c r="F57" s="68"/>
      <c r="G57" s="68"/>
      <c r="H57" s="68"/>
      <c r="I57" s="68"/>
      <c r="P57" s="68"/>
      <c r="V57" s="68" t="s">
        <v>2194</v>
      </c>
      <c r="W57" s="78" t="s">
        <v>2192</v>
      </c>
      <c r="X57" s="68"/>
      <c r="Y57" s="68"/>
      <c r="Z57" s="68"/>
      <c r="AA57" s="68"/>
    </row>
    <row r="58" spans="1:30" ht="34.5">
      <c r="A58" s="78" t="s">
        <v>2199</v>
      </c>
      <c r="B58" s="68" t="s">
        <v>2200</v>
      </c>
      <c r="C58" s="68"/>
      <c r="D58" s="68"/>
      <c r="E58" s="140">
        <v>371</v>
      </c>
      <c r="F58" s="68"/>
      <c r="G58" s="68"/>
      <c r="H58" s="68"/>
      <c r="I58" s="68"/>
      <c r="P58" s="68"/>
      <c r="T58" s="71"/>
      <c r="U58" s="71"/>
      <c r="V58" s="68" t="s">
        <v>2201</v>
      </c>
      <c r="W58" s="78" t="s">
        <v>2199</v>
      </c>
      <c r="X58" s="68"/>
      <c r="Y58" s="68"/>
      <c r="Z58" s="68"/>
      <c r="AA58" s="68"/>
    </row>
    <row r="59" spans="1:30" ht="80.25">
      <c r="A59" s="98" t="s">
        <v>2743</v>
      </c>
      <c r="B59" s="73" t="s">
        <v>2746</v>
      </c>
      <c r="C59" s="7"/>
      <c r="D59" s="7"/>
      <c r="E59" s="139">
        <v>374</v>
      </c>
      <c r="F59" s="181" t="s">
        <v>2745</v>
      </c>
      <c r="G59" s="7"/>
      <c r="H59" s="7"/>
      <c r="I59" s="7">
        <v>1304</v>
      </c>
      <c r="P59" s="97" t="s">
        <v>2744</v>
      </c>
      <c r="R59" s="47" t="s">
        <v>2558</v>
      </c>
      <c r="T59" s="7"/>
      <c r="U59" s="7"/>
      <c r="V59" s="7"/>
      <c r="W59" s="7"/>
      <c r="X59" s="7"/>
      <c r="Y59" s="7"/>
      <c r="Z59" s="7"/>
      <c r="AA59" s="7"/>
    </row>
    <row r="60" spans="1:30" ht="87.75">
      <c r="A60" s="94" t="s">
        <v>2696</v>
      </c>
      <c r="B60" s="57" t="s">
        <v>2697</v>
      </c>
      <c r="C60" s="7"/>
      <c r="D60" s="7"/>
      <c r="E60" s="139">
        <v>376</v>
      </c>
      <c r="F60" s="96" t="s">
        <v>2424</v>
      </c>
      <c r="G60" s="7"/>
      <c r="H60" s="7"/>
      <c r="I60" s="7">
        <v>10634</v>
      </c>
      <c r="K60" s="47" t="s">
        <v>2558</v>
      </c>
      <c r="L60" s="47" t="s">
        <v>2558</v>
      </c>
      <c r="P60" s="97" t="s">
        <v>2698</v>
      </c>
      <c r="R60" s="47" t="s">
        <v>2558</v>
      </c>
      <c r="T60" s="7"/>
      <c r="U60" s="7"/>
      <c r="V60" s="7"/>
      <c r="W60" s="7"/>
      <c r="X60" s="7"/>
      <c r="Y60" s="7"/>
      <c r="Z60" s="7"/>
      <c r="AA60" s="7"/>
    </row>
    <row r="61" spans="1:30">
      <c r="A61" s="115" t="s">
        <v>1559</v>
      </c>
      <c r="B61" s="145" t="s">
        <v>2926</v>
      </c>
      <c r="C61" s="145"/>
      <c r="D61" s="108" t="s">
        <v>2663</v>
      </c>
      <c r="E61" s="108"/>
      <c r="F61" s="72"/>
      <c r="G61" s="7"/>
      <c r="H61" s="7"/>
      <c r="I61" s="7"/>
      <c r="P61" s="7"/>
      <c r="T61" s="7"/>
      <c r="U61" s="7"/>
      <c r="V61" s="7"/>
      <c r="W61" s="7"/>
      <c r="X61" s="7"/>
      <c r="Y61" s="7"/>
      <c r="Z61" s="7"/>
      <c r="AA61" s="7"/>
    </row>
    <row r="62" spans="1:30" ht="66">
      <c r="A62" s="98" t="s">
        <v>2717</v>
      </c>
      <c r="B62" s="57" t="s">
        <v>2720</v>
      </c>
      <c r="C62" s="7" t="s">
        <v>2759</v>
      </c>
      <c r="D62" s="7"/>
      <c r="E62" s="139">
        <v>414</v>
      </c>
      <c r="F62" s="96" t="s">
        <v>2718</v>
      </c>
      <c r="G62" s="7"/>
      <c r="H62" s="7"/>
      <c r="I62" s="7">
        <v>3662</v>
      </c>
      <c r="K62" s="47" t="s">
        <v>2558</v>
      </c>
      <c r="L62" s="47" t="s">
        <v>2558</v>
      </c>
      <c r="M62" s="47" t="s">
        <v>2558</v>
      </c>
      <c r="N62" s="47" t="s">
        <v>2558</v>
      </c>
      <c r="O62" s="47" t="s">
        <v>2558</v>
      </c>
      <c r="P62" s="99" t="s">
        <v>2721</v>
      </c>
      <c r="R62" s="47" t="s">
        <v>2558</v>
      </c>
      <c r="T62" s="7"/>
      <c r="U62" s="7"/>
      <c r="V62" s="7"/>
      <c r="W62" s="7"/>
      <c r="X62" s="7"/>
      <c r="Y62" s="7"/>
      <c r="Z62" s="7"/>
      <c r="AA62" s="7"/>
    </row>
    <row r="63" spans="1:30" ht="66">
      <c r="A63" s="74" t="s">
        <v>2569</v>
      </c>
      <c r="B63" s="73" t="s">
        <v>2574</v>
      </c>
      <c r="C63" s="72"/>
      <c r="D63" s="72"/>
      <c r="E63" s="139">
        <v>421</v>
      </c>
      <c r="F63" s="72"/>
      <c r="G63" s="72"/>
      <c r="H63" s="72"/>
      <c r="I63" s="72"/>
      <c r="K63" s="47" t="s">
        <v>2558</v>
      </c>
      <c r="L63" s="47" t="s">
        <v>2558</v>
      </c>
      <c r="M63" s="47" t="s">
        <v>2558</v>
      </c>
      <c r="P63" s="75" t="s">
        <v>2573</v>
      </c>
      <c r="Q63" s="44" t="s">
        <v>2571</v>
      </c>
      <c r="R63" s="82"/>
      <c r="S63" s="53" t="s">
        <v>2572</v>
      </c>
      <c r="T63" s="72"/>
      <c r="U63" s="72"/>
      <c r="V63" s="72"/>
      <c r="W63" s="72"/>
      <c r="X63" s="73" t="s">
        <v>2570</v>
      </c>
      <c r="Y63" s="73"/>
      <c r="Z63" s="72"/>
      <c r="AA63" s="72"/>
      <c r="AB63" s="71"/>
      <c r="AD63" s="71"/>
    </row>
    <row r="64" spans="1:30" ht="34.5">
      <c r="A64" s="78" t="s">
        <v>2189</v>
      </c>
      <c r="B64" s="68" t="s">
        <v>2190</v>
      </c>
      <c r="C64" s="68"/>
      <c r="D64" s="68"/>
      <c r="E64" s="139">
        <v>422</v>
      </c>
      <c r="F64" s="68"/>
      <c r="G64" s="68"/>
      <c r="H64" s="68"/>
      <c r="I64" s="68"/>
      <c r="P64" s="68"/>
      <c r="V64" s="68" t="s">
        <v>2191</v>
      </c>
      <c r="W64" s="78" t="s">
        <v>2189</v>
      </c>
      <c r="X64" s="68"/>
      <c r="Y64" s="68"/>
      <c r="Z64" s="68"/>
      <c r="AA64" s="68"/>
    </row>
    <row r="65" spans="1:30">
      <c r="A65" s="94" t="s">
        <v>2694</v>
      </c>
      <c r="B65" s="55" t="s">
        <v>2693</v>
      </c>
      <c r="C65" s="7"/>
      <c r="D65" s="7"/>
      <c r="E65" s="139">
        <v>425</v>
      </c>
      <c r="F65" s="7"/>
      <c r="G65" s="7"/>
      <c r="H65" s="7"/>
      <c r="I65" s="7"/>
      <c r="P65" s="7"/>
      <c r="T65" s="7"/>
      <c r="U65" s="7"/>
      <c r="V65" s="7"/>
      <c r="W65" s="7"/>
      <c r="X65" s="57" t="s">
        <v>2692</v>
      </c>
      <c r="Y65" s="7"/>
      <c r="Z65" s="7"/>
      <c r="AA65" s="7"/>
    </row>
    <row r="66" spans="1:30" ht="99.75">
      <c r="A66" s="94" t="s">
        <v>2738</v>
      </c>
      <c r="B66" s="57" t="s">
        <v>2742</v>
      </c>
      <c r="C66" s="7"/>
      <c r="D66" s="7"/>
      <c r="E66" s="171">
        <v>430</v>
      </c>
      <c r="F66" s="96" t="s">
        <v>2729</v>
      </c>
      <c r="G66" s="7"/>
      <c r="H66" s="7"/>
      <c r="I66" s="7">
        <v>8530</v>
      </c>
      <c r="P66" s="97" t="s">
        <v>2741</v>
      </c>
      <c r="R66" s="47" t="s">
        <v>2558</v>
      </c>
      <c r="T66" s="7"/>
      <c r="U66" s="7"/>
      <c r="V66" s="7"/>
      <c r="W66" s="7"/>
      <c r="X66" s="7"/>
      <c r="Y66" s="7"/>
      <c r="Z66" s="7"/>
      <c r="AA66" s="7"/>
    </row>
    <row r="67" spans="1:30" ht="16.5">
      <c r="A67" s="99" t="s">
        <v>3094</v>
      </c>
      <c r="B67" s="7"/>
      <c r="C67" s="7"/>
      <c r="D67" s="7"/>
      <c r="E67" s="140"/>
      <c r="F67" s="7"/>
      <c r="G67" s="7"/>
      <c r="H67" s="7"/>
      <c r="I67" s="7"/>
      <c r="P67" s="7"/>
      <c r="T67" s="7"/>
      <c r="U67" s="7"/>
      <c r="V67" s="7"/>
      <c r="W67" s="99" t="s">
        <v>3067</v>
      </c>
      <c r="X67" s="7"/>
      <c r="Y67" s="7"/>
      <c r="Z67" s="7"/>
      <c r="AA67" s="7"/>
    </row>
    <row r="68" spans="1:30" ht="34.5">
      <c r="A68" s="78" t="s">
        <v>2217</v>
      </c>
      <c r="B68" s="68"/>
      <c r="C68" s="68"/>
      <c r="D68" s="68"/>
      <c r="F68" s="68"/>
      <c r="G68" s="68"/>
      <c r="H68" s="68"/>
      <c r="I68" s="68"/>
      <c r="P68" s="68"/>
      <c r="T68" s="68"/>
      <c r="U68" s="68"/>
      <c r="V68" s="68" t="s">
        <v>2218</v>
      </c>
      <c r="W68" s="78" t="s">
        <v>2217</v>
      </c>
      <c r="X68" s="68"/>
      <c r="Y68" s="68"/>
      <c r="Z68" s="68"/>
      <c r="AA68" s="68"/>
    </row>
    <row r="69" spans="1:30" ht="66">
      <c r="A69" s="74" t="s">
        <v>2575</v>
      </c>
      <c r="B69" s="73" t="s">
        <v>2286</v>
      </c>
      <c r="C69" s="72"/>
      <c r="D69" s="72"/>
      <c r="E69" s="139">
        <v>443</v>
      </c>
      <c r="F69" s="72"/>
      <c r="G69" s="72"/>
      <c r="H69" s="72"/>
      <c r="I69" s="72"/>
      <c r="K69" s="47" t="s">
        <v>2558</v>
      </c>
      <c r="L69" s="47" t="s">
        <v>2558</v>
      </c>
      <c r="P69" s="75" t="s">
        <v>2577</v>
      </c>
      <c r="Q69" s="44" t="s">
        <v>2580</v>
      </c>
      <c r="R69" s="47" t="s">
        <v>2558</v>
      </c>
      <c r="S69" s="82" t="s">
        <v>2576</v>
      </c>
      <c r="T69" s="72"/>
      <c r="U69" s="72"/>
      <c r="V69" s="72"/>
      <c r="W69" s="72"/>
      <c r="X69" s="72"/>
      <c r="Y69" s="72"/>
      <c r="Z69" s="72"/>
      <c r="AA69" s="72"/>
      <c r="AB69" s="71"/>
      <c r="AD69" s="71"/>
    </row>
    <row r="70" spans="1:30" ht="66">
      <c r="A70" s="181" t="s">
        <v>2731</v>
      </c>
      <c r="B70" s="73" t="s">
        <v>2733</v>
      </c>
      <c r="C70" s="75"/>
      <c r="D70" s="75" t="s">
        <v>2761</v>
      </c>
      <c r="F70" s="87" t="s">
        <v>2345</v>
      </c>
      <c r="G70" s="7"/>
      <c r="H70" s="7"/>
      <c r="I70" s="7">
        <v>2900</v>
      </c>
      <c r="P70" s="97" t="s">
        <v>2732</v>
      </c>
      <c r="R70" s="47" t="s">
        <v>2558</v>
      </c>
      <c r="T70" s="72"/>
      <c r="U70" s="72"/>
      <c r="V70" s="72"/>
      <c r="W70" s="72"/>
      <c r="X70" s="7"/>
      <c r="Y70" s="7"/>
      <c r="Z70" s="7"/>
      <c r="AA70" s="7"/>
    </row>
    <row r="71" spans="1:30" ht="85.5">
      <c r="A71" s="98" t="s">
        <v>2700</v>
      </c>
      <c r="B71" s="57" t="s">
        <v>2701</v>
      </c>
      <c r="C71" s="7"/>
      <c r="D71" s="7"/>
      <c r="E71" s="140">
        <v>446</v>
      </c>
      <c r="F71" s="96" t="s">
        <v>2417</v>
      </c>
      <c r="G71" s="7"/>
      <c r="H71" s="7"/>
      <c r="I71" s="7">
        <v>10811</v>
      </c>
      <c r="K71" s="47" t="s">
        <v>2558</v>
      </c>
      <c r="L71" s="47" t="s">
        <v>2558</v>
      </c>
      <c r="P71" s="97" t="s">
        <v>2702</v>
      </c>
      <c r="R71" s="47" t="s">
        <v>2558</v>
      </c>
      <c r="T71" s="7"/>
      <c r="U71" s="7"/>
      <c r="V71" s="7"/>
      <c r="W71" s="7"/>
      <c r="X71" s="7" t="s">
        <v>2737</v>
      </c>
      <c r="Y71" s="7"/>
      <c r="Z71" s="7"/>
      <c r="AA71" s="7"/>
    </row>
    <row r="72" spans="1:30">
      <c r="A72" s="181" t="s">
        <v>2279</v>
      </c>
      <c r="B72" s="167" t="s">
        <v>2280</v>
      </c>
      <c r="C72" s="72"/>
      <c r="D72" s="72"/>
      <c r="E72" s="139">
        <v>448</v>
      </c>
      <c r="F72" s="181"/>
      <c r="G72" s="72"/>
      <c r="H72" s="72"/>
      <c r="I72" s="72"/>
      <c r="P72" s="72"/>
      <c r="T72" s="72"/>
      <c r="U72" s="72"/>
      <c r="V72" s="72"/>
      <c r="W72" s="181" t="s">
        <v>2279</v>
      </c>
      <c r="X72" s="73" t="s">
        <v>2609</v>
      </c>
      <c r="Y72" s="73"/>
      <c r="Z72" s="72"/>
      <c r="AA72" s="72"/>
    </row>
    <row r="73" spans="1:30" ht="150.75">
      <c r="A73" s="87" t="s">
        <v>2281</v>
      </c>
      <c r="B73" s="185" t="s">
        <v>2282</v>
      </c>
      <c r="C73" s="71"/>
      <c r="D73" s="71"/>
      <c r="E73" s="139">
        <v>465</v>
      </c>
      <c r="F73" s="87"/>
      <c r="G73" s="71"/>
      <c r="H73" s="71"/>
      <c r="I73" s="71"/>
      <c r="J73" s="47" t="s">
        <v>2558</v>
      </c>
      <c r="K73" s="47" t="s">
        <v>2558</v>
      </c>
      <c r="L73" s="47" t="s">
        <v>2558</v>
      </c>
      <c r="P73" s="75" t="s">
        <v>2695</v>
      </c>
      <c r="Q73" s="44" t="s">
        <v>2561</v>
      </c>
      <c r="R73" s="47" t="s">
        <v>2558</v>
      </c>
      <c r="S73" s="85" t="s">
        <v>2563</v>
      </c>
      <c r="T73" s="71"/>
      <c r="U73" s="71"/>
      <c r="V73" s="72"/>
      <c r="W73" s="87" t="s">
        <v>2281</v>
      </c>
      <c r="X73" s="73" t="s">
        <v>2559</v>
      </c>
      <c r="Y73" s="73"/>
      <c r="Z73" s="72"/>
      <c r="AA73" s="72"/>
      <c r="AC73" s="90">
        <v>43825</v>
      </c>
    </row>
    <row r="74" spans="1:30">
      <c r="A74" s="124" t="s">
        <v>1234</v>
      </c>
      <c r="B74" s="145" t="s">
        <v>2924</v>
      </c>
      <c r="C74" s="145"/>
      <c r="D74" s="108" t="s">
        <v>2663</v>
      </c>
      <c r="E74" s="108"/>
      <c r="F74" s="7"/>
      <c r="G74" s="7"/>
      <c r="H74" s="7"/>
      <c r="I74" s="7"/>
      <c r="P74" s="7"/>
      <c r="T74" s="7"/>
      <c r="U74" s="7"/>
      <c r="V74" s="72"/>
      <c r="W74" s="72"/>
      <c r="X74" s="7"/>
      <c r="Y74" s="7"/>
      <c r="Z74" s="7"/>
      <c r="AA74" s="7"/>
    </row>
    <row r="75" spans="1:30" ht="34.5">
      <c r="A75" s="78" t="s">
        <v>2210</v>
      </c>
      <c r="B75" s="68"/>
      <c r="C75" s="68"/>
      <c r="D75" s="68"/>
      <c r="F75" s="68"/>
      <c r="G75" s="68"/>
      <c r="H75" s="68"/>
      <c r="I75" s="68"/>
      <c r="P75" s="68"/>
      <c r="T75" s="68"/>
      <c r="U75" s="68"/>
      <c r="V75" s="68" t="s">
        <v>2211</v>
      </c>
      <c r="W75" s="78" t="s">
        <v>2210</v>
      </c>
      <c r="X75" s="68"/>
      <c r="Y75" s="68"/>
      <c r="Z75" s="68"/>
      <c r="AA75" s="68"/>
    </row>
    <row r="76" spans="1:30" ht="34.5">
      <c r="A76" s="78" t="s">
        <v>2210</v>
      </c>
      <c r="B76" s="68"/>
      <c r="C76" s="68"/>
      <c r="D76" s="68"/>
      <c r="E76" s="140"/>
      <c r="F76" s="68"/>
      <c r="G76" s="68"/>
      <c r="H76" s="68"/>
      <c r="I76" s="68"/>
      <c r="P76" s="68"/>
      <c r="T76" s="68"/>
      <c r="U76" s="68"/>
      <c r="V76" s="68" t="s">
        <v>2216</v>
      </c>
      <c r="W76" s="78" t="s">
        <v>2210</v>
      </c>
      <c r="X76" s="68"/>
      <c r="Y76" s="68"/>
      <c r="Z76" s="68"/>
      <c r="AA76" s="68"/>
    </row>
    <row r="77" spans="1:30">
      <c r="A77" s="136" t="s">
        <v>2340</v>
      </c>
      <c r="B77" s="145" t="s">
        <v>2922</v>
      </c>
      <c r="C77" s="145"/>
      <c r="D77" s="108" t="s">
        <v>2663</v>
      </c>
      <c r="E77" s="108"/>
      <c r="F77" s="72"/>
      <c r="G77" s="7"/>
      <c r="H77" s="7"/>
      <c r="I77" s="7"/>
      <c r="P77" s="7"/>
      <c r="T77" s="7"/>
      <c r="U77" s="7"/>
      <c r="V77" s="72"/>
      <c r="W77" s="72"/>
      <c r="X77" s="7"/>
      <c r="Y77" s="7"/>
      <c r="Z77" s="7"/>
      <c r="AA77" s="7"/>
    </row>
    <row r="78" spans="1:30" ht="17.25">
      <c r="A78" s="78" t="s">
        <v>301</v>
      </c>
      <c r="B78" s="68"/>
      <c r="C78" s="68"/>
      <c r="D78" s="68"/>
      <c r="F78" s="198"/>
      <c r="G78" s="68"/>
      <c r="H78" s="68"/>
      <c r="I78" s="68"/>
      <c r="P78" s="68"/>
      <c r="T78" s="68"/>
      <c r="U78" s="68"/>
      <c r="V78" s="68" t="s">
        <v>2223</v>
      </c>
      <c r="W78" s="78" t="s">
        <v>301</v>
      </c>
      <c r="X78" s="68"/>
      <c r="Y78" s="68"/>
      <c r="Z78" s="68"/>
      <c r="AA78" s="68"/>
    </row>
    <row r="79" spans="1:30">
      <c r="A79" s="43" t="s">
        <v>2233</v>
      </c>
      <c r="B79" s="41" t="s">
        <v>1164</v>
      </c>
      <c r="C79" s="7" t="s">
        <v>2763</v>
      </c>
      <c r="D79" s="7"/>
      <c r="E79" s="139">
        <v>486</v>
      </c>
      <c r="F79" s="54"/>
      <c r="G79" s="7"/>
      <c r="H79" s="7"/>
      <c r="I79" s="7"/>
      <c r="P79" s="7"/>
      <c r="T79" s="7"/>
      <c r="U79" s="7"/>
      <c r="V79" s="7"/>
      <c r="W79" s="7"/>
      <c r="X79" s="7"/>
      <c r="Y79" s="7"/>
      <c r="Z79" s="7"/>
      <c r="AA79" s="7"/>
    </row>
    <row r="80" spans="1:30" ht="85.5">
      <c r="A80" t="s">
        <v>2707</v>
      </c>
      <c r="B80" s="7" t="s">
        <v>2709</v>
      </c>
      <c r="C80" s="7"/>
      <c r="D80" s="7"/>
      <c r="E80" s="139">
        <v>487</v>
      </c>
      <c r="F80" t="s">
        <v>2708</v>
      </c>
      <c r="G80" s="7"/>
      <c r="H80" s="7"/>
      <c r="I80">
        <v>345</v>
      </c>
      <c r="K80" s="47" t="s">
        <v>2558</v>
      </c>
      <c r="L80" s="47" t="s">
        <v>2558</v>
      </c>
      <c r="P80" s="97" t="s">
        <v>2710</v>
      </c>
      <c r="R80" s="47" t="s">
        <v>2558</v>
      </c>
      <c r="T80" s="7"/>
      <c r="U80" s="7"/>
      <c r="V80" s="7"/>
      <c r="W80" s="7"/>
      <c r="X80" s="7"/>
      <c r="Y80" s="7"/>
      <c r="Z80" s="7"/>
      <c r="AA80" s="7"/>
    </row>
    <row r="81" spans="1:30" ht="18.75">
      <c r="A81" s="72"/>
      <c r="B81" s="55" t="s">
        <v>2676</v>
      </c>
      <c r="C81" s="87"/>
      <c r="D81" s="87" t="s">
        <v>2666</v>
      </c>
      <c r="F81" s="72"/>
      <c r="G81" s="87"/>
      <c r="H81" s="87"/>
      <c r="I81" s="87"/>
      <c r="P81" s="72"/>
      <c r="R81" s="82"/>
      <c r="S81" s="82"/>
      <c r="T81" s="72"/>
      <c r="U81" s="72"/>
      <c r="V81" s="72"/>
      <c r="W81" s="72"/>
      <c r="X81" s="72"/>
      <c r="Y81" s="72"/>
      <c r="Z81" s="72"/>
      <c r="AA81" s="72"/>
      <c r="AB81" s="71"/>
      <c r="AD81" s="71"/>
    </row>
    <row r="82" spans="1:30" ht="18.75">
      <c r="A82" s="75" t="s">
        <v>3981</v>
      </c>
      <c r="B82" s="55" t="s">
        <v>2574</v>
      </c>
      <c r="C82" s="72"/>
      <c r="D82" s="72"/>
      <c r="E82" s="141">
        <v>421</v>
      </c>
      <c r="F82" s="72"/>
      <c r="G82" s="72"/>
      <c r="H82" s="72"/>
      <c r="I82" s="72"/>
      <c r="P82" s="72"/>
      <c r="R82" s="82"/>
      <c r="S82" s="82"/>
      <c r="T82" s="55" t="s">
        <v>3983</v>
      </c>
      <c r="U82" s="55" t="s">
        <v>3985</v>
      </c>
      <c r="V82" s="72" t="s">
        <v>3986</v>
      </c>
      <c r="W82" s="72"/>
      <c r="X82" s="72" t="s">
        <v>3987</v>
      </c>
      <c r="Y82" s="72"/>
      <c r="Z82" s="72"/>
      <c r="AA82" s="72"/>
      <c r="AB82" s="71"/>
      <c r="AD82" s="71" t="s">
        <v>3957</v>
      </c>
    </row>
    <row r="83" spans="1:30" ht="18.75">
      <c r="A83" s="72" t="s">
        <v>2614</v>
      </c>
      <c r="B83" s="55" t="s">
        <v>3988</v>
      </c>
      <c r="C83" s="75" t="s">
        <v>3989</v>
      </c>
      <c r="D83" s="72"/>
      <c r="E83" s="139">
        <v>520</v>
      </c>
      <c r="F83" s="72"/>
      <c r="G83" s="72"/>
      <c r="H83" s="72"/>
      <c r="I83" s="72"/>
      <c r="P83" s="72"/>
      <c r="R83" s="82"/>
      <c r="S83" s="82"/>
      <c r="T83" s="72"/>
      <c r="U83" s="72"/>
      <c r="V83" s="72"/>
      <c r="W83" s="72"/>
      <c r="X83" s="72"/>
      <c r="Y83" s="72"/>
      <c r="Z83" s="72"/>
      <c r="AA83" s="72"/>
      <c r="AB83" s="71"/>
      <c r="AD83" s="71" t="s">
        <v>3957</v>
      </c>
    </row>
    <row r="84" spans="1:30">
      <c r="A84" s="124" t="s">
        <v>842</v>
      </c>
      <c r="B84" s="145" t="s">
        <v>843</v>
      </c>
      <c r="C84" s="108" t="s">
        <v>2664</v>
      </c>
      <c r="E84" s="141">
        <v>343</v>
      </c>
      <c r="F84" s="72"/>
      <c r="G84" s="72"/>
      <c r="H84" s="72"/>
      <c r="I84" s="72"/>
      <c r="P84" s="72"/>
      <c r="R84" s="82"/>
      <c r="S84" s="82"/>
      <c r="T84" s="72"/>
      <c r="U84" s="72"/>
      <c r="V84" s="72"/>
      <c r="W84" s="72"/>
      <c r="X84" s="72"/>
      <c r="Y84" s="72"/>
      <c r="Z84" s="72"/>
      <c r="AA84" s="72"/>
      <c r="AB84" s="71"/>
      <c r="AD84" s="71" t="s">
        <v>3957</v>
      </c>
    </row>
    <row r="85" spans="1:30" ht="16.5">
      <c r="A85" s="99" t="s">
        <v>3991</v>
      </c>
      <c r="B85" s="7"/>
      <c r="C85" s="7"/>
      <c r="D85" s="7"/>
      <c r="F85" s="7"/>
      <c r="G85" s="7"/>
      <c r="H85" s="7"/>
      <c r="I85" s="7"/>
      <c r="P85" s="7"/>
      <c r="T85" s="7"/>
      <c r="U85" s="7"/>
      <c r="V85" s="7"/>
      <c r="W85" s="7"/>
      <c r="X85" s="7"/>
      <c r="Y85" s="7"/>
      <c r="Z85" s="7"/>
      <c r="AA85" s="7"/>
      <c r="AD85" t="s">
        <v>3957</v>
      </c>
    </row>
    <row r="86" spans="1:30" ht="16.5">
      <c r="A86" s="99" t="s">
        <v>3992</v>
      </c>
      <c r="B86" s="57" t="s">
        <v>3993</v>
      </c>
      <c r="C86" s="7"/>
      <c r="D86" s="7"/>
      <c r="E86" s="139">
        <v>521</v>
      </c>
      <c r="F86" s="7"/>
      <c r="G86" s="7"/>
      <c r="H86" s="7"/>
      <c r="I86" s="7"/>
      <c r="P86" s="7"/>
      <c r="T86" s="7"/>
      <c r="U86" s="7"/>
      <c r="V86" s="7"/>
      <c r="W86" s="7"/>
      <c r="X86" s="7"/>
      <c r="Y86" s="7"/>
      <c r="Z86" s="7"/>
      <c r="AA86" s="7"/>
      <c r="AD86" t="s">
        <v>3957</v>
      </c>
    </row>
    <row r="87" spans="1:30" ht="18.75">
      <c r="A87" s="99" t="s">
        <v>3994</v>
      </c>
      <c r="B87" s="57" t="s">
        <v>3995</v>
      </c>
      <c r="C87" s="7"/>
      <c r="D87" s="96" t="s">
        <v>2661</v>
      </c>
      <c r="E87" s="139">
        <v>534</v>
      </c>
      <c r="F87" s="7"/>
      <c r="G87" s="7"/>
      <c r="H87" s="7"/>
      <c r="I87" s="7"/>
      <c r="P87" s="7"/>
      <c r="T87" s="7"/>
      <c r="U87" s="7"/>
      <c r="V87" s="7"/>
      <c r="W87" s="7"/>
      <c r="X87" s="7"/>
      <c r="Y87" s="7"/>
      <c r="Z87" s="7"/>
      <c r="AA87" s="7"/>
      <c r="AD87" t="s">
        <v>3957</v>
      </c>
    </row>
    <row r="88" spans="1:30" ht="16.5">
      <c r="A88" s="99" t="s">
        <v>3678</v>
      </c>
      <c r="B88" s="57" t="s">
        <v>2876</v>
      </c>
      <c r="C88" s="7"/>
      <c r="D88" s="7"/>
      <c r="E88" s="139">
        <v>347</v>
      </c>
      <c r="F88" s="7"/>
      <c r="G88" s="7"/>
      <c r="H88" s="7"/>
      <c r="I88" s="7"/>
      <c r="P88" s="7"/>
      <c r="T88" s="7"/>
      <c r="U88" s="7"/>
      <c r="V88" s="7"/>
      <c r="W88" s="7"/>
      <c r="X88" s="7"/>
      <c r="Y88" s="7"/>
      <c r="Z88" s="7"/>
      <c r="AA88" s="7"/>
      <c r="AD88" t="s">
        <v>3957</v>
      </c>
    </row>
    <row r="89" spans="1:30" ht="16.5">
      <c r="A89" s="99" t="s">
        <v>3996</v>
      </c>
      <c r="B89" s="57" t="s">
        <v>3997</v>
      </c>
      <c r="C89" s="7"/>
      <c r="D89" s="7">
        <v>550</v>
      </c>
      <c r="E89" s="139">
        <v>535</v>
      </c>
      <c r="F89" s="7"/>
      <c r="G89" s="7"/>
      <c r="H89" s="7"/>
      <c r="I89" s="7"/>
      <c r="P89" s="7"/>
      <c r="T89" s="7"/>
      <c r="U89" s="7"/>
      <c r="V89" s="7"/>
      <c r="W89" s="7"/>
      <c r="X89" s="7"/>
      <c r="Y89" s="7"/>
      <c r="Z89" s="7"/>
      <c r="AA89" s="7"/>
      <c r="AD89" t="s">
        <v>3957</v>
      </c>
    </row>
    <row r="90" spans="1:30" ht="18.75">
      <c r="A90" s="7" t="s">
        <v>3998</v>
      </c>
      <c r="B90" s="57" t="s">
        <v>3999</v>
      </c>
      <c r="C90" s="7"/>
      <c r="D90" s="108" t="s">
        <v>2666</v>
      </c>
      <c r="F90" s="7"/>
      <c r="G90" s="7"/>
      <c r="H90" s="7"/>
      <c r="I90" s="7"/>
      <c r="P90" s="7"/>
      <c r="T90" s="7"/>
      <c r="U90" s="7"/>
      <c r="V90" s="7"/>
      <c r="W90" s="7"/>
      <c r="X90" s="7"/>
      <c r="Y90" s="7"/>
      <c r="Z90" s="7"/>
      <c r="AA90" s="7"/>
      <c r="AD90" t="s">
        <v>3957</v>
      </c>
    </row>
    <row r="91" spans="1:30" ht="16.5">
      <c r="A91" s="99" t="s">
        <v>3672</v>
      </c>
      <c r="B91" s="57" t="s">
        <v>2877</v>
      </c>
      <c r="C91" s="7"/>
      <c r="D91" s="7"/>
      <c r="E91" s="139">
        <v>343</v>
      </c>
      <c r="F91" s="7"/>
      <c r="G91" s="7"/>
      <c r="H91" s="7"/>
      <c r="I91" s="7"/>
      <c r="P91" s="7"/>
      <c r="T91" s="7"/>
      <c r="U91" s="7"/>
      <c r="V91" s="7"/>
      <c r="W91" s="7"/>
      <c r="X91" s="7"/>
      <c r="Y91" s="7"/>
      <c r="Z91" s="7"/>
      <c r="AA91" s="7"/>
      <c r="AD91" t="s">
        <v>3957</v>
      </c>
    </row>
    <row r="92" spans="1:30" ht="16.5">
      <c r="A92" s="99" t="s">
        <v>4000</v>
      </c>
      <c r="B92" s="57" t="s">
        <v>4001</v>
      </c>
      <c r="C92" s="7"/>
      <c r="D92" s="7">
        <v>501</v>
      </c>
      <c r="F92" s="7"/>
      <c r="G92" s="7"/>
      <c r="H92" s="7"/>
      <c r="I92" s="7"/>
      <c r="P92" s="7"/>
      <c r="T92" s="7"/>
      <c r="U92" s="7"/>
      <c r="V92" s="7"/>
      <c r="W92" s="7"/>
      <c r="X92" s="7"/>
      <c r="Y92" s="7"/>
      <c r="Z92" s="7"/>
      <c r="AA92" s="7"/>
    </row>
    <row r="93" spans="1:30" ht="18.75">
      <c r="A93" s="99" t="s">
        <v>4002</v>
      </c>
      <c r="B93" s="93" t="s">
        <v>4003</v>
      </c>
      <c r="C93" s="7"/>
      <c r="D93" s="97" t="s">
        <v>4724</v>
      </c>
      <c r="F93" s="7"/>
      <c r="G93" s="7"/>
      <c r="H93" s="7"/>
      <c r="I93" s="7"/>
      <c r="P93" s="7"/>
      <c r="T93" s="7"/>
      <c r="U93" s="7"/>
      <c r="V93" s="7"/>
      <c r="W93" s="7"/>
      <c r="X93" s="7"/>
      <c r="Y93" s="7"/>
      <c r="Z93" s="7"/>
      <c r="AA93" s="7"/>
    </row>
    <row r="94" spans="1:30" ht="18.75">
      <c r="A94" s="88" t="s">
        <v>1243</v>
      </c>
      <c r="B94" s="88" t="s">
        <v>1163</v>
      </c>
      <c r="C94" s="7"/>
      <c r="D94" s="97" t="s">
        <v>4724</v>
      </c>
      <c r="E94" s="139">
        <v>536</v>
      </c>
      <c r="F94" s="7"/>
      <c r="G94" s="7"/>
      <c r="H94" s="7"/>
      <c r="I94" s="7"/>
      <c r="P94" s="7"/>
      <c r="T94" s="7"/>
      <c r="U94" s="7"/>
      <c r="V94" s="7"/>
      <c r="W94" s="7"/>
      <c r="X94" s="7"/>
      <c r="Y94" s="7"/>
      <c r="Z94" s="7"/>
      <c r="AA94" s="7"/>
    </row>
    <row r="95" spans="1:30">
      <c r="A95" s="88" t="s">
        <v>858</v>
      </c>
      <c r="B95" s="88" t="s">
        <v>859</v>
      </c>
      <c r="C95" s="7"/>
      <c r="D95" s="7">
        <v>550</v>
      </c>
      <c r="F95" s="7"/>
      <c r="G95" s="7"/>
      <c r="H95" s="7"/>
      <c r="I95" s="7"/>
      <c r="P95" s="7"/>
      <c r="T95" s="7"/>
      <c r="U95" s="7"/>
      <c r="V95" s="7"/>
      <c r="W95" s="7"/>
      <c r="X95" s="7"/>
      <c r="Y95" s="7"/>
      <c r="Z95" s="7"/>
      <c r="AA95" s="7"/>
    </row>
    <row r="96" spans="1:30" ht="18.75">
      <c r="A96" s="88" t="s">
        <v>1244</v>
      </c>
      <c r="B96" s="88" t="s">
        <v>861</v>
      </c>
      <c r="C96" s="7"/>
      <c r="D96" s="97" t="s">
        <v>4726</v>
      </c>
      <c r="F96" s="7"/>
      <c r="G96" s="7"/>
      <c r="H96" s="7"/>
      <c r="I96" s="7"/>
      <c r="P96" s="7"/>
      <c r="T96" s="7"/>
      <c r="U96" s="7"/>
      <c r="V96" s="7"/>
      <c r="W96" s="7"/>
      <c r="X96" s="7"/>
      <c r="Y96" s="7"/>
      <c r="Z96" s="7"/>
      <c r="AA96" s="7"/>
    </row>
    <row r="97" spans="1:27">
      <c r="A97" s="88" t="s">
        <v>869</v>
      </c>
      <c r="B97" s="88" t="s">
        <v>870</v>
      </c>
      <c r="C97" s="7"/>
      <c r="D97" s="7"/>
      <c r="E97" s="139">
        <v>180</v>
      </c>
      <c r="F97" s="7"/>
      <c r="G97" s="7"/>
      <c r="H97" s="7"/>
      <c r="I97" s="7"/>
      <c r="P97" s="7"/>
      <c r="T97" s="7"/>
      <c r="U97" s="7"/>
      <c r="V97" s="7"/>
      <c r="W97" s="7"/>
      <c r="X97" s="7"/>
      <c r="Y97" s="7"/>
      <c r="Z97" s="7"/>
      <c r="AA97" s="7"/>
    </row>
    <row r="98" spans="1:27">
      <c r="A98" s="88" t="s">
        <v>2233</v>
      </c>
      <c r="B98" s="88" t="s">
        <v>1164</v>
      </c>
      <c r="C98" s="7"/>
      <c r="D98" s="7"/>
      <c r="E98" s="139">
        <v>486</v>
      </c>
      <c r="F98" s="7"/>
      <c r="G98" s="7"/>
      <c r="H98" s="7"/>
      <c r="I98" s="7"/>
      <c r="P98" s="7"/>
      <c r="T98" s="7"/>
      <c r="U98" s="7"/>
      <c r="V98" s="7"/>
      <c r="W98" s="7"/>
      <c r="X98" s="7"/>
      <c r="Y98" s="7"/>
      <c r="Z98" s="7"/>
      <c r="AA98" s="7"/>
    </row>
    <row r="99" spans="1:27" ht="18.75">
      <c r="A99" s="88" t="s">
        <v>895</v>
      </c>
      <c r="B99" s="88" t="s">
        <v>896</v>
      </c>
      <c r="C99" s="7"/>
      <c r="D99" s="97" t="s">
        <v>4724</v>
      </c>
      <c r="F99" s="7"/>
      <c r="G99" s="7"/>
      <c r="H99" s="7"/>
      <c r="I99" s="7"/>
      <c r="P99" s="7"/>
      <c r="T99" s="7"/>
      <c r="U99" s="7"/>
      <c r="V99" s="7"/>
      <c r="W99" s="7"/>
      <c r="X99" s="7"/>
      <c r="Y99" s="7"/>
      <c r="Z99" s="7"/>
      <c r="AA99" s="7"/>
    </row>
    <row r="100" spans="1:27">
      <c r="A100" s="88" t="s">
        <v>131</v>
      </c>
      <c r="B100" s="88" t="s">
        <v>1165</v>
      </c>
      <c r="C100" s="7"/>
      <c r="D100" s="7"/>
      <c r="E100" s="139">
        <v>188</v>
      </c>
      <c r="F100" s="7"/>
      <c r="G100" s="7"/>
      <c r="H100" s="7"/>
      <c r="I100" s="7"/>
      <c r="P100" s="7"/>
      <c r="T100" s="7"/>
      <c r="U100" s="7"/>
      <c r="V100" s="7"/>
      <c r="W100" s="7"/>
      <c r="X100" s="7"/>
      <c r="Y100" s="7"/>
      <c r="Z100" s="7"/>
      <c r="AA100" s="7"/>
    </row>
    <row r="101" spans="1:27">
      <c r="A101" s="88" t="s">
        <v>1247</v>
      </c>
      <c r="B101" s="88" t="s">
        <v>923</v>
      </c>
      <c r="C101" s="7"/>
      <c r="D101" s="7"/>
      <c r="E101" s="139">
        <v>103</v>
      </c>
      <c r="F101" s="7"/>
      <c r="G101" s="7"/>
      <c r="H101" s="7"/>
      <c r="I101" s="7"/>
      <c r="P101" s="7"/>
      <c r="T101" s="7"/>
      <c r="U101" s="7"/>
      <c r="V101" s="7"/>
      <c r="W101" s="7"/>
      <c r="X101" s="7"/>
      <c r="Y101" s="7"/>
      <c r="Z101" s="7"/>
      <c r="AA101" s="7"/>
    </row>
    <row r="102" spans="1:27" ht="18.75">
      <c r="A102" s="88" t="s">
        <v>1248</v>
      </c>
      <c r="B102" s="88" t="s">
        <v>929</v>
      </c>
      <c r="C102" s="7"/>
      <c r="D102" s="97" t="s">
        <v>4724</v>
      </c>
      <c r="F102" s="7"/>
      <c r="G102" s="7"/>
      <c r="H102" s="7"/>
      <c r="I102" s="7"/>
      <c r="P102" s="7"/>
      <c r="T102" s="7"/>
      <c r="U102" s="7"/>
      <c r="V102" s="7"/>
      <c r="W102" s="7"/>
      <c r="X102" s="7"/>
      <c r="Y102" s="7"/>
      <c r="Z102" s="7"/>
      <c r="AA102" s="7"/>
    </row>
    <row r="103" spans="1:27" ht="18.75">
      <c r="A103" s="88" t="s">
        <v>1249</v>
      </c>
      <c r="B103" s="88" t="s">
        <v>1166</v>
      </c>
      <c r="C103" s="7"/>
      <c r="D103" s="96" t="s">
        <v>2666</v>
      </c>
      <c r="F103" s="7"/>
      <c r="G103" s="7"/>
      <c r="H103" s="7"/>
      <c r="I103" s="7"/>
      <c r="P103" s="7"/>
      <c r="T103" s="7"/>
      <c r="U103" s="7"/>
      <c r="V103" s="7"/>
      <c r="W103" s="7"/>
      <c r="X103" s="7"/>
      <c r="Y103" s="7"/>
      <c r="Z103" s="7"/>
      <c r="AA103" s="7"/>
    </row>
    <row r="104" spans="1:27" ht="18.75">
      <c r="A104" s="88" t="s">
        <v>1250</v>
      </c>
      <c r="B104" s="88" t="s">
        <v>1167</v>
      </c>
      <c r="C104" s="7"/>
      <c r="D104" s="96" t="s">
        <v>2666</v>
      </c>
      <c r="F104" s="7"/>
      <c r="G104" s="7"/>
      <c r="H104" s="7"/>
      <c r="I104" s="7"/>
      <c r="P104" s="7"/>
      <c r="T104" s="7"/>
      <c r="U104" s="7"/>
      <c r="V104" s="7"/>
      <c r="W104" s="7"/>
      <c r="X104" s="7"/>
      <c r="Y104" s="7"/>
      <c r="Z104" s="7"/>
      <c r="AA104" s="7"/>
    </row>
    <row r="105" spans="1:27">
      <c r="A105" s="88" t="s">
        <v>1251</v>
      </c>
      <c r="B105" s="88" t="s">
        <v>1019</v>
      </c>
      <c r="C105" s="7"/>
      <c r="D105" s="7"/>
      <c r="E105" s="139">
        <v>189</v>
      </c>
      <c r="F105" s="7"/>
      <c r="G105" s="7"/>
      <c r="H105" s="7"/>
      <c r="I105" s="7"/>
      <c r="P105" s="7"/>
      <c r="T105" s="7"/>
      <c r="U105" s="7"/>
      <c r="V105" s="7"/>
      <c r="W105" s="7"/>
      <c r="X105" s="7"/>
      <c r="Y105" s="7"/>
      <c r="Z105" s="7"/>
      <c r="AA105" s="7"/>
    </row>
    <row r="106" spans="1:27" ht="18.75">
      <c r="A106" s="88" t="s">
        <v>1252</v>
      </c>
      <c r="B106" s="88" t="s">
        <v>1168</v>
      </c>
      <c r="C106" s="7"/>
      <c r="D106" s="96" t="s">
        <v>2666</v>
      </c>
      <c r="F106" s="7"/>
      <c r="G106" s="7"/>
      <c r="H106" s="7"/>
      <c r="I106" s="7"/>
      <c r="P106" s="7"/>
      <c r="T106" s="7"/>
      <c r="U106" s="7"/>
      <c r="V106" s="7"/>
      <c r="W106" s="7"/>
      <c r="X106" s="7"/>
      <c r="Y106" s="7"/>
      <c r="Z106" s="7"/>
      <c r="AA106" s="7"/>
    </row>
    <row r="107" spans="1:27" ht="18.75">
      <c r="A107" s="88" t="s">
        <v>1253</v>
      </c>
      <c r="B107" s="88" t="s">
        <v>1169</v>
      </c>
      <c r="C107" s="7"/>
      <c r="D107" s="96" t="s">
        <v>2666</v>
      </c>
      <c r="F107" s="7"/>
      <c r="G107" s="7"/>
      <c r="H107" s="7"/>
      <c r="I107" s="7"/>
      <c r="P107" s="7"/>
      <c r="T107" s="7"/>
      <c r="U107" s="7"/>
      <c r="V107" s="7"/>
      <c r="W107" s="7"/>
      <c r="X107" s="7"/>
      <c r="Y107" s="7"/>
      <c r="Z107" s="7"/>
      <c r="AA107" s="7"/>
    </row>
    <row r="108" spans="1:27" ht="18.75">
      <c r="A108" s="88" t="s">
        <v>1254</v>
      </c>
      <c r="B108" s="88" t="s">
        <v>1170</v>
      </c>
      <c r="C108" s="7"/>
      <c r="D108" s="96" t="s">
        <v>2666</v>
      </c>
      <c r="E108" s="139">
        <v>537</v>
      </c>
      <c r="F108" s="7"/>
      <c r="G108" s="7"/>
      <c r="H108" s="7"/>
      <c r="I108" s="7"/>
      <c r="P108" s="7"/>
      <c r="T108" s="7"/>
      <c r="U108" s="7"/>
      <c r="V108" s="7"/>
      <c r="W108" s="7"/>
      <c r="X108" s="7"/>
      <c r="Y108" s="7"/>
      <c r="Z108" s="7"/>
      <c r="AA108" s="7"/>
    </row>
    <row r="109" spans="1:27" ht="18.75">
      <c r="A109" s="88" t="s">
        <v>1253</v>
      </c>
      <c r="B109" s="88" t="s">
        <v>1171</v>
      </c>
      <c r="C109" s="7"/>
      <c r="D109" s="96" t="s">
        <v>2661</v>
      </c>
      <c r="E109" s="139">
        <v>538</v>
      </c>
      <c r="F109" s="7"/>
      <c r="G109" s="7"/>
      <c r="H109" s="7"/>
      <c r="I109" s="7"/>
      <c r="P109" s="7"/>
      <c r="T109" s="7"/>
      <c r="U109" s="7"/>
      <c r="V109" s="7"/>
      <c r="W109" s="7"/>
      <c r="X109" s="7"/>
      <c r="Y109" s="7"/>
      <c r="Z109" s="7"/>
      <c r="AA109" s="7"/>
    </row>
    <row r="110" spans="1:27">
      <c r="A110" s="88" t="s">
        <v>1257</v>
      </c>
      <c r="B110" s="88" t="s">
        <v>1030</v>
      </c>
      <c r="C110" s="7"/>
      <c r="D110" s="7"/>
      <c r="E110" s="139">
        <v>223</v>
      </c>
      <c r="F110" s="7"/>
      <c r="G110" s="7"/>
      <c r="H110" s="7"/>
      <c r="I110" s="7"/>
      <c r="P110" s="7"/>
      <c r="T110" s="7"/>
      <c r="U110" s="7"/>
      <c r="V110" s="7"/>
      <c r="W110" s="7"/>
      <c r="X110" s="7"/>
      <c r="Y110" s="7"/>
      <c r="Z110" s="7"/>
      <c r="AA110" s="7"/>
    </row>
    <row r="111" spans="1:27">
      <c r="A111" s="88" t="s">
        <v>1258</v>
      </c>
      <c r="B111" s="88" t="s">
        <v>1173</v>
      </c>
      <c r="C111" s="7"/>
      <c r="D111" s="7"/>
      <c r="E111" s="139">
        <v>385</v>
      </c>
      <c r="F111" s="7"/>
      <c r="G111" s="7"/>
      <c r="H111" s="7"/>
      <c r="I111" s="7"/>
      <c r="P111" s="7"/>
      <c r="T111" s="7"/>
      <c r="U111" s="7"/>
      <c r="V111" s="7"/>
      <c r="W111" s="7"/>
      <c r="X111" s="7"/>
      <c r="Y111" s="7"/>
      <c r="Z111" s="7"/>
      <c r="AA111" s="7"/>
    </row>
    <row r="112" spans="1:27">
      <c r="A112" s="88" t="s">
        <v>29</v>
      </c>
      <c r="B112" s="88" t="s">
        <v>1174</v>
      </c>
      <c r="C112" s="7"/>
      <c r="D112" s="7"/>
      <c r="E112" s="139">
        <v>522</v>
      </c>
      <c r="F112" s="7"/>
      <c r="G112" s="7"/>
      <c r="H112" s="7"/>
      <c r="I112" s="7"/>
      <c r="P112" s="7"/>
      <c r="T112" s="7"/>
      <c r="U112" s="7"/>
      <c r="V112" s="7"/>
      <c r="W112" s="7"/>
      <c r="X112" s="7"/>
      <c r="Y112" s="7"/>
      <c r="Z112" s="7"/>
      <c r="AA112" s="7"/>
    </row>
    <row r="113" spans="1:27">
      <c r="A113" s="189" t="s">
        <v>4774</v>
      </c>
      <c r="B113" s="55" t="s">
        <v>4788</v>
      </c>
      <c r="C113" s="7"/>
      <c r="D113" s="7"/>
      <c r="F113" s="7"/>
      <c r="G113" s="7"/>
      <c r="H113" s="7"/>
      <c r="I113" s="7"/>
      <c r="P113" s="7"/>
      <c r="T113" s="7"/>
      <c r="U113" s="7"/>
      <c r="V113" s="7"/>
      <c r="W113" s="7"/>
      <c r="X113" s="7"/>
      <c r="Y113" s="7"/>
      <c r="Z113" s="7"/>
      <c r="AA113" s="7"/>
    </row>
    <row r="114" spans="1:27">
      <c r="A114" s="189" t="s">
        <v>4783</v>
      </c>
      <c r="B114" s="7"/>
      <c r="C114" s="7"/>
      <c r="D114" s="7"/>
      <c r="F114" s="7"/>
      <c r="G114" s="7"/>
      <c r="H114" s="7"/>
      <c r="I114" s="7"/>
      <c r="P114" s="7"/>
      <c r="T114" s="7"/>
      <c r="U114" s="7"/>
      <c r="V114" s="7"/>
      <c r="W114" s="7"/>
      <c r="X114" s="55" t="s">
        <v>4789</v>
      </c>
      <c r="Y114" s="7"/>
      <c r="Z114" s="7"/>
      <c r="AA114" s="7"/>
    </row>
    <row r="115" spans="1:27">
      <c r="A115" s="189" t="s">
        <v>4764</v>
      </c>
      <c r="B115" s="7"/>
      <c r="C115" s="7"/>
      <c r="D115" s="7"/>
      <c r="F115" s="7"/>
      <c r="G115" s="7"/>
      <c r="H115" s="7"/>
      <c r="I115" s="7"/>
      <c r="P115" s="7"/>
      <c r="T115" s="7"/>
      <c r="U115" s="7"/>
      <c r="V115" s="7"/>
      <c r="W115" s="7"/>
      <c r="X115" s="57" t="s">
        <v>4790</v>
      </c>
      <c r="Y115" s="7"/>
      <c r="Z115" s="7"/>
      <c r="AA115" s="7"/>
    </row>
    <row r="116" spans="1:27">
      <c r="A116" s="189" t="s">
        <v>4782</v>
      </c>
      <c r="B116" s="7"/>
      <c r="C116" s="7"/>
      <c r="D116" s="7"/>
      <c r="F116" s="7"/>
      <c r="G116" s="7"/>
      <c r="H116" s="7"/>
      <c r="I116" s="7"/>
      <c r="P116" s="7"/>
      <c r="T116" s="7"/>
      <c r="U116" s="7"/>
      <c r="V116" s="7"/>
      <c r="W116" s="7"/>
      <c r="X116" s="7"/>
      <c r="Y116" s="7"/>
      <c r="Z116" s="7"/>
      <c r="AA116" s="7"/>
    </row>
    <row r="117" spans="1:27">
      <c r="A117" s="189" t="s">
        <v>2416</v>
      </c>
      <c r="B117" s="55" t="s">
        <v>4792</v>
      </c>
      <c r="C117" s="7"/>
      <c r="D117" s="7"/>
      <c r="F117" s="7"/>
      <c r="G117" s="7"/>
      <c r="H117" s="7"/>
      <c r="I117" s="7"/>
      <c r="P117" s="7"/>
      <c r="T117" s="7"/>
      <c r="U117" s="7"/>
      <c r="V117" s="7"/>
      <c r="W117" s="7"/>
      <c r="X117" s="57" t="s">
        <v>4793</v>
      </c>
      <c r="Y117" s="7"/>
      <c r="Z117" s="7"/>
      <c r="AA117" s="7"/>
    </row>
    <row r="118" spans="1:27">
      <c r="A118" s="189" t="s">
        <v>4775</v>
      </c>
      <c r="B118" s="55" t="s">
        <v>4794</v>
      </c>
      <c r="C118" s="7"/>
      <c r="D118" s="7"/>
      <c r="F118" s="7"/>
      <c r="G118" s="7"/>
      <c r="H118" s="7"/>
      <c r="I118" s="7"/>
      <c r="P118" s="7"/>
      <c r="T118" s="7"/>
      <c r="U118" s="7"/>
      <c r="V118" s="7"/>
      <c r="W118" s="7"/>
      <c r="X118" s="7"/>
      <c r="Y118" s="7"/>
      <c r="Z118" s="7"/>
      <c r="AA118" s="7"/>
    </row>
    <row r="119" spans="1:27">
      <c r="A119" s="189" t="s">
        <v>4784</v>
      </c>
      <c r="B119" s="55" t="s">
        <v>4796</v>
      </c>
      <c r="C119" s="7"/>
      <c r="D119" s="7"/>
      <c r="F119" s="7"/>
      <c r="G119" s="7"/>
      <c r="H119" s="7"/>
      <c r="I119" s="7"/>
      <c r="P119" s="7"/>
      <c r="T119" s="7"/>
      <c r="U119" s="7"/>
      <c r="V119" s="7"/>
      <c r="W119" s="7"/>
      <c r="X119" s="57" t="s">
        <v>4795</v>
      </c>
      <c r="Y119" s="7"/>
      <c r="Z119" s="7"/>
      <c r="AA119" s="7"/>
    </row>
    <row r="120" spans="1:27">
      <c r="A120" s="189" t="s">
        <v>4766</v>
      </c>
      <c r="B120" s="55" t="s">
        <v>4798</v>
      </c>
      <c r="C120" s="7"/>
      <c r="D120" s="7"/>
      <c r="F120" s="7"/>
      <c r="G120" s="7"/>
      <c r="H120" s="7"/>
      <c r="I120" s="7"/>
      <c r="P120" s="7"/>
      <c r="T120" s="7"/>
      <c r="U120" s="7"/>
      <c r="V120" s="7"/>
      <c r="W120" s="7"/>
      <c r="X120" s="57" t="s">
        <v>4797</v>
      </c>
      <c r="Y120" s="7"/>
      <c r="Z120" s="7"/>
      <c r="AA120" s="7"/>
    </row>
    <row r="121" spans="1:27">
      <c r="A121" s="189" t="s">
        <v>2387</v>
      </c>
      <c r="B121" s="55" t="s">
        <v>3491</v>
      </c>
      <c r="C121" s="7"/>
      <c r="D121" s="7"/>
      <c r="F121" s="7"/>
      <c r="G121" s="7"/>
      <c r="H121" s="7"/>
      <c r="I121" s="7"/>
      <c r="P121" s="7"/>
      <c r="T121" s="7"/>
      <c r="U121" s="7"/>
      <c r="V121" s="7"/>
      <c r="W121" s="7"/>
      <c r="X121" s="57" t="s">
        <v>4799</v>
      </c>
      <c r="Y121" s="7"/>
      <c r="Z121" s="7"/>
      <c r="AA121" s="7"/>
    </row>
    <row r="122" spans="1:27">
      <c r="A122" s="189" t="s">
        <v>4780</v>
      </c>
      <c r="B122" s="55" t="s">
        <v>4801</v>
      </c>
      <c r="C122" s="7"/>
      <c r="D122" s="7"/>
      <c r="F122" s="7"/>
      <c r="G122" s="7"/>
      <c r="H122" s="7"/>
      <c r="I122" s="7"/>
      <c r="P122" s="7"/>
      <c r="T122" s="7"/>
      <c r="U122" s="7"/>
      <c r="V122" s="7"/>
      <c r="W122" s="7"/>
      <c r="X122" s="7"/>
      <c r="Y122" s="7"/>
      <c r="Z122" s="7"/>
      <c r="AA122" s="7"/>
    </row>
    <row r="123" spans="1:27">
      <c r="A123" s="189" t="s">
        <v>3570</v>
      </c>
      <c r="B123" s="218" t="s">
        <v>4802</v>
      </c>
      <c r="C123" s="7"/>
      <c r="D123" s="7"/>
      <c r="F123" s="7"/>
      <c r="G123" s="7"/>
      <c r="H123" s="7"/>
      <c r="I123" s="7"/>
      <c r="P123" s="7"/>
      <c r="T123" s="7"/>
      <c r="U123" s="7"/>
      <c r="V123" s="7"/>
      <c r="W123" s="7"/>
      <c r="X123" s="57" t="s">
        <v>4803</v>
      </c>
      <c r="Y123" s="7"/>
      <c r="Z123" s="7"/>
      <c r="AA123" s="7"/>
    </row>
    <row r="124" spans="1:27">
      <c r="A124" s="189" t="s">
        <v>2703</v>
      </c>
      <c r="B124" s="7"/>
      <c r="C124" s="7"/>
      <c r="D124" s="7"/>
      <c r="F124" s="7"/>
      <c r="G124" s="7"/>
      <c r="H124" s="7"/>
      <c r="I124" s="7"/>
      <c r="P124" s="94" t="s">
        <v>4804</v>
      </c>
      <c r="T124" s="7"/>
      <c r="U124" s="7"/>
      <c r="V124" s="7"/>
      <c r="W124" s="7"/>
      <c r="X124" s="7"/>
      <c r="Y124" s="7"/>
      <c r="Z124" s="7"/>
      <c r="AA124" s="7"/>
    </row>
    <row r="125" spans="1:27">
      <c r="A125" s="189" t="s">
        <v>4765</v>
      </c>
      <c r="B125" s="7"/>
      <c r="C125" s="7"/>
      <c r="D125" s="7"/>
      <c r="F125" s="7"/>
      <c r="G125" s="7"/>
      <c r="H125" s="7"/>
      <c r="I125" s="7"/>
      <c r="P125" s="7"/>
      <c r="T125" s="7"/>
      <c r="U125" s="7"/>
      <c r="V125" s="7"/>
      <c r="W125" s="7"/>
      <c r="X125" s="7"/>
      <c r="Y125" s="7"/>
      <c r="Z125" s="7"/>
      <c r="AA125" s="7"/>
    </row>
    <row r="126" spans="1:27">
      <c r="A126" s="189" t="s">
        <v>4776</v>
      </c>
      <c r="B126" s="57"/>
      <c r="C126" s="7"/>
      <c r="D126" s="7"/>
      <c r="F126" s="7"/>
      <c r="G126" s="7"/>
      <c r="H126" s="7"/>
      <c r="I126" s="7"/>
      <c r="P126" s="7"/>
      <c r="T126" s="7"/>
      <c r="U126" s="7"/>
      <c r="V126" s="7"/>
      <c r="W126" s="7"/>
      <c r="X126" s="7"/>
      <c r="Y126" s="7"/>
      <c r="Z126" s="7"/>
      <c r="AA126" s="7"/>
    </row>
    <row r="127" spans="1:27" ht="16.5">
      <c r="A127" s="189" t="s">
        <v>4787</v>
      </c>
      <c r="B127" s="55" t="s">
        <v>2802</v>
      </c>
      <c r="C127" s="7"/>
      <c r="D127" s="94" t="s">
        <v>4835</v>
      </c>
      <c r="F127" s="7"/>
      <c r="G127" s="7"/>
      <c r="H127" s="7"/>
      <c r="I127" s="7"/>
      <c r="L127" s="223" t="s">
        <v>2402</v>
      </c>
      <c r="M127" s="223" t="s">
        <v>2402</v>
      </c>
      <c r="N127" s="223" t="s">
        <v>2402</v>
      </c>
      <c r="P127" s="7"/>
      <c r="T127" s="7"/>
      <c r="U127" s="7"/>
      <c r="V127" s="7"/>
      <c r="W127" s="7"/>
      <c r="X127" s="7"/>
      <c r="Y127" s="7"/>
      <c r="Z127" s="7"/>
      <c r="AA127" s="7"/>
    </row>
    <row r="128" spans="1:27" ht="28.5">
      <c r="A128" s="189" t="s">
        <v>4786</v>
      </c>
      <c r="B128" s="7"/>
      <c r="C128" s="7"/>
      <c r="D128" s="7"/>
      <c r="F128" s="7"/>
      <c r="G128" s="7"/>
      <c r="H128" s="7"/>
      <c r="I128" s="7"/>
      <c r="P128" s="7"/>
      <c r="T128" s="7"/>
      <c r="U128" s="7"/>
      <c r="V128" s="7"/>
      <c r="W128" s="7"/>
      <c r="X128" s="7"/>
      <c r="Y128" s="7"/>
      <c r="Z128" s="7"/>
      <c r="AA128" s="7"/>
    </row>
    <row r="129" spans="1:27" ht="28.5">
      <c r="A129" s="189" t="s">
        <v>4771</v>
      </c>
      <c r="B129" s="7"/>
      <c r="C129" s="7"/>
      <c r="D129" s="7"/>
      <c r="F129" s="7"/>
      <c r="G129" s="7"/>
      <c r="H129" s="7"/>
      <c r="I129" s="7"/>
      <c r="P129" s="7"/>
      <c r="T129" s="7"/>
      <c r="U129" s="7"/>
      <c r="V129" s="7"/>
      <c r="W129" s="7"/>
      <c r="X129" s="7"/>
      <c r="Y129" s="7"/>
      <c r="Z129" s="7"/>
      <c r="AA129" s="7"/>
    </row>
    <row r="130" spans="1:27">
      <c r="A130" s="189" t="s">
        <v>4770</v>
      </c>
      <c r="B130" s="57" t="s">
        <v>4836</v>
      </c>
      <c r="C130" s="7"/>
      <c r="D130" s="7"/>
      <c r="F130" s="7"/>
      <c r="G130" s="7"/>
      <c r="H130" s="7"/>
      <c r="I130" s="7"/>
      <c r="P130" s="7"/>
      <c r="T130" s="7"/>
      <c r="U130" s="7"/>
      <c r="V130" s="7"/>
      <c r="W130" s="7"/>
      <c r="X130" s="7"/>
      <c r="Y130" s="7"/>
      <c r="Z130" s="7"/>
      <c r="AA130" s="7"/>
    </row>
    <row r="131" spans="1:27">
      <c r="A131" s="189" t="s">
        <v>4779</v>
      </c>
      <c r="B131" s="57" t="s">
        <v>4837</v>
      </c>
      <c r="C131" s="7"/>
      <c r="D131" s="7"/>
      <c r="F131" s="7"/>
      <c r="G131" s="7"/>
      <c r="H131" s="7"/>
      <c r="I131" s="7"/>
      <c r="P131" s="7"/>
      <c r="T131" s="7"/>
      <c r="U131" s="7"/>
      <c r="V131" s="7"/>
      <c r="W131" s="7"/>
      <c r="X131" s="7"/>
      <c r="Y131" s="7"/>
      <c r="Z131" s="7"/>
      <c r="AA131" s="7"/>
    </row>
    <row r="132" spans="1:27">
      <c r="A132" s="189" t="s">
        <v>4778</v>
      </c>
      <c r="B132" s="57" t="s">
        <v>4838</v>
      </c>
      <c r="C132" s="7"/>
      <c r="D132" s="7"/>
      <c r="F132" s="7"/>
      <c r="G132" s="7"/>
      <c r="H132" s="7"/>
      <c r="I132" s="7"/>
      <c r="P132" s="7"/>
      <c r="T132" s="7"/>
      <c r="U132" s="7"/>
      <c r="V132" s="7"/>
      <c r="W132" s="7"/>
      <c r="X132" s="7"/>
      <c r="Y132" s="7"/>
      <c r="Z132" s="7"/>
      <c r="AA132" s="7"/>
    </row>
    <row r="133" spans="1:27" ht="42.75">
      <c r="A133" s="189" t="s">
        <v>4781</v>
      </c>
      <c r="B133" s="57" t="s">
        <v>4839</v>
      </c>
      <c r="C133" s="7"/>
      <c r="D133" s="7"/>
      <c r="F133" s="7"/>
      <c r="G133" s="7"/>
      <c r="H133" s="7"/>
      <c r="I133" s="7"/>
      <c r="P133" s="7"/>
      <c r="Q133" s="44" t="s">
        <v>4840</v>
      </c>
      <c r="T133" s="7"/>
      <c r="U133" s="7"/>
      <c r="V133" s="7"/>
      <c r="W133" s="7"/>
      <c r="X133" s="7"/>
      <c r="Y133" s="7"/>
      <c r="Z133" s="7"/>
      <c r="AA133" s="7"/>
    </row>
    <row r="134" spans="1:27">
      <c r="A134" s="189" t="s">
        <v>4781</v>
      </c>
      <c r="B134" s="57" t="s">
        <v>4842</v>
      </c>
      <c r="C134" s="7"/>
      <c r="D134" s="94" t="s">
        <v>4808</v>
      </c>
      <c r="F134" s="7"/>
      <c r="G134" s="7"/>
      <c r="H134" s="7"/>
      <c r="I134" s="7"/>
      <c r="P134" s="7"/>
      <c r="Q134" s="44" t="s">
        <v>4841</v>
      </c>
      <c r="T134" s="7"/>
      <c r="U134" s="7"/>
      <c r="V134" s="7"/>
      <c r="W134" s="7"/>
      <c r="X134" s="7"/>
      <c r="Y134" s="7"/>
      <c r="Z134" s="7"/>
      <c r="AA134" s="7"/>
    </row>
    <row r="135" spans="1:27" ht="114">
      <c r="A135" s="189" t="s">
        <v>4781</v>
      </c>
      <c r="B135" s="57" t="s">
        <v>4843</v>
      </c>
      <c r="C135" s="7"/>
      <c r="D135" s="94" t="s">
        <v>4844</v>
      </c>
      <c r="F135" s="7"/>
      <c r="G135" s="7"/>
      <c r="H135" s="7"/>
      <c r="I135" s="7"/>
      <c r="P135" s="7"/>
      <c r="Q135" s="44" t="s">
        <v>4845</v>
      </c>
      <c r="T135" s="7"/>
      <c r="U135" s="7"/>
      <c r="V135" s="7"/>
      <c r="W135" s="7"/>
      <c r="X135" s="7"/>
      <c r="Y135" s="7"/>
      <c r="Z135" s="7"/>
      <c r="AA135" s="7"/>
    </row>
    <row r="136" spans="1:27" ht="57">
      <c r="A136" s="189" t="s">
        <v>4781</v>
      </c>
      <c r="B136" s="57" t="s">
        <v>4846</v>
      </c>
      <c r="C136" s="7"/>
      <c r="D136" s="94"/>
      <c r="F136" s="7"/>
      <c r="G136" s="7"/>
      <c r="H136" s="7"/>
      <c r="I136" s="7"/>
      <c r="P136" s="7"/>
      <c r="Q136" s="44" t="s">
        <v>4847</v>
      </c>
      <c r="T136" s="7"/>
      <c r="U136" s="7"/>
      <c r="V136" s="7"/>
      <c r="W136" s="7"/>
      <c r="X136" s="7"/>
      <c r="Y136" s="7"/>
      <c r="Z136" s="7"/>
      <c r="AA136" s="7"/>
    </row>
    <row r="137" spans="1:27" ht="114">
      <c r="A137" s="189" t="s">
        <v>4781</v>
      </c>
      <c r="B137" s="57" t="s">
        <v>4849</v>
      </c>
      <c r="C137" s="7"/>
      <c r="D137" s="94"/>
      <c r="F137" s="7"/>
      <c r="G137" s="7"/>
      <c r="H137" s="7"/>
      <c r="I137" s="7"/>
      <c r="P137" s="7"/>
      <c r="Q137" s="44" t="s">
        <v>4848</v>
      </c>
      <c r="T137" s="7"/>
      <c r="U137" s="7"/>
      <c r="V137" s="7"/>
      <c r="W137" s="7"/>
      <c r="X137" s="7"/>
      <c r="Y137" s="7"/>
      <c r="Z137" s="7"/>
      <c r="AA137" s="7"/>
    </row>
    <row r="138" spans="1:27" ht="42.75">
      <c r="A138" s="189" t="s">
        <v>4781</v>
      </c>
      <c r="B138" s="57" t="s">
        <v>4850</v>
      </c>
      <c r="C138" s="7"/>
      <c r="D138" s="94"/>
      <c r="F138" s="7"/>
      <c r="G138" s="7"/>
      <c r="H138" s="7"/>
      <c r="I138" s="7"/>
      <c r="P138" s="7"/>
      <c r="Q138" s="44" t="s">
        <v>4851</v>
      </c>
      <c r="T138" s="7"/>
      <c r="U138" s="7"/>
      <c r="V138" s="7"/>
      <c r="W138" s="7"/>
      <c r="X138" s="7"/>
      <c r="Y138" s="7"/>
      <c r="Z138" s="7"/>
      <c r="AA138" s="7"/>
    </row>
    <row r="139" spans="1:27">
      <c r="A139" s="189" t="s">
        <v>4773</v>
      </c>
      <c r="B139" s="57" t="s">
        <v>4852</v>
      </c>
      <c r="C139" s="7"/>
      <c r="D139" s="7"/>
      <c r="F139" s="7"/>
      <c r="G139" s="7"/>
      <c r="H139" s="7"/>
      <c r="I139" s="7"/>
      <c r="P139" s="7"/>
      <c r="T139" s="7"/>
      <c r="U139" s="7"/>
      <c r="V139" s="7"/>
      <c r="W139" s="7"/>
      <c r="X139" s="7"/>
      <c r="Y139" s="7"/>
      <c r="Z139" s="7"/>
      <c r="AA139" s="7"/>
    </row>
    <row r="140" spans="1:27">
      <c r="A140" s="189" t="s">
        <v>4777</v>
      </c>
      <c r="B140" s="7"/>
      <c r="C140" s="7"/>
      <c r="D140" s="7"/>
      <c r="F140" s="7"/>
      <c r="G140" s="7"/>
      <c r="H140" s="7"/>
      <c r="I140" s="7"/>
      <c r="P140" s="7"/>
      <c r="T140" s="7"/>
      <c r="U140" s="7"/>
      <c r="V140" s="7"/>
      <c r="W140" s="7"/>
      <c r="X140" s="7"/>
      <c r="Y140" s="7"/>
      <c r="Z140" s="7"/>
      <c r="AA140" s="7"/>
    </row>
    <row r="141" spans="1:27">
      <c r="A141" s="189" t="s">
        <v>4768</v>
      </c>
      <c r="B141" s="7"/>
      <c r="C141" s="7"/>
      <c r="D141" s="94" t="s">
        <v>4853</v>
      </c>
      <c r="F141" s="7"/>
      <c r="G141" s="7"/>
      <c r="H141" s="7"/>
      <c r="I141" s="7"/>
      <c r="P141" s="7"/>
      <c r="T141" s="7"/>
      <c r="U141" s="7"/>
      <c r="V141" s="7"/>
      <c r="W141" s="7"/>
      <c r="X141" s="7"/>
      <c r="Y141" s="7"/>
      <c r="Z141" s="7"/>
      <c r="AA141" s="7"/>
    </row>
    <row r="142" spans="1:27">
      <c r="A142" s="189" t="s">
        <v>2364</v>
      </c>
      <c r="B142" s="57" t="s">
        <v>4854</v>
      </c>
      <c r="C142" s="7"/>
      <c r="D142" s="7"/>
      <c r="F142" s="7"/>
      <c r="G142" s="7"/>
      <c r="H142" s="7"/>
      <c r="I142" s="7"/>
      <c r="P142" s="7"/>
      <c r="T142" s="7"/>
      <c r="U142" s="7"/>
      <c r="V142" s="7"/>
      <c r="W142" s="7"/>
      <c r="X142" s="7"/>
      <c r="Y142" s="7"/>
      <c r="Z142" s="7"/>
      <c r="AA142" s="7"/>
    </row>
    <row r="143" spans="1:27">
      <c r="A143" s="189" t="s">
        <v>4772</v>
      </c>
      <c r="B143" s="7"/>
      <c r="C143" s="7"/>
      <c r="D143" s="7"/>
      <c r="F143" s="7"/>
      <c r="G143" s="7"/>
      <c r="H143" s="7"/>
      <c r="I143" s="7"/>
      <c r="P143" s="7"/>
      <c r="T143" s="7"/>
      <c r="U143" s="7"/>
      <c r="V143" s="7"/>
      <c r="W143" s="7"/>
      <c r="X143" s="7"/>
      <c r="Y143" s="7"/>
      <c r="Z143" s="7"/>
      <c r="AA143" s="7"/>
    </row>
    <row r="144" spans="1:27">
      <c r="A144" s="189" t="s">
        <v>4785</v>
      </c>
      <c r="B144" s="57" t="s">
        <v>4855</v>
      </c>
      <c r="C144" s="7"/>
      <c r="D144" s="7"/>
      <c r="F144" s="7"/>
      <c r="G144" s="7"/>
      <c r="H144" s="7"/>
      <c r="I144" s="7"/>
      <c r="P144" s="7"/>
      <c r="T144" s="7"/>
      <c r="U144" s="7"/>
      <c r="V144" s="7"/>
      <c r="W144" s="7"/>
      <c r="X144" s="7"/>
      <c r="Y144" s="7"/>
      <c r="Z144" s="7"/>
      <c r="AA144" s="7"/>
    </row>
    <row r="145" spans="1:27">
      <c r="A145" s="189" t="s">
        <v>4767</v>
      </c>
      <c r="B145" s="57" t="s">
        <v>4856</v>
      </c>
      <c r="C145" s="7"/>
      <c r="D145" s="7"/>
      <c r="F145" s="7"/>
      <c r="G145" s="7"/>
      <c r="H145" s="7"/>
      <c r="I145" s="7"/>
      <c r="P145" s="7"/>
      <c r="T145" s="7"/>
      <c r="U145" s="7"/>
      <c r="V145" s="7"/>
      <c r="W145" s="7"/>
      <c r="X145" s="7"/>
      <c r="Y145" s="7"/>
      <c r="Z145" s="7"/>
      <c r="AA145" s="7"/>
    </row>
    <row r="146" spans="1:27">
      <c r="A146" s="189" t="s">
        <v>4769</v>
      </c>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30">
      <c r="A161" s="7"/>
      <c r="B161" s="7"/>
      <c r="C161" s="7"/>
      <c r="D161" s="7"/>
      <c r="F161" s="7"/>
      <c r="G161" s="7"/>
      <c r="H161" s="7"/>
      <c r="I161" s="7"/>
      <c r="P161" s="7"/>
      <c r="T161" s="7"/>
      <c r="U161" s="7"/>
      <c r="V161" s="7"/>
      <c r="W161" s="7"/>
      <c r="X161" s="7"/>
      <c r="Y161" s="7"/>
      <c r="Z161" s="7"/>
      <c r="AA161" s="7"/>
    </row>
    <row r="162" spans="1:30">
      <c r="A162" s="7"/>
      <c r="B162" s="7"/>
      <c r="C162" s="7"/>
      <c r="D162" s="7"/>
      <c r="F162" s="7"/>
      <c r="G162" s="7"/>
      <c r="H162" s="7"/>
      <c r="I162" s="7"/>
      <c r="P162" s="7"/>
      <c r="T162" s="7"/>
      <c r="U162" s="7"/>
      <c r="V162" s="7"/>
      <c r="W162" s="7"/>
      <c r="X162" s="7"/>
      <c r="Y162" s="7"/>
      <c r="Z162" s="7"/>
      <c r="AA162" s="7"/>
    </row>
    <row r="163" spans="1:30">
      <c r="A163" s="7"/>
      <c r="B163" s="7"/>
      <c r="C163" s="7"/>
      <c r="D163" s="7"/>
      <c r="F163" s="7"/>
      <c r="G163" s="7"/>
      <c r="H163" s="7"/>
      <c r="I163" s="7"/>
      <c r="P163" s="7"/>
      <c r="T163" s="7"/>
      <c r="U163" s="7"/>
      <c r="V163" s="7"/>
      <c r="W163" s="7"/>
      <c r="X163" s="7"/>
      <c r="Y163" s="7"/>
      <c r="Z163" s="7"/>
      <c r="AA163" s="7"/>
    </row>
    <row r="164" spans="1:30">
      <c r="A164" s="7"/>
      <c r="B164" s="7"/>
      <c r="C164" s="7"/>
      <c r="D164" s="7"/>
      <c r="F164" s="7"/>
      <c r="G164" s="7"/>
      <c r="H164" s="7"/>
      <c r="I164" s="7"/>
      <c r="P164" s="7"/>
      <c r="T164" s="7"/>
      <c r="U164" s="7"/>
      <c r="V164" s="7"/>
      <c r="W164" s="7"/>
      <c r="X164" s="7"/>
      <c r="Y164" s="7"/>
      <c r="Z164" s="7"/>
      <c r="AA164" s="7"/>
    </row>
    <row r="165" spans="1:30">
      <c r="A165" s="7"/>
      <c r="B165" s="7"/>
      <c r="C165" s="7"/>
      <c r="D165" s="7"/>
      <c r="F165" s="7"/>
      <c r="G165" s="7"/>
      <c r="H165" s="7"/>
      <c r="I165" s="7"/>
      <c r="P165" s="7"/>
      <c r="T165" s="7"/>
      <c r="U165" s="7"/>
      <c r="V165" s="7"/>
      <c r="W165" s="7"/>
      <c r="X165" s="7"/>
      <c r="Y165" s="7"/>
      <c r="Z165" s="7"/>
      <c r="AA165" s="7"/>
    </row>
    <row r="166" spans="1:30">
      <c r="A166" s="7"/>
      <c r="B166" s="7"/>
      <c r="C166" s="7"/>
      <c r="D166" s="7"/>
      <c r="F166" s="7"/>
      <c r="G166" s="7"/>
      <c r="H166" s="7"/>
      <c r="I166" s="7"/>
      <c r="P166" s="7"/>
      <c r="T166" s="7"/>
      <c r="U166" s="7"/>
      <c r="V166" s="7"/>
      <c r="W166" s="7"/>
      <c r="X166" s="7"/>
      <c r="Y166" s="7"/>
      <c r="Z166" s="7"/>
      <c r="AA166" s="7"/>
      <c r="AD166" t="s">
        <v>3957</v>
      </c>
    </row>
    <row r="167" spans="1:30">
      <c r="A167" s="7"/>
      <c r="B167" s="7"/>
      <c r="C167" s="7"/>
      <c r="D167" s="7"/>
      <c r="F167" s="7"/>
      <c r="G167" s="7"/>
      <c r="H167" s="7"/>
      <c r="I167" s="7"/>
      <c r="P167" s="7"/>
      <c r="T167" s="7"/>
      <c r="U167" s="7"/>
      <c r="V167" s="7"/>
      <c r="W167" s="7"/>
      <c r="X167" s="7"/>
      <c r="Y167" s="7"/>
      <c r="Z167" s="7"/>
      <c r="AA167" s="7"/>
      <c r="AD167" t="s">
        <v>3957</v>
      </c>
    </row>
    <row r="168" spans="1:30">
      <c r="A168" s="7"/>
      <c r="B168" s="7"/>
      <c r="C168" s="7"/>
      <c r="D168" s="7"/>
      <c r="F168" s="7"/>
      <c r="G168" s="7"/>
      <c r="H168" s="7"/>
      <c r="I168" s="7"/>
      <c r="P168" s="7"/>
      <c r="T168" s="7"/>
      <c r="U168" s="7"/>
      <c r="V168" s="7"/>
      <c r="W168" s="7"/>
      <c r="X168" s="7"/>
      <c r="Y168" s="7"/>
      <c r="Z168" s="7"/>
      <c r="AA168" s="7"/>
      <c r="AD168" t="s">
        <v>3957</v>
      </c>
    </row>
    <row r="169" spans="1:30">
      <c r="A169" s="7"/>
      <c r="B169" s="7"/>
      <c r="C169" s="7"/>
      <c r="D169" s="7"/>
      <c r="F169" s="7"/>
      <c r="G169" s="7"/>
      <c r="H169" s="7"/>
      <c r="I169" s="7"/>
      <c r="P169" s="7"/>
      <c r="T169" s="7"/>
      <c r="U169" s="7"/>
      <c r="V169" s="7"/>
      <c r="W169" s="7"/>
      <c r="X169" s="7"/>
      <c r="Y169" s="7"/>
      <c r="Z169" s="7"/>
      <c r="AA169" s="7"/>
      <c r="AD169" t="s">
        <v>3957</v>
      </c>
    </row>
    <row r="170" spans="1:30">
      <c r="A170" s="7"/>
      <c r="B170" s="7"/>
      <c r="C170" s="7"/>
      <c r="D170" s="7"/>
      <c r="F170" s="7"/>
      <c r="G170" s="7"/>
      <c r="H170" s="7"/>
      <c r="I170" s="7"/>
      <c r="P170" s="7"/>
      <c r="T170" s="7"/>
      <c r="U170" s="7"/>
      <c r="V170" s="7"/>
      <c r="W170" s="7"/>
      <c r="X170" s="7"/>
      <c r="Y170" s="7"/>
      <c r="Z170" s="7"/>
      <c r="AA170" s="7"/>
      <c r="AD170" t="s">
        <v>3957</v>
      </c>
    </row>
    <row r="171" spans="1:30">
      <c r="A171" s="7"/>
      <c r="B171" s="7"/>
      <c r="C171" s="7"/>
      <c r="D171" s="7"/>
      <c r="F171" s="7"/>
      <c r="G171" s="7"/>
      <c r="H171" s="7"/>
      <c r="I171" s="7"/>
      <c r="P171" s="7"/>
      <c r="T171" s="7"/>
      <c r="U171" s="7"/>
      <c r="V171" s="7"/>
      <c r="W171" s="7"/>
      <c r="X171" s="7"/>
      <c r="Y171" s="7"/>
      <c r="Z171" s="7"/>
      <c r="AA171" s="7"/>
      <c r="AD171" t="s">
        <v>3957</v>
      </c>
    </row>
    <row r="172" spans="1:30" ht="18.75">
      <c r="A172" s="63"/>
      <c r="B172" s="63"/>
      <c r="C172" s="63"/>
      <c r="D172" s="63"/>
      <c r="E172" s="140"/>
      <c r="F172" s="63"/>
      <c r="G172" s="63"/>
      <c r="H172" s="63"/>
      <c r="I172" s="63"/>
      <c r="J172" s="64"/>
      <c r="K172" s="81"/>
      <c r="L172" s="81"/>
      <c r="M172" s="81"/>
      <c r="N172" s="81"/>
      <c r="O172" s="81"/>
      <c r="P172" s="63"/>
      <c r="Q172" s="83"/>
      <c r="R172" s="83"/>
      <c r="S172" s="83"/>
      <c r="T172" s="63"/>
      <c r="U172" s="63"/>
      <c r="V172" s="63"/>
      <c r="W172" s="63"/>
      <c r="X172" s="63"/>
      <c r="Y172" s="63"/>
      <c r="Z172" s="63"/>
      <c r="AA172" s="63"/>
      <c r="AB172" s="64"/>
      <c r="AC172" s="65" t="s">
        <v>2326</v>
      </c>
      <c r="AD172" s="64"/>
    </row>
    <row r="173" spans="1:30">
      <c r="A173" s="7"/>
      <c r="B173" s="7"/>
      <c r="C173" s="7"/>
      <c r="D173" s="7"/>
      <c r="F173" s="7"/>
      <c r="G173" s="7"/>
      <c r="H173" s="7"/>
      <c r="I173" s="7"/>
      <c r="P173" s="7"/>
      <c r="T173" s="7"/>
      <c r="U173" s="7"/>
      <c r="V173" s="7"/>
      <c r="W173" s="7"/>
      <c r="X173" s="7"/>
      <c r="Y173" s="7"/>
      <c r="Z173" s="7"/>
      <c r="AA173" s="7"/>
    </row>
  </sheetData>
  <sortState xmlns:xlrd2="http://schemas.microsoft.com/office/spreadsheetml/2017/richdata2" ref="A2:AD172">
    <sortCondition ref="A2:A172"/>
  </sortState>
  <phoneticPr fontId="11" type="noConversion"/>
  <dataValidations count="1">
    <dataValidation type="list" allowBlank="1" showInputMessage="1" showErrorMessage="1" sqref="L40:L42 J2 L33:O33 J33 L39:O39 R33 M41:O42 J41:J42 R40:R42 K44:L44 L43:O43 L2 R2 L57:L63 J59 M62:M63 N63:O63 G64 J64 R57:R72 K45:K71 K2:K43 K73:K171" xr:uid="{F109FC81-B2F0-4DDE-B8D4-53439BE359B3}">
      <formula1>",●"</formula1>
    </dataValidation>
  </dataValidations>
  <hyperlinks>
    <hyperlink ref="B19" r:id="rId1" xr:uid="{33F0E113-A648-4420-822F-8B38D5AD4413}"/>
    <hyperlink ref="X73" r:id="rId2" xr:uid="{3B8E574B-5FE8-4E11-A34C-CFB08A2CB542}"/>
    <hyperlink ref="X17" r:id="rId3" xr:uid="{4C25EAE0-48BA-4478-9864-B08F296D67EE}"/>
    <hyperlink ref="X63" r:id="rId4" xr:uid="{29A4741D-A235-4965-AFA2-E0F4D8D9C520}"/>
    <hyperlink ref="B63" r:id="rId5" xr:uid="{CDFC007F-7D0E-4F04-B5BE-67E2A5618C57}"/>
    <hyperlink ref="B69" r:id="rId6" xr:uid="{89CAD40D-09D4-4D39-8008-FD5AAB878AE2}"/>
    <hyperlink ref="B45" r:id="rId7" xr:uid="{D254394F-915C-4621-AA73-315944F6B88D}"/>
    <hyperlink ref="X30" r:id="rId8" xr:uid="{0AA8AAB7-D662-4B0E-8635-68E774C4076E}"/>
    <hyperlink ref="B30" r:id="rId9" xr:uid="{F250FDC6-4477-4806-B227-7A23FC3BD053}"/>
    <hyperlink ref="X44" r:id="rId10" xr:uid="{6B6354D2-A979-4427-B61E-13D79DC3CCAF}"/>
    <hyperlink ref="B44" r:id="rId11" xr:uid="{C309AE1C-E46E-45B3-A1BD-3CF42A2C1308}"/>
    <hyperlink ref="X9" r:id="rId12" location="/" xr:uid="{F490C43A-0AB5-42DF-9883-4FCA950657A1}"/>
    <hyperlink ref="B9" r:id="rId13" xr:uid="{5B10675D-3E13-4CF3-9964-0B5672AA2521}"/>
    <hyperlink ref="X39" r:id="rId14" location="page5" xr:uid="{0CABCB7A-9375-40A8-AF99-5E7B14E009A3}"/>
    <hyperlink ref="B39" r:id="rId15" xr:uid="{891EDC5D-1E7F-4781-A24A-88C6CEC99EB6}"/>
    <hyperlink ref="X72" r:id="rId16" xr:uid="{3102385E-C25E-4809-81F8-FFAF60838820}"/>
    <hyperlink ref="B4" r:id="rId17" xr:uid="{EF710433-BB6B-4CD8-B48F-B9BB08A2538E}"/>
    <hyperlink ref="B73" r:id="rId18" xr:uid="{683D8FA8-D94C-47DC-A9DE-247D156C1519}"/>
    <hyperlink ref="X65" r:id="rId19" xr:uid="{C3FB0F8A-E9EC-4410-B074-C76BBFB9C0DD}"/>
    <hyperlink ref="B60" r:id="rId20" xr:uid="{11409EA3-7A88-4F83-BAB9-1A10822E0076}"/>
    <hyperlink ref="B71" r:id="rId21" xr:uid="{8F1F38DA-00DD-4BA2-89CC-BE3A0215FCDA}"/>
    <hyperlink ref="B54" r:id="rId22" xr:uid="{960AB6A3-24FB-4D8C-B295-37ABAC061529}"/>
    <hyperlink ref="B16" r:id="rId23" xr:uid="{474D0B79-2B0A-44B9-8246-FD275A9BD1E8}"/>
    <hyperlink ref="B62" r:id="rId24" xr:uid="{93668848-5B70-4D9F-99D9-B50370D5687E}"/>
    <hyperlink ref="B50" r:id="rId25" xr:uid="{E643C33C-1A7A-44C8-9CD5-AFBD8C38032A}"/>
    <hyperlink ref="B70" r:id="rId26" xr:uid="{BEAFDB09-54C2-4404-A5BE-238E083DC4D2}"/>
    <hyperlink ref="B66" r:id="rId27" xr:uid="{3BAD7EE4-663A-4508-81C4-56EA7F656C8A}"/>
    <hyperlink ref="B59" r:id="rId28" xr:uid="{10A07304-97AF-4044-8A39-4F99842EF005}"/>
    <hyperlink ref="B22" r:id="rId29" xr:uid="{2D541AEA-209B-42A4-A79C-8D5E5C45EB8E}"/>
    <hyperlink ref="B42" r:id="rId30" xr:uid="{2A7A5364-BE03-4960-81C9-73E835531699}"/>
    <hyperlink ref="X42" r:id="rId31" xr:uid="{C3F74318-A3B5-43EE-B2FF-527830F70C6E}"/>
    <hyperlink ref="B40" r:id="rId32" xr:uid="{B95246D0-5053-4B27-91F5-2279A7CFA138}"/>
    <hyperlink ref="X40" r:id="rId33" xr:uid="{267F088D-656C-4070-B016-7FDB1FE59BB0}"/>
    <hyperlink ref="X38" r:id="rId34" xr:uid="{3BF83C22-D961-4916-8EC7-7F0E452E7C3A}"/>
    <hyperlink ref="B7" r:id="rId35" xr:uid="{985EEE68-ACB5-49A7-B22C-AF79ECDC0CF7}"/>
    <hyperlink ref="B32" r:id="rId36" xr:uid="{455A0070-D411-4A68-BC0C-F093A52BE21C}"/>
    <hyperlink ref="B36" r:id="rId37" xr:uid="{45630D63-92FE-4C1F-BBE0-2181C72CC41D}"/>
    <hyperlink ref="B86" r:id="rId38" xr:uid="{EA9BEE70-C8E9-4BEC-8390-A41FE5907395}"/>
    <hyperlink ref="B87" r:id="rId39" xr:uid="{10D04D18-8FB7-4B3E-BA9E-02D0D53150DC}"/>
    <hyperlink ref="B88" r:id="rId40" xr:uid="{DB06D2D6-7D39-4205-A195-5CDC5DE8003B}"/>
    <hyperlink ref="B89" r:id="rId41" xr:uid="{6061D617-68EF-4BC4-85FA-734FEF25BE72}"/>
    <hyperlink ref="B90" r:id="rId42" xr:uid="{1949CDFC-8C07-46EC-A885-A4052744C412}"/>
    <hyperlink ref="B91" r:id="rId43" xr:uid="{FC39CE17-C7F9-4112-9163-25A4FA6DB777}"/>
    <hyperlink ref="B92" r:id="rId44" xr:uid="{DCC203E5-1234-49FE-A8C1-AE271449C57B}"/>
    <hyperlink ref="B93" r:id="rId45" xr:uid="{3D9472D1-0E6E-41EA-98C6-086EAC419349}"/>
    <hyperlink ref="X115" r:id="rId46" xr:uid="{8126684A-A6B9-4993-89DE-C009D38B983B}"/>
    <hyperlink ref="X117" r:id="rId47" xr:uid="{853AB8D5-7874-475F-9C53-1A927F7086D9}"/>
    <hyperlink ref="X119" r:id="rId48" xr:uid="{0689D0A4-D933-47E0-B409-E8242D763327}"/>
    <hyperlink ref="X120" r:id="rId49" xr:uid="{69C294CF-A2C2-468C-8D56-4BA275AE975B}"/>
    <hyperlink ref="X121" r:id="rId50" xr:uid="{B66222B7-F672-4E4F-8CB0-B8F96F060ABA}"/>
    <hyperlink ref="B123" r:id="rId51" xr:uid="{D1FDE905-601F-4C3C-99AE-BAE5616E38A0}"/>
    <hyperlink ref="X123" r:id="rId52" xr:uid="{A6215E00-BCD9-420A-ADAE-C41B37E0A030}"/>
    <hyperlink ref="B130" r:id="rId53" xr:uid="{845C8A5C-7C2F-4CF1-8666-712ACD689D09}"/>
    <hyperlink ref="B131" r:id="rId54" xr:uid="{F4C3D03F-FB41-4AE5-8DCC-ACF57B18971A}"/>
    <hyperlink ref="B132" r:id="rId55" xr:uid="{71652479-AA20-465F-9FB4-ABCD47B0D93D}"/>
    <hyperlink ref="B133" r:id="rId56" xr:uid="{1EB2D170-C525-4BD9-8CC2-CF1815303353}"/>
    <hyperlink ref="B134" r:id="rId57" xr:uid="{C5EC828B-080A-4536-9CF7-873D5F9641F1}"/>
    <hyperlink ref="B135" r:id="rId58" xr:uid="{F4828A61-1DE4-4FB9-8EFC-AC93CD809AB1}"/>
    <hyperlink ref="B136" r:id="rId59" xr:uid="{9C37FC5C-7851-40E2-A4C6-5D3C9BED19A6}"/>
    <hyperlink ref="B137" r:id="rId60" xr:uid="{5ABEACB5-6B78-438C-991C-B679711A6541}"/>
    <hyperlink ref="B138" r:id="rId61" xr:uid="{2DD919F7-52AF-42E0-9705-395C594E1950}"/>
    <hyperlink ref="B139" r:id="rId62" xr:uid="{2455EC42-6D06-462C-A670-0854BDAD22DC}"/>
    <hyperlink ref="B142" r:id="rId63" xr:uid="{135E4FA8-971D-41EE-8EA1-5DDA01AAF211}"/>
    <hyperlink ref="B144" r:id="rId64" xr:uid="{FA5C1A6F-A437-4C9E-86F6-F9ED7ECD054E}"/>
    <hyperlink ref="B145" r:id="rId65" xr:uid="{59B8EA92-E835-4972-B45E-198A48679703}"/>
  </hyperlinks>
  <pageMargins left="0.7" right="0.7" top="0.75" bottom="0.75" header="0.3" footer="0.3"/>
  <pageSetup paperSize="9" orientation="portrait" horizontalDpi="4294967293" verticalDpi="4294967293" r:id="rId66"/>
  <legacyDrawing r:id="rId67"/>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37AB-5B1F-4969-92FD-5C52A93BA685}">
  <sheetPr codeName="Sheet20"/>
  <dimension ref="A1:R145"/>
  <sheetViews>
    <sheetView tabSelected="1" workbookViewId="0">
      <pane xSplit="3" ySplit="1" topLeftCell="D83" activePane="bottomRight" state="frozen"/>
      <selection pane="topRight" activeCell="D1" sqref="D1"/>
      <selection pane="bottomLeft" activeCell="A2" sqref="A2"/>
      <selection pane="bottomRight" activeCell="L47" sqref="L47"/>
    </sheetView>
  </sheetViews>
  <sheetFormatPr defaultRowHeight="14.25"/>
  <cols>
    <col min="1" max="1" width="25.25" style="232" customWidth="1"/>
    <col min="2" max="3" width="9.625" style="232" customWidth="1"/>
    <col min="4" max="5" width="22.375" style="232" customWidth="1"/>
    <col min="6" max="6" width="13.875" style="233" customWidth="1"/>
    <col min="7" max="7" width="12.75" style="233" customWidth="1"/>
    <col min="8" max="8" width="13" style="233" bestFit="1" customWidth="1"/>
    <col min="9" max="9" width="13.125" style="233" customWidth="1"/>
    <col min="10" max="10" width="8.125" style="233" customWidth="1"/>
    <col min="11" max="18" width="6.125" style="233" customWidth="1"/>
    <col min="19" max="16384" width="9" style="232"/>
  </cols>
  <sheetData>
    <row r="1" spans="1:18">
      <c r="A1" s="239"/>
      <c r="B1" s="239" t="s">
        <v>5105</v>
      </c>
      <c r="C1" s="239" t="s">
        <v>5104</v>
      </c>
      <c r="D1" s="239" t="s">
        <v>5103</v>
      </c>
      <c r="E1" s="239" t="s">
        <v>5102</v>
      </c>
      <c r="F1" s="238"/>
      <c r="G1" s="238">
        <v>43344</v>
      </c>
      <c r="H1" s="238">
        <v>43282</v>
      </c>
      <c r="I1" s="238" t="s">
        <v>5101</v>
      </c>
      <c r="J1" s="238" t="s">
        <v>5100</v>
      </c>
      <c r="K1" s="238" t="s">
        <v>5099</v>
      </c>
      <c r="L1" s="238" t="s">
        <v>5098</v>
      </c>
      <c r="M1" s="238" t="s">
        <v>5097</v>
      </c>
      <c r="N1" s="238" t="s">
        <v>5096</v>
      </c>
      <c r="O1" s="238" t="s">
        <v>5095</v>
      </c>
      <c r="P1" s="238" t="s">
        <v>5094</v>
      </c>
      <c r="Q1" s="238"/>
      <c r="R1" s="238"/>
    </row>
    <row r="2" spans="1:18" ht="16.5" customHeight="1">
      <c r="A2" s="232" t="s">
        <v>5093</v>
      </c>
      <c r="D2" s="232" t="s">
        <v>5092</v>
      </c>
      <c r="I2" s="236">
        <f>0</f>
        <v>0</v>
      </c>
      <c r="J2" s="233">
        <f>300</f>
        <v>300</v>
      </c>
    </row>
    <row r="3" spans="1:18" ht="16.5" customHeight="1">
      <c r="A3" s="232" t="s">
        <v>5091</v>
      </c>
      <c r="D3" s="232" t="s">
        <v>5090</v>
      </c>
      <c r="I3" s="236">
        <f>0</f>
        <v>0</v>
      </c>
      <c r="J3" s="236">
        <f>30</f>
        <v>30</v>
      </c>
    </row>
    <row r="4" spans="1:18" ht="16.5" customHeight="1">
      <c r="A4" s="232" t="s">
        <v>5089</v>
      </c>
      <c r="D4" s="232" t="s">
        <v>5088</v>
      </c>
      <c r="I4" s="236">
        <f>0</f>
        <v>0</v>
      </c>
      <c r="J4" s="233">
        <f>30</f>
        <v>30</v>
      </c>
    </row>
    <row r="5" spans="1:18" ht="16.5" customHeight="1">
      <c r="D5" s="232" t="s">
        <v>5087</v>
      </c>
      <c r="I5" s="236">
        <f>0</f>
        <v>0</v>
      </c>
      <c r="J5" s="233">
        <f>30</f>
        <v>30</v>
      </c>
    </row>
    <row r="6" spans="1:18" ht="16.5">
      <c r="A6" s="232" t="s">
        <v>5086</v>
      </c>
      <c r="I6" s="236">
        <f>0</f>
        <v>0</v>
      </c>
      <c r="J6" s="236">
        <f>1</f>
        <v>1</v>
      </c>
    </row>
    <row r="7" spans="1:18" ht="16.5">
      <c r="A7" s="232" t="s">
        <v>5085</v>
      </c>
      <c r="I7" s="236">
        <f>0</f>
        <v>0</v>
      </c>
      <c r="J7" s="236">
        <f>1</f>
        <v>1</v>
      </c>
    </row>
    <row r="8" spans="1:18" ht="16.5">
      <c r="A8" s="232" t="s">
        <v>5084</v>
      </c>
      <c r="I8" s="236">
        <f>0</f>
        <v>0</v>
      </c>
      <c r="J8" s="236">
        <f>1</f>
        <v>1</v>
      </c>
    </row>
    <row r="9" spans="1:18" ht="16.5">
      <c r="A9" s="232" t="s">
        <v>5083</v>
      </c>
      <c r="I9" s="236">
        <f>0</f>
        <v>0</v>
      </c>
      <c r="J9" s="236">
        <f>1</f>
        <v>1</v>
      </c>
    </row>
    <row r="10" spans="1:18" ht="16.5">
      <c r="A10" s="232" t="s">
        <v>5082</v>
      </c>
      <c r="D10" s="232" t="s">
        <v>5081</v>
      </c>
      <c r="I10" s="236">
        <f>0</f>
        <v>0</v>
      </c>
      <c r="J10" s="236">
        <f>1</f>
        <v>1</v>
      </c>
    </row>
    <row r="11" spans="1:18" ht="16.5">
      <c r="A11" s="232" t="s">
        <v>5080</v>
      </c>
      <c r="I11" s="236">
        <f>0</f>
        <v>0</v>
      </c>
      <c r="J11" s="236">
        <f>1</f>
        <v>1</v>
      </c>
    </row>
    <row r="12" spans="1:18" ht="16.5">
      <c r="A12" s="232" t="s">
        <v>5079</v>
      </c>
      <c r="D12" s="232" t="s">
        <v>5078</v>
      </c>
      <c r="I12" s="236">
        <f>0</f>
        <v>0</v>
      </c>
      <c r="J12" s="236">
        <f>1</f>
        <v>1</v>
      </c>
    </row>
    <row r="13" spans="1:18" ht="16.5">
      <c r="A13" s="232" t="s">
        <v>5077</v>
      </c>
      <c r="D13" s="232" t="s">
        <v>4984</v>
      </c>
      <c r="I13" s="236">
        <f>0</f>
        <v>0</v>
      </c>
      <c r="J13" s="236">
        <f>1</f>
        <v>1</v>
      </c>
    </row>
    <row r="14" spans="1:18" ht="16.5">
      <c r="A14" s="232" t="s">
        <v>5076</v>
      </c>
      <c r="D14" s="232" t="s">
        <v>5075</v>
      </c>
      <c r="I14" s="236">
        <f>0</f>
        <v>0</v>
      </c>
      <c r="J14" s="236">
        <f>1</f>
        <v>1</v>
      </c>
    </row>
    <row r="15" spans="1:18" ht="16.5">
      <c r="A15" s="232" t="s">
        <v>5074</v>
      </c>
      <c r="D15" s="232" t="s">
        <v>5073</v>
      </c>
      <c r="I15" s="236">
        <f>0</f>
        <v>0</v>
      </c>
      <c r="J15" s="236">
        <f>1</f>
        <v>1</v>
      </c>
    </row>
    <row r="16" spans="1:18" ht="16.5">
      <c r="A16" s="232" t="s">
        <v>5072</v>
      </c>
      <c r="I16" s="236">
        <f>0</f>
        <v>0</v>
      </c>
      <c r="J16" s="236">
        <f>1</f>
        <v>1</v>
      </c>
    </row>
    <row r="17" spans="1:10" ht="16.5">
      <c r="A17" s="232" t="s">
        <v>5071</v>
      </c>
      <c r="D17" s="232" t="s">
        <v>5070</v>
      </c>
      <c r="I17" s="236">
        <f>0</f>
        <v>0</v>
      </c>
      <c r="J17" s="236">
        <f>1</f>
        <v>1</v>
      </c>
    </row>
    <row r="18" spans="1:10" ht="16.5">
      <c r="A18" s="232" t="s">
        <v>5069</v>
      </c>
      <c r="I18" s="236">
        <f>0</f>
        <v>0</v>
      </c>
      <c r="J18" s="236">
        <f>1</f>
        <v>1</v>
      </c>
    </row>
    <row r="19" spans="1:10" ht="16.5">
      <c r="A19" s="232" t="s">
        <v>5068</v>
      </c>
      <c r="I19" s="236">
        <f>0</f>
        <v>0</v>
      </c>
      <c r="J19" s="236">
        <f>1</f>
        <v>1</v>
      </c>
    </row>
    <row r="20" spans="1:10" ht="16.5">
      <c r="A20" s="232" t="s">
        <v>5067</v>
      </c>
      <c r="I20" s="236">
        <f>0</f>
        <v>0</v>
      </c>
      <c r="J20" s="236">
        <f>1</f>
        <v>1</v>
      </c>
    </row>
    <row r="21" spans="1:10" ht="16.5">
      <c r="A21" s="232" t="s">
        <v>5066</v>
      </c>
      <c r="D21" s="232" t="s">
        <v>5065</v>
      </c>
      <c r="I21" s="236">
        <f>0</f>
        <v>0</v>
      </c>
      <c r="J21" s="236">
        <f>1</f>
        <v>1</v>
      </c>
    </row>
    <row r="22" spans="1:10" ht="16.5">
      <c r="A22" s="232" t="s">
        <v>5064</v>
      </c>
      <c r="I22" s="236">
        <f>0</f>
        <v>0</v>
      </c>
      <c r="J22" s="236">
        <f>1</f>
        <v>1</v>
      </c>
    </row>
    <row r="23" spans="1:10" ht="16.5">
      <c r="A23" s="232" t="s">
        <v>5063</v>
      </c>
      <c r="I23" s="236">
        <f>0</f>
        <v>0</v>
      </c>
      <c r="J23" s="236">
        <f>1</f>
        <v>1</v>
      </c>
    </row>
    <row r="24" spans="1:10" ht="16.5">
      <c r="A24" s="232" t="s">
        <v>5062</v>
      </c>
      <c r="I24" s="236">
        <f>0</f>
        <v>0</v>
      </c>
      <c r="J24" s="236">
        <f>1</f>
        <v>1</v>
      </c>
    </row>
    <row r="25" spans="1:10" ht="16.5">
      <c r="A25" s="232" t="s">
        <v>5061</v>
      </c>
      <c r="D25" s="232" t="s">
        <v>5060</v>
      </c>
      <c r="I25" s="236">
        <f>0</f>
        <v>0</v>
      </c>
      <c r="J25" s="236">
        <f>1</f>
        <v>1</v>
      </c>
    </row>
    <row r="26" spans="1:10" ht="16.5">
      <c r="A26" s="232" t="s">
        <v>5059</v>
      </c>
      <c r="D26" s="232" t="s">
        <v>5058</v>
      </c>
      <c r="I26" s="236">
        <f>0</f>
        <v>0</v>
      </c>
      <c r="J26" s="236">
        <f>1</f>
        <v>1</v>
      </c>
    </row>
    <row r="27" spans="1:10" ht="16.5">
      <c r="A27" s="232" t="s">
        <v>5057</v>
      </c>
      <c r="I27" s="236">
        <f>0</f>
        <v>0</v>
      </c>
      <c r="J27" s="236">
        <f>1</f>
        <v>1</v>
      </c>
    </row>
    <row r="28" spans="1:10" ht="16.5">
      <c r="A28" s="232" t="s">
        <v>5056</v>
      </c>
      <c r="D28" s="232" t="s">
        <v>5055</v>
      </c>
      <c r="I28" s="236">
        <f>0</f>
        <v>0</v>
      </c>
      <c r="J28" s="236">
        <f>1</f>
        <v>1</v>
      </c>
    </row>
    <row r="29" spans="1:10" ht="16.5">
      <c r="A29" s="232">
        <v>2018</v>
      </c>
      <c r="I29" s="236">
        <f>1</f>
        <v>1</v>
      </c>
      <c r="J29" s="236">
        <f>0</f>
        <v>0</v>
      </c>
    </row>
    <row r="30" spans="1:10" ht="18.75">
      <c r="A30" s="237" t="s">
        <v>5054</v>
      </c>
      <c r="I30" s="236">
        <f>1</f>
        <v>1</v>
      </c>
      <c r="J30" s="236">
        <f>0</f>
        <v>0</v>
      </c>
    </row>
    <row r="31" spans="1:10" ht="16.5">
      <c r="A31" s="232" t="s">
        <v>5053</v>
      </c>
      <c r="I31" s="236">
        <f>1</f>
        <v>1</v>
      </c>
      <c r="J31" s="236">
        <f>0</f>
        <v>0</v>
      </c>
    </row>
    <row r="32" spans="1:10" ht="16.5">
      <c r="A32" s="232" t="s">
        <v>5052</v>
      </c>
      <c r="I32" s="236">
        <f>1</f>
        <v>1</v>
      </c>
      <c r="J32" s="236">
        <f>0</f>
        <v>0</v>
      </c>
    </row>
    <row r="33" spans="1:10" ht="16.5">
      <c r="A33" s="232" t="s">
        <v>5051</v>
      </c>
      <c r="I33" s="236">
        <f>1</f>
        <v>1</v>
      </c>
      <c r="J33" s="236">
        <f>0</f>
        <v>0</v>
      </c>
    </row>
    <row r="34" spans="1:10" ht="16.5">
      <c r="A34" s="232" t="s">
        <v>5050</v>
      </c>
      <c r="I34" s="236">
        <f>1</f>
        <v>1</v>
      </c>
      <c r="J34" s="236">
        <f>0</f>
        <v>0</v>
      </c>
    </row>
    <row r="35" spans="1:10" ht="16.5">
      <c r="A35" s="232" t="s">
        <v>5049</v>
      </c>
      <c r="I35" s="236">
        <f>1</f>
        <v>1</v>
      </c>
      <c r="J35" s="236">
        <f>0</f>
        <v>0</v>
      </c>
    </row>
    <row r="36" spans="1:10" ht="18.75">
      <c r="A36" s="237" t="s">
        <v>5048</v>
      </c>
      <c r="I36" s="236">
        <f>1</f>
        <v>1</v>
      </c>
      <c r="J36" s="236">
        <f>0</f>
        <v>0</v>
      </c>
    </row>
    <row r="37" spans="1:10" ht="18.75">
      <c r="A37" s="237" t="s">
        <v>5047</v>
      </c>
      <c r="I37" s="236">
        <f>1</f>
        <v>1</v>
      </c>
      <c r="J37" s="236">
        <f>0</f>
        <v>0</v>
      </c>
    </row>
    <row r="38" spans="1:10" ht="16.5">
      <c r="A38" s="232" t="s">
        <v>5046</v>
      </c>
      <c r="I38" s="236">
        <f>1</f>
        <v>1</v>
      </c>
      <c r="J38" s="236">
        <f>0</f>
        <v>0</v>
      </c>
    </row>
    <row r="39" spans="1:10" ht="16.5">
      <c r="A39" s="232" t="s">
        <v>5045</v>
      </c>
      <c r="I39" s="236">
        <f>1</f>
        <v>1</v>
      </c>
      <c r="J39" s="236">
        <f>0</f>
        <v>0</v>
      </c>
    </row>
    <row r="40" spans="1:10" ht="18.75">
      <c r="A40" s="237" t="s">
        <v>5044</v>
      </c>
      <c r="I40" s="236">
        <f>1</f>
        <v>1</v>
      </c>
      <c r="J40" s="236">
        <f>0</f>
        <v>0</v>
      </c>
    </row>
    <row r="41" spans="1:10" ht="16.5">
      <c r="A41" s="232" t="s">
        <v>5043</v>
      </c>
      <c r="I41" s="236">
        <f>0</f>
        <v>0</v>
      </c>
      <c r="J41" s="236">
        <f>0</f>
        <v>0</v>
      </c>
    </row>
    <row r="42" spans="1:10" ht="16.5">
      <c r="A42" s="232" t="s">
        <v>5042</v>
      </c>
      <c r="D42" s="232" t="s">
        <v>5041</v>
      </c>
      <c r="I42" s="236">
        <f>0</f>
        <v>0</v>
      </c>
      <c r="J42" s="236">
        <f>0</f>
        <v>0</v>
      </c>
    </row>
    <row r="43" spans="1:10" ht="16.5">
      <c r="A43" s="232" t="s">
        <v>5040</v>
      </c>
      <c r="D43" s="232" t="s">
        <v>5039</v>
      </c>
      <c r="I43" s="236">
        <f>0</f>
        <v>0</v>
      </c>
      <c r="J43" s="236">
        <f>0</f>
        <v>0</v>
      </c>
    </row>
    <row r="44" spans="1:10" ht="16.5">
      <c r="A44" s="232" t="s">
        <v>5038</v>
      </c>
      <c r="I44" s="236">
        <f>0</f>
        <v>0</v>
      </c>
      <c r="J44" s="236">
        <f>0</f>
        <v>0</v>
      </c>
    </row>
    <row r="45" spans="1:10" ht="16.5">
      <c r="A45" s="232" t="s">
        <v>5037</v>
      </c>
      <c r="I45" s="236">
        <f>0</f>
        <v>0</v>
      </c>
      <c r="J45" s="236">
        <f>0</f>
        <v>0</v>
      </c>
    </row>
    <row r="46" spans="1:10" ht="16.5">
      <c r="A46" s="232" t="s">
        <v>5036</v>
      </c>
      <c r="D46" s="232" t="s">
        <v>5035</v>
      </c>
      <c r="I46" s="236">
        <f>0</f>
        <v>0</v>
      </c>
      <c r="J46" s="236">
        <f>0</f>
        <v>0</v>
      </c>
    </row>
    <row r="47" spans="1:10" ht="16.5">
      <c r="A47" s="232" t="s">
        <v>5034</v>
      </c>
      <c r="D47" s="232" t="s">
        <v>5033</v>
      </c>
      <c r="I47" s="236">
        <f>0</f>
        <v>0</v>
      </c>
      <c r="J47" s="236">
        <f>0</f>
        <v>0</v>
      </c>
    </row>
    <row r="48" spans="1:10" ht="16.5">
      <c r="A48" s="232" t="s">
        <v>5032</v>
      </c>
      <c r="I48" s="236">
        <f>0</f>
        <v>0</v>
      </c>
      <c r="J48" s="236">
        <f>0</f>
        <v>0</v>
      </c>
    </row>
    <row r="49" spans="1:10" ht="16.5">
      <c r="A49" s="232" t="s">
        <v>5031</v>
      </c>
      <c r="D49" s="232" t="s">
        <v>5030</v>
      </c>
      <c r="I49" s="236">
        <f>0</f>
        <v>0</v>
      </c>
      <c r="J49" s="236">
        <f>0</f>
        <v>0</v>
      </c>
    </row>
    <row r="50" spans="1:10" ht="16.5">
      <c r="A50" s="232" t="s">
        <v>5029</v>
      </c>
      <c r="I50" s="236">
        <f>0</f>
        <v>0</v>
      </c>
      <c r="J50" s="236">
        <f>0</f>
        <v>0</v>
      </c>
    </row>
    <row r="51" spans="1:10" ht="16.5">
      <c r="A51" s="232" t="s">
        <v>5028</v>
      </c>
      <c r="D51" s="232" t="s">
        <v>5027</v>
      </c>
      <c r="I51" s="236">
        <f>0</f>
        <v>0</v>
      </c>
      <c r="J51" s="236">
        <f>0</f>
        <v>0</v>
      </c>
    </row>
    <row r="52" spans="1:10" ht="16.5">
      <c r="A52" s="232" t="s">
        <v>5026</v>
      </c>
      <c r="D52" s="232" t="s">
        <v>5025</v>
      </c>
      <c r="I52" s="236">
        <f>0</f>
        <v>0</v>
      </c>
      <c r="J52" s="236">
        <f>0</f>
        <v>0</v>
      </c>
    </row>
    <row r="53" spans="1:10" ht="16.5">
      <c r="A53" s="232" t="s">
        <v>5024</v>
      </c>
      <c r="I53" s="236">
        <f>0</f>
        <v>0</v>
      </c>
      <c r="J53" s="236">
        <f>0</f>
        <v>0</v>
      </c>
    </row>
    <row r="54" spans="1:10" ht="16.5">
      <c r="A54" s="232" t="s">
        <v>5023</v>
      </c>
      <c r="I54" s="236">
        <f>0</f>
        <v>0</v>
      </c>
      <c r="J54" s="236">
        <f>0</f>
        <v>0</v>
      </c>
    </row>
    <row r="55" spans="1:10" ht="16.5">
      <c r="A55" s="232" t="s">
        <v>5022</v>
      </c>
      <c r="I55" s="236">
        <f>0</f>
        <v>0</v>
      </c>
      <c r="J55" s="236">
        <f>0</f>
        <v>0</v>
      </c>
    </row>
    <row r="56" spans="1:10" ht="16.5">
      <c r="A56" s="232" t="s">
        <v>5021</v>
      </c>
      <c r="I56" s="236">
        <f>0</f>
        <v>0</v>
      </c>
      <c r="J56" s="236">
        <f>0</f>
        <v>0</v>
      </c>
    </row>
    <row r="57" spans="1:10" ht="16.5">
      <c r="A57" s="232" t="s">
        <v>5020</v>
      </c>
      <c r="I57" s="236">
        <f>0</f>
        <v>0</v>
      </c>
      <c r="J57" s="236">
        <f>0</f>
        <v>0</v>
      </c>
    </row>
    <row r="58" spans="1:10" ht="16.5">
      <c r="A58" s="232" t="s">
        <v>5019</v>
      </c>
      <c r="D58" s="232" t="s">
        <v>5018</v>
      </c>
      <c r="I58" s="236">
        <f>0</f>
        <v>0</v>
      </c>
      <c r="J58" s="236">
        <f>0</f>
        <v>0</v>
      </c>
    </row>
    <row r="59" spans="1:10" ht="16.5">
      <c r="A59" s="232" t="s">
        <v>5017</v>
      </c>
      <c r="I59" s="236">
        <f>0</f>
        <v>0</v>
      </c>
      <c r="J59" s="236">
        <f>0</f>
        <v>0</v>
      </c>
    </row>
    <row r="60" spans="1:10" ht="16.5">
      <c r="A60" s="232" t="s">
        <v>5016</v>
      </c>
      <c r="D60" s="232" t="s">
        <v>5015</v>
      </c>
      <c r="I60" s="236">
        <f>0</f>
        <v>0</v>
      </c>
      <c r="J60" s="236">
        <f>0</f>
        <v>0</v>
      </c>
    </row>
    <row r="61" spans="1:10" ht="16.5">
      <c r="A61" s="232" t="s">
        <v>5014</v>
      </c>
      <c r="I61" s="236">
        <f>0</f>
        <v>0</v>
      </c>
      <c r="J61" s="236">
        <f>0</f>
        <v>0</v>
      </c>
    </row>
    <row r="62" spans="1:10" ht="16.5">
      <c r="A62" s="232" t="s">
        <v>5013</v>
      </c>
      <c r="D62" s="232" t="s">
        <v>5012</v>
      </c>
      <c r="I62" s="236">
        <f>0</f>
        <v>0</v>
      </c>
      <c r="J62" s="236">
        <f>0</f>
        <v>0</v>
      </c>
    </row>
    <row r="63" spans="1:10" ht="16.5">
      <c r="A63" s="232" t="s">
        <v>5011</v>
      </c>
      <c r="I63" s="236">
        <f>0</f>
        <v>0</v>
      </c>
      <c r="J63" s="236">
        <f>0</f>
        <v>0</v>
      </c>
    </row>
    <row r="64" spans="1:10" ht="16.5">
      <c r="A64" s="232" t="s">
        <v>5010</v>
      </c>
      <c r="D64" s="232" t="s">
        <v>5009</v>
      </c>
      <c r="I64" s="236">
        <f>0</f>
        <v>0</v>
      </c>
      <c r="J64" s="236">
        <f>0</f>
        <v>0</v>
      </c>
    </row>
    <row r="65" spans="1:10" ht="16.5">
      <c r="A65" s="232" t="s">
        <v>5008</v>
      </c>
      <c r="I65" s="236">
        <f>0</f>
        <v>0</v>
      </c>
      <c r="J65" s="236">
        <f>0</f>
        <v>0</v>
      </c>
    </row>
    <row r="66" spans="1:10" ht="16.5">
      <c r="A66" s="232" t="s">
        <v>5007</v>
      </c>
      <c r="D66" s="232" t="s">
        <v>5006</v>
      </c>
      <c r="I66" s="236">
        <f>0</f>
        <v>0</v>
      </c>
      <c r="J66" s="236">
        <f>0</f>
        <v>0</v>
      </c>
    </row>
    <row r="67" spans="1:10" ht="16.5">
      <c r="A67" s="232" t="s">
        <v>5005</v>
      </c>
      <c r="I67" s="236">
        <f>0</f>
        <v>0</v>
      </c>
      <c r="J67" s="236">
        <f>0</f>
        <v>0</v>
      </c>
    </row>
    <row r="68" spans="1:10" ht="16.5">
      <c r="A68" s="232" t="s">
        <v>5004</v>
      </c>
      <c r="I68" s="236">
        <f>0</f>
        <v>0</v>
      </c>
      <c r="J68" s="236">
        <f>0</f>
        <v>0</v>
      </c>
    </row>
    <row r="69" spans="1:10" ht="16.5">
      <c r="A69" s="232" t="s">
        <v>5003</v>
      </c>
      <c r="D69" s="232" t="s">
        <v>5002</v>
      </c>
      <c r="I69" s="236">
        <f>0</f>
        <v>0</v>
      </c>
      <c r="J69" s="236">
        <f>0</f>
        <v>0</v>
      </c>
    </row>
    <row r="70" spans="1:10" ht="16.5">
      <c r="A70" s="232" t="s">
        <v>5001</v>
      </c>
      <c r="I70" s="236">
        <f>0</f>
        <v>0</v>
      </c>
      <c r="J70" s="236">
        <f>0</f>
        <v>0</v>
      </c>
    </row>
    <row r="71" spans="1:10" ht="16.5">
      <c r="A71" s="232" t="s">
        <v>5000</v>
      </c>
      <c r="I71" s="236">
        <f>0</f>
        <v>0</v>
      </c>
      <c r="J71" s="236">
        <f>0</f>
        <v>0</v>
      </c>
    </row>
    <row r="72" spans="1:10" ht="16.5">
      <c r="A72" s="232" t="s">
        <v>4999</v>
      </c>
      <c r="I72" s="236">
        <f>0</f>
        <v>0</v>
      </c>
      <c r="J72" s="236">
        <f>0</f>
        <v>0</v>
      </c>
    </row>
    <row r="73" spans="1:10" ht="16.5">
      <c r="A73" s="232" t="s">
        <v>4998</v>
      </c>
      <c r="I73" s="236">
        <f>0</f>
        <v>0</v>
      </c>
      <c r="J73" s="236">
        <f>0</f>
        <v>0</v>
      </c>
    </row>
    <row r="74" spans="1:10" ht="16.5">
      <c r="A74" s="232" t="s">
        <v>4982</v>
      </c>
      <c r="D74" s="232" t="s">
        <v>4997</v>
      </c>
      <c r="I74" s="236">
        <f>0</f>
        <v>0</v>
      </c>
      <c r="J74" s="236">
        <f>0</f>
        <v>0</v>
      </c>
    </row>
    <row r="75" spans="1:10" ht="16.5">
      <c r="A75" s="232" t="s">
        <v>4996</v>
      </c>
      <c r="I75" s="236">
        <f>0</f>
        <v>0</v>
      </c>
      <c r="J75" s="236">
        <f>0</f>
        <v>0</v>
      </c>
    </row>
    <row r="76" spans="1:10" ht="16.5">
      <c r="A76" s="232" t="s">
        <v>4995</v>
      </c>
      <c r="I76" s="236">
        <f>0</f>
        <v>0</v>
      </c>
      <c r="J76" s="236">
        <f>0</f>
        <v>0</v>
      </c>
    </row>
    <row r="77" spans="1:10" ht="16.5">
      <c r="A77" s="232" t="s">
        <v>4994</v>
      </c>
      <c r="D77" s="232" t="s">
        <v>4993</v>
      </c>
      <c r="I77" s="236">
        <f>0</f>
        <v>0</v>
      </c>
      <c r="J77" s="236">
        <f>0</f>
        <v>0</v>
      </c>
    </row>
    <row r="78" spans="1:10" ht="16.5">
      <c r="A78" s="232" t="s">
        <v>4992</v>
      </c>
      <c r="I78" s="236">
        <f>0</f>
        <v>0</v>
      </c>
      <c r="J78" s="236">
        <f>0</f>
        <v>0</v>
      </c>
    </row>
    <row r="79" spans="1:10" ht="16.5">
      <c r="A79" s="232" t="s">
        <v>4991</v>
      </c>
      <c r="D79" s="232" t="s">
        <v>4990</v>
      </c>
      <c r="I79" s="236">
        <f>0</f>
        <v>0</v>
      </c>
      <c r="J79" s="236">
        <f>0</f>
        <v>0</v>
      </c>
    </row>
    <row r="80" spans="1:10" ht="16.5">
      <c r="A80" s="232" t="s">
        <v>4989</v>
      </c>
      <c r="I80" s="236">
        <f>0</f>
        <v>0</v>
      </c>
      <c r="J80" s="236">
        <f>0</f>
        <v>0</v>
      </c>
    </row>
    <row r="81" spans="1:10" ht="16.5">
      <c r="A81" s="232" t="s">
        <v>4988</v>
      </c>
      <c r="I81" s="236">
        <f>0</f>
        <v>0</v>
      </c>
      <c r="J81" s="236">
        <f>0</f>
        <v>0</v>
      </c>
    </row>
    <row r="82" spans="1:10" ht="16.5">
      <c r="A82" s="232" t="s">
        <v>4987</v>
      </c>
      <c r="I82" s="236">
        <f>0</f>
        <v>0</v>
      </c>
      <c r="J82" s="236">
        <f>0</f>
        <v>0</v>
      </c>
    </row>
    <row r="83" spans="1:10" ht="16.5">
      <c r="A83" s="232" t="s">
        <v>4986</v>
      </c>
      <c r="I83" s="236">
        <f>0</f>
        <v>0</v>
      </c>
      <c r="J83" s="236">
        <f>0</f>
        <v>0</v>
      </c>
    </row>
    <row r="84" spans="1:10" ht="16.5">
      <c r="A84" s="232" t="s">
        <v>4985</v>
      </c>
      <c r="D84" s="232" t="s">
        <v>4984</v>
      </c>
      <c r="I84" s="236">
        <f>0</f>
        <v>0</v>
      </c>
      <c r="J84" s="236">
        <f>0</f>
        <v>0</v>
      </c>
    </row>
    <row r="85" spans="1:10" ht="16.5">
      <c r="A85" s="232" t="s">
        <v>4983</v>
      </c>
      <c r="D85" s="232" t="s">
        <v>4982</v>
      </c>
      <c r="I85" s="236">
        <f>0</f>
        <v>0</v>
      </c>
      <c r="J85" s="236">
        <f>0</f>
        <v>0</v>
      </c>
    </row>
    <row r="86" spans="1:10" ht="16.5">
      <c r="A86" s="232" t="s">
        <v>4981</v>
      </c>
      <c r="I86" s="236">
        <f>0</f>
        <v>0</v>
      </c>
      <c r="J86" s="236">
        <f>0</f>
        <v>0</v>
      </c>
    </row>
    <row r="87" spans="1:10" ht="16.5">
      <c r="A87" s="232" t="s">
        <v>4980</v>
      </c>
      <c r="I87" s="236">
        <f>0</f>
        <v>0</v>
      </c>
      <c r="J87" s="236">
        <f>0</f>
        <v>0</v>
      </c>
    </row>
    <row r="88" spans="1:10" ht="16.5">
      <c r="A88" s="232" t="s">
        <v>4979</v>
      </c>
      <c r="D88" s="232" t="s">
        <v>4978</v>
      </c>
      <c r="I88" s="236">
        <f>0</f>
        <v>0</v>
      </c>
      <c r="J88" s="236">
        <f>0</f>
        <v>0</v>
      </c>
    </row>
    <row r="89" spans="1:10" ht="16.5">
      <c r="A89" s="232" t="s">
        <v>4977</v>
      </c>
      <c r="I89" s="236">
        <f>0</f>
        <v>0</v>
      </c>
      <c r="J89" s="236">
        <f>0</f>
        <v>0</v>
      </c>
    </row>
    <row r="90" spans="1:10" ht="16.5">
      <c r="A90" s="232" t="s">
        <v>4976</v>
      </c>
      <c r="D90" s="232" t="s">
        <v>4975</v>
      </c>
      <c r="I90" s="236">
        <f>0</f>
        <v>0</v>
      </c>
      <c r="J90" s="236">
        <f>0</f>
        <v>0</v>
      </c>
    </row>
    <row r="91" spans="1:10" ht="16.5">
      <c r="A91" s="232" t="s">
        <v>4974</v>
      </c>
      <c r="D91" s="232" t="s">
        <v>4973</v>
      </c>
      <c r="I91" s="236">
        <f>0</f>
        <v>0</v>
      </c>
      <c r="J91" s="236">
        <f>0</f>
        <v>0</v>
      </c>
    </row>
    <row r="92" spans="1:10" ht="16.5">
      <c r="A92" s="232" t="s">
        <v>4972</v>
      </c>
      <c r="I92" s="236">
        <f>0</f>
        <v>0</v>
      </c>
      <c r="J92" s="236">
        <f>0</f>
        <v>0</v>
      </c>
    </row>
    <row r="93" spans="1:10" ht="16.5">
      <c r="A93" s="232" t="s">
        <v>4971</v>
      </c>
      <c r="I93" s="236">
        <f>0</f>
        <v>0</v>
      </c>
      <c r="J93" s="236">
        <f>0</f>
        <v>0</v>
      </c>
    </row>
    <row r="94" spans="1:10" ht="16.5">
      <c r="A94" s="232" t="s">
        <v>4970</v>
      </c>
      <c r="D94" s="232" t="s">
        <v>4969</v>
      </c>
      <c r="I94" s="236">
        <f>0</f>
        <v>0</v>
      </c>
      <c r="J94" s="236">
        <f>0</f>
        <v>0</v>
      </c>
    </row>
    <row r="95" spans="1:10" ht="16.5">
      <c r="A95" s="232" t="s">
        <v>4968</v>
      </c>
      <c r="I95" s="236">
        <f>0</f>
        <v>0</v>
      </c>
      <c r="J95" s="236">
        <f>0</f>
        <v>0</v>
      </c>
    </row>
    <row r="96" spans="1:10" ht="16.5">
      <c r="A96" s="232" t="s">
        <v>4967</v>
      </c>
      <c r="I96" s="236">
        <f>0</f>
        <v>0</v>
      </c>
      <c r="J96" s="236">
        <f>0</f>
        <v>0</v>
      </c>
    </row>
    <row r="97" spans="1:10" ht="16.5">
      <c r="A97" s="232" t="s">
        <v>4966</v>
      </c>
      <c r="I97" s="236">
        <f>0</f>
        <v>0</v>
      </c>
      <c r="J97" s="236">
        <f>0</f>
        <v>0</v>
      </c>
    </row>
    <row r="98" spans="1:10" ht="16.5">
      <c r="A98" s="232" t="s">
        <v>4965</v>
      </c>
      <c r="D98" s="232" t="s">
        <v>4964</v>
      </c>
      <c r="I98" s="236">
        <f>0</f>
        <v>0</v>
      </c>
      <c r="J98" s="236">
        <f>0</f>
        <v>0</v>
      </c>
    </row>
    <row r="99" spans="1:10" ht="16.5">
      <c r="A99" s="232" t="s">
        <v>4963</v>
      </c>
      <c r="I99" s="236">
        <f>0</f>
        <v>0</v>
      </c>
      <c r="J99" s="236">
        <f>0</f>
        <v>0</v>
      </c>
    </row>
    <row r="100" spans="1:10" ht="16.5">
      <c r="A100" s="232" t="s">
        <v>4962</v>
      </c>
      <c r="I100" s="236">
        <f>0</f>
        <v>0</v>
      </c>
      <c r="J100" s="236">
        <f>0</f>
        <v>0</v>
      </c>
    </row>
    <row r="101" spans="1:10" ht="16.5">
      <c r="A101" s="232" t="s">
        <v>4961</v>
      </c>
      <c r="I101" s="236">
        <f>0</f>
        <v>0</v>
      </c>
      <c r="J101" s="236">
        <f>0</f>
        <v>0</v>
      </c>
    </row>
    <row r="102" spans="1:10" ht="16.5">
      <c r="A102" s="232" t="s">
        <v>4960</v>
      </c>
      <c r="D102" s="232" t="s">
        <v>4959</v>
      </c>
      <c r="I102" s="236">
        <f>0</f>
        <v>0</v>
      </c>
      <c r="J102" s="236">
        <f>0</f>
        <v>0</v>
      </c>
    </row>
    <row r="103" spans="1:10" ht="16.5">
      <c r="A103" s="232" t="s">
        <v>4958</v>
      </c>
      <c r="D103" s="232" t="s">
        <v>4957</v>
      </c>
      <c r="I103" s="236">
        <f>0</f>
        <v>0</v>
      </c>
      <c r="J103" s="236">
        <f>0</f>
        <v>0</v>
      </c>
    </row>
    <row r="104" spans="1:10" ht="16.5">
      <c r="A104" s="232" t="s">
        <v>4956</v>
      </c>
      <c r="I104" s="236">
        <f>0</f>
        <v>0</v>
      </c>
      <c r="J104" s="236">
        <f>0</f>
        <v>0</v>
      </c>
    </row>
    <row r="105" spans="1:10" ht="16.5">
      <c r="A105" s="232" t="s">
        <v>4955</v>
      </c>
      <c r="I105" s="236">
        <f>0</f>
        <v>0</v>
      </c>
      <c r="J105" s="236">
        <f>0</f>
        <v>0</v>
      </c>
    </row>
    <row r="106" spans="1:10" ht="16.5">
      <c r="A106" s="232" t="s">
        <v>4954</v>
      </c>
      <c r="I106" s="236">
        <f>0</f>
        <v>0</v>
      </c>
      <c r="J106" s="236">
        <f>0</f>
        <v>0</v>
      </c>
    </row>
    <row r="107" spans="1:10" ht="16.5">
      <c r="A107" s="232" t="s">
        <v>4953</v>
      </c>
      <c r="D107" s="232" t="s">
        <v>4952</v>
      </c>
      <c r="I107" s="236">
        <f>0</f>
        <v>0</v>
      </c>
      <c r="J107" s="236">
        <f>0</f>
        <v>0</v>
      </c>
    </row>
    <row r="108" spans="1:10" ht="16.5">
      <c r="A108" s="232" t="s">
        <v>4951</v>
      </c>
      <c r="D108" s="232" t="s">
        <v>4950</v>
      </c>
      <c r="I108" s="236">
        <f>0</f>
        <v>0</v>
      </c>
      <c r="J108" s="236">
        <f>0</f>
        <v>0</v>
      </c>
    </row>
    <row r="109" spans="1:10" ht="16.5">
      <c r="A109" s="232" t="s">
        <v>4949</v>
      </c>
      <c r="I109" s="236">
        <f>0</f>
        <v>0</v>
      </c>
      <c r="J109" s="236">
        <f>0</f>
        <v>0</v>
      </c>
    </row>
    <row r="110" spans="1:10" ht="16.5">
      <c r="A110" s="232" t="s">
        <v>4948</v>
      </c>
      <c r="I110" s="236">
        <f>0</f>
        <v>0</v>
      </c>
      <c r="J110" s="236">
        <f>0</f>
        <v>0</v>
      </c>
    </row>
    <row r="111" spans="1:10" ht="14.25" customHeight="1">
      <c r="A111" s="232" t="s">
        <v>4947</v>
      </c>
      <c r="I111" s="236">
        <f>0</f>
        <v>0</v>
      </c>
      <c r="J111" s="236">
        <f>0</f>
        <v>0</v>
      </c>
    </row>
    <row r="112" spans="1:10" ht="14.25" customHeight="1">
      <c r="A112" s="232" t="s">
        <v>4946</v>
      </c>
      <c r="I112" s="236">
        <f>0</f>
        <v>0</v>
      </c>
      <c r="J112" s="236">
        <f>0</f>
        <v>0</v>
      </c>
    </row>
    <row r="113" spans="1:10" ht="14.25" customHeight="1">
      <c r="A113" s="232" t="s">
        <v>4945</v>
      </c>
      <c r="I113" s="236">
        <f>0</f>
        <v>0</v>
      </c>
      <c r="J113" s="236">
        <f>0</f>
        <v>0</v>
      </c>
    </row>
    <row r="114" spans="1:10" ht="16.5">
      <c r="A114" s="232" t="s">
        <v>4944</v>
      </c>
      <c r="D114" s="232" t="s">
        <v>4943</v>
      </c>
      <c r="I114" s="236">
        <f>0</f>
        <v>0</v>
      </c>
      <c r="J114" s="236">
        <f>0</f>
        <v>0</v>
      </c>
    </row>
    <row r="115" spans="1:10" ht="16.5">
      <c r="A115" s="232" t="s">
        <v>4942</v>
      </c>
      <c r="D115" s="232" t="s">
        <v>4941</v>
      </c>
      <c r="I115" s="236">
        <f>0</f>
        <v>0</v>
      </c>
      <c r="J115" s="236">
        <f>0</f>
        <v>0</v>
      </c>
    </row>
    <row r="116" spans="1:10" ht="16.5">
      <c r="A116" s="232" t="s">
        <v>4940</v>
      </c>
      <c r="I116" s="236">
        <f>0</f>
        <v>0</v>
      </c>
      <c r="J116" s="236">
        <f>0</f>
        <v>0</v>
      </c>
    </row>
    <row r="117" spans="1:10" ht="16.5">
      <c r="A117" s="232" t="s">
        <v>4939</v>
      </c>
      <c r="D117" s="232" t="s">
        <v>4938</v>
      </c>
      <c r="I117" s="236">
        <f>0</f>
        <v>0</v>
      </c>
      <c r="J117" s="236">
        <f>0</f>
        <v>0</v>
      </c>
    </row>
    <row r="118" spans="1:10" ht="16.5">
      <c r="A118" s="232" t="s">
        <v>4937</v>
      </c>
      <c r="I118" s="236">
        <f>0</f>
        <v>0</v>
      </c>
      <c r="J118" s="236">
        <f>0</f>
        <v>0</v>
      </c>
    </row>
    <row r="119" spans="1:10" ht="16.5">
      <c r="A119" s="232" t="s">
        <v>4936</v>
      </c>
      <c r="D119" s="232" t="s">
        <v>4935</v>
      </c>
      <c r="I119" s="236">
        <f>0</f>
        <v>0</v>
      </c>
      <c r="J119" s="236">
        <f>0</f>
        <v>0</v>
      </c>
    </row>
    <row r="120" spans="1:10" ht="16.5">
      <c r="A120" s="232" t="s">
        <v>4934</v>
      </c>
      <c r="I120" s="236">
        <f>0</f>
        <v>0</v>
      </c>
      <c r="J120" s="236">
        <f>0</f>
        <v>0</v>
      </c>
    </row>
    <row r="121" spans="1:10" ht="16.5">
      <c r="A121" s="232" t="s">
        <v>4933</v>
      </c>
      <c r="I121" s="236">
        <f>0</f>
        <v>0</v>
      </c>
      <c r="J121" s="236">
        <f>0</f>
        <v>0</v>
      </c>
    </row>
    <row r="122" spans="1:10" ht="16.5">
      <c r="A122" s="232" t="s">
        <v>4932</v>
      </c>
      <c r="I122" s="236">
        <f>0</f>
        <v>0</v>
      </c>
      <c r="J122" s="236">
        <f>0</f>
        <v>0</v>
      </c>
    </row>
    <row r="123" spans="1:10" ht="16.5">
      <c r="A123" s="232" t="s">
        <v>4931</v>
      </c>
      <c r="I123" s="236">
        <f>0</f>
        <v>0</v>
      </c>
      <c r="J123" s="236">
        <f>0</f>
        <v>0</v>
      </c>
    </row>
    <row r="124" spans="1:10" ht="16.5">
      <c r="A124" s="232" t="s">
        <v>4930</v>
      </c>
      <c r="I124" s="236">
        <f>0</f>
        <v>0</v>
      </c>
      <c r="J124" s="236">
        <f>0</f>
        <v>0</v>
      </c>
    </row>
    <row r="125" spans="1:10" ht="16.5">
      <c r="A125" s="232" t="s">
        <v>4929</v>
      </c>
      <c r="I125" s="236">
        <f>0</f>
        <v>0</v>
      </c>
      <c r="J125" s="236">
        <f>0</f>
        <v>0</v>
      </c>
    </row>
    <row r="126" spans="1:10" ht="16.5">
      <c r="A126" s="232" t="s">
        <v>4928</v>
      </c>
      <c r="D126" s="232" t="s">
        <v>4927</v>
      </c>
      <c r="I126" s="236">
        <f>0</f>
        <v>0</v>
      </c>
      <c r="J126" s="236">
        <f>0</f>
        <v>0</v>
      </c>
    </row>
    <row r="127" spans="1:10" ht="16.5">
      <c r="A127" s="232" t="s">
        <v>4926</v>
      </c>
      <c r="I127" s="236">
        <f>0</f>
        <v>0</v>
      </c>
      <c r="J127" s="236">
        <f>0</f>
        <v>0</v>
      </c>
    </row>
    <row r="128" spans="1:10" ht="16.5">
      <c r="A128" s="232" t="s">
        <v>4925</v>
      </c>
      <c r="I128" s="236">
        <f>0</f>
        <v>0</v>
      </c>
      <c r="J128" s="236">
        <f>0</f>
        <v>0</v>
      </c>
    </row>
    <row r="129" spans="1:18" ht="16.5">
      <c r="A129" s="232" t="s">
        <v>4924</v>
      </c>
      <c r="D129" s="232" t="s">
        <v>4923</v>
      </c>
      <c r="I129" s="236">
        <f>0</f>
        <v>0</v>
      </c>
      <c r="J129" s="236">
        <f>0</f>
        <v>0</v>
      </c>
    </row>
    <row r="130" spans="1:18" ht="16.5">
      <c r="A130" s="232" t="s">
        <v>4922</v>
      </c>
      <c r="I130" s="236">
        <f>0</f>
        <v>0</v>
      </c>
      <c r="J130" s="236">
        <f>0</f>
        <v>0</v>
      </c>
    </row>
    <row r="131" spans="1:18" ht="16.5">
      <c r="A131" s="232" t="s">
        <v>4921</v>
      </c>
      <c r="I131" s="236">
        <f>0</f>
        <v>0</v>
      </c>
      <c r="J131" s="236">
        <f>0</f>
        <v>0</v>
      </c>
    </row>
    <row r="132" spans="1:18" ht="16.5">
      <c r="A132" s="232" t="s">
        <v>4920</v>
      </c>
      <c r="I132" s="236">
        <f>0</f>
        <v>0</v>
      </c>
      <c r="J132" s="236">
        <f>0</f>
        <v>0</v>
      </c>
    </row>
    <row r="133" spans="1:18" ht="16.5">
      <c r="D133" s="232" t="s">
        <v>4919</v>
      </c>
      <c r="I133" s="236">
        <f>0</f>
        <v>0</v>
      </c>
      <c r="J133" s="236">
        <f>0</f>
        <v>0</v>
      </c>
    </row>
    <row r="134" spans="1:18" ht="16.5">
      <c r="D134" s="232" t="s">
        <v>4918</v>
      </c>
      <c r="I134" s="236">
        <f>0</f>
        <v>0</v>
      </c>
      <c r="J134" s="236">
        <f>0</f>
        <v>0</v>
      </c>
    </row>
    <row r="135" spans="1:18" ht="16.5">
      <c r="D135" s="232" t="s">
        <v>4917</v>
      </c>
      <c r="I135" s="236">
        <f>0</f>
        <v>0</v>
      </c>
      <c r="J135" s="236">
        <f>0</f>
        <v>0</v>
      </c>
    </row>
    <row r="136" spans="1:18" ht="16.5">
      <c r="I136" s="236">
        <f>0</f>
        <v>0</v>
      </c>
      <c r="J136" s="236">
        <f>0</f>
        <v>0</v>
      </c>
    </row>
    <row r="137" spans="1:18" ht="16.5">
      <c r="I137" s="236">
        <f>0</f>
        <v>0</v>
      </c>
      <c r="J137" s="236">
        <f>0</f>
        <v>0</v>
      </c>
    </row>
    <row r="138" spans="1:18" ht="16.5">
      <c r="I138" s="236">
        <f>0</f>
        <v>0</v>
      </c>
      <c r="J138" s="236">
        <f>0</f>
        <v>0</v>
      </c>
    </row>
    <row r="139" spans="1:18" ht="16.5">
      <c r="I139" s="236">
        <f>0</f>
        <v>0</v>
      </c>
      <c r="J139" s="236">
        <f>0</f>
        <v>0</v>
      </c>
    </row>
    <row r="140" spans="1:18" ht="16.5">
      <c r="I140" s="236">
        <f>0</f>
        <v>0</v>
      </c>
      <c r="J140" s="236">
        <f>0</f>
        <v>0</v>
      </c>
    </row>
    <row r="141" spans="1:18" ht="16.5">
      <c r="I141" s="236">
        <f>0</f>
        <v>0</v>
      </c>
      <c r="J141" s="236">
        <f>0</f>
        <v>0</v>
      </c>
    </row>
    <row r="142" spans="1:18" ht="16.5">
      <c r="I142" s="236">
        <f>0</f>
        <v>0</v>
      </c>
      <c r="J142" s="236">
        <f>0</f>
        <v>0</v>
      </c>
    </row>
    <row r="143" spans="1:18" ht="16.5">
      <c r="I143" s="236">
        <f>0</f>
        <v>0</v>
      </c>
      <c r="J143" s="236">
        <f>0</f>
        <v>0</v>
      </c>
    </row>
    <row r="144" spans="1:18">
      <c r="A144" s="235" t="s">
        <v>4916</v>
      </c>
      <c r="B144" s="235"/>
      <c r="C144" s="235"/>
      <c r="D144" s="235"/>
      <c r="E144" s="235"/>
      <c r="F144" s="234"/>
      <c r="G144" s="234"/>
      <c r="H144" s="234"/>
      <c r="I144" s="234">
        <f>SUM(I2:I143)</f>
        <v>12</v>
      </c>
      <c r="J144" s="234">
        <f>SUM(J2:J143)</f>
        <v>413</v>
      </c>
      <c r="K144" s="234">
        <f t="shared" ref="K144:P144" si="0">COUNTA(K2:K143)</f>
        <v>0</v>
      </c>
      <c r="L144" s="234">
        <f t="shared" si="0"/>
        <v>0</v>
      </c>
      <c r="M144" s="234">
        <f t="shared" si="0"/>
        <v>0</v>
      </c>
      <c r="N144" s="234">
        <f t="shared" si="0"/>
        <v>0</v>
      </c>
      <c r="O144" s="234">
        <f t="shared" si="0"/>
        <v>0</v>
      </c>
      <c r="P144" s="234">
        <f t="shared" si="0"/>
        <v>0</v>
      </c>
      <c r="Q144" s="234"/>
      <c r="R144" s="234">
        <f>COUNTA(R2:R143)</f>
        <v>0</v>
      </c>
    </row>
    <row r="145" spans="9:10">
      <c r="I145" s="233">
        <f>COUNTA(I2:I143)</f>
        <v>142</v>
      </c>
      <c r="J145" s="233">
        <f>COUNTA(J2:J143)</f>
        <v>142</v>
      </c>
    </row>
  </sheetData>
  <autoFilter ref="A1:R142" xr:uid="{040F8C60-5588-48E0-9475-671905ECC466}">
    <sortState xmlns:xlrd2="http://schemas.microsoft.com/office/spreadsheetml/2017/richdata2" ref="A2:R142">
      <sortCondition descending="1" ref="J1:J142"/>
    </sortState>
  </autoFilter>
  <phoneticPr fontId="64"/>
  <conditionalFormatting sqref="J2:J143">
    <cfRule type="colorScale" priority="4">
      <colorScale>
        <cfvo type="min"/>
        <cfvo type="percentile" val="50"/>
        <cfvo type="max"/>
        <color rgb="FFF8696B"/>
        <color rgb="FFFFEB84"/>
        <color rgb="FF63BE7B"/>
      </colorScale>
    </cfRule>
  </conditionalFormatting>
  <conditionalFormatting sqref="I124:I143">
    <cfRule type="colorScale" priority="3">
      <colorScale>
        <cfvo type="min"/>
        <cfvo type="percentile" val="50"/>
        <cfvo type="max"/>
        <color rgb="FFF8696B"/>
        <color rgb="FFFFEB84"/>
        <color rgb="FF63BE7B"/>
      </colorScale>
    </cfRule>
  </conditionalFormatting>
  <conditionalFormatting sqref="I2:I123">
    <cfRule type="colorScale" priority="2">
      <colorScale>
        <cfvo type="min"/>
        <cfvo type="percentile" val="50"/>
        <cfvo type="max"/>
        <color rgb="FFF8696B"/>
        <color rgb="FFFFEB84"/>
        <color rgb="FF63BE7B"/>
      </colorScale>
    </cfRule>
  </conditionalFormatting>
  <conditionalFormatting sqref="I2:I143">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H2:H143" xr:uid="{F5474631-85BE-4927-8502-9DACD6019781}">
      <formula1>"SF0,SF1,SF2,SF3,SF4,SF5,SF6,SF7,SF8,SF9"</formula1>
    </dataValidation>
  </dataValidations>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4.25"/>
  <sheetData/>
  <phoneticPr fontId="1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4.25"/>
  <cols>
    <col min="1" max="1" width="24.5" customWidth="1"/>
    <col min="2" max="2" width="19.5" customWidth="1"/>
    <col min="3" max="3" width="37.5" customWidth="1"/>
  </cols>
  <sheetData>
    <row r="1" spans="1:3" ht="17.25">
      <c r="A1" s="1" t="s">
        <v>0</v>
      </c>
      <c r="B1" s="1" t="s">
        <v>1</v>
      </c>
      <c r="C1" s="1" t="s">
        <v>2</v>
      </c>
    </row>
    <row r="2" spans="1:3" ht="17.25">
      <c r="A2" s="2" t="s">
        <v>3</v>
      </c>
      <c r="B2" s="2" t="s">
        <v>4</v>
      </c>
      <c r="C2" s="2" t="s">
        <v>5</v>
      </c>
    </row>
    <row r="3" spans="1:3" ht="17.25">
      <c r="A3" s="2" t="s">
        <v>6</v>
      </c>
      <c r="B3" s="2">
        <v>360</v>
      </c>
      <c r="C3" s="2" t="s">
        <v>7</v>
      </c>
    </row>
    <row r="4" spans="1:3" ht="17.25">
      <c r="A4" s="2" t="s">
        <v>8</v>
      </c>
      <c r="B4" s="2">
        <v>360</v>
      </c>
      <c r="C4" s="2" t="s">
        <v>9</v>
      </c>
    </row>
    <row r="5" spans="1:3" ht="17.25">
      <c r="A5" s="2" t="s">
        <v>10</v>
      </c>
      <c r="B5" s="2" t="s">
        <v>11</v>
      </c>
      <c r="C5" s="2" t="s">
        <v>12</v>
      </c>
    </row>
    <row r="6" spans="1:3" ht="17.25">
      <c r="A6" s="2" t="s">
        <v>13</v>
      </c>
      <c r="B6" s="2" t="s">
        <v>14</v>
      </c>
      <c r="C6" s="2" t="s">
        <v>15</v>
      </c>
    </row>
    <row r="7" spans="1:3" ht="17.25">
      <c r="A7" s="2" t="s">
        <v>16</v>
      </c>
      <c r="B7" s="2" t="s">
        <v>17</v>
      </c>
      <c r="C7" s="2" t="s">
        <v>18</v>
      </c>
    </row>
    <row r="8" spans="1:3" ht="17.25">
      <c r="A8" s="2" t="s">
        <v>19</v>
      </c>
      <c r="B8" s="2" t="s">
        <v>20</v>
      </c>
      <c r="C8" s="2" t="s">
        <v>21</v>
      </c>
    </row>
    <row r="9" spans="1:3" ht="17.25">
      <c r="A9" s="2" t="s">
        <v>22</v>
      </c>
      <c r="B9" s="2" t="s">
        <v>23</v>
      </c>
      <c r="C9" s="2" t="s">
        <v>24</v>
      </c>
    </row>
    <row r="10" spans="1:3" ht="17.25">
      <c r="A10" s="2" t="s">
        <v>25</v>
      </c>
      <c r="B10" s="2" t="s">
        <v>26</v>
      </c>
      <c r="C10" s="2" t="s">
        <v>27</v>
      </c>
    </row>
    <row r="11" spans="1:3" ht="17.25">
      <c r="A11" s="2" t="s">
        <v>28</v>
      </c>
      <c r="B11" s="2" t="s">
        <v>29</v>
      </c>
      <c r="C11" s="2" t="s">
        <v>30</v>
      </c>
    </row>
    <row r="12" spans="1:3" ht="17.25">
      <c r="A12" s="2" t="s">
        <v>31</v>
      </c>
      <c r="B12" s="2" t="s">
        <v>32</v>
      </c>
      <c r="C12" s="2" t="s">
        <v>33</v>
      </c>
    </row>
    <row r="13" spans="1:3" ht="17.25">
      <c r="A13" s="2" t="s">
        <v>34</v>
      </c>
      <c r="B13" s="2" t="s">
        <v>35</v>
      </c>
      <c r="C13" s="2" t="s">
        <v>36</v>
      </c>
    </row>
    <row r="14" spans="1:3" ht="17.25">
      <c r="A14" s="2" t="s">
        <v>37</v>
      </c>
      <c r="B14" s="2" t="s">
        <v>35</v>
      </c>
      <c r="C14" s="2" t="s">
        <v>38</v>
      </c>
    </row>
    <row r="15" spans="1:3" ht="17.25">
      <c r="A15" s="2" t="s">
        <v>39</v>
      </c>
      <c r="B15" s="2" t="s">
        <v>40</v>
      </c>
      <c r="C15" s="2" t="s">
        <v>41</v>
      </c>
    </row>
    <row r="16" spans="1:3" ht="17.25">
      <c r="A16" s="2" t="s">
        <v>42</v>
      </c>
      <c r="B16" s="2" t="s">
        <v>43</v>
      </c>
      <c r="C16" s="2" t="s">
        <v>44</v>
      </c>
    </row>
    <row r="17" spans="1:3" ht="17.25">
      <c r="A17" s="2" t="s">
        <v>45</v>
      </c>
      <c r="B17" s="2" t="s">
        <v>46</v>
      </c>
      <c r="C17" s="2" t="s">
        <v>47</v>
      </c>
    </row>
    <row r="18" spans="1:3" ht="17.25">
      <c r="A18" s="2" t="s">
        <v>48</v>
      </c>
      <c r="B18" s="2" t="s">
        <v>49</v>
      </c>
      <c r="C18" s="2" t="s">
        <v>50</v>
      </c>
    </row>
    <row r="19" spans="1:3" ht="17.25">
      <c r="A19" s="2" t="s">
        <v>51</v>
      </c>
      <c r="B19" s="2" t="s">
        <v>11</v>
      </c>
      <c r="C19" s="2" t="s">
        <v>52</v>
      </c>
    </row>
    <row r="20" spans="1:3" ht="17.25">
      <c r="A20" s="2" t="s">
        <v>53</v>
      </c>
      <c r="B20" s="2" t="s">
        <v>11</v>
      </c>
      <c r="C20" s="2" t="s">
        <v>54</v>
      </c>
    </row>
    <row r="21" spans="1:3" ht="17.25">
      <c r="A21" s="2" t="s">
        <v>55</v>
      </c>
      <c r="B21" s="2" t="s">
        <v>11</v>
      </c>
      <c r="C21" s="2" t="s">
        <v>56</v>
      </c>
    </row>
    <row r="22" spans="1:3" ht="17.25">
      <c r="A22" s="2" t="s">
        <v>57</v>
      </c>
      <c r="B22" s="2" t="s">
        <v>58</v>
      </c>
      <c r="C22" s="2" t="s">
        <v>59</v>
      </c>
    </row>
    <row r="23" spans="1:3" ht="17.25">
      <c r="A23" s="2" t="s">
        <v>60</v>
      </c>
      <c r="B23" s="2" t="s">
        <v>61</v>
      </c>
      <c r="C23" s="2" t="s">
        <v>62</v>
      </c>
    </row>
    <row r="24" spans="1:3" ht="17.25">
      <c r="A24" s="2" t="s">
        <v>63</v>
      </c>
      <c r="B24" s="2" t="s">
        <v>64</v>
      </c>
      <c r="C24" s="2" t="s">
        <v>65</v>
      </c>
    </row>
    <row r="25" spans="1:3" ht="17.25">
      <c r="A25" s="2" t="s">
        <v>66</v>
      </c>
      <c r="B25" s="2" t="s">
        <v>67</v>
      </c>
      <c r="C25" s="2" t="s">
        <v>68</v>
      </c>
    </row>
    <row r="26" spans="1:3" ht="17.25">
      <c r="A26" s="2" t="s">
        <v>69</v>
      </c>
      <c r="B26" s="2" t="s">
        <v>70</v>
      </c>
      <c r="C26" s="2" t="s">
        <v>71</v>
      </c>
    </row>
    <row r="27" spans="1:3" ht="17.25">
      <c r="A27" s="2" t="s">
        <v>72</v>
      </c>
      <c r="B27" s="2" t="s">
        <v>73</v>
      </c>
      <c r="C27" s="2" t="s">
        <v>74</v>
      </c>
    </row>
    <row r="28" spans="1:3" ht="17.25">
      <c r="A28" s="2" t="s">
        <v>75</v>
      </c>
      <c r="B28" s="2" t="s">
        <v>76</v>
      </c>
      <c r="C28" s="2" t="s">
        <v>77</v>
      </c>
    </row>
    <row r="29" spans="1:3" ht="17.25">
      <c r="A29" s="2" t="s">
        <v>78</v>
      </c>
      <c r="B29" s="2" t="s">
        <v>79</v>
      </c>
      <c r="C29" s="2" t="s">
        <v>80</v>
      </c>
    </row>
    <row r="30" spans="1:3" ht="17.25">
      <c r="A30" s="2" t="s">
        <v>81</v>
      </c>
      <c r="B30" s="2" t="s">
        <v>82</v>
      </c>
      <c r="C30" s="2" t="s">
        <v>83</v>
      </c>
    </row>
    <row r="31" spans="1:3" ht="17.25">
      <c r="A31" s="2" t="s">
        <v>84</v>
      </c>
      <c r="B31" s="2" t="s">
        <v>82</v>
      </c>
      <c r="C31" s="2" t="s">
        <v>85</v>
      </c>
    </row>
    <row r="32" spans="1:3" ht="17.25">
      <c r="A32" s="2" t="s">
        <v>86</v>
      </c>
      <c r="B32" s="2" t="s">
        <v>87</v>
      </c>
      <c r="C32" s="2" t="s">
        <v>88</v>
      </c>
    </row>
    <row r="33" spans="1:3" ht="17.25">
      <c r="A33" s="2" t="s">
        <v>89</v>
      </c>
      <c r="B33" s="2" t="s">
        <v>90</v>
      </c>
      <c r="C33" s="2" t="s">
        <v>91</v>
      </c>
    </row>
    <row r="34" spans="1:3" ht="17.25">
      <c r="A34" s="2" t="s">
        <v>92</v>
      </c>
      <c r="B34" s="2" t="s">
        <v>93</v>
      </c>
      <c r="C34" s="2" t="s">
        <v>94</v>
      </c>
    </row>
    <row r="35" spans="1:3" ht="17.25">
      <c r="A35" s="2" t="s">
        <v>95</v>
      </c>
      <c r="B35" s="2" t="s">
        <v>96</v>
      </c>
      <c r="C35" s="2" t="s">
        <v>97</v>
      </c>
    </row>
    <row r="36" spans="1:3" ht="17.25">
      <c r="A36" s="2" t="s">
        <v>98</v>
      </c>
      <c r="B36" s="2" t="s">
        <v>96</v>
      </c>
      <c r="C36" s="2" t="s">
        <v>99</v>
      </c>
    </row>
    <row r="37" spans="1:3" ht="17.25">
      <c r="A37" s="2" t="s">
        <v>100</v>
      </c>
      <c r="B37" s="2" t="s">
        <v>101</v>
      </c>
      <c r="C37" s="2" t="s">
        <v>102</v>
      </c>
    </row>
    <row r="38" spans="1:3" ht="17.25">
      <c r="A38" s="2" t="s">
        <v>103</v>
      </c>
      <c r="B38" s="2" t="s">
        <v>101</v>
      </c>
      <c r="C38" s="2" t="s">
        <v>104</v>
      </c>
    </row>
    <row r="39" spans="1:3" ht="17.25">
      <c r="A39" s="2" t="s">
        <v>105</v>
      </c>
      <c r="B39" s="2" t="s">
        <v>106</v>
      </c>
      <c r="C39" s="2" t="s">
        <v>107</v>
      </c>
    </row>
    <row r="40" spans="1:3" ht="17.25">
      <c r="A40" s="2" t="s">
        <v>108</v>
      </c>
      <c r="B40" s="2" t="s">
        <v>109</v>
      </c>
      <c r="C40" s="2" t="s">
        <v>110</v>
      </c>
    </row>
    <row r="41" spans="1:3" ht="17.25">
      <c r="A41" s="2" t="s">
        <v>111</v>
      </c>
      <c r="B41" s="2" t="s">
        <v>109</v>
      </c>
      <c r="C41" s="2" t="s">
        <v>112</v>
      </c>
    </row>
    <row r="42" spans="1:3" ht="17.25">
      <c r="A42" s="2" t="s">
        <v>113</v>
      </c>
      <c r="B42" s="2" t="s">
        <v>109</v>
      </c>
      <c r="C42" s="2" t="s">
        <v>110</v>
      </c>
    </row>
    <row r="43" spans="1:3" ht="17.25">
      <c r="A43" s="2" t="s">
        <v>114</v>
      </c>
      <c r="B43" s="2" t="s">
        <v>109</v>
      </c>
      <c r="C43" s="2" t="s">
        <v>115</v>
      </c>
    </row>
    <row r="44" spans="1:3" ht="17.25">
      <c r="A44" s="2" t="s">
        <v>116</v>
      </c>
      <c r="B44" s="2" t="s">
        <v>109</v>
      </c>
      <c r="C44" s="2" t="s">
        <v>117</v>
      </c>
    </row>
    <row r="45" spans="1:3" ht="17.25">
      <c r="A45" s="2" t="s">
        <v>118</v>
      </c>
      <c r="B45" s="2" t="s">
        <v>109</v>
      </c>
      <c r="C45" s="2" t="s">
        <v>119</v>
      </c>
    </row>
    <row r="46" spans="1:3" ht="17.25">
      <c r="A46" s="2" t="s">
        <v>120</v>
      </c>
      <c r="B46" s="2" t="s">
        <v>109</v>
      </c>
      <c r="C46" s="2" t="s">
        <v>121</v>
      </c>
    </row>
    <row r="47" spans="1:3" ht="17.25">
      <c r="A47" s="2" t="s">
        <v>122</v>
      </c>
      <c r="B47" s="2" t="s">
        <v>123</v>
      </c>
      <c r="C47" s="2" t="s">
        <v>124</v>
      </c>
    </row>
    <row r="48" spans="1:3" ht="17.25">
      <c r="A48" s="2" t="s">
        <v>125</v>
      </c>
      <c r="B48" s="2" t="s">
        <v>123</v>
      </c>
      <c r="C48" s="2" t="s">
        <v>126</v>
      </c>
    </row>
    <row r="49" spans="1:3" ht="17.25">
      <c r="A49" s="2" t="s">
        <v>127</v>
      </c>
      <c r="B49" s="2" t="s">
        <v>128</v>
      </c>
      <c r="C49" s="2" t="s">
        <v>129</v>
      </c>
    </row>
    <row r="50" spans="1:3" ht="17.25">
      <c r="A50" s="2" t="s">
        <v>130</v>
      </c>
      <c r="B50" s="2" t="s">
        <v>131</v>
      </c>
      <c r="C50" s="2" t="s">
        <v>132</v>
      </c>
    </row>
    <row r="51" spans="1:3" ht="17.25">
      <c r="A51" s="2" t="s">
        <v>133</v>
      </c>
      <c r="B51" s="2" t="s">
        <v>131</v>
      </c>
      <c r="C51" s="2" t="s">
        <v>134</v>
      </c>
    </row>
    <row r="52" spans="1:3" ht="17.25">
      <c r="A52" s="2" t="s">
        <v>135</v>
      </c>
      <c r="B52" s="2" t="s">
        <v>136</v>
      </c>
      <c r="C52" s="2" t="s">
        <v>137</v>
      </c>
    </row>
    <row r="53" spans="1:3" ht="17.25">
      <c r="A53" s="2" t="s">
        <v>138</v>
      </c>
      <c r="B53" s="2" t="s">
        <v>139</v>
      </c>
      <c r="C53" s="2" t="s">
        <v>140</v>
      </c>
    </row>
    <row r="54" spans="1:3" ht="17.25">
      <c r="A54" s="2" t="s">
        <v>141</v>
      </c>
      <c r="B54" s="2" t="s">
        <v>142</v>
      </c>
      <c r="C54" s="2" t="s">
        <v>143</v>
      </c>
    </row>
    <row r="55" spans="1:3" ht="17.25">
      <c r="A55" s="2" t="s">
        <v>144</v>
      </c>
      <c r="B55" s="2" t="s">
        <v>145</v>
      </c>
      <c r="C55" s="2" t="s">
        <v>146</v>
      </c>
    </row>
    <row r="56" spans="1:3" ht="17.25">
      <c r="A56" s="2" t="s">
        <v>147</v>
      </c>
      <c r="B56" s="2" t="s">
        <v>148</v>
      </c>
      <c r="C56" s="2" t="s">
        <v>149</v>
      </c>
    </row>
    <row r="57" spans="1:3" ht="17.25">
      <c r="A57" s="2" t="s">
        <v>150</v>
      </c>
      <c r="B57" s="2" t="s">
        <v>151</v>
      </c>
      <c r="C57" s="2" t="s">
        <v>152</v>
      </c>
    </row>
    <row r="58" spans="1:3" ht="17.25">
      <c r="A58" s="2" t="s">
        <v>153</v>
      </c>
      <c r="B58" s="2" t="s">
        <v>151</v>
      </c>
      <c r="C58" s="2" t="s">
        <v>154</v>
      </c>
    </row>
    <row r="59" spans="1:3" ht="17.25">
      <c r="A59" s="2" t="s">
        <v>155</v>
      </c>
      <c r="B59" s="2" t="s">
        <v>156</v>
      </c>
      <c r="C59" s="2" t="s">
        <v>157</v>
      </c>
    </row>
    <row r="60" spans="1:3" ht="17.25">
      <c r="A60" s="2" t="s">
        <v>158</v>
      </c>
      <c r="B60" s="2" t="s">
        <v>159</v>
      </c>
      <c r="C60" s="2" t="s">
        <v>160</v>
      </c>
    </row>
    <row r="61" spans="1:3" ht="17.25">
      <c r="A61" s="2" t="s">
        <v>161</v>
      </c>
      <c r="B61" s="2" t="s">
        <v>159</v>
      </c>
      <c r="C61" s="2" t="s">
        <v>162</v>
      </c>
    </row>
    <row r="62" spans="1:3" ht="17.25">
      <c r="A62" s="2" t="s">
        <v>163</v>
      </c>
      <c r="B62" s="2" t="s">
        <v>164</v>
      </c>
      <c r="C62" s="2" t="s">
        <v>165</v>
      </c>
    </row>
    <row r="63" spans="1:3" ht="17.25">
      <c r="A63" s="2" t="s">
        <v>166</v>
      </c>
      <c r="B63" s="2" t="s">
        <v>167</v>
      </c>
      <c r="C63" s="2" t="s">
        <v>168</v>
      </c>
    </row>
    <row r="64" spans="1:3" ht="17.25">
      <c r="A64" s="2" t="s">
        <v>169</v>
      </c>
      <c r="B64" s="2" t="s">
        <v>170</v>
      </c>
      <c r="C64" s="2" t="s">
        <v>171</v>
      </c>
    </row>
    <row r="65" spans="1:3" ht="17.25">
      <c r="A65" s="2" t="s">
        <v>172</v>
      </c>
      <c r="B65" s="2" t="s">
        <v>170</v>
      </c>
      <c r="C65" s="2" t="s">
        <v>173</v>
      </c>
    </row>
    <row r="66" spans="1:3" ht="17.25">
      <c r="A66" s="2" t="s">
        <v>174</v>
      </c>
      <c r="B66" s="2" t="s">
        <v>175</v>
      </c>
      <c r="C66" s="2" t="s">
        <v>176</v>
      </c>
    </row>
    <row r="67" spans="1:3" ht="17.25">
      <c r="A67" s="2" t="s">
        <v>177</v>
      </c>
      <c r="B67" s="2" t="s">
        <v>178</v>
      </c>
      <c r="C67" s="2" t="s">
        <v>179</v>
      </c>
    </row>
    <row r="68" spans="1:3" ht="17.25">
      <c r="A68" s="2" t="s">
        <v>180</v>
      </c>
      <c r="B68" s="2" t="s">
        <v>181</v>
      </c>
      <c r="C68" s="2" t="s">
        <v>182</v>
      </c>
    </row>
    <row r="69" spans="1:3" ht="17.25">
      <c r="A69" s="2" t="s">
        <v>183</v>
      </c>
      <c r="B69" s="2" t="s">
        <v>184</v>
      </c>
      <c r="C69" s="2" t="s">
        <v>185</v>
      </c>
    </row>
    <row r="70" spans="1:3" ht="17.25">
      <c r="A70" s="2" t="s">
        <v>186</v>
      </c>
      <c r="B70" s="2" t="s">
        <v>184</v>
      </c>
      <c r="C70" s="2" t="s">
        <v>187</v>
      </c>
    </row>
    <row r="71" spans="1:3" ht="17.25">
      <c r="A71" s="2" t="s">
        <v>188</v>
      </c>
      <c r="B71" s="2" t="s">
        <v>189</v>
      </c>
      <c r="C71" s="2" t="s">
        <v>190</v>
      </c>
    </row>
    <row r="72" spans="1:3" ht="17.25">
      <c r="A72" s="2" t="s">
        <v>191</v>
      </c>
      <c r="B72" s="2" t="s">
        <v>189</v>
      </c>
      <c r="C72" s="2" t="s">
        <v>192</v>
      </c>
    </row>
    <row r="73" spans="1:3" ht="17.25">
      <c r="A73" s="2" t="s">
        <v>193</v>
      </c>
      <c r="B73" s="2" t="s">
        <v>194</v>
      </c>
      <c r="C73" s="2" t="s">
        <v>195</v>
      </c>
    </row>
    <row r="74" spans="1:3" ht="17.25">
      <c r="A74" s="2" t="s">
        <v>196</v>
      </c>
      <c r="B74" s="2" t="s">
        <v>197</v>
      </c>
      <c r="C74" s="2" t="s">
        <v>198</v>
      </c>
    </row>
    <row r="75" spans="1:3" ht="17.25">
      <c r="A75" s="2" t="s">
        <v>199</v>
      </c>
      <c r="B75" s="2" t="s">
        <v>200</v>
      </c>
      <c r="C75" s="2" t="s">
        <v>201</v>
      </c>
    </row>
    <row r="76" spans="1:3" ht="17.25">
      <c r="A76" s="2" t="s">
        <v>202</v>
      </c>
      <c r="B76" s="2" t="s">
        <v>203</v>
      </c>
      <c r="C76" s="2" t="s">
        <v>204</v>
      </c>
    </row>
    <row r="77" spans="1:3" ht="17.25">
      <c r="A77" s="2" t="s">
        <v>205</v>
      </c>
      <c r="B77" s="2" t="s">
        <v>206</v>
      </c>
      <c r="C77" s="2" t="s">
        <v>207</v>
      </c>
    </row>
    <row r="78" spans="1:3" ht="17.25">
      <c r="A78" s="2" t="s">
        <v>208</v>
      </c>
      <c r="B78" s="2" t="s">
        <v>206</v>
      </c>
      <c r="C78" s="2" t="s">
        <v>209</v>
      </c>
    </row>
    <row r="79" spans="1:3" ht="17.25">
      <c r="A79" s="2" t="s">
        <v>210</v>
      </c>
      <c r="B79" s="2" t="s">
        <v>206</v>
      </c>
      <c r="C79" s="2" t="s">
        <v>211</v>
      </c>
    </row>
    <row r="80" spans="1:3" ht="17.25">
      <c r="A80" s="2" t="s">
        <v>212</v>
      </c>
      <c r="B80" s="2" t="s">
        <v>213</v>
      </c>
      <c r="C80" s="2" t="s">
        <v>214</v>
      </c>
    </row>
    <row r="81" spans="1:3" ht="17.25">
      <c r="A81" s="2" t="s">
        <v>215</v>
      </c>
      <c r="B81" s="2" t="s">
        <v>216</v>
      </c>
      <c r="C81" s="2" t="s">
        <v>217</v>
      </c>
    </row>
    <row r="82" spans="1:3" ht="17.25">
      <c r="A82" s="2" t="s">
        <v>218</v>
      </c>
      <c r="B82" s="2" t="s">
        <v>219</v>
      </c>
      <c r="C82" s="2" t="s">
        <v>220</v>
      </c>
    </row>
    <row r="83" spans="1:3" ht="17.25">
      <c r="A83" s="2" t="s">
        <v>221</v>
      </c>
      <c r="B83" s="2" t="s">
        <v>222</v>
      </c>
      <c r="C83" s="2" t="s">
        <v>223</v>
      </c>
    </row>
    <row r="84" spans="1:3" ht="17.25">
      <c r="A84" s="2" t="s">
        <v>224</v>
      </c>
      <c r="B84" s="2" t="s">
        <v>225</v>
      </c>
      <c r="C84" s="2" t="s">
        <v>226</v>
      </c>
    </row>
    <row r="85" spans="1:3" ht="17.25">
      <c r="A85" s="2" t="s">
        <v>227</v>
      </c>
      <c r="B85" s="2" t="s">
        <v>228</v>
      </c>
      <c r="C85" s="2" t="s">
        <v>229</v>
      </c>
    </row>
    <row r="86" spans="1:3" ht="17.25">
      <c r="A86" s="2" t="s">
        <v>230</v>
      </c>
      <c r="B86" s="2" t="s">
        <v>231</v>
      </c>
      <c r="C86" s="2" t="s">
        <v>232</v>
      </c>
    </row>
    <row r="87" spans="1:3" ht="17.25">
      <c r="A87" s="2" t="s">
        <v>233</v>
      </c>
      <c r="B87" s="2" t="s">
        <v>234</v>
      </c>
      <c r="C87" s="2" t="s">
        <v>235</v>
      </c>
    </row>
    <row r="88" spans="1:3" ht="17.25">
      <c r="A88" s="2" t="s">
        <v>236</v>
      </c>
      <c r="B88" s="2" t="s">
        <v>234</v>
      </c>
      <c r="C88" s="2" t="s">
        <v>237</v>
      </c>
    </row>
    <row r="89" spans="1:3" ht="17.25">
      <c r="A89" s="2" t="s">
        <v>238</v>
      </c>
      <c r="B89" s="2" t="s">
        <v>234</v>
      </c>
      <c r="C89" s="2" t="s">
        <v>239</v>
      </c>
    </row>
    <row r="90" spans="1:3" ht="17.25">
      <c r="A90" s="2" t="s">
        <v>240</v>
      </c>
      <c r="B90" s="2" t="s">
        <v>234</v>
      </c>
      <c r="C90" s="2" t="s">
        <v>241</v>
      </c>
    </row>
    <row r="91" spans="1:3" ht="17.25">
      <c r="A91" s="2" t="s">
        <v>242</v>
      </c>
      <c r="B91" s="2" t="s">
        <v>243</v>
      </c>
      <c r="C91" s="2" t="s">
        <v>244</v>
      </c>
    </row>
    <row r="92" spans="1:3" ht="17.25">
      <c r="A92" s="2" t="s">
        <v>245</v>
      </c>
      <c r="B92" s="2" t="s">
        <v>246</v>
      </c>
      <c r="C92" s="2" t="s">
        <v>247</v>
      </c>
    </row>
    <row r="93" spans="1:3" ht="17.25">
      <c r="A93" s="2" t="s">
        <v>245</v>
      </c>
      <c r="B93" s="2" t="s">
        <v>248</v>
      </c>
      <c r="C93" s="2" t="s">
        <v>249</v>
      </c>
    </row>
    <row r="94" spans="1:3" ht="17.25">
      <c r="A94" s="2" t="s">
        <v>250</v>
      </c>
      <c r="B94" s="2" t="s">
        <v>251</v>
      </c>
      <c r="C94" s="2" t="s">
        <v>252</v>
      </c>
    </row>
    <row r="95" spans="1:3" ht="17.25">
      <c r="A95" s="2" t="s">
        <v>253</v>
      </c>
      <c r="B95" s="2" t="s">
        <v>251</v>
      </c>
      <c r="C95" s="2" t="s">
        <v>254</v>
      </c>
    </row>
    <row r="96" spans="1:3" ht="17.25">
      <c r="A96" s="2" t="s">
        <v>255</v>
      </c>
      <c r="B96" s="2" t="s">
        <v>256</v>
      </c>
      <c r="C96" s="2" t="s">
        <v>257</v>
      </c>
    </row>
    <row r="97" spans="1:3" ht="17.25">
      <c r="A97" s="2" t="s">
        <v>258</v>
      </c>
      <c r="B97" s="2" t="s">
        <v>259</v>
      </c>
      <c r="C97" s="2" t="s">
        <v>260</v>
      </c>
    </row>
    <row r="98" spans="1:3" ht="17.25">
      <c r="A98" s="2" t="s">
        <v>261</v>
      </c>
      <c r="B98" s="2" t="s">
        <v>262</v>
      </c>
      <c r="C98" s="2" t="s">
        <v>263</v>
      </c>
    </row>
    <row r="99" spans="1:3" ht="17.25">
      <c r="A99" s="2" t="s">
        <v>264</v>
      </c>
      <c r="B99" s="2" t="s">
        <v>265</v>
      </c>
      <c r="C99" s="2" t="s">
        <v>266</v>
      </c>
    </row>
    <row r="100" spans="1:3" ht="17.25">
      <c r="A100" s="2" t="s">
        <v>267</v>
      </c>
      <c r="B100" s="2" t="s">
        <v>268</v>
      </c>
      <c r="C100" s="2" t="s">
        <v>269</v>
      </c>
    </row>
    <row r="101" spans="1:3" ht="17.25">
      <c r="A101" s="2" t="s">
        <v>270</v>
      </c>
      <c r="B101" s="2" t="s">
        <v>271</v>
      </c>
      <c r="C101" s="2" t="s">
        <v>272</v>
      </c>
    </row>
    <row r="102" spans="1:3" ht="17.25">
      <c r="A102" s="2" t="s">
        <v>273</v>
      </c>
      <c r="B102" s="2" t="s">
        <v>274</v>
      </c>
      <c r="C102" s="2" t="s">
        <v>275</v>
      </c>
    </row>
    <row r="103" spans="1:3" ht="17.25">
      <c r="A103" s="2" t="s">
        <v>276</v>
      </c>
      <c r="B103" s="2" t="s">
        <v>274</v>
      </c>
      <c r="C103" s="2" t="s">
        <v>277</v>
      </c>
    </row>
    <row r="104" spans="1:3" ht="17.25">
      <c r="A104" s="2" t="s">
        <v>278</v>
      </c>
      <c r="B104" s="2" t="s">
        <v>274</v>
      </c>
      <c r="C104" s="2" t="s">
        <v>279</v>
      </c>
    </row>
    <row r="105" spans="1:3" ht="17.25">
      <c r="A105" s="2" t="s">
        <v>280</v>
      </c>
      <c r="B105" s="2" t="s">
        <v>281</v>
      </c>
      <c r="C105" s="2" t="s">
        <v>282</v>
      </c>
    </row>
    <row r="106" spans="1:3" ht="17.25">
      <c r="A106" s="2" t="s">
        <v>283</v>
      </c>
      <c r="B106" s="2" t="s">
        <v>284</v>
      </c>
      <c r="C106" s="2" t="s">
        <v>285</v>
      </c>
    </row>
    <row r="107" spans="1:3" ht="17.25">
      <c r="A107" s="2" t="s">
        <v>286</v>
      </c>
      <c r="B107" s="2" t="s">
        <v>284</v>
      </c>
      <c r="C107" s="2" t="s">
        <v>287</v>
      </c>
    </row>
    <row r="108" spans="1:3" ht="17.25">
      <c r="A108" s="2" t="s">
        <v>288</v>
      </c>
      <c r="B108" s="2" t="s">
        <v>284</v>
      </c>
      <c r="C108" s="2" t="s">
        <v>289</v>
      </c>
    </row>
    <row r="109" spans="1:3" ht="17.25">
      <c r="A109" s="2" t="s">
        <v>290</v>
      </c>
      <c r="B109" s="2" t="s">
        <v>284</v>
      </c>
      <c r="C109" s="2" t="s">
        <v>291</v>
      </c>
    </row>
    <row r="110" spans="1:3" ht="17.25">
      <c r="A110" s="2" t="s">
        <v>292</v>
      </c>
      <c r="B110" s="2" t="s">
        <v>284</v>
      </c>
      <c r="C110" s="2" t="s">
        <v>293</v>
      </c>
    </row>
    <row r="111" spans="1:3" ht="17.25">
      <c r="A111" s="2" t="s">
        <v>294</v>
      </c>
      <c r="B111" s="2" t="s">
        <v>295</v>
      </c>
      <c r="C111" s="2" t="s">
        <v>296</v>
      </c>
    </row>
    <row r="112" spans="1:3" ht="17.25">
      <c r="A112" s="2" t="s">
        <v>297</v>
      </c>
      <c r="B112" s="2" t="s">
        <v>298</v>
      </c>
      <c r="C112" s="2" t="s">
        <v>299</v>
      </c>
    </row>
    <row r="113" spans="1:3" ht="17.25">
      <c r="A113" s="2" t="s">
        <v>300</v>
      </c>
      <c r="B113" s="2" t="s">
        <v>301</v>
      </c>
      <c r="C113" s="2" t="s">
        <v>302</v>
      </c>
    </row>
    <row r="114" spans="1:3" ht="17.25">
      <c r="A114" s="2" t="s">
        <v>303</v>
      </c>
      <c r="B114" s="2" t="s">
        <v>304</v>
      </c>
      <c r="C114" s="2" t="s">
        <v>305</v>
      </c>
    </row>
    <row r="115" spans="1:3" ht="17.25">
      <c r="A115" s="2" t="s">
        <v>306</v>
      </c>
      <c r="B115" s="2" t="s">
        <v>307</v>
      </c>
      <c r="C115" s="2" t="s">
        <v>308</v>
      </c>
    </row>
    <row r="116" spans="1:3" ht="17.25">
      <c r="A116" s="3" t="s">
        <v>309</v>
      </c>
      <c r="B116" s="3" t="s">
        <v>310</v>
      </c>
      <c r="C116" s="2" t="s">
        <v>311</v>
      </c>
    </row>
    <row r="117" spans="1:3" ht="17.25">
      <c r="A117" s="3" t="s">
        <v>312</v>
      </c>
      <c r="B117" s="3" t="s">
        <v>313</v>
      </c>
      <c r="C117" s="2" t="s">
        <v>314</v>
      </c>
    </row>
    <row r="118" spans="1:3" ht="17.25">
      <c r="A118" s="3" t="s">
        <v>315</v>
      </c>
      <c r="B118" s="3" t="s">
        <v>313</v>
      </c>
      <c r="C118" s="2" t="s">
        <v>316</v>
      </c>
    </row>
    <row r="119" spans="1:3" ht="17.25">
      <c r="A119" s="3" t="s">
        <v>317</v>
      </c>
      <c r="B119" s="3" t="s">
        <v>318</v>
      </c>
      <c r="C119" s="2" t="s">
        <v>319</v>
      </c>
    </row>
    <row r="120" spans="1:3" ht="17.25">
      <c r="A120" s="3" t="s">
        <v>320</v>
      </c>
      <c r="B120" s="3" t="s">
        <v>318</v>
      </c>
      <c r="C120" s="2" t="s">
        <v>321</v>
      </c>
    </row>
    <row r="121" spans="1:3" ht="17.25">
      <c r="A121" s="3" t="s">
        <v>322</v>
      </c>
      <c r="B121" s="3" t="s">
        <v>323</v>
      </c>
      <c r="C121" s="2" t="s">
        <v>324</v>
      </c>
    </row>
    <row r="122" spans="1:3" ht="17.25">
      <c r="A122" s="3" t="s">
        <v>325</v>
      </c>
      <c r="B122" s="3" t="s">
        <v>326</v>
      </c>
      <c r="C122" s="2" t="s">
        <v>327</v>
      </c>
    </row>
    <row r="123" spans="1:3" ht="17.25">
      <c r="A123" s="3" t="s">
        <v>328</v>
      </c>
      <c r="B123" s="3" t="s">
        <v>194</v>
      </c>
      <c r="C123" s="2" t="s">
        <v>329</v>
      </c>
    </row>
    <row r="124" spans="1:3" ht="17.25">
      <c r="A124" s="3" t="s">
        <v>330</v>
      </c>
      <c r="B124" s="3" t="s">
        <v>194</v>
      </c>
      <c r="C124" s="2" t="s">
        <v>331</v>
      </c>
    </row>
    <row r="125" spans="1:3" ht="17.25">
      <c r="A125" s="3" t="s">
        <v>332</v>
      </c>
      <c r="B125" s="3" t="s">
        <v>67</v>
      </c>
      <c r="C125" s="2" t="s">
        <v>333</v>
      </c>
    </row>
    <row r="126" spans="1:3" ht="17.25">
      <c r="A126" s="3" t="s">
        <v>334</v>
      </c>
      <c r="B126" s="3" t="s">
        <v>67</v>
      </c>
      <c r="C126" s="2" t="s">
        <v>335</v>
      </c>
    </row>
    <row r="127" spans="1:3" ht="17.25">
      <c r="A127" s="3" t="s">
        <v>336</v>
      </c>
      <c r="B127" s="3" t="s">
        <v>67</v>
      </c>
      <c r="C127" s="2" t="s">
        <v>337</v>
      </c>
    </row>
    <row r="128" spans="1:3" ht="17.25">
      <c r="A128" s="3" t="s">
        <v>338</v>
      </c>
      <c r="B128" s="3" t="s">
        <v>67</v>
      </c>
      <c r="C128" s="2" t="s">
        <v>339</v>
      </c>
    </row>
    <row r="129" spans="1:3" ht="17.25">
      <c r="A129" s="3" t="s">
        <v>340</v>
      </c>
      <c r="B129" s="3" t="s">
        <v>341</v>
      </c>
      <c r="C129" s="2" t="s">
        <v>342</v>
      </c>
    </row>
    <row r="130" spans="1:3" ht="17.25">
      <c r="A130" s="3" t="s">
        <v>343</v>
      </c>
      <c r="B130" s="3" t="s">
        <v>344</v>
      </c>
      <c r="C130" s="2" t="s">
        <v>345</v>
      </c>
    </row>
    <row r="131" spans="1:3" ht="17.25">
      <c r="A131" s="3" t="s">
        <v>218</v>
      </c>
      <c r="B131" s="3" t="s">
        <v>344</v>
      </c>
      <c r="C131" s="2" t="s">
        <v>220</v>
      </c>
    </row>
    <row r="132" spans="1:3" ht="17.25">
      <c r="A132" s="3" t="s">
        <v>346</v>
      </c>
      <c r="B132" s="3" t="s">
        <v>344</v>
      </c>
      <c r="C132" s="2" t="s">
        <v>347</v>
      </c>
    </row>
    <row r="133" spans="1:3" ht="17.25">
      <c r="A133" s="3" t="s">
        <v>348</v>
      </c>
      <c r="B133" s="3" t="s">
        <v>349</v>
      </c>
      <c r="C133" s="2" t="s">
        <v>350</v>
      </c>
    </row>
    <row r="134" spans="1:3" ht="17.25">
      <c r="A134" s="3" t="s">
        <v>351</v>
      </c>
      <c r="B134" s="3" t="s">
        <v>349</v>
      </c>
      <c r="C134" s="2" t="s">
        <v>352</v>
      </c>
    </row>
    <row r="135" spans="1:3" ht="17.25">
      <c r="A135" s="3" t="s">
        <v>353</v>
      </c>
      <c r="B135" s="3" t="s">
        <v>349</v>
      </c>
      <c r="C135" s="2" t="s">
        <v>354</v>
      </c>
    </row>
    <row r="136" spans="1:3" ht="17.25">
      <c r="A136" s="3" t="s">
        <v>355</v>
      </c>
      <c r="B136" s="3" t="s">
        <v>349</v>
      </c>
      <c r="C136" s="2" t="s">
        <v>356</v>
      </c>
    </row>
    <row r="137" spans="1:3" ht="17.25">
      <c r="A137" s="3" t="s">
        <v>357</v>
      </c>
      <c r="B137" s="3" t="s">
        <v>349</v>
      </c>
      <c r="C137" s="2" t="s">
        <v>358</v>
      </c>
    </row>
    <row r="138" spans="1:3" ht="17.25">
      <c r="A138" s="3" t="s">
        <v>359</v>
      </c>
      <c r="B138" s="3" t="s">
        <v>101</v>
      </c>
      <c r="C138" s="2" t="s">
        <v>360</v>
      </c>
    </row>
    <row r="139" spans="1:3" ht="17.25">
      <c r="A139" s="3" t="s">
        <v>361</v>
      </c>
      <c r="B139" s="3" t="s">
        <v>101</v>
      </c>
      <c r="C139" s="2" t="s">
        <v>362</v>
      </c>
    </row>
    <row r="140" spans="1:3" ht="17.25">
      <c r="A140" s="3" t="s">
        <v>363</v>
      </c>
      <c r="B140" s="3" t="s">
        <v>364</v>
      </c>
      <c r="C140" s="2" t="s">
        <v>365</v>
      </c>
    </row>
    <row r="141" spans="1:3" ht="17.25">
      <c r="A141" s="3" t="s">
        <v>366</v>
      </c>
      <c r="B141" s="3" t="s">
        <v>367</v>
      </c>
      <c r="C141" s="2" t="s">
        <v>368</v>
      </c>
    </row>
    <row r="142" spans="1:3" ht="17.25">
      <c r="A142" s="3" t="s">
        <v>369</v>
      </c>
      <c r="B142" s="3" t="s">
        <v>367</v>
      </c>
      <c r="C142" s="2" t="s">
        <v>370</v>
      </c>
    </row>
    <row r="143" spans="1:3" ht="17.25">
      <c r="A143" s="3" t="s">
        <v>371</v>
      </c>
      <c r="B143" s="3" t="s">
        <v>372</v>
      </c>
      <c r="C143" s="2" t="s">
        <v>373</v>
      </c>
    </row>
    <row r="144" spans="1:3" ht="17.25">
      <c r="A144" s="3" t="s">
        <v>374</v>
      </c>
      <c r="B144" s="3" t="s">
        <v>372</v>
      </c>
      <c r="C144" s="2" t="s">
        <v>373</v>
      </c>
    </row>
    <row r="145" spans="1:3" ht="17.25">
      <c r="A145" s="3" t="s">
        <v>375</v>
      </c>
      <c r="B145" s="3" t="s">
        <v>376</v>
      </c>
      <c r="C145" s="2" t="s">
        <v>377</v>
      </c>
    </row>
    <row r="146" spans="1:3" ht="17.25">
      <c r="A146" s="3" t="s">
        <v>378</v>
      </c>
      <c r="B146" s="3" t="s">
        <v>376</v>
      </c>
      <c r="C146" s="2" t="s">
        <v>379</v>
      </c>
    </row>
    <row r="147" spans="1:3" ht="17.25">
      <c r="A147" s="3" t="s">
        <v>380</v>
      </c>
      <c r="B147" s="3" t="s">
        <v>376</v>
      </c>
      <c r="C147" s="2" t="s">
        <v>381</v>
      </c>
    </row>
    <row r="148" spans="1:3" ht="17.25">
      <c r="A148" s="3" t="s">
        <v>382</v>
      </c>
      <c r="B148" s="3" t="s">
        <v>376</v>
      </c>
      <c r="C148" s="2" t="s">
        <v>383</v>
      </c>
    </row>
    <row r="149" spans="1:3" ht="17.25">
      <c r="A149" s="3" t="s">
        <v>384</v>
      </c>
      <c r="B149" s="3" t="s">
        <v>90</v>
      </c>
      <c r="C149" s="2" t="s">
        <v>385</v>
      </c>
    </row>
    <row r="150" spans="1:3" ht="17.25">
      <c r="A150" s="3" t="s">
        <v>95</v>
      </c>
      <c r="B150" s="3" t="s">
        <v>386</v>
      </c>
      <c r="C150" s="2" t="s">
        <v>387</v>
      </c>
    </row>
    <row r="151" spans="1:3" ht="17.25">
      <c r="A151" s="3" t="s">
        <v>388</v>
      </c>
      <c r="B151" s="3" t="s">
        <v>386</v>
      </c>
      <c r="C151" s="2" t="s">
        <v>389</v>
      </c>
    </row>
    <row r="152" spans="1:3" ht="17.25">
      <c r="A152" s="3" t="s">
        <v>390</v>
      </c>
      <c r="B152" s="3" t="s">
        <v>386</v>
      </c>
      <c r="C152" s="2" t="s">
        <v>391</v>
      </c>
    </row>
    <row r="153" spans="1:3" ht="17.25">
      <c r="A153" s="3" t="s">
        <v>392</v>
      </c>
      <c r="B153" s="3" t="s">
        <v>386</v>
      </c>
      <c r="C153" s="2" t="s">
        <v>393</v>
      </c>
    </row>
    <row r="154" spans="1:3" ht="17.25">
      <c r="A154" s="3" t="s">
        <v>394</v>
      </c>
      <c r="B154" s="3" t="s">
        <v>395</v>
      </c>
      <c r="C154" s="2" t="s">
        <v>396</v>
      </c>
    </row>
    <row r="155" spans="1:3" ht="17.25">
      <c r="A155" s="3"/>
      <c r="B155" s="3" t="s">
        <v>395</v>
      </c>
      <c r="C155" s="2" t="s">
        <v>397</v>
      </c>
    </row>
    <row r="156" spans="1:3" ht="17.25">
      <c r="A156" s="3" t="s">
        <v>398</v>
      </c>
      <c r="B156" s="3" t="s">
        <v>399</v>
      </c>
      <c r="C156" s="2" t="s">
        <v>400</v>
      </c>
    </row>
    <row r="157" spans="1:3" ht="17.25">
      <c r="A157" s="3" t="s">
        <v>401</v>
      </c>
      <c r="B157" s="3" t="s">
        <v>399</v>
      </c>
      <c r="C157" s="2" t="s">
        <v>402</v>
      </c>
    </row>
    <row r="158" spans="1:3" ht="17.25">
      <c r="A158" s="3" t="s">
        <v>403</v>
      </c>
      <c r="B158" s="3" t="s">
        <v>404</v>
      </c>
      <c r="C158" s="2" t="s">
        <v>405</v>
      </c>
    </row>
    <row r="159" spans="1:3" ht="17.25">
      <c r="A159" s="3"/>
      <c r="B159" s="3" t="s">
        <v>406</v>
      </c>
      <c r="C159" s="2" t="s">
        <v>407</v>
      </c>
    </row>
    <row r="160" spans="1:3" ht="17.25">
      <c r="A160" s="3" t="s">
        <v>408</v>
      </c>
      <c r="B160" s="3" t="s">
        <v>231</v>
      </c>
      <c r="C160" s="2" t="s">
        <v>409</v>
      </c>
    </row>
    <row r="161" spans="1:3" ht="17.25">
      <c r="A161" s="3" t="s">
        <v>410</v>
      </c>
      <c r="B161" s="3" t="s">
        <v>231</v>
      </c>
      <c r="C161" s="2" t="s">
        <v>411</v>
      </c>
    </row>
    <row r="162" spans="1:3" ht="17.25">
      <c r="A162" s="3" t="s">
        <v>412</v>
      </c>
      <c r="B162" s="3" t="s">
        <v>231</v>
      </c>
      <c r="C162" s="2" t="s">
        <v>413</v>
      </c>
    </row>
    <row r="163" spans="1:3" ht="17.25">
      <c r="A163" s="3" t="s">
        <v>414</v>
      </c>
      <c r="B163" s="3" t="s">
        <v>231</v>
      </c>
      <c r="C163" s="2" t="s">
        <v>415</v>
      </c>
    </row>
    <row r="164" spans="1:3" ht="17.25">
      <c r="A164" s="3" t="s">
        <v>416</v>
      </c>
      <c r="B164" s="3" t="s">
        <v>417</v>
      </c>
      <c r="C164" s="2" t="s">
        <v>418</v>
      </c>
    </row>
    <row r="165" spans="1:3" ht="17.25">
      <c r="A165" s="3" t="s">
        <v>419</v>
      </c>
      <c r="B165" s="3" t="s">
        <v>417</v>
      </c>
      <c r="C165" s="2" t="s">
        <v>420</v>
      </c>
    </row>
    <row r="166" spans="1:3" ht="17.25">
      <c r="A166" s="3" t="s">
        <v>421</v>
      </c>
      <c r="B166" s="3" t="s">
        <v>417</v>
      </c>
      <c r="C166" s="2" t="s">
        <v>422</v>
      </c>
    </row>
    <row r="167" spans="1:3" ht="17.25">
      <c r="A167" s="3"/>
      <c r="B167" s="3" t="s">
        <v>417</v>
      </c>
      <c r="C167" s="2" t="s">
        <v>423</v>
      </c>
    </row>
    <row r="168" spans="1:3" ht="17.25">
      <c r="A168" s="3" t="s">
        <v>424</v>
      </c>
      <c r="B168" s="3" t="s">
        <v>417</v>
      </c>
      <c r="C168" s="2" t="s">
        <v>425</v>
      </c>
    </row>
    <row r="169" spans="1:3" ht="17.25">
      <c r="A169" s="3" t="s">
        <v>426</v>
      </c>
      <c r="B169" s="3" t="s">
        <v>417</v>
      </c>
      <c r="C169" s="2" t="s">
        <v>427</v>
      </c>
    </row>
    <row r="170" spans="1:3" ht="17.25">
      <c r="A170" s="3" t="s">
        <v>428</v>
      </c>
      <c r="B170" s="3" t="s">
        <v>429</v>
      </c>
      <c r="C170" s="2" t="s">
        <v>430</v>
      </c>
    </row>
    <row r="171" spans="1:3" ht="17.25">
      <c r="A171" s="3" t="s">
        <v>431</v>
      </c>
      <c r="B171" s="3" t="s">
        <v>432</v>
      </c>
      <c r="C171" s="2" t="s">
        <v>433</v>
      </c>
    </row>
    <row r="172" spans="1:3" ht="17.25">
      <c r="A172" s="3" t="s">
        <v>434</v>
      </c>
      <c r="B172" s="3" t="s">
        <v>432</v>
      </c>
      <c r="C172" s="2" t="s">
        <v>435</v>
      </c>
    </row>
    <row r="173" spans="1:3" ht="17.25">
      <c r="A173" s="3" t="s">
        <v>436</v>
      </c>
      <c r="B173" s="3" t="s">
        <v>432</v>
      </c>
      <c r="C173" s="2" t="s">
        <v>437</v>
      </c>
    </row>
    <row r="174" spans="1:3" ht="17.25">
      <c r="A174" s="3" t="s">
        <v>438</v>
      </c>
      <c r="B174" s="3" t="s">
        <v>432</v>
      </c>
      <c r="C174" s="2" t="s">
        <v>439</v>
      </c>
    </row>
    <row r="175" spans="1:3" ht="17.25">
      <c r="A175" s="3" t="s">
        <v>440</v>
      </c>
      <c r="B175" s="3" t="s">
        <v>159</v>
      </c>
      <c r="C175" s="2" t="s">
        <v>441</v>
      </c>
    </row>
    <row r="176" spans="1:3" ht="17.25">
      <c r="A176" s="3" t="s">
        <v>442</v>
      </c>
      <c r="B176" s="3" t="s">
        <v>159</v>
      </c>
      <c r="C176" s="2" t="s">
        <v>443</v>
      </c>
    </row>
    <row r="177" spans="1:3" ht="17.25">
      <c r="A177" s="3" t="s">
        <v>444</v>
      </c>
      <c r="B177" s="3" t="s">
        <v>159</v>
      </c>
      <c r="C177" s="2" t="s">
        <v>445</v>
      </c>
    </row>
    <row r="178" spans="1:3" ht="17.25">
      <c r="A178" s="3" t="s">
        <v>446</v>
      </c>
      <c r="B178" s="3" t="s">
        <v>159</v>
      </c>
      <c r="C178" s="2" t="s">
        <v>447</v>
      </c>
    </row>
    <row r="179" spans="1:3" ht="17.25">
      <c r="A179" s="3" t="s">
        <v>448</v>
      </c>
      <c r="B179" s="3" t="s">
        <v>159</v>
      </c>
      <c r="C179" s="2" t="s">
        <v>449</v>
      </c>
    </row>
    <row r="180" spans="1:3" ht="17.25">
      <c r="A180" s="3" t="s">
        <v>450</v>
      </c>
      <c r="B180" s="3" t="s">
        <v>159</v>
      </c>
      <c r="C180" s="2" t="s">
        <v>451</v>
      </c>
    </row>
    <row r="181" spans="1:3" ht="17.25">
      <c r="A181" s="3"/>
      <c r="B181" s="3" t="s">
        <v>159</v>
      </c>
      <c r="C181" s="2" t="s">
        <v>452</v>
      </c>
    </row>
    <row r="182" spans="1:3" ht="17.25">
      <c r="A182" s="3" t="s">
        <v>453</v>
      </c>
      <c r="B182" s="3" t="s">
        <v>159</v>
      </c>
      <c r="C182" s="2" t="s">
        <v>454</v>
      </c>
    </row>
    <row r="183" spans="1:3" ht="17.25">
      <c r="A183" s="3" t="s">
        <v>455</v>
      </c>
      <c r="B183" s="3" t="s">
        <v>159</v>
      </c>
      <c r="C183" s="2" t="s">
        <v>456</v>
      </c>
    </row>
    <row r="184" spans="1:3" ht="17.25">
      <c r="A184" s="3" t="s">
        <v>457</v>
      </c>
      <c r="B184" s="3" t="s">
        <v>458</v>
      </c>
      <c r="C184" s="2" t="s">
        <v>459</v>
      </c>
    </row>
    <row r="185" spans="1:3" ht="17.25">
      <c r="A185" s="3" t="s">
        <v>460</v>
      </c>
      <c r="B185" s="3" t="s">
        <v>461</v>
      </c>
      <c r="C185" s="2" t="s">
        <v>462</v>
      </c>
    </row>
    <row r="186" spans="1:3" ht="17.25">
      <c r="A186" s="3" t="s">
        <v>463</v>
      </c>
      <c r="B186" s="3" t="s">
        <v>461</v>
      </c>
      <c r="C186" s="2" t="s">
        <v>464</v>
      </c>
    </row>
    <row r="187" spans="1:3" ht="17.25">
      <c r="A187" s="3" t="s">
        <v>465</v>
      </c>
      <c r="B187" s="3" t="s">
        <v>461</v>
      </c>
      <c r="C187" s="2" t="s">
        <v>466</v>
      </c>
    </row>
    <row r="188" spans="1:3" ht="17.25">
      <c r="A188" s="3" t="s">
        <v>467</v>
      </c>
      <c r="B188" s="3" t="s">
        <v>461</v>
      </c>
      <c r="C188" s="2" t="s">
        <v>468</v>
      </c>
    </row>
    <row r="189" spans="1:3" ht="17.25">
      <c r="A189" s="3" t="s">
        <v>469</v>
      </c>
      <c r="B189" s="3" t="s">
        <v>470</v>
      </c>
      <c r="C189" s="2" t="s">
        <v>471</v>
      </c>
    </row>
    <row r="190" spans="1:3" ht="17.25">
      <c r="A190" s="3" t="s">
        <v>472</v>
      </c>
      <c r="B190" s="3" t="s">
        <v>470</v>
      </c>
      <c r="C190" s="2" t="s">
        <v>473</v>
      </c>
    </row>
    <row r="191" spans="1:3" ht="17.25">
      <c r="A191" s="3" t="s">
        <v>474</v>
      </c>
      <c r="B191" s="3" t="s">
        <v>470</v>
      </c>
      <c r="C191" s="2" t="s">
        <v>475</v>
      </c>
    </row>
    <row r="192" spans="1:3" ht="17.25">
      <c r="A192" s="3" t="s">
        <v>476</v>
      </c>
      <c r="B192" s="3" t="s">
        <v>470</v>
      </c>
      <c r="C192" s="2" t="s">
        <v>477</v>
      </c>
    </row>
    <row r="193" spans="1:3" ht="17.25">
      <c r="A193" s="3"/>
      <c r="B193" s="3" t="s">
        <v>470</v>
      </c>
      <c r="C193" s="2" t="s">
        <v>478</v>
      </c>
    </row>
    <row r="194" spans="1:3" ht="17.25">
      <c r="A194" s="3" t="s">
        <v>479</v>
      </c>
      <c r="B194" s="3" t="s">
        <v>470</v>
      </c>
      <c r="C194" s="2" t="s">
        <v>480</v>
      </c>
    </row>
    <row r="195" spans="1:3" ht="17.25">
      <c r="A195" s="3" t="s">
        <v>481</v>
      </c>
      <c r="B195" s="3" t="s">
        <v>470</v>
      </c>
      <c r="C195" s="2" t="s">
        <v>482</v>
      </c>
    </row>
    <row r="196" spans="1:3" ht="17.25">
      <c r="A196" s="3" t="s">
        <v>483</v>
      </c>
      <c r="B196" s="3" t="s">
        <v>484</v>
      </c>
      <c r="C196" s="2" t="s">
        <v>485</v>
      </c>
    </row>
    <row r="197" spans="1:3" ht="17.25">
      <c r="A197" s="3" t="s">
        <v>486</v>
      </c>
      <c r="B197" s="3" t="s">
        <v>487</v>
      </c>
      <c r="C197" s="2" t="s">
        <v>488</v>
      </c>
    </row>
    <row r="198" spans="1:3" ht="17.25">
      <c r="A198" s="3" t="s">
        <v>489</v>
      </c>
      <c r="B198" s="3" t="s">
        <v>487</v>
      </c>
      <c r="C198" s="2" t="s">
        <v>490</v>
      </c>
    </row>
    <row r="199" spans="1:3" ht="17.25">
      <c r="A199" s="3" t="s">
        <v>491</v>
      </c>
      <c r="B199" s="3" t="s">
        <v>487</v>
      </c>
      <c r="C199" s="2" t="s">
        <v>492</v>
      </c>
    </row>
    <row r="200" spans="1:3" ht="17.25">
      <c r="A200" s="3" t="s">
        <v>493</v>
      </c>
      <c r="B200" s="3" t="s">
        <v>494</v>
      </c>
      <c r="C200" s="2" t="s">
        <v>495</v>
      </c>
    </row>
    <row r="201" spans="1:3" ht="17.25">
      <c r="A201" s="3" t="s">
        <v>496</v>
      </c>
      <c r="B201" s="3" t="s">
        <v>494</v>
      </c>
      <c r="C201" s="2" t="s">
        <v>497</v>
      </c>
    </row>
    <row r="202" spans="1:3" ht="17.25">
      <c r="A202" s="3" t="s">
        <v>498</v>
      </c>
      <c r="B202" s="3" t="s">
        <v>494</v>
      </c>
      <c r="C202" s="2" t="s">
        <v>499</v>
      </c>
    </row>
    <row r="203" spans="1:3" ht="17.25">
      <c r="A203" s="3" t="s">
        <v>500</v>
      </c>
      <c r="B203" s="3" t="s">
        <v>494</v>
      </c>
      <c r="C203" s="2" t="s">
        <v>501</v>
      </c>
    </row>
    <row r="204" spans="1:3" ht="17.25">
      <c r="A204" s="3" t="s">
        <v>502</v>
      </c>
      <c r="B204" s="3" t="s">
        <v>494</v>
      </c>
      <c r="C204" s="2" t="s">
        <v>503</v>
      </c>
    </row>
    <row r="205" spans="1:3" ht="17.25">
      <c r="A205" s="3" t="s">
        <v>504</v>
      </c>
      <c r="B205" s="3" t="s">
        <v>494</v>
      </c>
      <c r="C205" s="2" t="s">
        <v>505</v>
      </c>
    </row>
    <row r="206" spans="1:3" ht="17.25">
      <c r="A206" s="3" t="s">
        <v>506</v>
      </c>
      <c r="B206" s="3" t="s">
        <v>494</v>
      </c>
      <c r="C206" s="2" t="s">
        <v>507</v>
      </c>
    </row>
    <row r="207" spans="1:3" ht="17.25">
      <c r="A207" s="3" t="s">
        <v>508</v>
      </c>
      <c r="B207" s="3" t="s">
        <v>494</v>
      </c>
      <c r="C207" s="2" t="s">
        <v>509</v>
      </c>
    </row>
    <row r="208" spans="1:3" ht="17.25">
      <c r="A208" s="3" t="s">
        <v>510</v>
      </c>
      <c r="B208" s="3" t="s">
        <v>511</v>
      </c>
      <c r="C208" s="2" t="s">
        <v>512</v>
      </c>
    </row>
    <row r="209" spans="1:3" ht="17.25">
      <c r="A209" s="3" t="s">
        <v>513</v>
      </c>
      <c r="B209" s="3" t="s">
        <v>514</v>
      </c>
      <c r="C209" s="2" t="s">
        <v>515</v>
      </c>
    </row>
    <row r="210" spans="1:3" ht="17.25">
      <c r="A210" s="3" t="s">
        <v>516</v>
      </c>
      <c r="B210" s="3" t="s">
        <v>517</v>
      </c>
      <c r="C210" s="2" t="s">
        <v>518</v>
      </c>
    </row>
    <row r="211" spans="1:3" ht="17.25">
      <c r="A211" s="3" t="s">
        <v>519</v>
      </c>
      <c r="B211" s="3" t="s">
        <v>517</v>
      </c>
      <c r="C211" s="2" t="s">
        <v>520</v>
      </c>
    </row>
    <row r="212" spans="1:3" ht="17.25">
      <c r="A212" s="3" t="s">
        <v>521</v>
      </c>
      <c r="B212" s="3" t="s">
        <v>517</v>
      </c>
      <c r="C212" s="2" t="s">
        <v>522</v>
      </c>
    </row>
    <row r="213" spans="1:3" ht="17.25">
      <c r="A213" s="3" t="s">
        <v>523</v>
      </c>
      <c r="B213" s="3" t="s">
        <v>517</v>
      </c>
      <c r="C213" s="2" t="s">
        <v>524</v>
      </c>
    </row>
    <row r="214" spans="1:3" ht="17.25">
      <c r="A214" s="3" t="s">
        <v>525</v>
      </c>
      <c r="B214" s="3" t="s">
        <v>517</v>
      </c>
      <c r="C214" s="2" t="s">
        <v>526</v>
      </c>
    </row>
    <row r="215" spans="1:3" ht="17.25">
      <c r="A215" s="3" t="s">
        <v>527</v>
      </c>
      <c r="B215" s="3" t="s">
        <v>517</v>
      </c>
      <c r="C215" s="2" t="s">
        <v>528</v>
      </c>
    </row>
    <row r="216" spans="1:3" ht="17.25">
      <c r="A216" s="3" t="s">
        <v>529</v>
      </c>
      <c r="B216" s="3" t="s">
        <v>530</v>
      </c>
      <c r="C216" s="2" t="s">
        <v>531</v>
      </c>
    </row>
    <row r="217" spans="1:3" ht="17.25">
      <c r="A217" s="3" t="s">
        <v>532</v>
      </c>
      <c r="B217" s="3" t="s">
        <v>533</v>
      </c>
      <c r="C217" s="2" t="s">
        <v>534</v>
      </c>
    </row>
    <row r="218" spans="1:3" ht="17.25">
      <c r="A218" s="3" t="s">
        <v>535</v>
      </c>
      <c r="B218" s="3" t="s">
        <v>536</v>
      </c>
      <c r="C218" s="2" t="s">
        <v>537</v>
      </c>
    </row>
    <row r="219" spans="1:3" ht="17.25">
      <c r="A219" s="3" t="s">
        <v>538</v>
      </c>
      <c r="B219" s="3" t="s">
        <v>536</v>
      </c>
      <c r="C219" s="2" t="s">
        <v>539</v>
      </c>
    </row>
    <row r="220" spans="1:3" ht="17.25">
      <c r="A220" s="3" t="s">
        <v>540</v>
      </c>
      <c r="B220" s="3" t="s">
        <v>536</v>
      </c>
      <c r="C220" s="2" t="s">
        <v>541</v>
      </c>
    </row>
    <row r="221" spans="1:3" ht="17.25">
      <c r="A221" s="3" t="s">
        <v>542</v>
      </c>
      <c r="B221" s="3" t="s">
        <v>536</v>
      </c>
      <c r="C221" s="2" t="s">
        <v>543</v>
      </c>
    </row>
    <row r="222" spans="1:3" ht="17.25">
      <c r="A222" s="3" t="s">
        <v>544</v>
      </c>
      <c r="B222" s="3" t="s">
        <v>545</v>
      </c>
      <c r="C222" s="2" t="s">
        <v>546</v>
      </c>
    </row>
    <row r="223" spans="1:3" ht="17.25">
      <c r="A223" s="3" t="s">
        <v>547</v>
      </c>
      <c r="B223" s="3" t="s">
        <v>548</v>
      </c>
      <c r="C223" s="2" t="s">
        <v>549</v>
      </c>
    </row>
    <row r="224" spans="1:3" ht="17.25">
      <c r="A224" s="3" t="s">
        <v>550</v>
      </c>
      <c r="B224" s="3" t="s">
        <v>548</v>
      </c>
      <c r="C224" s="2" t="s">
        <v>551</v>
      </c>
    </row>
    <row r="225" spans="1:3" ht="17.25">
      <c r="A225" s="3" t="s">
        <v>552</v>
      </c>
      <c r="B225" s="3" t="s">
        <v>29</v>
      </c>
      <c r="C225" s="2" t="s">
        <v>553</v>
      </c>
    </row>
    <row r="226" spans="1:3" ht="17.25">
      <c r="A226" s="3" t="s">
        <v>554</v>
      </c>
      <c r="B226" s="3" t="s">
        <v>29</v>
      </c>
      <c r="C226" s="2" t="s">
        <v>555</v>
      </c>
    </row>
    <row r="227" spans="1:3" ht="17.25">
      <c r="A227" s="3" t="s">
        <v>556</v>
      </c>
      <c r="B227" s="3" t="s">
        <v>29</v>
      </c>
      <c r="C227" s="2" t="s">
        <v>557</v>
      </c>
    </row>
    <row r="228" spans="1:3" ht="17.25">
      <c r="A228" s="3" t="s">
        <v>558</v>
      </c>
      <c r="B228" s="3" t="s">
        <v>29</v>
      </c>
      <c r="C228" s="2" t="s">
        <v>559</v>
      </c>
    </row>
    <row r="229" spans="1:3" ht="17.25">
      <c r="A229" s="3" t="s">
        <v>560</v>
      </c>
      <c r="B229" s="3" t="s">
        <v>561</v>
      </c>
      <c r="C229" s="2" t="s">
        <v>562</v>
      </c>
    </row>
    <row r="230" spans="1:3" ht="17.25">
      <c r="A230" s="3" t="s">
        <v>563</v>
      </c>
      <c r="B230" s="3" t="s">
        <v>561</v>
      </c>
      <c r="C230" s="2" t="s">
        <v>564</v>
      </c>
    </row>
    <row r="231" spans="1:3" ht="17.25">
      <c r="A231" s="3" t="s">
        <v>565</v>
      </c>
      <c r="B231" s="3" t="s">
        <v>17</v>
      </c>
      <c r="C231" s="2" t="s">
        <v>566</v>
      </c>
    </row>
    <row r="232" spans="1:3" ht="17.25">
      <c r="A232" s="3" t="s">
        <v>567</v>
      </c>
      <c r="B232" s="3" t="s">
        <v>17</v>
      </c>
      <c r="C232" s="2" t="s">
        <v>568</v>
      </c>
    </row>
    <row r="233" spans="1:3" ht="17.25">
      <c r="A233" s="3" t="s">
        <v>276</v>
      </c>
      <c r="B233" s="3" t="s">
        <v>17</v>
      </c>
      <c r="C233" s="2" t="s">
        <v>569</v>
      </c>
    </row>
    <row r="234" spans="1:3" ht="17.25">
      <c r="A234" s="3" t="s">
        <v>570</v>
      </c>
      <c r="B234" s="3" t="s">
        <v>17</v>
      </c>
      <c r="C234" s="2" t="s">
        <v>571</v>
      </c>
    </row>
    <row r="235" spans="1:3" ht="17.25">
      <c r="A235" s="3" t="s">
        <v>572</v>
      </c>
      <c r="B235" s="3" t="s">
        <v>17</v>
      </c>
      <c r="C235" s="2" t="s">
        <v>573</v>
      </c>
    </row>
    <row r="236" spans="1:3" ht="17.25">
      <c r="A236" s="3" t="s">
        <v>574</v>
      </c>
      <c r="B236" s="3" t="s">
        <v>17</v>
      </c>
      <c r="C236" s="2" t="s">
        <v>575</v>
      </c>
    </row>
    <row r="237" spans="1:3" ht="17.25">
      <c r="A237" s="3" t="s">
        <v>294</v>
      </c>
      <c r="B237" s="3" t="s">
        <v>295</v>
      </c>
      <c r="C237" s="2" t="s">
        <v>296</v>
      </c>
    </row>
    <row r="238" spans="1:3" ht="17.25">
      <c r="A238" s="3" t="s">
        <v>576</v>
      </c>
      <c r="B238" s="3" t="s">
        <v>295</v>
      </c>
      <c r="C238" s="2" t="s">
        <v>577</v>
      </c>
    </row>
    <row r="239" spans="1:3" ht="17.25">
      <c r="A239" s="3" t="s">
        <v>578</v>
      </c>
      <c r="B239" s="3" t="s">
        <v>295</v>
      </c>
      <c r="C239" s="2" t="s">
        <v>579</v>
      </c>
    </row>
    <row r="240" spans="1:3" ht="17.25">
      <c r="A240" s="3" t="s">
        <v>580</v>
      </c>
      <c r="B240" s="3" t="s">
        <v>581</v>
      </c>
      <c r="C240" s="2" t="s">
        <v>582</v>
      </c>
    </row>
    <row r="241" spans="1:3" ht="17.25">
      <c r="A241" s="3" t="s">
        <v>583</v>
      </c>
      <c r="B241" s="3" t="s">
        <v>584</v>
      </c>
      <c r="C241" s="2" t="s">
        <v>585</v>
      </c>
    </row>
    <row r="242" spans="1:3" ht="17.25">
      <c r="A242" s="3" t="s">
        <v>586</v>
      </c>
      <c r="B242" s="3" t="s">
        <v>584</v>
      </c>
      <c r="C242" s="2" t="s">
        <v>587</v>
      </c>
    </row>
    <row r="243" spans="1:3" ht="17.25">
      <c r="A243" s="3" t="s">
        <v>588</v>
      </c>
      <c r="B243" s="3" t="s">
        <v>589</v>
      </c>
      <c r="C243" s="2" t="s">
        <v>590</v>
      </c>
    </row>
    <row r="244" spans="1:3" ht="17.25">
      <c r="A244" s="3" t="s">
        <v>591</v>
      </c>
      <c r="B244" s="3" t="s">
        <v>181</v>
      </c>
      <c r="C244" s="2" t="s">
        <v>592</v>
      </c>
    </row>
    <row r="245" spans="1:3" ht="17.25">
      <c r="A245" s="3" t="s">
        <v>593</v>
      </c>
      <c r="B245" s="3" t="s">
        <v>594</v>
      </c>
      <c r="C245" s="2" t="s">
        <v>595</v>
      </c>
    </row>
    <row r="246" spans="1:3" ht="17.25">
      <c r="A246" s="3" t="s">
        <v>542</v>
      </c>
      <c r="B246" s="3" t="s">
        <v>596</v>
      </c>
      <c r="C246" s="2" t="s">
        <v>597</v>
      </c>
    </row>
    <row r="247" spans="1:3" ht="17.25">
      <c r="A247" s="3" t="s">
        <v>598</v>
      </c>
      <c r="B247" s="3" t="s">
        <v>599</v>
      </c>
      <c r="C247" s="2" t="s">
        <v>600</v>
      </c>
    </row>
    <row r="248" spans="1:3" ht="17.25">
      <c r="A248" s="3" t="s">
        <v>601</v>
      </c>
      <c r="B248" s="3" t="s">
        <v>602</v>
      </c>
      <c r="C248" s="2" t="s">
        <v>603</v>
      </c>
    </row>
    <row r="249" spans="1:3" ht="17.25">
      <c r="A249" s="3" t="s">
        <v>604</v>
      </c>
      <c r="B249" s="3" t="s">
        <v>605</v>
      </c>
      <c r="C249" s="2" t="s">
        <v>606</v>
      </c>
    </row>
    <row r="250" spans="1:3" ht="17.25">
      <c r="A250" s="3" t="s">
        <v>607</v>
      </c>
      <c r="B250" s="3" t="s">
        <v>608</v>
      </c>
      <c r="C250" s="2" t="s">
        <v>609</v>
      </c>
    </row>
    <row r="251" spans="1:3" ht="17.25">
      <c r="A251" s="3" t="s">
        <v>610</v>
      </c>
      <c r="B251" s="3" t="s">
        <v>611</v>
      </c>
      <c r="C251" s="2" t="s">
        <v>612</v>
      </c>
    </row>
    <row r="252" spans="1:3" ht="17.25">
      <c r="A252" s="3" t="s">
        <v>613</v>
      </c>
      <c r="B252" s="3" t="s">
        <v>614</v>
      </c>
      <c r="C252" s="2" t="s">
        <v>615</v>
      </c>
    </row>
    <row r="253" spans="1:3" ht="17.25">
      <c r="A253" s="3" t="s">
        <v>616</v>
      </c>
      <c r="B253" s="3" t="s">
        <v>617</v>
      </c>
      <c r="C253" s="2" t="s">
        <v>618</v>
      </c>
    </row>
    <row r="254" spans="1:3" ht="17.25">
      <c r="A254" s="3" t="s">
        <v>619</v>
      </c>
      <c r="B254" s="3" t="s">
        <v>617</v>
      </c>
      <c r="C254" s="2" t="s">
        <v>620</v>
      </c>
    </row>
    <row r="255" spans="1:3" ht="17.25">
      <c r="A255" s="3" t="s">
        <v>621</v>
      </c>
      <c r="B255" s="3" t="s">
        <v>622</v>
      </c>
      <c r="C255" s="2" t="s">
        <v>623</v>
      </c>
    </row>
    <row r="256" spans="1:3" ht="17.25">
      <c r="A256" s="3" t="s">
        <v>624</v>
      </c>
      <c r="B256" s="3" t="s">
        <v>625</v>
      </c>
      <c r="C256" s="2" t="s">
        <v>626</v>
      </c>
    </row>
    <row r="257" spans="1:3" ht="17.25">
      <c r="A257" s="3" t="s">
        <v>627</v>
      </c>
      <c r="B257" s="3" t="s">
        <v>628</v>
      </c>
      <c r="C257" s="2" t="s">
        <v>629</v>
      </c>
    </row>
    <row r="258" spans="1:3" ht="17.25">
      <c r="A258" s="3" t="s">
        <v>630</v>
      </c>
      <c r="B258" s="3" t="s">
        <v>631</v>
      </c>
      <c r="C258" s="2" t="s">
        <v>632</v>
      </c>
    </row>
    <row r="259" spans="1:3" ht="17.25">
      <c r="A259" s="3" t="s">
        <v>633</v>
      </c>
      <c r="B259" s="3" t="s">
        <v>634</v>
      </c>
      <c r="C259" s="2" t="s">
        <v>635</v>
      </c>
    </row>
    <row r="260" spans="1:3" ht="17.25">
      <c r="A260" s="3" t="s">
        <v>636</v>
      </c>
      <c r="B260" s="3" t="s">
        <v>637</v>
      </c>
      <c r="C260" s="2" t="s">
        <v>638</v>
      </c>
    </row>
    <row r="261" spans="1:3" ht="17.25">
      <c r="A261" s="3" t="s">
        <v>639</v>
      </c>
      <c r="B261" s="3" t="s">
        <v>640</v>
      </c>
      <c r="C261" s="2" t="s">
        <v>641</v>
      </c>
    </row>
    <row r="262" spans="1:3" ht="17.25">
      <c r="A262" s="3" t="s">
        <v>642</v>
      </c>
      <c r="B262" s="3" t="s">
        <v>643</v>
      </c>
      <c r="C262" s="2" t="s">
        <v>644</v>
      </c>
    </row>
    <row r="263" spans="1:3" ht="17.25">
      <c r="A263" s="3" t="s">
        <v>645</v>
      </c>
      <c r="B263" s="3" t="s">
        <v>646</v>
      </c>
      <c r="C263" s="2" t="s">
        <v>647</v>
      </c>
    </row>
    <row r="264" spans="1:3" ht="17.25">
      <c r="A264" s="3" t="s">
        <v>648</v>
      </c>
      <c r="B264" s="3" t="s">
        <v>646</v>
      </c>
      <c r="C264" s="2" t="s">
        <v>649</v>
      </c>
    </row>
    <row r="265" spans="1:3" ht="17.25">
      <c r="A265" s="3" t="s">
        <v>650</v>
      </c>
      <c r="B265" s="3" t="s">
        <v>651</v>
      </c>
      <c r="C265" s="2" t="s">
        <v>652</v>
      </c>
    </row>
    <row r="266" spans="1:3" ht="17.25">
      <c r="A266" s="3" t="s">
        <v>653</v>
      </c>
      <c r="B266" s="3" t="s">
        <v>654</v>
      </c>
      <c r="C266" s="2" t="s">
        <v>655</v>
      </c>
    </row>
    <row r="267" spans="1:3" ht="17.25">
      <c r="A267" s="3" t="s">
        <v>656</v>
      </c>
      <c r="B267" s="3" t="s">
        <v>222</v>
      </c>
      <c r="C267" s="2" t="s">
        <v>657</v>
      </c>
    </row>
    <row r="268" spans="1:3" ht="17.25">
      <c r="A268" s="3" t="s">
        <v>658</v>
      </c>
      <c r="B268" s="3" t="s">
        <v>659</v>
      </c>
      <c r="C268" s="2" t="s">
        <v>660</v>
      </c>
    </row>
    <row r="269" spans="1:3" ht="17.25">
      <c r="A269" s="3" t="s">
        <v>661</v>
      </c>
      <c r="B269" s="3" t="s">
        <v>662</v>
      </c>
      <c r="C269" s="2" t="s">
        <v>663</v>
      </c>
    </row>
    <row r="270" spans="1:3" ht="17.25">
      <c r="A270" s="3" t="s">
        <v>664</v>
      </c>
      <c r="B270" s="3" t="s">
        <v>665</v>
      </c>
      <c r="C270" s="2" t="s">
        <v>666</v>
      </c>
    </row>
    <row r="271" spans="1:3" ht="17.25">
      <c r="A271" s="3" t="s">
        <v>667</v>
      </c>
      <c r="B271" s="3" t="s">
        <v>265</v>
      </c>
      <c r="C271" s="2" t="s">
        <v>668</v>
      </c>
    </row>
    <row r="272" spans="1:3" ht="17.25">
      <c r="A272" s="3" t="s">
        <v>669</v>
      </c>
      <c r="B272" s="3" t="s">
        <v>35</v>
      </c>
      <c r="C272" s="2" t="s">
        <v>670</v>
      </c>
    </row>
    <row r="273" spans="1:3" ht="17.25">
      <c r="A273" s="3" t="s">
        <v>671</v>
      </c>
      <c r="B273" s="3" t="s">
        <v>35</v>
      </c>
      <c r="C273" s="2" t="s">
        <v>672</v>
      </c>
    </row>
    <row r="274" spans="1:3" ht="17.25">
      <c r="A274" s="3" t="s">
        <v>673</v>
      </c>
      <c r="B274" s="3" t="s">
        <v>674</v>
      </c>
      <c r="C274" s="2" t="s">
        <v>675</v>
      </c>
    </row>
    <row r="275" spans="1:3" ht="17.25">
      <c r="A275" s="3" t="s">
        <v>676</v>
      </c>
      <c r="B275" s="3" t="s">
        <v>677</v>
      </c>
      <c r="C275" s="2" t="s">
        <v>678</v>
      </c>
    </row>
    <row r="276" spans="1:3" ht="17.25">
      <c r="A276" s="3" t="s">
        <v>679</v>
      </c>
      <c r="B276" s="3" t="s">
        <v>680</v>
      </c>
      <c r="C276" s="2" t="s">
        <v>681</v>
      </c>
    </row>
    <row r="277" spans="1:3" ht="17.25">
      <c r="A277" s="3"/>
      <c r="B277" s="3" t="s">
        <v>680</v>
      </c>
      <c r="C277" s="2" t="s">
        <v>682</v>
      </c>
    </row>
    <row r="278" spans="1:3" ht="17.25">
      <c r="A278" s="3" t="s">
        <v>683</v>
      </c>
      <c r="B278" s="3" t="s">
        <v>109</v>
      </c>
      <c r="C278" s="2" t="s">
        <v>110</v>
      </c>
    </row>
    <row r="279" spans="1:3" ht="17.25">
      <c r="A279" s="3" t="s">
        <v>684</v>
      </c>
      <c r="B279" s="3" t="s">
        <v>685</v>
      </c>
      <c r="C279" s="2" t="s">
        <v>686</v>
      </c>
    </row>
    <row r="280" spans="1:3" ht="17.25">
      <c r="A280" s="3" t="s">
        <v>687</v>
      </c>
      <c r="B280" s="3" t="s">
        <v>284</v>
      </c>
      <c r="C280" s="2" t="s">
        <v>688</v>
      </c>
    </row>
    <row r="281" spans="1:3" ht="17.25">
      <c r="A281" s="3" t="s">
        <v>689</v>
      </c>
      <c r="B281" s="3" t="s">
        <v>690</v>
      </c>
      <c r="C281" s="2" t="s">
        <v>691</v>
      </c>
    </row>
    <row r="282" spans="1:3" ht="17.25">
      <c r="A282" s="3" t="s">
        <v>692</v>
      </c>
      <c r="B282" s="3" t="s">
        <v>693</v>
      </c>
      <c r="C282" s="2" t="s">
        <v>694</v>
      </c>
    </row>
    <row r="283" spans="1:3" ht="17.25">
      <c r="A283" s="3" t="s">
        <v>695</v>
      </c>
      <c r="B283" s="3" t="s">
        <v>696</v>
      </c>
      <c r="C283" s="2" t="s">
        <v>697</v>
      </c>
    </row>
    <row r="284" spans="1:3" ht="17.25">
      <c r="A284" s="3" t="s">
        <v>698</v>
      </c>
      <c r="B284" s="3" t="s">
        <v>699</v>
      </c>
      <c r="C284" s="2" t="s">
        <v>700</v>
      </c>
    </row>
    <row r="285" spans="1:3" ht="17.25">
      <c r="A285" s="3" t="s">
        <v>701</v>
      </c>
      <c r="B285" s="3" t="s">
        <v>702</v>
      </c>
      <c r="C285" s="2" t="s">
        <v>703</v>
      </c>
    </row>
    <row r="286" spans="1:3" ht="17.25">
      <c r="A286" s="3" t="s">
        <v>704</v>
      </c>
      <c r="B286" s="3" t="s">
        <v>705</v>
      </c>
      <c r="C286" s="2" t="s">
        <v>706</v>
      </c>
    </row>
    <row r="287" spans="1:3" ht="17.25">
      <c r="A287" s="3" t="s">
        <v>707</v>
      </c>
      <c r="B287" s="3" t="s">
        <v>708</v>
      </c>
      <c r="C287" s="2" t="s">
        <v>709</v>
      </c>
    </row>
    <row r="288" spans="1:3" ht="17.25">
      <c r="A288" s="3" t="s">
        <v>710</v>
      </c>
      <c r="B288" s="3" t="s">
        <v>711</v>
      </c>
      <c r="C288" s="2" t="s">
        <v>712</v>
      </c>
    </row>
    <row r="289" spans="1:3" ht="17.25">
      <c r="A289" s="3" t="s">
        <v>713</v>
      </c>
      <c r="B289" s="3" t="s">
        <v>714</v>
      </c>
      <c r="C289" s="2" t="s">
        <v>715</v>
      </c>
    </row>
    <row r="290" spans="1:3" ht="17.25">
      <c r="A290" s="3" t="s">
        <v>716</v>
      </c>
      <c r="B290" s="3" t="s">
        <v>717</v>
      </c>
      <c r="C290" s="2" t="s">
        <v>718</v>
      </c>
    </row>
    <row r="291" spans="1:3" ht="17.25">
      <c r="A291" s="3" t="s">
        <v>719</v>
      </c>
      <c r="B291" s="3" t="s">
        <v>720</v>
      </c>
      <c r="C291" s="2" t="s">
        <v>721</v>
      </c>
    </row>
    <row r="292" spans="1:3" ht="17.25">
      <c r="A292" s="3" t="s">
        <v>722</v>
      </c>
      <c r="B292" s="3" t="s">
        <v>723</v>
      </c>
      <c r="C292" s="2" t="s">
        <v>724</v>
      </c>
    </row>
    <row r="293" spans="1:3" ht="17.25">
      <c r="A293" s="3" t="s">
        <v>725</v>
      </c>
      <c r="B293" s="3" t="s">
        <v>723</v>
      </c>
      <c r="C293" s="2" t="s">
        <v>726</v>
      </c>
    </row>
    <row r="294" spans="1:3" ht="17.25">
      <c r="A294" s="3" t="s">
        <v>727</v>
      </c>
      <c r="B294" s="3" t="s">
        <v>723</v>
      </c>
      <c r="C294" s="2" t="s">
        <v>728</v>
      </c>
    </row>
    <row r="295" spans="1:3" ht="17.25">
      <c r="A295" s="3" t="s">
        <v>729</v>
      </c>
      <c r="B295" s="3" t="s">
        <v>730</v>
      </c>
      <c r="C295" s="2" t="s">
        <v>731</v>
      </c>
    </row>
    <row r="296" spans="1:3" ht="17.25">
      <c r="A296" s="3" t="s">
        <v>732</v>
      </c>
      <c r="B296" s="3" t="s">
        <v>733</v>
      </c>
      <c r="C296" s="2" t="s">
        <v>734</v>
      </c>
    </row>
    <row r="297" spans="1:3" ht="17.25">
      <c r="A297" s="3" t="s">
        <v>735</v>
      </c>
      <c r="B297" s="3" t="s">
        <v>736</v>
      </c>
      <c r="C297" s="2" t="s">
        <v>737</v>
      </c>
    </row>
    <row r="298" spans="1:3" ht="17.25">
      <c r="A298" s="3" t="s">
        <v>169</v>
      </c>
      <c r="B298" s="3" t="s">
        <v>738</v>
      </c>
      <c r="C298" s="2" t="s">
        <v>171</v>
      </c>
    </row>
    <row r="299" spans="1:3" ht="17.25">
      <c r="A299" s="3" t="s">
        <v>739</v>
      </c>
      <c r="B299" s="3" t="s">
        <v>740</v>
      </c>
      <c r="C299" s="2" t="s">
        <v>741</v>
      </c>
    </row>
    <row r="300" spans="1:3" ht="17.25">
      <c r="A300" s="3" t="s">
        <v>742</v>
      </c>
      <c r="B300" s="3" t="s">
        <v>740</v>
      </c>
      <c r="C300" s="2" t="s">
        <v>743</v>
      </c>
    </row>
    <row r="301" spans="1:3" ht="17.25">
      <c r="A301" s="3" t="s">
        <v>744</v>
      </c>
      <c r="B301" s="3" t="s">
        <v>740</v>
      </c>
      <c r="C301" s="2" t="s">
        <v>745</v>
      </c>
    </row>
    <row r="302" spans="1:3" ht="17.25">
      <c r="A302" s="3" t="s">
        <v>746</v>
      </c>
      <c r="B302" s="3" t="s">
        <v>747</v>
      </c>
      <c r="C302" s="2" t="s">
        <v>748</v>
      </c>
    </row>
    <row r="303" spans="1:3" ht="17.25">
      <c r="A303" s="3" t="s">
        <v>749</v>
      </c>
      <c r="B303" s="3" t="s">
        <v>750</v>
      </c>
      <c r="C303" s="2" t="s">
        <v>751</v>
      </c>
    </row>
    <row r="304" spans="1:3" ht="17.25">
      <c r="A304" s="3" t="s">
        <v>752</v>
      </c>
      <c r="B304" s="3" t="s">
        <v>136</v>
      </c>
      <c r="C304" s="2" t="s">
        <v>753</v>
      </c>
    </row>
    <row r="305" spans="1:3" ht="17.25">
      <c r="A305" s="3" t="s">
        <v>754</v>
      </c>
      <c r="B305" s="3" t="s">
        <v>234</v>
      </c>
      <c r="C305" s="2" t="s">
        <v>755</v>
      </c>
    </row>
    <row r="306" spans="1:3" ht="17.25">
      <c r="A306" s="3" t="s">
        <v>756</v>
      </c>
      <c r="B306" s="3" t="s">
        <v>234</v>
      </c>
      <c r="C306" s="2" t="s">
        <v>757</v>
      </c>
    </row>
    <row r="307" spans="1:3" ht="17.25">
      <c r="A307" s="3" t="s">
        <v>758</v>
      </c>
      <c r="B307" s="3" t="s">
        <v>759</v>
      </c>
      <c r="C307" s="2" t="s">
        <v>760</v>
      </c>
    </row>
    <row r="308" spans="1:3" ht="17.25">
      <c r="A308" s="3" t="s">
        <v>761</v>
      </c>
      <c r="B308" s="3" t="s">
        <v>213</v>
      </c>
      <c r="C308" s="2" t="s">
        <v>762</v>
      </c>
    </row>
    <row r="309" spans="1:3" ht="17.25">
      <c r="A309" s="3" t="s">
        <v>763</v>
      </c>
      <c r="B309" s="3" t="s">
        <v>213</v>
      </c>
      <c r="C309" s="2" t="s">
        <v>764</v>
      </c>
    </row>
    <row r="310" spans="1:3" ht="17.25">
      <c r="A310" s="3" t="s">
        <v>765</v>
      </c>
      <c r="B310" s="3" t="s">
        <v>766</v>
      </c>
      <c r="C310" s="2" t="s">
        <v>767</v>
      </c>
    </row>
    <row r="311" spans="1:3" ht="17.25">
      <c r="A311" s="3" t="s">
        <v>290</v>
      </c>
      <c r="B311" s="3" t="s">
        <v>768</v>
      </c>
      <c r="C311" s="2" t="s">
        <v>769</v>
      </c>
    </row>
    <row r="312" spans="1:3" ht="17.25">
      <c r="A312" s="3" t="s">
        <v>770</v>
      </c>
      <c r="B312" s="3" t="s">
        <v>771</v>
      </c>
      <c r="C312" s="2" t="s">
        <v>772</v>
      </c>
    </row>
    <row r="313" spans="1:3" ht="17.25">
      <c r="A313" s="3" t="s">
        <v>773</v>
      </c>
      <c r="B313" s="3" t="s">
        <v>774</v>
      </c>
      <c r="C313" s="2" t="s">
        <v>775</v>
      </c>
    </row>
    <row r="314" spans="1:3" ht="17.25">
      <c r="A314" s="3" t="s">
        <v>776</v>
      </c>
      <c r="B314" s="3" t="s">
        <v>777</v>
      </c>
      <c r="C314" s="2" t="s">
        <v>778</v>
      </c>
    </row>
    <row r="315" spans="1:3" ht="17.25">
      <c r="A315" s="3" t="s">
        <v>779</v>
      </c>
      <c r="B315" s="3" t="s">
        <v>194</v>
      </c>
      <c r="C315" s="2" t="s">
        <v>780</v>
      </c>
    </row>
    <row r="316" spans="1:3" ht="17.25">
      <c r="A316" s="3" t="s">
        <v>781</v>
      </c>
      <c r="B316" s="3" t="s">
        <v>782</v>
      </c>
      <c r="C316" s="2" t="s">
        <v>783</v>
      </c>
    </row>
    <row r="317" spans="1:3" ht="17.25">
      <c r="A317" s="3" t="s">
        <v>784</v>
      </c>
      <c r="B317" s="3" t="s">
        <v>785</v>
      </c>
      <c r="C317" s="2" t="s">
        <v>786</v>
      </c>
    </row>
    <row r="318" spans="1:3" ht="17.25">
      <c r="A318" s="3" t="s">
        <v>787</v>
      </c>
      <c r="B318" s="3" t="s">
        <v>788</v>
      </c>
      <c r="C318" s="2" t="s">
        <v>789</v>
      </c>
    </row>
    <row r="319" spans="1:3" ht="17.25">
      <c r="A319" s="3" t="s">
        <v>790</v>
      </c>
      <c r="B319" s="3" t="s">
        <v>791</v>
      </c>
      <c r="C319" s="2" t="s">
        <v>792</v>
      </c>
    </row>
    <row r="320" spans="1:3" ht="17.25">
      <c r="A320" s="3" t="s">
        <v>793</v>
      </c>
      <c r="B320" s="3" t="s">
        <v>794</v>
      </c>
      <c r="C320" s="2" t="s">
        <v>795</v>
      </c>
    </row>
    <row r="321" spans="1:3" ht="17.25">
      <c r="A321" s="3" t="s">
        <v>796</v>
      </c>
      <c r="B321" s="3" t="s">
        <v>797</v>
      </c>
      <c r="C321" s="2" t="s">
        <v>798</v>
      </c>
    </row>
    <row r="322" spans="1:3" ht="17.25">
      <c r="A322" s="3" t="s">
        <v>799</v>
      </c>
      <c r="B322" s="3" t="s">
        <v>194</v>
      </c>
      <c r="C322" s="2" t="s">
        <v>800</v>
      </c>
    </row>
    <row r="323" spans="1:3" ht="17.25">
      <c r="A323" s="3" t="s">
        <v>801</v>
      </c>
      <c r="B323" s="3" t="s">
        <v>802</v>
      </c>
      <c r="C323" s="2" t="s">
        <v>803</v>
      </c>
    </row>
    <row r="324" spans="1:3" ht="17.25">
      <c r="A324" s="3" t="s">
        <v>804</v>
      </c>
      <c r="B324" s="3" t="s">
        <v>805</v>
      </c>
      <c r="C324" s="2" t="s">
        <v>806</v>
      </c>
    </row>
    <row r="325" spans="1:3" ht="17.25">
      <c r="A325" s="3" t="s">
        <v>807</v>
      </c>
      <c r="B325" s="3" t="s">
        <v>808</v>
      </c>
      <c r="C325" s="2" t="s">
        <v>809</v>
      </c>
    </row>
    <row r="326" spans="1:3" ht="17.25">
      <c r="A326" s="3" t="s">
        <v>810</v>
      </c>
      <c r="B326" s="3" t="s">
        <v>811</v>
      </c>
      <c r="C326" s="2" t="s">
        <v>812</v>
      </c>
    </row>
    <row r="327" spans="1:3" ht="17.25">
      <c r="A327" s="3" t="s">
        <v>813</v>
      </c>
      <c r="B327" s="3" t="s">
        <v>814</v>
      </c>
      <c r="C327" s="2" t="s">
        <v>815</v>
      </c>
    </row>
    <row r="328" spans="1:3" ht="17.25">
      <c r="A328" s="3" t="s">
        <v>816</v>
      </c>
      <c r="B328" s="3" t="s">
        <v>301</v>
      </c>
      <c r="C328" s="2" t="s">
        <v>817</v>
      </c>
    </row>
    <row r="329" spans="1:3" ht="17.25">
      <c r="A329" s="3" t="s">
        <v>818</v>
      </c>
      <c r="B329" s="3" t="s">
        <v>819</v>
      </c>
      <c r="C329" s="2" t="s">
        <v>820</v>
      </c>
    </row>
    <row r="330" spans="1:3" ht="17.25">
      <c r="A330" s="3" t="s">
        <v>821</v>
      </c>
      <c r="B330" s="3" t="s">
        <v>822</v>
      </c>
      <c r="C330" s="2" t="s">
        <v>823</v>
      </c>
    </row>
    <row r="331" spans="1:3" ht="17.25">
      <c r="A331" s="3" t="s">
        <v>824</v>
      </c>
      <c r="B331" s="3" t="s">
        <v>822</v>
      </c>
      <c r="C331" s="2" t="s">
        <v>825</v>
      </c>
    </row>
    <row r="332" spans="1:3" ht="17.25">
      <c r="A332" s="3" t="s">
        <v>826</v>
      </c>
      <c r="B332" s="3" t="s">
        <v>822</v>
      </c>
      <c r="C332" s="2" t="s">
        <v>827</v>
      </c>
    </row>
    <row r="333" spans="1:3" ht="17.25">
      <c r="A333" s="3" t="s">
        <v>828</v>
      </c>
      <c r="B333" s="3" t="s">
        <v>822</v>
      </c>
      <c r="C333" s="2" t="s">
        <v>829</v>
      </c>
    </row>
    <row r="334" spans="1:3" ht="17.25">
      <c r="A334" s="3" t="s">
        <v>830</v>
      </c>
      <c r="B334" s="3" t="s">
        <v>822</v>
      </c>
      <c r="C334" s="2" t="s">
        <v>831</v>
      </c>
    </row>
    <row r="335" spans="1:3" ht="17.25">
      <c r="A335" s="3" t="s">
        <v>832</v>
      </c>
      <c r="B335" s="3" t="s">
        <v>822</v>
      </c>
      <c r="C335" s="2" t="s">
        <v>833</v>
      </c>
    </row>
  </sheetData>
  <phoneticPr fontId="11" type="noConversion"/>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4.2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4.2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1" type="noConversion"/>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4.2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4.2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ht="15">
      <c r="A2" s="25" t="s">
        <v>1262</v>
      </c>
      <c r="B2" s="25" t="s">
        <v>1263</v>
      </c>
      <c r="C2" s="25" t="s">
        <v>1264</v>
      </c>
      <c r="D2" s="25" t="s">
        <v>1265</v>
      </c>
      <c r="E2" s="25" t="s">
        <v>1266</v>
      </c>
    </row>
    <row r="3" spans="1:5" ht="15">
      <c r="A3" s="25" t="s">
        <v>1262</v>
      </c>
      <c r="B3" s="25" t="s">
        <v>1267</v>
      </c>
      <c r="C3" s="25" t="s">
        <v>450</v>
      </c>
      <c r="D3" s="25" t="s">
        <v>1268</v>
      </c>
      <c r="E3" s="25" t="s">
        <v>1269</v>
      </c>
    </row>
    <row r="4" spans="1:5" ht="15">
      <c r="A4" s="25" t="s">
        <v>1262</v>
      </c>
      <c r="B4" s="25" t="s">
        <v>1270</v>
      </c>
      <c r="C4" s="25" t="s">
        <v>701</v>
      </c>
      <c r="D4" s="25" t="s">
        <v>1271</v>
      </c>
      <c r="E4" s="25" t="s">
        <v>703</v>
      </c>
    </row>
    <row r="5" spans="1:5" ht="15">
      <c r="A5" s="25" t="s">
        <v>1262</v>
      </c>
      <c r="B5" s="25" t="s">
        <v>1272</v>
      </c>
      <c r="C5" s="25" t="s">
        <v>498</v>
      </c>
      <c r="D5" s="25" t="s">
        <v>1273</v>
      </c>
      <c r="E5" s="25" t="s">
        <v>1274</v>
      </c>
    </row>
    <row r="6" spans="1:5" ht="15">
      <c r="A6" s="25" t="s">
        <v>1275</v>
      </c>
      <c r="B6" s="25" t="s">
        <v>1276</v>
      </c>
      <c r="C6" s="25" t="s">
        <v>1277</v>
      </c>
      <c r="D6" s="25" t="s">
        <v>1278</v>
      </c>
      <c r="E6" s="25" t="s">
        <v>1279</v>
      </c>
    </row>
    <row r="7" spans="1:5" ht="15">
      <c r="A7" s="25" t="s">
        <v>1262</v>
      </c>
      <c r="B7" s="25" t="s">
        <v>1280</v>
      </c>
      <c r="C7" s="25" t="s">
        <v>1281</v>
      </c>
      <c r="D7" s="25" t="s">
        <v>1282</v>
      </c>
      <c r="E7" s="25" t="s">
        <v>1283</v>
      </c>
    </row>
    <row r="8" spans="1:5" ht="15">
      <c r="A8" s="25" t="s">
        <v>1284</v>
      </c>
      <c r="B8" s="25" t="s">
        <v>1285</v>
      </c>
      <c r="C8" s="25" t="s">
        <v>1286</v>
      </c>
      <c r="D8" s="25" t="s">
        <v>1287</v>
      </c>
      <c r="E8" s="25" t="s">
        <v>1288</v>
      </c>
    </row>
    <row r="9" spans="1:5" ht="15">
      <c r="A9" s="25" t="s">
        <v>1289</v>
      </c>
      <c r="B9" s="25" t="s">
        <v>1290</v>
      </c>
      <c r="C9" s="25" t="s">
        <v>1291</v>
      </c>
      <c r="D9" s="25" t="s">
        <v>1292</v>
      </c>
      <c r="E9" s="25" t="s">
        <v>1293</v>
      </c>
    </row>
    <row r="10" spans="1:5" ht="15">
      <c r="A10" s="25" t="s">
        <v>1284</v>
      </c>
      <c r="B10" s="25" t="s">
        <v>1294</v>
      </c>
      <c r="C10" s="25"/>
      <c r="D10" s="25" t="s">
        <v>1295</v>
      </c>
      <c r="E10" s="25" t="s">
        <v>1296</v>
      </c>
    </row>
    <row r="11" spans="1:5" ht="15">
      <c r="A11" s="25" t="s">
        <v>1284</v>
      </c>
      <c r="B11" s="25" t="s">
        <v>1297</v>
      </c>
      <c r="C11" s="25" t="s">
        <v>1298</v>
      </c>
      <c r="D11" s="25" t="s">
        <v>1299</v>
      </c>
      <c r="E11" s="25" t="s">
        <v>1300</v>
      </c>
    </row>
    <row r="12" spans="1:5" ht="15">
      <c r="A12" s="25" t="s">
        <v>1284</v>
      </c>
      <c r="B12" s="25" t="s">
        <v>1301</v>
      </c>
      <c r="C12" s="25" t="s">
        <v>1302</v>
      </c>
      <c r="D12" s="25" t="s">
        <v>1303</v>
      </c>
      <c r="E12" s="25" t="s">
        <v>1304</v>
      </c>
    </row>
    <row r="13" spans="1:5" ht="15">
      <c r="A13" s="25" t="s">
        <v>1284</v>
      </c>
      <c r="B13" s="25" t="s">
        <v>1305</v>
      </c>
      <c r="C13" s="25"/>
      <c r="D13" s="25" t="s">
        <v>1306</v>
      </c>
      <c r="E13" s="25" t="s">
        <v>1307</v>
      </c>
    </row>
    <row r="14" spans="1:5" ht="15">
      <c r="A14" s="25" t="s">
        <v>1284</v>
      </c>
      <c r="B14" s="25" t="s">
        <v>1308</v>
      </c>
      <c r="C14" s="25" t="s">
        <v>540</v>
      </c>
      <c r="D14" s="25" t="s">
        <v>1309</v>
      </c>
      <c r="E14" s="25" t="s">
        <v>1310</v>
      </c>
    </row>
    <row r="15" spans="1:5" ht="15">
      <c r="A15" s="25" t="s">
        <v>1275</v>
      </c>
      <c r="B15" s="25" t="s">
        <v>1311</v>
      </c>
      <c r="C15" s="25"/>
      <c r="D15" s="25" t="s">
        <v>1312</v>
      </c>
      <c r="E15" s="25" t="s">
        <v>1313</v>
      </c>
    </row>
    <row r="16" spans="1:5" ht="15">
      <c r="A16" s="25" t="s">
        <v>1314</v>
      </c>
      <c r="B16" s="25" t="s">
        <v>1315</v>
      </c>
      <c r="C16" s="25" t="s">
        <v>1316</v>
      </c>
      <c r="D16" s="25" t="s">
        <v>1317</v>
      </c>
      <c r="E16" s="25" t="s">
        <v>1318</v>
      </c>
    </row>
    <row r="17" spans="1:5" ht="15">
      <c r="A17" s="25" t="s">
        <v>1284</v>
      </c>
      <c r="B17" s="25" t="s">
        <v>1319</v>
      </c>
      <c r="C17" s="25" t="s">
        <v>1320</v>
      </c>
      <c r="D17" s="25" t="s">
        <v>1321</v>
      </c>
      <c r="E17" s="25" t="s">
        <v>1322</v>
      </c>
    </row>
    <row r="18" spans="1:5" ht="15">
      <c r="A18" s="25" t="s">
        <v>1289</v>
      </c>
      <c r="B18" s="25" t="s">
        <v>1323</v>
      </c>
      <c r="C18" s="25" t="s">
        <v>1324</v>
      </c>
      <c r="D18" s="25" t="s">
        <v>1325</v>
      </c>
      <c r="E18" s="25" t="s">
        <v>927</v>
      </c>
    </row>
    <row r="19" spans="1:5">
      <c r="A19" s="25" t="s">
        <v>1284</v>
      </c>
      <c r="B19" s="25" t="s">
        <v>1326</v>
      </c>
      <c r="C19" s="25"/>
      <c r="D19" s="25" t="s">
        <v>1327</v>
      </c>
      <c r="E19" s="25" t="s">
        <v>1328</v>
      </c>
    </row>
    <row r="20" spans="1:5" ht="15">
      <c r="A20" s="25" t="s">
        <v>1262</v>
      </c>
      <c r="B20" s="25" t="s">
        <v>1329</v>
      </c>
      <c r="C20" s="25" t="s">
        <v>353</v>
      </c>
      <c r="D20" s="25" t="s">
        <v>1330</v>
      </c>
      <c r="E20" s="25" t="s">
        <v>1331</v>
      </c>
    </row>
    <row r="21" spans="1:5">
      <c r="A21" s="25" t="s">
        <v>1262</v>
      </c>
      <c r="B21" s="25" t="s">
        <v>1332</v>
      </c>
      <c r="C21" s="25" t="s">
        <v>1333</v>
      </c>
      <c r="D21" s="25" t="s">
        <v>1334</v>
      </c>
      <c r="E21" s="25" t="s">
        <v>1335</v>
      </c>
    </row>
    <row r="22" spans="1:5" ht="15">
      <c r="A22" s="25" t="s">
        <v>1336</v>
      </c>
      <c r="B22" s="25" t="s">
        <v>1337</v>
      </c>
      <c r="C22" s="25" t="s">
        <v>1338</v>
      </c>
      <c r="D22" s="25" t="s">
        <v>1339</v>
      </c>
      <c r="E22" s="25" t="s">
        <v>1340</v>
      </c>
    </row>
    <row r="23" spans="1:5" ht="15">
      <c r="A23" s="25" t="s">
        <v>1341</v>
      </c>
      <c r="B23" s="25" t="s">
        <v>1342</v>
      </c>
      <c r="C23" s="25" t="s">
        <v>1343</v>
      </c>
      <c r="D23" s="25" t="s">
        <v>1344</v>
      </c>
      <c r="E23" s="25" t="s">
        <v>1345</v>
      </c>
    </row>
    <row r="24" spans="1:5" ht="15">
      <c r="A24" s="25" t="s">
        <v>1284</v>
      </c>
      <c r="B24" s="25" t="s">
        <v>1346</v>
      </c>
      <c r="C24" s="25" t="s">
        <v>388</v>
      </c>
      <c r="D24" s="25" t="s">
        <v>1347</v>
      </c>
      <c r="E24" s="25" t="s">
        <v>1348</v>
      </c>
    </row>
    <row r="25" spans="1:5">
      <c r="A25" s="25" t="s">
        <v>1284</v>
      </c>
      <c r="B25" s="25" t="s">
        <v>1349</v>
      </c>
      <c r="C25" s="25"/>
      <c r="D25" s="25"/>
      <c r="E25" s="25" t="s">
        <v>1350</v>
      </c>
    </row>
    <row r="26" spans="1:5" ht="15">
      <c r="A26" s="25" t="s">
        <v>1262</v>
      </c>
      <c r="B26" s="25" t="s">
        <v>1351</v>
      </c>
      <c r="C26" s="25" t="s">
        <v>1352</v>
      </c>
      <c r="D26" s="25" t="s">
        <v>1353</v>
      </c>
      <c r="E26" s="25" t="s">
        <v>1354</v>
      </c>
    </row>
    <row r="27" spans="1:5">
      <c r="A27" s="25" t="s">
        <v>1355</v>
      </c>
      <c r="B27" s="25" t="s">
        <v>1356</v>
      </c>
      <c r="C27" s="25"/>
      <c r="D27" s="25"/>
      <c r="E27" s="25" t="s">
        <v>1357</v>
      </c>
    </row>
    <row r="28" spans="1:5" ht="15">
      <c r="A28" s="25" t="s">
        <v>1341</v>
      </c>
      <c r="B28" s="25" t="s">
        <v>1358</v>
      </c>
      <c r="C28" s="25" t="s">
        <v>1359</v>
      </c>
      <c r="D28" s="25" t="s">
        <v>1360</v>
      </c>
      <c r="E28" s="25" t="s">
        <v>1361</v>
      </c>
    </row>
    <row r="29" spans="1:5" ht="15">
      <c r="A29" s="25" t="s">
        <v>1262</v>
      </c>
      <c r="B29" s="25" t="s">
        <v>1362</v>
      </c>
      <c r="C29" s="25" t="s">
        <v>1363</v>
      </c>
      <c r="D29" s="25" t="s">
        <v>1364</v>
      </c>
      <c r="E29" s="25" t="s">
        <v>1365</v>
      </c>
    </row>
    <row r="30" spans="1:5" ht="15">
      <c r="A30" s="25" t="s">
        <v>1275</v>
      </c>
      <c r="B30" s="25" t="s">
        <v>1366</v>
      </c>
      <c r="C30" s="25"/>
      <c r="D30" s="25" t="s">
        <v>1367</v>
      </c>
      <c r="E30" s="25" t="s">
        <v>1368</v>
      </c>
    </row>
    <row r="31" spans="1:5" ht="15">
      <c r="A31" s="25"/>
      <c r="B31" s="25" t="s">
        <v>1369</v>
      </c>
      <c r="C31" s="25"/>
      <c r="D31" s="25" t="s">
        <v>1370</v>
      </c>
      <c r="E31" s="25" t="s">
        <v>1371</v>
      </c>
    </row>
    <row r="32" spans="1:5" ht="15">
      <c r="A32" s="25" t="s">
        <v>1341</v>
      </c>
      <c r="B32" s="25" t="s">
        <v>1372</v>
      </c>
      <c r="C32" s="25" t="s">
        <v>1373</v>
      </c>
      <c r="D32" s="25" t="s">
        <v>1374</v>
      </c>
      <c r="E32" s="25" t="s">
        <v>1375</v>
      </c>
    </row>
    <row r="33" spans="1:5" ht="15">
      <c r="A33" s="25" t="s">
        <v>1376</v>
      </c>
      <c r="B33" s="25" t="s">
        <v>1377</v>
      </c>
      <c r="C33" s="25"/>
      <c r="D33" s="25" t="s">
        <v>1378</v>
      </c>
      <c r="E33" s="25" t="s">
        <v>1379</v>
      </c>
    </row>
    <row r="34" spans="1:5" ht="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ht="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ht="15">
      <c r="A46" s="25" t="s">
        <v>1262</v>
      </c>
      <c r="B46" s="25" t="s">
        <v>1422</v>
      </c>
      <c r="C46" s="25" t="s">
        <v>1423</v>
      </c>
      <c r="D46" s="25" t="s">
        <v>1424</v>
      </c>
      <c r="E46" s="25" t="s">
        <v>1425</v>
      </c>
    </row>
    <row r="47" spans="1:5" ht="15">
      <c r="A47" s="25" t="s">
        <v>1284</v>
      </c>
      <c r="B47" s="25" t="s">
        <v>1426</v>
      </c>
      <c r="C47" s="25" t="s">
        <v>1427</v>
      </c>
      <c r="D47" s="25" t="s">
        <v>1428</v>
      </c>
      <c r="E47" s="25" t="s">
        <v>1429</v>
      </c>
    </row>
    <row r="48" spans="1:5">
      <c r="A48" s="25" t="s">
        <v>1284</v>
      </c>
      <c r="B48" s="25" t="s">
        <v>1430</v>
      </c>
      <c r="C48" s="25" t="s">
        <v>1431</v>
      </c>
      <c r="D48" s="25" t="s">
        <v>1432</v>
      </c>
      <c r="E48" s="25" t="s">
        <v>1433</v>
      </c>
    </row>
    <row r="49" spans="1:5" ht="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4.25"/>
  <cols>
    <col min="1" max="1" width="18" customWidth="1"/>
    <col min="2" max="2" width="17.125" customWidth="1"/>
    <col min="3" max="3" width="17.75" customWidth="1"/>
    <col min="4" max="4" width="27.625" customWidth="1"/>
    <col min="5" max="5" width="25" customWidth="1"/>
  </cols>
  <sheetData>
    <row r="1" spans="1:5" ht="17.25">
      <c r="A1" s="26" t="s">
        <v>1260</v>
      </c>
      <c r="B1" s="26" t="s">
        <v>0</v>
      </c>
      <c r="C1" s="26" t="s">
        <v>1457</v>
      </c>
      <c r="D1" s="26" t="s">
        <v>834</v>
      </c>
      <c r="E1" s="26" t="s">
        <v>1458</v>
      </c>
    </row>
    <row r="2" spans="1:5" ht="17.25">
      <c r="A2" s="27" t="s">
        <v>1459</v>
      </c>
      <c r="B2" s="27" t="s">
        <v>1460</v>
      </c>
      <c r="C2" s="27" t="s">
        <v>1461</v>
      </c>
      <c r="D2" s="27" t="s">
        <v>1462</v>
      </c>
      <c r="E2" s="27" t="s">
        <v>1463</v>
      </c>
    </row>
    <row r="3" spans="1:5" ht="17.25">
      <c r="A3" s="27" t="s">
        <v>1464</v>
      </c>
      <c r="B3" s="27" t="s">
        <v>353</v>
      </c>
      <c r="C3" s="27" t="s">
        <v>1465</v>
      </c>
      <c r="D3" s="27" t="s">
        <v>354</v>
      </c>
      <c r="E3" s="27" t="s">
        <v>1466</v>
      </c>
    </row>
    <row r="4" spans="1:5" ht="17.25">
      <c r="A4" s="27" t="s">
        <v>1467</v>
      </c>
      <c r="B4" s="27" t="s">
        <v>1468</v>
      </c>
      <c r="C4" s="27" t="s">
        <v>1469</v>
      </c>
      <c r="D4" s="27" t="s">
        <v>1470</v>
      </c>
      <c r="E4" s="27" t="s">
        <v>1471</v>
      </c>
    </row>
    <row r="5" spans="1:5" ht="17.25">
      <c r="A5" s="27" t="s">
        <v>1472</v>
      </c>
      <c r="B5" s="27" t="s">
        <v>1473</v>
      </c>
      <c r="C5" s="27" t="s">
        <v>1474</v>
      </c>
      <c r="D5" s="27" t="s">
        <v>1475</v>
      </c>
      <c r="E5" s="2" t="s">
        <v>1476</v>
      </c>
    </row>
    <row r="6" spans="1:5" ht="17.25">
      <c r="A6" s="27" t="s">
        <v>1477</v>
      </c>
      <c r="B6" s="27" t="s">
        <v>692</v>
      </c>
      <c r="C6" s="27" t="s">
        <v>1478</v>
      </c>
      <c r="D6" s="27" t="s">
        <v>1479</v>
      </c>
      <c r="E6" s="27" t="s">
        <v>1480</v>
      </c>
    </row>
    <row r="7" spans="1:5" ht="17.25">
      <c r="A7" s="27" t="s">
        <v>1481</v>
      </c>
      <c r="B7" s="27" t="s">
        <v>1482</v>
      </c>
      <c r="C7" s="27" t="s">
        <v>1465</v>
      </c>
      <c r="D7" s="27" t="s">
        <v>1483</v>
      </c>
      <c r="E7" s="27" t="s">
        <v>1484</v>
      </c>
    </row>
    <row r="8" spans="1:5" ht="17.25">
      <c r="A8" s="27" t="s">
        <v>1485</v>
      </c>
      <c r="B8" s="27" t="s">
        <v>1486</v>
      </c>
      <c r="C8" s="27" t="s">
        <v>1487</v>
      </c>
      <c r="D8" s="27" t="s">
        <v>1488</v>
      </c>
      <c r="E8" s="27" t="s">
        <v>1489</v>
      </c>
    </row>
    <row r="9" spans="1:5" ht="17.25">
      <c r="A9" s="27" t="s">
        <v>1490</v>
      </c>
      <c r="B9" s="27" t="s">
        <v>1491</v>
      </c>
      <c r="C9" s="27" t="s">
        <v>1465</v>
      </c>
      <c r="D9" s="27" t="s">
        <v>1492</v>
      </c>
      <c r="E9" s="27" t="s">
        <v>1493</v>
      </c>
    </row>
    <row r="10" spans="1:5" ht="17.25">
      <c r="A10" s="27" t="s">
        <v>1494</v>
      </c>
      <c r="B10" s="27" t="s">
        <v>1495</v>
      </c>
      <c r="C10" s="27" t="s">
        <v>1469</v>
      </c>
      <c r="D10" s="27" t="s">
        <v>1496</v>
      </c>
      <c r="E10" s="27" t="s">
        <v>1497</v>
      </c>
    </row>
    <row r="11" spans="1:5" ht="17.25">
      <c r="A11" s="27" t="s">
        <v>1498</v>
      </c>
      <c r="B11" s="27" t="s">
        <v>1202</v>
      </c>
      <c r="C11" s="27" t="s">
        <v>1474</v>
      </c>
      <c r="D11" s="27" t="s">
        <v>1499</v>
      </c>
      <c r="E11" s="27"/>
    </row>
    <row r="12" spans="1:5" ht="17.25">
      <c r="A12" s="27" t="s">
        <v>1500</v>
      </c>
      <c r="B12" s="27" t="s">
        <v>1501</v>
      </c>
      <c r="C12" s="27" t="s">
        <v>1465</v>
      </c>
      <c r="D12" s="27" t="s">
        <v>1502</v>
      </c>
      <c r="E12" s="27"/>
    </row>
    <row r="13" spans="1:5" ht="17.25">
      <c r="A13" s="27" t="s">
        <v>1503</v>
      </c>
      <c r="B13" s="27" t="s">
        <v>1504</v>
      </c>
      <c r="C13" s="27" t="s">
        <v>1505</v>
      </c>
      <c r="D13" s="27" t="s">
        <v>1506</v>
      </c>
      <c r="E13" s="27"/>
    </row>
    <row r="14" spans="1:5" ht="17.25">
      <c r="A14" s="27" t="s">
        <v>1507</v>
      </c>
      <c r="B14" s="27" t="s">
        <v>1508</v>
      </c>
      <c r="C14" s="27" t="s">
        <v>1509</v>
      </c>
      <c r="D14" s="27" t="s">
        <v>1510</v>
      </c>
      <c r="E14" s="27"/>
    </row>
    <row r="15" spans="1:5" ht="17.25">
      <c r="A15" s="27" t="s">
        <v>1511</v>
      </c>
      <c r="B15" s="27" t="s">
        <v>1512</v>
      </c>
      <c r="C15" s="27" t="s">
        <v>1461</v>
      </c>
      <c r="D15" s="27"/>
      <c r="E15" s="27" t="s">
        <v>1513</v>
      </c>
    </row>
    <row r="16" spans="1:5" ht="17.25">
      <c r="A16" s="27" t="s">
        <v>1503</v>
      </c>
      <c r="B16" s="27" t="s">
        <v>1514</v>
      </c>
      <c r="C16" s="27" t="s">
        <v>1515</v>
      </c>
      <c r="D16" s="27"/>
      <c r="E16" s="27" t="s">
        <v>1516</v>
      </c>
    </row>
    <row r="17" spans="1:5" ht="17.25">
      <c r="A17" s="27" t="s">
        <v>1517</v>
      </c>
      <c r="B17" s="27" t="s">
        <v>1518</v>
      </c>
      <c r="C17" s="27" t="s">
        <v>1469</v>
      </c>
      <c r="D17" s="27"/>
      <c r="E17" s="27" t="s">
        <v>1519</v>
      </c>
    </row>
    <row r="18" spans="1:5" ht="17.25">
      <c r="A18" s="27" t="s">
        <v>1520</v>
      </c>
      <c r="B18" s="27" t="s">
        <v>255</v>
      </c>
      <c r="C18" s="27" t="s">
        <v>1521</v>
      </c>
      <c r="D18" s="27"/>
      <c r="E18" s="27" t="s">
        <v>1522</v>
      </c>
    </row>
    <row r="19" spans="1:5" ht="17.25">
      <c r="A19" s="27" t="s">
        <v>1523</v>
      </c>
      <c r="B19" s="27" t="s">
        <v>1524</v>
      </c>
      <c r="C19" s="27" t="s">
        <v>1505</v>
      </c>
      <c r="D19" s="27"/>
      <c r="E19" s="27" t="s">
        <v>1525</v>
      </c>
    </row>
    <row r="20" spans="1:5" ht="17.25">
      <c r="A20" s="27" t="s">
        <v>1526</v>
      </c>
      <c r="B20" s="27" t="s">
        <v>1527</v>
      </c>
      <c r="C20" s="27" t="s">
        <v>1509</v>
      </c>
      <c r="D20" s="27"/>
      <c r="E20" s="27" t="s">
        <v>1528</v>
      </c>
    </row>
    <row r="21" spans="1:5" ht="17.25">
      <c r="A21" s="27" t="s">
        <v>1529</v>
      </c>
      <c r="B21" s="27" t="s">
        <v>1530</v>
      </c>
      <c r="C21" s="27" t="s">
        <v>1469</v>
      </c>
      <c r="D21" s="27"/>
      <c r="E21" s="27" t="s">
        <v>1531</v>
      </c>
    </row>
    <row r="22" spans="1:5" ht="17.25">
      <c r="A22" s="27" t="s">
        <v>1532</v>
      </c>
      <c r="B22" s="27" t="s">
        <v>1533</v>
      </c>
      <c r="C22" s="27" t="s">
        <v>1469</v>
      </c>
      <c r="D22" s="27"/>
      <c r="E22" s="27" t="s">
        <v>1534</v>
      </c>
    </row>
    <row r="23" spans="1:5" ht="17.2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4.2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ht="15">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ht="15">
      <c r="A30" s="29" t="s">
        <v>1607</v>
      </c>
      <c r="B30" s="29" t="s">
        <v>1608</v>
      </c>
      <c r="C30" s="29" t="s">
        <v>1609</v>
      </c>
    </row>
    <row r="31" spans="1:3">
      <c r="A31" s="29" t="s">
        <v>95</v>
      </c>
      <c r="B31" s="29" t="s">
        <v>1610</v>
      </c>
      <c r="C31" s="29"/>
    </row>
    <row r="32" spans="1:3" ht="15">
      <c r="A32" s="29" t="s">
        <v>1504</v>
      </c>
      <c r="B32" s="29" t="s">
        <v>1611</v>
      </c>
      <c r="C32" s="29" t="s">
        <v>1612</v>
      </c>
    </row>
    <row r="33" spans="1:3" ht="15">
      <c r="A33" s="29" t="s">
        <v>1613</v>
      </c>
      <c r="B33" s="29" t="s">
        <v>1614</v>
      </c>
      <c r="C33" s="29"/>
    </row>
    <row r="34" spans="1:3">
      <c r="A34" s="29" t="s">
        <v>1615</v>
      </c>
      <c r="B34" s="29"/>
      <c r="C34" s="29"/>
    </row>
    <row r="35" spans="1:3">
      <c r="A35" s="29" t="s">
        <v>1616</v>
      </c>
      <c r="B35" s="29" t="s">
        <v>1617</v>
      </c>
      <c r="C35" s="29" t="s">
        <v>1618</v>
      </c>
    </row>
    <row r="36" spans="1:3" ht="15">
      <c r="A36" s="29" t="s">
        <v>25</v>
      </c>
      <c r="B36" s="29" t="s">
        <v>1619</v>
      </c>
      <c r="C36" s="29" t="s">
        <v>27</v>
      </c>
    </row>
    <row r="37" spans="1:3" ht="15">
      <c r="A37" s="29" t="s">
        <v>1620</v>
      </c>
      <c r="B37" s="29" t="s">
        <v>1621</v>
      </c>
      <c r="C37" s="29" t="s">
        <v>1622</v>
      </c>
    </row>
    <row r="38" spans="1:3" ht="15">
      <c r="A38" s="29" t="s">
        <v>1623</v>
      </c>
      <c r="B38" s="29" t="s">
        <v>1624</v>
      </c>
      <c r="C38" s="29" t="s">
        <v>1625</v>
      </c>
    </row>
    <row r="39" spans="1:3">
      <c r="A39" s="29" t="s">
        <v>419</v>
      </c>
      <c r="B39" s="29" t="s">
        <v>1626</v>
      </c>
      <c r="C39" s="29" t="s">
        <v>1627</v>
      </c>
    </row>
    <row r="40" spans="1:3" ht="15">
      <c r="A40" s="29" t="s">
        <v>330</v>
      </c>
      <c r="B40" s="29" t="s">
        <v>1628</v>
      </c>
      <c r="C40" s="29" t="s">
        <v>1629</v>
      </c>
    </row>
    <row r="41" spans="1:3" ht="15">
      <c r="A41" s="29" t="s">
        <v>1630</v>
      </c>
      <c r="B41" s="29" t="s">
        <v>1631</v>
      </c>
      <c r="C41" s="29" t="s">
        <v>1632</v>
      </c>
    </row>
    <row r="42" spans="1:3" ht="15">
      <c r="A42" s="29" t="s">
        <v>1633</v>
      </c>
      <c r="B42" s="29" t="s">
        <v>1634</v>
      </c>
      <c r="C42" s="29" t="s">
        <v>1635</v>
      </c>
    </row>
    <row r="43" spans="1:3" ht="15">
      <c r="A43" s="29" t="s">
        <v>1636</v>
      </c>
      <c r="B43" s="29" t="s">
        <v>1637</v>
      </c>
      <c r="C43" s="29" t="s">
        <v>112</v>
      </c>
    </row>
    <row r="44" spans="1:3">
      <c r="A44" s="29" t="s">
        <v>1638</v>
      </c>
      <c r="B44" s="29" t="s">
        <v>1639</v>
      </c>
      <c r="C44" s="29" t="s">
        <v>1640</v>
      </c>
    </row>
    <row r="45" spans="1:3">
      <c r="A45" s="29" t="s">
        <v>1641</v>
      </c>
      <c r="B45" s="29" t="s">
        <v>1642</v>
      </c>
      <c r="C45" s="29" t="s">
        <v>1643</v>
      </c>
    </row>
    <row r="46" spans="1:3" ht="15">
      <c r="A46" s="29" t="s">
        <v>1644</v>
      </c>
      <c r="B46" s="29" t="s">
        <v>1645</v>
      </c>
      <c r="C46" s="29" t="s">
        <v>1646</v>
      </c>
    </row>
    <row r="47" spans="1:3" ht="15">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4.25"/>
  <cols>
    <col min="1" max="1" width="28.625" customWidth="1"/>
    <col min="2" max="2" width="22.625" customWidth="1"/>
    <col min="3" max="3" width="28.875" customWidth="1"/>
    <col min="4" max="4" width="48.75" customWidth="1"/>
  </cols>
  <sheetData>
    <row r="1" spans="1:4" ht="17.25">
      <c r="A1" s="30" t="s">
        <v>1260</v>
      </c>
      <c r="B1" s="30" t="s">
        <v>0</v>
      </c>
      <c r="C1" s="30" t="s">
        <v>834</v>
      </c>
      <c r="D1" s="30" t="s">
        <v>1650</v>
      </c>
    </row>
    <row r="2" spans="1:4" ht="17.25">
      <c r="A2" s="31" t="s">
        <v>1651</v>
      </c>
      <c r="B2" s="31" t="s">
        <v>1652</v>
      </c>
      <c r="C2" s="31" t="s">
        <v>1653</v>
      </c>
      <c r="D2" s="31" t="s">
        <v>1654</v>
      </c>
    </row>
    <row r="3" spans="1:4" ht="17.25">
      <c r="A3" s="31" t="s">
        <v>1651</v>
      </c>
      <c r="B3" s="31" t="s">
        <v>1655</v>
      </c>
      <c r="C3" s="31" t="s">
        <v>1656</v>
      </c>
      <c r="D3" s="31" t="s">
        <v>1657</v>
      </c>
    </row>
    <row r="4" spans="1:4" ht="17.25">
      <c r="A4" s="31" t="s">
        <v>1539</v>
      </c>
      <c r="B4" s="31" t="s">
        <v>1538</v>
      </c>
      <c r="C4" s="31" t="s">
        <v>1540</v>
      </c>
      <c r="D4" s="31" t="s">
        <v>1658</v>
      </c>
    </row>
    <row r="5" spans="1:4" ht="17.25">
      <c r="A5" s="31" t="s">
        <v>1659</v>
      </c>
      <c r="B5" s="31" t="s">
        <v>1541</v>
      </c>
      <c r="C5" s="31" t="s">
        <v>1543</v>
      </c>
      <c r="D5" s="31" t="s">
        <v>1660</v>
      </c>
    </row>
    <row r="6" spans="1:4" ht="17.25">
      <c r="A6" s="31" t="s">
        <v>1545</v>
      </c>
      <c r="B6" s="31" t="s">
        <v>1544</v>
      </c>
      <c r="C6" s="31" t="s">
        <v>1661</v>
      </c>
      <c r="D6" s="31" t="s">
        <v>1662</v>
      </c>
    </row>
    <row r="7" spans="1:4" ht="17.25">
      <c r="A7" s="31" t="s">
        <v>184</v>
      </c>
      <c r="B7" s="31" t="s">
        <v>1547</v>
      </c>
      <c r="C7" s="31" t="s">
        <v>1548</v>
      </c>
      <c r="D7" s="31" t="s">
        <v>1663</v>
      </c>
    </row>
    <row r="8" spans="1:4" ht="17.25">
      <c r="A8" s="31" t="s">
        <v>1664</v>
      </c>
      <c r="B8" s="31" t="s">
        <v>1665</v>
      </c>
      <c r="C8" s="31" t="s">
        <v>1666</v>
      </c>
      <c r="D8" s="31" t="s">
        <v>1667</v>
      </c>
    </row>
    <row r="9" spans="1:4" ht="17.25">
      <c r="A9" s="31" t="s">
        <v>1550</v>
      </c>
      <c r="B9" s="31" t="s">
        <v>1549</v>
      </c>
      <c r="C9" s="31" t="s">
        <v>1551</v>
      </c>
      <c r="D9" s="31" t="s">
        <v>1668</v>
      </c>
    </row>
    <row r="10" spans="1:4" ht="17.25">
      <c r="A10" s="31" t="s">
        <v>1553</v>
      </c>
      <c r="B10" s="31" t="s">
        <v>1552</v>
      </c>
      <c r="C10" s="31" t="s">
        <v>1669</v>
      </c>
      <c r="D10" s="31" t="s">
        <v>1670</v>
      </c>
    </row>
    <row r="11" spans="1:4" ht="17.25">
      <c r="A11" s="31" t="s">
        <v>1556</v>
      </c>
      <c r="B11" s="31" t="s">
        <v>1555</v>
      </c>
      <c r="C11" s="31" t="s">
        <v>1557</v>
      </c>
      <c r="D11" s="31" t="s">
        <v>1671</v>
      </c>
    </row>
    <row r="12" spans="1:4" ht="17.25">
      <c r="A12" s="31" t="s">
        <v>1559</v>
      </c>
      <c r="B12" s="31" t="s">
        <v>1558</v>
      </c>
      <c r="C12" s="31" t="s">
        <v>1560</v>
      </c>
      <c r="D12" s="31" t="s">
        <v>1672</v>
      </c>
    </row>
    <row r="13" spans="1:4" ht="17.25">
      <c r="A13" s="31" t="s">
        <v>1562</v>
      </c>
      <c r="B13" s="31" t="s">
        <v>1561</v>
      </c>
      <c r="C13" s="31" t="s">
        <v>1563</v>
      </c>
      <c r="D13" s="31"/>
    </row>
    <row r="14" spans="1:4" ht="17.25">
      <c r="A14" s="31" t="s">
        <v>1223</v>
      </c>
      <c r="B14" s="31" t="s">
        <v>836</v>
      </c>
      <c r="C14" s="31" t="s">
        <v>837</v>
      </c>
      <c r="D14" s="31"/>
    </row>
    <row r="15" spans="1:4" ht="17.25">
      <c r="A15" s="31" t="s">
        <v>1576</v>
      </c>
      <c r="B15" s="31" t="s">
        <v>1575</v>
      </c>
      <c r="C15" s="31" t="s">
        <v>1577</v>
      </c>
      <c r="D15" s="31" t="s">
        <v>1673</v>
      </c>
    </row>
    <row r="16" spans="1:4" ht="17.25">
      <c r="A16" s="31" t="s">
        <v>1570</v>
      </c>
      <c r="B16" s="31" t="s">
        <v>1569</v>
      </c>
      <c r="C16" s="31" t="s">
        <v>1571</v>
      </c>
      <c r="D16" s="31" t="s">
        <v>1674</v>
      </c>
    </row>
    <row r="17" spans="1:4" ht="17.25">
      <c r="A17" s="31" t="s">
        <v>1573</v>
      </c>
      <c r="B17" s="31" t="s">
        <v>1675</v>
      </c>
      <c r="C17" s="31" t="s">
        <v>1676</v>
      </c>
      <c r="D17" s="31" t="s">
        <v>1677</v>
      </c>
    </row>
    <row r="18" spans="1:4" ht="17.25">
      <c r="A18" s="31" t="s">
        <v>1579</v>
      </c>
      <c r="B18" s="31" t="s">
        <v>1578</v>
      </c>
      <c r="C18" s="31" t="s">
        <v>1678</v>
      </c>
      <c r="D18" s="31" t="s">
        <v>1679</v>
      </c>
    </row>
    <row r="19" spans="1:4" ht="17.25">
      <c r="A19" s="31" t="s">
        <v>1680</v>
      </c>
      <c r="B19" s="31" t="s">
        <v>1583</v>
      </c>
      <c r="C19" s="31"/>
      <c r="D19" s="31"/>
    </row>
    <row r="20" spans="1:4" ht="17.25">
      <c r="A20" s="31"/>
      <c r="B20" s="31" t="s">
        <v>1585</v>
      </c>
      <c r="C20" s="31" t="s">
        <v>1586</v>
      </c>
      <c r="D20" s="31" t="s">
        <v>1681</v>
      </c>
    </row>
    <row r="21" spans="1:4" ht="17.25">
      <c r="A21" s="31" t="s">
        <v>1682</v>
      </c>
      <c r="B21" s="31" t="s">
        <v>1683</v>
      </c>
      <c r="C21" s="31"/>
      <c r="D21" s="31" t="s">
        <v>1684</v>
      </c>
    </row>
    <row r="22" spans="1:4" ht="17.25">
      <c r="A22" s="31" t="s">
        <v>1685</v>
      </c>
      <c r="B22" s="31" t="s">
        <v>1607</v>
      </c>
      <c r="C22" s="31" t="s">
        <v>1609</v>
      </c>
      <c r="D22" s="31"/>
    </row>
    <row r="23" spans="1:4" ht="17.25">
      <c r="A23" s="31" t="s">
        <v>1610</v>
      </c>
      <c r="B23" s="31" t="s">
        <v>95</v>
      </c>
      <c r="C23" s="31"/>
      <c r="D23" s="31"/>
    </row>
    <row r="24" spans="1:4" ht="17.25">
      <c r="A24" s="31" t="s">
        <v>323</v>
      </c>
      <c r="B24" s="31" t="s">
        <v>1504</v>
      </c>
      <c r="C24" s="31" t="s">
        <v>1686</v>
      </c>
      <c r="D24" s="31"/>
    </row>
    <row r="25" spans="1:4" ht="17.25">
      <c r="A25" s="31" t="s">
        <v>159</v>
      </c>
      <c r="B25" s="31" t="s">
        <v>1613</v>
      </c>
      <c r="C25" s="31"/>
      <c r="D25" s="31"/>
    </row>
    <row r="26" spans="1:4" ht="17.25">
      <c r="A26" s="31" t="s">
        <v>1687</v>
      </c>
      <c r="B26" s="31" t="s">
        <v>1616</v>
      </c>
      <c r="C26" s="31" t="s">
        <v>1618</v>
      </c>
      <c r="D26" s="31"/>
    </row>
    <row r="27" spans="1:4" ht="17.25">
      <c r="A27" s="31" t="s">
        <v>26</v>
      </c>
      <c r="B27" s="31" t="s">
        <v>25</v>
      </c>
      <c r="C27" s="31" t="s">
        <v>27</v>
      </c>
      <c r="D27" s="31"/>
    </row>
    <row r="28" spans="1:4" ht="17.25">
      <c r="A28" s="31" t="s">
        <v>1688</v>
      </c>
      <c r="B28" s="31" t="s">
        <v>1620</v>
      </c>
      <c r="C28" s="31" t="s">
        <v>1622</v>
      </c>
      <c r="D28" s="31"/>
    </row>
    <row r="29" spans="1:4" ht="17.25">
      <c r="A29" s="31" t="s">
        <v>1689</v>
      </c>
      <c r="B29" s="31" t="s">
        <v>1623</v>
      </c>
      <c r="C29" s="31" t="s">
        <v>1625</v>
      </c>
      <c r="D29" s="31"/>
    </row>
    <row r="30" spans="1:4" ht="17.25">
      <c r="A30" s="31" t="s">
        <v>194</v>
      </c>
      <c r="B30" s="31" t="s">
        <v>330</v>
      </c>
      <c r="C30" s="31" t="s">
        <v>1629</v>
      </c>
      <c r="D30" s="31"/>
    </row>
    <row r="31" spans="1:4" ht="17.25">
      <c r="A31" s="31" t="s">
        <v>1690</v>
      </c>
      <c r="B31" s="31" t="s">
        <v>1630</v>
      </c>
      <c r="C31" s="31" t="s">
        <v>1632</v>
      </c>
      <c r="D31" s="31"/>
    </row>
    <row r="32" spans="1:4" ht="17.25">
      <c r="A32" s="31" t="s">
        <v>1691</v>
      </c>
      <c r="B32" s="31" t="s">
        <v>1633</v>
      </c>
      <c r="C32" s="31" t="s">
        <v>1635</v>
      </c>
      <c r="D32" s="31"/>
    </row>
    <row r="33" spans="1:4" ht="17.25">
      <c r="A33" s="31" t="s">
        <v>1498</v>
      </c>
      <c r="B33" s="31" t="s">
        <v>1636</v>
      </c>
      <c r="C33" s="31" t="s">
        <v>112</v>
      </c>
      <c r="D33" s="31"/>
    </row>
    <row r="34" spans="1:4" ht="17.25">
      <c r="A34" s="31" t="s">
        <v>1639</v>
      </c>
      <c r="B34" s="31" t="s">
        <v>1638</v>
      </c>
      <c r="C34" s="31" t="s">
        <v>1640</v>
      </c>
      <c r="D34" s="31"/>
    </row>
    <row r="35" spans="1:4" ht="17.25">
      <c r="A35" s="31" t="s">
        <v>1642</v>
      </c>
      <c r="B35" s="31" t="s">
        <v>1641</v>
      </c>
      <c r="C35" s="31" t="s">
        <v>1643</v>
      </c>
      <c r="D35" s="31"/>
    </row>
    <row r="36" spans="1:4" ht="17.25">
      <c r="A36" s="31" t="s">
        <v>1692</v>
      </c>
      <c r="B36" s="31" t="s">
        <v>1644</v>
      </c>
      <c r="C36" s="31" t="s">
        <v>1693</v>
      </c>
      <c r="D36" s="31"/>
    </row>
    <row r="37" spans="1:4" ht="17.25">
      <c r="A37" s="31" t="s">
        <v>1694</v>
      </c>
      <c r="B37" s="31" t="s">
        <v>1647</v>
      </c>
      <c r="C37" s="31" t="s">
        <v>1649</v>
      </c>
      <c r="D37" s="31"/>
    </row>
    <row r="38" spans="1:4" ht="17.25">
      <c r="A38" s="31" t="s">
        <v>1590</v>
      </c>
      <c r="B38" s="31" t="s">
        <v>1589</v>
      </c>
      <c r="C38" s="31" t="s">
        <v>1591</v>
      </c>
      <c r="D38" s="31" t="s">
        <v>1695</v>
      </c>
    </row>
    <row r="39" spans="1:4" ht="17.25">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4.2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4.2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2289</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4.25"/>
  <cols>
    <col min="1" max="1" width="36.125" customWidth="1"/>
    <col min="2" max="2" width="25.25" customWidth="1"/>
    <col min="3" max="3" width="48.125" customWidth="1"/>
  </cols>
  <sheetData>
    <row r="1" spans="1:3" ht="17.25">
      <c r="A1" s="26" t="s">
        <v>1260</v>
      </c>
      <c r="B1" s="26" t="s">
        <v>834</v>
      </c>
      <c r="C1" s="26" t="s">
        <v>1458</v>
      </c>
    </row>
    <row r="2" spans="1:3" ht="17.25">
      <c r="A2" s="27" t="s">
        <v>788</v>
      </c>
      <c r="B2" s="27" t="s">
        <v>2178</v>
      </c>
      <c r="C2" s="27" t="s">
        <v>2179</v>
      </c>
    </row>
    <row r="3" spans="1:3" ht="17.25">
      <c r="A3" s="27" t="s">
        <v>2180</v>
      </c>
      <c r="B3" s="27" t="s">
        <v>2181</v>
      </c>
      <c r="C3" s="27" t="s">
        <v>2182</v>
      </c>
    </row>
    <row r="4" spans="1:3" ht="17.25">
      <c r="A4" s="27" t="s">
        <v>2183</v>
      </c>
      <c r="B4" s="27" t="s">
        <v>1274</v>
      </c>
      <c r="C4" s="27" t="s">
        <v>2184</v>
      </c>
    </row>
    <row r="5" spans="1:3" ht="17.25">
      <c r="A5" s="27" t="s">
        <v>2185</v>
      </c>
      <c r="B5" s="27" t="s">
        <v>2186</v>
      </c>
      <c r="C5" s="27" t="s">
        <v>2187</v>
      </c>
    </row>
    <row r="6" spans="1:3" ht="17.25">
      <c r="A6" s="27" t="s">
        <v>1263</v>
      </c>
      <c r="B6" s="27" t="s">
        <v>575</v>
      </c>
      <c r="C6" s="27" t="s">
        <v>2188</v>
      </c>
    </row>
    <row r="7" spans="1:3" ht="17.25">
      <c r="A7" s="27" t="s">
        <v>2189</v>
      </c>
      <c r="B7" s="27" t="s">
        <v>2190</v>
      </c>
      <c r="C7" s="27" t="s">
        <v>2191</v>
      </c>
    </row>
    <row r="8" spans="1:3" ht="17.25">
      <c r="A8" s="27" t="s">
        <v>2192</v>
      </c>
      <c r="B8" s="27" t="s">
        <v>2193</v>
      </c>
      <c r="C8" s="27" t="s">
        <v>2194</v>
      </c>
    </row>
    <row r="9" spans="1:3" ht="17.25">
      <c r="A9" s="27" t="s">
        <v>1385</v>
      </c>
      <c r="B9" s="27" t="s">
        <v>2195</v>
      </c>
      <c r="C9" s="2">
        <v>13501130818</v>
      </c>
    </row>
    <row r="10" spans="1:3" ht="17.25">
      <c r="A10" s="27" t="s">
        <v>2196</v>
      </c>
      <c r="B10" s="27" t="s">
        <v>2197</v>
      </c>
      <c r="C10" s="27" t="s">
        <v>2198</v>
      </c>
    </row>
    <row r="11" spans="1:3" ht="17.25">
      <c r="A11" s="27" t="s">
        <v>2199</v>
      </c>
      <c r="B11" s="27" t="s">
        <v>2200</v>
      </c>
      <c r="C11" s="27" t="s">
        <v>2201</v>
      </c>
    </row>
    <row r="12" spans="1:3" ht="17.25">
      <c r="A12" s="27" t="s">
        <v>2202</v>
      </c>
      <c r="B12" s="27" t="s">
        <v>2203</v>
      </c>
      <c r="C12" s="27" t="s">
        <v>2204</v>
      </c>
    </row>
    <row r="13" spans="1:3" ht="17.25">
      <c r="A13" s="27" t="s">
        <v>2205</v>
      </c>
      <c r="B13" s="27" t="s">
        <v>2206</v>
      </c>
      <c r="C13" s="27" t="s">
        <v>2207</v>
      </c>
    </row>
    <row r="14" spans="1:3" ht="17.25">
      <c r="A14" s="27" t="s">
        <v>2208</v>
      </c>
      <c r="B14" s="27"/>
      <c r="C14" s="27" t="s">
        <v>2209</v>
      </c>
    </row>
    <row r="15" spans="1:3" ht="17.25">
      <c r="A15" s="27" t="s">
        <v>2210</v>
      </c>
      <c r="B15" s="27"/>
      <c r="C15" s="27" t="s">
        <v>2211</v>
      </c>
    </row>
    <row r="16" spans="1:3" ht="17.25">
      <c r="A16" s="27" t="s">
        <v>2212</v>
      </c>
      <c r="B16" s="27"/>
      <c r="C16" s="27" t="s">
        <v>2213</v>
      </c>
    </row>
    <row r="17" spans="1:3" ht="17.25">
      <c r="A17" s="27" t="s">
        <v>2214</v>
      </c>
      <c r="B17" s="27"/>
      <c r="C17" s="27" t="s">
        <v>2215</v>
      </c>
    </row>
    <row r="18" spans="1:3" ht="17.25">
      <c r="A18" s="27" t="s">
        <v>2210</v>
      </c>
      <c r="B18" s="27"/>
      <c r="C18" s="27" t="s">
        <v>2216</v>
      </c>
    </row>
    <row r="19" spans="1:3" ht="17.25">
      <c r="A19" s="27" t="s">
        <v>2217</v>
      </c>
      <c r="B19" s="27"/>
      <c r="C19" s="27" t="s">
        <v>2218</v>
      </c>
    </row>
    <row r="20" spans="1:3" ht="17.25">
      <c r="A20" s="27" t="s">
        <v>2219</v>
      </c>
      <c r="B20" s="27"/>
      <c r="C20" s="27" t="s">
        <v>2220</v>
      </c>
    </row>
    <row r="21" spans="1:3" ht="17.25">
      <c r="A21" s="27" t="s">
        <v>2221</v>
      </c>
      <c r="B21" s="27"/>
      <c r="C21" s="27" t="s">
        <v>2222</v>
      </c>
    </row>
    <row r="22" spans="1:3" ht="17.25">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3</vt:i4>
      </vt:variant>
    </vt:vector>
  </HeadingPairs>
  <TitlesOfParts>
    <vt:vector size="22" baseType="lpstr">
      <vt:lpstr>新资源</vt:lpstr>
      <vt:lpstr>00Tools</vt:lpstr>
      <vt:lpstr>PushCycle</vt:lpstr>
      <vt:lpstr>活动参加者</vt:lpstr>
      <vt:lpstr>投资人列表</vt:lpstr>
      <vt:lpstr>机构列表</vt:lpstr>
      <vt:lpstr>Contacts</vt:lpstr>
      <vt:lpstr>右侧是原始</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Sun Shubin Live</cp:lastModifiedBy>
  <cp:lastPrinted>2019-12-03T09:57:23Z</cp:lastPrinted>
  <dcterms:created xsi:type="dcterms:W3CDTF">2019-11-04T07:47:16Z</dcterms:created>
  <dcterms:modified xsi:type="dcterms:W3CDTF">2022-05-07T03:09:25Z</dcterms:modified>
</cp:coreProperties>
</file>