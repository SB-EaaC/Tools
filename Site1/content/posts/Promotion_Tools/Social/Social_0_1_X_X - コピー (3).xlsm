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80244614d81fa6b2/SSb-Publish@com/Promotion_Tools/Social/"/>
    </mc:Choice>
  </mc:AlternateContent>
  <xr:revisionPtr revIDLastSave="35" documentId="13_ncr:1_{00C01047-B12E-486F-91F9-F4C73AA30DCC}" xr6:coauthVersionLast="47" xr6:coauthVersionMax="47" xr10:uidLastSave="{680B8B05-29AA-4D07-A06F-8D197CCB3118}"/>
  <bookViews>
    <workbookView xWindow="-120" yWindow="-120" windowWidth="24240" windowHeight="13020" tabRatio="754" activeTab="6" xr2:uid="{2D808D52-854E-4D80-BD4A-7D7345A3D105}"/>
  </bookViews>
  <sheets>
    <sheet name="List" sheetId="25" r:id="rId1"/>
    <sheet name="得意先" sheetId="24" r:id="rId2"/>
    <sheet name="協力会社" sheetId="23" r:id="rId3"/>
    <sheet name="新资源" sheetId="19" r:id="rId4"/>
    <sheet name="00Tools" sheetId="16" r:id="rId5"/>
    <sheet name="PushCycle" sheetId="17" r:id="rId6"/>
    <sheet name="活动参加者" sheetId="21" r:id="rId7"/>
    <sheet name="投资人列表" sheetId="12" r:id="rId8"/>
    <sheet name="机构列表" sheetId="13" r:id="rId9"/>
    <sheet name="Contacts" sheetId="22" r:id="rId10"/>
    <sheet name="右侧是原始" sheetId="15" r:id="rId11"/>
    <sheet name="投资人邮箱1" sheetId="1" r:id="rId12"/>
    <sheet name="投资人邮箱2" sheetId="2" r:id="rId13"/>
    <sheet name="投资人邮箱3" sheetId="3" r:id="rId14"/>
    <sheet name="投资人邮箱4" sheetId="4" r:id="rId15"/>
    <sheet name="投资人邮箱5" sheetId="5" r:id="rId16"/>
    <sheet name="投资人邮箱6" sheetId="6" r:id="rId17"/>
    <sheet name="投资人邮箱7" sheetId="7" r:id="rId18"/>
    <sheet name="投资人邮箱8" sheetId="8" r:id="rId19"/>
    <sheet name="VC" sheetId="9" r:id="rId20"/>
    <sheet name="重要VC" sheetId="10" r:id="rId21"/>
    <sheet name="机构" sheetId="11" r:id="rId22"/>
  </sheets>
  <externalReferences>
    <externalReference r:id="rId23"/>
    <externalReference r:id="rId24"/>
    <externalReference r:id="rId25"/>
  </externalReferences>
  <definedNames>
    <definedName name="_xlnm._FilterDatabase" localSheetId="9" hidden="1">Contacts!$A$1:$R$142</definedName>
    <definedName name="_xlnm._FilterDatabase" localSheetId="5">PushCycle!$A$1:$J$522</definedName>
    <definedName name="_xlnm._FilterDatabase" localSheetId="6" hidden="1">活动参加者!$A$1:$L$30</definedName>
    <definedName name="_xlnm._FilterDatabase" localSheetId="8">机构列表!$A$1:$AD$171</definedName>
    <definedName name="_xlnm._FilterDatabase" localSheetId="2" hidden="1">協力会社!$A$1:$I$2234</definedName>
    <definedName name="_xlnm._FilterDatabase" localSheetId="7" hidden="1">投资人列表!$A$1:$AC$797</definedName>
    <definedName name="IT">[1]Dict!#REF!</definedName>
    <definedName name="IT技能">#REF!</definedName>
    <definedName name="Life">#REF!</definedName>
    <definedName name="Password">#REF!</definedName>
    <definedName name="unnamed1">#REF!</definedName>
    <definedName name="unnamed2">'[2]Training Plan'!$A$246:$J$248</definedName>
    <definedName name="Word">#REF!</definedName>
    <definedName name="Word_Excel_BuiltIn__FilterDatabase">'[3]Word '!$A$1:$U$3395</definedName>
    <definedName name="Work">#REF!</definedName>
    <definedName name="英語">#REF!</definedName>
    <definedName name="活用">[1]Dict!#REF!</definedName>
    <definedName name="工作">[1]Dict!#REF!</definedName>
    <definedName name="人物">[1]Dict!#REF!</definedName>
    <definedName name="生活">[1]Dict!#REF!</definedName>
    <definedName name="青少年室">#REF!</definedName>
    <definedName name="知识">[1]Dict!#REF!</definedName>
    <definedName name="天使轮">机构列表!$L$1</definedName>
    <definedName name="読書">#REF!</definedName>
    <definedName name="日本語">#REF!</definedName>
    <definedName name="日剧">#REF!</definedName>
    <definedName name="福冈县立">#REF!</definedName>
    <definedName name="文法">[1]Dict!#REF!</definedName>
    <definedName name="料理">[1]Dict!#REF!</definedName>
    <definedName name="专用词">[1]Dict!#REF!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3" l="1"/>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J904" i="23"/>
  <c r="J905" i="23"/>
  <c r="J906" i="23"/>
  <c r="J907" i="23"/>
  <c r="J908" i="23"/>
  <c r="J909" i="23"/>
  <c r="J910" i="23"/>
  <c r="J911" i="23"/>
  <c r="J912" i="23"/>
  <c r="J913" i="23"/>
  <c r="J914" i="23"/>
  <c r="J915" i="23"/>
  <c r="J916" i="23"/>
  <c r="J917" i="23"/>
  <c r="J918" i="23"/>
  <c r="J919" i="23"/>
  <c r="J920" i="23"/>
  <c r="J921" i="23"/>
  <c r="J922" i="23"/>
  <c r="J923" i="23"/>
  <c r="J924" i="23"/>
  <c r="J925" i="23"/>
  <c r="J926" i="23"/>
  <c r="J927" i="23"/>
  <c r="J928" i="23"/>
  <c r="J929" i="23"/>
  <c r="J930" i="23"/>
  <c r="J931" i="23"/>
  <c r="J932" i="23"/>
  <c r="J933" i="23"/>
  <c r="J934" i="23"/>
  <c r="J935" i="23"/>
  <c r="J936" i="23"/>
  <c r="J937" i="23"/>
  <c r="J938" i="23"/>
  <c r="J939" i="23"/>
  <c r="J940" i="23"/>
  <c r="J941" i="23"/>
  <c r="J942" i="23"/>
  <c r="J943" i="23"/>
  <c r="J944" i="23"/>
  <c r="J945" i="23"/>
  <c r="J946" i="23"/>
  <c r="J947" i="23"/>
  <c r="J948" i="23"/>
  <c r="J949" i="23"/>
  <c r="J950" i="23"/>
  <c r="J951" i="23"/>
  <c r="J952" i="23"/>
  <c r="J953" i="23"/>
  <c r="J954" i="23"/>
  <c r="J955" i="23"/>
  <c r="J956" i="23"/>
  <c r="J957" i="23"/>
  <c r="J958" i="23"/>
  <c r="J959" i="23"/>
  <c r="J960" i="23"/>
  <c r="J961" i="23"/>
  <c r="J962" i="23"/>
  <c r="J963" i="23"/>
  <c r="J964" i="23"/>
  <c r="J965" i="23"/>
  <c r="J966" i="23"/>
  <c r="J967" i="23"/>
  <c r="J968" i="23"/>
  <c r="J969" i="23"/>
  <c r="J970" i="23"/>
  <c r="J971" i="23"/>
  <c r="J972" i="23"/>
  <c r="J973" i="23"/>
  <c r="J974" i="23"/>
  <c r="J975" i="23"/>
  <c r="J976" i="23"/>
  <c r="J977" i="23"/>
  <c r="J978" i="23"/>
  <c r="J979" i="23"/>
  <c r="J980" i="23"/>
  <c r="J981" i="23"/>
  <c r="J982" i="23"/>
  <c r="J983" i="23"/>
  <c r="J984" i="23"/>
  <c r="J985" i="23"/>
  <c r="J986" i="23"/>
  <c r="J987" i="23"/>
  <c r="J988" i="23"/>
  <c r="J989" i="23"/>
  <c r="J990" i="23"/>
  <c r="J991" i="23"/>
  <c r="J992" i="23"/>
  <c r="J993" i="23"/>
  <c r="J994" i="23"/>
  <c r="J995" i="23"/>
  <c r="J996" i="23"/>
  <c r="J997" i="23"/>
  <c r="J998" i="23"/>
  <c r="J999" i="23"/>
  <c r="J1000" i="23"/>
  <c r="J1001" i="23"/>
  <c r="J1002" i="23"/>
  <c r="J1003" i="23"/>
  <c r="J1004" i="23"/>
  <c r="J1005" i="23"/>
  <c r="J1006" i="23"/>
  <c r="J1007" i="23"/>
  <c r="J1008" i="23"/>
  <c r="J1009" i="23"/>
  <c r="J1010" i="23"/>
  <c r="J1011" i="23"/>
  <c r="J1012" i="23"/>
  <c r="J1013" i="23"/>
  <c r="J1014" i="23"/>
  <c r="J1015" i="23"/>
  <c r="J1016" i="23"/>
  <c r="J1017" i="23"/>
  <c r="J1018" i="23"/>
  <c r="J1019" i="23"/>
  <c r="J1020" i="23"/>
  <c r="J1021" i="23"/>
  <c r="J1022" i="23"/>
  <c r="J1023" i="23"/>
  <c r="J1024" i="23"/>
  <c r="J1025" i="23"/>
  <c r="J1026" i="23"/>
  <c r="J1027" i="23"/>
  <c r="J1028" i="23"/>
  <c r="J1029" i="23"/>
  <c r="J1030" i="23"/>
  <c r="J1031" i="23"/>
  <c r="J1032" i="23"/>
  <c r="J1033" i="23"/>
  <c r="J1034" i="23"/>
  <c r="J1035" i="23"/>
  <c r="J1036" i="23"/>
  <c r="J1037" i="23"/>
  <c r="J1038" i="23"/>
  <c r="J1039" i="23"/>
  <c r="J1040" i="23"/>
  <c r="J1041" i="23"/>
  <c r="J1042" i="23"/>
  <c r="J1043" i="23"/>
  <c r="J1044" i="23"/>
  <c r="J1045" i="23"/>
  <c r="J1046" i="23"/>
  <c r="J1047" i="23"/>
  <c r="J1048" i="23"/>
  <c r="J1049" i="23"/>
  <c r="J1050" i="23"/>
  <c r="J1051" i="23"/>
  <c r="J1052" i="23"/>
  <c r="J1053" i="23"/>
  <c r="J1054" i="23"/>
  <c r="J1055" i="23"/>
  <c r="J1056" i="23"/>
  <c r="J1057" i="23"/>
  <c r="J1058" i="23"/>
  <c r="J1059" i="23"/>
  <c r="J1060" i="23"/>
  <c r="J1061" i="23"/>
  <c r="J1062" i="23"/>
  <c r="J1063" i="23"/>
  <c r="J1064" i="23"/>
  <c r="J1065" i="23"/>
  <c r="J1066" i="23"/>
  <c r="J1067" i="23"/>
  <c r="J1068" i="23"/>
  <c r="J1069" i="23"/>
  <c r="J1070" i="23"/>
  <c r="J1071" i="23"/>
  <c r="J1072" i="23"/>
  <c r="J1073" i="23"/>
  <c r="J1074" i="23"/>
  <c r="J1075" i="23"/>
  <c r="J1076" i="23"/>
  <c r="J1077" i="23"/>
  <c r="J1078" i="23"/>
  <c r="J1079" i="23"/>
  <c r="J1080" i="23"/>
  <c r="J1081" i="23"/>
  <c r="J1082" i="23"/>
  <c r="J1083" i="23"/>
  <c r="J1084" i="23"/>
  <c r="J1085" i="23"/>
  <c r="J1086" i="23"/>
  <c r="J1087" i="23"/>
  <c r="J1088" i="23"/>
  <c r="J1089" i="23"/>
  <c r="J1090" i="23"/>
  <c r="J1091" i="23"/>
  <c r="J1092" i="23"/>
  <c r="J1093" i="23"/>
  <c r="J1094" i="23"/>
  <c r="J1095" i="23"/>
  <c r="J1096" i="23"/>
  <c r="J1097" i="23"/>
  <c r="J1098" i="23"/>
  <c r="J1099" i="23"/>
  <c r="J1100" i="23"/>
  <c r="J1101" i="23"/>
  <c r="J1102" i="23"/>
  <c r="J1103" i="23"/>
  <c r="J1104" i="23"/>
  <c r="J1105" i="23"/>
  <c r="J1106" i="23"/>
  <c r="J1107" i="23"/>
  <c r="J1108" i="23"/>
  <c r="J1109" i="23"/>
  <c r="J1110" i="23"/>
  <c r="J1111" i="23"/>
  <c r="J1112" i="23"/>
  <c r="J1113" i="23"/>
  <c r="J1114" i="23"/>
  <c r="J1115" i="23"/>
  <c r="J1116" i="23"/>
  <c r="J1117" i="23"/>
  <c r="J1118" i="23"/>
  <c r="J1119" i="23"/>
  <c r="J1120" i="23"/>
  <c r="J1121" i="23"/>
  <c r="J1122" i="23"/>
  <c r="J1123" i="23"/>
  <c r="J1124" i="23"/>
  <c r="J1125" i="23"/>
  <c r="J1126" i="23"/>
  <c r="J1127" i="23"/>
  <c r="J1128" i="23"/>
  <c r="J1129" i="23"/>
  <c r="J1130" i="23"/>
  <c r="J1131" i="23"/>
  <c r="J1132" i="23"/>
  <c r="J1133" i="23"/>
  <c r="J1134" i="23"/>
  <c r="J1135" i="23"/>
  <c r="J1136" i="23"/>
  <c r="J1137" i="23"/>
  <c r="J1138" i="23"/>
  <c r="J1139" i="23"/>
  <c r="J1140" i="23"/>
  <c r="J1141" i="23"/>
  <c r="J1142" i="23"/>
  <c r="J1143" i="23"/>
  <c r="J1144" i="23"/>
  <c r="J1145" i="23"/>
  <c r="J1146" i="23"/>
  <c r="J1147" i="23"/>
  <c r="J1148" i="23"/>
  <c r="J1149" i="23"/>
  <c r="J1150" i="23"/>
  <c r="J1151" i="23"/>
  <c r="J1152" i="23"/>
  <c r="J1153" i="23"/>
  <c r="J1154" i="23"/>
  <c r="J1155" i="23"/>
  <c r="J1156" i="23"/>
  <c r="J1157" i="23"/>
  <c r="J1158" i="23"/>
  <c r="J1159" i="23"/>
  <c r="J1160" i="23"/>
  <c r="J1161" i="23"/>
  <c r="J1162" i="23"/>
  <c r="J1163" i="23"/>
  <c r="J1164" i="23"/>
  <c r="J1165" i="23"/>
  <c r="J1166" i="23"/>
  <c r="J1167" i="23"/>
  <c r="J1168" i="23"/>
  <c r="J1169" i="23"/>
  <c r="J1170" i="23"/>
  <c r="J1171" i="23"/>
  <c r="J1172" i="23"/>
  <c r="J1173" i="23"/>
  <c r="J1174" i="23"/>
  <c r="J1175" i="23"/>
  <c r="J1176" i="23"/>
  <c r="J1177" i="23"/>
  <c r="J1178" i="23"/>
  <c r="J1179" i="23"/>
  <c r="J1180" i="23"/>
  <c r="J1181" i="23"/>
  <c r="J1182" i="23"/>
  <c r="J1183" i="23"/>
  <c r="J1184" i="23"/>
  <c r="J1185" i="23"/>
  <c r="J1186" i="23"/>
  <c r="J1187" i="23"/>
  <c r="J1188" i="23"/>
  <c r="J1189" i="23"/>
  <c r="J1190" i="23"/>
  <c r="J1191" i="23"/>
  <c r="J1192" i="23"/>
  <c r="J1193" i="23"/>
  <c r="J1194" i="23"/>
  <c r="J1195" i="23"/>
  <c r="J1196" i="23"/>
  <c r="J1197" i="23"/>
  <c r="J1198" i="23"/>
  <c r="J1199" i="23"/>
  <c r="J1200" i="23"/>
  <c r="J1201" i="23"/>
  <c r="J1202" i="23"/>
  <c r="J1203" i="23"/>
  <c r="J1204" i="23"/>
  <c r="J1205" i="23"/>
  <c r="J1206" i="23"/>
  <c r="J1207" i="23"/>
  <c r="J1208" i="23"/>
  <c r="J1209" i="23"/>
  <c r="J1210" i="23"/>
  <c r="J1211" i="23"/>
  <c r="J1212" i="23"/>
  <c r="J1213" i="23"/>
  <c r="J1214" i="23"/>
  <c r="J1215" i="23"/>
  <c r="J1216" i="23"/>
  <c r="J1217" i="23"/>
  <c r="J1218" i="23"/>
  <c r="J1219" i="23"/>
  <c r="J1220" i="23"/>
  <c r="J1221" i="23"/>
  <c r="J1222" i="23"/>
  <c r="J1223" i="23"/>
  <c r="J1224" i="23"/>
  <c r="J1225" i="23"/>
  <c r="J1226" i="23"/>
  <c r="J1227" i="23"/>
  <c r="J1228" i="23"/>
  <c r="J1229" i="23"/>
  <c r="J1230" i="23"/>
  <c r="J1231" i="23"/>
  <c r="J1232" i="23"/>
  <c r="J1233" i="23"/>
  <c r="J1234" i="23"/>
  <c r="J1235" i="23"/>
  <c r="J1236" i="23"/>
  <c r="J1237" i="23"/>
  <c r="J1238" i="23"/>
  <c r="J1239" i="23"/>
  <c r="J1240" i="23"/>
  <c r="J1241" i="23"/>
  <c r="J1242" i="23"/>
  <c r="J1243" i="23"/>
  <c r="J1244" i="23"/>
  <c r="J1245" i="23"/>
  <c r="J1246" i="23"/>
  <c r="J1247" i="23"/>
  <c r="J1248" i="23"/>
  <c r="J1249" i="23"/>
  <c r="J1250" i="23"/>
  <c r="J1251" i="23"/>
  <c r="J1252" i="23"/>
  <c r="J1253" i="23"/>
  <c r="J1254" i="23"/>
  <c r="J1255" i="23"/>
  <c r="J1256" i="23"/>
  <c r="J1257" i="23"/>
  <c r="J1258" i="23"/>
  <c r="J1259" i="23"/>
  <c r="J1260" i="23"/>
  <c r="J1261" i="23"/>
  <c r="J1262" i="23"/>
  <c r="J1263" i="23"/>
  <c r="J1264" i="23"/>
  <c r="J1265" i="23"/>
  <c r="J1266" i="23"/>
  <c r="J1267" i="23"/>
  <c r="J1268" i="23"/>
  <c r="J1269" i="23"/>
  <c r="J1270" i="23"/>
  <c r="J1271" i="23"/>
  <c r="J1272" i="23"/>
  <c r="J1273" i="23"/>
  <c r="J1274" i="23"/>
  <c r="J1275" i="23"/>
  <c r="J1276" i="23"/>
  <c r="J1277" i="23"/>
  <c r="J1278" i="23"/>
  <c r="J1279" i="23"/>
  <c r="J1280" i="23"/>
  <c r="J1281" i="23"/>
  <c r="J1282" i="23"/>
  <c r="J1283" i="23"/>
  <c r="J1284" i="23"/>
  <c r="J1285" i="23"/>
  <c r="J1286" i="23"/>
  <c r="J1287" i="23"/>
  <c r="J1288" i="23"/>
  <c r="J1289" i="23"/>
  <c r="J1290" i="23"/>
  <c r="J1291" i="23"/>
  <c r="J1292" i="23"/>
  <c r="J1293" i="23"/>
  <c r="J1294" i="23"/>
  <c r="J1295" i="23"/>
  <c r="J1296" i="23"/>
  <c r="J1297" i="23"/>
  <c r="J1298" i="23"/>
  <c r="J1299" i="23"/>
  <c r="J1300" i="23"/>
  <c r="J1301" i="23"/>
  <c r="J1302" i="23"/>
  <c r="J1303" i="23"/>
  <c r="J1304" i="23"/>
  <c r="J1305" i="23"/>
  <c r="J1306" i="23"/>
  <c r="J1307" i="23"/>
  <c r="J1308" i="23"/>
  <c r="J1309" i="23"/>
  <c r="J1310" i="23"/>
  <c r="J1311" i="23"/>
  <c r="J1312" i="23"/>
  <c r="J1313" i="23"/>
  <c r="J1314" i="23"/>
  <c r="J1315" i="23"/>
  <c r="J1316" i="23"/>
  <c r="J1317" i="23"/>
  <c r="J1318" i="23"/>
  <c r="J1319" i="23"/>
  <c r="J1320" i="23"/>
  <c r="J1321" i="23"/>
  <c r="J1322" i="23"/>
  <c r="J1323" i="23"/>
  <c r="J1324" i="23"/>
  <c r="J1325" i="23"/>
  <c r="J1326" i="23"/>
  <c r="J1327" i="23"/>
  <c r="J1328" i="23"/>
  <c r="J1329" i="23"/>
  <c r="J1330" i="23"/>
  <c r="J1331" i="23"/>
  <c r="J1332" i="23"/>
  <c r="J1333" i="23"/>
  <c r="J1334" i="23"/>
  <c r="J1335" i="23"/>
  <c r="J1336" i="23"/>
  <c r="J1337" i="23"/>
  <c r="J1338" i="23"/>
  <c r="J1339" i="23"/>
  <c r="J1340" i="23"/>
  <c r="J1341" i="23"/>
  <c r="J1342" i="23"/>
  <c r="J1343" i="23"/>
  <c r="J1344" i="23"/>
  <c r="J1345" i="23"/>
  <c r="J1346" i="23"/>
  <c r="J1347" i="23"/>
  <c r="J1348" i="23"/>
  <c r="J1349" i="23"/>
  <c r="J1350" i="23"/>
  <c r="J1351" i="23"/>
  <c r="J1352" i="23"/>
  <c r="J1353" i="23"/>
  <c r="J1354" i="23"/>
  <c r="J1355" i="23"/>
  <c r="J1356" i="23"/>
  <c r="J1357" i="23"/>
  <c r="J1358" i="23"/>
  <c r="J1359" i="23"/>
  <c r="J1360" i="23"/>
  <c r="J1361" i="23"/>
  <c r="J1362" i="23"/>
  <c r="J1363" i="23"/>
  <c r="J1364" i="23"/>
  <c r="J1365" i="23"/>
  <c r="J1366" i="23"/>
  <c r="J1367" i="23"/>
  <c r="J1368" i="23"/>
  <c r="J1369" i="23"/>
  <c r="J1370" i="23"/>
  <c r="J1371" i="23"/>
  <c r="J1372" i="23"/>
  <c r="J1373" i="23"/>
  <c r="J1374" i="23"/>
  <c r="J1375" i="23"/>
  <c r="J1376" i="23"/>
  <c r="J1377" i="23"/>
  <c r="J1378" i="23"/>
  <c r="J1379" i="23"/>
  <c r="J1380" i="23"/>
  <c r="J1381" i="23"/>
  <c r="J1382" i="23"/>
  <c r="J1383" i="23"/>
  <c r="J1384" i="23"/>
  <c r="J1385" i="23"/>
  <c r="J1386" i="23"/>
  <c r="J1387" i="23"/>
  <c r="J1388" i="23"/>
  <c r="J1389" i="23"/>
  <c r="J1390" i="23"/>
  <c r="J1391" i="23"/>
  <c r="J1392" i="23"/>
  <c r="J1393" i="23"/>
  <c r="J1394" i="23"/>
  <c r="J1395" i="23"/>
  <c r="J1396" i="23"/>
  <c r="J1397" i="23"/>
  <c r="J1398" i="23"/>
  <c r="J1399" i="23"/>
  <c r="J1400" i="23"/>
  <c r="J1401" i="23"/>
  <c r="J1402" i="23"/>
  <c r="J1403" i="23"/>
  <c r="J1404" i="23"/>
  <c r="J1405" i="23"/>
  <c r="J1406" i="23"/>
  <c r="J1407" i="23"/>
  <c r="J1408" i="23"/>
  <c r="J1409" i="23"/>
  <c r="J1410" i="23"/>
  <c r="J1411" i="23"/>
  <c r="J1412" i="23"/>
  <c r="J1413" i="23"/>
  <c r="J1414" i="23"/>
  <c r="J1415" i="23"/>
  <c r="J1416" i="23"/>
  <c r="J1417" i="23"/>
  <c r="J1418" i="23"/>
  <c r="J1419" i="23"/>
  <c r="J1420" i="23"/>
  <c r="J1421" i="23"/>
  <c r="J1422" i="23"/>
  <c r="J1423" i="23"/>
  <c r="J1424" i="23"/>
  <c r="J1425" i="23"/>
  <c r="J1426" i="23"/>
  <c r="J1427" i="23"/>
  <c r="J1428" i="23"/>
  <c r="J1429" i="23"/>
  <c r="J1430" i="23"/>
  <c r="J1431" i="23"/>
  <c r="J1432" i="23"/>
  <c r="J1433" i="23"/>
  <c r="J1434" i="23"/>
  <c r="J1435" i="23"/>
  <c r="J1436" i="23"/>
  <c r="J1437" i="23"/>
  <c r="J1438" i="23"/>
  <c r="J1439" i="23"/>
  <c r="J1440" i="23"/>
  <c r="J1441" i="23"/>
  <c r="J1442" i="23"/>
  <c r="J1443" i="23"/>
  <c r="J1444" i="23"/>
  <c r="J1445" i="23"/>
  <c r="J1446" i="23"/>
  <c r="J1447" i="23"/>
  <c r="J1448" i="23"/>
  <c r="J1449" i="23"/>
  <c r="J1450" i="23"/>
  <c r="J1451" i="23"/>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1"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637" i="23"/>
  <c r="J1638" i="23"/>
  <c r="J1639" i="23"/>
  <c r="J1640" i="23"/>
  <c r="J1641" i="23"/>
  <c r="J1642" i="23"/>
  <c r="J1643" i="23"/>
  <c r="J1644" i="23"/>
  <c r="J1645" i="23"/>
  <c r="J1646" i="23"/>
  <c r="J1647" i="23"/>
  <c r="J1648" i="23"/>
  <c r="J1649" i="23"/>
  <c r="J1650" i="23"/>
  <c r="J1651" i="23"/>
  <c r="J1652" i="23"/>
  <c r="J1653" i="23"/>
  <c r="J1654" i="23"/>
  <c r="J1655" i="23"/>
  <c r="J1656" i="23"/>
  <c r="J1657" i="23"/>
  <c r="J1658" i="23"/>
  <c r="J1659" i="23"/>
  <c r="J1660" i="23"/>
  <c r="J1661" i="23"/>
  <c r="J1662" i="23"/>
  <c r="J1663" i="23"/>
  <c r="J1664" i="23"/>
  <c r="J1665" i="23"/>
  <c r="J1666" i="23"/>
  <c r="J1667" i="23"/>
  <c r="J1668" i="23"/>
  <c r="J1669" i="23"/>
  <c r="J1670" i="23"/>
  <c r="J1671" i="23"/>
  <c r="J1672" i="23"/>
  <c r="J1673" i="23"/>
  <c r="J1674" i="23"/>
  <c r="J1675" i="23"/>
  <c r="J1676" i="23"/>
  <c r="J1677" i="23"/>
  <c r="J1678" i="23"/>
  <c r="J1679" i="23"/>
  <c r="J1680" i="23"/>
  <c r="J1681" i="23"/>
  <c r="J1682" i="23"/>
  <c r="J1683" i="23"/>
  <c r="J1684" i="23"/>
  <c r="J1685" i="23"/>
  <c r="J1686" i="23"/>
  <c r="J1687" i="23"/>
  <c r="J1688" i="23"/>
  <c r="J1689" i="23"/>
  <c r="J1690" i="23"/>
  <c r="J1691" i="23"/>
  <c r="J1692" i="23"/>
  <c r="J1693" i="23"/>
  <c r="J1694" i="23"/>
  <c r="J1695" i="23"/>
  <c r="J1696" i="23"/>
  <c r="J1697" i="23"/>
  <c r="J1698" i="23"/>
  <c r="J1699" i="23"/>
  <c r="J1700" i="23"/>
  <c r="J1701" i="23"/>
  <c r="J1702" i="23"/>
  <c r="J1703" i="23"/>
  <c r="J1704" i="23"/>
  <c r="J1705" i="23"/>
  <c r="J1706" i="23"/>
  <c r="J1707" i="23"/>
  <c r="J1708" i="23"/>
  <c r="J1709" i="23"/>
  <c r="J1710" i="23"/>
  <c r="J1711" i="23"/>
  <c r="J1712" i="23"/>
  <c r="J1713" i="23"/>
  <c r="J1714" i="23"/>
  <c r="J1715" i="23"/>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6" i="23"/>
  <c r="J1867" i="23"/>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942" i="23"/>
  <c r="J1943" i="23"/>
  <c r="J1944" i="23"/>
  <c r="J1945" i="23"/>
  <c r="J1946" i="23"/>
  <c r="J1947" i="23"/>
  <c r="J1948" i="23"/>
  <c r="J1949" i="23"/>
  <c r="J1950" i="23"/>
  <c r="J1951" i="23"/>
  <c r="J1952" i="23"/>
  <c r="J1953" i="23"/>
  <c r="J1954" i="23"/>
  <c r="J1955" i="23"/>
  <c r="J1956" i="23"/>
  <c r="J1957" i="23"/>
  <c r="J1958" i="23"/>
  <c r="J1959" i="23"/>
  <c r="J1960" i="23"/>
  <c r="J1961" i="23"/>
  <c r="J1962" i="23"/>
  <c r="J1963" i="23"/>
  <c r="J1964" i="23"/>
  <c r="J1965" i="23"/>
  <c r="J1966" i="23"/>
  <c r="J1967" i="23"/>
  <c r="J1968" i="23"/>
  <c r="J1969" i="23"/>
  <c r="J1970" i="23"/>
  <c r="J1971" i="23"/>
  <c r="J1972" i="23"/>
  <c r="J1973" i="23"/>
  <c r="J1974" i="23"/>
  <c r="J1975" i="23"/>
  <c r="J1976" i="23"/>
  <c r="J1977" i="23"/>
  <c r="J1978" i="23"/>
  <c r="J1979" i="23"/>
  <c r="J1980" i="23"/>
  <c r="J1981" i="23"/>
  <c r="J1982" i="23"/>
  <c r="J1983" i="23"/>
  <c r="J1984" i="23"/>
  <c r="J1985" i="23"/>
  <c r="J1986" i="23"/>
  <c r="J1987" i="23"/>
  <c r="J1988" i="23"/>
  <c r="J1989" i="23"/>
  <c r="J1990" i="23"/>
  <c r="J1991" i="23"/>
  <c r="J1992" i="23"/>
  <c r="J1993" i="23"/>
  <c r="J1994" i="23"/>
  <c r="J1995" i="23"/>
  <c r="J1996" i="23"/>
  <c r="J1997" i="23"/>
  <c r="J1998" i="23"/>
  <c r="J1999" i="23"/>
  <c r="J2000" i="23"/>
  <c r="J2001" i="23"/>
  <c r="J2002" i="23"/>
  <c r="J2003" i="23"/>
  <c r="J2004" i="23"/>
  <c r="J2005" i="23"/>
  <c r="J2006" i="23"/>
  <c r="J2007" i="23"/>
  <c r="J2008" i="23"/>
  <c r="J2009" i="23"/>
  <c r="J2010" i="23"/>
  <c r="J2011" i="23"/>
  <c r="J2012" i="23"/>
  <c r="J2013" i="23"/>
  <c r="J2014" i="23"/>
  <c r="J2015" i="23"/>
  <c r="J2016" i="23"/>
  <c r="J2017" i="23"/>
  <c r="J2018" i="23"/>
  <c r="J2019" i="23"/>
  <c r="J2020" i="23"/>
  <c r="J2021" i="23"/>
  <c r="J2022" i="23"/>
  <c r="J2023" i="23"/>
  <c r="J2024" i="23"/>
  <c r="J2025" i="23"/>
  <c r="J2026" i="23"/>
  <c r="J2027" i="23"/>
  <c r="J2028" i="23"/>
  <c r="J2029" i="23"/>
  <c r="J2030" i="23"/>
  <c r="J2031" i="23"/>
  <c r="J2032" i="23"/>
  <c r="J2033" i="23"/>
  <c r="J2034" i="23"/>
  <c r="J2035" i="23"/>
  <c r="J2036" i="23"/>
  <c r="J2037" i="23"/>
  <c r="J2038" i="23"/>
  <c r="J2039" i="23"/>
  <c r="J2040" i="23"/>
  <c r="J2041" i="23"/>
  <c r="J2042" i="23"/>
  <c r="J2043" i="23"/>
  <c r="J2044" i="23"/>
  <c r="J2045" i="23"/>
  <c r="J2046" i="23"/>
  <c r="J2047" i="23"/>
  <c r="J2048" i="23"/>
  <c r="J2049" i="23"/>
  <c r="J2050" i="23"/>
  <c r="J2051" i="23"/>
  <c r="J2052" i="23"/>
  <c r="J2053" i="23"/>
  <c r="J2054" i="23"/>
  <c r="J2055" i="23"/>
  <c r="J2056" i="23"/>
  <c r="J2057" i="23"/>
  <c r="J2058" i="23"/>
  <c r="J2059" i="23"/>
  <c r="J2060" i="23"/>
  <c r="J2061" i="23"/>
  <c r="J2062" i="23"/>
  <c r="J2063" i="23"/>
  <c r="J2064" i="23"/>
  <c r="J2065" i="23"/>
  <c r="J2066" i="23"/>
  <c r="J2067" i="23"/>
  <c r="J2068" i="23"/>
  <c r="J2069" i="23"/>
  <c r="J2070" i="23"/>
  <c r="J2071" i="23"/>
  <c r="J2072" i="23"/>
  <c r="J2073" i="23"/>
  <c r="J2074" i="23"/>
  <c r="J2075" i="23"/>
  <c r="J2076" i="23"/>
  <c r="J2077" i="23"/>
  <c r="J2078" i="23"/>
  <c r="J2079" i="23"/>
  <c r="J2080" i="23"/>
  <c r="J2081" i="23"/>
  <c r="J2082" i="23"/>
  <c r="J2083" i="23"/>
  <c r="J2084" i="23"/>
  <c r="J2085" i="23"/>
  <c r="J2086" i="23"/>
  <c r="J2087" i="23"/>
  <c r="J2088" i="23"/>
  <c r="J2089" i="23"/>
  <c r="J2090" i="23"/>
  <c r="J2091" i="23"/>
  <c r="J2092" i="23"/>
  <c r="J2093" i="23"/>
  <c r="J2094" i="23"/>
  <c r="J2095" i="23"/>
  <c r="J2096" i="23"/>
  <c r="J2097" i="23"/>
  <c r="J2098" i="23"/>
  <c r="J2099" i="23"/>
  <c r="J2100" i="23"/>
  <c r="J2101" i="23"/>
  <c r="J2102" i="23"/>
  <c r="J2103" i="23"/>
  <c r="J2104" i="23"/>
  <c r="J2105" i="23"/>
  <c r="J2106" i="23"/>
  <c r="J2107" i="23"/>
  <c r="J2108" i="23"/>
  <c r="J2109" i="23"/>
  <c r="J2110" i="23"/>
  <c r="J2111" i="23"/>
  <c r="J2112" i="23"/>
  <c r="J2113" i="23"/>
  <c r="J2114" i="23"/>
  <c r="J2115" i="23"/>
  <c r="J2116" i="23"/>
  <c r="J2117" i="23"/>
  <c r="J2118" i="23"/>
  <c r="J2119" i="23"/>
  <c r="J2120" i="23"/>
  <c r="J2121" i="23"/>
  <c r="J2122" i="23"/>
  <c r="J2123" i="23"/>
  <c r="J2124" i="23"/>
  <c r="J2125" i="23"/>
  <c r="J2126" i="23"/>
  <c r="J2127" i="23"/>
  <c r="J2128" i="23"/>
  <c r="J2129" i="23"/>
  <c r="J2130" i="23"/>
  <c r="J2131" i="23"/>
  <c r="J2132" i="23"/>
  <c r="J2133" i="23"/>
  <c r="J2134" i="23"/>
  <c r="J2135" i="23"/>
  <c r="J2136" i="23"/>
  <c r="J2137" i="23"/>
  <c r="J2138" i="23"/>
  <c r="J2139" i="23"/>
  <c r="J2140" i="23"/>
  <c r="J2141" i="23"/>
  <c r="J2142" i="23"/>
  <c r="J2143" i="23"/>
  <c r="J2144" i="23"/>
  <c r="J2145" i="23"/>
  <c r="J2146" i="23"/>
  <c r="J2147" i="23"/>
  <c r="J2148" i="23"/>
  <c r="J2149" i="23"/>
  <c r="J2150" i="23"/>
  <c r="J2151" i="23"/>
  <c r="J2152" i="23"/>
  <c r="J2153" i="23"/>
  <c r="J2154" i="23"/>
  <c r="J2155" i="23"/>
  <c r="J2156" i="23"/>
  <c r="J2157" i="23"/>
  <c r="J2158" i="23"/>
  <c r="J2159" i="23"/>
  <c r="J2160" i="23"/>
  <c r="J2161" i="23"/>
  <c r="J2162" i="23"/>
  <c r="J2163" i="23"/>
  <c r="J2164" i="23"/>
  <c r="J2165" i="23"/>
  <c r="J2166" i="23"/>
  <c r="J2167" i="23"/>
  <c r="J2168" i="23"/>
  <c r="J2169" i="23"/>
  <c r="J2170" i="23"/>
  <c r="J2171" i="23"/>
  <c r="J2172" i="23"/>
  <c r="J2173" i="23"/>
  <c r="J2174" i="23"/>
  <c r="J2175" i="23"/>
  <c r="J2176" i="23"/>
  <c r="J2177" i="23"/>
  <c r="J2178" i="23"/>
  <c r="J2179" i="23"/>
  <c r="J2180" i="23"/>
  <c r="J2181" i="23"/>
  <c r="J2182" i="23"/>
  <c r="J2183" i="23"/>
  <c r="J2184" i="23"/>
  <c r="J2185" i="23"/>
  <c r="J2186" i="23"/>
  <c r="J2187" i="23"/>
  <c r="J2188" i="23"/>
  <c r="J2189" i="23"/>
  <c r="J2190" i="23"/>
  <c r="J2191" i="23"/>
  <c r="J2192" i="23"/>
  <c r="J2193" i="23"/>
  <c r="J2194" i="23"/>
  <c r="J2195" i="23"/>
  <c r="J2196" i="23"/>
  <c r="J2197" i="23"/>
  <c r="J2198" i="23"/>
  <c r="J2199" i="23"/>
  <c r="J2200" i="23"/>
  <c r="J2201" i="23"/>
  <c r="J2202" i="23"/>
  <c r="J2203" i="23"/>
  <c r="J2204" i="23"/>
  <c r="J2205" i="23"/>
  <c r="J2206" i="23"/>
  <c r="J2207" i="23"/>
  <c r="J2208" i="23"/>
  <c r="J2209" i="23"/>
  <c r="J2210" i="23"/>
  <c r="J2211" i="23"/>
  <c r="J2212" i="23"/>
  <c r="J2213" i="23"/>
  <c r="J2214" i="23"/>
  <c r="J2215" i="23"/>
  <c r="J2216" i="23"/>
  <c r="J2217" i="23"/>
  <c r="J2218" i="23"/>
  <c r="J2219" i="23"/>
  <c r="J2220" i="23"/>
  <c r="J2221" i="23"/>
  <c r="J2222" i="23"/>
  <c r="J2223" i="23"/>
  <c r="J2224" i="23"/>
  <c r="J2225" i="23"/>
  <c r="J2226" i="23"/>
  <c r="J2227" i="23"/>
  <c r="J2228" i="23"/>
  <c r="J2229" i="23"/>
  <c r="J2230" i="23"/>
  <c r="J2231" i="23"/>
  <c r="J2232" i="23"/>
  <c r="J2233" i="23"/>
  <c r="I2" i="22"/>
  <c r="J2" i="22"/>
  <c r="I3" i="22"/>
  <c r="J3" i="22"/>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4" i="22" l="1"/>
  <c r="J14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<sst xmlns="http://schemas.openxmlformats.org/spreadsheetml/2006/main" count="17915" uniqueCount="9306">
  <si>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</si>
  <si>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</si>
  <si>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</si>
  <si>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</si>
  <si>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</si>
  <si>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</si>
  <si>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</si>
  <si>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</si>
  <si>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</si>
  <si>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</si>
  <si>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</si>
  <si>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</si>
  <si>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</si>
  <si>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</si>
  <si>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</si>
  <si>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</si>
  <si>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</si>
  <si>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</si>
  <si>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</si>
  <si>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</si>
  <si>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</si>
  <si>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</si>
  <si>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</si>
  <si>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</si>
  <si>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</si>
  <si>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</si>
  <si>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</si>
  <si>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</si>
  <si>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</si>
  <si>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</si>
  <si>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</si>
  <si>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</si>
  <si>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</si>
  <si>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</si>
  <si>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</si>
  <si>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</si>
  <si>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</si>
  <si>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</si>
  <si>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</si>
  <si>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</si>
  <si>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</si>
  <si>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</si>
  <si>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</si>
  <si>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</si>
  <si>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</si>
  <si>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</si>
  <si>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</si>
  <si>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</si>
  <si>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</si>
  <si>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</si>
  <si>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</si>
  <si>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</si>
  <si>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</si>
  <si>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</si>
  <si>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</si>
  <si>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</si>
  <si>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</si>
  <si>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</si>
  <si>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</si>
  <si>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</si>
  <si>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</si>
  <si>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</si>
  <si>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</si>
  <si>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</si>
  <si>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</si>
  <si>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</si>
  <si>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</si>
  <si>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</si>
  <si>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</si>
  <si>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</si>
  <si>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</si>
  <si>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</si>
  <si>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</si>
  <si>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</si>
  <si>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</si>
  <si>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</si>
  <si>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</si>
  <si>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</si>
  <si>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</si>
  <si>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</si>
  <si>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</si>
  <si>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</si>
  <si>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</si>
  <si>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</si>
  <si>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</si>
  <si>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</si>
  <si>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</si>
  <si>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</si>
  <si>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</si>
  <si>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</si>
  <si>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</si>
  <si>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</si>
  <si>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</si>
  <si>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</si>
  <si>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</si>
  <si>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</si>
  <si>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</si>
  <si>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</si>
  <si>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</si>
  <si>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</si>
  <si>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</si>
  <si>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</si>
  <si>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</si>
  <si>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</si>
  <si>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</si>
  <si>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</si>
  <si>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</si>
  <si>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</si>
  <si>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</si>
  <si>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</si>
  <si>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</si>
  <si>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</si>
  <si>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</si>
  <si>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</si>
  <si>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</si>
  <si>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</si>
  <si>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</si>
  <si>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</si>
  <si>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</si>
  <si>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</si>
  <si>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</si>
  <si>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</si>
  <si>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</si>
  <si>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</si>
  <si>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</si>
  <si>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</si>
  <si>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</si>
  <si>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</si>
  <si>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</si>
  <si>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</si>
  <si>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</si>
  <si>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</si>
  <si>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</si>
  <si>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</si>
  <si>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</si>
  <si>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</si>
  <si>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</si>
  <si>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</si>
  <si>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</si>
  <si>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</si>
  <si>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</si>
  <si>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</si>
  <si>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</si>
  <si>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</si>
  <si>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</si>
  <si>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</si>
  <si>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</si>
  <si>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</si>
  <si>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</si>
  <si>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</si>
  <si>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</si>
  <si>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</si>
  <si>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</si>
  <si>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</si>
  <si>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</si>
  <si>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</si>
  <si>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</si>
  <si>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</si>
  <si>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</si>
  <si>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</si>
  <si>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</si>
  <si>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</si>
  <si>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</si>
  <si>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</si>
  <si>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</si>
  <si>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</si>
  <si>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</si>
  <si>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</si>
  <si>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</si>
  <si>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</si>
  <si>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</si>
  <si>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</si>
  <si>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</si>
  <si>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</si>
  <si>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</si>
  <si>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</si>
  <si>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</si>
  <si>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</si>
  <si>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</si>
  <si>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</si>
  <si>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</si>
  <si>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</si>
  <si>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</si>
  <si>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</si>
  <si>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</si>
  <si>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</si>
  <si>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</si>
  <si>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</si>
  <si>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</si>
  <si>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</si>
  <si>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</si>
  <si>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</si>
  <si>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</si>
  <si>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</si>
  <si>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</si>
  <si>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</si>
  <si>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</si>
  <si>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</si>
  <si>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</si>
  <si>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</si>
  <si>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</si>
  <si>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</si>
  <si>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</si>
  <si>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</si>
  <si>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</si>
  <si>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</si>
  <si>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</si>
  <si>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</si>
  <si>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</si>
  <si>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</si>
  <si>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</si>
  <si>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</si>
  <si>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</si>
  <si>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</si>
  <si>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</si>
  <si>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</si>
  <si>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</si>
  <si>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</si>
  <si>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</si>
  <si>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</si>
  <si>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</si>
  <si>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</si>
  <si>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</si>
  <si>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</si>
  <si>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</si>
  <si>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</si>
  <si>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</si>
  <si>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</si>
  <si>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</si>
  <si>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</si>
  <si>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</si>
  <si>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</si>
  <si>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</si>
  <si>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</si>
  <si>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</si>
  <si>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</si>
  <si>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</si>
  <si>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</si>
  <si>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</si>
  <si>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</si>
  <si>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</si>
  <si>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</si>
  <si>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</si>
  <si>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</si>
  <si>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</si>
  <si>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</si>
  <si>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</si>
  <si>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</si>
  <si>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</si>
  <si>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</si>
  <si>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</si>
  <si>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</si>
  <si>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</si>
  <si>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</si>
  <si>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</si>
  <si>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</si>
  <si>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</si>
  <si>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</si>
  <si>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</si>
  <si>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</si>
  <si>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</si>
  <si>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</si>
  <si>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</si>
  <si>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</si>
  <si>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</si>
  <si>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</si>
  <si>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</si>
  <si>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</si>
  <si>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</si>
  <si>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</si>
  <si>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</si>
  <si>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</si>
  <si>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</si>
  <si>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</si>
  <si>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</si>
  <si>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</si>
  <si>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</si>
  <si>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</si>
  <si>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</si>
  <si>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</si>
  <si>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</si>
  <si>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</si>
  <si>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</si>
  <si>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</si>
  <si>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</si>
  <si>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</si>
  <si>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</si>
  <si>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</si>
  <si>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</si>
  <si>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</si>
  <si>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</si>
  <si>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</si>
  <si>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</si>
  <si>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</si>
  <si>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</si>
  <si>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</si>
  <si>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</si>
  <si>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</si>
  <si>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</si>
  <si>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</si>
  <si>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</si>
  <si>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</si>
  <si>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</si>
  <si>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</si>
  <si>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</si>
  <si>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</si>
  <si>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</si>
  <si>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</si>
  <si>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</si>
  <si>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</si>
  <si>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</si>
  <si>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</si>
  <si>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</si>
  <si>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</si>
  <si>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</si>
  <si>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</si>
  <si>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</si>
  <si>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</si>
  <si>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</si>
  <si>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</si>
  <si>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</si>
  <si>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</si>
  <si>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</si>
  <si>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</si>
  <si>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</si>
  <si>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</si>
  <si>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</si>
  <si>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</si>
  <si>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</si>
  <si>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</si>
  <si>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</si>
  <si>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</si>
  <si>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</si>
  <si>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</si>
  <si>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</si>
  <si>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</si>
  <si>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</si>
  <si>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</si>
  <si>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</si>
  <si>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</si>
  <si>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</si>
  <si>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</si>
  <si>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</si>
  <si>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</si>
  <si>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</si>
  <si>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</si>
  <si>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</si>
  <si>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</si>
  <si>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</si>
  <si>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</si>
  <si>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</si>
  <si>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</si>
  <si>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</si>
  <si>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</si>
  <si>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</si>
  <si>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</si>
  <si>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</si>
  <si>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</si>
  <si>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</si>
  <si>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</si>
  <si>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</si>
  <si>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</si>
  <si>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</si>
  <si>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</si>
  <si>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</si>
  <si>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</si>
  <si>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</si>
  <si>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</si>
  <si>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</si>
  <si>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</si>
  <si>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</si>
  <si>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</si>
  <si>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</si>
  <si>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</si>
  <si>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</si>
  <si>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</si>
  <si>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</si>
  <si>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</si>
  <si>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</si>
  <si>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</si>
  <si>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</si>
  <si>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</si>
  <si>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</si>
  <si>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</si>
  <si>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</si>
  <si>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</si>
  <si>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</si>
  <si>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</si>
  <si>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</si>
  <si>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</si>
  <si>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</si>
  <si>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</si>
  <si>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</si>
  <si>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</si>
  <si>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</si>
  <si>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</si>
  <si>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</si>
  <si>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</si>
  <si>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</si>
  <si>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</si>
  <si>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</si>
  <si>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</si>
  <si>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</si>
  <si>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</si>
  <si>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</si>
  <si>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</si>
  <si>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</si>
  <si>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</si>
  <si>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</si>
  <si>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</si>
  <si>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</si>
  <si>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</si>
  <si>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</si>
  <si>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</si>
  <si>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</si>
  <si>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</si>
  <si>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</si>
  <si>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</si>
  <si>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</si>
  <si>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</si>
  <si>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</si>
  <si>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</si>
  <si>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</si>
  <si>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</si>
  <si>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</si>
  <si>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</si>
  <si>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</si>
  <si>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</si>
  <si>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</si>
  <si>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</si>
  <si>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</si>
  <si>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</si>
  <si>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</si>
  <si>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</si>
  <si>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</si>
  <si>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</si>
  <si>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</si>
  <si>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</si>
  <si>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</si>
  <si>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</si>
  <si>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</si>
  <si>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</si>
  <si>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</si>
  <si>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</si>
  <si>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</si>
  <si>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</si>
  <si>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</si>
  <si>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</si>
  <si>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</si>
  <si>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</si>
  <si>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</si>
  <si>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</si>
  <si>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</si>
  <si>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</si>
  <si>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</si>
  <si>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</si>
  <si>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</si>
  <si>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</si>
  <si>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</si>
  <si>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</si>
  <si>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</si>
  <si>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</si>
  <si>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</si>
  <si>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</si>
  <si>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</si>
  <si>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</si>
  <si>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</si>
  <si>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</si>
  <si>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</si>
  <si>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</si>
  <si>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</si>
  <si>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</si>
  <si>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</si>
  <si>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</si>
  <si>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</si>
  <si>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</si>
  <si>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</si>
  <si>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</si>
  <si>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</si>
  <si>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</si>
  <si>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</si>
  <si>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</si>
  <si>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</si>
  <si>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</si>
  <si>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</si>
  <si>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</si>
  <si>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</si>
  <si>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</si>
  <si>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</si>
  <si>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</si>
  <si>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</si>
  <si>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</si>
  <si>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</si>
  <si>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</si>
  <si>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</si>
  <si>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</si>
  <si>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</si>
  <si>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</si>
  <si>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</si>
  <si>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</si>
  <si>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</si>
  <si>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</si>
  <si>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</si>
  <si>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</si>
  <si>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</si>
  <si>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</si>
  <si>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</si>
  <si>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</si>
  <si>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</si>
  <si>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</si>
  <si>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</si>
  <si>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</si>
  <si>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</si>
  <si>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</si>
  <si>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</si>
  <si>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</si>
  <si>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</si>
  <si>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</si>
  <si>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</si>
  <si>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</si>
  <si>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</si>
  <si>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</si>
  <si>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</si>
  <si>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</si>
  <si>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</si>
  <si>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</si>
  <si>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</si>
  <si>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</si>
  <si>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</si>
  <si>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</si>
  <si>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</si>
  <si>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</si>
  <si>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</si>
  <si>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</si>
  <si>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</si>
  <si>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</si>
  <si>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</si>
  <si>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</si>
  <si>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</si>
  <si>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</si>
  <si>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</si>
  <si>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</si>
  <si>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</si>
  <si>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</si>
  <si>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</si>
  <si>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</si>
  <si>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</si>
  <si>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</si>
  <si>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</si>
  <si>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</si>
  <si>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</si>
  <si>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</si>
  <si>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</si>
  <si>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</si>
  <si>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</si>
  <si>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</si>
  <si>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</si>
  <si>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</si>
  <si>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</si>
  <si>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</si>
  <si>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</si>
  <si>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</si>
  <si>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</si>
  <si>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</si>
  <si>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</si>
  <si>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</si>
  <si>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</si>
  <si>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</si>
  <si>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</si>
  <si>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</si>
  <si>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</si>
  <si>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</si>
  <si>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</si>
  <si>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</si>
  <si>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</si>
  <si>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</si>
  <si>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</si>
  <si>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</si>
  <si>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</si>
  <si>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</si>
  <si>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</si>
  <si>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</si>
  <si>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</si>
  <si>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</si>
  <si>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</si>
  <si>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</si>
  <si>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</si>
  <si>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</si>
  <si>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</si>
  <si>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</si>
  <si>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</si>
  <si>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</si>
  <si>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</si>
  <si>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</si>
  <si>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</si>
  <si>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</si>
  <si>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</si>
  <si>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</si>
  <si>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</si>
  <si>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</si>
  <si>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</si>
  <si>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</si>
  <si>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</si>
  <si>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</si>
  <si>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</si>
  <si>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</si>
  <si>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</si>
  <si>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</si>
  <si>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</si>
  <si>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</si>
  <si>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</si>
  <si>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</si>
  <si>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</si>
  <si>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</si>
  <si>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</si>
  <si>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</si>
  <si>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</si>
  <si>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</si>
  <si>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</si>
  <si>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</si>
  <si>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</si>
  <si>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</si>
  <si>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</si>
  <si>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</si>
  <si>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</si>
  <si>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</si>
  <si>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</si>
  <si>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</si>
  <si>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</si>
  <si>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</si>
  <si>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</si>
  <si>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</si>
  <si>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</si>
  <si>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</si>
  <si>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</si>
  <si>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</si>
  <si>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</si>
  <si>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</si>
  <si>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</si>
  <si>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</si>
  <si>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</si>
  <si>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</si>
  <si>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</si>
  <si>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</si>
  <si>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</si>
  <si>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</si>
  <si>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</si>
  <si>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</si>
  <si>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</si>
  <si>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</si>
  <si>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</si>
  <si>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</si>
  <si>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</si>
  <si>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</si>
  <si>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</si>
  <si>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</si>
  <si>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</si>
  <si>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</si>
  <si>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</si>
  <si>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</si>
  <si>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</si>
  <si>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</si>
  <si>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</si>
  <si>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</si>
  <si>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</si>
  <si>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</si>
  <si>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</si>
  <si>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</si>
  <si>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</si>
  <si>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</si>
  <si>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</si>
  <si>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</si>
  <si>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</si>
  <si>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</si>
  <si>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</si>
  <si>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</si>
  <si>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</si>
  <si>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</si>
  <si>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</si>
  <si>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</si>
  <si>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</si>
  <si>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</si>
  <si>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</si>
  <si>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</si>
  <si>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</si>
  <si>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</si>
  <si>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</si>
  <si>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</si>
  <si>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</si>
  <si>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</si>
  <si>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</si>
  <si>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</si>
  <si>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</si>
  <si>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</si>
  <si>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</si>
  <si>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</si>
  <si>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</si>
  <si>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</si>
  <si>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</si>
  <si>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</si>
  <si>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</si>
  <si>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</si>
  <si>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</si>
  <si>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</si>
  <si>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</si>
  <si>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</si>
  <si>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</si>
  <si>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</si>
  <si>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</si>
  <si>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</si>
  <si>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</si>
  <si>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</si>
  <si>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</si>
  <si>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</si>
  <si>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</si>
  <si>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</si>
  <si>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</si>
  <si>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</si>
  <si>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</si>
  <si>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</si>
  <si>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</si>
  <si>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</si>
  <si>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</si>
  <si>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</si>
  <si>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</si>
  <si>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</si>
  <si>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</si>
  <si>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</si>
  <si>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</si>
  <si>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</si>
  <si>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</si>
  <si>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</si>
  <si>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</si>
  <si>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</si>
  <si>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</si>
  <si>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</si>
  <si>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</si>
  <si>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</si>
  <si>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</si>
  <si>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</si>
  <si>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</si>
  <si>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</si>
  <si>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</si>
  <si>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</si>
  <si>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</si>
  <si>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</si>
  <si>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</si>
  <si>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</si>
  <si>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</si>
  <si>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</si>
  <si>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</si>
  <si>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</si>
  <si>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</si>
  <si>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</si>
  <si>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</si>
  <si>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</si>
  <si>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</si>
  <si>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</si>
  <si>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</si>
  <si>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</si>
  <si>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</si>
  <si>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</si>
  <si>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</si>
  <si>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</si>
  <si>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</si>
  <si>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</si>
  <si>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</si>
  <si>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</si>
  <si>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</si>
  <si>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</si>
  <si>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</si>
  <si>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</si>
  <si>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</si>
  <si>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</si>
  <si>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</si>
  <si>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</si>
  <si>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</si>
  <si>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</si>
  <si>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</si>
  <si>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</si>
  <si>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</si>
  <si>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</si>
  <si>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</si>
  <si>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</si>
  <si>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</si>
  <si>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</si>
  <si>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</si>
  <si>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</si>
  <si>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</si>
  <si>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</si>
  <si>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</si>
  <si>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</si>
  <si>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</si>
  <si>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</si>
  <si>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</si>
  <si>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</si>
  <si>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</si>
  <si>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</si>
  <si>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</si>
  <si>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</si>
  <si>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</si>
  <si>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</si>
  <si>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</si>
  <si>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</si>
  <si>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</si>
  <si>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</si>
  <si>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</si>
  <si>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</si>
  <si>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</si>
  <si>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</si>
  <si>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</si>
  <si>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</si>
  <si>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</si>
  <si>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</si>
  <si>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</si>
  <si>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</si>
  <si>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</si>
  <si>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</si>
  <si>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</si>
  <si>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</si>
  <si>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</si>
  <si>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</si>
  <si>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</si>
  <si>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</si>
  <si>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</si>
  <si>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</si>
  <si>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</si>
  <si>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</si>
  <si>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</si>
  <si>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</si>
  <si>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</si>
  <si>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</si>
  <si>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</si>
  <si>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</si>
  <si>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</si>
  <si>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</si>
  <si>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</si>
  <si>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</si>
  <si>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</si>
  <si>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</si>
  <si>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</si>
  <si>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</si>
  <si>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</si>
  <si>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</si>
  <si>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</si>
  <si>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</si>
  <si>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</si>
  <si>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</si>
  <si>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</si>
  <si>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</si>
  <si>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</si>
  <si>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</si>
  <si>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</si>
  <si>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</si>
  <si>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</si>
  <si>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</si>
  <si>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</si>
  <si>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</si>
  <si>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</si>
  <si>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</si>
  <si>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</si>
  <si>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</si>
  <si>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</si>
  <si>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</si>
  <si>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</si>
  <si>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</si>
  <si>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</si>
  <si>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</si>
  <si>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</si>
  <si>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</si>
  <si>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</si>
  <si>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</si>
  <si>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</si>
  <si>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</si>
  <si>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</si>
  <si>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</si>
  <si>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</si>
  <si>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</si>
  <si>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</si>
  <si>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</si>
  <si>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</si>
  <si>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</si>
  <si>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</si>
  <si>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</si>
  <si>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</si>
  <si>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</si>
  <si>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</si>
  <si>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</si>
  <si>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</si>
  <si>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</si>
  <si>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</si>
  <si>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</si>
  <si>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</si>
  <si>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</si>
  <si>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</si>
  <si>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</si>
  <si>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</si>
  <si>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</si>
  <si>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</si>
  <si>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</si>
  <si>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</si>
  <si>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</si>
  <si>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</si>
  <si>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</si>
  <si>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</si>
  <si>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</si>
  <si>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</si>
  <si>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</si>
  <si>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</si>
  <si>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</si>
  <si>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</si>
  <si>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</si>
  <si>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</si>
  <si>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</si>
  <si>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</si>
  <si>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</si>
  <si>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</si>
  <si>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</si>
  <si>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</si>
  <si>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</si>
  <si>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</si>
  <si>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</si>
  <si>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</si>
  <si>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</si>
  <si>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</si>
  <si>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</si>
  <si>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</si>
  <si>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</si>
  <si>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</si>
  <si>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</si>
  <si>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</si>
  <si>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</si>
  <si>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</si>
  <si>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</si>
  <si>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</si>
  <si>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</si>
  <si>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</si>
  <si>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</si>
  <si>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</si>
  <si>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</si>
  <si>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</si>
  <si>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</si>
  <si>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</si>
  <si>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</si>
  <si>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</si>
  <si>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</si>
  <si>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</si>
  <si>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</si>
  <si>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</si>
  <si>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</si>
  <si>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</si>
  <si>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</si>
  <si>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</si>
  <si>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</si>
  <si>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</si>
  <si>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</si>
  <si>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</si>
  <si>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</si>
  <si>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</si>
  <si>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</si>
  <si>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</si>
  <si>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</si>
  <si>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</si>
  <si>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</si>
  <si>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</si>
  <si>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</si>
  <si>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</si>
  <si>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</si>
  <si>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</si>
  <si>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</si>
  <si>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</si>
  <si>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</si>
  <si>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</si>
  <si>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</si>
  <si>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</si>
  <si>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</si>
  <si>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</si>
  <si>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</si>
  <si>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</si>
  <si>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</si>
  <si>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</si>
  <si>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</si>
  <si>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</si>
  <si>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</si>
  <si>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</si>
  <si>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</si>
  <si>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</si>
  <si>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</si>
  <si>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</si>
  <si>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</si>
  <si>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</si>
  <si>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</si>
  <si>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</si>
  <si>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</si>
  <si>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</si>
  <si>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</si>
  <si>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</si>
  <si>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</si>
  <si>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</si>
  <si>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</si>
  <si>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</si>
  <si>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</si>
  <si>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</si>
  <si>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</si>
  <si>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</si>
  <si>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</si>
  <si>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</si>
  <si>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</si>
  <si>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</si>
  <si>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</si>
  <si>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</si>
  <si>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</si>
  <si>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</si>
  <si>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</si>
  <si>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</si>
  <si>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</si>
  <si>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</si>
  <si>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</si>
  <si>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</si>
  <si>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</si>
  <si>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</si>
  <si>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</si>
  <si>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</si>
  <si>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</si>
  <si>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</si>
  <si>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</si>
  <si>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</si>
  <si>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</si>
  <si>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</si>
  <si>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</si>
  <si>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</si>
  <si>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</si>
  <si>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</si>
  <si>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</si>
  <si>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</si>
  <si>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</si>
  <si>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</si>
  <si>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</si>
  <si>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</si>
  <si>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</si>
  <si>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</si>
  <si>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</si>
  <si>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</si>
  <si>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</si>
  <si>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</si>
  <si>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</si>
  <si>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</si>
  <si>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</si>
  <si>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</si>
  <si>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</si>
  <si>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</si>
  <si>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</si>
  <si>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</si>
  <si>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</si>
  <si>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</si>
  <si>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</si>
  <si>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</si>
  <si>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</si>
  <si>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</si>
  <si>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</si>
  <si>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</si>
  <si>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</si>
  <si>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</si>
  <si>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</si>
  <si>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</si>
  <si>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</si>
  <si>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</si>
  <si>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</si>
  <si>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</si>
  <si>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</si>
  <si>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</si>
  <si>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</si>
  <si>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</si>
  <si>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</si>
  <si>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</si>
  <si>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</si>
  <si>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</si>
  <si>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</si>
  <si>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</si>
  <si>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</si>
  <si>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</si>
  <si>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</si>
  <si>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</si>
  <si>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</si>
  <si>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</si>
  <si>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</si>
  <si>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</si>
  <si>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</si>
  <si>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</si>
  <si>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</si>
  <si>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</si>
  <si>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</si>
  <si>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</si>
  <si>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</si>
  <si>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</si>
  <si>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</si>
  <si>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</si>
  <si>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</si>
  <si>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</si>
  <si>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</si>
  <si>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</si>
  <si>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</si>
  <si>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</si>
  <si>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</si>
  <si>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</si>
  <si>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</si>
  <si>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</si>
  <si>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</si>
  <si>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</si>
  <si>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</si>
  <si>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</si>
  <si>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</si>
  <si>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</si>
  <si>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</si>
  <si>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</si>
  <si>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</si>
  <si>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</si>
  <si>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</si>
  <si>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</si>
  <si>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</si>
  <si>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</si>
  <si>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</si>
  <si>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</si>
  <si>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</si>
  <si>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</si>
  <si>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</si>
  <si>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</si>
  <si>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</si>
  <si>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</si>
  <si>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</si>
  <si>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</si>
  <si>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</si>
  <si>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</si>
  <si>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</si>
  <si>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</si>
  <si>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</si>
  <si>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</si>
  <si>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</si>
  <si>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</si>
  <si>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</si>
  <si>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</si>
  <si>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</si>
  <si>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</si>
  <si>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</si>
  <si>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</si>
  <si>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</si>
  <si>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</si>
  <si>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</si>
  <si>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</si>
  <si>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</si>
  <si>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</si>
  <si>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</si>
  <si>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</si>
  <si>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</si>
  <si>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</si>
  <si>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</si>
  <si>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</si>
  <si>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</si>
  <si>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</si>
  <si>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</si>
  <si>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</si>
  <si>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</si>
  <si>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</si>
  <si>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</si>
  <si>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</si>
  <si>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</si>
  <si>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</si>
  <si>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</si>
  <si>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</si>
  <si>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</si>
  <si>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</si>
  <si>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</si>
  <si>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</si>
  <si>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</si>
  <si>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</si>
  <si>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</si>
  <si>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</si>
  <si>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</si>
  <si>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</si>
  <si>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</si>
  <si>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</si>
  <si>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</si>
  <si>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</si>
  <si>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</si>
  <si>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</si>
  <si>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</si>
  <si>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</si>
  <si>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</si>
  <si>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</si>
  <si>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</si>
  <si>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</si>
  <si>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</si>
  <si>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</si>
  <si>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</si>
  <si>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</si>
  <si>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</si>
  <si>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</si>
  <si>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</si>
  <si>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</si>
  <si>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</si>
  <si>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</si>
  <si>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</si>
  <si>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</si>
  <si>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</si>
  <si>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</si>
  <si>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</si>
  <si>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</si>
  <si>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</si>
  <si>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</si>
  <si>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</si>
  <si>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</si>
  <si>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</si>
  <si>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</si>
  <si>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</si>
  <si>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</si>
  <si>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</si>
  <si>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</si>
  <si>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</si>
  <si>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</si>
  <si>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</si>
  <si>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</si>
  <si>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</si>
  <si>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</si>
  <si>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</si>
  <si>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</si>
  <si>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</si>
  <si>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</si>
  <si>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</si>
  <si>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</si>
  <si>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</si>
  <si>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</si>
  <si>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</si>
  <si>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</si>
  <si>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</si>
  <si>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</si>
  <si>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</si>
  <si>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</si>
  <si>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</si>
  <si>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</si>
  <si>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</si>
  <si>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</si>
  <si>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</si>
  <si>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</si>
  <si>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</si>
  <si>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</si>
  <si>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</si>
  <si>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</si>
  <si>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</si>
  <si>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</si>
  <si>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</si>
  <si>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</si>
  <si>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</si>
  <si>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</si>
  <si>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</si>
  <si>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</si>
  <si>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</si>
  <si>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</si>
  <si>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</si>
  <si>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</si>
  <si>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</si>
  <si>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</si>
  <si>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</si>
  <si>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</si>
  <si>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</si>
  <si>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</si>
  <si>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</si>
  <si>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</si>
  <si>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</si>
  <si>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</si>
  <si>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</si>
  <si>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</si>
  <si>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</si>
  <si>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</si>
  <si>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</si>
  <si>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</si>
  <si>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</si>
  <si>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</si>
  <si>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</si>
  <si>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</si>
  <si>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</si>
  <si>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</si>
  <si>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</si>
  <si>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</si>
  <si>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</si>
  <si>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</si>
  <si>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</si>
  <si>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</si>
  <si>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</si>
  <si>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</si>
  <si>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</si>
  <si>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</si>
  <si>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</si>
  <si>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</si>
  <si>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</si>
  <si>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</si>
  <si>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</si>
  <si>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</si>
  <si>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</si>
  <si>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</si>
  <si>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</si>
  <si>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</si>
  <si>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</si>
  <si>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</si>
  <si>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</si>
  <si>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</si>
  <si>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</si>
  <si>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</si>
  <si>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</si>
  <si>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</si>
  <si>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</si>
  <si>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</si>
  <si>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</si>
  <si>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</si>
  <si>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</si>
  <si>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</si>
  <si>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</si>
  <si>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</si>
  <si>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</si>
  <si>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</si>
  <si>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</si>
  <si>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</si>
  <si>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</si>
  <si>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</si>
  <si>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</si>
  <si>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</si>
  <si>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</si>
  <si>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</si>
  <si>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</si>
  <si>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</si>
  <si>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</si>
  <si>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</si>
  <si>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</si>
  <si>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</si>
  <si>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</si>
  <si>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</si>
  <si>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</si>
  <si>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</si>
  <si>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</si>
  <si>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</si>
  <si>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</si>
  <si>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</si>
  <si>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</si>
  <si>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</si>
  <si>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</si>
  <si>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</si>
  <si>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</si>
  <si>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</si>
  <si>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</si>
  <si>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</si>
  <si>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</si>
  <si>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</si>
  <si>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</si>
  <si>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</si>
  <si>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</si>
  <si>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</si>
  <si>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</si>
  <si>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</si>
  <si>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</si>
  <si>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</si>
  <si>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</si>
  <si>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</si>
  <si>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</si>
  <si>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</si>
  <si>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</si>
  <si>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</si>
  <si>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</si>
  <si>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</si>
  <si>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</si>
  <si>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</si>
  <si>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</si>
  <si>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</si>
  <si>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</si>
  <si>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</si>
  <si>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</si>
  <si>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</si>
  <si>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</si>
  <si>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</si>
  <si>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</si>
  <si>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</si>
  <si>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</si>
  <si>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</si>
  <si>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</si>
  <si>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</si>
  <si>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</si>
  <si>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</si>
  <si>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</si>
  <si>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</si>
  <si>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</si>
  <si>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</si>
  <si>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</si>
  <si>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</si>
  <si>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</si>
  <si>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</si>
  <si>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</si>
  <si>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</si>
  <si>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</si>
  <si>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</si>
  <si>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</si>
  <si>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</si>
  <si>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</si>
  <si>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</si>
  <si>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</si>
  <si>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</si>
  <si>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</si>
  <si>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</si>
  <si>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</si>
  <si>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</si>
  <si>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</si>
  <si>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</si>
  <si>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</si>
  <si>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</si>
  <si>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</si>
  <si>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</si>
  <si>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</si>
  <si>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</si>
  <si>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</si>
  <si>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</si>
  <si>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</si>
  <si>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</si>
  <si>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</si>
  <si>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</si>
  <si>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</si>
  <si>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</si>
  <si>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</si>
  <si>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</si>
  <si>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</si>
  <si>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</si>
  <si>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</si>
  <si>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</si>
  <si>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</si>
  <si>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</si>
  <si>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</si>
  <si>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</si>
  <si>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</si>
  <si>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</si>
  <si>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</si>
  <si>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</si>
  <si>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</si>
  <si>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</si>
  <si>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</si>
  <si>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</si>
  <si>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</si>
  <si>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</si>
  <si>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</si>
  <si>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</si>
  <si>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</si>
  <si>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</si>
  <si>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</si>
  <si>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</si>
  <si>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</si>
  <si>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</si>
  <si>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</si>
  <si>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</si>
  <si>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</si>
  <si>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</si>
  <si>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</si>
  <si>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</si>
  <si>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</si>
  <si>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</si>
  <si>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</si>
  <si>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</si>
  <si>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</si>
  <si>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</si>
  <si>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</si>
  <si>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</si>
  <si>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</si>
  <si>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</si>
  <si>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</si>
  <si>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</si>
  <si>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</si>
  <si>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</si>
  <si>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</si>
  <si>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</si>
  <si>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</si>
  <si>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</si>
  <si>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</si>
  <si>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</si>
  <si>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</si>
  <si>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</si>
  <si>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</si>
  <si>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</si>
  <si>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</si>
  <si>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</si>
  <si>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</si>
  <si>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</si>
  <si>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</si>
  <si>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</si>
  <si>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</si>
  <si>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</si>
  <si>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</si>
  <si>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</si>
  <si>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</si>
  <si>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</si>
  <si>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</si>
  <si>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</si>
  <si>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</si>
  <si>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</si>
  <si>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</si>
  <si>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</si>
  <si>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</si>
  <si>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</si>
  <si>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</si>
  <si>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</si>
  <si>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</si>
  <si>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</si>
  <si>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</si>
  <si>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</si>
  <si>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</si>
  <si>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</si>
  <si>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</si>
  <si>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</si>
  <si>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</si>
  <si>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</si>
  <si>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</si>
  <si>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</si>
  <si>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</si>
  <si>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</si>
  <si>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</si>
  <si>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</si>
  <si>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</si>
  <si>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</si>
  <si>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</si>
  <si>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</si>
  <si>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</si>
  <si>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</si>
  <si>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</si>
  <si>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</si>
  <si>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</si>
  <si>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</si>
  <si>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</si>
  <si>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</si>
  <si>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</si>
  <si>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</si>
  <si>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</si>
  <si>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</si>
  <si>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</si>
  <si>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</si>
  <si>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</si>
  <si>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</si>
  <si>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</si>
  <si>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</si>
  <si>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</si>
  <si>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</si>
  <si>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</si>
  <si>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</si>
  <si>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</si>
  <si>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</si>
  <si>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</si>
  <si>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</si>
  <si>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</si>
  <si>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</si>
  <si>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</si>
  <si>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</si>
  <si>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</si>
  <si>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</si>
  <si>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</si>
  <si>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</si>
  <si>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</si>
  <si>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</si>
  <si>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</si>
  <si>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</si>
  <si>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</si>
  <si>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</si>
  <si>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</si>
  <si>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</si>
  <si>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</si>
  <si>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</si>
  <si>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</si>
  <si>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</si>
  <si>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</si>
  <si>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</si>
  <si>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</si>
  <si>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</si>
  <si>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</si>
  <si>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</si>
  <si>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</si>
  <si>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</si>
  <si>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</si>
  <si>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</si>
  <si>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</si>
  <si>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</si>
  <si>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</si>
  <si>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</si>
  <si>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</si>
  <si>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</si>
  <si>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</si>
  <si>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</si>
  <si>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</si>
  <si>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</si>
  <si>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</si>
  <si>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</si>
  <si>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</si>
  <si>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</si>
  <si>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</si>
  <si>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</si>
  <si>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</si>
  <si>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</si>
  <si>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</si>
  <si>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</si>
  <si>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</si>
  <si>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</si>
  <si>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</si>
  <si>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</si>
  <si>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</si>
  <si>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</si>
  <si>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</si>
  <si>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</si>
  <si>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</si>
  <si>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</si>
  <si>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</si>
  <si>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</si>
  <si>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</si>
  <si>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</si>
  <si>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</si>
  <si>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</si>
  <si>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</si>
  <si>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</si>
  <si>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</si>
  <si>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</si>
  <si>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</si>
  <si>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</si>
  <si>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</si>
  <si>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</si>
  <si>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</si>
  <si>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</si>
  <si>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</si>
  <si>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</si>
  <si>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</si>
  <si>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</si>
  <si>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</si>
  <si>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</si>
  <si>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</si>
  <si>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</si>
  <si>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</si>
  <si>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</si>
  <si>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</si>
  <si>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</si>
  <si>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</si>
  <si>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</si>
  <si>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</si>
  <si>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</si>
  <si>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</si>
  <si>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</si>
  <si>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</si>
  <si>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</si>
  <si>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</si>
  <si>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</si>
  <si>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</si>
  <si>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</si>
  <si>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</si>
  <si>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</si>
  <si>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</si>
  <si>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</si>
  <si>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</si>
  <si>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</si>
  <si>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</si>
  <si>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</si>
  <si>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</si>
  <si>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</si>
  <si>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</si>
  <si>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</si>
  <si>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</si>
  <si>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</si>
  <si>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</si>
  <si>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</si>
  <si>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</si>
  <si>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</si>
  <si>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</si>
  <si>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</si>
  <si>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</si>
  <si>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</si>
  <si>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</si>
  <si>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</si>
  <si>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</si>
  <si>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</si>
  <si>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</si>
  <si>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</si>
  <si>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</si>
  <si>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</si>
  <si>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</si>
  <si>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</si>
  <si>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</si>
  <si>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</si>
  <si>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</si>
  <si>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</si>
  <si>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</si>
  <si>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</si>
  <si>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</si>
  <si>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</si>
  <si>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</si>
  <si>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</si>
  <si>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</si>
  <si>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</si>
  <si>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</si>
  <si>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</si>
  <si>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</si>
  <si>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</si>
  <si>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</si>
  <si>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</si>
  <si>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</si>
  <si>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</si>
  <si>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</si>
  <si>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</si>
  <si>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</si>
  <si>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</si>
  <si>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</si>
  <si>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</si>
  <si>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</si>
  <si>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</si>
  <si>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</si>
  <si>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</si>
  <si>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</si>
  <si>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</si>
  <si>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</si>
  <si>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</si>
  <si>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</si>
  <si>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</si>
  <si>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</si>
  <si>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</si>
  <si>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</si>
  <si>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</si>
  <si>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</si>
  <si>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</si>
  <si>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</si>
  <si>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</si>
  <si>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</si>
  <si>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</si>
  <si>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</si>
  <si>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</si>
  <si>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</si>
  <si>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</si>
  <si>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</si>
  <si>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</si>
  <si>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</si>
  <si>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</si>
  <si>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</si>
  <si>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</si>
  <si>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</si>
  <si>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</si>
  <si>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</si>
  <si>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</si>
  <si>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</si>
  <si>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</si>
  <si>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</si>
  <si>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</si>
  <si>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</si>
  <si>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</si>
  <si>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</si>
  <si>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</si>
  <si>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</si>
  <si>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</si>
  <si>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</si>
  <si>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</si>
  <si>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</si>
  <si>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</si>
  <si>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</si>
  <si>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</si>
  <si>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</si>
  <si>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</si>
  <si>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</si>
  <si>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</si>
  <si>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</si>
  <si>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</si>
  <si>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</si>
  <si>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</si>
  <si>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</si>
  <si>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</si>
  <si>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</si>
  <si>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</si>
  <si>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</si>
  <si>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</si>
  <si>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</si>
  <si>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</si>
  <si>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</si>
  <si>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</si>
  <si>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</si>
  <si>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</si>
  <si>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</si>
  <si>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</si>
  <si>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</si>
  <si>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</si>
  <si>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</si>
  <si>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</si>
  <si>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</si>
  <si>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</si>
  <si>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</si>
  <si>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</si>
  <si>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</si>
  <si>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</si>
  <si>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</si>
  <si>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</si>
  <si>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</si>
  <si>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</si>
  <si>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</si>
  <si>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</si>
  <si>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</si>
  <si>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</si>
  <si>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</si>
  <si>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</si>
  <si>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</si>
  <si>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</si>
  <si>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</si>
  <si>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</si>
  <si>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</si>
  <si>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</si>
  <si>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</si>
  <si>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</si>
  <si>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</si>
  <si>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</si>
  <si>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</si>
  <si>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</si>
  <si>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</si>
  <si>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</si>
  <si>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</si>
  <si>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</si>
  <si>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</si>
  <si>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</si>
  <si>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</si>
  <si>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</si>
  <si>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</si>
  <si>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</si>
  <si>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</si>
  <si>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</si>
  <si>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</si>
  <si>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</si>
  <si>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</si>
  <si>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</si>
  <si>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</si>
  <si>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</si>
  <si>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</si>
  <si>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</si>
  <si>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</si>
  <si>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</si>
  <si>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</si>
  <si>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</si>
  <si>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</si>
  <si>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</si>
  <si>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</si>
  <si>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</si>
  <si>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</si>
  <si>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</si>
  <si>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</si>
  <si>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</si>
  <si>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</si>
  <si>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</si>
  <si>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</si>
  <si>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</si>
  <si>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</si>
  <si>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</si>
  <si>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</si>
  <si>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</si>
  <si>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</si>
  <si>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</si>
  <si>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</si>
  <si>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</si>
  <si>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</si>
  <si>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</si>
  <si>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</si>
  <si>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</si>
  <si>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</si>
  <si>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</si>
  <si>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</si>
  <si>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</si>
  <si>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</si>
  <si>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</si>
  <si>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</si>
  <si>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</si>
  <si>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</si>
  <si>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</si>
  <si>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</si>
  <si>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</si>
  <si>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</si>
  <si>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</si>
  <si>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</si>
  <si>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</si>
  <si>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</si>
  <si>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</si>
  <si>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</si>
  <si>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</si>
  <si>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</si>
  <si>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</si>
  <si>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</si>
  <si>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</si>
  <si>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</si>
  <si>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</si>
  <si>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</si>
  <si>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</si>
  <si>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</si>
  <si>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</si>
  <si>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</si>
  <si>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</si>
  <si>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</si>
  <si>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</si>
  <si>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</si>
  <si>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</si>
  <si>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</si>
  <si>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</si>
  <si>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</si>
  <si>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</si>
  <si>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</si>
  <si>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</si>
  <si>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</si>
  <si>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</si>
  <si>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</si>
  <si>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</si>
  <si>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</si>
  <si>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</si>
  <si>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</si>
  <si>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</si>
  <si>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</si>
  <si>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</si>
  <si>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</si>
  <si>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</si>
  <si>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</si>
  <si>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</si>
  <si>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</si>
  <si>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</si>
  <si>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</si>
  <si>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</si>
  <si>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</si>
  <si>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</si>
  <si>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</si>
  <si>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</si>
  <si>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</si>
  <si>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</si>
  <si>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</si>
  <si>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</si>
  <si>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</si>
  <si>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</si>
  <si>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</si>
  <si>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</si>
  <si>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</si>
  <si>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</si>
  <si>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</si>
  <si>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</si>
  <si>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</si>
  <si>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</si>
  <si>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</si>
  <si>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</si>
  <si>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</si>
  <si>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</si>
  <si>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</si>
  <si>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</si>
  <si>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</si>
  <si>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</si>
  <si>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</si>
  <si>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</si>
  <si>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</si>
  <si>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</si>
  <si>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</si>
  <si>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</si>
  <si>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</si>
  <si>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</si>
  <si>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</si>
  <si>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</si>
  <si>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</si>
  <si>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</si>
  <si>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</si>
  <si>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</si>
  <si>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</si>
  <si>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</si>
  <si>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</si>
  <si>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</si>
  <si>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</si>
  <si>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</si>
  <si>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</si>
  <si>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</si>
  <si>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</si>
  <si>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</si>
  <si>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</si>
  <si>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</si>
  <si>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</si>
  <si>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</si>
  <si>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</si>
  <si>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</si>
  <si>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</si>
  <si>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</si>
  <si>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</si>
  <si>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</si>
  <si>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</si>
  <si>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</si>
  <si>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</si>
  <si>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</si>
  <si>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</si>
  <si>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</si>
  <si>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</si>
  <si>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</si>
  <si>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</si>
  <si>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</si>
  <si>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</si>
  <si>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</si>
  <si>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</si>
  <si>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</si>
  <si>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</si>
  <si>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</si>
  <si>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</si>
  <si>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</si>
  <si>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</si>
  <si>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</si>
  <si>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</si>
  <si>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</si>
  <si>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</si>
  <si>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</si>
  <si>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</si>
  <si>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</si>
  <si>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</si>
  <si>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</si>
  <si>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</si>
  <si>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</si>
  <si>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</si>
  <si>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</si>
  <si>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</si>
  <si>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</si>
  <si>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</si>
  <si>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</si>
  <si>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</si>
  <si>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</si>
  <si>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</si>
  <si>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</si>
  <si>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</si>
  <si>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</si>
  <si>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</si>
  <si>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</si>
  <si>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</si>
  <si>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</si>
  <si>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</si>
  <si>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</si>
  <si>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</si>
  <si>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</si>
  <si>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</si>
  <si>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</si>
  <si>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</si>
  <si>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</si>
  <si>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</si>
  <si>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</si>
  <si>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</si>
  <si>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</si>
  <si>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</si>
  <si>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</si>
  <si>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</si>
  <si>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</si>
  <si>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</si>
  <si>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</si>
  <si>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</si>
  <si>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</si>
  <si>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</si>
  <si>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</si>
  <si>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</si>
  <si>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</si>
  <si>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</si>
  <si>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</si>
  <si>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</si>
  <si>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</si>
  <si>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</si>
  <si>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</si>
  <si>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</si>
  <si>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</si>
  <si>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</si>
  <si>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</si>
  <si>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</si>
  <si>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</si>
  <si>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</si>
  <si>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</si>
  <si>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</si>
  <si>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</si>
  <si>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</si>
  <si>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</si>
  <si>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</si>
  <si>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</si>
  <si>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</si>
  <si>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</si>
  <si>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</si>
  <si>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</si>
  <si>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</si>
  <si>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</si>
  <si>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</si>
  <si>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</si>
  <si>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</si>
  <si>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</si>
  <si>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</si>
  <si>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</si>
  <si>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</si>
  <si>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</si>
  <si>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</si>
  <si>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</si>
  <si>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</si>
  <si>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</si>
  <si>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</si>
  <si>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</si>
  <si>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</si>
  <si>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</si>
  <si>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</si>
  <si>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</si>
  <si>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</si>
  <si>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</si>
  <si>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</si>
  <si>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</si>
  <si>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</si>
  <si>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</si>
  <si>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</si>
  <si>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</si>
  <si>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</si>
  <si>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</si>
  <si>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</si>
  <si>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</si>
  <si>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</si>
  <si>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</si>
  <si>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</si>
  <si>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</si>
  <si>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</si>
  <si>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</si>
  <si>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</si>
  <si>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</si>
  <si>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</si>
  <si>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</si>
  <si>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</si>
  <si>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</si>
  <si>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</si>
  <si>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</si>
  <si>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</si>
  <si>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</si>
  <si>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</si>
  <si>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</si>
  <si>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</si>
  <si>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</si>
  <si>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</si>
  <si>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</si>
  <si>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</si>
  <si>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</si>
  <si>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</si>
  <si>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</si>
  <si>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</si>
  <si>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</si>
  <si>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</si>
  <si>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</si>
  <si>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</si>
  <si>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</si>
  <si>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</si>
  <si>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</si>
  <si>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</si>
  <si>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</si>
  <si>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</si>
  <si>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</si>
  <si>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</si>
  <si>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</si>
  <si>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</si>
  <si>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</si>
  <si>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</si>
  <si>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</si>
  <si>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</si>
  <si>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</si>
  <si>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</si>
  <si>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</si>
  <si>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</si>
  <si>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</si>
  <si>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</si>
  <si>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</si>
  <si>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</si>
  <si>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</si>
  <si>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</si>
  <si>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</si>
  <si>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</si>
  <si>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</si>
  <si>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</si>
  <si>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</si>
  <si>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</si>
  <si>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</si>
  <si>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</si>
  <si>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</si>
  <si>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</si>
  <si>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</si>
  <si>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</si>
  <si>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</si>
  <si>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</si>
  <si>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</si>
  <si>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</si>
  <si>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</si>
  <si>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</si>
  <si>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</si>
  <si>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</si>
  <si>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</si>
  <si>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</si>
  <si>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</si>
  <si>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</si>
  <si>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</si>
  <si>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</si>
  <si>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</si>
  <si>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</si>
  <si>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</si>
  <si>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</si>
  <si>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</si>
  <si>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</si>
  <si>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</si>
  <si>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</si>
  <si>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</si>
  <si>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</si>
  <si>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</si>
  <si>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</si>
  <si>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</si>
  <si>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</si>
  <si>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</si>
  <si>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</si>
  <si>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</si>
  <si>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</si>
  <si>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</si>
  <si>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</si>
  <si>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</si>
  <si>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</si>
  <si>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</si>
  <si>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</si>
  <si>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</si>
  <si>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</si>
  <si>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</si>
  <si>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</si>
  <si>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</si>
  <si>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</si>
  <si>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</si>
  <si>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</si>
  <si>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</si>
  <si>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</si>
  <si>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</si>
  <si>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</si>
  <si>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</si>
  <si>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</si>
  <si>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2" type="noConversion"/>
  </si>
  <si>
    <t>重要度</t>
    <phoneticPr fontId="12" type="noConversion"/>
  </si>
  <si>
    <t>关注领域</t>
    <phoneticPr fontId="12" type="noConversion"/>
  </si>
  <si>
    <t>电话</t>
    <phoneticPr fontId="12" type="noConversion"/>
  </si>
  <si>
    <t>90后</t>
    <phoneticPr fontId="12" type="noConversion"/>
  </si>
  <si>
    <t>其他</t>
    <phoneticPr fontId="12" type="noConversion"/>
  </si>
  <si>
    <t>o2o</t>
    <phoneticPr fontId="12" type="noConversion"/>
  </si>
  <si>
    <t>教育</t>
    <phoneticPr fontId="12" type="noConversion"/>
  </si>
  <si>
    <t>智能硬件</t>
    <phoneticPr fontId="12" type="noConversion"/>
  </si>
  <si>
    <t>资本360</t>
  </si>
  <si>
    <t>投资副总裁</t>
    <phoneticPr fontId="12" type="noConversion"/>
  </si>
  <si>
    <t>轩邑资本</t>
    <phoneticPr fontId="12" type="noConversion"/>
  </si>
  <si>
    <t>创始合伙人</t>
    <phoneticPr fontId="12" type="noConversion"/>
  </si>
  <si>
    <t>投资经理</t>
    <phoneticPr fontId="12" type="noConversion"/>
  </si>
  <si>
    <t>首席顾问</t>
    <phoneticPr fontId="12"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</si>
  <si>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</si>
  <si>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</si>
  <si>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</si>
  <si>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</si>
  <si>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</si>
  <si>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</si>
  <si>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</si>
  <si>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</si>
  <si>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</si>
  <si>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</si>
  <si>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</si>
  <si>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</si>
  <si>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</si>
  <si>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</si>
  <si>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</si>
  <si>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</si>
  <si>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</si>
  <si>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</si>
  <si>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</si>
  <si>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</si>
  <si>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</si>
  <si>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</si>
  <si>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</si>
  <si>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</si>
  <si>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</si>
  <si>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</si>
  <si>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</si>
  <si>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</si>
  <si>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</si>
  <si>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</si>
  <si>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</si>
  <si>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</si>
  <si>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</si>
  <si>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</si>
  <si>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2" type="noConversion"/>
  </si>
  <si>
    <t>机构简称</t>
    <phoneticPr fontId="12" type="noConversion"/>
  </si>
  <si>
    <t>资本规模</t>
    <phoneticPr fontId="12" type="noConversion"/>
  </si>
  <si>
    <t>A</t>
    <phoneticPr fontId="12" type="noConversion"/>
  </si>
  <si>
    <t>B</t>
    <phoneticPr fontId="12" type="noConversion"/>
  </si>
  <si>
    <r>
      <rPr>
        <sz val="12"/>
        <color rgb="FF000000"/>
        <rFont val="Yu Gothic"/>
        <family val="2"/>
        <charset val="128"/>
      </rPr>
      <t>BP</t>
    </r>
    <r>
      <rPr>
        <sz val="12"/>
        <color rgb="FF000000"/>
        <rFont val="Microsoft YaHei"/>
        <family val="2"/>
        <charset val="134"/>
      </rPr>
      <t>投递邮箱</t>
    </r>
    <phoneticPr fontId="12" type="noConversion"/>
  </si>
  <si>
    <t>煜华中以基金</t>
    <phoneticPr fontId="12" type="noConversion"/>
  </si>
  <si>
    <t>zyjj@zhongyifund.com</t>
    <phoneticPr fontId="12" type="noConversion"/>
  </si>
  <si>
    <t>真格基金</t>
    <phoneticPr fontId="12" type="noConversion"/>
  </si>
  <si>
    <t>dream@zhenfund.com</t>
    <phoneticPr fontId="12" type="noConversion"/>
  </si>
  <si>
    <t>红衫中国</t>
    <phoneticPr fontId="12" type="noConversion"/>
  </si>
  <si>
    <t>seedbp@sequoiacap.com</t>
    <phoneticPr fontId="12" type="noConversion"/>
  </si>
  <si>
    <t>英诺天使</t>
    <phoneticPr fontId="12" type="noConversion"/>
  </si>
  <si>
    <t>bp@innoangel.com</t>
    <phoneticPr fontId="12" type="noConversion"/>
  </si>
  <si>
    <t>黑马基金</t>
  </si>
  <si>
    <t>bp@darkhorse.vc</t>
    <phoneticPr fontId="12" type="noConversion"/>
  </si>
  <si>
    <t>陈科屹</t>
    <phoneticPr fontId="12" type="noConversion"/>
  </si>
  <si>
    <t>国信弘盛</t>
    <phoneticPr fontId="12" type="noConversion"/>
  </si>
  <si>
    <t>奇虎360</t>
    <phoneticPr fontId="12" type="noConversion"/>
  </si>
  <si>
    <t>投资并购部投资分析师</t>
    <phoneticPr fontId="12" type="noConversion"/>
  </si>
  <si>
    <t>性别</t>
    <phoneticPr fontId="12" type="noConversion"/>
  </si>
  <si>
    <t>潮商资本vp</t>
    <phoneticPr fontId="12" type="noConversion"/>
  </si>
  <si>
    <t>中信资本</t>
    <phoneticPr fontId="12" type="noConversion"/>
  </si>
  <si>
    <t>创投合伙人</t>
    <phoneticPr fontId="12" type="noConversion"/>
  </si>
  <si>
    <t>部门名称</t>
    <phoneticPr fontId="12" type="noConversion"/>
  </si>
  <si>
    <t>投资银行在线</t>
    <phoneticPr fontId="12" type="noConversion"/>
  </si>
  <si>
    <t>中科赛新资本投资经理</t>
    <phoneticPr fontId="12" type="noConversion"/>
  </si>
  <si>
    <t>Adam</t>
    <phoneticPr fontId="12" type="noConversion"/>
  </si>
  <si>
    <t>提示</t>
    <phoneticPr fontId="12" type="noConversion"/>
  </si>
  <si>
    <t>种子</t>
    <phoneticPr fontId="12" type="noConversion"/>
  </si>
  <si>
    <t>天使</t>
    <phoneticPr fontId="12" type="noConversion"/>
  </si>
  <si>
    <t>charlie su</t>
    <phoneticPr fontId="12" type="noConversion"/>
  </si>
  <si>
    <t>源渡创投</t>
    <phoneticPr fontId="12" type="noConversion"/>
  </si>
  <si>
    <t>合伙人</t>
    <phoneticPr fontId="12" type="noConversion"/>
  </si>
  <si>
    <t>北极光创投</t>
    <phoneticPr fontId="12" type="noConversion"/>
  </si>
  <si>
    <t>林路</t>
    <phoneticPr fontId="12" type="noConversion"/>
  </si>
  <si>
    <t>Riseen 步</t>
    <phoneticPr fontId="12" type="noConversion"/>
  </si>
  <si>
    <t>曾之杰</t>
    <phoneticPr fontId="12" type="noConversion"/>
  </si>
  <si>
    <t>老邱</t>
    <phoneticPr fontId="12" type="noConversion"/>
  </si>
  <si>
    <t>陈慧君</t>
    <phoneticPr fontId="12" type="noConversion"/>
  </si>
  <si>
    <t>建春言行</t>
    <phoneticPr fontId="12" type="noConversion"/>
  </si>
  <si>
    <t>冯香智</t>
    <phoneticPr fontId="12" type="noConversion"/>
  </si>
  <si>
    <t>董事总经理</t>
    <phoneticPr fontId="12" type="noConversion"/>
  </si>
  <si>
    <t>清科创投</t>
    <phoneticPr fontId="12" type="noConversion"/>
  </si>
  <si>
    <t>投资总监</t>
    <phoneticPr fontId="12" type="noConversion"/>
  </si>
  <si>
    <t>副总裁</t>
    <phoneticPr fontId="12" type="noConversion"/>
  </si>
  <si>
    <t>博信资本</t>
    <phoneticPr fontId="12" type="noConversion"/>
  </si>
  <si>
    <t>投资合伙人</t>
    <phoneticPr fontId="12" type="noConversion"/>
  </si>
  <si>
    <t>紫辉投资基金</t>
    <phoneticPr fontId="12" type="noConversion"/>
  </si>
  <si>
    <t>郑贵辉</t>
    <phoneticPr fontId="12" type="noConversion"/>
  </si>
  <si>
    <t>叶滨</t>
    <phoneticPr fontId="12" type="noConversion"/>
  </si>
  <si>
    <t>赵锡峰</t>
    <phoneticPr fontId="12" type="noConversion"/>
  </si>
  <si>
    <t>郑刚</t>
    <phoneticPr fontId="12" type="noConversion"/>
  </si>
  <si>
    <t>END</t>
    <phoneticPr fontId="12" type="noConversion"/>
  </si>
  <si>
    <t>李剑威</t>
    <phoneticPr fontId="12" type="noConversion"/>
  </si>
  <si>
    <t>崔婧  Janet</t>
    <phoneticPr fontId="12" type="noConversion"/>
  </si>
  <si>
    <t>直投部</t>
    <phoneticPr fontId="12" type="noConversion"/>
  </si>
  <si>
    <t>上海中路集团</t>
    <phoneticPr fontId="12" type="noConversion"/>
  </si>
  <si>
    <t>创始管理合伙人</t>
    <phoneticPr fontId="12" type="noConversion"/>
  </si>
  <si>
    <t>2345投资基金</t>
    <phoneticPr fontId="12" type="noConversion"/>
  </si>
  <si>
    <t>张婷</t>
    <phoneticPr fontId="12" type="noConversion"/>
  </si>
  <si>
    <t>顾问</t>
    <phoneticPr fontId="12" type="noConversion"/>
  </si>
  <si>
    <t>范德国际</t>
    <phoneticPr fontId="12" type="noConversion"/>
  </si>
  <si>
    <t>流河</t>
    <phoneticPr fontId="12" type="noConversion"/>
  </si>
  <si>
    <t>红杉资本中国基金</t>
    <phoneticPr fontId="12" type="noConversion"/>
  </si>
  <si>
    <t>起源资本</t>
    <phoneticPr fontId="12" type="noConversion"/>
  </si>
  <si>
    <t>主席兼CEO</t>
    <phoneticPr fontId="12" type="noConversion"/>
  </si>
  <si>
    <t>中国长远控股</t>
    <phoneticPr fontId="12" type="noConversion"/>
  </si>
  <si>
    <t>刘小鹰</t>
    <phoneticPr fontId="12" type="noConversion"/>
  </si>
  <si>
    <t>蓝石天使</t>
    <phoneticPr fontId="12" type="noConversion"/>
  </si>
  <si>
    <t>天使投资人</t>
    <phoneticPr fontId="12" type="noConversion"/>
  </si>
  <si>
    <t>东方富海</t>
    <phoneticPr fontId="12" type="noConversion"/>
  </si>
  <si>
    <t>深圳</t>
    <phoneticPr fontId="12" type="noConversion"/>
  </si>
  <si>
    <t>PreAngel天使基金</t>
    <phoneticPr fontId="12" type="noConversion"/>
  </si>
  <si>
    <t>创新工场</t>
    <phoneticPr fontId="12" type="noConversion"/>
  </si>
  <si>
    <t>新浪微博创新基金</t>
    <phoneticPr fontId="12" type="noConversion"/>
  </si>
  <si>
    <t>蔡毅</t>
    <phoneticPr fontId="12" type="noConversion"/>
  </si>
  <si>
    <t xml:space="preserve">黄冠仪 </t>
    <phoneticPr fontId="12" type="noConversion"/>
  </si>
  <si>
    <t>上海大学生科技天使基金</t>
    <phoneticPr fontId="12" type="noConversion"/>
  </si>
  <si>
    <t>负责人</t>
    <phoneticPr fontId="12" type="noConversion"/>
  </si>
  <si>
    <t>朗玛峰创投</t>
    <phoneticPr fontId="12" type="noConversion"/>
  </si>
  <si>
    <t>李俐</t>
    <phoneticPr fontId="12" type="noConversion"/>
  </si>
  <si>
    <t>同创伟业</t>
    <phoneticPr fontId="12" type="noConversion"/>
  </si>
  <si>
    <t>鼎晖投资</t>
    <phoneticPr fontId="12" type="noConversion"/>
  </si>
  <si>
    <t>红杉资本</t>
    <phoneticPr fontId="12" type="noConversion"/>
  </si>
  <si>
    <t xml:space="preserve">华平投资 </t>
    <phoneticPr fontId="12" type="noConversion"/>
  </si>
  <si>
    <t>红杉中国</t>
    <phoneticPr fontId="12" type="noConversion"/>
  </si>
  <si>
    <t xml:space="preserve">钱伟 </t>
    <phoneticPr fontId="12" type="noConversion"/>
  </si>
  <si>
    <t xml:space="preserve">idg </t>
    <phoneticPr fontId="12" type="noConversion"/>
  </si>
  <si>
    <t>vc投资，投资经理</t>
    <phoneticPr fontId="12" type="noConversion"/>
  </si>
  <si>
    <t>创始和执行合伙人</t>
    <phoneticPr fontId="12" type="noConversion"/>
  </si>
  <si>
    <t>愉悦资本</t>
    <phoneticPr fontId="12" type="noConversion"/>
  </si>
  <si>
    <t>朱新力</t>
    <phoneticPr fontId="12" type="noConversion"/>
  </si>
  <si>
    <t xml:space="preserve">中科招商angel </t>
    <phoneticPr fontId="12" type="noConversion"/>
  </si>
  <si>
    <t>cdhvc@cdhfund.com</t>
    <phoneticPr fontId="12" type="noConversion"/>
  </si>
  <si>
    <t>决胜网</t>
    <phoneticPr fontId="12" type="noConversion"/>
  </si>
  <si>
    <t>联合创始人 CEO</t>
    <phoneticPr fontId="12" type="noConversion"/>
  </si>
  <si>
    <t>戴政</t>
    <phoneticPr fontId="12" type="noConversion"/>
  </si>
  <si>
    <t>王辛</t>
    <phoneticPr fontId="12" type="noConversion"/>
  </si>
  <si>
    <t>桂曙光</t>
    <phoneticPr fontId="12" type="noConversion"/>
  </si>
  <si>
    <t xml:space="preserve">农天小阿Paul </t>
    <phoneticPr fontId="12" type="noConversion"/>
  </si>
  <si>
    <t>光速安振中国基金</t>
    <phoneticPr fontId="12" type="noConversion"/>
  </si>
  <si>
    <t>执行董事</t>
    <phoneticPr fontId="12" type="noConversion"/>
  </si>
  <si>
    <t>韩彦</t>
    <phoneticPr fontId="12" type="noConversion"/>
  </si>
  <si>
    <t>力合创业投资</t>
    <phoneticPr fontId="12" type="noConversion"/>
  </si>
  <si>
    <t>季薇</t>
    <phoneticPr fontId="12" type="noConversion"/>
  </si>
  <si>
    <t>华映资本</t>
    <phoneticPr fontId="12" type="noConversion"/>
  </si>
  <si>
    <t>中大创投</t>
    <phoneticPr fontId="12" type="noConversion"/>
  </si>
  <si>
    <t>创始合伙人总裁</t>
    <phoneticPr fontId="12" type="noConversion"/>
  </si>
  <si>
    <t>投融资顾问</t>
    <phoneticPr fontId="12" type="noConversion"/>
  </si>
  <si>
    <t xml:space="preserve"> </t>
    <phoneticPr fontId="12" type="noConversion"/>
  </si>
  <si>
    <t>苏州创投</t>
    <phoneticPr fontId="12" type="noConversion"/>
  </si>
  <si>
    <t>管理合伙人</t>
    <phoneticPr fontId="12" type="noConversion"/>
  </si>
  <si>
    <t>纪源资本</t>
    <phoneticPr fontId="12" type="noConversion"/>
  </si>
  <si>
    <t>君联资本</t>
    <phoneticPr fontId="12" type="noConversion"/>
  </si>
  <si>
    <t>357226928@qq.com</t>
    <phoneticPr fontId="12" type="noConversion"/>
  </si>
  <si>
    <t>梅花天使创投</t>
    <phoneticPr fontId="12" type="noConversion"/>
  </si>
  <si>
    <t>bp@plumventures.cn</t>
    <phoneticPr fontId="12" type="noConversion"/>
  </si>
  <si>
    <t>ayin@sequoiacap.com</t>
    <phoneticPr fontId="12" type="noConversion"/>
  </si>
  <si>
    <t>bp@ofcapital.com</t>
    <phoneticPr fontId="12" type="noConversion"/>
  </si>
  <si>
    <t>城市</t>
    <phoneticPr fontId="12" type="noConversion"/>
  </si>
  <si>
    <t>brad@chuangxin.com</t>
    <phoneticPr fontId="12" type="noConversion"/>
  </si>
  <si>
    <t>陈嘉榕</t>
    <phoneticPr fontId="12" type="noConversion"/>
  </si>
  <si>
    <t>刘里</t>
    <phoneticPr fontId="12" type="noConversion"/>
  </si>
  <si>
    <t>bpchina@sequoiacap.com</t>
    <phoneticPr fontId="12" type="noConversion"/>
  </si>
  <si>
    <t>cwang@sequoiacap.com</t>
    <phoneticPr fontId="12" type="noConversion"/>
  </si>
  <si>
    <t>北京、上海、香港</t>
    <phoneticPr fontId="12" type="noConversion"/>
  </si>
  <si>
    <t>男</t>
    <phoneticPr fontId="12" type="noConversion"/>
  </si>
  <si>
    <t>王岑</t>
    <phoneticPr fontId="12" type="noConversion"/>
  </si>
  <si>
    <t>⚪</t>
    <phoneticPr fontId="12" type="noConversion"/>
  </si>
  <si>
    <t>18610180512	
13701108177</t>
    <phoneticPr fontId="12" type="noConversion"/>
  </si>
  <si>
    <t>微信号</t>
    <phoneticPr fontId="12" type="noConversion"/>
  </si>
  <si>
    <t>ArIeS 李晓军</t>
    <phoneticPr fontId="12" type="noConversion"/>
  </si>
  <si>
    <t xml:space="preserve"> xueqinhong</t>
    <phoneticPr fontId="12" type="noConversion"/>
  </si>
  <si>
    <t>A轮</t>
    <phoneticPr fontId="12" type="noConversion"/>
  </si>
  <si>
    <t>杭州</t>
    <phoneticPr fontId="12" type="noConversion"/>
  </si>
  <si>
    <t>Jamesni427</t>
    <phoneticPr fontId="12" type="noConversion"/>
  </si>
  <si>
    <t>高级投资经理</t>
    <phoneticPr fontId="12" type="noConversion"/>
  </si>
  <si>
    <t>亿湖股权投资基金</t>
    <phoneticPr fontId="12" type="noConversion"/>
  </si>
  <si>
    <t>黄肖恩</t>
    <phoneticPr fontId="12" type="noConversion"/>
  </si>
  <si>
    <t>daidai7801</t>
  </si>
  <si>
    <t>huqiquang999</t>
    <phoneticPr fontId="12" type="noConversion"/>
  </si>
  <si>
    <t>公众号</t>
    <phoneticPr fontId="12" type="noConversion"/>
  </si>
  <si>
    <t>荟强投资</t>
    <phoneticPr fontId="12" type="noConversion"/>
  </si>
  <si>
    <t>上海</t>
    <phoneticPr fontId="12" type="noConversion"/>
  </si>
  <si>
    <t>mick127</t>
    <phoneticPr fontId="12" type="noConversion"/>
  </si>
  <si>
    <t>13625285487
13862000416</t>
    <phoneticPr fontId="12" type="noConversion"/>
  </si>
  <si>
    <t>女</t>
    <phoneticPr fontId="12" type="noConversion"/>
  </si>
  <si>
    <t>备注</t>
    <phoneticPr fontId="12" type="noConversion"/>
  </si>
  <si>
    <t>创客邦资金量级：	5 亿，主要以创业投资和创业孵化基地为主，目前孵化
服务团队 120  多个，获得投资团队	30 多个， 4 家上市公司</t>
    <phoneticPr fontId="12" type="noConversion"/>
  </si>
  <si>
    <t>vanillazhouquan</t>
    <phoneticPr fontId="12" type="noConversion"/>
  </si>
  <si>
    <t>北京</t>
    <phoneticPr fontId="12" type="noConversion"/>
  </si>
  <si>
    <t xml:space="preserve">Michael Huang </t>
    <phoneticPr fontId="12" type="noConversion"/>
  </si>
  <si>
    <t>九洲创投GM</t>
    <phoneticPr fontId="12" type="noConversion"/>
  </si>
  <si>
    <t>中国区董事</t>
    <phoneticPr fontId="12" type="noConversion"/>
  </si>
  <si>
    <t>麦刚</t>
    <phoneticPr fontId="12" type="noConversion"/>
  </si>
  <si>
    <t>张玮</t>
    <phoneticPr fontId="12" type="noConversion"/>
  </si>
  <si>
    <t>殷明</t>
    <phoneticPr fontId="12"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</si>
  <si>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</si>
  <si>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</si>
  <si>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</si>
  <si>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</si>
  <si>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</si>
  <si>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</si>
  <si>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</si>
  <si>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</si>
  <si>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</si>
  <si>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</si>
  <si>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</si>
  <si>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</si>
  <si>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</si>
  <si>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</si>
  <si>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</si>
  <si>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</si>
  <si>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</si>
  <si>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</si>
  <si>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</si>
  <si>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</si>
  <si>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</si>
  <si>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</si>
  <si>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</si>
  <si>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</si>
  <si>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</si>
  <si>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</si>
  <si>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</si>
  <si>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</si>
  <si>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</si>
  <si>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</si>
  <si>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</si>
  <si>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</si>
  <si>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</si>
  <si>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</si>
  <si>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</si>
  <si>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</si>
  <si>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</si>
  <si>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</si>
  <si>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</si>
  <si>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</si>
  <si>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</si>
  <si>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</si>
  <si>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</si>
  <si>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</si>
  <si>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</si>
  <si>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</si>
  <si>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</si>
  <si>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</si>
  <si>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</si>
  <si>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</si>
  <si>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</si>
  <si>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</si>
  <si>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</si>
  <si>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</si>
  <si>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</si>
  <si>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</si>
  <si>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</si>
  <si>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</si>
  <si>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</si>
  <si>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</si>
  <si>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</si>
  <si>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</si>
  <si>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</si>
  <si>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</si>
  <si>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</si>
  <si>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</si>
  <si>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</si>
  <si>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</si>
  <si>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</si>
  <si>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</si>
  <si>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</si>
  <si>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</si>
  <si>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</si>
  <si>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</si>
  <si>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</si>
  <si>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</si>
  <si>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</si>
  <si>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</si>
  <si>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</si>
  <si>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</si>
  <si>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</si>
  <si>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</si>
  <si>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</si>
  <si>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</si>
  <si>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</si>
  <si>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</si>
  <si>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</si>
  <si>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</si>
  <si>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</si>
  <si>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</si>
  <si>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</si>
  <si>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</si>
  <si>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</si>
  <si>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</si>
  <si>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</si>
  <si>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</si>
  <si>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</si>
  <si>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</si>
  <si>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</si>
  <si>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</si>
  <si>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</si>
  <si>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2" type="noConversion"/>
  </si>
  <si>
    <t>胡博予</t>
    <phoneticPr fontId="12" type="noConversion"/>
  </si>
  <si>
    <t xml:space="preserve"> DCM</t>
    <phoneticPr fontId="12" type="noConversion"/>
  </si>
  <si>
    <t>雷平</t>
    <phoneticPr fontId="12" type="noConversion"/>
  </si>
  <si>
    <t xml:space="preserve">上海科技投资 </t>
    <phoneticPr fontId="12" type="noConversion"/>
  </si>
  <si>
    <t>投资部</t>
    <phoneticPr fontId="12" type="noConversion"/>
  </si>
  <si>
    <t>吴远</t>
    <phoneticPr fontId="12" type="noConversion"/>
  </si>
  <si>
    <t>王求乐</t>
    <phoneticPr fontId="12" type="noConversion"/>
  </si>
  <si>
    <t xml:space="preserve">董江勇 </t>
    <phoneticPr fontId="12" type="noConversion"/>
  </si>
  <si>
    <t>北京卓众传媒</t>
    <phoneticPr fontId="12" type="noConversion"/>
  </si>
  <si>
    <t>总裁</t>
    <phoneticPr fontId="12" type="noConversion"/>
  </si>
  <si>
    <t xml:space="preserve">凌代鸿 </t>
    <phoneticPr fontId="12" type="noConversion"/>
  </si>
  <si>
    <t>旦恩创投</t>
    <phoneticPr fontId="12" type="noConversion"/>
  </si>
  <si>
    <t>bp-beijing@chuangxin.com</t>
    <phoneticPr fontId="12" type="noConversion"/>
  </si>
  <si>
    <t>创新工场华北</t>
    <phoneticPr fontId="12" type="noConversion"/>
  </si>
  <si>
    <t>bp-shanghai@chuangxin.com</t>
    <phoneticPr fontId="12" type="noConversion"/>
  </si>
  <si>
    <t>创新工场华东</t>
    <phoneticPr fontId="12" type="noConversion"/>
  </si>
  <si>
    <t>bp-shenzhen@chuangxin.com</t>
    <phoneticPr fontId="12" type="noConversion"/>
  </si>
  <si>
    <t>创新工场华南</t>
    <phoneticPr fontId="12" type="noConversion"/>
  </si>
  <si>
    <t>国金投资</t>
    <phoneticPr fontId="12" type="noConversion"/>
  </si>
  <si>
    <t>bp@guojin.com</t>
    <phoneticPr fontId="12"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</si>
  <si>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2" type="noConversion"/>
  </si>
  <si>
    <t>hr-2@ sinowisdom.cn</t>
    <phoneticPr fontId="12" type="noConversion"/>
  </si>
  <si>
    <t>联系人</t>
    <phoneticPr fontId="12" type="noConversion"/>
  </si>
  <si>
    <t>联系电话</t>
    <phoneticPr fontId="12" type="noConversion"/>
  </si>
  <si>
    <r>
      <rPr>
        <sz val="11"/>
        <color rgb="FF000000"/>
        <rFont val="微软雅黑"/>
        <family val="2"/>
        <charset val="134"/>
      </rPr>
      <t>徐鹏先生</t>
    </r>
    <r>
      <rPr>
        <sz val="11"/>
        <color rgb="FF000000"/>
        <rFont val="Tahoma"/>
        <family val="2"/>
      </rPr>
      <t xml:space="preserve"> </t>
    </r>
    <phoneticPr fontId="12" type="noConversion"/>
  </si>
  <si>
    <t>●</t>
  </si>
  <si>
    <t>http://www.zhenfund.com/</t>
    <phoneticPr fontId="12" type="noConversion"/>
  </si>
  <si>
    <t>公司主页</t>
    <phoneticPr fontId="12" type="noConversion"/>
  </si>
  <si>
    <t>专注于TMT行业、包括物联网、移动互联、游戏、O2O、电子商务等</t>
    <phoneticPr fontId="12" type="noConversion"/>
  </si>
  <si>
    <t>投资案例</t>
    <phoneticPr fontId="12" type="noConversion"/>
  </si>
  <si>
    <t>世纪佳缘、兰亭集势、聚美优品、小红书、蜜芽、美菜网、罗计物流、大姨吗等</t>
  </si>
  <si>
    <t>机构简介</t>
    <phoneticPr fontId="12" type="noConversion"/>
  </si>
  <si>
    <t>http://www.chuangxin.com/</t>
    <phoneticPr fontId="12" type="noConversion"/>
  </si>
  <si>
    <t>美图、知乎、暴走漫画、知乎、小鱼在家、豌豆荚等</t>
    <phoneticPr fontId="12"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</si>
  <si>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2" type="noConversion"/>
  </si>
  <si>
    <t>86 021-33626655</t>
    <phoneticPr fontId="12" type="noConversion"/>
  </si>
  <si>
    <t>险峰长青</t>
    <phoneticPr fontId="12" type="noConversion"/>
  </si>
  <si>
    <t>http://www.k2vc.com/</t>
    <phoneticPr fontId="12" type="noConversion"/>
  </si>
  <si>
    <t>互联网、移动互联网等</t>
    <phoneticPr fontId="12" type="noConversion"/>
  </si>
  <si>
    <t>聚美优品、美乐乐、找钢网、分期乐、美柚、团车网、有缘网、辣妈帮、蜜芽宝贝、墨迹天气等</t>
    <phoneticPr fontId="12"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</si>
  <si>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2" type="noConversion"/>
  </si>
  <si>
    <t>hi@k2vc.com</t>
    <phoneticPr fontId="12" type="noConversion"/>
  </si>
  <si>
    <t>英诺天使基金</t>
    <phoneticPr fontId="12" type="noConversion"/>
  </si>
  <si>
    <t>梦想加、洗衣邦、恋爱说、趣皮士、目的地旅行网、调果师、人人湘、约拍啦、心跳等</t>
    <phoneticPr fontId="12"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</si>
  <si>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2" type="noConversion"/>
  </si>
  <si>
    <t>隆领投资</t>
    <phoneticPr fontId="12" type="noConversion"/>
  </si>
  <si>
    <t>xm@longling.com</t>
    <phoneticPr fontId="12" type="noConversion"/>
  </si>
  <si>
    <t>移动互联网、游戏、O2O、金融等</t>
    <phoneticPr fontId="12" type="noConversion"/>
  </si>
  <si>
    <t>电子商务、企业服务、生活消费、游戏、医疗等</t>
    <phoneticPr fontId="12" type="noConversion"/>
  </si>
  <si>
    <t>移动互联网，数字娱乐、智能硬件、智能商务、云计算、电子商务等</t>
    <phoneticPr fontId="12" type="noConversion"/>
  </si>
  <si>
    <t>暴风影音、飞鱼科技、58同城、美图秀秀、寻医问药网、4399游戏等</t>
    <phoneticPr fontId="12"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</si>
  <si>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2" type="noConversion"/>
  </si>
  <si>
    <t>洪泰基金</t>
    <phoneticPr fontId="12" type="noConversion"/>
  </si>
  <si>
    <t>http://www.apluscap.com/</t>
    <phoneticPr fontId="12" type="noConversion"/>
  </si>
  <si>
    <t>互联网、文化娱乐、体育、健康、金融、游戏、企业服务、社交网络</t>
    <phoneticPr fontId="12" type="noConversion"/>
  </si>
  <si>
    <t>八分量、易点租、纸箱哥、创客星球、银河酷娱火星情报局等</t>
    <phoneticPr fontId="12"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</si>
  <si>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2" type="noConversion"/>
  </si>
  <si>
    <t>bp@apluscap.com</t>
    <phoneticPr fontId="12" type="noConversion"/>
  </si>
  <si>
    <t>联想之星</t>
    <phoneticPr fontId="12" type="noConversion"/>
  </si>
  <si>
    <t>http://www.legendstar.com.cn/</t>
    <phoneticPr fontId="12" type="noConversion"/>
  </si>
  <si>
    <t>聚焦TMT和医疗健康行业</t>
    <phoneticPr fontId="12" type="noConversion"/>
  </si>
  <si>
    <t>思必驰、15分、知果果、有壹手、云丁、ABLECLOUD、住百家、作业盒子、初炼、乐驾等</t>
    <phoneticPr fontId="12"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</si>
  <si>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2" type="noConversion"/>
  </si>
  <si>
    <t>angel@legendstar.com.cn</t>
    <phoneticPr fontId="12" type="noConversion"/>
  </si>
  <si>
    <t>阿米巴资本</t>
    <phoneticPr fontId="12" type="noConversion"/>
  </si>
  <si>
    <t>http://www.amebacapital.com/#/</t>
    <phoneticPr fontId="12" type="noConversion"/>
  </si>
  <si>
    <t>C</t>
    <phoneticPr fontId="12" type="noConversion"/>
  </si>
  <si>
    <t>电商、大数据、企业服务、互联网金融等</t>
    <phoneticPr fontId="12" type="noConversion"/>
  </si>
  <si>
    <t>:快的打车、蘑菇街、孩子学啥、抠电影、淘实惠、决胜网、火辣健身、传课、挖财等</t>
    <phoneticPr fontId="12" type="noConversion"/>
  </si>
  <si>
    <t>amebacapital@amebacapital.com</t>
    <phoneticPr fontId="12" type="noConversion"/>
  </si>
  <si>
    <t>九合创投</t>
    <phoneticPr fontId="12" type="noConversion"/>
  </si>
  <si>
    <t>http://www.unityvc.com/#page5</t>
    <phoneticPr fontId="12" type="noConversion"/>
  </si>
  <si>
    <t>TMT领域为主</t>
  </si>
  <si>
    <t>36KR、下厨房、91金融、黄油相机、蓝犀牛、极客学院、星空琴行等</t>
    <phoneticPr fontId="12"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</si>
  <si>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2" type="noConversion"/>
  </si>
  <si>
    <t>contatc@unityvc.com</t>
    <phoneticPr fontId="12" type="noConversion"/>
  </si>
  <si>
    <t>http://www.plumventures.cn/</t>
    <phoneticPr fontId="12" type="noConversion"/>
  </si>
  <si>
    <t>互联网、移动互联网、现代服务、传媒新媒体、文化创意、电子半导体、游戏等</t>
    <phoneticPr fontId="12" type="noConversion"/>
  </si>
  <si>
    <t>大掌门、唱吧、趣分期、FILL耳机、小牛电动车等</t>
    <phoneticPr fontId="12"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</si>
  <si>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2" type="noConversion"/>
  </si>
  <si>
    <t>bp@idgcapital.com</t>
    <phoneticPr fontId="12" type="noConversion"/>
  </si>
  <si>
    <t>IDG</t>
    <phoneticPr fontId="12" type="noConversion"/>
  </si>
  <si>
    <t>投资人</t>
    <phoneticPr fontId="12" type="noConversion"/>
  </si>
  <si>
    <t>基金机构</t>
    <phoneticPr fontId="12" type="noConversion"/>
  </si>
  <si>
    <t>电子邮箱</t>
    <phoneticPr fontId="12" type="noConversion"/>
  </si>
  <si>
    <t>推送日期</t>
    <phoneticPr fontId="12" type="noConversion"/>
  </si>
  <si>
    <t>PushCycle Date</t>
    <phoneticPr fontId="12" type="noConversion"/>
  </si>
  <si>
    <t>IDG资本</t>
    <phoneticPr fontId="12" type="noConversion"/>
  </si>
  <si>
    <t>华睿投资</t>
    <phoneticPr fontId="12" type="noConversion"/>
  </si>
  <si>
    <t>拒收</t>
    <phoneticPr fontId="12" type="noConversion"/>
  </si>
  <si>
    <t>不存在</t>
    <phoneticPr fontId="12" type="noConversion"/>
  </si>
  <si>
    <t>顾旻曼</t>
    <phoneticPr fontId="12" type="noConversion"/>
  </si>
  <si>
    <t>grace@zhenfund.com</t>
    <phoneticPr fontId="12" type="noConversion"/>
  </si>
  <si>
    <t>机构</t>
    <phoneticPr fontId="12" type="noConversion"/>
  </si>
  <si>
    <t>charlie.cao@gmail.com</t>
    <phoneticPr fontId="12" type="noConversion"/>
  </si>
  <si>
    <t>符绩勋</t>
    <phoneticPr fontId="12" type="noConversion"/>
  </si>
  <si>
    <t>jfoo@ggvc.com</t>
    <phoneticPr fontId="12" type="noConversion"/>
  </si>
  <si>
    <t>荟强投资（上海）</t>
    <phoneticPr fontId="12" type="noConversion"/>
  </si>
  <si>
    <t>胡启强</t>
    <phoneticPr fontId="12" type="noConversion"/>
  </si>
  <si>
    <t>hqq@shhqtzfz.com</t>
    <phoneticPr fontId="12" type="noConversion"/>
  </si>
  <si>
    <t>创客邦（孵化+投资）</t>
    <phoneticPr fontId="12" type="noConversion"/>
  </si>
  <si>
    <t>叶明霞</t>
    <phoneticPr fontId="12" type="noConversion"/>
  </si>
  <si>
    <t>新东方</t>
    <phoneticPr fontId="12" type="noConversion"/>
  </si>
  <si>
    <t>俞敏洪</t>
    <phoneticPr fontId="12" type="noConversion"/>
  </si>
  <si>
    <t>yuminhong@XDF.cn</t>
    <phoneticPr fontId="12" type="noConversion"/>
  </si>
  <si>
    <t>高瓴资本</t>
    <phoneticPr fontId="12" type="noConversion"/>
  </si>
  <si>
    <t>洪婧</t>
    <phoneticPr fontId="12" type="noConversion"/>
  </si>
  <si>
    <t>jhong@hillhousetca.com</t>
    <phoneticPr fontId="12" type="noConversion"/>
  </si>
  <si>
    <t>张春晖</t>
    <phoneticPr fontId="12" type="noConversion"/>
  </si>
  <si>
    <t>18081@qq.com</t>
    <phoneticPr fontId="12" type="noConversion"/>
  </si>
  <si>
    <t>陈浩</t>
    <phoneticPr fontId="12" type="noConversion"/>
  </si>
  <si>
    <t>chenhao@legendcapital.com.cn</t>
    <phoneticPr fontId="12" type="noConversion"/>
  </si>
  <si>
    <t>cuijing@360.cn</t>
    <phoneticPr fontId="12" type="noConversion"/>
  </si>
  <si>
    <t>chenhuijun@360.cn</t>
    <phoneticPr fontId="12" type="noConversion"/>
  </si>
  <si>
    <t>经纬中国</t>
    <phoneticPr fontId="12" type="noConversion"/>
  </si>
  <si>
    <t>张颖</t>
    <phoneticPr fontId="12" type="noConversion"/>
  </si>
  <si>
    <t>david.zhang@matrixpartners.com.cn</t>
    <phoneticPr fontId="12" type="noConversion"/>
  </si>
  <si>
    <t>金沙江创业投资基金</t>
    <phoneticPr fontId="12" type="noConversion"/>
  </si>
  <si>
    <t>丁健</t>
    <phoneticPr fontId="12" type="noConversion"/>
  </si>
  <si>
    <t>ding@gsrventures.com</t>
    <phoneticPr fontId="12" type="noConversion"/>
  </si>
  <si>
    <t>孙动先</t>
    <phoneticPr fontId="12" type="noConversion"/>
  </si>
  <si>
    <t>飞马旅风险</t>
    <phoneticPr fontId="12" type="noConversion"/>
  </si>
  <si>
    <t>PEVC投资中路</t>
    <phoneticPr fontId="12" type="noConversion"/>
  </si>
  <si>
    <t>孙骏</t>
    <phoneticPr fontId="12" type="noConversion"/>
  </si>
  <si>
    <t xml:space="preserve">顾泉Piers </t>
    <phoneticPr fontId="12" type="noConversion"/>
  </si>
  <si>
    <t>北大汇丰天使投资会</t>
    <phoneticPr fontId="12" type="noConversion"/>
  </si>
  <si>
    <t>秘书</t>
    <phoneticPr fontId="12" type="noConversion"/>
  </si>
  <si>
    <t>董事合伙人</t>
    <phoneticPr fontId="12" type="noConversion"/>
  </si>
  <si>
    <t>域名不存在</t>
    <phoneticPr fontId="12" type="noConversion"/>
  </si>
  <si>
    <t>地址错误</t>
    <phoneticPr fontId="12" type="noConversion"/>
  </si>
  <si>
    <t>邮箱溢出</t>
    <phoneticPr fontId="12" type="noConversion"/>
  </si>
  <si>
    <t>自动回复</t>
    <phoneticPr fontId="12" type="noConversion"/>
  </si>
  <si>
    <t>无法送达</t>
    <phoneticPr fontId="12" type="noConversion"/>
  </si>
  <si>
    <t>地址不存在</t>
    <phoneticPr fontId="12" type="noConversion"/>
  </si>
  <si>
    <t>已退职</t>
    <phoneticPr fontId="12" type="noConversion"/>
  </si>
  <si>
    <t>lzhang@waldenintl.com</t>
    <phoneticPr fontId="12" type="noConversion"/>
  </si>
  <si>
    <t>Lilian Zhang</t>
    <phoneticPr fontId="12" type="noConversion"/>
  </si>
  <si>
    <t>暂停使用</t>
    <phoneticPr fontId="12" type="noConversion"/>
  </si>
  <si>
    <t>联合创始人</t>
    <phoneticPr fontId="12" type="noConversion"/>
  </si>
  <si>
    <t>退回</t>
    <phoneticPr fontId="12" type="noConversion"/>
  </si>
  <si>
    <t>阅读</t>
    <phoneticPr fontId="12" type="noConversion"/>
  </si>
  <si>
    <t>冯晓娜</t>
    <phoneticPr fontId="12" type="noConversion"/>
  </si>
  <si>
    <t>fengxiaona@chuangxin.com</t>
    <phoneticPr fontId="12" type="noConversion"/>
  </si>
  <si>
    <t>businessplan@chuangxin.com</t>
    <phoneticPr fontId="12" type="noConversion"/>
  </si>
  <si>
    <t>故障</t>
    <phoneticPr fontId="12" type="noConversion"/>
  </si>
  <si>
    <t>preangelpartners.com</t>
  </si>
  <si>
    <t>已弃用</t>
    <phoneticPr fontId="12" type="noConversion"/>
  </si>
  <si>
    <t>暂停服务</t>
    <phoneticPr fontId="12" type="noConversion"/>
  </si>
  <si>
    <t>刘燕</t>
    <phoneticPr fontId="12" type="noConversion"/>
  </si>
  <si>
    <t>365无法送达</t>
    <phoneticPr fontId="12" type="noConversion"/>
  </si>
  <si>
    <t>误判垃圾</t>
    <phoneticPr fontId="12" type="noConversion"/>
  </si>
  <si>
    <t>送达OK</t>
    <phoneticPr fontId="12" type="noConversion"/>
  </si>
  <si>
    <t>送达NG</t>
    <phoneticPr fontId="12" type="noConversion"/>
  </si>
  <si>
    <t>好未来</t>
    <phoneticPr fontId="12" type="noConversion"/>
  </si>
  <si>
    <t>touzibubp@100tal.com</t>
    <phoneticPr fontId="12" type="noConversion"/>
  </si>
  <si>
    <t>机构全称</t>
    <phoneticPr fontId="12" type="noConversion"/>
  </si>
  <si>
    <t>http://www.100tal.com/investment/</t>
  </si>
  <si>
    <t>地址</t>
    <phoneticPr fontId="12" type="noConversion"/>
  </si>
  <si>
    <t>北京市海淀区丹棱街6号丹棱soho15层</t>
  </si>
  <si>
    <t>http://capital.xdf.cn/index.html</t>
    <phoneticPr fontId="12" type="noConversion"/>
  </si>
  <si>
    <t>investment@iedufund.com</t>
    <phoneticPr fontId="12" type="noConversion"/>
  </si>
  <si>
    <t>新东方创投</t>
    <phoneticPr fontId="12"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</si>
  <si>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2" type="noConversion"/>
  </si>
  <si>
    <t>顺为资本</t>
    <phoneticPr fontId="12" type="noConversion"/>
  </si>
  <si>
    <t>deals@shunwei.com</t>
    <phoneticPr fontId="12"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</si>
  <si>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2"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</si>
  <si>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2" type="noConversion"/>
  </si>
  <si>
    <t>涌铧投资</t>
    <phoneticPr fontId="12" type="noConversion"/>
  </si>
  <si>
    <t>Yonghua@yonghuacapital.com.cn</t>
    <phoneticPr fontId="12"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</si>
  <si>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2" type="noConversion"/>
  </si>
  <si>
    <t>青松基金</t>
    <phoneticPr fontId="12" type="noConversion"/>
  </si>
  <si>
    <t>上海、深圳</t>
    <phoneticPr fontId="12" type="noConversion"/>
  </si>
  <si>
    <t>qingsongfund@qingsongfund.com</t>
    <phoneticPr fontId="12"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</si>
  <si>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2" type="noConversion"/>
  </si>
  <si>
    <t>紫金科创</t>
    <phoneticPr fontId="12" type="noConversion"/>
  </si>
  <si>
    <t>南京</t>
    <phoneticPr fontId="12"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</si>
  <si>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</si>
  <si>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2"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</si>
  <si>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</si>
  <si>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2" type="noConversion"/>
  </si>
  <si>
    <t>单笔平均</t>
    <phoneticPr fontId="12" type="noConversion"/>
  </si>
  <si>
    <t>北京、上海</t>
  </si>
  <si>
    <t>bp@bertelsmann.com</t>
    <phoneticPr fontId="12"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</si>
  <si>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2" type="noConversion"/>
  </si>
  <si>
    <t>伟高达投资</t>
    <phoneticPr fontId="12" type="noConversion"/>
  </si>
  <si>
    <t>上海、新加坡、美国加洲</t>
    <phoneticPr fontId="12" type="noConversion"/>
  </si>
  <si>
    <t>D</t>
    <phoneticPr fontId="12" type="noConversion"/>
  </si>
  <si>
    <t>jeff.chi@vickersventure.com</t>
    <phoneticPr fontId="12"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</si>
  <si>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2" type="noConversion"/>
  </si>
  <si>
    <t>慕华投资</t>
    <phoneticPr fontId="12" type="noConversion"/>
  </si>
  <si>
    <t>战略</t>
    <phoneticPr fontId="12" type="noConversion"/>
  </si>
  <si>
    <t>财务</t>
    <phoneticPr fontId="12"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</si>
  <si>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</si>
  <si>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2" type="noConversion"/>
  </si>
  <si>
    <t>纽信创投</t>
    <phoneticPr fontId="12"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</si>
  <si>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2" type="noConversion"/>
  </si>
  <si>
    <t>北京、上海、深圳</t>
    <phoneticPr fontId="12" type="noConversion"/>
  </si>
  <si>
    <t xml:space="preserve">bp@newsionvc.com </t>
    <phoneticPr fontId="12" type="noConversion"/>
  </si>
  <si>
    <t>盈信投资</t>
    <phoneticPr fontId="12"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</si>
  <si>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2" type="noConversion"/>
  </si>
  <si>
    <t xml:space="preserve">777@ginkgo.net.cn </t>
    <phoneticPr fontId="12" type="noConversion"/>
  </si>
  <si>
    <t xml:space="preserve">bp@puhuacapital.com </t>
    <phoneticPr fontId="12" type="noConversion"/>
  </si>
  <si>
    <t>普华资本</t>
    <phoneticPr fontId="12" type="noConversion"/>
  </si>
  <si>
    <t>http://www.puhuacapital.com</t>
    <phoneticPr fontId="12" type="noConversion"/>
  </si>
  <si>
    <t>http://www.yonghuacapital.com.cn</t>
  </si>
  <si>
    <t>兴旺投资</t>
    <phoneticPr fontId="12" type="noConversion"/>
  </si>
  <si>
    <t>bp@preangelfund.cn</t>
    <phoneticPr fontId="12" type="noConversion"/>
  </si>
  <si>
    <t>PreAngel</t>
    <phoneticPr fontId="12"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</si>
  <si>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2" type="noConversion"/>
  </si>
  <si>
    <t>zj@xwinvest.com.cn</t>
    <phoneticPr fontId="12" type="noConversion"/>
  </si>
  <si>
    <t>顺融投资</t>
    <phoneticPr fontId="12"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</si>
  <si>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2" type="noConversion"/>
  </si>
  <si>
    <t>苏州、杭州</t>
    <phoneticPr fontId="12" type="noConversion"/>
  </si>
  <si>
    <t>bp@shunrongvc.com</t>
    <phoneticPr fontId="12" type="noConversion"/>
  </si>
  <si>
    <t>单独发送</t>
    <phoneticPr fontId="12" type="noConversion"/>
  </si>
  <si>
    <t>国科嘉和</t>
    <phoneticPr fontId="12"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</si>
  <si>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2" type="noConversion"/>
  </si>
  <si>
    <t xml:space="preserve">tmt@cashcapital.cn </t>
    <phoneticPr fontId="12" type="noConversion"/>
  </si>
  <si>
    <t>bp@ibecapital.com</t>
    <phoneticPr fontId="12" type="noConversion"/>
  </si>
  <si>
    <t>蓝象资本</t>
    <phoneticPr fontId="12" type="noConversion"/>
  </si>
  <si>
    <t>http://www.ibecapital.com</t>
    <phoneticPr fontId="12" type="noConversion"/>
  </si>
  <si>
    <t>蓝湖资本</t>
    <phoneticPr fontId="12" type="noConversion"/>
  </si>
  <si>
    <t>bp@bluelakecap.com</t>
    <phoneticPr fontId="12" type="noConversion"/>
  </si>
  <si>
    <t>http://www.bluelakecap.com</t>
    <phoneticPr fontId="12" type="noConversion"/>
  </si>
  <si>
    <r>
      <rPr>
        <sz val="11"/>
        <color rgb="FF000000"/>
        <rFont val="宋体"/>
        <family val="2"/>
        <charset val="134"/>
      </rPr>
      <t>经纬</t>
    </r>
    <r>
      <rPr>
        <sz val="11"/>
        <color rgb="FF000000"/>
        <rFont val="Yu Gothic"/>
        <family val="2"/>
        <charset val="128"/>
      </rPr>
      <t>中国</t>
    </r>
    <phoneticPr fontId="12" type="noConversion"/>
  </si>
  <si>
    <t>https://www.matrixpartners.com.cn</t>
    <phoneticPr fontId="12" type="noConversion"/>
  </si>
  <si>
    <t>阅读回执</t>
    <phoneticPr fontId="12" type="noConversion"/>
  </si>
  <si>
    <t>chinahk@waldenintl.com</t>
    <phoneticPr fontId="12"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</si>
  <si>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2" type="noConversion"/>
  </si>
  <si>
    <t>xiangmu@ziben360.com</t>
    <phoneticPr fontId="12" type="noConversion"/>
  </si>
  <si>
    <t>回信</t>
    <phoneticPr fontId="12" type="noConversion"/>
  </si>
  <si>
    <t>停用</t>
    <phoneticPr fontId="12" type="noConversion"/>
  </si>
  <si>
    <t>投资人定位</t>
    <phoneticPr fontId="12" type="noConversion"/>
  </si>
  <si>
    <t>机构定位</t>
    <phoneticPr fontId="12" type="noConversion"/>
  </si>
  <si>
    <t>chenzhenduke@163.com</t>
    <phoneticPr fontId="12" type="noConversion"/>
  </si>
  <si>
    <t>sun@sequoiacap.com</t>
    <phoneticPr fontId="12" type="noConversion"/>
  </si>
  <si>
    <t>孙谦</t>
    <phoneticPr fontId="12" type="noConversion"/>
  </si>
  <si>
    <t>info@leboxcap.com</t>
    <phoneticPr fontId="12" type="noConversion"/>
  </si>
  <si>
    <t>wb1981922@gmail.com</t>
    <phoneticPr fontId="12" type="noConversion"/>
  </si>
  <si>
    <t>jason@decentcapital.com</t>
    <phoneticPr fontId="12" type="noConversion"/>
  </si>
  <si>
    <t>11303@guosen.com.cn</t>
    <phoneticPr fontId="12" type="noConversion"/>
  </si>
  <si>
    <t>caiyi@weibovc.com</t>
    <phoneticPr fontId="12" type="noConversion"/>
  </si>
  <si>
    <t>zejunquan@yeah.net</t>
    <phoneticPr fontId="12" type="noConversion"/>
  </si>
  <si>
    <t>tlkoh@shunwei.com</t>
    <phoneticPr fontId="12" type="noConversion"/>
  </si>
  <si>
    <t>allen@gsrventures.cn</t>
    <phoneticPr fontId="12" type="noConversion"/>
  </si>
  <si>
    <t>simonv@gsrventures.com</t>
    <phoneticPr fontId="12" type="noConversion"/>
  </si>
  <si>
    <t>sonny@gsrventures.com</t>
    <phoneticPr fontId="12" type="noConversion"/>
  </si>
  <si>
    <t>herryhan@gmail.com</t>
    <phoneticPr fontId="12" type="noConversion"/>
  </si>
  <si>
    <t>panxiangchina@gmail.com</t>
    <phoneticPr fontId="12" type="noConversion"/>
  </si>
  <si>
    <t>ventures@asbvchina.com</t>
    <phoneticPr fontId="12" type="noConversion"/>
  </si>
  <si>
    <t>zoux@szgig.com</t>
    <phoneticPr fontId="12" type="noConversion"/>
  </si>
  <si>
    <t>ysb@fhcapital.com</t>
    <phoneticPr fontId="12" type="noConversion"/>
  </si>
  <si>
    <t>don@gobivc.com</t>
    <phoneticPr fontId="12" type="noConversion"/>
  </si>
  <si>
    <t>michael@gobivc.com</t>
    <phoneticPr fontId="12" type="noConversion"/>
  </si>
  <si>
    <t>tom@gobivc.com</t>
    <phoneticPr fontId="12" type="noConversion"/>
  </si>
  <si>
    <t>mail@gobivc.com</t>
    <phoneticPr fontId="12" type="noConversion"/>
  </si>
  <si>
    <t>zhangyunpeng@sina.com</t>
    <phoneticPr fontId="12" type="noConversion"/>
  </si>
  <si>
    <t>wusz@cdhfund.com</t>
    <phoneticPr fontId="12" type="noConversion"/>
  </si>
  <si>
    <t>rzeng@dcm.com</t>
    <phoneticPr fontId="12" type="noConversion"/>
  </si>
  <si>
    <t>hurst@dcmvc.com</t>
    <phoneticPr fontId="12" type="noConversion"/>
  </si>
  <si>
    <t>dchao@dcmvc.com</t>
    <phoneticPr fontId="12" type="noConversion"/>
  </si>
  <si>
    <t>businessplan@dcm.com</t>
    <phoneticPr fontId="12" type="noConversion"/>
  </si>
  <si>
    <t>rlu@dcm.com</t>
    <phoneticPr fontId="12" type="noConversion"/>
  </si>
  <si>
    <t>zhen_zhang@banyanvc.com</t>
    <phoneticPr fontId="12" type="noConversion"/>
  </si>
  <si>
    <t>kyeh@hcp.com</t>
    <phoneticPr fontId="12" type="noConversion"/>
  </si>
  <si>
    <t>duane@qimingventures.com</t>
    <phoneticPr fontId="12" type="noConversion"/>
  </si>
  <si>
    <t>gary@qimingventures.com</t>
    <phoneticPr fontId="12" type="noConversion"/>
  </si>
  <si>
    <t>hyx881012@hotmail.com</t>
    <phoneticPr fontId="12" type="noConversion"/>
  </si>
  <si>
    <t>dyang@sbaif.com</t>
    <phoneticPr fontId="12" type="noConversion"/>
  </si>
  <si>
    <t>info@sbaif.com</t>
    <phoneticPr fontId="12" type="noConversion"/>
  </si>
  <si>
    <t>tmt@nlvc.com</t>
    <phoneticPr fontId="12" type="noConversion"/>
  </si>
  <si>
    <t>yhli@panlincap.com</t>
    <phoneticPr fontId="12" type="noConversion"/>
  </si>
  <si>
    <t>chenchen@greenwoodsasset.com</t>
    <phoneticPr fontId="12" type="noConversion"/>
  </si>
  <si>
    <t>niulixong@gmail.com</t>
    <phoneticPr fontId="12" type="noConversion"/>
  </si>
  <si>
    <t>wangxiao@unityvc.com</t>
    <phoneticPr fontId="12" type="noConversion"/>
  </si>
  <si>
    <t>tiandsheng@163.com</t>
    <phoneticPr fontId="12" type="noConversion"/>
  </si>
  <si>
    <t>zting613@hotmail.com</t>
    <phoneticPr fontId="12" type="noConversion"/>
  </si>
  <si>
    <t>fulj@wuyuecapital.com</t>
    <phoneticPr fontId="12" type="noConversion"/>
  </si>
  <si>
    <t>ellaz@kpcb.com</t>
    <phoneticPr fontId="12" type="noConversion"/>
  </si>
  <si>
    <t>weiz@kpcb.com</t>
    <phoneticPr fontId="12" type="noConversion"/>
  </si>
  <si>
    <t>vleung@kpcb.com</t>
    <phoneticPr fontId="12" type="noConversion"/>
  </si>
  <si>
    <t>tinaj@kpcb.com</t>
    <phoneticPr fontId="12" type="noConversion"/>
  </si>
  <si>
    <t>young_guo@idgvc.com</t>
    <phoneticPr fontId="12" type="noConversion"/>
  </si>
  <si>
    <t>economization@163.com</t>
    <phoneticPr fontId="12" type="noConversion"/>
  </si>
  <si>
    <t>zhenfund@zhenfund.com</t>
    <phoneticPr fontId="12" type="noConversion"/>
  </si>
  <si>
    <t>ninthf@gmail.com</t>
    <phoneticPr fontId="12" type="noConversion"/>
  </si>
  <si>
    <t>dzbin@qingsongfund.com</t>
    <phoneticPr fontId="12" type="noConversion"/>
  </si>
  <si>
    <t>lyy@newsionvc.com</t>
    <phoneticPr fontId="12" type="noConversion"/>
  </si>
  <si>
    <t>zf@leaguercapital.com</t>
    <phoneticPr fontId="12" type="noConversion"/>
  </si>
  <si>
    <t>pxw@tisiwi.com</t>
    <phoneticPr fontId="12" type="noConversion"/>
  </si>
  <si>
    <t>ydd@tisiwi.com</t>
    <phoneticPr fontId="12" type="noConversion"/>
  </si>
  <si>
    <t>pan@sequoiacap.com</t>
    <phoneticPr fontId="12" type="noConversion"/>
  </si>
  <si>
    <t>wufang9099@126.com</t>
    <phoneticPr fontId="12" type="noConversion"/>
  </si>
  <si>
    <t>168lwm@163.com</t>
    <phoneticPr fontId="12" type="noConversion"/>
  </si>
  <si>
    <t>kejivc@126.com</t>
    <phoneticPr fontId="12" type="noConversion"/>
  </si>
  <si>
    <t>cindysun99@yahoo.com</t>
    <phoneticPr fontId="12" type="noConversion"/>
  </si>
  <si>
    <t>huangbinglong@hotmail.com</t>
    <phoneticPr fontId="12" type="noConversion"/>
  </si>
  <si>
    <t>jesse@tallwoodvc.com</t>
    <phoneticPr fontId="12" type="noConversion"/>
  </si>
  <si>
    <t>small2black@21cn.com</t>
    <phoneticPr fontId="12" type="noConversion"/>
  </si>
  <si>
    <t>chuan@hcp.com</t>
    <phoneticPr fontId="12" type="noConversion"/>
  </si>
  <si>
    <t>darren@suhehui.com</t>
    <phoneticPr fontId="12" type="noConversion"/>
  </si>
  <si>
    <t>shuhongzhuo@163.com</t>
    <phoneticPr fontId="12" type="noConversion"/>
  </si>
  <si>
    <t>liangt@rlequities.com</t>
    <phoneticPr fontId="12" type="noConversion"/>
  </si>
  <si>
    <t>chenlei_th@hotmail.com</t>
    <phoneticPr fontId="12" type="noConversion"/>
  </si>
  <si>
    <t>lhu@ggv.com</t>
    <phoneticPr fontId="12" type="noConversion"/>
  </si>
  <si>
    <t>wyc@entrue.cn</t>
    <phoneticPr fontId="12" type="noConversion"/>
  </si>
  <si>
    <t>larry@tsingcapital.com</t>
    <phoneticPr fontId="12" type="noConversion"/>
  </si>
  <si>
    <t>bp@tsingcapital.com</t>
    <phoneticPr fontId="12" type="noConversion"/>
  </si>
  <si>
    <t>jli@sequoiacap.com</t>
    <phoneticPr fontId="12" type="noConversion"/>
  </si>
  <si>
    <t>shen@sequoiacap.com</t>
    <phoneticPr fontId="12" type="noConversion"/>
  </si>
  <si>
    <t>liu@sequoiacap.com</t>
    <phoneticPr fontId="12" type="noConversion"/>
  </si>
  <si>
    <t>xiao@sequoiacap.com</t>
    <phoneticPr fontId="12" type="noConversion"/>
  </si>
  <si>
    <t>joezhou@keytonevc.com</t>
    <phoneticPr fontId="12" type="noConversion"/>
  </si>
  <si>
    <t>1330800@qq.com</t>
    <phoneticPr fontId="12" type="noConversion"/>
  </si>
  <si>
    <t>powerinvestment@hotmail.com</t>
    <phoneticPr fontId="12" type="noConversion"/>
  </si>
  <si>
    <t>yhuang720@163.com</t>
    <phoneticPr fontId="12" type="noConversion"/>
  </si>
  <si>
    <t>tourongzi@qq.com</t>
    <phoneticPr fontId="12" type="noConversion"/>
  </si>
  <si>
    <t>yang@cyberagentventures.com</t>
    <phoneticPr fontId="12" type="noConversion"/>
  </si>
  <si>
    <t>wing@gobivc.com</t>
    <phoneticPr fontId="12" type="noConversion"/>
  </si>
  <si>
    <t>leizhonghui@gmail.com</t>
    <phoneticPr fontId="12" type="noConversion"/>
  </si>
  <si>
    <t>chenlei8228@163.com</t>
    <phoneticPr fontId="12" type="noConversion"/>
  </si>
  <si>
    <t>yf188@188.com</t>
    <phoneticPr fontId="12" type="noConversion"/>
  </si>
  <si>
    <t>63145233@qq.com</t>
    <phoneticPr fontId="12" type="noConversion"/>
  </si>
  <si>
    <t>wangguanxiong@gmail.com</t>
    <phoneticPr fontId="12" type="noConversion"/>
  </si>
  <si>
    <t>xuguangyuan@360.cn</t>
    <phoneticPr fontId="12" type="noConversion"/>
  </si>
  <si>
    <t>zhangye@hwazing.com</t>
    <phoneticPr fontId="12" type="noConversion"/>
  </si>
  <si>
    <t>capital_kara@163.com</t>
    <phoneticPr fontId="12" type="noConversion"/>
  </si>
  <si>
    <t>david010@foxmail.com</t>
    <phoneticPr fontId="12" type="noConversion"/>
  </si>
  <si>
    <t>case@cowincapital.com</t>
    <phoneticPr fontId="12" type="noConversion"/>
  </si>
  <si>
    <t>w_tian@hotmail.com</t>
    <phoneticPr fontId="12" type="noConversion"/>
  </si>
  <si>
    <t>raymond@atomvc.com</t>
    <phoneticPr fontId="12" type="noConversion"/>
  </si>
  <si>
    <t>13957101733@qq.com</t>
    <phoneticPr fontId="12" type="noConversion"/>
  </si>
  <si>
    <t>mycamel@188.com</t>
    <phoneticPr fontId="12" type="noConversion"/>
  </si>
  <si>
    <t>xlu@easternlinkcapital.com</t>
    <phoneticPr fontId="12" type="noConversion"/>
  </si>
  <si>
    <t>pkuangel@126.com</t>
    <phoneticPr fontId="12" type="noConversion"/>
  </si>
  <si>
    <t>tophzh@126.com</t>
    <phoneticPr fontId="12" type="noConversion"/>
  </si>
  <si>
    <t>zhuominqiu@foxmail.com</t>
    <phoneticPr fontId="12" type="noConversion"/>
  </si>
  <si>
    <t>chinavc@outlook.com</t>
    <phoneticPr fontId="12" type="noConversion"/>
  </si>
  <si>
    <t>zhaoxifeng@foxmail.com</t>
    <phoneticPr fontId="12" type="noConversion"/>
  </si>
  <si>
    <t>car55@qq.com</t>
    <phoneticPr fontId="12" type="noConversion"/>
  </si>
  <si>
    <t>interdali@126.com</t>
    <phoneticPr fontId="12" type="noConversion"/>
  </si>
  <si>
    <t>prrlibra@gmail.com</t>
    <phoneticPr fontId="12" type="noConversion"/>
  </si>
  <si>
    <t>chentianqiao@qq.com</t>
    <phoneticPr fontId="12" type="noConversion"/>
  </si>
  <si>
    <t>costone_jishi@hotmail.com</t>
    <phoneticPr fontId="12" type="noConversion"/>
  </si>
  <si>
    <t>szfvc@szfvc.com</t>
    <phoneticPr fontId="12" type="noConversion"/>
  </si>
  <si>
    <t>csun@warburgpincus.com</t>
    <phoneticPr fontId="12" type="noConversion"/>
  </si>
  <si>
    <t>wangsheng@cmschina.com</t>
    <phoneticPr fontId="12" type="noConversion"/>
  </si>
  <si>
    <t>njzjkc2012@163.com</t>
    <phoneticPr fontId="12" type="noConversion"/>
  </si>
  <si>
    <t>angel@cgcvc.com</t>
    <phoneticPr fontId="12" type="noConversion"/>
  </si>
  <si>
    <t>office@mooc-cn.com</t>
    <phoneticPr fontId="12" type="noConversion"/>
  </si>
  <si>
    <t>bp@puhuacapital.com</t>
    <phoneticPr fontId="12" type="noConversion"/>
  </si>
  <si>
    <t>13590422395@139.com</t>
    <phoneticPr fontId="12" type="noConversion"/>
  </si>
  <si>
    <t>13601088518lsi@263.net</t>
    <phoneticPr fontId="12" type="noConversion"/>
  </si>
  <si>
    <t>13602368958@163.com</t>
    <phoneticPr fontId="12" type="noConversion"/>
  </si>
  <si>
    <t>13810511518@163.com</t>
    <phoneticPr fontId="12" type="noConversion"/>
  </si>
  <si>
    <t>1538247388@qq.com </t>
    <phoneticPr fontId="12" type="noConversion"/>
  </si>
  <si>
    <t>18717855716@163.com</t>
    <phoneticPr fontId="12" type="noConversion"/>
  </si>
  <si>
    <t>2354673172@qq.com</t>
    <phoneticPr fontId="12" type="noConversion"/>
  </si>
  <si>
    <t>268xiaohu@sina.com</t>
    <phoneticPr fontId="12" type="noConversion"/>
  </si>
  <si>
    <t>326371883@qq.com</t>
    <phoneticPr fontId="12" type="noConversion"/>
  </si>
  <si>
    <t>363754@qq.com</t>
    <phoneticPr fontId="12" type="noConversion"/>
  </si>
  <si>
    <t>389963395@qq.com</t>
    <phoneticPr fontId="12" type="noConversion"/>
  </si>
  <si>
    <t>63145233@qq.com </t>
    <phoneticPr fontId="12" type="noConversion"/>
  </si>
  <si>
    <t>709401053@qq.com</t>
    <phoneticPr fontId="12" type="noConversion"/>
  </si>
  <si>
    <t>99999@9d999.com</t>
    <phoneticPr fontId="12" type="noConversion"/>
  </si>
  <si>
    <t>aaronzhang@huaxing.com</t>
    <phoneticPr fontId="12" type="noConversion"/>
  </si>
  <si>
    <t>ac@matrixpartners.com.cn</t>
    <phoneticPr fontId="12" type="noConversion"/>
  </si>
  <si>
    <t>adam.wan@china-icapital.com</t>
    <phoneticPr fontId="12" type="noConversion"/>
  </si>
  <si>
    <t>alan.bai@crcicapital.com</t>
    <phoneticPr fontId="12" type="noConversion"/>
  </si>
  <si>
    <t>alex33@163.net</t>
    <phoneticPr fontId="12" type="noConversion"/>
  </si>
  <si>
    <t>alex33@vip.tom.com</t>
    <phoneticPr fontId="12" type="noConversion"/>
  </si>
  <si>
    <t>andyyan@sbaif.com</t>
    <phoneticPr fontId="12" type="noConversion"/>
  </si>
  <si>
    <t>Annabelle.long@bertelsmann.com</t>
    <phoneticPr fontId="12" type="noConversion"/>
  </si>
  <si>
    <t>asb.vc@alcatel-sbell.com.cn</t>
    <phoneticPr fontId="12" type="noConversion"/>
  </si>
  <si>
    <t>aventures@163.com</t>
    <phoneticPr fontId="12" type="noConversion"/>
  </si>
  <si>
    <t>awang@sbaif.com</t>
    <phoneticPr fontId="12" type="noConversion"/>
  </si>
  <si>
    <t>baiyaming@msqz.com</t>
    <phoneticPr fontId="12" type="noConversion"/>
  </si>
  <si>
    <t>beijingcapital@beijingcapital.com.cn</t>
    <phoneticPr fontId="12" type="noConversion"/>
  </si>
  <si>
    <t>benson.xia@grand-gold.com.cn</t>
    <phoneticPr fontId="12" type="noConversion"/>
  </si>
  <si>
    <t>benson882@gmail.com</t>
    <phoneticPr fontId="12" type="noConversion"/>
  </si>
  <si>
    <t>benye@zero2ipo.com.cn</t>
    <phoneticPr fontId="12" type="noConversion"/>
  </si>
  <si>
    <t>bhu@dcm.com</t>
    <phoneticPr fontId="12" type="noConversion"/>
  </si>
  <si>
    <t>bill@crk2.com</t>
    <phoneticPr fontId="12" type="noConversion"/>
  </si>
  <si>
    <t>binneyduan@gmail.com</t>
    <phoneticPr fontId="12" type="noConversion"/>
  </si>
  <si>
    <t>biz@jovanventures.com </t>
    <phoneticPr fontId="12" type="noConversion"/>
  </si>
  <si>
    <t>bizplan@tigervc.com partner@tigervc.com </t>
    <phoneticPr fontId="12" type="noConversion"/>
  </si>
  <si>
    <t>boontoo@126.com</t>
    <phoneticPr fontId="12" type="noConversion"/>
  </si>
  <si>
    <t>bosstozq@126.com</t>
    <phoneticPr fontId="12" type="noConversion"/>
  </si>
  <si>
    <t>bp@aid.com.cn</t>
    <phoneticPr fontId="12" type="noConversion"/>
  </si>
  <si>
    <t>bp@eaglesfund.com</t>
    <phoneticPr fontId="12" type="noConversion"/>
  </si>
  <si>
    <t>bp@LandsAngels.com</t>
    <phoneticPr fontId="12" type="noConversion"/>
  </si>
  <si>
    <t>bp@nonoidea.com</t>
    <phoneticPr fontId="12" type="noConversion"/>
  </si>
  <si>
    <t>bp@pre-angel.com</t>
    <phoneticPr fontId="12" type="noConversion"/>
  </si>
  <si>
    <t>BP@sycapital.cn</t>
    <phoneticPr fontId="12" type="noConversion"/>
  </si>
  <si>
    <t>bragg.bai@cdf-capital.com</t>
    <phoneticPr fontId="12" type="noConversion"/>
  </si>
  <si>
    <t>bruce@gobivc.com</t>
    <phoneticPr fontId="12" type="noConversion"/>
  </si>
  <si>
    <t>burixin@sxcapital.cn</t>
    <phoneticPr fontId="12" type="noConversion"/>
  </si>
  <si>
    <t>buruixin@sxcapital.cn</t>
    <phoneticPr fontId="12" type="noConversion"/>
  </si>
  <si>
    <t>byam@sbaif.com</t>
    <phoneticPr fontId="12" type="noConversion"/>
  </si>
  <si>
    <t>by-captial@hotmail.com</t>
    <phoneticPr fontId="12" type="noConversion"/>
  </si>
  <si>
    <t>calvin.huang@gmail.com</t>
    <phoneticPr fontId="12" type="noConversion"/>
  </si>
  <si>
    <t>canming510@sina.com</t>
    <phoneticPr fontId="12" type="noConversion"/>
  </si>
  <si>
    <t>cao@matrixpartners.com.cn</t>
    <phoneticPr fontId="12" type="noConversion"/>
  </si>
  <si>
    <t>cao@orizoncapital.com</t>
    <phoneticPr fontId="12" type="noConversion"/>
  </si>
  <si>
    <t>caorihui@gmail.com</t>
    <phoneticPr fontId="12" type="noConversion"/>
  </si>
  <si>
    <t>caoxipku@foxmail.com</t>
    <phoneticPr fontId="12" type="noConversion"/>
  </si>
  <si>
    <t>caozhy@vangoocapital.com</t>
    <phoneticPr fontId="12" type="noConversion"/>
  </si>
  <si>
    <t>car55@qq.com </t>
    <phoneticPr fontId="12" type="noConversion"/>
  </si>
  <si>
    <t>ccp@cdcgroup.com </t>
    <phoneticPr fontId="12" type="noConversion"/>
  </si>
  <si>
    <t>ccvpdeals@citiccapital.com</t>
    <phoneticPr fontId="12" type="noConversion"/>
  </si>
  <si>
    <t>cefszo@163.com</t>
    <phoneticPr fontId="12" type="noConversion"/>
  </si>
  <si>
    <t>chalimail@gmail.com</t>
    <phoneticPr fontId="12" type="noConversion"/>
  </si>
  <si>
    <t>changbin@jiudingcapital.com</t>
    <phoneticPr fontId="12" type="noConversion"/>
  </si>
  <si>
    <t>changliang06@gmail.com</t>
    <phoneticPr fontId="12" type="noConversion"/>
  </si>
  <si>
    <t>chao.j.zhao@gmail.com</t>
    <phoneticPr fontId="12" type="noConversion"/>
  </si>
  <si>
    <t>chareleson@sbaif.com</t>
    <phoneticPr fontId="12" type="noConversion"/>
  </si>
  <si>
    <t>charles.deng@theific.com</t>
    <phoneticPr fontId="12" type="noConversion"/>
  </si>
  <si>
    <t>charlesxuebp@gmail.com</t>
    <phoneticPr fontId="12" type="noConversion"/>
  </si>
  <si>
    <t>charlesxuesub@gmail.com</t>
    <phoneticPr fontId="12" type="noConversion"/>
  </si>
  <si>
    <t>chen_bosi@163.com</t>
    <phoneticPr fontId="12" type="noConversion"/>
  </si>
  <si>
    <t>chencq@ghzq.com.cn</t>
    <phoneticPr fontId="12" type="noConversion"/>
  </si>
  <si>
    <t>chengtianqiao@qq.com</t>
    <phoneticPr fontId="12" type="noConversion"/>
  </si>
  <si>
    <t>chenhao@legendcapital.com.cn </t>
    <phoneticPr fontId="12" type="noConversion"/>
  </si>
  <si>
    <t>chenli@zhislandcap.com</t>
    <phoneticPr fontId="12" type="noConversion"/>
  </si>
  <si>
    <t>chenrg@asto.com.cn</t>
    <phoneticPr fontId="12" type="noConversion"/>
  </si>
  <si>
    <t>chenxiangdong@tiantu.com.cn</t>
    <phoneticPr fontId="12" type="noConversion"/>
  </si>
  <si>
    <t>chenzenghao@guofuyuan.com.cn</t>
    <phoneticPr fontId="12" type="noConversion"/>
  </si>
  <si>
    <t>chihiro@cyberagentventures.com</t>
    <phoneticPr fontId="12" type="noConversion"/>
  </si>
  <si>
    <t>china@sequoiacap.com</t>
    <phoneticPr fontId="12" type="noConversion"/>
  </si>
  <si>
    <t>Chinamkt@126.com</t>
    <phoneticPr fontId="12" type="noConversion"/>
  </si>
  <si>
    <t>chyjr@chyjr.com</t>
    <phoneticPr fontId="12" type="noConversion"/>
  </si>
  <si>
    <t>claire.kang@icanccapital.com</t>
    <phoneticPr fontId="12" type="noConversion"/>
  </si>
  <si>
    <t>claire.lin@matrixpartners.com.cn</t>
    <phoneticPr fontId="12" type="noConversion"/>
  </si>
  <si>
    <t>claire.zhang@matrixpartners.com.cn</t>
    <phoneticPr fontId="12" type="noConversion"/>
  </si>
  <si>
    <t>Clong@my089.net</t>
    <phoneticPr fontId="12" type="noConversion"/>
  </si>
  <si>
    <t>cn@kchtz.com</t>
    <phoneticPr fontId="12" type="noConversion"/>
  </si>
  <si>
    <t>contact@acervc.com.cn </t>
    <phoneticPr fontId="12" type="noConversion"/>
  </si>
  <si>
    <t>contact@cybernaut.com.cn</t>
    <phoneticPr fontId="12" type="noConversion"/>
  </si>
  <si>
    <t>contact@sbcvc.com </t>
    <phoneticPr fontId="12" type="noConversion"/>
  </si>
  <si>
    <t>contact@tdfcapital.com </t>
    <phoneticPr fontId="12" type="noConversion"/>
  </si>
  <si>
    <t>corporatefinance@macquarie.com</t>
    <phoneticPr fontId="12" type="noConversion"/>
  </si>
  <si>
    <t>csli@szvc.com.cn</t>
    <phoneticPr fontId="12" type="noConversion"/>
  </si>
  <si>
    <t>csm@boleyuma.com</t>
    <phoneticPr fontId="12" type="noConversion"/>
  </si>
  <si>
    <t>cuizy@lenovo.com</t>
    <phoneticPr fontId="12" type="noConversion"/>
  </si>
  <si>
    <t>cvcc@c-vcc.com </t>
    <phoneticPr fontId="12" type="noConversion"/>
  </si>
  <si>
    <t>cwei@brv.com</t>
    <phoneticPr fontId="12" type="noConversion"/>
  </si>
  <si>
    <t>cxh@cac-capital.com</t>
    <phoneticPr fontId="12" type="noConversion"/>
  </si>
  <si>
    <t>cynthia.qiu@fangfund.com</t>
    <phoneticPr fontId="12" type="noConversion"/>
  </si>
  <si>
    <t>cynthia.tan@shiningfund.com</t>
    <phoneticPr fontId="12" type="noConversion"/>
  </si>
  <si>
    <t>cywang@chinaequity.net </t>
    <phoneticPr fontId="12" type="noConversion"/>
  </si>
  <si>
    <t>cyy@stefg.org</t>
    <phoneticPr fontId="12" type="noConversion"/>
  </si>
  <si>
    <t>dagang.feng@matrixpartners.com.cn</t>
    <phoneticPr fontId="12" type="noConversion"/>
  </si>
  <si>
    <t>dali@cfcfund.com</t>
    <phoneticPr fontId="12" type="noConversion"/>
  </si>
  <si>
    <t>daniel@zhenfund.com</t>
    <phoneticPr fontId="12" type="noConversion"/>
  </si>
  <si>
    <t>dannylui@authosisvc.com</t>
    <phoneticPr fontId="12" type="noConversion"/>
  </si>
  <si>
    <t>david.qian@cdf-capital.com</t>
    <phoneticPr fontId="12" type="noConversion"/>
  </si>
  <si>
    <t>david@danenventures.com</t>
    <phoneticPr fontId="12" type="noConversion"/>
  </si>
  <si>
    <t>david@vkc-partners.com</t>
    <phoneticPr fontId="12" type="noConversion"/>
  </si>
  <si>
    <t>Davidling1967@gmail.com</t>
    <phoneticPr fontId="12" type="noConversion"/>
  </si>
  <si>
    <t>dchen99@gsb.columbia.edu</t>
    <phoneticPr fontId="12" type="noConversion"/>
  </si>
  <si>
    <t>dfy@vip.163.com</t>
    <phoneticPr fontId="12" type="noConversion"/>
  </si>
  <si>
    <t>dgx@zhongguochuangtou.com</t>
    <phoneticPr fontId="12" type="noConversion"/>
  </si>
  <si>
    <t>dingcheng01@163.com</t>
    <phoneticPr fontId="12" type="noConversion"/>
  </si>
  <si>
    <t>dixon@juesheng.com</t>
    <phoneticPr fontId="12" type="noConversion"/>
  </si>
  <si>
    <t>dj@entrue.cn</t>
    <phoneticPr fontId="12" type="noConversion"/>
  </si>
  <si>
    <t>dongping.li@haiyinfund.com</t>
    <phoneticPr fontId="12" type="noConversion"/>
  </si>
  <si>
    <t>drmdong@gmail.com</t>
    <phoneticPr fontId="12" type="noConversion"/>
  </si>
  <si>
    <t>dundas@dmidas.com</t>
    <phoneticPr fontId="12" type="noConversion"/>
  </si>
  <si>
    <t>ella.zhang@hotmail.com</t>
    <phoneticPr fontId="12" type="noConversion"/>
  </si>
  <si>
    <t>elton.jiang@nlightvc.com</t>
    <phoneticPr fontId="12" type="noConversion"/>
  </si>
  <si>
    <t>elwinyuan@morningside.com.cn</t>
    <phoneticPr fontId="12" type="noConversion"/>
  </si>
  <si>
    <t>enquiry@sihl.com.hk </t>
    <phoneticPr fontId="12" type="noConversion"/>
  </si>
  <si>
    <t>erhailiu@gmail.com</t>
    <phoneticPr fontId="12" type="noConversion"/>
  </si>
  <si>
    <t>Ericyang@glory－ventures.com</t>
    <phoneticPr fontId="12" type="noConversion"/>
  </si>
  <si>
    <t>eyang@smc-capital.com</t>
    <phoneticPr fontId="12" type="noConversion"/>
  </si>
  <si>
    <t>fanfei@gf.com.cn</t>
    <phoneticPr fontId="12" type="noConversion"/>
  </si>
  <si>
    <t>fanyinliang@thearenacapital.com</t>
    <phoneticPr fontId="12" type="noConversion"/>
  </si>
  <si>
    <t>fanyoupeng@hotmail.com</t>
    <phoneticPr fontId="12" type="noConversion"/>
  </si>
  <si>
    <t>feng.deng@nlightvc.com</t>
    <phoneticPr fontId="12" type="noConversion"/>
  </si>
  <si>
    <t>feng.deng@nlvc.com</t>
    <phoneticPr fontId="12" type="noConversion"/>
  </si>
  <si>
    <t>feng.gao@meridiancapital.com.cn</t>
    <phoneticPr fontId="12" type="noConversion"/>
  </si>
  <si>
    <t>feng_li@idgvc.com.cn</t>
    <phoneticPr fontId="12" type="noConversion"/>
  </si>
  <si>
    <t>figo.zhang@nlvc.com</t>
    <phoneticPr fontId="12" type="noConversion"/>
  </si>
  <si>
    <t>fiona@tendencevc.com</t>
    <phoneticPr fontId="12" type="noConversion"/>
  </si>
  <si>
    <t>fjcool@gmail.com</t>
    <phoneticPr fontId="12" type="noConversion"/>
  </si>
  <si>
    <t>Fortune@fortunevc.com</t>
    <phoneticPr fontId="12" type="noConversion"/>
  </si>
  <si>
    <t>fwu@brv.com</t>
    <phoneticPr fontId="12" type="noConversion"/>
  </si>
  <si>
    <t>fxz@newsionvc.com</t>
    <phoneticPr fontId="12" type="noConversion"/>
  </si>
  <si>
    <t>fzhong@srivercapital.com</t>
    <phoneticPr fontId="12" type="noConversion"/>
  </si>
  <si>
    <t>fzhong@xingcap.com</t>
    <phoneticPr fontId="12" type="noConversion"/>
  </si>
  <si>
    <t>ganli@topcapital.com.cn</t>
    <phoneticPr fontId="12" type="noConversion"/>
  </si>
  <si>
    <t>gaoshaoxing@shunwei.com</t>
    <phoneticPr fontId="12" type="noConversion"/>
  </si>
  <si>
    <t>gavinni@zero2ipo.com.cn</t>
    <phoneticPr fontId="12" type="noConversion"/>
  </si>
  <si>
    <t>gavinzhang@zero2ipo.com.cn</t>
    <phoneticPr fontId="12" type="noConversion"/>
  </si>
  <si>
    <t>ge_3000@sina.com</t>
    <phoneticPr fontId="12" type="noConversion"/>
  </si>
  <si>
    <t>general@asimco.com.cn</t>
    <phoneticPr fontId="12" type="noConversion"/>
  </si>
  <si>
    <t>george.zhao@morningside.com.cn </t>
    <phoneticPr fontId="12" type="noConversion"/>
  </si>
  <si>
    <t>georgelicn@126.com</t>
    <phoneticPr fontId="12" type="noConversion"/>
  </si>
  <si>
    <t>gjr@yinhuacapital.com</t>
    <phoneticPr fontId="12" type="noConversion"/>
  </si>
  <si>
    <t>glpddkelly@hotmail.com</t>
    <phoneticPr fontId="12" type="noConversion"/>
  </si>
  <si>
    <t>goodxp@gmail.com</t>
    <phoneticPr fontId="12" type="noConversion"/>
  </si>
  <si>
    <t>gouguoju@gmail.com</t>
    <phoneticPr fontId="12" type="noConversion"/>
  </si>
  <si>
    <t>gqhuang@ofcapital.com</t>
    <phoneticPr fontId="12" type="noConversion"/>
  </si>
  <si>
    <t>greg@delta-capital.cn</t>
    <phoneticPr fontId="12" type="noConversion"/>
  </si>
  <si>
    <t>gtvc@gtvc.com</t>
    <phoneticPr fontId="12" type="noConversion"/>
  </si>
  <si>
    <t>guandf@zsvc.com.cn</t>
    <phoneticPr fontId="12" type="noConversion"/>
  </si>
  <si>
    <t>guishuguang@sina.cn</t>
    <phoneticPr fontId="12" type="noConversion"/>
  </si>
  <si>
    <t>guoang@lidajijin.com</t>
    <phoneticPr fontId="12" type="noConversion"/>
  </si>
  <si>
    <t>guofuyuanvc@163.com</t>
    <phoneticPr fontId="12" type="noConversion"/>
  </si>
  <si>
    <t>guoht@szgig.com</t>
    <phoneticPr fontId="12" type="noConversion"/>
  </si>
  <si>
    <t>guolinchuan@cowincapital.com</t>
    <phoneticPr fontId="12" type="noConversion"/>
  </si>
  <si>
    <t>gxu@hinagroup.com</t>
    <phoneticPr fontId="12" type="noConversion"/>
  </si>
  <si>
    <t>han.shen@nlightvc.com</t>
    <phoneticPr fontId="12" type="noConversion"/>
  </si>
  <si>
    <t>han.yin@sunnysky-capital.com</t>
    <phoneticPr fontId="12" type="noConversion"/>
  </si>
  <si>
    <t>hansxu@zsvc.com.cn</t>
    <phoneticPr fontId="12" type="noConversion"/>
  </si>
  <si>
    <t>hanxd58@sina.com</t>
    <phoneticPr fontId="12" type="noConversion"/>
  </si>
  <si>
    <t>haohaiy@gmail.com</t>
    <phoneticPr fontId="12" type="noConversion"/>
  </si>
  <si>
    <t>harry.man@matrixpartners.com.cn</t>
    <phoneticPr fontId="12" type="noConversion"/>
  </si>
  <si>
    <t>hbcheng@ofcapital.com</t>
    <phoneticPr fontId="12" type="noConversion"/>
  </si>
  <si>
    <t>hchen@hinagroup.com</t>
    <phoneticPr fontId="12" type="noConversion"/>
  </si>
  <si>
    <t>hdan@sequoiacap.com</t>
    <phoneticPr fontId="12" type="noConversion"/>
  </si>
  <si>
    <t>helen.chiu@intel.com</t>
    <phoneticPr fontId="12" type="noConversion"/>
  </si>
  <si>
    <t>heng.deng@matrixpartners.com.cn</t>
    <phoneticPr fontId="12" type="noConversion"/>
  </si>
  <si>
    <t>heping@haiyinfund.com</t>
    <phoneticPr fontId="12" type="noConversion"/>
  </si>
  <si>
    <t>herryhan@lightspeedvp.com</t>
    <phoneticPr fontId="12" type="noConversion"/>
  </si>
  <si>
    <t>hhao@lightspeedcp.com</t>
    <phoneticPr fontId="12" type="noConversion"/>
  </si>
  <si>
    <t>hjm@hovc.cn</t>
    <phoneticPr fontId="12" type="noConversion"/>
  </si>
  <si>
    <t>hli@ggvc.com</t>
    <phoneticPr fontId="12" type="noConversion"/>
  </si>
  <si>
    <t>hlin@dcm.com</t>
    <phoneticPr fontId="12" type="noConversion"/>
  </si>
  <si>
    <t>hm@hhtvc.com</t>
    <phoneticPr fontId="12" type="noConversion"/>
  </si>
  <si>
    <t>86-10-65391365 、86-10-65391367</t>
    <phoneticPr fontId="12" type="noConversion"/>
  </si>
  <si>
    <t>德迅投资.腾讯创始5虎之一</t>
  </si>
  <si>
    <t>lzhang@waldenintl.com</t>
  </si>
  <si>
    <t>Push</t>
    <phoneticPr fontId="12" type="noConversion"/>
  </si>
  <si>
    <t>深圳市迅合投资管理有限公司</t>
    <phoneticPr fontId="12" type="noConversion"/>
  </si>
  <si>
    <t>hoganchao@gloryhopeventures.com</t>
    <phoneticPr fontId="12" type="noConversion"/>
  </si>
  <si>
    <t>hr@youku.com</t>
    <phoneticPr fontId="12" type="noConversion"/>
  </si>
  <si>
    <t>huadong.wang@matrixpartners.com.cn</t>
    <phoneticPr fontId="12" type="noConversion"/>
  </si>
  <si>
    <t>huangchong@cowincapital.com</t>
    <phoneticPr fontId="12" type="noConversion"/>
  </si>
  <si>
    <t>huangjun1205@gmail.com</t>
    <phoneticPr fontId="12" type="noConversion"/>
  </si>
  <si>
    <t>vicky@ventureslab.com</t>
  </si>
  <si>
    <t>zhencunchen@gmail.com</t>
  </si>
  <si>
    <t xml:space="preserve">info@hustvc.com.cn </t>
    <phoneticPr fontId="12" type="noConversion"/>
  </si>
  <si>
    <t>花小花</t>
    <phoneticPr fontId="12" type="noConversion"/>
  </si>
  <si>
    <t>刘雨梅 </t>
    <phoneticPr fontId="12" type="noConversion"/>
  </si>
  <si>
    <t xml:space="preserve">royfan@hqap.com.cn </t>
    <phoneticPr fontId="12" type="noConversion"/>
  </si>
  <si>
    <t>mayliu@hqap.com.cn </t>
    <phoneticPr fontId="12" type="noConversion"/>
  </si>
  <si>
    <t>zhangyuanlinx@gmail.com</t>
    <phoneticPr fontId="12" type="noConversion"/>
  </si>
  <si>
    <t>enquiry@sihl.com.hk</t>
    <phoneticPr fontId="12" type="noConversion"/>
  </si>
  <si>
    <t>1538247388@qq.com</t>
    <phoneticPr fontId="12" type="noConversion"/>
  </si>
  <si>
    <t>fei_yang@idgvc.com.cn</t>
    <phoneticPr fontId="12" type="noConversion"/>
  </si>
  <si>
    <t>中路投资vc/pe</t>
    <phoneticPr fontId="12" type="noConversion"/>
  </si>
  <si>
    <t>info@capitaltoday.com</t>
    <phoneticPr fontId="12" type="noConversion"/>
  </si>
  <si>
    <t>021-50988886</t>
    <phoneticPr fontId="12" type="noConversion"/>
  </si>
  <si>
    <t>达晨创投</t>
    <phoneticPr fontId="12" type="noConversion"/>
  </si>
  <si>
    <t>程仁田</t>
    <phoneticPr fontId="12" type="noConversion"/>
  </si>
  <si>
    <t>mike.peng@crystalstreamcap.com</t>
    <phoneticPr fontId="12" type="noConversion"/>
  </si>
  <si>
    <t>meng_lian@idgvc.com.cn</t>
    <phoneticPr fontId="12" type="noConversion"/>
  </si>
  <si>
    <t>德丰杰正道风险合伙人</t>
    <phoneticPr fontId="12" type="noConversion"/>
  </si>
  <si>
    <t>经纬创投</t>
    <phoneticPr fontId="12" type="noConversion"/>
  </si>
  <si>
    <t>王华东</t>
    <phoneticPr fontId="12" type="noConversion"/>
  </si>
  <si>
    <t>迅合投资</t>
    <phoneticPr fontId="12" type="noConversion"/>
  </si>
  <si>
    <t>乐博资本（创始合伙人）</t>
    <phoneticPr fontId="12" type="noConversion"/>
  </si>
  <si>
    <t>vincent@cuberagentventures.com</t>
    <phoneticPr fontId="12" type="noConversion"/>
  </si>
  <si>
    <t>CA创投</t>
    <phoneticPr fontId="12" type="noConversion"/>
  </si>
  <si>
    <t>杨溢</t>
    <phoneticPr fontId="12" type="noConversion"/>
  </si>
  <si>
    <t>北极光创业投资基金</t>
    <phoneticPr fontId="12" type="noConversion"/>
  </si>
  <si>
    <t>丁宇翔 </t>
    <phoneticPr fontId="12" type="noConversion"/>
  </si>
  <si>
    <t>marc.li@bertelsmann.com </t>
    <phoneticPr fontId="12" type="noConversion"/>
  </si>
  <si>
    <t>春晓资本</t>
    <phoneticPr fontId="12" type="noConversion"/>
  </si>
  <si>
    <t>合伙人特别助理</t>
    <phoneticPr fontId="12" type="noConversion"/>
  </si>
  <si>
    <t>域名不存在</t>
  </si>
  <si>
    <t>hustvc@public.wh.hb.cn</t>
    <phoneticPr fontId="12" type="noConversion"/>
  </si>
  <si>
    <t>info@br-china.com</t>
    <phoneticPr fontId="12" type="noConversion"/>
  </si>
  <si>
    <t>内部故障</t>
    <phoneticPr fontId="12" type="noConversion"/>
  </si>
  <si>
    <t>010-65309900 、86-65308839</t>
    <phoneticPr fontId="12" type="noConversion"/>
  </si>
  <si>
    <t>IDGVC</t>
    <phoneticPr fontId="12" type="noConversion"/>
  </si>
  <si>
    <t>yueyu@chinagrowthcapital.com</t>
    <phoneticPr fontId="12" type="noConversion"/>
  </si>
  <si>
    <t>垃圾</t>
    <phoneticPr fontId="12" type="noConversion"/>
  </si>
  <si>
    <t>CA创</t>
    <phoneticPr fontId="12" type="noConversion"/>
  </si>
  <si>
    <t xml:space="preserve">徐光远 </t>
    <phoneticPr fontId="12" type="noConversion"/>
  </si>
  <si>
    <t>鲁潇</t>
    <phoneticPr fontId="12" type="noConversion"/>
  </si>
  <si>
    <t>易联资本</t>
    <phoneticPr fontId="12" type="noConversion"/>
  </si>
  <si>
    <t>助理副总裁</t>
    <phoneticPr fontId="12" type="noConversion"/>
  </si>
  <si>
    <t>肖茉莉</t>
    <phoneticPr fontId="12" type="noConversion"/>
  </si>
  <si>
    <t>天使湾创投</t>
    <phoneticPr fontId="12" type="noConversion"/>
  </si>
  <si>
    <t>子皮</t>
    <phoneticPr fontId="12" type="noConversion"/>
  </si>
  <si>
    <t>张元林</t>
    <phoneticPr fontId="12" type="noConversion"/>
  </si>
  <si>
    <t>中国文化产业投资基金</t>
    <phoneticPr fontId="12" type="noConversion"/>
  </si>
  <si>
    <t>投资分析师</t>
    <phoneticPr fontId="12" type="noConversion"/>
  </si>
  <si>
    <t>银河创新资本 投资总监</t>
    <phoneticPr fontId="12" type="noConversion"/>
  </si>
  <si>
    <t>张野</t>
    <phoneticPr fontId="12" type="noConversion"/>
  </si>
  <si>
    <t>北京华璟海纳国际投资管理</t>
    <phoneticPr fontId="12" type="noConversion"/>
  </si>
  <si>
    <t>创始人</t>
    <phoneticPr fontId="12" type="noConversion"/>
  </si>
  <si>
    <t>清科创投.</t>
    <phoneticPr fontId="12" type="noConversion"/>
  </si>
  <si>
    <t>判为垃圾</t>
    <phoneticPr fontId="12" type="noConversion"/>
  </si>
  <si>
    <t>晨兴资本</t>
    <phoneticPr fontId="12" type="noConversion"/>
  </si>
  <si>
    <t>梁维弘</t>
    <phoneticPr fontId="12" type="noConversion"/>
  </si>
  <si>
    <t>高良平</t>
    <phoneticPr fontId="12" type="noConversion"/>
  </si>
  <si>
    <t>中路投资vc/pe</t>
  </si>
  <si>
    <t>崔靖雯</t>
    <phoneticPr fontId="12" type="noConversion"/>
  </si>
  <si>
    <t>ventech china 分析师</t>
    <phoneticPr fontId="12" type="noConversion"/>
  </si>
  <si>
    <t>雷中辉</t>
    <phoneticPr fontId="12" type="noConversion"/>
  </si>
  <si>
    <t>肖敏</t>
    <phoneticPr fontId="12" type="noConversion"/>
  </si>
  <si>
    <t>黄云刚</t>
    <phoneticPr fontId="12" type="noConversion"/>
  </si>
  <si>
    <t>崔恺 </t>
    <phoneticPr fontId="12" type="noConversion"/>
  </si>
  <si>
    <t>硅谷银行</t>
    <phoneticPr fontId="12" type="noConversion"/>
  </si>
  <si>
    <t>范若愚</t>
    <phoneticPr fontId="12" type="noConversion"/>
  </si>
  <si>
    <t>邮箱域名</t>
    <phoneticPr fontId="12" type="noConversion"/>
  </si>
  <si>
    <t>删除</t>
    <phoneticPr fontId="12" type="noConversion"/>
  </si>
  <si>
    <t>暂停</t>
    <phoneticPr fontId="12" type="noConversion"/>
  </si>
  <si>
    <t>云创投资</t>
    <phoneticPr fontId="12" type="noConversion"/>
  </si>
  <si>
    <t>宋希平</t>
    <phoneticPr fontId="12" type="noConversion"/>
  </si>
  <si>
    <t>洋葱基金</t>
    <phoneticPr fontId="12" type="noConversion"/>
  </si>
  <si>
    <t>陆茂华</t>
    <phoneticPr fontId="12" type="noConversion"/>
  </si>
  <si>
    <t>陈柒霖</t>
    <phoneticPr fontId="12" type="noConversion"/>
  </si>
  <si>
    <t>黑马岛创投</t>
    <phoneticPr fontId="12" type="noConversion"/>
  </si>
  <si>
    <t>bp@heimadao.com</t>
    <phoneticPr fontId="12" type="noConversion"/>
  </si>
  <si>
    <t>张仲</t>
    <phoneticPr fontId="12" type="noConversion"/>
  </si>
  <si>
    <t>英特尔有限公司</t>
    <phoneticPr fontId="12" type="noConversion"/>
  </si>
  <si>
    <t>总监</t>
    <phoneticPr fontId="12" type="noConversion"/>
  </si>
  <si>
    <t>(852)28444565
(852)94319469</t>
    <phoneticPr fontId="12" type="noConversion"/>
  </si>
  <si>
    <t>cadol.cheung@intel.com</t>
    <phoneticPr fontId="12" type="noConversion"/>
  </si>
  <si>
    <t>kenny.qian</t>
    <phoneticPr fontId="12" type="noConversion"/>
  </si>
  <si>
    <t>钱章忠</t>
    <phoneticPr fontId="12" type="noConversion"/>
  </si>
  <si>
    <t>屈卫东</t>
    <phoneticPr fontId="12" type="noConversion"/>
  </si>
  <si>
    <t>徐新</t>
    <phoneticPr fontId="12" type="noConversion"/>
  </si>
  <si>
    <t>今日资本</t>
    <phoneticPr fontId="12" type="noConversion"/>
  </si>
  <si>
    <t>kathyxu@capitaltoday.com</t>
    <phoneticPr fontId="12" type="noConversion"/>
  </si>
  <si>
    <t>852-28685526
852-93287839</t>
    <phoneticPr fontId="12" type="noConversion"/>
  </si>
  <si>
    <t>任 林</t>
    <phoneticPr fontId="12" type="noConversion"/>
  </si>
  <si>
    <t>中曼资本</t>
    <phoneticPr fontId="12" type="noConversion"/>
  </si>
  <si>
    <t>手机</t>
    <phoneticPr fontId="12" type="noConversion"/>
  </si>
  <si>
    <t>orionrl@sina.cn</t>
    <phoneticPr fontId="12" type="noConversion"/>
  </si>
  <si>
    <t>郑爱民</t>
    <phoneticPr fontId="12" type="noConversion"/>
  </si>
  <si>
    <t>软银中国创业投资有限公司</t>
    <phoneticPr fontId="12" type="noConversion"/>
  </si>
  <si>
    <t>ayeh@sbcvc.com</t>
    <phoneticPr fontId="12" type="noConversion"/>
  </si>
  <si>
    <t>杨奔</t>
    <phoneticPr fontId="12" type="noConversion"/>
  </si>
  <si>
    <t>yangben@360.cn</t>
    <phoneticPr fontId="12" type="noConversion"/>
  </si>
  <si>
    <t>周鸿祎</t>
    <phoneticPr fontId="12" type="noConversion"/>
  </si>
  <si>
    <t>zhouhongyi@360.cn</t>
    <phoneticPr fontId="12" type="noConversion"/>
  </si>
  <si>
    <t> IDG</t>
    <phoneticPr fontId="12" type="noConversion"/>
  </si>
  <si>
    <t>连萌</t>
    <phoneticPr fontId="12" type="noConversion"/>
  </si>
  <si>
    <t>21世纪天使资本</t>
    <phoneticPr fontId="12" type="noConversion"/>
  </si>
  <si>
    <t>楊玉明</t>
    <phoneticPr fontId="12" type="noConversion"/>
  </si>
  <si>
    <t>yuming@21vc.com</t>
    <phoneticPr fontId="12" type="noConversion"/>
  </si>
  <si>
    <t>DCM资本</t>
    <phoneticPr fontId="12" type="noConversion"/>
  </si>
  <si>
    <t>赵克仁</t>
    <phoneticPr fontId="12" type="noConversion"/>
  </si>
  <si>
    <t>曾振宇</t>
    <phoneticPr fontId="12" type="noConversion"/>
  </si>
  <si>
    <t>DCM资本.50强第34</t>
    <phoneticPr fontId="12" type="noConversion"/>
  </si>
  <si>
    <t>林欣禾</t>
    <phoneticPr fontId="12" type="noConversion"/>
  </si>
  <si>
    <t>DCM资本.50强第49</t>
    <phoneticPr fontId="12" type="noConversion"/>
  </si>
  <si>
    <t>卢蓉Ruby</t>
    <phoneticPr fontId="12" type="noConversion"/>
  </si>
  <si>
    <t>GGV </t>
    <phoneticPr fontId="12" type="noConversion"/>
  </si>
  <si>
    <t>李浩军</t>
    <phoneticPr fontId="12" type="noConversion"/>
  </si>
  <si>
    <t>Granite Global Ventures </t>
    <phoneticPr fontId="12" type="noConversion"/>
  </si>
  <si>
    <t>info@ggvc.com</t>
    <phoneticPr fontId="12" type="noConversion"/>
  </si>
  <si>
    <t>杨飞</t>
    <phoneticPr fontId="12" type="noConversion"/>
  </si>
  <si>
    <t>idg</t>
    <phoneticPr fontId="12" type="noConversion"/>
  </si>
  <si>
    <t>IDG技术创业投资基金</t>
    <phoneticPr fontId="12" type="noConversion"/>
  </si>
  <si>
    <t>周全 </t>
    <phoneticPr fontId="12" type="noConversion"/>
  </si>
  <si>
    <t>idgvc@idgvc.com </t>
    <phoneticPr fontId="12" type="noConversion"/>
  </si>
  <si>
    <t>毛丞宇</t>
    <phoneticPr fontId="12" type="noConversion"/>
  </si>
  <si>
    <t>michael_mao@idgvc.com.cn</t>
    <phoneticPr fontId="12" type="noConversion"/>
  </si>
  <si>
    <t>过以宏</t>
    <phoneticPr fontId="12" type="noConversion"/>
  </si>
  <si>
    <t>李丰</t>
    <phoneticPr fontId="12" type="noConversion"/>
  </si>
  <si>
    <t>章苏阳</t>
    <phoneticPr fontId="12" type="noConversion"/>
  </si>
  <si>
    <t>suyang_zhang@idgvc.com.cn</t>
    <phoneticPr fontId="12" type="noConversion"/>
  </si>
  <si>
    <t>李骁军</t>
    <phoneticPr fontId="12" type="noConversion"/>
  </si>
  <si>
    <t>xiaojun_li@idgvc.com.cn</t>
    <phoneticPr fontId="12" type="noConversion"/>
  </si>
  <si>
    <t>IDG资本.50强第12</t>
    <phoneticPr fontId="12" type="noConversion"/>
  </si>
  <si>
    <t>熊晓鸽</t>
    <phoneticPr fontId="12" type="noConversion"/>
  </si>
  <si>
    <t>idgvc@idgvc.com.cn</t>
    <phoneticPr fontId="12" type="noConversion"/>
  </si>
  <si>
    <t>KPCB</t>
    <phoneticPr fontId="12" type="noConversion"/>
  </si>
  <si>
    <t>张灵</t>
    <phoneticPr fontId="12" type="noConversion"/>
  </si>
  <si>
    <t>LB投资</t>
    <phoneticPr fontId="12" type="noConversion"/>
  </si>
  <si>
    <t>赵俊超</t>
    <phoneticPr fontId="12" type="noConversion"/>
  </si>
  <si>
    <t>李卓桓</t>
    <phoneticPr fontId="12" type="noConversion"/>
  </si>
  <si>
    <t>Sierra Ventures</t>
    <phoneticPr fontId="12" type="noConversion"/>
  </si>
  <si>
    <t>info@sierraventures.com</t>
    <phoneticPr fontId="12" type="noConversion"/>
  </si>
  <si>
    <t>TCL创业投资有限公司</t>
    <phoneticPr fontId="12" type="noConversion"/>
  </si>
  <si>
    <t>郑翔予</t>
    <phoneticPr fontId="12" type="noConversion"/>
  </si>
  <si>
    <t>james.zheng@tcl.com</t>
    <phoneticPr fontId="12" type="noConversion"/>
  </si>
  <si>
    <t>TCL多媒体</t>
    <phoneticPr fontId="12" type="noConversion"/>
  </si>
  <si>
    <t>张志春（Eric）</t>
    <phoneticPr fontId="12" type="noConversion"/>
  </si>
  <si>
    <t>zhangzc@tcl.com</t>
    <phoneticPr fontId="12" type="noConversion"/>
  </si>
  <si>
    <t>澳银资本</t>
    <phoneticPr fontId="12" type="noConversion"/>
  </si>
  <si>
    <t>孙集平</t>
    <phoneticPr fontId="12" type="noConversion"/>
  </si>
  <si>
    <t>顾泉Piers</t>
    <phoneticPr fontId="12" type="noConversion"/>
  </si>
  <si>
    <t>北极光</t>
    <phoneticPr fontId="12" type="noConversion"/>
  </si>
  <si>
    <t>姜皓天</t>
    <phoneticPr fontId="12" type="noConversion"/>
  </si>
  <si>
    <t>邓锋</t>
    <phoneticPr fontId="12" type="noConversion"/>
  </si>
  <si>
    <t>沈寒</t>
    <phoneticPr fontId="12" type="noConversion"/>
  </si>
  <si>
    <t>lu.lin@nlvc.com</t>
    <phoneticPr fontId="12" type="noConversion"/>
  </si>
  <si>
    <t>吴峰</t>
    <phoneticPr fontId="12" type="noConversion"/>
  </si>
  <si>
    <t>tony.wu@nlvc.com</t>
    <phoneticPr fontId="12" type="noConversion"/>
  </si>
  <si>
    <t>王颖</t>
    <phoneticPr fontId="12" type="noConversion"/>
  </si>
  <si>
    <t>ying.wang@nlightvc.com</t>
    <phoneticPr fontId="12" type="noConversion"/>
  </si>
  <si>
    <t>张朋</t>
    <phoneticPr fontId="12" type="noConversion"/>
  </si>
  <si>
    <t>北极光创投基金</t>
    <phoneticPr fontId="12" type="noConversion"/>
  </si>
  <si>
    <t>杨镭</t>
    <phoneticPr fontId="12" type="noConversion"/>
  </si>
  <si>
    <t>info@nlightvc.com</t>
    <phoneticPr fontId="12" type="noConversion"/>
  </si>
  <si>
    <t>iris.ding@nlightvc.com </t>
    <phoneticPr fontId="12" type="noConversion"/>
  </si>
  <si>
    <t>北京鼎晖创业投资中心</t>
    <phoneticPr fontId="12" type="noConversion"/>
  </si>
  <si>
    <t>焦震 </t>
    <phoneticPr fontId="12" type="noConversion"/>
  </si>
  <si>
    <t>jiaozhen@cdhfund.com</t>
    <phoneticPr fontId="12" type="noConversion"/>
  </si>
  <si>
    <t>北京宏邦投资</t>
    <phoneticPr fontId="12" type="noConversion"/>
  </si>
  <si>
    <t>王伟</t>
    <phoneticPr fontId="12" type="noConversion"/>
  </si>
  <si>
    <t>北京科技风险投资股份有限公司</t>
    <phoneticPr fontId="12" type="noConversion"/>
  </si>
  <si>
    <t>彭捷 钱辉 </t>
    <phoneticPr fontId="12" type="noConversion"/>
  </si>
  <si>
    <t>qianhui@bvcc.com.cn </t>
    <phoneticPr fontId="12" type="noConversion"/>
  </si>
  <si>
    <t>北京晟弘凯恩投资有限公司</t>
    <phoneticPr fontId="12" type="noConversion"/>
  </si>
  <si>
    <t>唐旭</t>
    <phoneticPr fontId="12" type="noConversion"/>
  </si>
  <si>
    <t>北京用友幸福投资管理有限公司</t>
    <phoneticPr fontId="12" type="noConversion"/>
  </si>
  <si>
    <t>寇双翔</t>
    <phoneticPr fontId="12" type="noConversion"/>
  </si>
  <si>
    <t>ksx@yonyou.com</t>
    <phoneticPr fontId="12" type="noConversion"/>
  </si>
  <si>
    <t>董江勇</t>
    <phoneticPr fontId="12" type="noConversion"/>
  </si>
  <si>
    <t>北软天使 </t>
    <phoneticPr fontId="12" type="noConversion"/>
  </si>
  <si>
    <t>北猿资本</t>
    <phoneticPr fontId="12" type="noConversion"/>
  </si>
  <si>
    <t>林辉云</t>
    <phoneticPr fontId="12" type="noConversion"/>
  </si>
  <si>
    <t>lin_hui_yun@163.com</t>
    <phoneticPr fontId="12" type="noConversion"/>
  </si>
  <si>
    <t>贝塔斯曼</t>
    <phoneticPr fontId="12" type="noConversion"/>
  </si>
  <si>
    <t>汪天凡</t>
    <phoneticPr fontId="12" type="noConversion"/>
  </si>
  <si>
    <t>will.wang@bertelsmann.com</t>
    <phoneticPr fontId="12" type="noConversion"/>
  </si>
  <si>
    <t>贝塔斯曼亚洲投资基金</t>
    <phoneticPr fontId="12" type="noConversion"/>
  </si>
  <si>
    <t>龙宇</t>
    <phoneticPr fontId="12" type="noConversion"/>
  </si>
  <si>
    <t>潮商</t>
    <phoneticPr fontId="12" type="noConversion"/>
  </si>
  <si>
    <t>成为基金</t>
    <phoneticPr fontId="12" type="noConversion"/>
  </si>
  <si>
    <t>汪浒</t>
    <phoneticPr fontId="12" type="noConversion"/>
  </si>
  <si>
    <t>wanghu@chengwei.com</t>
    <phoneticPr fontId="12" type="noConversion"/>
  </si>
  <si>
    <t>崇德基金投资有限公司</t>
    <phoneticPr fontId="12" type="noConversion"/>
  </si>
  <si>
    <t>白玮</t>
    <phoneticPr fontId="12" type="noConversion"/>
  </si>
  <si>
    <t>初创投资</t>
    <phoneticPr fontId="12" type="noConversion"/>
  </si>
  <si>
    <t>代晋</t>
    <phoneticPr fontId="12" type="noConversion"/>
  </si>
  <si>
    <t>雏菊机构</t>
    <phoneticPr fontId="12" type="noConversion"/>
  </si>
  <si>
    <t>庞权</t>
    <phoneticPr fontId="12" type="noConversion"/>
  </si>
  <si>
    <t>创东方投资</t>
    <phoneticPr fontId="12" type="noConversion"/>
  </si>
  <si>
    <t>刘起发</t>
    <phoneticPr fontId="12" type="noConversion"/>
  </si>
  <si>
    <t>jeff.liu@cdf-capital.com</t>
    <phoneticPr fontId="12" type="noConversion"/>
  </si>
  <si>
    <t>康文胜</t>
    <phoneticPr fontId="12" type="noConversion"/>
  </si>
  <si>
    <t>kangwensheng@gmail.com</t>
    <phoneticPr fontId="12" type="noConversion"/>
  </si>
  <si>
    <t>肖水龙</t>
    <phoneticPr fontId="12" type="noConversion"/>
  </si>
  <si>
    <t>stanley.xiao@cdf-capital.com</t>
    <phoneticPr fontId="12" type="noConversion"/>
  </si>
  <si>
    <t>李享</t>
    <phoneticPr fontId="12" type="noConversion"/>
  </si>
  <si>
    <t>xiang.li@cdf-capital.com</t>
    <phoneticPr fontId="12" type="noConversion"/>
  </si>
  <si>
    <t>创势资本</t>
    <phoneticPr fontId="12" type="noConversion"/>
  </si>
  <si>
    <t>汤旭东</t>
    <phoneticPr fontId="12" type="noConversion"/>
  </si>
  <si>
    <t>tangxudong128@sina.com</t>
    <phoneticPr fontId="12" type="noConversion"/>
  </si>
  <si>
    <t>创业邦</t>
    <phoneticPr fontId="12" type="noConversion"/>
  </si>
  <si>
    <t>南立新  </t>
    <phoneticPr fontId="12" type="noConversion"/>
  </si>
  <si>
    <t>mary.nan@cyzone.cn</t>
    <phoneticPr fontId="12" type="noConversion"/>
  </si>
  <si>
    <t>创业工厂</t>
    <phoneticPr fontId="12" type="noConversion"/>
  </si>
  <si>
    <t>vicky@ventureslab.com</t>
    <phoneticPr fontId="12" type="noConversion"/>
  </si>
  <si>
    <t>创业工场</t>
    <phoneticPr fontId="12" type="noConversion"/>
  </si>
  <si>
    <t>mark@ventureslab.com</t>
    <phoneticPr fontId="12" type="noConversion"/>
  </si>
  <si>
    <t>迮钧达</t>
    <phoneticPr fontId="12" type="noConversion"/>
  </si>
  <si>
    <t>于浩海</t>
    <phoneticPr fontId="12" type="noConversion"/>
  </si>
  <si>
    <t>mypevc@163.com</t>
    <phoneticPr fontId="12" type="noConversion"/>
  </si>
  <si>
    <t>达泰资本</t>
    <phoneticPr fontId="12" type="noConversion"/>
  </si>
  <si>
    <t>江铮毅</t>
    <phoneticPr fontId="12" type="noConversion"/>
  </si>
  <si>
    <t>jiang@delta-capital.cn</t>
    <phoneticPr fontId="12" type="noConversion"/>
  </si>
  <si>
    <t>大连国创投资</t>
    <phoneticPr fontId="12" type="noConversion"/>
  </si>
  <si>
    <t>岳阳</t>
    <phoneticPr fontId="12" type="noConversion"/>
  </si>
  <si>
    <t>yue.yang@sohu.com</t>
    <phoneticPr fontId="12" type="noConversion"/>
  </si>
  <si>
    <t>凌代鸿</t>
    <phoneticPr fontId="12" type="noConversion"/>
  </si>
  <si>
    <t>新纪夫</t>
    <phoneticPr fontId="12" type="noConversion"/>
  </si>
  <si>
    <t>tristan@danenventures.com</t>
    <phoneticPr fontId="12" type="noConversion"/>
  </si>
  <si>
    <t>氘氚创投</t>
    <phoneticPr fontId="12" type="noConversion"/>
  </si>
  <si>
    <t>夏红健</t>
    <phoneticPr fontId="12" type="noConversion"/>
  </si>
  <si>
    <t>德创投资</t>
    <phoneticPr fontId="12" type="noConversion"/>
  </si>
  <si>
    <t>阚治东</t>
    <phoneticPr fontId="12" type="noConversion"/>
  </si>
  <si>
    <t>kanzd@orica.com.cn</t>
    <phoneticPr fontId="12" type="noConversion"/>
  </si>
  <si>
    <t>李嵩波</t>
    <phoneticPr fontId="12" type="noConversion"/>
  </si>
  <si>
    <t>songbo@gmail.com</t>
    <phoneticPr fontId="12" type="noConversion"/>
  </si>
  <si>
    <t>德同中国投资基金（DT Capital Partners）</t>
    <phoneticPr fontId="12" type="noConversion"/>
  </si>
  <si>
    <t>info@dtcap.com</t>
    <phoneticPr fontId="12" type="noConversion"/>
  </si>
  <si>
    <t>德同资本</t>
    <phoneticPr fontId="12" type="noConversion"/>
  </si>
  <si>
    <t>郑凯还</t>
    <phoneticPr fontId="12" type="noConversion"/>
  </si>
  <si>
    <t>kelvin.zheng@dtcap.com</t>
    <phoneticPr fontId="12" type="noConversion"/>
  </si>
  <si>
    <t>德迅投资</t>
    <phoneticPr fontId="12" type="noConversion"/>
  </si>
  <si>
    <t>曾李青</t>
    <phoneticPr fontId="12" type="noConversion"/>
  </si>
  <si>
    <t>点石投资</t>
    <phoneticPr fontId="12" type="noConversion"/>
  </si>
  <si>
    <t>吴芳</t>
    <phoneticPr fontId="12" type="noConversion"/>
  </si>
  <si>
    <t>touchwood@touchwood-pe.com</t>
    <phoneticPr fontId="12" type="noConversion"/>
  </si>
  <si>
    <t>吴尚志</t>
    <phoneticPr fontId="12" type="noConversion"/>
  </si>
  <si>
    <t>鼎聚投资</t>
    <phoneticPr fontId="12" type="noConversion"/>
  </si>
  <si>
    <t>柳阳</t>
    <phoneticPr fontId="12" type="noConversion"/>
  </si>
  <si>
    <t>victor.liuyang@gmail.com</t>
    <phoneticPr fontId="12" type="noConversion"/>
  </si>
  <si>
    <t>东方汇富</t>
    <phoneticPr fontId="12" type="noConversion"/>
  </si>
  <si>
    <t>深圳东方汇富</t>
    <phoneticPr fontId="12" type="noConversion"/>
  </si>
  <si>
    <t>orica@orica.com.cn</t>
    <phoneticPr fontId="12" type="noConversion"/>
  </si>
  <si>
    <t>东方汇富创投</t>
    <phoneticPr fontId="12" type="noConversion"/>
  </si>
  <si>
    <t>苟国举</t>
    <phoneticPr fontId="12" type="noConversion"/>
  </si>
  <si>
    <t>恩颐投资</t>
    <phoneticPr fontId="12" type="noConversion"/>
  </si>
  <si>
    <t>朱敏</t>
    <phoneticPr fontId="12" type="noConversion"/>
  </si>
  <si>
    <t>min.zhu@cybernaut.com.cn</t>
    <phoneticPr fontId="12" type="noConversion"/>
  </si>
  <si>
    <t>二十一世纪天使资本</t>
    <phoneticPr fontId="12" type="noConversion"/>
  </si>
  <si>
    <t>王博</t>
    <phoneticPr fontId="12" type="noConversion"/>
  </si>
  <si>
    <t>方创FA</t>
    <phoneticPr fontId="12" type="noConversion"/>
  </si>
  <si>
    <t>刘尚杰</t>
    <phoneticPr fontId="12" type="noConversion"/>
  </si>
  <si>
    <t>jason@favalue.com</t>
    <phoneticPr fontId="12" type="noConversion"/>
  </si>
  <si>
    <t>谢连福</t>
    <phoneticPr fontId="12" type="noConversion"/>
  </si>
  <si>
    <t>michael@favalue.com</t>
    <phoneticPr fontId="12" type="noConversion"/>
  </si>
  <si>
    <t>飞马投资顾问</t>
    <phoneticPr fontId="12" type="noConversion"/>
  </si>
  <si>
    <t>向荣华</t>
    <phoneticPr fontId="12" type="noConversion"/>
  </si>
  <si>
    <t>lope.xiang@gmail.com</t>
    <phoneticPr fontId="12" type="noConversion"/>
  </si>
  <si>
    <t>丰厚资本</t>
    <phoneticPr fontId="12" type="noConversion"/>
  </si>
  <si>
    <t>杨守彬</t>
    <phoneticPr fontId="12" type="noConversion"/>
  </si>
  <si>
    <t>蜂鸟资本</t>
    <phoneticPr fontId="12" type="noConversion"/>
  </si>
  <si>
    <t>黄振华</t>
    <phoneticPr fontId="12" type="noConversion"/>
  </si>
  <si>
    <t>富坤创投</t>
    <phoneticPr fontId="12" type="noConversion"/>
  </si>
  <si>
    <t>粱彤</t>
    <phoneticPr fontId="12" type="noConversion"/>
  </si>
  <si>
    <t>富年科技</t>
    <phoneticPr fontId="12" type="noConversion"/>
  </si>
  <si>
    <t>龚虹嘉</t>
    <phoneticPr fontId="12" type="noConversion"/>
  </si>
  <si>
    <t>market@funinhand.com</t>
    <phoneticPr fontId="12" type="noConversion"/>
  </si>
  <si>
    <t>高榕资本</t>
    <phoneticPr fontId="12" type="noConversion"/>
  </si>
  <si>
    <t>张震</t>
    <phoneticPr fontId="12" type="noConversion"/>
  </si>
  <si>
    <t>高通</t>
    <phoneticPr fontId="12" type="noConversion"/>
  </si>
  <si>
    <t>沈劲</t>
    <phoneticPr fontId="12" type="noConversion"/>
  </si>
  <si>
    <t>jings@qti.qualcomm.com</t>
    <phoneticPr fontId="12" type="noConversion"/>
  </si>
  <si>
    <t>李研</t>
    <phoneticPr fontId="12" type="noConversion"/>
  </si>
  <si>
    <t>liy@qti.qualcomm.com</t>
    <phoneticPr fontId="12" type="noConversion"/>
  </si>
  <si>
    <t>高原资本</t>
    <phoneticPr fontId="12" type="noConversion"/>
  </si>
  <si>
    <t>涂鸿川</t>
    <phoneticPr fontId="12" type="noConversion"/>
  </si>
  <si>
    <t>高瞻</t>
    <phoneticPr fontId="12" type="noConversion"/>
  </si>
  <si>
    <t>白杰先</t>
    <phoneticPr fontId="12" type="noConversion"/>
  </si>
  <si>
    <t>戈壁合伙人有限公司</t>
    <phoneticPr fontId="12" type="noConversion"/>
  </si>
  <si>
    <t>徐晨</t>
    <phoneticPr fontId="12" type="noConversion"/>
  </si>
  <si>
    <t>ken@gobivc.com</t>
    <phoneticPr fontId="12" type="noConversion"/>
  </si>
  <si>
    <t>戈壁合伙人有限公司 </t>
    <phoneticPr fontId="12" type="noConversion"/>
  </si>
  <si>
    <t>朱璘</t>
    <phoneticPr fontId="12" type="noConversion"/>
  </si>
  <si>
    <t>michael@gobi.cn</t>
    <phoneticPr fontId="12" type="noConversion"/>
  </si>
  <si>
    <t>戈壁投资</t>
    <phoneticPr fontId="12" type="noConversion"/>
  </si>
  <si>
    <t>蒋涛</t>
    <phoneticPr fontId="12" type="noConversion"/>
  </si>
  <si>
    <t>官方邮箱</t>
    <phoneticPr fontId="12" type="noConversion"/>
  </si>
  <si>
    <t>曹嘉泰</t>
    <phoneticPr fontId="12" type="noConversion"/>
  </si>
  <si>
    <t>胡唐骏</t>
    <phoneticPr fontId="12" type="noConversion"/>
  </si>
  <si>
    <t>戈壁资本</t>
    <phoneticPr fontId="12" type="noConversion"/>
  </si>
  <si>
    <t>jiangtao@me.com </t>
    <phoneticPr fontId="12" type="noConversion"/>
  </si>
  <si>
    <t>光大控股创业投资管理(深圳)有限公司</t>
    <phoneticPr fontId="12" type="noConversion"/>
  </si>
  <si>
    <t>丁承</t>
    <phoneticPr fontId="12" type="noConversion"/>
  </si>
  <si>
    <t>光速创投</t>
    <phoneticPr fontId="12" type="noConversion"/>
  </si>
  <si>
    <t>潘翔</t>
    <phoneticPr fontId="12" type="noConversion"/>
  </si>
  <si>
    <t>郝玮</t>
    <phoneticPr fontId="12" type="noConversion"/>
  </si>
  <si>
    <t>广东股权投资协会</t>
    <phoneticPr fontId="12" type="noConversion"/>
  </si>
  <si>
    <t>詹晓锋</t>
    <phoneticPr fontId="12" type="noConversion"/>
  </si>
  <si>
    <t>zxf@gdpe.org</t>
    <phoneticPr fontId="12" type="noConversion"/>
  </si>
  <si>
    <t>广发信德投资管理有限公司</t>
    <phoneticPr fontId="12" type="noConversion"/>
  </si>
  <si>
    <t>樊飞</t>
    <phoneticPr fontId="12" type="noConversion"/>
  </si>
  <si>
    <t>广州鼎银投资有限公司</t>
    <phoneticPr fontId="12" type="noConversion"/>
  </si>
  <si>
    <t>铁元初</t>
    <phoneticPr fontId="12" type="noConversion"/>
  </si>
  <si>
    <t>tieyc@126.com</t>
    <phoneticPr fontId="12" type="noConversion"/>
  </si>
  <si>
    <t>硅谷、东京</t>
    <phoneticPr fontId="12" type="noConversion"/>
  </si>
  <si>
    <t>国富源投资</t>
    <phoneticPr fontId="12" type="noConversion"/>
  </si>
  <si>
    <t>梁佳（看不穿）</t>
    <phoneticPr fontId="12" type="noConversion"/>
  </si>
  <si>
    <t>梁佳</t>
    <phoneticPr fontId="12" type="noConversion"/>
  </si>
  <si>
    <t>liangjia@guofuyuan.com.cn</t>
    <phoneticPr fontId="12" type="noConversion"/>
  </si>
  <si>
    <t>哈尔滨创新投</t>
    <phoneticPr fontId="12" type="noConversion"/>
  </si>
  <si>
    <t>李文茂</t>
    <phoneticPr fontId="12" type="noConversion"/>
  </si>
  <si>
    <t>王树勋</t>
    <phoneticPr fontId="12" type="noConversion"/>
  </si>
  <si>
    <t>海银资本</t>
    <phoneticPr fontId="12" type="noConversion"/>
  </si>
  <si>
    <t>李东平</t>
    <phoneticPr fontId="12" type="noConversion"/>
  </si>
  <si>
    <t>吴晓梅</t>
    <phoneticPr fontId="12" type="noConversion"/>
  </si>
  <si>
    <t>may.wu@haiyinfund.com</t>
    <phoneticPr fontId="12" type="noConversion"/>
  </si>
  <si>
    <t>王煜全</t>
    <phoneticPr fontId="12" type="noConversion"/>
  </si>
  <si>
    <t>yuquan.wang@haiyinfund.com</t>
    <phoneticPr fontId="12" type="noConversion"/>
  </si>
  <si>
    <t>汉能投资集团</t>
    <phoneticPr fontId="12" type="noConversion"/>
  </si>
  <si>
    <t>陈宏</t>
    <phoneticPr fontId="12" type="noConversion"/>
  </si>
  <si>
    <t>info@hinagroup.com</t>
    <phoneticPr fontId="12" type="noConversion"/>
  </si>
  <si>
    <t>董征</t>
    <phoneticPr fontId="12" type="noConversion"/>
  </si>
  <si>
    <t>zdong@hinagroup.com</t>
    <phoneticPr fontId="12" type="noConversion"/>
  </si>
  <si>
    <t>翰潭投资</t>
    <phoneticPr fontId="12" type="noConversion"/>
  </si>
  <si>
    <t>徐营营</t>
    <phoneticPr fontId="12" type="noConversion"/>
  </si>
  <si>
    <t>xuyy@hantancapital.com</t>
    <phoneticPr fontId="12" type="noConversion"/>
  </si>
  <si>
    <t>杭州士兰控股有限公司</t>
    <phoneticPr fontId="12" type="noConversion"/>
  </si>
  <si>
    <t>陈向明</t>
    <phoneticPr fontId="12" type="noConversion"/>
  </si>
  <si>
    <t>xmchen@silan.com.cn</t>
    <phoneticPr fontId="12" type="noConversion"/>
  </si>
  <si>
    <t>杭州文广创业投资有限公司</t>
    <phoneticPr fontId="12" type="noConversion"/>
  </si>
  <si>
    <t>李振</t>
    <phoneticPr fontId="12" type="noConversion"/>
  </si>
  <si>
    <t>sinicli@126.com</t>
    <phoneticPr fontId="12" type="noConversion"/>
  </si>
  <si>
    <t>黑马基金</t>
    <phoneticPr fontId="12" type="noConversion"/>
  </si>
  <si>
    <t>沈南鹏</t>
    <phoneticPr fontId="12" type="noConversion"/>
  </si>
  <si>
    <t>nshen@sequoiacap.com</t>
    <phoneticPr fontId="12" type="noConversion"/>
  </si>
  <si>
    <t>刘星</t>
    <phoneticPr fontId="12" type="noConversion"/>
  </si>
  <si>
    <t>胡丹</t>
    <phoneticPr fontId="12" type="noConversion"/>
  </si>
  <si>
    <t>梁杰  </t>
    <phoneticPr fontId="12" type="noConversion"/>
  </si>
  <si>
    <t>liang@sequoiacap.com</t>
    <phoneticPr fontId="12" type="noConversion"/>
  </si>
  <si>
    <t>郑庆生</t>
    <phoneticPr fontId="12" type="noConversion"/>
  </si>
  <si>
    <t>qzheng@sequoiacap.com</t>
    <phoneticPr fontId="12" type="noConversion"/>
  </si>
  <si>
    <t>计越</t>
    <phoneticPr fontId="12" type="noConversion"/>
  </si>
  <si>
    <t>sji@sequoiacap.com</t>
    <phoneticPr fontId="12" type="noConversion"/>
  </si>
  <si>
    <t>周逵</t>
    <phoneticPr fontId="12" type="noConversion"/>
  </si>
  <si>
    <t>zhou@sequoiacap.com</t>
    <phoneticPr fontId="12" type="noConversion"/>
  </si>
  <si>
    <t>虎童基金</t>
    <phoneticPr fontId="12" type="noConversion"/>
  </si>
  <si>
    <t>王震國</t>
    <phoneticPr fontId="12" type="noConversion"/>
  </si>
  <si>
    <t>wangzhg@tigercub.com.cn</t>
    <phoneticPr fontId="12" type="noConversion"/>
  </si>
  <si>
    <t>互联网战略与天使投资</t>
    <phoneticPr fontId="12" type="noConversion"/>
  </si>
  <si>
    <t>陈世鸿</t>
    <phoneticPr fontId="12" type="noConversion"/>
  </si>
  <si>
    <t>thinker.chn@gmail.com</t>
    <phoneticPr fontId="12" type="noConversion"/>
  </si>
  <si>
    <t>华创资本</t>
    <phoneticPr fontId="12" type="noConversion"/>
  </si>
  <si>
    <t>唐宁</t>
    <phoneticPr fontId="12" type="noConversion"/>
  </si>
  <si>
    <t>ningtang@chinagrowthcapital.com</t>
    <phoneticPr fontId="12" type="noConversion"/>
  </si>
  <si>
    <t>华登国际</t>
    <phoneticPr fontId="12" type="noConversion"/>
  </si>
  <si>
    <t>华璟海纳</t>
    <phoneticPr fontId="12" type="noConversion"/>
  </si>
  <si>
    <t>华瓯创投</t>
    <phoneticPr fontId="12" type="noConversion"/>
  </si>
  <si>
    <t>黄金明</t>
    <phoneticPr fontId="12" type="noConversion"/>
  </si>
  <si>
    <t>华平投资</t>
    <phoneticPr fontId="12" type="noConversion"/>
  </si>
  <si>
    <t>华兴资本</t>
    <phoneticPr fontId="12" type="noConversion"/>
  </si>
  <si>
    <t>包凡</t>
    <phoneticPr fontId="12" type="noConversion"/>
  </si>
  <si>
    <t>info@chinarenaissance.com</t>
    <phoneticPr fontId="12" type="noConversion"/>
  </si>
  <si>
    <t>高峰 </t>
    <phoneticPr fontId="12" type="noConversion"/>
  </si>
  <si>
    <t>info@meridiancapital.com.cn</t>
    <phoneticPr fontId="12" type="noConversion"/>
  </si>
  <si>
    <t>汇丰直接投资（亚洲）有限公司 </t>
    <phoneticPr fontId="12" type="noConversion"/>
  </si>
  <si>
    <t>胡磊</t>
    <phoneticPr fontId="12" type="noConversion"/>
  </si>
  <si>
    <t>姚睿</t>
    <phoneticPr fontId="12" type="noConversion"/>
  </si>
  <si>
    <t>ryao@ggvc.com</t>
    <phoneticPr fontId="12" type="noConversion"/>
  </si>
  <si>
    <t>加成移民投资咨询顾问有限公司</t>
    <phoneticPr fontId="12" type="noConversion"/>
  </si>
  <si>
    <t>何明辉</t>
    <phoneticPr fontId="12" type="noConversion"/>
  </si>
  <si>
    <t>michael@canachieve.net</t>
    <phoneticPr fontId="12" type="noConversion"/>
  </si>
  <si>
    <t>江苏后桑百货</t>
    <phoneticPr fontId="12" type="noConversion"/>
  </si>
  <si>
    <t>叶飞</t>
    <phoneticPr fontId="12" type="noConversion"/>
  </si>
  <si>
    <t>杰斯财富</t>
    <phoneticPr fontId="12" type="noConversion"/>
  </si>
  <si>
    <t>康渃浠</t>
    <phoneticPr fontId="12" type="noConversion"/>
  </si>
  <si>
    <t>蒋卫强</t>
    <phoneticPr fontId="12" type="noConversion"/>
  </si>
  <si>
    <t>jasperjiang@capitaltoday.com</t>
    <phoneticPr fontId="12" type="noConversion"/>
  </si>
  <si>
    <t>今日资本总裁.50强第2</t>
    <phoneticPr fontId="12" type="noConversion"/>
  </si>
  <si>
    <t>金浦投资</t>
    <phoneticPr fontId="12" type="noConversion"/>
  </si>
  <si>
    <t>孙欣</t>
    <phoneticPr fontId="12" type="noConversion"/>
  </si>
  <si>
    <t>金沙江创投</t>
    <phoneticPr fontId="12" type="noConversion"/>
  </si>
  <si>
    <t>朱啸虎</t>
    <phoneticPr fontId="12" type="noConversion"/>
  </si>
  <si>
    <t>李显弘</t>
    <phoneticPr fontId="12" type="noConversion"/>
  </si>
  <si>
    <t>伍伸俊</t>
    <phoneticPr fontId="12" type="noConversion"/>
  </si>
  <si>
    <t>金通恒业股权投资</t>
    <phoneticPr fontId="12" type="noConversion"/>
  </si>
  <si>
    <t>郑奇国</t>
    <phoneticPr fontId="12" type="noConversion"/>
  </si>
  <si>
    <t>zhengqiguo2006@126.com</t>
    <phoneticPr fontId="12" type="noConversion"/>
  </si>
  <si>
    <t>锦聚投资</t>
    <phoneticPr fontId="12" type="noConversion"/>
  </si>
  <si>
    <t>王英才</t>
    <phoneticPr fontId="12" type="noConversion"/>
  </si>
  <si>
    <t>wyc0571@sina.com</t>
    <phoneticPr fontId="12" type="noConversion"/>
  </si>
  <si>
    <t>张胤</t>
    <phoneticPr fontId="12" type="noConversion"/>
  </si>
  <si>
    <t>kevin.zhang@matrixpartners.com.cn</t>
    <phoneticPr fontId="12" type="noConversion"/>
  </si>
  <si>
    <t>whadonce@gmail.com</t>
    <phoneticPr fontId="12" type="noConversion"/>
  </si>
  <si>
    <t>牛立雄</t>
    <phoneticPr fontId="12" type="noConversion"/>
  </si>
  <si>
    <t>萬浩基</t>
    <phoneticPr fontId="12" type="noConversion"/>
  </si>
  <si>
    <t>Kevin</t>
    <phoneticPr fontId="12" type="noConversion"/>
  </si>
  <si>
    <t>kevin.xiong@matrixpartners.com.cn</t>
    <phoneticPr fontId="12" type="noConversion"/>
  </si>
  <si>
    <t>min.xiao@matrixpartners.com.cn</t>
    <phoneticPr fontId="12" type="noConversion"/>
  </si>
  <si>
    <t>庄明浩</t>
    <phoneticPr fontId="12" type="noConversion"/>
  </si>
  <si>
    <t>minghao.zhuang@matrixpartners.com.cn</t>
    <phoneticPr fontId="12" type="noConversion"/>
  </si>
  <si>
    <t>九鼎投资</t>
    <phoneticPr fontId="12" type="noConversion"/>
  </si>
  <si>
    <t>九鼎投资 副总裁</t>
    <phoneticPr fontId="12" type="noConversion"/>
  </si>
  <si>
    <t>oliver.ran@foxmail.com</t>
    <phoneticPr fontId="12" type="noConversion"/>
  </si>
  <si>
    <t>王啸</t>
    <phoneticPr fontId="12" type="noConversion"/>
  </si>
  <si>
    <t>九州创投</t>
    <phoneticPr fontId="12" type="noConversion"/>
  </si>
  <si>
    <t>Michael Huang</t>
    <phoneticPr fontId="12" type="noConversion"/>
  </si>
  <si>
    <t>君鼎投资</t>
    <phoneticPr fontId="12" type="noConversion"/>
  </si>
  <si>
    <t>Cohiba</t>
    <phoneticPr fontId="12" type="noConversion"/>
  </si>
  <si>
    <t>Wallstreet@139.com</t>
    <phoneticPr fontId="12" type="noConversion"/>
  </si>
  <si>
    <t>陈震</t>
    <phoneticPr fontId="12" type="noConversion"/>
  </si>
  <si>
    <t>master@legendcapital.com.cn</t>
    <phoneticPr fontId="12" type="noConversion"/>
  </si>
  <si>
    <t>欧阳浩</t>
    <phoneticPr fontId="12" type="noConversion"/>
  </si>
  <si>
    <t>oyh@legendcapital.com.cn</t>
    <phoneticPr fontId="12" type="noConversion"/>
  </si>
  <si>
    <t>沙重九</t>
    <phoneticPr fontId="12" type="noConversion"/>
  </si>
  <si>
    <t>shacj@legendcapital.com.cn</t>
    <phoneticPr fontId="12" type="noConversion"/>
  </si>
  <si>
    <t>王能光</t>
    <phoneticPr fontId="12" type="noConversion"/>
  </si>
  <si>
    <t>wangng@legendcapital.com.cn</t>
    <phoneticPr fontId="12" type="noConversion"/>
  </si>
  <si>
    <t>朱立南</t>
    <phoneticPr fontId="12" type="noConversion"/>
  </si>
  <si>
    <t>zhuln@legendholdings.com.cn</t>
    <phoneticPr fontId="12" type="noConversion"/>
  </si>
  <si>
    <t>君廉资本</t>
    <phoneticPr fontId="12" type="noConversion"/>
  </si>
  <si>
    <t>罗丹</t>
    <phoneticPr fontId="12" type="noConversion"/>
  </si>
  <si>
    <t>君盛投资</t>
    <phoneticPr fontId="12" type="noConversion"/>
  </si>
  <si>
    <t>黄宇</t>
    <phoneticPr fontId="12" type="noConversion"/>
  </si>
  <si>
    <t>君沃资本（上海）</t>
    <phoneticPr fontId="12" type="noConversion"/>
  </si>
  <si>
    <t>陈智</t>
    <phoneticPr fontId="12" type="noConversion"/>
  </si>
  <si>
    <t>开物投资</t>
    <phoneticPr fontId="12" type="noConversion"/>
  </si>
  <si>
    <t>刘千叶</t>
    <phoneticPr fontId="12" type="noConversion"/>
  </si>
  <si>
    <t>karen.liu@kaiwucapital.com</t>
    <phoneticPr fontId="12" type="noConversion"/>
  </si>
  <si>
    <t>楼厦</t>
    <phoneticPr fontId="12" type="noConversion"/>
  </si>
  <si>
    <t>sha.lou@kaiwucapital.com</t>
    <phoneticPr fontId="12" type="noConversion"/>
  </si>
  <si>
    <t>周树华</t>
    <phoneticPr fontId="12" type="noConversion"/>
  </si>
  <si>
    <t>shuhua.zhou@kaiwucapital.com</t>
    <phoneticPr fontId="12" type="noConversion"/>
  </si>
  <si>
    <t>凯鹏华盈</t>
    <phoneticPr fontId="12" type="noConversion"/>
  </si>
  <si>
    <t>汝林琪</t>
    <phoneticPr fontId="12" type="noConversion"/>
  </si>
  <si>
    <t>梁英杰</t>
    <phoneticPr fontId="12" type="noConversion"/>
  </si>
  <si>
    <t>周炜</t>
    <phoneticPr fontId="12" type="noConversion"/>
  </si>
  <si>
    <t>凯鹏华盈创业投资</t>
    <phoneticPr fontId="12" type="noConversion"/>
  </si>
  <si>
    <t>wzhou@kpcb.com</t>
    <phoneticPr fontId="12" type="noConversion"/>
  </si>
  <si>
    <t>凯石资本</t>
    <phoneticPr fontId="12" type="noConversion"/>
  </si>
  <si>
    <t>潘旻</t>
    <phoneticPr fontId="12" type="noConversion"/>
  </si>
  <si>
    <t>凯旋创投</t>
    <phoneticPr fontId="12" type="noConversion"/>
  </si>
  <si>
    <t>周志雄</t>
    <phoneticPr fontId="12" type="noConversion"/>
  </si>
  <si>
    <t>凯亚投资控股有限公司</t>
    <phoneticPr fontId="12" type="noConversion"/>
  </si>
  <si>
    <t>吴连华</t>
    <phoneticPr fontId="12" type="noConversion"/>
  </si>
  <si>
    <t>leo_wu@capitalasia.com</t>
    <phoneticPr fontId="12" type="noConversion"/>
  </si>
  <si>
    <t>科创资本</t>
    <phoneticPr fontId="12" type="noConversion"/>
  </si>
  <si>
    <t>于晗     </t>
    <phoneticPr fontId="12" type="noConversion"/>
  </si>
  <si>
    <t>yuhan@tiholding.cn</t>
    <phoneticPr fontId="12" type="noConversion"/>
  </si>
  <si>
    <t>空中网</t>
    <phoneticPr fontId="12" type="noConversion"/>
  </si>
  <si>
    <t>杨宁</t>
    <phoneticPr fontId="12" type="noConversion"/>
  </si>
  <si>
    <t>nick@kongzhong.com</t>
    <phoneticPr fontId="12" type="noConversion"/>
  </si>
  <si>
    <t>宽带资本</t>
    <phoneticPr fontId="12" type="noConversion"/>
  </si>
  <si>
    <t>田溯宁</t>
    <phoneticPr fontId="12" type="noConversion"/>
  </si>
  <si>
    <t>tiansn@cbc-capital.com</t>
    <phoneticPr fontId="12" type="noConversion"/>
  </si>
  <si>
    <t>乐博资本</t>
    <phoneticPr fontId="12" type="noConversion"/>
  </si>
  <si>
    <t>乔顺昌</t>
    <phoneticPr fontId="12" type="noConversion"/>
  </si>
  <si>
    <t>nickyang@leboxcap.com</t>
    <phoneticPr fontId="12" type="noConversion"/>
  </si>
  <si>
    <t>雷雨资本</t>
    <phoneticPr fontId="12" type="noConversion"/>
  </si>
  <si>
    <t>俞文辉</t>
    <phoneticPr fontId="12" type="noConversion"/>
  </si>
  <si>
    <t>vcscut@126.com</t>
    <phoneticPr fontId="12" type="noConversion"/>
  </si>
  <si>
    <t>力鼎资本</t>
    <phoneticPr fontId="12" type="noConversion"/>
  </si>
  <si>
    <t>蒋萌</t>
    <phoneticPr fontId="12" type="noConversion"/>
  </si>
  <si>
    <t>力合创投</t>
    <phoneticPr fontId="12" type="noConversion"/>
  </si>
  <si>
    <t>冯杰</t>
    <phoneticPr fontId="12" type="noConversion"/>
  </si>
  <si>
    <t>乐坤久 </t>
    <phoneticPr fontId="12" type="noConversion"/>
  </si>
  <si>
    <t>info@leaguer.com.cn</t>
    <phoneticPr fontId="12" type="noConversion"/>
  </si>
  <si>
    <t>力合华睿</t>
    <phoneticPr fontId="12" type="noConversion"/>
  </si>
  <si>
    <t>胡林平</t>
    <phoneticPr fontId="12" type="noConversion"/>
  </si>
  <si>
    <t>hulinping@hotmail.com</t>
    <phoneticPr fontId="12" type="noConversion"/>
  </si>
  <si>
    <t>力合清源创投</t>
    <phoneticPr fontId="12" type="noConversion"/>
  </si>
  <si>
    <t>朱方</t>
    <phoneticPr fontId="12" type="noConversion"/>
  </si>
  <si>
    <t>联创策源投资咨询(北京)有限公司</t>
    <phoneticPr fontId="12" type="noConversion"/>
  </si>
  <si>
    <t>孙翀</t>
    <phoneticPr fontId="12" type="noConversion"/>
  </si>
  <si>
    <t>sunchong@ceyuan.com</t>
    <phoneticPr fontId="12" type="noConversion"/>
  </si>
  <si>
    <t>联想投资有限公司</t>
    <phoneticPr fontId="12" type="noConversion"/>
  </si>
  <si>
    <t>陆刚</t>
    <phoneticPr fontId="12" type="noConversion"/>
  </si>
  <si>
    <t>lugang@legendholdings.com.cn</t>
    <phoneticPr fontId="12" type="noConversion"/>
  </si>
  <si>
    <t>唐旭东</t>
    <phoneticPr fontId="12" type="noConversion"/>
  </si>
  <si>
    <t>tangxd@legendholdings.com.cn</t>
    <phoneticPr fontId="12" type="noConversion"/>
  </si>
  <si>
    <t>王明耀</t>
    <phoneticPr fontId="12" type="noConversion"/>
  </si>
  <si>
    <t>wangmy@legendholdings.com.cn</t>
    <phoneticPr fontId="12" type="noConversion"/>
  </si>
  <si>
    <t>龙翌资本</t>
    <phoneticPr fontId="12" type="noConversion"/>
  </si>
  <si>
    <t>李俊伟</t>
    <phoneticPr fontId="12" type="noConversion"/>
  </si>
  <si>
    <t>迈达斯股权投资基金管理有限公司</t>
    <phoneticPr fontId="12" type="noConversion"/>
  </si>
  <si>
    <t>邓京晶</t>
    <phoneticPr fontId="12" type="noConversion"/>
  </si>
  <si>
    <t>张筱燕</t>
    <phoneticPr fontId="12" type="noConversion"/>
  </si>
  <si>
    <t>梦工场创投</t>
    <phoneticPr fontId="12" type="noConversion"/>
  </si>
  <si>
    <t>杨轩</t>
    <phoneticPr fontId="12" type="noConversion"/>
  </si>
  <si>
    <t>topiori@gmail.com</t>
    <phoneticPr fontId="12" type="noConversion"/>
  </si>
  <si>
    <t>明势资本</t>
    <phoneticPr fontId="12" type="noConversion"/>
  </si>
  <si>
    <t>黄明明</t>
    <phoneticPr fontId="12" type="noConversion"/>
  </si>
  <si>
    <t>mmhuang@future-cap.com</t>
    <phoneticPr fontId="12" type="noConversion"/>
  </si>
  <si>
    <t>南丰长瑞股权投资</t>
    <phoneticPr fontId="12" type="noConversion"/>
  </si>
  <si>
    <t>黄庆伟</t>
    <phoneticPr fontId="12" type="noConversion"/>
  </si>
  <si>
    <t>huangqingwei2008@gmail.com</t>
    <phoneticPr fontId="12" type="noConversion"/>
  </si>
  <si>
    <t>宁波伯乐遇马天使投资有限公司</t>
    <phoneticPr fontId="12" type="noConversion"/>
  </si>
  <si>
    <t>陈世明</t>
    <phoneticPr fontId="12" type="noConversion"/>
  </si>
  <si>
    <t>郭召林</t>
    <phoneticPr fontId="12" type="noConversion"/>
  </si>
  <si>
    <t>zach66@126.com</t>
    <phoneticPr fontId="12" type="noConversion"/>
  </si>
  <si>
    <t>李悠扬</t>
    <phoneticPr fontId="12" type="noConversion"/>
  </si>
  <si>
    <t>欧奈尔投</t>
    <phoneticPr fontId="12" type="noConversion"/>
  </si>
  <si>
    <t>刘疆     </t>
    <phoneticPr fontId="12" type="noConversion"/>
  </si>
  <si>
    <t>liujiang88@gmail.com</t>
    <phoneticPr fontId="12" type="noConversion"/>
  </si>
  <si>
    <t>盘古创富</t>
    <phoneticPr fontId="12" type="noConversion"/>
  </si>
  <si>
    <t>刘凯</t>
    <phoneticPr fontId="12" type="noConversion"/>
  </si>
  <si>
    <t>liukai@vangoocapital.com</t>
    <phoneticPr fontId="12" type="noConversion"/>
  </si>
  <si>
    <t>磐霖资本</t>
    <phoneticPr fontId="12" type="noConversion"/>
  </si>
  <si>
    <t>李宇辉</t>
    <phoneticPr fontId="12" type="noConversion"/>
  </si>
  <si>
    <t>平安财智投资</t>
    <phoneticPr fontId="12" type="noConversion"/>
  </si>
  <si>
    <t>李忠智</t>
    <phoneticPr fontId="12" type="noConversion"/>
  </si>
  <si>
    <t>lizhongzhi001@pingan.com.cn</t>
    <phoneticPr fontId="12" type="noConversion"/>
  </si>
  <si>
    <t>崔婧 Janet</t>
    <phoneticPr fontId="12" type="noConversion"/>
  </si>
  <si>
    <t>徐光远</t>
    <phoneticPr fontId="12" type="noConversion"/>
  </si>
  <si>
    <t>启迪创投</t>
    <phoneticPr fontId="12" type="noConversion"/>
  </si>
  <si>
    <t>陈垒</t>
    <phoneticPr fontId="12" type="noConversion"/>
  </si>
  <si>
    <t>启赋资本投资总监</t>
    <phoneticPr fontId="12" type="noConversion"/>
  </si>
  <si>
    <t>彭数学</t>
    <phoneticPr fontId="12" type="noConversion"/>
  </si>
  <si>
    <t>psx3751011@163.com</t>
    <phoneticPr fontId="12" type="noConversion"/>
  </si>
  <si>
    <t>启明创投</t>
    <phoneticPr fontId="12" type="noConversion"/>
  </si>
  <si>
    <t>邝子平</t>
    <phoneticPr fontId="12" type="noConversion"/>
  </si>
  <si>
    <t>Gary Rieschel</t>
    <phoneticPr fontId="12" type="noConversion"/>
  </si>
  <si>
    <t>叶冠泰</t>
    <phoneticPr fontId="12" type="noConversion"/>
  </si>
  <si>
    <t>起点创投</t>
    <phoneticPr fontId="12" type="noConversion"/>
  </si>
  <si>
    <t>甄灿明</t>
    <phoneticPr fontId="12" type="noConversion"/>
  </si>
  <si>
    <t>查立</t>
    <phoneticPr fontId="12" type="noConversion"/>
  </si>
  <si>
    <t>冉立之</t>
    <phoneticPr fontId="12" type="noConversion"/>
  </si>
  <si>
    <t>rlz@vc8.cn</t>
    <phoneticPr fontId="12" type="noConversion"/>
  </si>
  <si>
    <t>董占斌</t>
    <phoneticPr fontId="12" type="noConversion"/>
  </si>
  <si>
    <t>青云创投</t>
    <phoneticPr fontId="12" type="noConversion"/>
  </si>
  <si>
    <t>张立辉</t>
    <phoneticPr fontId="12" type="noConversion"/>
  </si>
  <si>
    <t>倪正东</t>
    <phoneticPr fontId="12" type="noConversion"/>
  </si>
  <si>
    <t>张炜嘉</t>
    <phoneticPr fontId="12" type="noConversion"/>
  </si>
  <si>
    <t>仁达投资</t>
    <phoneticPr fontId="12" type="noConversion"/>
  </si>
  <si>
    <t>张权</t>
    <phoneticPr fontId="12" type="noConversion"/>
  </si>
  <si>
    <t>荣盛创投</t>
    <phoneticPr fontId="12" type="noConversion"/>
  </si>
  <si>
    <t>柯韶峰</t>
    <phoneticPr fontId="12" type="noConversion"/>
  </si>
  <si>
    <t>kesf@rong-sheng.com</t>
    <phoneticPr fontId="12" type="noConversion"/>
  </si>
  <si>
    <t>融创天下联合创始人 深圳移盟创办人 </t>
    <phoneticPr fontId="12" type="noConversion"/>
  </si>
  <si>
    <t>江小军</t>
    <phoneticPr fontId="12" type="noConversion"/>
  </si>
  <si>
    <t>jharry169@gmail.com</t>
    <phoneticPr fontId="12" type="noConversion"/>
  </si>
  <si>
    <t>如山创投</t>
    <phoneticPr fontId="12" type="noConversion"/>
  </si>
  <si>
    <t>朱琼</t>
    <phoneticPr fontId="12" type="noConversion"/>
  </si>
  <si>
    <t>zhuq5@dunan.cn</t>
    <phoneticPr fontId="12" type="noConversion"/>
  </si>
  <si>
    <t>软银中国创业投资有限公司 </t>
    <phoneticPr fontId="12" type="noConversion"/>
  </si>
  <si>
    <t>华平</t>
    <phoneticPr fontId="12" type="noConversion"/>
  </si>
  <si>
    <t>赛博纳特孵化创业投资管理有限公司</t>
    <phoneticPr fontId="12" type="noConversion"/>
  </si>
  <si>
    <t>赛富投资</t>
    <phoneticPr fontId="12" type="noConversion"/>
  </si>
  <si>
    <t>羊东</t>
    <phoneticPr fontId="12" type="noConversion"/>
  </si>
  <si>
    <t>阎焱</t>
    <phoneticPr fontId="12" type="noConversion"/>
  </si>
  <si>
    <t>赛富投资基金（北京）</t>
    <phoneticPr fontId="12" type="noConversion"/>
  </si>
  <si>
    <t>赛富亚洲投资基金管理公司 </t>
    <phoneticPr fontId="12" type="noConversion"/>
  </si>
  <si>
    <t>周志雄 </t>
    <phoneticPr fontId="12" type="noConversion"/>
  </si>
  <si>
    <t>jzhou@sbaif.com </t>
    <phoneticPr fontId="12" type="noConversion"/>
  </si>
  <si>
    <t>赛马资本</t>
    <phoneticPr fontId="12" type="noConversion"/>
  </si>
  <si>
    <t>张林利</t>
    <phoneticPr fontId="12" type="noConversion"/>
  </si>
  <si>
    <t>zllyes@yeah.net</t>
    <phoneticPr fontId="12" type="noConversion"/>
  </si>
  <si>
    <t>山东创鑫投资有限公司</t>
    <phoneticPr fontId="12" type="noConversion"/>
  </si>
  <si>
    <t>刘磊</t>
    <phoneticPr fontId="12" type="noConversion"/>
  </si>
  <si>
    <t>qibing969@sohu.com</t>
    <phoneticPr fontId="12" type="noConversion"/>
  </si>
  <si>
    <t>杉杉投资控股有限公司</t>
    <phoneticPr fontId="12" type="noConversion"/>
  </si>
  <si>
    <t>庄巍</t>
    <phoneticPr fontId="12" type="noConversion"/>
  </si>
  <si>
    <t>zhuangwei@firs.com.cn</t>
    <phoneticPr fontId="12" type="noConversion"/>
  </si>
  <si>
    <t>上创信德</t>
    <phoneticPr fontId="12" type="noConversion"/>
  </si>
  <si>
    <t>秦曦</t>
    <phoneticPr fontId="12" type="noConversion"/>
  </si>
  <si>
    <t>qinxi@shcapital.com.cn</t>
    <phoneticPr fontId="12" type="noConversion"/>
  </si>
  <si>
    <t>上海爱塔投资管理有限公司</t>
    <phoneticPr fontId="12" type="noConversion"/>
  </si>
  <si>
    <t>陈虎</t>
    <phoneticPr fontId="12" type="noConversion"/>
  </si>
  <si>
    <t>vcaitacafe@163.com</t>
    <phoneticPr fontId="12" type="noConversion"/>
  </si>
  <si>
    <t>上海传实投资顾问有限公司</t>
    <phoneticPr fontId="12" type="noConversion"/>
  </si>
  <si>
    <t>王侃</t>
    <phoneticPr fontId="12" type="noConversion"/>
  </si>
  <si>
    <t>kwang@transworldgroups.com</t>
    <phoneticPr fontId="12" type="noConversion"/>
  </si>
  <si>
    <t>上海科技投资</t>
    <phoneticPr fontId="12" type="noConversion"/>
  </si>
  <si>
    <t>上海联创投资管理有限公司 </t>
    <phoneticPr fontId="12" type="noConversion"/>
  </si>
  <si>
    <t>慕磊</t>
    <phoneticPr fontId="12" type="noConversion"/>
  </si>
  <si>
    <t>julius@newmargin.com</t>
    <phoneticPr fontId="12" type="noConversion"/>
  </si>
  <si>
    <t>上海普陀科技投资有限公司</t>
    <phoneticPr fontId="12" type="noConversion"/>
  </si>
  <si>
    <t>步勇捷</t>
    <phoneticPr fontId="12" type="noConversion"/>
  </si>
  <si>
    <t>上海盛基创业投资管理有限公司</t>
    <phoneticPr fontId="12" type="noConversion"/>
  </si>
  <si>
    <t>张伟</t>
    <phoneticPr fontId="12" type="noConversion"/>
  </si>
  <si>
    <t>zhangw@siic.com</t>
    <phoneticPr fontId="12" type="noConversion"/>
  </si>
  <si>
    <t>上海实业控股有限公司 </t>
    <phoneticPr fontId="12" type="noConversion"/>
  </si>
  <si>
    <t>上海致景投资管理有限公司</t>
    <phoneticPr fontId="12" type="noConversion"/>
  </si>
  <si>
    <t>张川</t>
    <phoneticPr fontId="12" type="noConversion"/>
  </si>
  <si>
    <t>michael_zhang21@hotmail.com</t>
    <phoneticPr fontId="12" type="noConversion"/>
  </si>
  <si>
    <t>深港产学研</t>
    <phoneticPr fontId="12" type="noConversion"/>
  </si>
  <si>
    <t>厉伟</t>
    <phoneticPr fontId="12" type="noConversion"/>
  </si>
  <si>
    <t>liwei@pinevc.com.cn</t>
    <phoneticPr fontId="12" type="noConversion"/>
  </si>
  <si>
    <t>罗飞</t>
    <phoneticPr fontId="12" type="noConversion"/>
  </si>
  <si>
    <t>luofei@pinevc.com.cn</t>
    <phoneticPr fontId="12" type="noConversion"/>
  </si>
  <si>
    <t>深港投资促进中心</t>
    <phoneticPr fontId="12" type="noConversion"/>
  </si>
  <si>
    <t>罗剑</t>
    <phoneticPr fontId="12" type="noConversion"/>
  </si>
  <si>
    <t>深圳财富创投</t>
    <phoneticPr fontId="12" type="noConversion"/>
  </si>
  <si>
    <t>深圳分享投资</t>
    <phoneticPr fontId="12" type="noConversion"/>
  </si>
  <si>
    <t>崔欣欣</t>
    <phoneticPr fontId="12" type="noConversion"/>
  </si>
  <si>
    <t>samcui@sharecapital.cn</t>
    <phoneticPr fontId="12" type="noConversion"/>
  </si>
  <si>
    <t>深圳高特佳</t>
    <phoneticPr fontId="12" type="noConversion"/>
  </si>
  <si>
    <t>邹欣</t>
    <phoneticPr fontId="12" type="noConversion"/>
  </si>
  <si>
    <t>深圳基石创投</t>
    <phoneticPr fontId="12" type="noConversion"/>
  </si>
  <si>
    <t>深圳启赋资本</t>
    <phoneticPr fontId="12" type="noConversion"/>
  </si>
  <si>
    <t>王长振</t>
    <phoneticPr fontId="12" type="noConversion"/>
  </si>
  <si>
    <t>wangcz@qfcapital.com.cn</t>
    <phoneticPr fontId="12" type="noConversion"/>
  </si>
  <si>
    <t>深圳市创新投资集团</t>
    <phoneticPr fontId="12" type="noConversion"/>
  </si>
  <si>
    <t>李程晟</t>
    <phoneticPr fontId="12" type="noConversion"/>
  </si>
  <si>
    <t>李程胜</t>
    <phoneticPr fontId="12" type="noConversion"/>
  </si>
  <si>
    <t>reallcs1943@163.com</t>
    <phoneticPr fontId="12" type="noConversion"/>
  </si>
  <si>
    <t>深圳市帝金源投资发展有限公司</t>
    <phoneticPr fontId="12" type="noConversion"/>
  </si>
  <si>
    <t>熊钊</t>
    <phoneticPr fontId="12" type="noConversion"/>
  </si>
  <si>
    <t>深圳市東方富海投資</t>
    <phoneticPr fontId="12" type="noConversion"/>
  </si>
  <si>
    <t>程厚博</t>
    <phoneticPr fontId="12" type="noConversion"/>
  </si>
  <si>
    <t>深圳市康成亨投资有限公司</t>
    <phoneticPr fontId="12" type="noConversion"/>
  </si>
  <si>
    <t>袁亚康</t>
    <phoneticPr fontId="12" type="noConversion"/>
  </si>
  <si>
    <t>深圳市蓝海鸿图投资管理有限公司</t>
    <phoneticPr fontId="12" type="noConversion"/>
  </si>
  <si>
    <t>李立东</t>
    <phoneticPr fontId="12" type="noConversion"/>
  </si>
  <si>
    <t>lidong.li@gmail.com</t>
    <phoneticPr fontId="12" type="noConversion"/>
  </si>
  <si>
    <t>深圳市南海成长创业投资有限合伙企业</t>
    <phoneticPr fontId="12" type="noConversion"/>
  </si>
  <si>
    <t>童子平</t>
    <phoneticPr fontId="12" type="noConversion"/>
  </si>
  <si>
    <t>tongziping@cowincapital.com</t>
    <phoneticPr fontId="12" type="noConversion"/>
  </si>
  <si>
    <t>深圳市旗丰投资有限公司</t>
    <phoneticPr fontId="12" type="noConversion"/>
  </si>
  <si>
    <t>陈小辉</t>
    <phoneticPr fontId="12" type="noConversion"/>
  </si>
  <si>
    <t>tom.chen@firstflag.com.cn</t>
    <phoneticPr fontId="12" type="noConversion"/>
  </si>
  <si>
    <t>深圳市三度投资管理有限公司</t>
    <phoneticPr fontId="12" type="noConversion"/>
  </si>
  <si>
    <t>王沛</t>
    <phoneticPr fontId="12" type="noConversion"/>
  </si>
  <si>
    <t>peiwww@126.com</t>
    <phoneticPr fontId="12" type="noConversion"/>
  </si>
  <si>
    <t>深圳市松禾资本管理有限公司</t>
    <phoneticPr fontId="12" type="noConversion"/>
  </si>
  <si>
    <t>liuyan@pinevc.com.cn</t>
    <phoneticPr fontId="12" type="noConversion"/>
  </si>
  <si>
    <t>深圳市同创伟业创业</t>
    <phoneticPr fontId="12" type="noConversion"/>
  </si>
  <si>
    <t>郑伟鹤</t>
    <phoneticPr fontId="12" type="noConversion"/>
  </si>
  <si>
    <t>深圳市同创伟业创业投资有限公司</t>
    <phoneticPr fontId="12" type="noConversion"/>
  </si>
  <si>
    <t>国林川</t>
    <phoneticPr fontId="12" type="noConversion"/>
  </si>
  <si>
    <t>季忠</t>
    <phoneticPr fontId="12" type="noConversion"/>
  </si>
  <si>
    <t>jizhong@cowincapital.com</t>
    <phoneticPr fontId="12" type="noConversion"/>
  </si>
  <si>
    <t>杨洁</t>
    <phoneticPr fontId="12" type="noConversion"/>
  </si>
  <si>
    <t>yangjie@cowincapital.com</t>
    <phoneticPr fontId="12" type="noConversion"/>
  </si>
  <si>
    <t>张鹏</t>
    <phoneticPr fontId="12" type="noConversion"/>
  </si>
  <si>
    <t>zhangpeng@cowincapital.com</t>
    <phoneticPr fontId="12" type="noConversion"/>
  </si>
  <si>
    <t>深圳市喜银资本管理有限公司</t>
    <phoneticPr fontId="12" type="noConversion"/>
  </si>
  <si>
    <t>朱楚生</t>
    <phoneticPr fontId="12" type="noConversion"/>
  </si>
  <si>
    <t>zcs1101@163.com</t>
    <phoneticPr fontId="12" type="noConversion"/>
  </si>
  <si>
    <t>深圳市新简道投资发展有限公司</t>
    <phoneticPr fontId="12" type="noConversion"/>
  </si>
  <si>
    <t>刘德伟</t>
    <phoneticPr fontId="12" type="noConversion"/>
  </si>
  <si>
    <t>  白云帆 （帆影）</t>
    <phoneticPr fontId="12" type="noConversion"/>
  </si>
  <si>
    <t>深圳市意添龙投资发展有限公司</t>
    <phoneticPr fontId="12" type="noConversion"/>
  </si>
  <si>
    <t>熊伟洋</t>
    <phoneticPr fontId="12" type="noConversion"/>
  </si>
  <si>
    <t>xayang1168@163.com</t>
    <phoneticPr fontId="12" type="noConversion"/>
  </si>
  <si>
    <t>深圳市中兴创业投资基金管理有限公司</t>
    <phoneticPr fontId="12" type="noConversion"/>
  </si>
  <si>
    <t>林强</t>
    <phoneticPr fontId="12" type="noConversion"/>
  </si>
  <si>
    <t>linqiang@zte.com.cn</t>
    <phoneticPr fontId="12" type="noConversion"/>
  </si>
  <si>
    <t>赵樱</t>
    <phoneticPr fontId="12" type="noConversion"/>
  </si>
  <si>
    <t>zhaoying@zte.com.cn</t>
    <phoneticPr fontId="12" type="noConversion"/>
  </si>
  <si>
    <t>深圳银桦投资</t>
    <phoneticPr fontId="12" type="noConversion"/>
  </si>
  <si>
    <t>龚继荣（灵感）</t>
    <phoneticPr fontId="12" type="noConversion"/>
  </si>
  <si>
    <t>世铭投资</t>
    <phoneticPr fontId="12" type="noConversion"/>
  </si>
  <si>
    <t>杨光</t>
    <phoneticPr fontId="12" type="noConversion"/>
  </si>
  <si>
    <t>双流县投资促进局</t>
    <phoneticPr fontId="12" type="noConversion"/>
  </si>
  <si>
    <t>蒲贵森</t>
    <phoneticPr fontId="12" type="noConversion"/>
  </si>
  <si>
    <t>slkfb@163.com</t>
    <phoneticPr fontId="12" type="noConversion"/>
  </si>
  <si>
    <t>顺为基金</t>
    <phoneticPr fontId="12" type="noConversion"/>
  </si>
  <si>
    <t>许达来</t>
    <phoneticPr fontId="12" type="noConversion"/>
  </si>
  <si>
    <t>松禾资本</t>
    <phoneticPr fontId="12" type="noConversion"/>
  </si>
  <si>
    <t>张云鹏</t>
    <phoneticPr fontId="12" type="noConversion"/>
  </si>
  <si>
    <t>pinevc@pinevc.com.cn</t>
    <phoneticPr fontId="12" type="noConversion"/>
  </si>
  <si>
    <t>搜钱网</t>
    <phoneticPr fontId="12" type="noConversion"/>
  </si>
  <si>
    <t>李群</t>
    <phoneticPr fontId="12" type="noConversion"/>
  </si>
  <si>
    <t>苏河汇</t>
    <phoneticPr fontId="12" type="noConversion"/>
  </si>
  <si>
    <t>罗钥</t>
    <phoneticPr fontId="12" type="noConversion"/>
  </si>
  <si>
    <t>太美生命投资</t>
    <phoneticPr fontId="12" type="noConversion"/>
  </si>
  <si>
    <t>胡世辉</t>
    <phoneticPr fontId="12" type="noConversion"/>
  </si>
  <si>
    <t>hushihui@triptm.com</t>
    <phoneticPr fontId="12" type="noConversion"/>
  </si>
  <si>
    <t>太平洋投资</t>
    <phoneticPr fontId="12" type="noConversion"/>
  </si>
  <si>
    <t>天禄琳琅文化股权投资</t>
    <phoneticPr fontId="12" type="noConversion"/>
  </si>
  <si>
    <t>叶强</t>
    <phoneticPr fontId="12" type="noConversion"/>
  </si>
  <si>
    <t>y49363@me.com</t>
    <phoneticPr fontId="12" type="noConversion"/>
  </si>
  <si>
    <t>天使汇合伙人</t>
    <phoneticPr fontId="12" type="noConversion"/>
  </si>
  <si>
    <t>zixia@Pre-Angel.com</t>
    <phoneticPr fontId="12" type="noConversion"/>
  </si>
  <si>
    <t>天使投资</t>
    <phoneticPr fontId="12" type="noConversion"/>
  </si>
  <si>
    <t>陈磊</t>
    <phoneticPr fontId="12" type="noConversion"/>
  </si>
  <si>
    <t>杜雪骞</t>
    <phoneticPr fontId="12" type="noConversion"/>
  </si>
  <si>
    <t>潘溶融</t>
    <phoneticPr fontId="12" type="noConversion"/>
  </si>
  <si>
    <t>王映初</t>
    <phoneticPr fontId="12" type="noConversion"/>
  </si>
  <si>
    <t>庞小伟</t>
    <phoneticPr fontId="12" type="noConversion"/>
  </si>
  <si>
    <t>天图资本</t>
    <phoneticPr fontId="12" type="noConversion"/>
  </si>
  <si>
    <t>陈向东</t>
    <phoneticPr fontId="12" type="noConversion"/>
  </si>
  <si>
    <t>李康林</t>
    <phoneticPr fontId="12" type="noConversion"/>
  </si>
  <si>
    <t>likanglin@tiantu.com.cn</t>
    <phoneticPr fontId="12" type="noConversion"/>
  </si>
  <si>
    <t>汤志敏</t>
    <phoneticPr fontId="12" type="noConversion"/>
  </si>
  <si>
    <t>tangzhimin@tiantu.com.cn</t>
    <phoneticPr fontId="12" type="noConversion"/>
  </si>
  <si>
    <t>魏国兴</t>
    <phoneticPr fontId="12" type="noConversion"/>
  </si>
  <si>
    <t>weiguoxing@tiantu.com.cn</t>
    <phoneticPr fontId="12" type="noConversion"/>
  </si>
  <si>
    <t>张海燕</t>
    <phoneticPr fontId="12" type="noConversion"/>
  </si>
  <si>
    <t>zhanghaiyan@tiantu.com.cn</t>
    <phoneticPr fontId="12" type="noConversion"/>
  </si>
  <si>
    <t>天鹰资本</t>
    <phoneticPr fontId="12" type="noConversion"/>
  </si>
  <si>
    <t>范友鹏</t>
    <phoneticPr fontId="12" type="noConversion"/>
  </si>
  <si>
    <t>王维</t>
    <phoneticPr fontId="12" type="noConversion"/>
  </si>
  <si>
    <t>田文</t>
    <phoneticPr fontId="12" type="noConversion"/>
  </si>
  <si>
    <t>东明</t>
    <phoneticPr fontId="12" type="noConversion"/>
  </si>
  <si>
    <t>黄冲  </t>
    <phoneticPr fontId="12" type="noConversion"/>
  </si>
  <si>
    <t>王冠雄</t>
    <phoneticPr fontId="12" type="noConversion"/>
  </si>
  <si>
    <t>网软投资公司</t>
    <phoneticPr fontId="12" type="noConversion"/>
  </si>
  <si>
    <t>马勇</t>
    <phoneticPr fontId="12" type="noConversion"/>
  </si>
  <si>
    <t>mayongg@hotmail.com</t>
    <phoneticPr fontId="12" type="noConversion"/>
  </si>
  <si>
    <t>维思投资</t>
    <phoneticPr fontId="12" type="noConversion"/>
  </si>
  <si>
    <t>郭旭升</t>
    <phoneticPr fontId="12" type="noConversion"/>
  </si>
  <si>
    <t>samsonguo@sina.com</t>
    <phoneticPr fontId="12" type="noConversion"/>
  </si>
  <si>
    <t>维新力特资本</t>
    <phoneticPr fontId="12" type="noConversion"/>
  </si>
  <si>
    <t>卫哲</t>
    <phoneticPr fontId="12" type="noConversion"/>
  </si>
  <si>
    <t>温莎资本</t>
    <phoneticPr fontId="12" type="noConversion"/>
  </si>
  <si>
    <t>简毅</t>
    <phoneticPr fontId="12" type="noConversion"/>
  </si>
  <si>
    <t>无穹创投投资总监</t>
    <phoneticPr fontId="12" type="noConversion"/>
  </si>
  <si>
    <t>徐声</t>
    <phoneticPr fontId="12" type="noConversion"/>
  </si>
  <si>
    <t>xusheng@wuqiongvc.com</t>
    <phoneticPr fontId="12" type="noConversion"/>
  </si>
  <si>
    <t>梧桐树</t>
    <phoneticPr fontId="12" type="noConversion"/>
  </si>
  <si>
    <t>童玮亮</t>
    <phoneticPr fontId="12" type="noConversion"/>
  </si>
  <si>
    <t>ongweiliang@gmail.com</t>
    <phoneticPr fontId="12" type="noConversion"/>
  </si>
  <si>
    <t>五岳投资</t>
    <phoneticPr fontId="12" type="noConversion"/>
  </si>
  <si>
    <t>符麟军</t>
    <phoneticPr fontId="12" type="noConversion"/>
  </si>
  <si>
    <t>小米</t>
    <phoneticPr fontId="12" type="noConversion"/>
  </si>
  <si>
    <t>雷军</t>
    <phoneticPr fontId="12" type="noConversion"/>
  </si>
  <si>
    <t>leijun@gmail.com</t>
    <phoneticPr fontId="12" type="noConversion"/>
  </si>
  <si>
    <t>新东方学校</t>
    <phoneticPr fontId="12" type="noConversion"/>
  </si>
  <si>
    <t>钱永强</t>
    <phoneticPr fontId="12" type="noConversion"/>
  </si>
  <si>
    <t>president@neworiental.org</t>
    <phoneticPr fontId="12" type="noConversion"/>
  </si>
  <si>
    <t>信智资本天使基金</t>
    <phoneticPr fontId="12" type="noConversion"/>
  </si>
  <si>
    <t>陈可言</t>
    <phoneticPr fontId="12" type="noConversion"/>
  </si>
  <si>
    <t>rchan@ironfirecapital.com</t>
    <phoneticPr fontId="12" type="noConversion"/>
  </si>
  <si>
    <t>信中利投资集团公司 </t>
    <phoneticPr fontId="12" type="noConversion"/>
  </si>
  <si>
    <t>汪潮涌 </t>
    <phoneticPr fontId="12" type="noConversion"/>
  </si>
  <si>
    <t>兴业投资</t>
    <phoneticPr fontId="12" type="noConversion"/>
  </si>
  <si>
    <t>邱玉芳</t>
    <phoneticPr fontId="12" type="noConversion"/>
  </si>
  <si>
    <t>亚洲战略投资管理公司</t>
    <phoneticPr fontId="12" type="noConversion"/>
  </si>
  <si>
    <t>亚洲资讯投资有限公司</t>
    <phoneticPr fontId="12" type="noConversion"/>
  </si>
  <si>
    <t>谢诗贤</t>
    <phoneticPr fontId="12" type="noConversion"/>
  </si>
  <si>
    <t>tsesyjohn@yahoo.com</t>
    <phoneticPr fontId="12" type="noConversion"/>
  </si>
  <si>
    <t>洋葱基金.合伙人</t>
    <phoneticPr fontId="12" type="noConversion"/>
  </si>
  <si>
    <t>张本伟</t>
    <phoneticPr fontId="12" type="noConversion"/>
  </si>
  <si>
    <t>zhangbenwei@onionsfund.com</t>
    <phoneticPr fontId="12" type="noConversion"/>
  </si>
  <si>
    <t>亿胡股权投资基金</t>
    <phoneticPr fontId="12" type="noConversion"/>
  </si>
  <si>
    <t>nju.hxl@163.com</t>
    <phoneticPr fontId="12" type="noConversion"/>
  </si>
  <si>
    <t>Nju.hxl@163.com</t>
    <phoneticPr fontId="12" type="noConversion"/>
  </si>
  <si>
    <t>亿腾投资集团</t>
    <phoneticPr fontId="12" type="noConversion"/>
  </si>
  <si>
    <t>陈大江</t>
    <phoneticPr fontId="12" type="noConversion"/>
  </si>
  <si>
    <t>王冉</t>
    <phoneticPr fontId="12" type="noConversion"/>
  </si>
  <si>
    <t>银河创新资本</t>
    <phoneticPr fontId="12" type="noConversion"/>
  </si>
  <si>
    <t>zhangmengxia@chinastock.com.cn</t>
    <phoneticPr fontId="12" type="noConversion"/>
  </si>
  <si>
    <t>胤锋资本</t>
    <phoneticPr fontId="12" type="noConversion"/>
  </si>
  <si>
    <t>练志霆</t>
    <phoneticPr fontId="12" type="noConversion"/>
  </si>
  <si>
    <t>intop@vip.qq.com</t>
    <phoneticPr fontId="12" type="noConversion"/>
  </si>
  <si>
    <t>英飞尼迪</t>
    <phoneticPr fontId="12" type="noConversion"/>
  </si>
  <si>
    <t>胡斌</t>
    <phoneticPr fontId="12" type="noConversion"/>
  </si>
  <si>
    <t>robert.hu@infinity-equity.com</t>
    <phoneticPr fontId="12" type="noConversion"/>
  </si>
  <si>
    <t>黄鹂鸣</t>
    <phoneticPr fontId="12" type="noConversion"/>
  </si>
  <si>
    <t>Teresaworkmail@gmail.com</t>
    <phoneticPr fontId="12" type="noConversion"/>
  </si>
  <si>
    <t>李竹</t>
    <phoneticPr fontId="12" type="noConversion"/>
  </si>
  <si>
    <t>liz@uusee.com</t>
    <phoneticPr fontId="12" type="noConversion"/>
  </si>
  <si>
    <t>刘二海</t>
    <phoneticPr fontId="12" type="noConversion"/>
  </si>
  <si>
    <t>元景创投</t>
    <phoneticPr fontId="12" type="noConversion"/>
  </si>
  <si>
    <t>黄炳龙</t>
    <phoneticPr fontId="12" type="noConversion"/>
  </si>
  <si>
    <t>沅渡创投</t>
    <phoneticPr fontId="12" type="noConversion"/>
  </si>
  <si>
    <t>王学峰</t>
    <phoneticPr fontId="12" type="noConversion"/>
  </si>
  <si>
    <t>xuefeng.wang@ferryvc.com </t>
    <phoneticPr fontId="12" type="noConversion"/>
  </si>
  <si>
    <t>原子创投</t>
    <phoneticPr fontId="12" type="noConversion"/>
  </si>
  <si>
    <t>冯一名</t>
    <phoneticPr fontId="12" type="noConversion"/>
  </si>
  <si>
    <t>常亮</t>
    <phoneticPr fontId="12" type="noConversion"/>
  </si>
  <si>
    <t>粤商创投</t>
    <phoneticPr fontId="12" type="noConversion"/>
  </si>
  <si>
    <t>卓曙虹</t>
    <phoneticPr fontId="12" type="noConversion"/>
  </si>
  <si>
    <t>云峰基金</t>
    <phoneticPr fontId="12" type="noConversion"/>
  </si>
  <si>
    <t>李娜</t>
    <phoneticPr fontId="12" type="noConversion"/>
  </si>
  <si>
    <t>lina@yfc.cn</t>
    <phoneticPr fontId="12" type="noConversion"/>
  </si>
  <si>
    <t>云启创投</t>
    <phoneticPr fontId="12" type="noConversion"/>
  </si>
  <si>
    <t>mmao@yunqi.vc</t>
    <phoneticPr fontId="12" type="noConversion"/>
  </si>
  <si>
    <t>夏欢</t>
    <phoneticPr fontId="12" type="noConversion"/>
  </si>
  <si>
    <t>vxia@yunqi.vc</t>
    <phoneticPr fontId="12" type="noConversion"/>
  </si>
  <si>
    <t>云天使基金投资经理</t>
    <phoneticPr fontId="12" type="noConversion"/>
  </si>
  <si>
    <t>张舒尧</t>
    <phoneticPr fontId="12" type="noConversion"/>
  </si>
  <si>
    <t>zhangsy@cloudangelfunds.com</t>
    <phoneticPr fontId="12" type="noConversion"/>
  </si>
  <si>
    <t>泽图投资</t>
    <phoneticPr fontId="12" type="noConversion"/>
  </si>
  <si>
    <t>桑迪红</t>
    <phoneticPr fontId="12" type="noConversion"/>
  </si>
  <si>
    <t>kbsdh@163.com</t>
    <phoneticPr fontId="12" type="noConversion"/>
  </si>
  <si>
    <t>长城国汇</t>
    <phoneticPr fontId="12" type="noConversion"/>
  </si>
  <si>
    <t>肖乐涛</t>
    <phoneticPr fontId="12" type="noConversion"/>
  </si>
  <si>
    <t>招商致远资本</t>
    <phoneticPr fontId="12" type="noConversion"/>
  </si>
  <si>
    <t>浙江创投</t>
    <phoneticPr fontId="12" type="noConversion"/>
  </si>
  <si>
    <t>李先文</t>
    <phoneticPr fontId="12" type="noConversion"/>
  </si>
  <si>
    <t>浙商创投</t>
    <phoneticPr fontId="12" type="noConversion"/>
  </si>
  <si>
    <t>李军华</t>
    <phoneticPr fontId="12" type="noConversion"/>
  </si>
  <si>
    <t>徐汉杰</t>
    <phoneticPr fontId="12" type="noConversion"/>
  </si>
  <si>
    <t>寇波</t>
    <phoneticPr fontId="12" type="noConversion"/>
  </si>
  <si>
    <t>kb@zsvc.com.cn</t>
    <phoneticPr fontId="12" type="noConversion"/>
  </si>
  <si>
    <t>李祝捷</t>
    <phoneticPr fontId="12" type="noConversion"/>
  </si>
  <si>
    <t>正和岛</t>
    <phoneticPr fontId="12" type="noConversion"/>
  </si>
  <si>
    <t>止卓投资</t>
    <phoneticPr fontId="12" type="noConversion"/>
  </si>
  <si>
    <t>田力</t>
    <phoneticPr fontId="12" type="noConversion"/>
  </si>
  <si>
    <t>info@zdvc.com.cn</t>
    <phoneticPr fontId="12" type="noConversion"/>
  </si>
  <si>
    <t>zgh@zdvc.com.cn</t>
    <phoneticPr fontId="12" type="noConversion"/>
  </si>
  <si>
    <t>中国火炬高新技术产业投资公司</t>
    <phoneticPr fontId="12" type="noConversion"/>
  </si>
  <si>
    <t>韩旭东</t>
    <phoneticPr fontId="12" type="noConversion"/>
  </si>
  <si>
    <t>中科招商angel</t>
    <phoneticPr fontId="12" type="noConversion"/>
  </si>
  <si>
    <t>zxl.angel@hotmail.com</t>
    <phoneticPr fontId="12" type="noConversion"/>
  </si>
  <si>
    <t>中路资本</t>
    <phoneticPr fontId="12" type="noConversion"/>
  </si>
  <si>
    <t>田东升</t>
    <phoneticPr fontId="12" type="noConversion"/>
  </si>
  <si>
    <t>中青创投</t>
    <phoneticPr fontId="12" type="noConversion"/>
  </si>
  <si>
    <t>付岩</t>
    <phoneticPr fontId="12" type="noConversion"/>
  </si>
  <si>
    <t>rockfu@139.com</t>
    <phoneticPr fontId="12" type="noConversion"/>
  </si>
  <si>
    <t>中新力合</t>
    <phoneticPr fontId="12" type="noConversion"/>
  </si>
  <si>
    <t>金晓康</t>
    <phoneticPr fontId="12" type="noConversion"/>
  </si>
  <si>
    <t>jinxiaokang@upg.cn </t>
    <phoneticPr fontId="12" type="noConversion"/>
  </si>
  <si>
    <t>重庆大石投资管理有限公司</t>
    <phoneticPr fontId="12" type="noConversion"/>
  </si>
  <si>
    <t>戴伟国</t>
    <phoneticPr fontId="12" type="noConversion"/>
  </si>
  <si>
    <t>wilburtai@gemvc.com</t>
    <phoneticPr fontId="12" type="noConversion"/>
  </si>
  <si>
    <t>重庆易一天使投资有限公司</t>
    <phoneticPr fontId="12" type="noConversion"/>
  </si>
  <si>
    <t>曹日辉</t>
    <phoneticPr fontId="12" type="noConversion"/>
  </si>
  <si>
    <t>卓凡创业投资公司 </t>
    <phoneticPr fontId="12" type="noConversion"/>
  </si>
  <si>
    <t>卓越教育投资</t>
    <phoneticPr fontId="12" type="noConversion"/>
  </si>
  <si>
    <t>梁颖琳</t>
    <phoneticPr fontId="12" type="noConversion"/>
  </si>
  <si>
    <t>Liangyinglin @zy.com</t>
    <phoneticPr fontId="12" type="noConversion"/>
  </si>
  <si>
    <t>liangyinglin@zy.com</t>
    <phoneticPr fontId="12" type="noConversion"/>
  </si>
  <si>
    <t>忻诚中</t>
    <phoneticPr fontId="12" type="noConversion"/>
  </si>
  <si>
    <t>Jason</t>
    <phoneticPr fontId="12" type="noConversion"/>
  </si>
  <si>
    <t>李金宇</t>
    <phoneticPr fontId="12" type="noConversion"/>
  </si>
  <si>
    <t>薛蛮子</t>
    <phoneticPr fontId="12" type="noConversion"/>
  </si>
  <si>
    <t>陈博思 MEHECO高级投资经理</t>
    <phoneticPr fontId="12" type="noConversion"/>
  </si>
  <si>
    <t>海银财富管理</t>
    <phoneticPr fontId="12" type="noConversion"/>
  </si>
  <si>
    <t>黄国强</t>
    <phoneticPr fontId="12" type="noConversion"/>
  </si>
  <si>
    <t>info-china@hcp.com</t>
    <phoneticPr fontId="12" type="noConversion"/>
  </si>
  <si>
    <t>金炳土</t>
    <phoneticPr fontId="12" type="noConversion"/>
  </si>
  <si>
    <t>jinbingtu@163.com</t>
    <phoneticPr fontId="12" type="noConversion"/>
  </si>
  <si>
    <t>keyi@crk2.com</t>
    <phoneticPr fontId="12" type="noConversion"/>
  </si>
  <si>
    <t>lixiong.niu@matrixpartners.com.cn</t>
    <phoneticPr fontId="12" type="noConversion"/>
  </si>
  <si>
    <t>主桅</t>
    <phoneticPr fontId="12" type="noConversion"/>
  </si>
  <si>
    <t>mainmast@gmail.com</t>
    <phoneticPr fontId="12" type="noConversion"/>
  </si>
  <si>
    <t>马源</t>
    <phoneticPr fontId="12" type="noConversion"/>
  </si>
  <si>
    <t>Mayuan168@gmail.com</t>
    <phoneticPr fontId="12" type="noConversion"/>
  </si>
  <si>
    <t>梅松</t>
    <phoneticPr fontId="12" type="noConversion"/>
  </si>
  <si>
    <t>song.mei@matrixpartners.com.cn</t>
    <phoneticPr fontId="12" type="noConversion"/>
  </si>
  <si>
    <t>TMT@nlvc.com</t>
    <phoneticPr fontId="12" type="noConversion"/>
  </si>
  <si>
    <t>叶忻</t>
    <phoneticPr fontId="12" type="noConversion"/>
  </si>
  <si>
    <t>ye_xin@hotmail.com</t>
    <phoneticPr fontId="12" type="noConversion"/>
  </si>
  <si>
    <t>黎竹岩</t>
    <phoneticPr fontId="12" type="noConversion"/>
  </si>
  <si>
    <t>zhuyan.li@matrixpartners.com.cn</t>
    <phoneticPr fontId="12" type="noConversion"/>
  </si>
  <si>
    <t>朱跃龙</t>
    <phoneticPr fontId="12" type="noConversion"/>
  </si>
  <si>
    <t>zhu-yuelong@163.com</t>
    <phoneticPr fontId="12" type="noConversion"/>
  </si>
  <si>
    <t>软银赛富首席合伙人.50强第5</t>
    <phoneticPr fontId="12" type="noConversion"/>
  </si>
  <si>
    <t>jingwen.cui@ventechchina.com</t>
    <phoneticPr fontId="12" type="noConversion"/>
  </si>
  <si>
    <t>李程</t>
    <phoneticPr fontId="12" type="noConversion"/>
  </si>
  <si>
    <t>清流资本</t>
    <phoneticPr fontId="12" type="noConversion"/>
  </si>
  <si>
    <t>彭创</t>
    <phoneticPr fontId="12" type="noConversion"/>
  </si>
  <si>
    <t>QQ:476802016 hyx881012@hotmail.com</t>
    <phoneticPr fontId="12" type="noConversion"/>
  </si>
  <si>
    <t>samuel.huang@matrixpartners.com.cn </t>
    <phoneticPr fontId="12" type="noConversion"/>
  </si>
  <si>
    <t>童玮亮 梧桐树资本创始合伙人</t>
    <phoneticPr fontId="12" type="noConversion"/>
  </si>
  <si>
    <t>tongweiliang@gmail.com</t>
    <phoneticPr fontId="12" type="noConversion"/>
  </si>
  <si>
    <t>天图资本魏国兴</t>
    <phoneticPr fontId="12" type="noConversion"/>
  </si>
  <si>
    <t>Weiguoxing@tiantu.com.cn</t>
    <phoneticPr fontId="12" type="noConversion"/>
  </si>
  <si>
    <t>willianqu@zero2ipo.com.cn</t>
    <phoneticPr fontId="12" type="noConversion"/>
  </si>
  <si>
    <t>余跃</t>
    <phoneticPr fontId="12" type="noConversion"/>
  </si>
  <si>
    <t>4机构不一致</t>
  </si>
  <si>
    <t>7机构不一致</t>
  </si>
  <si>
    <t>5机构不一致</t>
  </si>
  <si>
    <t>businessplan@gsrventures.com</t>
    <phoneticPr fontId="12" type="noConversion"/>
  </si>
  <si>
    <t>华欧创投</t>
    <phoneticPr fontId="12" type="noConversion"/>
  </si>
  <si>
    <t>bpsubmit@hgifinaves.com</t>
    <phoneticPr fontId="12" type="noConversion"/>
  </si>
  <si>
    <t>汉鼎亚太</t>
    <phoneticPr fontId="12" type="noConversion"/>
  </si>
  <si>
    <t>hqbj@hqap.com.cn</t>
    <phoneticPr fontId="12" type="noConversion"/>
  </si>
  <si>
    <t>启峰资金管理有限公司</t>
    <phoneticPr fontId="12" type="noConversion"/>
  </si>
  <si>
    <t>proposals@asiatechgroup.com</t>
    <phoneticPr fontId="12" type="noConversion"/>
  </si>
  <si>
    <t>祥峰投资管理集团</t>
    <phoneticPr fontId="12" type="noConversion"/>
  </si>
  <si>
    <t>cbneo@vertexmgt.com</t>
    <phoneticPr fontId="12" type="noConversion"/>
  </si>
  <si>
    <t>上海联创北京办事处</t>
    <phoneticPr fontId="12" type="noConversion"/>
  </si>
  <si>
    <t>zhiyong@newmargin.com</t>
    <phoneticPr fontId="12" type="noConversion"/>
  </si>
  <si>
    <t>yuanwu@263.net</t>
    <phoneticPr fontId="12" type="noConversion"/>
  </si>
  <si>
    <t>北京中关村青年科技创业投资有限公司</t>
    <phoneticPr fontId="12" type="noConversion"/>
  </si>
  <si>
    <t>bjcvc@bjcvc.com.cn</t>
    <phoneticPr fontId="12" type="noConversion"/>
  </si>
  <si>
    <t>世纪方舟投资有限公司</t>
    <phoneticPr fontId="12" type="noConversion"/>
  </si>
  <si>
    <t>ark@millenniumark.com.cn</t>
    <phoneticPr fontId="12" type="noConversion"/>
  </si>
  <si>
    <t>北京聚宝龙国际投资咨询有限公司</t>
    <phoneticPr fontId="12" type="noConversion"/>
  </si>
  <si>
    <t>pjchina01@jublon.com</t>
    <phoneticPr fontId="12" type="noConversion"/>
  </si>
  <si>
    <t>清华科技创业投资有限公司</t>
    <phoneticPr fontId="12" type="noConversion"/>
  </si>
  <si>
    <t>betty@tsinghuavc.com</t>
    <phoneticPr fontId="12" type="noConversion"/>
  </si>
  <si>
    <t xml:space="preserve"> 84应删除</t>
  </si>
  <si>
    <t>蔡翔</t>
    <phoneticPr fontId="12" type="noConversion"/>
  </si>
  <si>
    <t>教育产业基金</t>
    <phoneticPr fontId="12" type="noConversion"/>
  </si>
  <si>
    <t>CTO兼开放平台事业部总裁</t>
    <phoneticPr fontId="12" type="noConversion"/>
  </si>
  <si>
    <t>黄琰</t>
    <phoneticPr fontId="12" type="noConversion"/>
  </si>
  <si>
    <t>副总裁兼教育产业基金总裁</t>
    <phoneticPr fontId="12" type="noConversion"/>
  </si>
  <si>
    <t>开放平台事业部</t>
  </si>
  <si>
    <t>鑫牛投资</t>
    <phoneticPr fontId="12" type="noConversion"/>
  </si>
  <si>
    <t>ran.wang@ceccapitalgroup.com</t>
    <phoneticPr fontId="12" type="noConversion"/>
  </si>
  <si>
    <t>投资助理</t>
    <phoneticPr fontId="12" type="noConversion"/>
  </si>
  <si>
    <t>sean.song@hinagroup.com</t>
    <phoneticPr fontId="12" type="noConversion"/>
  </si>
  <si>
    <t>宋绍奎</t>
    <phoneticPr fontId="12" type="noConversion"/>
  </si>
  <si>
    <t>suyang_zhang@idgcapital.com</t>
    <phoneticPr fontId="12" type="noConversion"/>
  </si>
  <si>
    <t>光大控股</t>
    <phoneticPr fontId="12" type="noConversion"/>
  </si>
  <si>
    <t>Shuang.Chen@everbright.com</t>
    <phoneticPr fontId="12" type="noConversion"/>
  </si>
  <si>
    <t>shuang.chen@cimc.com</t>
    <phoneticPr fontId="12" type="noConversion"/>
  </si>
  <si>
    <t>中集集团</t>
    <phoneticPr fontId="12" type="noConversion"/>
  </si>
  <si>
    <t>lugang@legendstar.com.cn</t>
    <phoneticPr fontId="12" type="noConversion"/>
  </si>
  <si>
    <t>Fiona(YiFei) Zhang  张一菲</t>
    <phoneticPr fontId="12" type="noConversion"/>
  </si>
  <si>
    <t>fiona.zhang@hinagroup.com</t>
    <phoneticPr fontId="12" type="noConversion"/>
  </si>
  <si>
    <t>险峰</t>
    <phoneticPr fontId="12" type="noConversion"/>
  </si>
  <si>
    <t>keyi@k2vc.com</t>
    <phoneticPr fontId="12" type="noConversion"/>
  </si>
  <si>
    <t>分类</t>
    <phoneticPr fontId="12" type="noConversion"/>
  </si>
  <si>
    <t>个人</t>
    <phoneticPr fontId="12"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</si>
  <si>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2" type="noConversion"/>
  </si>
  <si>
    <t>投资者邮箱</t>
    <phoneticPr fontId="12" type="noConversion"/>
  </si>
  <si>
    <t>ir@k2vc.com</t>
    <phoneticPr fontId="12" type="noConversion"/>
  </si>
  <si>
    <t>商务合作</t>
    <phoneticPr fontId="12" type="noConversion"/>
  </si>
  <si>
    <t>k2vcsev@k2vc.com</t>
    <phoneticPr fontId="12" type="noConversion"/>
  </si>
  <si>
    <t>86 10 85879969</t>
    <phoneticPr fontId="12" type="noConversion"/>
  </si>
  <si>
    <t>http://k2vc.com</t>
  </si>
  <si>
    <t>idgvc@idgcapital.com</t>
    <phoneticPr fontId="12" type="noConversion"/>
  </si>
  <si>
    <r>
      <rPr>
        <sz val="11"/>
        <color rgb="FF000000"/>
        <rFont val="宋体"/>
        <family val="2"/>
        <charset val="134"/>
      </rPr>
      <t>自动</t>
    </r>
    <r>
      <rPr>
        <sz val="11"/>
        <color rgb="FF000000"/>
        <rFont val="Yu Gothic"/>
        <family val="2"/>
        <charset val="128"/>
      </rPr>
      <t>回复</t>
    </r>
    <phoneticPr fontId="12" type="noConversion"/>
  </si>
  <si>
    <t>资本360</t>
    <phoneticPr fontId="12" type="noConversion"/>
  </si>
  <si>
    <t>农天资本</t>
    <phoneticPr fontId="12" type="noConversion"/>
  </si>
  <si>
    <t>软银中国</t>
    <phoneticPr fontId="12" type="noConversion"/>
  </si>
  <si>
    <t>contact@sbcvc.com</t>
    <phoneticPr fontId="12" type="noConversion"/>
  </si>
  <si>
    <t>海纳亚洲</t>
    <phoneticPr fontId="12" type="noConversion"/>
  </si>
  <si>
    <t>info@sig-china.com</t>
    <phoneticPr fontId="12" type="noConversion"/>
  </si>
  <si>
    <t>诚信创投</t>
    <phoneticPr fontId="12" type="noConversion"/>
  </si>
  <si>
    <t>postmaster@chengxinvc.com</t>
    <phoneticPr fontId="12" type="noConversion"/>
  </si>
  <si>
    <r>
      <t>3W</t>
    </r>
    <r>
      <rPr>
        <sz val="11"/>
        <color rgb="FF000000"/>
        <rFont val="Yu Gothic"/>
        <family val="2"/>
        <charset val="128"/>
      </rPr>
      <t>基金</t>
    </r>
    <phoneticPr fontId="12" type="noConversion"/>
  </si>
  <si>
    <t>wilson@3wcoffee.com</t>
    <phoneticPr fontId="12" type="noConversion"/>
  </si>
  <si>
    <t>创新资本</t>
    <phoneticPr fontId="12" type="noConversion"/>
  </si>
  <si>
    <t>master@szvc.com.cn</t>
    <phoneticPr fontId="12" type="noConversion"/>
  </si>
  <si>
    <t>上海天使投资</t>
    <phoneticPr fontId="12" type="noConversion"/>
  </si>
  <si>
    <t>vcangelbp@gmail.com</t>
    <phoneticPr fontId="12" type="noConversion"/>
  </si>
  <si>
    <t>孙文海</t>
    <phoneticPr fontId="12" type="noConversion"/>
  </si>
  <si>
    <t>德丰杰全球创业投资基金</t>
    <phoneticPr fontId="12" type="noConversion"/>
  </si>
  <si>
    <t>高级副总裁</t>
  </si>
  <si>
    <t>alvin@dfj.com</t>
    <phoneticPr fontId="12"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</si>
  <si>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</si>
  <si>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</si>
  <si>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</si>
  <si>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</si>
  <si>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</si>
  <si>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</si>
  <si>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</si>
  <si>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</si>
  <si>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</si>
  <si>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</si>
  <si>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</si>
  <si>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</si>
  <si>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</si>
  <si>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</si>
  <si>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</si>
  <si>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</si>
  <si>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</si>
  <si>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</si>
  <si>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</si>
  <si>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</si>
  <si>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</si>
  <si>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</si>
  <si>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</si>
  <si>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</si>
  <si>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</si>
  <si>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</si>
  <si>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</si>
  <si>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</si>
  <si>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</si>
  <si>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</si>
  <si>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</si>
  <si>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</si>
  <si>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</si>
  <si>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</si>
  <si>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</si>
  <si>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</si>
  <si>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</si>
  <si>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</si>
  <si>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</si>
  <si>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</si>
  <si>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</si>
  <si>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</si>
  <si>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</si>
  <si>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</si>
  <si>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</si>
  <si>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</si>
  <si>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</si>
  <si>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</si>
  <si>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</si>
  <si>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</si>
  <si>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</si>
  <si>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</si>
  <si>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</si>
  <si>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</si>
  <si>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</si>
  <si>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</si>
  <si>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</si>
  <si>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</si>
  <si>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</si>
  <si>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</si>
  <si>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</si>
  <si>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</si>
  <si>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</si>
  <si>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</si>
  <si>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</si>
  <si>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</si>
  <si>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</si>
  <si>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</si>
  <si>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</si>
  <si>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</si>
  <si>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</si>
  <si>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</si>
  <si>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</si>
  <si>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</si>
  <si>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</si>
  <si>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</si>
  <si>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</si>
  <si>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</si>
  <si>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</si>
  <si>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</si>
  <si>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</si>
  <si>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</si>
  <si>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</si>
  <si>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</si>
  <si>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</si>
  <si>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</si>
  <si>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</si>
  <si>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</si>
  <si>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</si>
  <si>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</si>
  <si>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</si>
  <si>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</si>
  <si>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</si>
  <si>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</si>
  <si>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</si>
  <si>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</si>
  <si>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</si>
  <si>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</si>
  <si>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</si>
  <si>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</si>
  <si>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</si>
  <si>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</si>
  <si>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</si>
  <si>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</si>
  <si>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</si>
  <si>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</si>
  <si>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</si>
  <si>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</si>
  <si>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</si>
  <si>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</si>
  <si>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</si>
  <si>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</si>
  <si>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</si>
  <si>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</si>
  <si>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</si>
  <si>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</si>
  <si>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</si>
  <si>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</si>
  <si>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</si>
  <si>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</si>
  <si>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</si>
  <si>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</si>
  <si>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</si>
  <si>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</si>
  <si>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</si>
  <si>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</si>
  <si>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</si>
  <si>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</si>
  <si>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</si>
  <si>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</si>
  <si>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</si>
  <si>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</si>
  <si>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</si>
  <si>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</si>
  <si>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</si>
  <si>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</si>
  <si>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</si>
  <si>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</si>
  <si>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</si>
  <si>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</si>
  <si>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</si>
  <si>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</si>
  <si>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</si>
  <si>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</si>
  <si>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</si>
  <si>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</si>
  <si>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</si>
  <si>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</si>
  <si>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</si>
  <si>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</si>
  <si>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</si>
  <si>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</si>
  <si>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</si>
  <si>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</si>
  <si>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</si>
  <si>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</si>
  <si>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</si>
  <si>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</si>
  <si>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</si>
  <si>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</si>
  <si>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</si>
  <si>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</si>
  <si>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</si>
  <si>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</si>
  <si>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</si>
  <si>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</si>
  <si>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</si>
  <si>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</si>
  <si>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</si>
  <si>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</si>
  <si>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</si>
  <si>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</si>
  <si>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</si>
  <si>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</si>
  <si>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</si>
  <si>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</si>
  <si>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</si>
  <si>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</si>
  <si>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</si>
  <si>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</si>
  <si>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</si>
  <si>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</si>
  <si>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</si>
  <si>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</si>
  <si>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</si>
  <si>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</si>
  <si>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</si>
  <si>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</si>
  <si>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</si>
  <si>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</si>
  <si>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</si>
  <si>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</si>
  <si>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</si>
  <si>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</si>
  <si>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</si>
  <si>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</si>
  <si>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</si>
  <si>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</si>
  <si>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</si>
  <si>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</si>
  <si>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</si>
  <si>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</si>
  <si>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</si>
  <si>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</si>
  <si>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</si>
  <si>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</si>
  <si>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</si>
  <si>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</si>
  <si>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</si>
  <si>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</si>
  <si>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</si>
  <si>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</si>
  <si>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</si>
  <si>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</si>
  <si>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</si>
  <si>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</si>
  <si>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</si>
  <si>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</si>
  <si>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</si>
  <si>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</si>
  <si>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</si>
  <si>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</si>
  <si>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</si>
  <si>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</si>
  <si>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</si>
  <si>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</si>
  <si>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</si>
  <si>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</si>
  <si>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</si>
  <si>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</si>
  <si>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</si>
  <si>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</si>
  <si>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</si>
  <si>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</si>
  <si>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</si>
  <si>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</si>
  <si>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</si>
  <si>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</si>
  <si>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</si>
  <si>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</si>
  <si>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</si>
  <si>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</si>
  <si>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</si>
  <si>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</si>
  <si>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</si>
  <si>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</si>
  <si>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</si>
  <si>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</si>
  <si>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</si>
  <si>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</si>
  <si>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</si>
  <si>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</si>
  <si>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</si>
  <si>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</si>
  <si>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</si>
  <si>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</si>
  <si>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</si>
  <si>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</si>
  <si>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</si>
  <si>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</si>
  <si>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</si>
  <si>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</si>
  <si>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</si>
  <si>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</si>
  <si>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</si>
  <si>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</si>
  <si>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</si>
  <si>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</si>
  <si>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</si>
  <si>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</si>
  <si>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</si>
  <si>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</si>
  <si>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</si>
  <si>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</si>
  <si>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</si>
  <si>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</si>
  <si>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</si>
  <si>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</si>
  <si>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</si>
  <si>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</si>
  <si>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</si>
  <si>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</si>
  <si>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</si>
  <si>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</si>
  <si>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</si>
  <si>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</si>
  <si>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</si>
  <si>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</si>
  <si>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</si>
  <si>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</si>
  <si>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</si>
  <si>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</si>
  <si>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</si>
  <si>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</si>
  <si>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</si>
  <si>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</si>
  <si>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</si>
  <si>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</si>
  <si>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</si>
  <si>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</si>
  <si>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</si>
  <si>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</si>
  <si>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</si>
  <si>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</si>
  <si>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</si>
  <si>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</si>
  <si>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</si>
  <si>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</si>
  <si>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</si>
  <si>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</si>
  <si>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</si>
  <si>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</si>
  <si>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</si>
  <si>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</si>
  <si>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</si>
  <si>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</si>
  <si>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</si>
  <si>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</si>
  <si>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</si>
  <si>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</si>
  <si>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</si>
  <si>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</si>
  <si>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</si>
  <si>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</si>
  <si>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</si>
  <si>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</si>
  <si>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</si>
  <si>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</si>
  <si>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</si>
  <si>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</si>
  <si>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</si>
  <si>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</si>
  <si>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</si>
  <si>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</si>
  <si>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</si>
  <si>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</si>
  <si>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</si>
  <si>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</si>
  <si>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</si>
  <si>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</si>
  <si>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</si>
  <si>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</si>
  <si>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</si>
  <si>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</si>
  <si>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</si>
  <si>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</si>
  <si>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</si>
  <si>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</si>
  <si>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</si>
  <si>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</si>
  <si>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</si>
  <si>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</si>
  <si>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</si>
  <si>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</si>
  <si>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</si>
  <si>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</si>
  <si>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</si>
  <si>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</si>
  <si>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</si>
  <si>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</si>
  <si>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</si>
  <si>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</si>
  <si>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</si>
  <si>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</si>
  <si>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</si>
  <si>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</si>
  <si>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</si>
  <si>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</si>
  <si>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</si>
  <si>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</si>
  <si>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</si>
  <si>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</si>
  <si>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</si>
  <si>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</si>
  <si>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</si>
  <si>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</si>
  <si>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</si>
  <si>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</si>
  <si>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</si>
  <si>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</si>
  <si>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</si>
  <si>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</si>
  <si>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</si>
  <si>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</si>
  <si>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</si>
  <si>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</si>
  <si>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</si>
  <si>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</si>
  <si>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</si>
  <si>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</si>
  <si>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</si>
  <si>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</si>
  <si>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</si>
  <si>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</si>
  <si>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</si>
  <si>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</si>
  <si>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</si>
  <si>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</si>
  <si>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</si>
  <si>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</si>
  <si>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</si>
  <si>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</si>
  <si>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</si>
  <si>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</si>
  <si>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</si>
  <si>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</si>
  <si>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</si>
  <si>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</si>
  <si>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</si>
  <si>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</si>
  <si>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</si>
  <si>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</si>
  <si>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</si>
  <si>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</si>
  <si>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</si>
  <si>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</si>
  <si>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</si>
  <si>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</si>
  <si>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</si>
  <si>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</si>
  <si>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</si>
  <si>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</si>
  <si>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</si>
  <si>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</si>
  <si>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</si>
  <si>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</si>
  <si>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</si>
  <si>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</si>
  <si>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</si>
  <si>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</si>
  <si>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</si>
  <si>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</si>
  <si>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</si>
  <si>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</si>
  <si>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</si>
  <si>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</si>
  <si>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</si>
  <si>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</si>
  <si>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</si>
  <si>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</si>
  <si>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</si>
  <si>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</si>
  <si>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</si>
  <si>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</si>
  <si>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</si>
  <si>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</si>
  <si>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</si>
  <si>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</si>
  <si>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</si>
  <si>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</si>
  <si>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</si>
  <si>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</si>
  <si>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</si>
  <si>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</si>
  <si>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</si>
  <si>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</si>
  <si>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</si>
  <si>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</si>
  <si>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</si>
  <si>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</si>
  <si>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</si>
  <si>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</si>
  <si>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</si>
  <si>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</si>
  <si>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</si>
  <si>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</si>
  <si>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</si>
  <si>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</si>
  <si>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</si>
  <si>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</si>
  <si>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</si>
  <si>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</si>
  <si>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</si>
  <si>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</si>
  <si>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</si>
  <si>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</si>
  <si>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</si>
  <si>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</si>
  <si>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</si>
  <si>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</si>
  <si>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</si>
  <si>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</si>
  <si>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</si>
  <si>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</si>
  <si>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</si>
  <si>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</si>
  <si>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</si>
  <si>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</si>
  <si>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</si>
  <si>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</si>
  <si>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</si>
  <si>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</si>
  <si>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</si>
  <si>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</si>
  <si>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</si>
  <si>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</si>
  <si>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</si>
  <si>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</si>
  <si>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</si>
  <si>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</si>
  <si>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</si>
  <si>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</si>
  <si>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</si>
  <si>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</si>
  <si>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</si>
  <si>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</si>
  <si>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</si>
  <si>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</si>
  <si>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</si>
  <si>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</si>
  <si>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</si>
  <si>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</si>
  <si>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</si>
  <si>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</si>
  <si>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</si>
  <si>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</si>
  <si>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</si>
  <si>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</si>
  <si>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</si>
  <si>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</si>
  <si>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</si>
  <si>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</si>
  <si>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</si>
  <si>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</si>
  <si>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</si>
  <si>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</si>
  <si>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</si>
  <si>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</si>
  <si>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</si>
  <si>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</si>
  <si>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</si>
  <si>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</si>
  <si>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</si>
  <si>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</si>
  <si>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</si>
  <si>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</si>
  <si>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</si>
  <si>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</si>
  <si>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</si>
  <si>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</si>
  <si>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</si>
  <si>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</si>
  <si>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</si>
  <si>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</si>
  <si>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</si>
  <si>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</si>
  <si>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</si>
  <si>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</si>
  <si>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</si>
  <si>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</si>
  <si>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</si>
  <si>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</si>
  <si>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</si>
  <si>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</si>
  <si>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</si>
  <si>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</si>
  <si>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</si>
  <si>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</si>
  <si>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</si>
  <si>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</si>
  <si>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</si>
  <si>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</si>
  <si>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</si>
  <si>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</si>
  <si>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</si>
  <si>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</si>
  <si>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</si>
  <si>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</si>
  <si>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</si>
  <si>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</si>
  <si>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</si>
  <si>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</si>
  <si>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</si>
  <si>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</si>
  <si>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</si>
  <si>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</si>
  <si>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</si>
  <si>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</si>
  <si>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</si>
  <si>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</si>
  <si>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</si>
  <si>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</si>
  <si>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</si>
  <si>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</si>
  <si>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</si>
  <si>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</si>
  <si>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</si>
  <si>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</si>
  <si>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</si>
  <si>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</si>
  <si>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</si>
  <si>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</si>
  <si>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</si>
  <si>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</si>
  <si>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</si>
  <si>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</si>
  <si>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</si>
  <si>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</si>
  <si>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</si>
  <si>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</si>
  <si>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</si>
  <si>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</si>
  <si>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</si>
  <si>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</si>
  <si>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</si>
  <si>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</si>
  <si>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</si>
  <si>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</si>
  <si>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</si>
  <si>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</si>
  <si>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</si>
  <si>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</si>
  <si>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</si>
  <si>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</si>
  <si>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</si>
  <si>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</si>
  <si>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</si>
  <si>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</si>
  <si>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</si>
  <si>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</si>
  <si>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</si>
  <si>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</si>
  <si>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</si>
  <si>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</si>
  <si>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</si>
  <si>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</si>
  <si>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</si>
  <si>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</si>
  <si>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</si>
  <si>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</si>
  <si>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</si>
  <si>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</si>
  <si>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</si>
  <si>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</si>
  <si>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</si>
  <si>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</si>
  <si>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</si>
  <si>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</si>
  <si>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</si>
  <si>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</si>
  <si>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</si>
  <si>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</si>
  <si>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</si>
  <si>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</si>
  <si>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</si>
  <si>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</si>
  <si>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</si>
  <si>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</si>
  <si>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</si>
  <si>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</si>
  <si>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</si>
  <si>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</si>
  <si>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</si>
  <si>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</si>
  <si>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</si>
  <si>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</si>
  <si>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</si>
  <si>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</si>
  <si>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</si>
  <si>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</si>
  <si>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</si>
  <si>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</si>
  <si>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</si>
  <si>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</si>
  <si>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</si>
  <si>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</si>
  <si>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</si>
  <si>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</si>
  <si>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</si>
  <si>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</si>
  <si>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</si>
  <si>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</si>
  <si>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</si>
  <si>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</si>
  <si>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</si>
  <si>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</si>
  <si>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</si>
  <si>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</si>
  <si>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</si>
  <si>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</si>
  <si>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</si>
  <si>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</si>
  <si>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</si>
  <si>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</si>
  <si>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</si>
  <si>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</si>
  <si>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</si>
  <si>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2" type="noConversion"/>
  </si>
  <si>
    <t>partner@tigervc.com </t>
    <phoneticPr fontId="12" type="noConversion"/>
  </si>
  <si>
    <t xml:space="preserve"> 47重复行 要确认2</t>
  </si>
  <si>
    <t xml:space="preserve"> 658重复行 要确认2</t>
  </si>
  <si>
    <t>839 重复行 要确认1</t>
  </si>
  <si>
    <t>839 重复行 要确认1849 重复行 要确认1</t>
    <phoneticPr fontId="12" type="noConversion"/>
  </si>
  <si>
    <t>分析师</t>
    <phoneticPr fontId="12" type="noConversion"/>
  </si>
  <si>
    <t xml:space="preserve"> 副总裁</t>
    <phoneticPr fontId="12" type="noConversion"/>
  </si>
  <si>
    <t>Kevin 熊飞</t>
    <phoneticPr fontId="12"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</si>
  <si>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</si>
  <si>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</si>
  <si>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</si>
  <si>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</si>
  <si>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</si>
  <si>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</si>
  <si>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</si>
  <si>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</si>
  <si>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</si>
  <si>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</si>
  <si>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</si>
  <si>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</si>
  <si>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</si>
  <si>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</si>
  <si>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</si>
  <si>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</si>
  <si>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</si>
  <si>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</si>
  <si>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</si>
  <si>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2" type="noConversion"/>
  </si>
  <si>
    <r>
      <rPr>
        <sz val="11"/>
        <color rgb="FF000000"/>
        <rFont val="宋体"/>
        <family val="2"/>
        <charset val="134"/>
      </rPr>
      <t>邮箱</t>
    </r>
    <r>
      <rPr>
        <sz val="11"/>
        <color rgb="FF000000"/>
        <rFont val="Yu Gothic"/>
        <family val="2"/>
        <charset val="128"/>
      </rPr>
      <t>溢出</t>
    </r>
    <phoneticPr fontId="12" type="noConversion"/>
  </si>
  <si>
    <t>invest@taishanangel.com</t>
    <phoneticPr fontId="12" type="noConversion"/>
  </si>
  <si>
    <r>
      <rPr>
        <sz val="11"/>
        <color rgb="FF000000"/>
        <rFont val="宋体"/>
        <family val="2"/>
        <charset val="134"/>
      </rPr>
      <t>判为</t>
    </r>
    <r>
      <rPr>
        <sz val="11"/>
        <color rgb="FF000000"/>
        <rFont val="Yu Gothic"/>
        <family val="2"/>
        <charset val="128"/>
      </rPr>
      <t>垃圾</t>
    </r>
    <phoneticPr fontId="12" type="noConversion"/>
  </si>
  <si>
    <t>海通开元</t>
    <phoneticPr fontId="12" type="noConversion"/>
  </si>
  <si>
    <t>huyi@htcc.sh.cn</t>
    <phoneticPr fontId="12"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</si>
  <si>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</si>
  <si>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</si>
  <si>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</si>
  <si>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</si>
  <si>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</si>
  <si>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</si>
  <si>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</si>
  <si>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</si>
  <si>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</si>
  <si>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</si>
  <si>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</si>
  <si>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</si>
  <si>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</si>
  <si>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</si>
  <si>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</si>
  <si>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</si>
  <si>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2" type="noConversion"/>
  </si>
  <si>
    <t>451投资人不一致</t>
  </si>
  <si>
    <t>454机构不一致投资人不一致</t>
    <phoneticPr fontId="12" type="noConversion"/>
  </si>
  <si>
    <t>493机构不一致</t>
  </si>
  <si>
    <t>540机构不一致投资人不一致</t>
    <phoneticPr fontId="12"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</si>
  <si>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</si>
  <si>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</si>
  <si>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</si>
  <si>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</si>
  <si>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</si>
  <si>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</si>
  <si>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</si>
  <si>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</si>
  <si>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</si>
  <si>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</si>
  <si>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</si>
  <si>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</si>
  <si>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2" type="noConversion"/>
  </si>
  <si>
    <t>人工智能</t>
    <phoneticPr fontId="12" type="noConversion"/>
  </si>
  <si>
    <t>峰岚投资</t>
    <phoneticPr fontId="12" type="noConversion"/>
  </si>
  <si>
    <t>润加速产业加速器</t>
    <phoneticPr fontId="12" type="noConversion"/>
  </si>
  <si>
    <t>将门创投</t>
    <phoneticPr fontId="12" type="noConversion"/>
  </si>
  <si>
    <t>中关村大河资本</t>
    <phoneticPr fontId="12" type="noConversion"/>
  </si>
  <si>
    <t>优客工场</t>
    <phoneticPr fontId="12" type="noConversion"/>
  </si>
  <si>
    <t>中金资本</t>
    <phoneticPr fontId="12" type="noConversion"/>
  </si>
  <si>
    <t>天使VC投资家</t>
    <phoneticPr fontId="12" type="noConversion"/>
  </si>
  <si>
    <t>天津股权投资基金协会</t>
    <phoneticPr fontId="12" type="noConversion"/>
  </si>
  <si>
    <t>煜华尚和</t>
    <phoneticPr fontId="12" type="noConversion"/>
  </si>
  <si>
    <t>银杏谷资本</t>
    <phoneticPr fontId="12" type="noConversion"/>
  </si>
  <si>
    <t>初心资本</t>
    <phoneticPr fontId="12" type="noConversion"/>
  </si>
  <si>
    <t>嘉程资本</t>
    <phoneticPr fontId="12" type="noConversion"/>
  </si>
  <si>
    <t>赛伯乐</t>
    <phoneticPr fontId="12" type="noConversion"/>
  </si>
  <si>
    <t>渶策资本</t>
    <phoneticPr fontId="12" type="noConversion"/>
  </si>
  <si>
    <t>天使投资人中心</t>
    <phoneticPr fontId="12" type="noConversion"/>
  </si>
  <si>
    <t>天使百人会</t>
    <phoneticPr fontId="12" type="noConversion"/>
  </si>
  <si>
    <t>领势</t>
    <phoneticPr fontId="12" type="noConversion"/>
  </si>
  <si>
    <t>万融资本</t>
    <phoneticPr fontId="12" type="noConversion"/>
  </si>
  <si>
    <t>华辰资本</t>
    <phoneticPr fontId="12" type="noConversion"/>
  </si>
  <si>
    <t>春华资本</t>
    <phoneticPr fontId="12" type="noConversion"/>
  </si>
  <si>
    <t>坚果资本</t>
    <phoneticPr fontId="12" type="noConversion"/>
  </si>
  <si>
    <t>长石资本</t>
    <phoneticPr fontId="12" type="noConversion"/>
  </si>
  <si>
    <t>深圳天使投资引导基金管理公司</t>
    <phoneticPr fontId="12" type="noConversion"/>
  </si>
  <si>
    <t>赛富投资基金</t>
    <phoneticPr fontId="12" type="noConversion"/>
  </si>
  <si>
    <t>bp@chuxincapital.com</t>
    <phoneticPr fontId="12" type="noConversion"/>
  </si>
  <si>
    <t>http://www.primavera-capital.com</t>
    <phoneticPr fontId="12" type="noConversion"/>
  </si>
  <si>
    <t>https://www.fenglaninvest.com</t>
    <phoneticPr fontId="12" type="noConversion"/>
  </si>
  <si>
    <t>hrtz@sinowisdom.cn</t>
    <phoneticPr fontId="12" type="noConversion"/>
  </si>
  <si>
    <t>huiqiang@shhqtzfz.com</t>
    <phoneticPr fontId="12" type="noConversion"/>
  </si>
  <si>
    <t>http://www.shhqtzfz.com</t>
    <phoneticPr fontId="12" type="noConversion"/>
  </si>
  <si>
    <t>BP@jiachengcap.com</t>
    <phoneticPr fontId="12" type="noConversion"/>
  </si>
  <si>
    <t>https://www.capitalnuts.com</t>
    <phoneticPr fontId="12" type="noConversion"/>
  </si>
  <si>
    <t>value@capitalnuts.com</t>
    <phoneticPr fontId="12" type="noConversion"/>
  </si>
  <si>
    <t>http://www.thejiangmen.com</t>
    <phoneticPr fontId="12" type="noConversion"/>
  </si>
  <si>
    <t>bp@thejiangmen.com</t>
    <phoneticPr fontId="12" type="noConversion"/>
  </si>
  <si>
    <t>http://www.legendcapital.com.cn</t>
    <phoneticPr fontId="12" type="noConversion"/>
  </si>
  <si>
    <r>
      <t>梅花</t>
    </r>
    <r>
      <rPr>
        <sz val="11"/>
        <color rgb="FF000000"/>
        <rFont val="宋体"/>
        <family val="2"/>
        <charset val="134"/>
      </rPr>
      <t>创投</t>
    </r>
    <phoneticPr fontId="12" type="noConversion"/>
  </si>
  <si>
    <t>lingshitouziBP@163.com</t>
    <phoneticPr fontId="12" type="noConversion"/>
  </si>
  <si>
    <t>bp@future-cap.com</t>
    <phoneticPr fontId="12" type="noConversion"/>
  </si>
  <si>
    <t>http://www.future-cap.com</t>
    <phoneticPr fontId="12" type="noConversion"/>
  </si>
  <si>
    <t>分领域</t>
    <phoneticPr fontId="12" type="noConversion"/>
  </si>
  <si>
    <t>王兆乾</t>
    <phoneticPr fontId="12" type="noConversion"/>
  </si>
  <si>
    <t>互联网教育</t>
    <phoneticPr fontId="12" type="noConversion"/>
  </si>
  <si>
    <t>创新技术</t>
    <phoneticPr fontId="12" type="noConversion"/>
  </si>
  <si>
    <t>TMT</t>
    <phoneticPr fontId="12" type="noConversion"/>
  </si>
  <si>
    <t>智能设备</t>
    <phoneticPr fontId="12" type="noConversion"/>
  </si>
  <si>
    <t>SNS</t>
    <phoneticPr fontId="12" type="noConversion"/>
  </si>
  <si>
    <t>健康医疗</t>
    <phoneticPr fontId="12" type="noConversion"/>
  </si>
  <si>
    <t>ren.bp@qingsongfund.com</t>
    <phoneticPr fontId="12" type="noConversion"/>
  </si>
  <si>
    <t>张晨</t>
    <phoneticPr fontId="12" type="noConversion"/>
  </si>
  <si>
    <t>ci.zhang@qingsongfund.com</t>
    <phoneticPr fontId="12" type="noConversion"/>
  </si>
  <si>
    <t>文化体育、消费升级</t>
    <phoneticPr fontId="12" type="noConversion"/>
  </si>
  <si>
    <t>张放</t>
  </si>
  <si>
    <t>sherry.zhang@qingsongfund.com</t>
    <phoneticPr fontId="12" type="noConversion"/>
  </si>
  <si>
    <t>文化娱乐、内容、消费升级、信息服务等</t>
    <phoneticPr fontId="12" type="noConversion"/>
  </si>
  <si>
    <t>deyang.bp@qingsongfund.com</t>
    <phoneticPr fontId="12" type="noConversion"/>
  </si>
  <si>
    <t>孟德洋</t>
    <phoneticPr fontId="12" type="noConversion"/>
  </si>
  <si>
    <t>TMT、泛娱乐、教育</t>
    <phoneticPr fontId="12" type="noConversion"/>
  </si>
  <si>
    <t>非关注教育</t>
    <phoneticPr fontId="12" type="noConversion"/>
  </si>
  <si>
    <t>刘航琦</t>
    <phoneticPr fontId="12" type="noConversion"/>
  </si>
  <si>
    <t>hangqi.liu@qingsongfund.com</t>
    <phoneticPr fontId="12" type="noConversion"/>
  </si>
  <si>
    <t>TMT、泛娱乐、消费升级</t>
    <phoneticPr fontId="12" type="noConversion"/>
  </si>
  <si>
    <t>娄华菁</t>
    <phoneticPr fontId="12" type="noConversion"/>
  </si>
  <si>
    <t>huajing.lou@qingsongfund.com</t>
  </si>
  <si>
    <t>泛娱乐、消费</t>
    <phoneticPr fontId="12" type="noConversion"/>
  </si>
  <si>
    <t>abner.bp@qingsongfund.com</t>
    <phoneticPr fontId="12" type="noConversion"/>
  </si>
  <si>
    <t>熊浩然</t>
    <phoneticPr fontId="12" type="noConversion"/>
  </si>
  <si>
    <t>消费升级、TMT、教育</t>
    <phoneticPr fontId="12" type="noConversion"/>
  </si>
  <si>
    <t>ning.gao@qingsongfund.com</t>
    <phoneticPr fontId="12" type="noConversion"/>
  </si>
  <si>
    <t>高宁</t>
    <phoneticPr fontId="12" type="noConversion"/>
  </si>
  <si>
    <t>消费升级、TMT、B2B</t>
    <phoneticPr fontId="12" type="noConversion"/>
  </si>
  <si>
    <t>非天使</t>
    <phoneticPr fontId="12" type="noConversion"/>
  </si>
  <si>
    <t>bp@jingbei.com.cn</t>
    <phoneticPr fontId="12" type="noConversion"/>
  </si>
  <si>
    <t>brirenhui111@vip.sina.com</t>
    <phoneticPr fontId="12" type="noConversion"/>
  </si>
  <si>
    <t>bp@zckj.net</t>
    <phoneticPr fontId="12" type="noConversion"/>
  </si>
  <si>
    <t>education@wr-capital.com</t>
    <phoneticPr fontId="12" type="noConversion"/>
  </si>
  <si>
    <t>教育科技（业务信息化、管理信息化、内容数据化、自适应学习、双师课堂、在线教育），教育服务（K-12培优、素质教育、职业教育）</t>
    <phoneticPr fontId="12" type="noConversion"/>
  </si>
  <si>
    <t>大数据、人工智能、企业服务、B2B、金融科技</t>
    <phoneticPr fontId="12" type="noConversion"/>
  </si>
  <si>
    <t>TMT@wr-capital.com</t>
    <phoneticPr fontId="12" type="noConversion"/>
  </si>
  <si>
    <t>medical@wr-capital.com</t>
    <phoneticPr fontId="12" type="noConversion"/>
  </si>
  <si>
    <t>医疗</t>
    <phoneticPr fontId="12"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</si>
  <si>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2" type="noConversion"/>
  </si>
  <si>
    <t>IM@wr-capital.com</t>
    <phoneticPr fontId="12" type="noConversion"/>
  </si>
  <si>
    <t>自动化（自动化生产线、智能工厂总包、机器人、数控机床、其他自动化集成装备）；信息化（工业软件、数据库）；互联化（工业以太网、芯片、传感器、RFID等）、智能化（3D打印、机器视觉）</t>
    <phoneticPr fontId="12"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</si>
  <si>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2" type="noConversion"/>
  </si>
  <si>
    <t>energy@wr-capital.com</t>
    <phoneticPr fontId="12" type="noConversion"/>
  </si>
  <si>
    <t>media@wr-capital.com</t>
    <phoneticPr fontId="12" type="noConversion"/>
  </si>
  <si>
    <t>文化体育、数字营销、广告技术、内容制作、IP孵化、影视娱乐、媒体渠道、线下场馆（剧院、影院、游乐场等）等</t>
    <phoneticPr fontId="12" type="noConversion"/>
  </si>
  <si>
    <r>
      <t>bp@yxgzb</t>
    </r>
    <r>
      <rPr>
        <u/>
        <sz val="11"/>
        <color theme="10"/>
        <rFont val="游ゴシック"/>
        <family val="3"/>
        <charset val="134"/>
        <scheme val="minor"/>
      </rPr>
      <t>。Com</t>
    </r>
    <phoneticPr fontId="12" type="noConversion"/>
  </si>
  <si>
    <t>空间</t>
    <phoneticPr fontId="12" type="noConversion"/>
  </si>
  <si>
    <t>bp@joycapital.com.cn</t>
    <phoneticPr fontId="12" type="noConversion"/>
  </si>
  <si>
    <t>bp@longcapital.cn</t>
    <phoneticPr fontId="12" type="noConversion"/>
  </si>
  <si>
    <t>bp@rivervc.com</t>
    <phoneticPr fontId="12" type="noConversion"/>
  </si>
  <si>
    <r>
      <rPr>
        <sz val="10"/>
        <color rgb="FF000000"/>
        <rFont val="Microsoft YaHei"/>
        <family val="2"/>
        <charset val="134"/>
      </rPr>
      <t>乡村致力研究中心研究院</t>
    </r>
    <phoneticPr fontId="69" type="noConversion"/>
  </si>
  <si>
    <r>
      <rPr>
        <sz val="10"/>
        <color rgb="FF000000"/>
        <rFont val="Microsoft YaHei"/>
        <family val="2"/>
        <charset val="134"/>
      </rPr>
      <t>公共管理学院教授</t>
    </r>
    <phoneticPr fontId="69" type="noConversion"/>
  </si>
  <si>
    <r>
      <rPr>
        <sz val="10"/>
        <color rgb="FF000000"/>
        <rFont val="Microsoft YaHei"/>
        <family val="2"/>
        <charset val="134"/>
      </rPr>
      <t>中国人民大学</t>
    </r>
    <phoneticPr fontId="69" type="noConversion"/>
  </si>
  <si>
    <r>
      <rPr>
        <sz val="10"/>
        <color rgb="FF000000"/>
        <rFont val="Microsoft YaHei"/>
        <family val="2"/>
        <charset val="134"/>
      </rPr>
      <t>郐艳丽</t>
    </r>
    <phoneticPr fontId="69" type="noConversion"/>
  </si>
  <si>
    <r>
      <rPr>
        <sz val="10"/>
        <color rgb="FF000000"/>
        <rFont val="Microsoft YaHei"/>
        <family val="2"/>
        <charset val="134"/>
      </rPr>
      <t>教授</t>
    </r>
    <phoneticPr fontId="69" type="noConversion"/>
  </si>
  <si>
    <r>
      <rPr>
        <sz val="10"/>
        <color rgb="FF000000"/>
        <rFont val="Microsoft YaHei"/>
        <family val="2"/>
        <charset val="134"/>
      </rPr>
      <t>金融学院</t>
    </r>
    <phoneticPr fontId="69" type="noConversion"/>
  </si>
  <si>
    <r>
      <rPr>
        <sz val="10"/>
        <color rgb="FF000000"/>
        <rFont val="Microsoft YaHei"/>
        <family val="2"/>
        <charset val="134"/>
      </rPr>
      <t>对外经济贸易大学</t>
    </r>
    <phoneticPr fontId="69" type="noConversion"/>
  </si>
  <si>
    <r>
      <rPr>
        <sz val="10"/>
        <color rgb="FF000000"/>
        <rFont val="Microsoft YaHei"/>
        <family val="2"/>
        <charset val="134"/>
      </rPr>
      <t>王建锋</t>
    </r>
    <phoneticPr fontId="69" type="noConversion"/>
  </si>
  <si>
    <r>
      <rPr>
        <sz val="10"/>
        <color rgb="FF000000"/>
        <rFont val="Microsoft YaHei"/>
        <family val="2"/>
        <charset val="134"/>
      </rPr>
      <t>董事长</t>
    </r>
    <phoneticPr fontId="69" type="noConversion"/>
  </si>
  <si>
    <r>
      <rPr>
        <sz val="10"/>
        <color rgb="FF000000"/>
        <rFont val="Microsoft YaHei"/>
        <family val="2"/>
        <charset val="134"/>
      </rPr>
      <t>中民乡邻三农科技有限公司</t>
    </r>
    <phoneticPr fontId="69" type="noConversion"/>
  </si>
  <si>
    <r>
      <rPr>
        <sz val="10"/>
        <color rgb="FF000000"/>
        <rFont val="Microsoft YaHei"/>
        <family val="2"/>
        <charset val="134"/>
      </rPr>
      <t>鞠利</t>
    </r>
    <phoneticPr fontId="69" type="noConversion"/>
  </si>
  <si>
    <r>
      <rPr>
        <sz val="10"/>
        <color rgb="FF000000"/>
        <rFont val="Microsoft YaHei"/>
        <family val="2"/>
        <charset val="134"/>
      </rPr>
      <t>河南省林州市文化旅游局局长</t>
    </r>
    <phoneticPr fontId="69" type="noConversion"/>
  </si>
  <si>
    <r>
      <rPr>
        <sz val="10"/>
        <color rgb="FF000000"/>
        <rFont val="Microsoft YaHei"/>
        <family val="2"/>
        <charset val="134"/>
      </rPr>
      <t>徐学军</t>
    </r>
    <phoneticPr fontId="69" type="noConversion"/>
  </si>
  <si>
    <r>
      <rPr>
        <sz val="10"/>
        <color rgb="FF000000"/>
        <rFont val="Microsoft YaHei"/>
        <family val="2"/>
        <charset val="134"/>
      </rPr>
      <t>节目总策划</t>
    </r>
    <phoneticPr fontId="69" type="noConversion"/>
  </si>
  <si>
    <r>
      <rPr>
        <sz val="10"/>
        <color rgb="FF000000"/>
        <rFont val="Microsoft YaHei"/>
        <family val="2"/>
        <charset val="134"/>
      </rPr>
      <t>乡村振兴大家谈</t>
    </r>
    <phoneticPr fontId="69" type="noConversion"/>
  </si>
  <si>
    <r>
      <rPr>
        <sz val="10"/>
        <color rgb="FF000000"/>
        <rFont val="Microsoft YaHei"/>
        <family val="2"/>
        <charset val="134"/>
      </rPr>
      <t>中央农广校</t>
    </r>
    <phoneticPr fontId="69" type="noConversion"/>
  </si>
  <si>
    <r>
      <rPr>
        <sz val="10"/>
        <color rgb="FF000000"/>
        <rFont val="Microsoft YaHei"/>
        <family val="2"/>
        <charset val="134"/>
      </rPr>
      <t>王龙泉</t>
    </r>
    <phoneticPr fontId="69" type="noConversion"/>
  </si>
  <si>
    <r>
      <rPr>
        <sz val="10"/>
        <color rgb="FF000000"/>
        <rFont val="Microsoft YaHei"/>
        <family val="2"/>
        <charset val="134"/>
      </rPr>
      <t>技术总监</t>
    </r>
    <phoneticPr fontId="69" type="noConversion"/>
  </si>
  <si>
    <r>
      <rPr>
        <sz val="10"/>
        <color rgb="FF000000"/>
        <rFont val="Microsoft YaHei"/>
        <family val="2"/>
        <charset val="134"/>
      </rPr>
      <t>四川迈高旅游资源开发有限公司</t>
    </r>
    <phoneticPr fontId="69" type="noConversion"/>
  </si>
  <si>
    <r>
      <rPr>
        <sz val="10"/>
        <color rgb="FF000000"/>
        <rFont val="Microsoft YaHei"/>
        <family val="2"/>
        <charset val="134"/>
      </rPr>
      <t>蒋宜芝</t>
    </r>
    <phoneticPr fontId="69" type="noConversion"/>
  </si>
  <si>
    <r>
      <rPr>
        <sz val="10"/>
        <color rgb="FF000000"/>
        <rFont val="Microsoft YaHei"/>
        <family val="2"/>
        <charset val="134"/>
      </rPr>
      <t>书记</t>
    </r>
    <phoneticPr fontId="69" type="noConversion"/>
  </si>
  <si>
    <r>
      <rPr>
        <sz val="10"/>
        <color rgb="FF000000"/>
        <rFont val="Microsoft YaHei"/>
        <family val="2"/>
        <charset val="134"/>
      </rPr>
      <t>江苏省南京市浦口区永宁街道水墨大埝村</t>
    </r>
    <phoneticPr fontId="69" type="noConversion"/>
  </si>
  <si>
    <r>
      <rPr>
        <sz val="10"/>
        <color rgb="FF000000"/>
        <rFont val="Microsoft YaHei"/>
        <family val="2"/>
        <charset val="134"/>
      </rPr>
      <t>刘明海</t>
    </r>
    <phoneticPr fontId="69" type="noConversion"/>
  </si>
  <si>
    <r>
      <rPr>
        <sz val="10"/>
        <color rgb="FF000000"/>
        <rFont val="Microsoft YaHei"/>
        <family val="2"/>
        <charset val="134"/>
      </rPr>
      <t>乡村治理研究中心主任</t>
    </r>
    <phoneticPr fontId="69" type="noConversion"/>
  </si>
  <si>
    <r>
      <rPr>
        <sz val="10"/>
        <color rgb="FF000000"/>
        <rFont val="Microsoft YaHei"/>
        <family val="2"/>
        <charset val="134"/>
      </rPr>
      <t>农业与农村发展学院教授</t>
    </r>
    <phoneticPr fontId="69" type="noConversion"/>
  </si>
  <si>
    <r>
      <rPr>
        <sz val="10"/>
        <color rgb="FF000000"/>
        <rFont val="Microsoft YaHei"/>
        <family val="2"/>
        <charset val="134"/>
      </rPr>
      <t>仝志辉</t>
    </r>
    <phoneticPr fontId="69" type="noConversion"/>
  </si>
  <si>
    <r>
      <rPr>
        <sz val="10"/>
        <color rgb="FF000000"/>
        <rFont val="Microsoft YaHei"/>
        <family val="2"/>
        <charset val="134"/>
      </rPr>
      <t>中共大连市委党校</t>
    </r>
    <phoneticPr fontId="69" type="noConversion"/>
  </si>
  <si>
    <r>
      <rPr>
        <sz val="10"/>
        <color rgb="FF000000"/>
        <rFont val="Microsoft YaHei"/>
        <family val="2"/>
        <charset val="134"/>
      </rPr>
      <t>杨晓猛</t>
    </r>
    <phoneticPr fontId="69" type="noConversion"/>
  </si>
  <si>
    <r>
      <rPr>
        <sz val="10"/>
        <color rgb="FF000000"/>
        <rFont val="Microsoft YaHei"/>
        <family val="2"/>
        <charset val="134"/>
      </rPr>
      <t>大连创业工坊</t>
    </r>
    <phoneticPr fontId="69" type="noConversion"/>
  </si>
  <si>
    <r>
      <rPr>
        <sz val="10"/>
        <color rgb="FF000000"/>
        <rFont val="Microsoft YaHei"/>
        <family val="2"/>
        <charset val="134"/>
      </rPr>
      <t>胡剑锋</t>
    </r>
    <phoneticPr fontId="69" type="noConversion"/>
  </si>
  <si>
    <r>
      <rPr>
        <sz val="10"/>
        <color rgb="FF000000"/>
        <rFont val="Microsoft YaHei"/>
        <family val="2"/>
        <charset val="134"/>
      </rPr>
      <t>副教授</t>
    </r>
    <phoneticPr fontId="69" type="noConversion"/>
  </si>
  <si>
    <r>
      <rPr>
        <sz val="10"/>
        <color rgb="FF000000"/>
        <rFont val="Microsoft YaHei"/>
        <family val="2"/>
        <charset val="134"/>
      </rPr>
      <t>工商管理学院市场营销系</t>
    </r>
    <phoneticPr fontId="69" type="noConversion"/>
  </si>
  <si>
    <r>
      <rPr>
        <sz val="10"/>
        <color rgb="FF000000"/>
        <rFont val="Microsoft YaHei"/>
        <family val="2"/>
        <charset val="134"/>
      </rPr>
      <t>东北财经大学</t>
    </r>
    <phoneticPr fontId="69" type="noConversion"/>
  </si>
  <si>
    <r>
      <rPr>
        <sz val="10"/>
        <color rgb="FF000000"/>
        <rFont val="Microsoft YaHei"/>
        <family val="2"/>
        <charset val="134"/>
      </rPr>
      <t>刘宝宏</t>
    </r>
    <phoneticPr fontId="69" type="noConversion"/>
  </si>
  <si>
    <r>
      <rPr>
        <sz val="10"/>
        <color rgb="FF000000"/>
        <rFont val="Microsoft YaHei"/>
        <family val="2"/>
        <charset val="134"/>
      </rPr>
      <t>瓦房店市永宁镇杨树底村第一书记</t>
    </r>
    <phoneticPr fontId="69" type="noConversion"/>
  </si>
  <si>
    <r>
      <rPr>
        <sz val="10"/>
        <color rgb="FF000000"/>
        <rFont val="Microsoft YaHei"/>
        <family val="2"/>
        <charset val="134"/>
      </rPr>
      <t>袁野</t>
    </r>
    <phoneticPr fontId="69" type="noConversion"/>
  </si>
  <si>
    <r>
      <rPr>
        <sz val="10"/>
        <color rgb="FF000000"/>
        <rFont val="Microsoft YaHei"/>
        <family val="2"/>
        <charset val="134"/>
      </rPr>
      <t>创始人</t>
    </r>
    <phoneticPr fontId="69" type="noConversion"/>
  </si>
  <si>
    <r>
      <rPr>
        <sz val="10"/>
        <color rgb="FF000000"/>
        <rFont val="Microsoft YaHei"/>
        <family val="2"/>
        <charset val="134"/>
      </rPr>
      <t>大连早道教育</t>
    </r>
    <phoneticPr fontId="69" type="noConversion"/>
  </si>
  <si>
    <r>
      <rPr>
        <sz val="10"/>
        <color rgb="FF000000"/>
        <rFont val="Microsoft YaHei"/>
        <family val="2"/>
        <charset val="134"/>
      </rPr>
      <t>杨海斌</t>
    </r>
    <phoneticPr fontId="69" type="noConversion"/>
  </si>
  <si>
    <r>
      <rPr>
        <sz val="10"/>
        <color rgb="FF000000"/>
        <rFont val="Microsoft YaHei"/>
        <family val="2"/>
        <charset val="134"/>
      </rPr>
      <t>时尚社交电商工具ONEONE</t>
    </r>
    <phoneticPr fontId="69" type="noConversion"/>
  </si>
  <si>
    <r>
      <rPr>
        <sz val="10"/>
        <color rgb="FF000000"/>
        <rFont val="Microsoft YaHei"/>
        <family val="2"/>
        <charset val="134"/>
      </rPr>
      <t>陈雨航</t>
    </r>
    <phoneticPr fontId="69" type="noConversion"/>
  </si>
  <si>
    <r>
      <rPr>
        <sz val="10"/>
        <color rgb="FF000000"/>
        <rFont val="Microsoft YaHei"/>
        <family val="2"/>
        <charset val="134"/>
      </rPr>
      <t>副总裁</t>
    </r>
    <phoneticPr fontId="69" type="noConversion"/>
  </si>
  <si>
    <r>
      <rPr>
        <sz val="10"/>
        <color rgb="FF000000"/>
        <rFont val="Microsoft YaHei"/>
        <family val="2"/>
        <charset val="134"/>
      </rPr>
      <t>诚建餐饮集团电商资本</t>
    </r>
    <phoneticPr fontId="69" type="noConversion"/>
  </si>
  <si>
    <r>
      <rPr>
        <sz val="10"/>
        <color rgb="FF000000"/>
        <rFont val="Microsoft YaHei"/>
        <family val="2"/>
        <charset val="134"/>
      </rPr>
      <t>陈焕新</t>
    </r>
    <phoneticPr fontId="69" type="noConversion"/>
  </si>
  <si>
    <r>
      <rPr>
        <sz val="10"/>
        <color rgb="FF000000"/>
        <rFont val="Microsoft YaHei"/>
        <family val="2"/>
        <charset val="134"/>
      </rPr>
      <t>总经理</t>
    </r>
    <phoneticPr fontId="69" type="noConversion"/>
  </si>
  <si>
    <r>
      <rPr>
        <sz val="10"/>
        <color rgb="FF000000"/>
        <rFont val="Microsoft YaHei"/>
        <family val="2"/>
        <charset val="134"/>
      </rPr>
      <t>微晒（深圳）科技有限公司</t>
    </r>
    <phoneticPr fontId="69" type="noConversion"/>
  </si>
  <si>
    <r>
      <rPr>
        <sz val="10"/>
        <color rgb="FF000000"/>
        <rFont val="Microsoft YaHei"/>
        <family val="2"/>
        <charset val="134"/>
      </rPr>
      <t>张晓东</t>
    </r>
    <phoneticPr fontId="69" type="noConversion"/>
  </si>
  <si>
    <r>
      <rPr>
        <sz val="10"/>
        <color rgb="FF000000"/>
        <rFont val="Microsoft YaHei"/>
        <family val="2"/>
        <charset val="134"/>
      </rPr>
      <t>川途传媒</t>
    </r>
    <phoneticPr fontId="69" type="noConversion"/>
  </si>
  <si>
    <r>
      <rPr>
        <sz val="10"/>
        <color rgb="FF000000"/>
        <rFont val="Microsoft YaHei"/>
        <family val="2"/>
        <charset val="134"/>
      </rPr>
      <t>多来福</t>
    </r>
    <phoneticPr fontId="69" type="noConversion"/>
  </si>
  <si>
    <r>
      <rPr>
        <sz val="10"/>
        <color rgb="FF000000"/>
        <rFont val="Microsoft YaHei"/>
        <family val="2"/>
        <charset val="134"/>
      </rPr>
      <t>乡村治理与发展</t>
    </r>
    <phoneticPr fontId="69" type="noConversion"/>
  </si>
  <si>
    <r>
      <rPr>
        <sz val="10"/>
        <color rgb="FF000000"/>
        <rFont val="Microsoft YaHei"/>
        <family val="2"/>
        <charset val="134"/>
      </rPr>
      <t>第一书记</t>
    </r>
    <phoneticPr fontId="69" type="noConversion"/>
  </si>
  <si>
    <r>
      <rPr>
        <sz val="10"/>
        <color rgb="FF000000"/>
        <rFont val="Microsoft YaHei"/>
        <family val="2"/>
        <charset val="134"/>
      </rPr>
      <t>胡说八道</t>
    </r>
    <phoneticPr fontId="69" type="noConversion"/>
  </si>
  <si>
    <r>
      <rPr>
        <sz val="10"/>
        <color rgb="FF000000"/>
        <rFont val="Microsoft YaHei"/>
        <family val="2"/>
        <charset val="134"/>
      </rPr>
      <t>备注</t>
    </r>
    <phoneticPr fontId="69" type="noConversion"/>
  </si>
  <si>
    <r>
      <rPr>
        <sz val="10"/>
        <color rgb="FF000000"/>
        <rFont val="Microsoft YaHei"/>
        <family val="2"/>
        <charset val="134"/>
      </rPr>
      <t>行业</t>
    </r>
    <phoneticPr fontId="69" type="noConversion"/>
  </si>
  <si>
    <r>
      <rPr>
        <sz val="10"/>
        <color rgb="FF000000"/>
        <rFont val="Microsoft YaHei"/>
        <family val="2"/>
        <charset val="134"/>
      </rPr>
      <t>职务2</t>
    </r>
    <phoneticPr fontId="69" type="noConversion"/>
  </si>
  <si>
    <r>
      <rPr>
        <sz val="10"/>
        <color rgb="FF000000"/>
        <rFont val="Microsoft YaHei"/>
        <family val="2"/>
        <charset val="134"/>
      </rPr>
      <t>职务1</t>
    </r>
    <phoneticPr fontId="69" type="noConversion"/>
  </si>
  <si>
    <r>
      <rPr>
        <sz val="10"/>
        <color rgb="FF000000"/>
        <rFont val="Microsoft YaHei"/>
        <family val="2"/>
        <charset val="134"/>
      </rPr>
      <t>部门</t>
    </r>
    <phoneticPr fontId="69" type="noConversion"/>
  </si>
  <si>
    <r>
      <rPr>
        <sz val="10"/>
        <color rgb="FF000000"/>
        <rFont val="Microsoft YaHei"/>
        <family val="2"/>
        <charset val="134"/>
      </rPr>
      <t>组织名称</t>
    </r>
    <phoneticPr fontId="69" type="noConversion"/>
  </si>
  <si>
    <r>
      <rPr>
        <sz val="10"/>
        <color rgb="FF000000"/>
        <rFont val="Microsoft YaHei"/>
        <family val="2"/>
        <charset val="134"/>
      </rPr>
      <t>姓名</t>
    </r>
    <phoneticPr fontId="69" type="noConversion"/>
  </si>
  <si>
    <t>SUM</t>
    <phoneticPr fontId="70" type="noConversion"/>
  </si>
  <si>
    <t>yuxiaoqilin</t>
    <phoneticPr fontId="70" type="noConversion"/>
  </si>
  <si>
    <t>xinger4003</t>
    <phoneticPr fontId="70" type="noConversion"/>
  </si>
  <si>
    <t>mangopurin</t>
    <phoneticPr fontId="70" type="noConversion"/>
  </si>
  <si>
    <t>株）PGLK 金银花</t>
  </si>
  <si>
    <t>遇见</t>
  </si>
  <si>
    <t>雨林</t>
  </si>
  <si>
    <t>rijihei</t>
    <phoneticPr fontId="70" type="noConversion"/>
  </si>
  <si>
    <t>有点烟草味</t>
  </si>
  <si>
    <t>英（ペタテック）🦋</t>
  </si>
  <si>
    <t>杨雯</t>
  </si>
  <si>
    <t>gg-576350650</t>
    <phoneticPr fontId="70" type="noConversion"/>
  </si>
  <si>
    <t>邢瑞@SFDC</t>
  </si>
  <si>
    <t>晓晓^_</t>
  </si>
  <si>
    <t>小木@SFDC资询</t>
  </si>
  <si>
    <t xml:space="preserve">小妹 </t>
    <phoneticPr fontId="70" type="noConversion"/>
  </si>
  <si>
    <t>小马哥</t>
  </si>
  <si>
    <t>小家鞋铺</t>
    <phoneticPr fontId="70" type="noConversion"/>
  </si>
  <si>
    <t>香川@SFDC</t>
  </si>
  <si>
    <t>gebiyunyan</t>
    <phoneticPr fontId="70" type="noConversion"/>
  </si>
  <si>
    <t>武金友@SFDC3</t>
  </si>
  <si>
    <t>五里雾中@SFDC</t>
  </si>
  <si>
    <t>dingjh8</t>
    <phoneticPr fontId="70" type="noConversion"/>
  </si>
  <si>
    <t>王为盛@SFDC1&amp;amp;amp;3</t>
  </si>
  <si>
    <t>王仟谕</t>
  </si>
  <si>
    <t>天涯浪子</t>
    <phoneticPr fontId="70" type="noConversion"/>
  </si>
  <si>
    <t>天涯浪子</t>
  </si>
  <si>
    <t>luyl007</t>
    <phoneticPr fontId="70" type="noConversion"/>
  </si>
  <si>
    <t>天涯</t>
  </si>
  <si>
    <t>孙迪@SFDC</t>
  </si>
  <si>
    <t>誰說世界早已沒有選擇</t>
  </si>
  <si>
    <t>邵毅</t>
  </si>
  <si>
    <t>骚年，在路上••• •••@SFDC</t>
  </si>
  <si>
    <t>瑞德</t>
  </si>
  <si>
    <t>SmallFishWEIXIN</t>
    <phoneticPr fontId="70" type="noConversion"/>
  </si>
  <si>
    <t>日進ー王</t>
  </si>
  <si>
    <t>qin_wei_</t>
    <phoneticPr fontId="70" type="noConversion"/>
  </si>
  <si>
    <t>秦巍＠SFDC応募者</t>
  </si>
  <si>
    <t>噢修@SFDC</t>
  </si>
  <si>
    <t>木木@SFDC入门咨询</t>
  </si>
  <si>
    <t>马姗姗</t>
    <phoneticPr fontId="70" type="noConversion"/>
  </si>
  <si>
    <t>luanshubin55</t>
    <phoneticPr fontId="70" type="noConversion"/>
  </si>
  <si>
    <t>栾书滨@SFDC5</t>
  </si>
  <si>
    <t>rohou_sendai</t>
    <phoneticPr fontId="70" type="noConversion"/>
  </si>
  <si>
    <t>鲁峰@SFDC3</t>
  </si>
  <si>
    <t>劉志輝</t>
  </si>
  <si>
    <t>刘祥海</t>
    <phoneticPr fontId="70" type="noConversion"/>
  </si>
  <si>
    <t>梁@SFDC入门</t>
  </si>
  <si>
    <t>l405434074</t>
    <phoneticPr fontId="70" type="noConversion"/>
  </si>
  <si>
    <t>李震@SFDC</t>
  </si>
  <si>
    <t>李哲</t>
  </si>
  <si>
    <t>李全双@天時SFDC3</t>
  </si>
  <si>
    <t>雷楊</t>
  </si>
  <si>
    <t>iameyama</t>
    <phoneticPr fontId="70" type="noConversion"/>
  </si>
  <si>
    <t>井新民@SFDC2</t>
  </si>
  <si>
    <t>黄冰@SFDC3</t>
  </si>
  <si>
    <t>鶴</t>
  </si>
  <si>
    <t>和谐号</t>
    <phoneticPr fontId="70" type="noConversion"/>
  </si>
  <si>
    <t>和谐号</t>
  </si>
  <si>
    <t>id_wangxu</t>
    <phoneticPr fontId="70" type="noConversion"/>
  </si>
  <si>
    <t>和平@营业</t>
  </si>
  <si>
    <t>皓释</t>
  </si>
  <si>
    <t>fxs1007</t>
    <phoneticPr fontId="70" type="noConversion"/>
  </si>
  <si>
    <t>果果@SFDC6乔瑾</t>
  </si>
  <si>
    <t>谷松@天時SFDC3</t>
  </si>
  <si>
    <t>傅勇</t>
  </si>
  <si>
    <t>メロンパン</t>
    <phoneticPr fontId="70" type="noConversion"/>
  </si>
  <si>
    <t>风林火山@SFDC6咨询</t>
  </si>
  <si>
    <t>huangked</t>
    <phoneticPr fontId="70" type="noConversion"/>
  </si>
  <si>
    <t>狒狒</t>
  </si>
  <si>
    <t>大海</t>
  </si>
  <si>
    <t>崔小龙</t>
  </si>
  <si>
    <t>成蓓@SFDC</t>
  </si>
  <si>
    <t>陳 達利@日進サイエンティア</t>
  </si>
  <si>
    <t>aypzg94</t>
    <phoneticPr fontId="70" type="noConversion"/>
  </si>
  <si>
    <t>陈家麟</t>
  </si>
  <si>
    <t>班长</t>
  </si>
  <si>
    <t>alcxx8182</t>
    <phoneticPr fontId="70" type="noConversion"/>
  </si>
  <si>
    <t>安東良</t>
  </si>
  <si>
    <t>🌲树@SFDC</t>
  </si>
  <si>
    <t>リスウホ(賃貸、売買、派遣)</t>
  </si>
  <si>
    <t>zhangxiaowen_13146</t>
    <phoneticPr fontId="70" type="noConversion"/>
  </si>
  <si>
    <t>ポニュー</t>
  </si>
  <si>
    <t>サリー酱</t>
  </si>
  <si>
    <t>おう＊シ*ン@SFDC5咨询</t>
  </si>
  <si>
    <t>Zzzl思念漫太古</t>
  </si>
  <si>
    <t>linhan1986</t>
    <phoneticPr fontId="70" type="noConversion"/>
  </si>
  <si>
    <t>zhai zg@SFDC</t>
  </si>
  <si>
    <t>Z_Hurting…#_#</t>
  </si>
  <si>
    <t>tony</t>
  </si>
  <si>
    <t>SunMika111</t>
    <phoneticPr fontId="70" type="noConversion"/>
  </si>
  <si>
    <t>Tommy</t>
  </si>
  <si>
    <t>SYB.Sunshubin@Asia.World</t>
  </si>
  <si>
    <t>xingrui_911</t>
    <phoneticPr fontId="70" type="noConversion"/>
  </si>
  <si>
    <t>sunmika@AWS咨询</t>
  </si>
  <si>
    <t>sun@SF培训</t>
  </si>
  <si>
    <t>qiuyin423159</t>
    <phoneticPr fontId="70" type="noConversion"/>
  </si>
  <si>
    <t>Seikou</t>
  </si>
  <si>
    <t>RUKA</t>
  </si>
  <si>
    <t>Leongbin</t>
    <phoneticPr fontId="70" type="noConversion"/>
  </si>
  <si>
    <t>Rin</t>
  </si>
  <si>
    <t>R</t>
  </si>
  <si>
    <t>songfeifei1984</t>
    <phoneticPr fontId="70" type="noConversion"/>
  </si>
  <si>
    <t>Mr.Chin</t>
  </si>
  <si>
    <t>lemon16@SFDC</t>
  </si>
  <si>
    <t>lalala</t>
  </si>
  <si>
    <t>kiku酱</t>
  </si>
  <si>
    <t>K</t>
  </si>
  <si>
    <t>Jason</t>
    <phoneticPr fontId="70" type="noConversion"/>
  </si>
  <si>
    <t>abin-5200</t>
    <phoneticPr fontId="70" type="noConversion"/>
  </si>
  <si>
    <t>IT&amp;UR团地营业阿斌</t>
    <phoneticPr fontId="70" type="noConversion"/>
  </si>
  <si>
    <t>wxid_7eni3wevcrft11</t>
    <phoneticPr fontId="70" type="noConversion"/>
  </si>
  <si>
    <t>hello</t>
  </si>
  <si>
    <t>fukushun.ka</t>
    <phoneticPr fontId="70" type="noConversion"/>
  </si>
  <si>
    <t>tong_xingxing</t>
    <phoneticPr fontId="70" type="noConversion"/>
  </si>
  <si>
    <t>Faye 冯</t>
  </si>
  <si>
    <t>Dannyriff</t>
  </si>
  <si>
    <t>djbdc666</t>
    <phoneticPr fontId="70" type="noConversion"/>
  </si>
  <si>
    <t>A樱木_小海</t>
  </si>
  <si>
    <t>afish81</t>
    <phoneticPr fontId="70" type="noConversion"/>
  </si>
  <si>
    <t>a-YOU</t>
  </si>
  <si>
    <t>Antares</t>
    <phoneticPr fontId="70" type="noConversion"/>
  </si>
  <si>
    <t>aiueok@SFDC</t>
  </si>
  <si>
    <t>aixiaozhicom</t>
    <phoneticPr fontId="70" type="noConversion"/>
  </si>
  <si>
    <t>Agent美@SFDC</t>
  </si>
  <si>
    <t>chenbinly</t>
    <phoneticPr fontId="70" type="noConversion"/>
  </si>
  <si>
    <t>A“(´･ω･`)”A</t>
  </si>
  <si>
    <t>@SFDC6予约</t>
  </si>
  <si>
    <t>チョウウ</t>
    <phoneticPr fontId="70" type="noConversion"/>
  </si>
  <si>
    <t>理想</t>
    <phoneticPr fontId="70" type="noConversion"/>
  </si>
  <si>
    <t>十三13</t>
    <phoneticPr fontId="70" type="noConversion"/>
  </si>
  <si>
    <t>ランボ</t>
    <phoneticPr fontId="70" type="noConversion"/>
  </si>
  <si>
    <t>飛</t>
    <phoneticPr fontId="70" type="noConversion"/>
  </si>
  <si>
    <t>周鹏</t>
    <phoneticPr fontId="70" type="noConversion"/>
  </si>
  <si>
    <t>笑宇</t>
    <phoneticPr fontId="70" type="noConversion"/>
  </si>
  <si>
    <t>小妖精</t>
    <phoneticPr fontId="70" type="noConversion"/>
  </si>
  <si>
    <t>佳佳</t>
    <phoneticPr fontId="70" type="noConversion"/>
  </si>
  <si>
    <t>个人技术者董</t>
    <phoneticPr fontId="70" type="noConversion"/>
  </si>
  <si>
    <t>リシン</t>
    <phoneticPr fontId="70" type="noConversion"/>
  </si>
  <si>
    <t>zhujie0518</t>
    <phoneticPr fontId="70" type="noConversion"/>
  </si>
  <si>
    <t>祝杰</t>
  </si>
  <si>
    <t>竹车已真</t>
  </si>
  <si>
    <t>z919269630</t>
    <phoneticPr fontId="70" type="noConversion"/>
  </si>
  <si>
    <t>赵丹</t>
    <phoneticPr fontId="70" type="noConversion"/>
  </si>
  <si>
    <t>yangtian719</t>
    <phoneticPr fontId="70" type="noConversion"/>
  </si>
  <si>
    <t>杨田</t>
    <phoneticPr fontId="70" type="noConversion"/>
  </si>
  <si>
    <t>杨峰@SFDC</t>
  </si>
  <si>
    <t>谢行勇</t>
    <phoneticPr fontId="70" type="noConversion"/>
  </si>
  <si>
    <t>小刘</t>
    <phoneticPr fontId="70" type="noConversion"/>
  </si>
  <si>
    <t>toyko2013</t>
    <phoneticPr fontId="70" type="noConversion"/>
  </si>
  <si>
    <t>王小布</t>
    <phoneticPr fontId="70" type="noConversion"/>
  </si>
  <si>
    <t>深海@SFDC</t>
  </si>
  <si>
    <t>面包片</t>
    <phoneticPr fontId="70" type="noConversion"/>
  </si>
  <si>
    <t>漫步人生路</t>
    <phoneticPr fontId="70" type="noConversion"/>
  </si>
  <si>
    <t>skyblue365</t>
    <phoneticPr fontId="70" type="noConversion"/>
  </si>
  <si>
    <t>路友林@SFDC2</t>
  </si>
  <si>
    <t>梁学广@SFDC</t>
  </si>
  <si>
    <t>M34421511</t>
    <phoneticPr fontId="70" type="noConversion"/>
  </si>
  <si>
    <t>老⁶</t>
  </si>
  <si>
    <t>九日木杉</t>
    <phoneticPr fontId="70" type="noConversion"/>
  </si>
  <si>
    <t>九日木杉</t>
  </si>
  <si>
    <t>黄克东@trex</t>
  </si>
  <si>
    <t>wangqi77qi</t>
    <phoneticPr fontId="70" type="noConversion"/>
  </si>
  <si>
    <t>橙汁</t>
  </si>
  <si>
    <t>zoe@SFDC</t>
  </si>
  <si>
    <t>TianChao2015</t>
    <phoneticPr fontId="70" type="noConversion"/>
  </si>
  <si>
    <t>TianChao</t>
  </si>
  <si>
    <t>TGKW</t>
  </si>
  <si>
    <t>lampsy_tyq</t>
    <phoneticPr fontId="70" type="noConversion"/>
  </si>
  <si>
    <t>jango</t>
    <phoneticPr fontId="70" type="noConversion"/>
  </si>
  <si>
    <t>Delahoya</t>
    <phoneticPr fontId="70" type="noConversion"/>
  </si>
  <si>
    <t>saki1987</t>
    <phoneticPr fontId="70" type="noConversion"/>
  </si>
  <si>
    <t>niieika</t>
    <phoneticPr fontId="70" type="noConversion"/>
  </si>
  <si>
    <t>倪永华</t>
    <phoneticPr fontId="70" type="noConversion"/>
  </si>
  <si>
    <t>soho_visa</t>
    <phoneticPr fontId="70" type="noConversion"/>
  </si>
  <si>
    <t>海阔天空</t>
  </si>
  <si>
    <t>jesuslovejoy</t>
    <phoneticPr fontId="70" type="noConversion"/>
  </si>
  <si>
    <t>郝泽萱</t>
    <phoneticPr fontId="70" type="noConversion"/>
  </si>
  <si>
    <t>SF6</t>
  </si>
  <si>
    <t>SF5</t>
    <phoneticPr fontId="70" type="noConversion"/>
  </si>
  <si>
    <t>SF4</t>
    <phoneticPr fontId="70" type="noConversion"/>
  </si>
  <si>
    <t>SF3</t>
    <phoneticPr fontId="70" type="noConversion"/>
  </si>
  <si>
    <t>SF2</t>
    <phoneticPr fontId="70" type="noConversion"/>
  </si>
  <si>
    <t>SF1</t>
    <phoneticPr fontId="70" type="noConversion"/>
  </si>
  <si>
    <t>SF0</t>
    <phoneticPr fontId="70" type="noConversion"/>
  </si>
  <si>
    <t>Japanese</t>
    <phoneticPr fontId="70" type="noConversion"/>
  </si>
  <si>
    <t>QQ号</t>
    <phoneticPr fontId="70" type="noConversion"/>
  </si>
  <si>
    <t>微信号</t>
    <phoneticPr fontId="70" type="noConversion"/>
  </si>
  <si>
    <t>职位</t>
    <phoneticPr fontId="70" type="noConversion"/>
  </si>
  <si>
    <t>所属</t>
    <phoneticPr fontId="70" type="noConversion"/>
  </si>
  <si>
    <t>jiangxiaolin@ten-ji.co.jp</t>
  </si>
  <si>
    <t>天時情報システム　姜暁琳様</t>
  </si>
  <si>
    <t>sakamoto@rhizo-me.com</t>
  </si>
  <si>
    <t>リゾーム　阪本明日望様</t>
  </si>
  <si>
    <t>s.nagahara@media-tecch.jp</t>
  </si>
  <si>
    <t>メディアテック　永原翠香様</t>
  </si>
  <si>
    <t>momiyama@brainzsys.jp</t>
  </si>
  <si>
    <t>ブレインズシステム　籾山直人様</t>
  </si>
  <si>
    <t>taichi@plum-systems.co.jp</t>
  </si>
  <si>
    <t>プラムシステムズ　太地亮夫様</t>
  </si>
  <si>
    <t>naoto@plum-systems.co.jp</t>
  </si>
  <si>
    <t>プラムシステムズ　伊藤直人様</t>
  </si>
  <si>
    <t>h.sasae@nextware.co.jp</t>
  </si>
  <si>
    <t>ネクストウェア　佐々江広之様</t>
  </si>
  <si>
    <t>iwama@3-ize.jp</t>
  </si>
  <si>
    <t>トリプルアイズ　岩間大記様</t>
  </si>
  <si>
    <t>ksato@digital-corp.co.jp</t>
  </si>
  <si>
    <t>ディジタル　佐藤清孝様</t>
  </si>
  <si>
    <t>masaomi.kishie@diainc.co.jp</t>
  </si>
  <si>
    <t>ディア　岸江正臣様</t>
  </si>
  <si>
    <t>s.yoshida@syslg.co.jp</t>
  </si>
  <si>
    <t>システム・ロジックス　吉田幸世様</t>
  </si>
  <si>
    <t>takashi.takahashi@j-tech.jp</t>
  </si>
  <si>
    <t>ジェイテック　高橋隆様</t>
  </si>
  <si>
    <t>asano@c-design.co.jp</t>
  </si>
  <si>
    <t>コスモデザイン　浅野浩樹様</t>
  </si>
  <si>
    <t>irimura@codedynamix.com</t>
  </si>
  <si>
    <t>コードダイナミクス　入村茂様</t>
  </si>
  <si>
    <t>h-cho@g-relations.jp</t>
  </si>
  <si>
    <t>グローバル・リレーションズ　趙顯吉様</t>
  </si>
  <si>
    <t>nomori@careersystems.jp</t>
  </si>
  <si>
    <t>キャリアシステムズ　大森菜詩様</t>
  </si>
  <si>
    <t>tkshin@gazeru.co.jp</t>
  </si>
  <si>
    <t>ガゼル　申添淇様</t>
  </si>
  <si>
    <t>kanemitsu@omik.co.jp</t>
  </si>
  <si>
    <t>オーミック　金光秀一社長様</t>
  </si>
  <si>
    <t>yata@mc3.co.jp</t>
  </si>
  <si>
    <t>エムシーキューブ　矢田正宏様</t>
  </si>
  <si>
    <t>gotoh_yki@msoft.co.jp</t>
  </si>
  <si>
    <t>エム・ソフト　後藤由紀様</t>
  </si>
  <si>
    <t>kaji_ats@msoft.co.jp</t>
  </si>
  <si>
    <t>エム・ソフト　梶篤司様</t>
  </si>
  <si>
    <t>yhirai@anvil.ne.jp</t>
  </si>
  <si>
    <t>アンヴィル　平井良典様</t>
  </si>
  <si>
    <t>fujisaki_kazuki@abinet.co.jp</t>
  </si>
  <si>
    <t>アビリティ　藤嵜和貴様</t>
  </si>
  <si>
    <t>souma@abinet.co.jp</t>
  </si>
  <si>
    <t>アビリティ　相馬俊輔様</t>
  </si>
  <si>
    <t>tomii@aimu.co.jp</t>
  </si>
  <si>
    <t>アイムシステムサービス　富井雅義様</t>
  </si>
  <si>
    <t>kuramasu@arcc.co.jp</t>
  </si>
  <si>
    <t>アークシステム　蔵増清志様</t>
  </si>
  <si>
    <t>mi-saka@rjcc.co.jp</t>
  </si>
  <si>
    <t>RJC　阪美恵子様</t>
  </si>
  <si>
    <t>taisukeserikawa@forthewin.co.jp</t>
  </si>
  <si>
    <t>for　the　win　芹川泰介様</t>
  </si>
  <si>
    <t>naoshi-asakura@mdb-ltd.net</t>
  </si>
  <si>
    <t>ＭＤＢ　朝倉</t>
  </si>
  <si>
    <t>wei.ryu@tsrs.co.jp</t>
  </si>
  <si>
    <t>劉　巍</t>
  </si>
  <si>
    <t xml:space="preserve">zhuang@webgroup.co.jp </t>
  </si>
  <si>
    <t>中</t>
    <phoneticPr fontId="75"/>
  </si>
  <si>
    <t>ten-ji</t>
    <phoneticPr fontId="75"/>
  </si>
  <si>
    <t>zhengyu@microcreate.co.jp</t>
    <phoneticPr fontId="78"/>
  </si>
  <si>
    <t>鄭宇</t>
    <rPh sb="0" eb="1">
      <t>テイ</t>
    </rPh>
    <rPh sb="1" eb="2">
      <t>ウ</t>
    </rPh>
    <phoneticPr fontId="78"/>
  </si>
  <si>
    <t>株式会社微創</t>
    <rPh sb="0" eb="2">
      <t>カブシキ</t>
    </rPh>
    <rPh sb="2" eb="4">
      <t>カイシャ</t>
    </rPh>
    <rPh sb="4" eb="5">
      <t>ビ</t>
    </rPh>
    <rPh sb="5" eb="6">
      <t>ツク</t>
    </rPh>
    <phoneticPr fontId="78"/>
  </si>
  <si>
    <t xml:space="preserve">zheng@fl-tech.com </t>
  </si>
  <si>
    <t>zhaoxiyu@hotmail.com</t>
    <phoneticPr fontId="78"/>
  </si>
  <si>
    <t>藤原</t>
    <rPh sb="0" eb="1">
      <t>フジ</t>
    </rPh>
    <rPh sb="1" eb="2">
      <t>ハラ</t>
    </rPh>
    <phoneticPr fontId="78"/>
  </si>
  <si>
    <t>株式会社Navi J&amp;C</t>
    <phoneticPr fontId="78"/>
  </si>
  <si>
    <t>080-6763-0307</t>
    <phoneticPr fontId="78"/>
  </si>
  <si>
    <t>zhaohuan@basenet.co.jp</t>
    <phoneticPr fontId="78"/>
  </si>
  <si>
    <t>趙 煥</t>
    <phoneticPr fontId="78"/>
  </si>
  <si>
    <t>ベース株式会社</t>
    <phoneticPr fontId="78"/>
  </si>
  <si>
    <t>zhangyong@firstdevelop.com</t>
  </si>
  <si>
    <t>zhangyong@firstdevelop.com</t>
    <phoneticPr fontId="78"/>
  </si>
  <si>
    <t>zhangyang@neosoft.jp</t>
    <phoneticPr fontId="78"/>
  </si>
  <si>
    <t>張陽</t>
    <rPh sb="0" eb="1">
      <t>チョウ</t>
    </rPh>
    <rPh sb="1" eb="2">
      <t>ヨウ</t>
    </rPh>
    <phoneticPr fontId="78"/>
  </si>
  <si>
    <t>株式会社ネオソフト</t>
    <phoneticPr fontId="78"/>
  </si>
  <si>
    <t xml:space="preserve">zhangxiaogang@it-ft.com   </t>
  </si>
  <si>
    <t>アイティフューチャー　張小剛</t>
  </si>
  <si>
    <t>080-4158-0158</t>
    <phoneticPr fontId="78"/>
  </si>
  <si>
    <t>zhangxiaogang@it-ft.com</t>
    <phoneticPr fontId="78"/>
  </si>
  <si>
    <t>張 小剛</t>
    <phoneticPr fontId="78"/>
  </si>
  <si>
    <t>株式会社アイティーフューチャー</t>
    <phoneticPr fontId="78"/>
  </si>
  <si>
    <t xml:space="preserve">zhangxb@eland-g.co.jp </t>
  </si>
  <si>
    <t>zhangsy@tau-web.com</t>
  </si>
  <si>
    <t>張 思</t>
  </si>
  <si>
    <t xml:space="preserve">zhangsm@netcome.co.jp </t>
  </si>
  <si>
    <t xml:space="preserve">zhangqh@lionmap.co.jp </t>
  </si>
  <si>
    <t>×</t>
    <phoneticPr fontId="75"/>
  </si>
  <si>
    <t>TREX</t>
    <phoneticPr fontId="75"/>
  </si>
  <si>
    <t>zhangqh@lionmap.co.jp</t>
    <phoneticPr fontId="78"/>
  </si>
  <si>
    <t>取締役</t>
  </si>
  <si>
    <t>張　全会</t>
    <phoneticPr fontId="75"/>
  </si>
  <si>
    <t>有限会社ライオンマップ</t>
  </si>
  <si>
    <t xml:space="preserve">zhang-ln@kk-ds.co.jp   </t>
  </si>
  <si>
    <t>張　立娜</t>
  </si>
  <si>
    <t>zhanglei@bench-solution.com</t>
    <phoneticPr fontId="78"/>
  </si>
  <si>
    <t>張　雷</t>
    <rPh sb="2" eb="3">
      <t>ライ</t>
    </rPh>
    <phoneticPr fontId="78"/>
  </si>
  <si>
    <t>ベンチソリューション株式会社</t>
    <rPh sb="10" eb="12">
      <t>カブシキ</t>
    </rPh>
    <rPh sb="12" eb="14">
      <t>カイシャ</t>
    </rPh>
    <phoneticPr fontId="78"/>
  </si>
  <si>
    <t>080-6677-9690</t>
    <phoneticPr fontId="78"/>
  </si>
  <si>
    <t>zhang@x-service.co.jp</t>
    <phoneticPr fontId="78"/>
  </si>
  <si>
    <t>張　海林</t>
    <phoneticPr fontId="78"/>
  </si>
  <si>
    <t>株式会社エクスサービス</t>
    <phoneticPr fontId="78"/>
  </si>
  <si>
    <t>zhang@api-jpn.co.jp</t>
    <phoneticPr fontId="78"/>
  </si>
  <si>
    <t>代表取締役</t>
  </si>
  <si>
    <t>張東旭</t>
  </si>
  <si>
    <t>株式会社エー・ピ・アイ</t>
  </si>
  <si>
    <t>080-4157-8887</t>
    <phoneticPr fontId="78"/>
  </si>
  <si>
    <t>zhang.xiaofeng@neso.co.jp</t>
    <phoneticPr fontId="78"/>
  </si>
  <si>
    <t>張暁峰</t>
    <rPh sb="0" eb="1">
      <t>チョウ</t>
    </rPh>
    <rPh sb="1" eb="2">
      <t>ギョウ</t>
    </rPh>
    <rPh sb="2" eb="3">
      <t>ホウ</t>
    </rPh>
    <phoneticPr fontId="78"/>
  </si>
  <si>
    <t>株式会社ニューソリューションズ</t>
    <rPh sb="0" eb="2">
      <t>カブシキ</t>
    </rPh>
    <rPh sb="2" eb="4">
      <t>カイシャ</t>
    </rPh>
    <phoneticPr fontId="78"/>
  </si>
  <si>
    <t>zhang.ml@conflux.jp</t>
    <phoneticPr fontId="78"/>
  </si>
  <si>
    <t>張明麗</t>
    <phoneticPr fontId="78"/>
  </si>
  <si>
    <t>株式会社Conflux</t>
    <phoneticPr fontId="78"/>
  </si>
  <si>
    <t>zhan@amazingbox.co.jp</t>
    <phoneticPr fontId="78"/>
  </si>
  <si>
    <t>詹　継平</t>
  </si>
  <si>
    <t>株式会社アメージングボックス</t>
  </si>
  <si>
    <t>yzh@softwits.co.jp</t>
    <phoneticPr fontId="78"/>
  </si>
  <si>
    <t>楊志宏</t>
    <rPh sb="0" eb="1">
      <t>ヨウ</t>
    </rPh>
    <rPh sb="1" eb="2">
      <t>シ</t>
    </rPh>
    <rPh sb="2" eb="3">
      <t>コウ</t>
    </rPh>
    <phoneticPr fontId="78"/>
  </si>
  <si>
    <t>softwits株式会社</t>
    <rPh sb="8" eb="10">
      <t>カブシキ</t>
    </rPh>
    <rPh sb="10" eb="12">
      <t>カイシャ</t>
    </rPh>
    <phoneticPr fontId="78"/>
  </si>
  <si>
    <t xml:space="preserve">yyy@cb.mbn.or.jp </t>
  </si>
  <si>
    <t>y-yasukawa@invtion.com</t>
  </si>
  <si>
    <t xml:space="preserve">yy.sai@forward-soft.co.jp  </t>
  </si>
  <si>
    <t xml:space="preserve"> forward-soft 崔</t>
  </si>
  <si>
    <t>yy.sai@forward-soft.co.jp</t>
    <phoneticPr fontId="78"/>
  </si>
  <si>
    <t>崔俊傑</t>
    <phoneticPr fontId="78"/>
  </si>
  <si>
    <t>フォワードソフト株式会社</t>
  </si>
  <si>
    <t>yy.cui@jpjys.co.jp</t>
  </si>
  <si>
    <t>崔 芸硯</t>
  </si>
  <si>
    <t>080-3717-8866</t>
    <phoneticPr fontId="78"/>
  </si>
  <si>
    <t>y-xu@ips-consult.info</t>
    <phoneticPr fontId="78"/>
  </si>
  <si>
    <t>許悦峰</t>
    <phoneticPr fontId="78"/>
  </si>
  <si>
    <t>アイピーエス株式会社</t>
    <phoneticPr fontId="78"/>
  </si>
  <si>
    <t>yx.gong@grids.co.jp</t>
    <phoneticPr fontId="78"/>
  </si>
  <si>
    <t>ｺﾞﾝ　欲暁</t>
  </si>
  <si>
    <t>グリッド・リサーチ株式会社</t>
  </si>
  <si>
    <t xml:space="preserve">y-watanabe@sankobs.com </t>
  </si>
  <si>
    <t>yuya.idesaki@c-pistas.com</t>
  </si>
  <si>
    <t>080-4291-9969</t>
    <phoneticPr fontId="78"/>
  </si>
  <si>
    <t>yuxin.liu@tjs-se.com</t>
    <phoneticPr fontId="78"/>
  </si>
  <si>
    <t>劉雨キ</t>
    <phoneticPr fontId="78"/>
  </si>
  <si>
    <t>株式会社スリージェットシステム</t>
  </si>
  <si>
    <t>yuxin.liu@tjs-se.com</t>
  </si>
  <si>
    <t>劉</t>
  </si>
  <si>
    <t xml:space="preserve">yuuki_ueda@tsukasacomputer.com </t>
  </si>
  <si>
    <t xml:space="preserve">yuta-yamauchi@navio.co.jp </t>
  </si>
  <si>
    <t>yutaka.sugeno@technocrats.jp</t>
  </si>
  <si>
    <t>菅野　浩</t>
  </si>
  <si>
    <t>日本テクノクラーツ株式会社</t>
  </si>
  <si>
    <t>Yutaka.Kubota@biz-cs.com</t>
  </si>
  <si>
    <t xml:space="preserve">yuta_nagai@pfc.co.jp </t>
  </si>
  <si>
    <t>yuta.tosaka@pico.co.jp</t>
  </si>
  <si>
    <t>yusuke.mori@aster-isk.co.jp</t>
  </si>
  <si>
    <t xml:space="preserve">yuri@betanet.co.jp </t>
  </si>
  <si>
    <t>yumi-komukai@sanei-system.co.jp</t>
  </si>
  <si>
    <t>小向 友美</t>
  </si>
  <si>
    <t xml:space="preserve">yuko.yokokawa@issoh.co.jp   </t>
  </si>
  <si>
    <t>横川様</t>
  </si>
  <si>
    <t xml:space="preserve">yuko.michiaki@fusionia.co.jp   </t>
  </si>
  <si>
    <t>フュージョニア　道明</t>
  </si>
  <si>
    <t>yukio-ando-p@synca.co.jp</t>
  </si>
  <si>
    <t>安藤　幸男</t>
  </si>
  <si>
    <t>株式会社シンカ</t>
  </si>
  <si>
    <t>yukino.nagao@escco.co.jp</t>
  </si>
  <si>
    <t>永尾</t>
  </si>
  <si>
    <t>yuki.sagawa@shisa-net.com</t>
  </si>
  <si>
    <t>佐川由樹</t>
  </si>
  <si>
    <t>シーサー Net株式会社</t>
  </si>
  <si>
    <t xml:space="preserve">yukari.yamaguchi@acro-net.com </t>
  </si>
  <si>
    <t xml:space="preserve">yuichi.kamishima@techno-core.jp </t>
  </si>
  <si>
    <t>yuichi.kamishima@techno-core.jp</t>
  </si>
  <si>
    <t>yue@livetech.co.jp</t>
  </si>
  <si>
    <t>岳福?</t>
  </si>
  <si>
    <t xml:space="preserve">yudh@seajapan.net  </t>
  </si>
  <si>
    <t>YUDAHAI</t>
  </si>
  <si>
    <t>yudai-kitase@tech-earth.co.jp</t>
  </si>
  <si>
    <t>北瀬　雄大</t>
  </si>
  <si>
    <t>Earth Technology株式会社</t>
  </si>
  <si>
    <t>yuant@triosys.co.jp</t>
    <phoneticPr fontId="75"/>
  </si>
  <si>
    <t>袁　騰</t>
  </si>
  <si>
    <t>袁 騰</t>
  </si>
  <si>
    <t>070-5576-1808</t>
    <phoneticPr fontId="78"/>
  </si>
  <si>
    <t>eigyou@triosys.co.jp</t>
  </si>
  <si>
    <t>yuant@triosys.co.jp</t>
    <phoneticPr fontId="78"/>
  </si>
  <si>
    <t>袁騰</t>
    <rPh sb="0" eb="1">
      <t>エン</t>
    </rPh>
    <rPh sb="1" eb="2">
      <t>トウ</t>
    </rPh>
    <phoneticPr fontId="78"/>
  </si>
  <si>
    <t>トリオシステムズ株式会社</t>
  </si>
  <si>
    <t xml:space="preserve">yuandl@voyager-inc.com </t>
  </si>
  <si>
    <t>yu_shimada@sense-kk.jp</t>
  </si>
  <si>
    <t>嶋田　有紀子</t>
  </si>
  <si>
    <t>株式会社センス</t>
  </si>
  <si>
    <t>yu_k@amistrong.com</t>
  </si>
  <si>
    <t>于 ?</t>
  </si>
  <si>
    <t>yu@bkk-soft.com</t>
  </si>
  <si>
    <t>虞乾辰</t>
  </si>
  <si>
    <t>万国ソフト株式会社</t>
  </si>
  <si>
    <t>yu.lin@yidatec.co.jp</t>
  </si>
  <si>
    <t>開発本部部長</t>
  </si>
  <si>
    <t>林雨</t>
  </si>
  <si>
    <t>YIDATEC日本株式会社</t>
  </si>
  <si>
    <t>090-6545-5046</t>
    <phoneticPr fontId="78"/>
  </si>
  <si>
    <t>yu.genen@msn.com</t>
    <phoneticPr fontId="78"/>
  </si>
  <si>
    <t>湯源遠</t>
    <rPh sb="0" eb="1">
      <t>ユ</t>
    </rPh>
    <rPh sb="1" eb="2">
      <t>ゲン</t>
    </rPh>
    <rPh sb="2" eb="3">
      <t>エン</t>
    </rPh>
    <phoneticPr fontId="78"/>
  </si>
  <si>
    <t>株式会社インテシス</t>
    <rPh sb="0" eb="4">
      <t>カブシキガイシャ</t>
    </rPh>
    <phoneticPr fontId="78"/>
  </si>
  <si>
    <t xml:space="preserve">ytakahashi@ahnpartners.com </t>
  </si>
  <si>
    <t xml:space="preserve">y-suzuki@itmint.co.jp </t>
  </si>
  <si>
    <t>y-sugiura@webedge.jp</t>
  </si>
  <si>
    <t xml:space="preserve">youichi.nakao@baristride.co.jp </t>
  </si>
  <si>
    <t>yotsuki@chinasoft-tokyo.co.jp</t>
    <phoneticPr fontId="78"/>
  </si>
  <si>
    <t>大槻　洋一</t>
    <rPh sb="0" eb="2">
      <t>オオツキ</t>
    </rPh>
    <rPh sb="3" eb="4">
      <t>ヨウ</t>
    </rPh>
    <rPh sb="4" eb="5">
      <t>イチ</t>
    </rPh>
    <phoneticPr fontId="78"/>
  </si>
  <si>
    <t>中軟東京株式会社</t>
    <phoneticPr fontId="78"/>
  </si>
  <si>
    <t>yosuke-yamaguchi@d-st.co.jp</t>
  </si>
  <si>
    <t>山口　陽祐</t>
  </si>
  <si>
    <t>ディースタンダード株式会社</t>
  </si>
  <si>
    <t>yoshiteru.kurachi@asnew.co.jp</t>
  </si>
  <si>
    <t>マネージャー</t>
  </si>
  <si>
    <t>倉知　良光</t>
  </si>
  <si>
    <t>アズニューシステムズ株式会社</t>
  </si>
  <si>
    <t xml:space="preserve">yoshitake_hirai@kirinsbit.co.jp </t>
  </si>
  <si>
    <t xml:space="preserve">yoshi-t@apogee.jp </t>
  </si>
  <si>
    <t xml:space="preserve">yoshioka@ccnet.co.jp </t>
  </si>
  <si>
    <t xml:space="preserve">yoshio.onoda@kksol.co.jp </t>
  </si>
  <si>
    <t>yoshinobu.kodama@threepro.co.jp</t>
  </si>
  <si>
    <t xml:space="preserve">yoshimura-katsuhiko@jesc-system.co.jp </t>
  </si>
  <si>
    <t>yoshimura-katsuhiko@jesc-system.co.jp</t>
  </si>
  <si>
    <t>吉村 勝彦</t>
  </si>
  <si>
    <t>株式会社ジェスク</t>
  </si>
  <si>
    <t>yoshikazu.sato@nexas.co.jp</t>
  </si>
  <si>
    <t xml:space="preserve">yoshida-jimusyo@mwa.biglobe.ne.jp </t>
  </si>
  <si>
    <t>yonemitu@kis.co.jp</t>
  </si>
  <si>
    <t>所長代理</t>
  </si>
  <si>
    <t>米光　義幸</t>
  </si>
  <si>
    <t>株式会社ＫＩＳ</t>
  </si>
  <si>
    <t xml:space="preserve">yonemitsu@human-nets.com </t>
  </si>
  <si>
    <t>yonamine-akihiko@wiznet.co.jp</t>
  </si>
  <si>
    <t>営業</t>
  </si>
  <si>
    <t>yokoyama@yatto.co.jp</t>
  </si>
  <si>
    <t xml:space="preserve">yokota@north-tech.co.jp </t>
  </si>
  <si>
    <t>yokota@iai-net.jp</t>
  </si>
  <si>
    <t>横田明弘</t>
  </si>
  <si>
    <t>株式会社ＩＡＩ</t>
  </si>
  <si>
    <t>yokoi_m@cm-net.co.jp</t>
  </si>
  <si>
    <t>yo@rdb-tokyo.com</t>
  </si>
  <si>
    <t>yo@rdb-tokyo.com</t>
    <phoneticPr fontId="75"/>
  </si>
  <si>
    <t>y-nojima@nscg.co.jp</t>
  </si>
  <si>
    <t>y-noguchi@swp-ltd.co.jp</t>
  </si>
  <si>
    <t xml:space="preserve">y-nakaoka@stylagy.co.jp </t>
  </si>
  <si>
    <t>ynakada@imprex.co.jp</t>
  </si>
  <si>
    <t xml:space="preserve">ykimura@ubis.co.jp </t>
  </si>
  <si>
    <t>y-imai@technes.co.jp</t>
  </si>
  <si>
    <t>今井裕和</t>
  </si>
  <si>
    <t>株式会社テクネス</t>
  </si>
  <si>
    <t xml:space="preserve">yifengsheng@shinston.com   </t>
  </si>
  <si>
    <t>シンストーン＿易</t>
  </si>
  <si>
    <t>yhonjo@ct-net.co.jp</t>
  </si>
  <si>
    <t>本城　洋祐</t>
  </si>
  <si>
    <t>コムテック株式会社</t>
  </si>
  <si>
    <t xml:space="preserve">y-hatano@totec-net.com   </t>
  </si>
  <si>
    <t>トーテック　羽田野</t>
  </si>
  <si>
    <t xml:space="preserve">ychida@jsa-systems.com </t>
  </si>
  <si>
    <t xml:space="preserve">yauchi@computer-rescuer.com </t>
  </si>
  <si>
    <t>yasushi.wada@yidatec.co.jp</t>
  </si>
  <si>
    <t>和田 康志</t>
  </si>
  <si>
    <t>営業本部AMS営業部長</t>
  </si>
  <si>
    <t>和田康志</t>
  </si>
  <si>
    <t>yasushi.kishimoto@connect-inc.jp</t>
  </si>
  <si>
    <t>yasuko@brainnet.co.jp</t>
  </si>
  <si>
    <t>市川　靖子</t>
  </si>
  <si>
    <t>株式会社ブレーンネット</t>
  </si>
  <si>
    <t xml:space="preserve">yasui@system21.co.jp </t>
  </si>
  <si>
    <t>yasuhiro_suzuki@toua-jp.com</t>
  </si>
  <si>
    <t>yasuhiro@world-bc.jp</t>
  </si>
  <si>
    <t>代表取締役社長</t>
  </si>
  <si>
    <t>有松　靖浩</t>
  </si>
  <si>
    <t>ワールドビジネスコンサルティング株式会社</t>
  </si>
  <si>
    <t xml:space="preserve">yasuda@mip.co.jp </t>
  </si>
  <si>
    <t>yasuda@ardsosiyo.com</t>
  </si>
  <si>
    <t>安田　晋</t>
  </si>
  <si>
    <t>株式会社アード・ソシヨ</t>
  </si>
  <si>
    <t>yaoxq@sj-sol.com</t>
  </si>
  <si>
    <t>姚</t>
  </si>
  <si>
    <t>yanzl@gracewit.com</t>
  </si>
  <si>
    <t xml:space="preserve">yano@unitedwill.jp </t>
  </si>
  <si>
    <t>yangxuan@openingstar.co.jp</t>
  </si>
  <si>
    <t>楊　軒</t>
  </si>
  <si>
    <t>オーブニングスター株式会社</t>
  </si>
  <si>
    <t xml:space="preserve">yangq@eland-g.co.jp </t>
  </si>
  <si>
    <t xml:space="preserve">yangming@brand-e.jp </t>
  </si>
  <si>
    <t>yangliu@sincerity-trust.com</t>
  </si>
  <si>
    <t>楊 柳</t>
  </si>
  <si>
    <t xml:space="preserve">yangkun@yourfuture.jp   </t>
  </si>
  <si>
    <t>楊坤</t>
  </si>
  <si>
    <t xml:space="preserve">yang@sedda.co.jp   </t>
  </si>
  <si>
    <t>ゼッダー　　楊　学斌</t>
  </si>
  <si>
    <t xml:space="preserve">yan.yan@nisshin-g.co.jp </t>
  </si>
  <si>
    <t>yan.dong@ideage-c.jp</t>
  </si>
  <si>
    <t>取締役社長</t>
  </si>
  <si>
    <t>董岩</t>
  </si>
  <si>
    <t>株式会社アイディエージコンサルティング</t>
  </si>
  <si>
    <t>yamazoe@intelligible.ne.jp</t>
  </si>
  <si>
    <t>山添賢仁</t>
  </si>
  <si>
    <t>株式会社インテリジブル</t>
  </si>
  <si>
    <t>yamazaki@teikyo.co.jp</t>
  </si>
  <si>
    <t>山崎</t>
  </si>
  <si>
    <t>株式会社帝京システム</t>
  </si>
  <si>
    <t>yamazaki@socius-net.co.jp</t>
  </si>
  <si>
    <t>yamaya@iisisu.co.jp</t>
  </si>
  <si>
    <t>yamashita-koichiro@avnz.co.jp</t>
  </si>
  <si>
    <t>グループリーダー</t>
  </si>
  <si>
    <t>山下公一郎</t>
  </si>
  <si>
    <t>株式会社アヴァンザ</t>
  </si>
  <si>
    <t xml:space="preserve">yamashita@primeconsulting.jp </t>
  </si>
  <si>
    <t>yamashita@active.jp</t>
  </si>
  <si>
    <t xml:space="preserve">yamaoka@itcs.co.jp </t>
  </si>
  <si>
    <t xml:space="preserve">yamane@s-science.co.jp </t>
  </si>
  <si>
    <t xml:space="preserve">yamamoto0483@spic.co.jp </t>
  </si>
  <si>
    <t xml:space="preserve">yamamoto_hidetomo@i2c.jp </t>
  </si>
  <si>
    <t>yamamoto@ipt-systems.com</t>
  </si>
  <si>
    <t>山本　貴司</t>
  </si>
  <si>
    <t>アイピーティシステムズ有限会社</t>
  </si>
  <si>
    <t>yamaki@sysos.co.jp</t>
  </si>
  <si>
    <t xml:space="preserve">yamaguchi@unitedwill.jp </t>
  </si>
  <si>
    <t xml:space="preserve">yamaguchi@anconsulting.jp   </t>
  </si>
  <si>
    <t>アン・コンサルティング山口</t>
  </si>
  <si>
    <t>yamada@compmind.co.jp</t>
  </si>
  <si>
    <t>山田　潔</t>
  </si>
  <si>
    <t>株式会社コンピュータマインド</t>
  </si>
  <si>
    <t>yamada@bit-ware.co.jp</t>
    <phoneticPr fontId="78"/>
  </si>
  <si>
    <t>山田朋之</t>
    <rPh sb="0" eb="2">
      <t>ヤマダ</t>
    </rPh>
    <rPh sb="2" eb="3">
      <t>トモ</t>
    </rPh>
    <rPh sb="3" eb="4">
      <t>ノ</t>
    </rPh>
    <phoneticPr fontId="78"/>
  </si>
  <si>
    <t>ビットウェア株式会社</t>
    <rPh sb="6" eb="8">
      <t>カブシキ</t>
    </rPh>
    <rPh sb="8" eb="10">
      <t>カイシャ</t>
    </rPh>
    <phoneticPr fontId="78"/>
  </si>
  <si>
    <t>yada@fcr.sys.net</t>
  </si>
  <si>
    <t xml:space="preserve">yabe@axis21.co.jp </t>
  </si>
  <si>
    <t xml:space="preserve">y_waku@densanjoho.co.jp </t>
  </si>
  <si>
    <t xml:space="preserve">y_tango@camac.co.jp </t>
  </si>
  <si>
    <t>y_takada@aisel.ne.jp</t>
  </si>
  <si>
    <t xml:space="preserve">y_suzuki@roue.co.jp </t>
  </si>
  <si>
    <t xml:space="preserve">y_nakao@plusize.co.jp </t>
  </si>
  <si>
    <t>y_miura@torimo.co.jp</t>
  </si>
  <si>
    <t>y_masuda@zenk.co.jp</t>
  </si>
  <si>
    <t>y_kanaya@hps.co.jp</t>
  </si>
  <si>
    <t>y_itou@fractal.co.jp</t>
  </si>
  <si>
    <t>伊藤　康浩</t>
  </si>
  <si>
    <t>フラクタルシステムズ株式会社</t>
  </si>
  <si>
    <t>y_ishihara@asupage.co.jp</t>
  </si>
  <si>
    <t xml:space="preserve">y.zhang@gel-lib.com   </t>
  </si>
  <si>
    <t>GEL研究所㈱　張?</t>
  </si>
  <si>
    <t>y.yokoyama@smatec.jp</t>
  </si>
  <si>
    <t>横山</t>
  </si>
  <si>
    <t>株式会社スマートテックエンタテイメント</t>
  </si>
  <si>
    <t>y.yamaga@smatec.jp</t>
  </si>
  <si>
    <t>山賀</t>
  </si>
  <si>
    <t>ヴィトーリアステラ</t>
  </si>
  <si>
    <t xml:space="preserve">y.watanabe@observe.co.jp </t>
  </si>
  <si>
    <t>y.uehara@smatec.jp</t>
  </si>
  <si>
    <t>上原　慶大</t>
  </si>
  <si>
    <t>株式会社スマートテクノロジー</t>
  </si>
  <si>
    <t xml:space="preserve">y.toyokawa@persons.com   </t>
  </si>
  <si>
    <t>パーソンズ豊川</t>
  </si>
  <si>
    <t>y.tohata@ob-g.jp</t>
  </si>
  <si>
    <t>システム事業部</t>
  </si>
  <si>
    <t>東端　佑典</t>
  </si>
  <si>
    <t>株式会社オブジェクティブカーネル</t>
  </si>
  <si>
    <t xml:space="preserve">y.shimura@cscons.co.jp </t>
  </si>
  <si>
    <t xml:space="preserve">y.sakai@nodecom.jp </t>
  </si>
  <si>
    <t xml:space="preserve">y.saito@smatec.jp </t>
  </si>
  <si>
    <t>y.nakao@nt21.jp</t>
  </si>
  <si>
    <t>y.muramatsu@rtmedias.com</t>
  </si>
  <si>
    <t xml:space="preserve">y.moritaka@growth-jp.com </t>
  </si>
  <si>
    <t xml:space="preserve">y.morita@alphic.co.jp </t>
  </si>
  <si>
    <t xml:space="preserve">y.matsumoto@sysgiken.co.jp </t>
  </si>
  <si>
    <t>y.kobayashi@crane-i.co.jp</t>
    <phoneticPr fontId="78"/>
  </si>
  <si>
    <t>小林 佑太朗</t>
    <phoneticPr fontId="78"/>
  </si>
  <si>
    <t>株式会社 Crane&amp;I</t>
    <phoneticPr fontId="78"/>
  </si>
  <si>
    <t>y.kaneko@systembit.co.jp</t>
  </si>
  <si>
    <t xml:space="preserve">y.hoshiyama@wakuto.net </t>
  </si>
  <si>
    <t>03-6418-988</t>
    <phoneticPr fontId="78"/>
  </si>
  <si>
    <t>y.hatte@secure-i.jp</t>
  </si>
  <si>
    <t>八手　善裕</t>
    <phoneticPr fontId="78"/>
  </si>
  <si>
    <t>株式会社セキュアカーネル</t>
    <phoneticPr fontId="78"/>
  </si>
  <si>
    <t xml:space="preserve">y.hamazaki@nitf.co.jp </t>
  </si>
  <si>
    <t>y.haketa@vasdaqj.jp</t>
  </si>
  <si>
    <t>羽毛田　裕平</t>
  </si>
  <si>
    <t>株式会社ヴァスダックインターバンクシステム</t>
  </si>
  <si>
    <t xml:space="preserve">xxbb2013@yahoo.co.jp   </t>
  </si>
  <si>
    <t>李超</t>
  </si>
  <si>
    <t xml:space="preserve">xuwei@activenetwork.co.jp </t>
  </si>
  <si>
    <t>090-4813-5873</t>
    <phoneticPr fontId="78"/>
  </si>
  <si>
    <t>xueshaobai@chojo.co.jp</t>
    <phoneticPr fontId="78"/>
  </si>
  <si>
    <t>薛　少白</t>
    <phoneticPr fontId="78"/>
  </si>
  <si>
    <t>長城コンサルティング株式会社</t>
    <phoneticPr fontId="78"/>
  </si>
  <si>
    <t>xuefuyuan@sun-exceed.com</t>
  </si>
  <si>
    <t>薛福元</t>
  </si>
  <si>
    <t>株式会社サンエクシード</t>
  </si>
  <si>
    <t xml:space="preserve">xudc@activenetwork.co.jp </t>
  </si>
  <si>
    <t xml:space="preserve">xu@e-msr.co.jp </t>
  </si>
  <si>
    <t>080-9412-6888</t>
    <phoneticPr fontId="78"/>
  </si>
  <si>
    <t>xu@dypsoft.co.jp</t>
  </si>
  <si>
    <t>許亮宇</t>
    <phoneticPr fontId="78"/>
  </si>
  <si>
    <t>株式会社　DYPソフト</t>
    <phoneticPr fontId="78"/>
  </si>
  <si>
    <t>統括</t>
  </si>
  <si>
    <t>許　亮宇</t>
  </si>
  <si>
    <t>株式会社DYPソフト</t>
  </si>
  <si>
    <t>xu.xj@onemark-sys.com</t>
  </si>
  <si>
    <t>許 雄傑</t>
  </si>
  <si>
    <t xml:space="preserve">x-somu@x-power.co.jp </t>
  </si>
  <si>
    <t xml:space="preserve">xiuhua.bai@futuredata.co.jp  </t>
  </si>
  <si>
    <t>白秀華</t>
  </si>
  <si>
    <t>xiaolong.sun@orias.co.jp</t>
  </si>
  <si>
    <t>孫　小龍</t>
  </si>
  <si>
    <t>オリエース株式会社</t>
  </si>
  <si>
    <t xml:space="preserve">xiangning0426@gmail.com   </t>
  </si>
  <si>
    <t>向寧</t>
  </si>
  <si>
    <t>090-3572-1219</t>
    <phoneticPr fontId="78"/>
  </si>
  <si>
    <t>xiangning@tomomoto.co.jp</t>
    <phoneticPr fontId="78"/>
  </si>
  <si>
    <t>向 寧</t>
  </si>
  <si>
    <t>トモモト株式会社</t>
  </si>
  <si>
    <t>xiang.l@lrtechs.co.jp</t>
  </si>
  <si>
    <t>李 翔</t>
  </si>
  <si>
    <t>x-eigyou@x-power.co.jp</t>
  </si>
  <si>
    <t xml:space="preserve">wyang@ansurs.co.jp  </t>
  </si>
  <si>
    <t>アンスール＿楊ワン</t>
  </si>
  <si>
    <t>wyang@ansurs.co.jp</t>
  </si>
  <si>
    <t>楊 旺</t>
  </si>
  <si>
    <t>080-8871-5795</t>
    <phoneticPr fontId="78"/>
  </si>
  <si>
    <t>wyang@ansurs.co.jp</t>
    <phoneticPr fontId="78"/>
  </si>
  <si>
    <t>楊旺</t>
    <phoneticPr fontId="78"/>
  </si>
  <si>
    <t>株式会社アンスール</t>
    <phoneticPr fontId="78"/>
  </si>
  <si>
    <t>楊　旺</t>
  </si>
  <si>
    <t>株式会社アンスール</t>
  </si>
  <si>
    <t xml:space="preserve">wuxiu@goldeye.jp   </t>
  </si>
  <si>
    <t>wuxiu</t>
  </si>
  <si>
    <t xml:space="preserve">wu-hongxia@rgsis.com   </t>
  </si>
  <si>
    <t>呉　宏霞様</t>
  </si>
  <si>
    <t>wu-hongxia@rgsis.com</t>
  </si>
  <si>
    <t>wu-hongxia@rgsis.com</t>
    <phoneticPr fontId="75"/>
  </si>
  <si>
    <t xml:space="preserve">wu@sowinfo.co.jp  </t>
  </si>
  <si>
    <t>呉志偉様</t>
  </si>
  <si>
    <t>wu.rihan@maiasoft.co.jp</t>
  </si>
  <si>
    <t>ウラハン</t>
  </si>
  <si>
    <t xml:space="preserve">working@genesis-net.co.jp </t>
  </si>
  <si>
    <t xml:space="preserve">work@system-creation.com   </t>
  </si>
  <si>
    <t>システムクリエーション共通</t>
  </si>
  <si>
    <t>work@system-creation.com</t>
  </si>
  <si>
    <t>星川　耀邦</t>
  </si>
  <si>
    <t>株式会社システムクリエーション</t>
  </si>
  <si>
    <t>work@sainc.jp</t>
  </si>
  <si>
    <t>溝岡　佑真</t>
  </si>
  <si>
    <t>株式会社システムアート</t>
  </si>
  <si>
    <t xml:space="preserve">wijia.lai@active-grp.co.jp  </t>
  </si>
  <si>
    <t>FSA頼</t>
  </si>
  <si>
    <t>wenj@sedda.co.jp</t>
  </si>
  <si>
    <t>聞</t>
  </si>
  <si>
    <t xml:space="preserve">weizhi@shiba-tokyo.co.jp </t>
  </si>
  <si>
    <t>weiqiao-zhang@globenet.co.jp</t>
  </si>
  <si>
    <t>張 引?</t>
  </si>
  <si>
    <t xml:space="preserve">webmaster@tbk-sys.co.jp </t>
  </si>
  <si>
    <t xml:space="preserve">webmaster@mcoms.co.jp </t>
  </si>
  <si>
    <t xml:space="preserve">web_info@takes.ne.jp </t>
  </si>
  <si>
    <t xml:space="preserve">wds@softwits.co.jp   </t>
  </si>
  <si>
    <t xml:space="preserve"> 呉　東生</t>
  </si>
  <si>
    <t xml:space="preserve">watarai@acreation.co.jp </t>
  </si>
  <si>
    <t xml:space="preserve">watanabe@valuenet.co.jp </t>
  </si>
  <si>
    <t xml:space="preserve">watanabe@kktiros.co.jp </t>
  </si>
  <si>
    <t>washimi@rhizo-me.com</t>
  </si>
  <si>
    <t>wangzhuoyu@gridse.com</t>
  </si>
  <si>
    <t>王　卓昱</t>
  </si>
  <si>
    <t>グリッド株式会社</t>
  </si>
  <si>
    <t>wangzhixing@info-max.jp</t>
  </si>
  <si>
    <t>営業部長</t>
  </si>
  <si>
    <t>王　志星</t>
  </si>
  <si>
    <t>株式会社インフォマックス</t>
  </si>
  <si>
    <t xml:space="preserve">wangyue@g-s-d.co.jp   </t>
  </si>
  <si>
    <t xml:space="preserve"> Wangyue@GSD</t>
  </si>
  <si>
    <t>wangyudong@ka-so.net</t>
  </si>
  <si>
    <t>玉冬</t>
  </si>
  <si>
    <t>wangtao@jcbc.co.jp</t>
  </si>
  <si>
    <t>汪　涛</t>
  </si>
  <si>
    <t>株式会社JCBC</t>
  </si>
  <si>
    <t>wangsichun2008@gmail.com</t>
  </si>
  <si>
    <t>王斯春</t>
  </si>
  <si>
    <t>国際平和株式会社</t>
  </si>
  <si>
    <t>wangshan@gridse.com</t>
  </si>
  <si>
    <t>王 ?</t>
  </si>
  <si>
    <t>wangshan@gridse.com</t>
    <phoneticPr fontId="75"/>
  </si>
  <si>
    <t>wangna@sunshine-power.co.jp</t>
  </si>
  <si>
    <t>王 娜</t>
  </si>
  <si>
    <t xml:space="preserve">wangjinxia@e-northsea.com   </t>
  </si>
  <si>
    <t>北海情報産業_王金侠</t>
  </si>
  <si>
    <t xml:space="preserve">wangjg@ryouka-n.co.jp  </t>
  </si>
  <si>
    <t>日本凌佳システム_王建国</t>
  </si>
  <si>
    <t>wangj@onemark-sys.com</t>
  </si>
  <si>
    <t>王 駿</t>
  </si>
  <si>
    <t>wanghua@cp-glo.com</t>
  </si>
  <si>
    <t>王　華</t>
  </si>
  <si>
    <t>株式会社共栄国際</t>
  </si>
  <si>
    <t>wangdahui@sofestar.com</t>
  </si>
  <si>
    <t>王 丹慧</t>
  </si>
  <si>
    <t>wangbingxu@sun-exceed.com</t>
    <phoneticPr fontId="78"/>
  </si>
  <si>
    <t>王丙旭</t>
    <phoneticPr fontId="78"/>
  </si>
  <si>
    <t>株式会社サンエクシード</t>
    <phoneticPr fontId="78"/>
  </si>
  <si>
    <t xml:space="preserve">wangam2005@gmail.com </t>
  </si>
  <si>
    <t>wang@systex.co.jp</t>
  </si>
  <si>
    <t>王 亜平</t>
  </si>
  <si>
    <t xml:space="preserve">wang@shiba-tokyo.co.jp </t>
  </si>
  <si>
    <t>wang@seiryo-n.com</t>
  </si>
  <si>
    <t>王 健国</t>
  </si>
  <si>
    <t xml:space="preserve">wang@multi-tech.co.jp   </t>
  </si>
  <si>
    <t>王　金林</t>
  </si>
  <si>
    <t xml:space="preserve">wang@multi-tech.co.jp </t>
  </si>
  <si>
    <t>wang@multi-tech.co.jp</t>
  </si>
  <si>
    <t>王 金林</t>
  </si>
  <si>
    <t>株式会社マルチテクノロジー</t>
  </si>
  <si>
    <t>wang.chenxuan@jp.highwayns.com</t>
  </si>
  <si>
    <t>王 海衣</t>
  </si>
  <si>
    <t>070-2151-0419</t>
    <phoneticPr fontId="78"/>
  </si>
  <si>
    <t>wang.chenxuan@jp.highwayns.com</t>
    <phoneticPr fontId="78"/>
  </si>
  <si>
    <t>王 晨軒</t>
    <phoneticPr fontId="78"/>
  </si>
  <si>
    <t>海威コンサルティング株式会社</t>
    <phoneticPr fontId="78"/>
  </si>
  <si>
    <t>✖</t>
    <phoneticPr fontId="75"/>
  </si>
  <si>
    <t>070-2151-0419</t>
  </si>
  <si>
    <t xml:space="preserve">wakayamaisamu@eland-g.co.jp </t>
  </si>
  <si>
    <t>wada@emergent.co.jp</t>
  </si>
  <si>
    <t xml:space="preserve">wachi@mm-p.co.jp </t>
  </si>
  <si>
    <t xml:space="preserve">VYS07752@nifty.ne.jp </t>
  </si>
  <si>
    <t xml:space="preserve">vsct@vsc.co.jp </t>
  </si>
  <si>
    <t xml:space="preserve">venushr@shvns.com </t>
  </si>
  <si>
    <t xml:space="preserve">usui@kjcsoft.com </t>
  </si>
  <si>
    <t xml:space="preserve">ushioda@charis.jp </t>
  </si>
  <si>
    <t>urushihara@ngc-ngc.jp</t>
  </si>
  <si>
    <t>漆原　準三</t>
  </si>
  <si>
    <t>株式会社エヌジーシー</t>
  </si>
  <si>
    <t>urban-trade@urban-web.co.jp</t>
  </si>
  <si>
    <t>小野　佑樹</t>
  </si>
  <si>
    <t>アーバン・コーポレーション株式会社</t>
  </si>
  <si>
    <t xml:space="preserve">umemoto@i-phoenix.co.jp </t>
  </si>
  <si>
    <t xml:space="preserve">ukonan@alead.co.jp </t>
  </si>
  <si>
    <t>080-3244-2413</t>
    <phoneticPr fontId="78"/>
  </si>
  <si>
    <t>uki@chinasoft-tokyo.co.jp</t>
    <phoneticPr fontId="78"/>
  </si>
  <si>
    <t>于晞</t>
    <rPh sb="0" eb="1">
      <t>ウ</t>
    </rPh>
    <rPh sb="1" eb="2">
      <t>ケ</t>
    </rPh>
    <phoneticPr fontId="78"/>
  </si>
  <si>
    <t>uki@chinasoft-tokyo.co.jp</t>
  </si>
  <si>
    <t>于　晞</t>
  </si>
  <si>
    <t>中軟東京株式会社</t>
  </si>
  <si>
    <t xml:space="preserve">ueno@ivywave.com </t>
  </si>
  <si>
    <t>ueno@ebskk.com</t>
  </si>
  <si>
    <t xml:space="preserve">ueda@t-for.co.jp </t>
  </si>
  <si>
    <t xml:space="preserve">ueda@creacom.co.jp </t>
  </si>
  <si>
    <t>ueda@afroci.com</t>
  </si>
  <si>
    <t>上田　一雄</t>
  </si>
  <si>
    <t>株式会社　アフロシー</t>
    <phoneticPr fontId="78"/>
  </si>
  <si>
    <t xml:space="preserve">uechi@genius-8.co.jp </t>
  </si>
  <si>
    <t xml:space="preserve">uchino_tomohisa@arc-mec.co.jp </t>
  </si>
  <si>
    <t xml:space="preserve">uchibori@uniss.co.jp </t>
  </si>
  <si>
    <t>u1@j-effect.co.jp</t>
  </si>
  <si>
    <t>tyou-ri@it-force.org</t>
  </si>
  <si>
    <t>趙</t>
  </si>
  <si>
    <t>株式会社Ｉ．Ｔフォース</t>
  </si>
  <si>
    <t>t-yano@e-xpert.co.jp</t>
  </si>
  <si>
    <t>矢野　孝浩</t>
  </si>
  <si>
    <t>有限会社　エクスパート</t>
  </si>
  <si>
    <t>twin@twn.co.jp</t>
  </si>
  <si>
    <t xml:space="preserve">tushioda@ipla2009.com </t>
  </si>
  <si>
    <t xml:space="preserve">tus001@ktus.jp </t>
  </si>
  <si>
    <t xml:space="preserve">t-ueno@crsnet.jp </t>
  </si>
  <si>
    <t>t-tamura@ado-tech.co.jp</t>
  </si>
  <si>
    <t>田村　孝章</t>
  </si>
  <si>
    <t>株式会社　アド</t>
  </si>
  <si>
    <t>t-takegami@nexarrows.com</t>
  </si>
  <si>
    <t xml:space="preserve">tsuzuki@intcpt.com </t>
  </si>
  <si>
    <t xml:space="preserve">tsunoda@fernridge.co.jp </t>
  </si>
  <si>
    <t>tsukamoto@powered-tech.com</t>
  </si>
  <si>
    <t>束本　雅昭</t>
  </si>
  <si>
    <t>株式会社　パワード・テック</t>
  </si>
  <si>
    <t xml:space="preserve">tsukahara@aag.co.jp </t>
  </si>
  <si>
    <t>tsukagoshi@iblaze.jp</t>
  </si>
  <si>
    <t xml:space="preserve">t-sudou@square-line.com </t>
  </si>
  <si>
    <t>tsuda@miraijoho.net</t>
  </si>
  <si>
    <t>須田　孝</t>
  </si>
  <si>
    <t>未来情報システム株式会社</t>
  </si>
  <si>
    <t>tsuasyusai@ten-ji.co.jp</t>
    <phoneticPr fontId="78"/>
  </si>
  <si>
    <t>車　生才</t>
    <phoneticPr fontId="78"/>
  </si>
  <si>
    <t>天時情報システム</t>
    <rPh sb="0" eb="1">
      <t>テン</t>
    </rPh>
    <rPh sb="1" eb="2">
      <t>ジ</t>
    </rPh>
    <rPh sb="2" eb="4">
      <t>ジョウホウ</t>
    </rPh>
    <phoneticPr fontId="78"/>
  </si>
  <si>
    <t xml:space="preserve">ts-syssales@tokyosoft.com </t>
  </si>
  <si>
    <t>t-sakuma@threes.ne.jp</t>
  </si>
  <si>
    <t xml:space="preserve">trd-b@brycen.co.jp </t>
  </si>
  <si>
    <t xml:space="preserve">t-ozawa@dsite.co.jp </t>
  </si>
  <si>
    <t xml:space="preserve">toyoji.onami@com-es.jp </t>
  </si>
  <si>
    <t xml:space="preserve">toyama@jyj-sunbridge.com   </t>
  </si>
  <si>
    <t>遠山　健一</t>
  </si>
  <si>
    <t>toumine@ze-ro.jp</t>
  </si>
  <si>
    <t>東峰洵</t>
  </si>
  <si>
    <t>株式会社ZERO</t>
  </si>
  <si>
    <t>toshio-takahashi@3s-sys.co.jp</t>
  </si>
  <si>
    <t xml:space="preserve">toshihiko.takemasa@mnwk.co.jp </t>
  </si>
  <si>
    <t xml:space="preserve">toshi_yabu.1992@perfect-m.co.jp </t>
  </si>
  <si>
    <t xml:space="preserve">toru@sanei-t.co.jp </t>
  </si>
  <si>
    <t xml:space="preserve">toriumi.m@gemnavi.jp </t>
  </si>
  <si>
    <t>tora3@ktsjoho.co.jp</t>
  </si>
  <si>
    <t>金田寅</t>
  </si>
  <si>
    <t>株式会社KTS</t>
  </si>
  <si>
    <t>tookouchi@greenvalleytrading.net</t>
  </si>
  <si>
    <t>大河内　敏次</t>
  </si>
  <si>
    <t>GVT株式会社</t>
  </si>
  <si>
    <t>tomomi-noda@macrosystem.co.jp</t>
  </si>
  <si>
    <t xml:space="preserve">tomomi.nagase@tdbax.co.jp </t>
  </si>
  <si>
    <t>tomoki_yamada@trustsystem.co.jp</t>
  </si>
  <si>
    <t>tomohiro.ogura@neosystem.co.jp</t>
  </si>
  <si>
    <t>小倉　智宏</t>
  </si>
  <si>
    <t>株式会社ネオシステム</t>
  </si>
  <si>
    <t xml:space="preserve">tomioka@mm-p.co.jp </t>
  </si>
  <si>
    <t xml:space="preserve">tomie.imamura@computerplanex.co.jp </t>
  </si>
  <si>
    <t>tokyo-sales@ds-solution.co.jp</t>
  </si>
  <si>
    <t>藤岡</t>
  </si>
  <si>
    <t>データシステムソリューション株式会社</t>
  </si>
  <si>
    <t xml:space="preserve">tokyo1@mobiled.jp </t>
  </si>
  <si>
    <t xml:space="preserve">tokyo_hrbp@arc-mec.co.jp </t>
  </si>
  <si>
    <t xml:space="preserve">tokyo@takweb.net </t>
  </si>
  <si>
    <t xml:space="preserve">tokuse@answernet.co.jp </t>
  </si>
  <si>
    <t xml:space="preserve">tokuo@lc2.co.jp </t>
  </si>
  <si>
    <t xml:space="preserve">tokuni.ueda@global-thinking.com </t>
  </si>
  <si>
    <t>tokuda@ten-web.co.jp</t>
  </si>
  <si>
    <t>株式会社Ten</t>
  </si>
  <si>
    <t xml:space="preserve">tokita@atsp-it.co.jp </t>
  </si>
  <si>
    <t>t-ohtani@ais-it.com</t>
  </si>
  <si>
    <t>大谷　智</t>
  </si>
  <si>
    <t>AI-System株式会社</t>
  </si>
  <si>
    <t>t-ohishi@fast-lane.jp</t>
  </si>
  <si>
    <t>t-ogura@mip.co.jp</t>
  </si>
  <si>
    <t>小倉貴志</t>
  </si>
  <si>
    <t>株式会社エム・アイ・ピー</t>
  </si>
  <si>
    <t>toda@comsinternational.com</t>
  </si>
  <si>
    <t xml:space="preserve">t-namiki@icnet.jp </t>
  </si>
  <si>
    <t>t-namiki@icnet.jp</t>
  </si>
  <si>
    <t>並木　隆</t>
  </si>
  <si>
    <t>株式会社アイ・シー・ネットワークス</t>
  </si>
  <si>
    <t xml:space="preserve">t-murayama@aqua-be.co.jp </t>
  </si>
  <si>
    <t xml:space="preserve">tmorishita@brycen.co.jp </t>
  </si>
  <si>
    <t xml:space="preserve">t-mochida@mediabase.co.jp </t>
  </si>
  <si>
    <t>t-miki@commission-diver.net</t>
  </si>
  <si>
    <t>三木　敏裕</t>
  </si>
  <si>
    <t>コミッションダイバー株式会社</t>
  </si>
  <si>
    <t>tmatsuda@designhouse-i.com</t>
  </si>
  <si>
    <t>t-masuda@i-enter.co.jp</t>
  </si>
  <si>
    <t>増田 俊之</t>
  </si>
  <si>
    <t>株式会社アイ・エンター</t>
  </si>
  <si>
    <t>t-mashiko@jadsys.co.jp</t>
  </si>
  <si>
    <t>営業担当</t>
  </si>
  <si>
    <t>増子　智昭</t>
  </si>
  <si>
    <t>株式会社日本アドシス</t>
  </si>
  <si>
    <t xml:space="preserve">t-kusama@eec.co.jp </t>
  </si>
  <si>
    <t>t-kubota@xmd.co.jp</t>
  </si>
  <si>
    <t>tkshin@gazeru.co.jp</t>
    <phoneticPr fontId="78"/>
  </si>
  <si>
    <t>申添淇</t>
    <rPh sb="0" eb="1">
      <t>シン</t>
    </rPh>
    <rPh sb="1" eb="2">
      <t>テン</t>
    </rPh>
    <rPh sb="2" eb="3">
      <t>キ</t>
    </rPh>
    <phoneticPr fontId="78"/>
  </si>
  <si>
    <t>ガゼル株式会社</t>
    <rPh sb="3" eb="5">
      <t>カブシキ</t>
    </rPh>
    <rPh sb="5" eb="7">
      <t>カイシャ</t>
    </rPh>
    <phoneticPr fontId="78"/>
  </si>
  <si>
    <t>申添淇</t>
  </si>
  <si>
    <t>ガゼル株式会社</t>
  </si>
  <si>
    <t>tks_aoki@cms.co.jp</t>
  </si>
  <si>
    <t>t-kokubun01@commission-diver.net</t>
  </si>
  <si>
    <t>【CDこくぶん】</t>
  </si>
  <si>
    <t xml:space="preserve">tk-ito@westnet.co.jp </t>
  </si>
  <si>
    <t>t-kawaguchi@dwn.co.jp</t>
  </si>
  <si>
    <t>t-kariya@go-partner.jp</t>
  </si>
  <si>
    <t>t-kamata@sis-g.co.jp</t>
  </si>
  <si>
    <t>東京テクニカルソリューション部長</t>
  </si>
  <si>
    <t>鎌田　剛</t>
  </si>
  <si>
    <t>エス・アイ・エス株式会社</t>
  </si>
  <si>
    <t xml:space="preserve">tk_sasaki@je-corp.co.jp </t>
  </si>
  <si>
    <t>TK@j-effect.co.jp</t>
  </si>
  <si>
    <t>080-5421-9306</t>
    <phoneticPr fontId="78"/>
  </si>
  <si>
    <t>tjlee@ghsolution.co.jp</t>
    <phoneticPr fontId="78"/>
  </si>
  <si>
    <t>李泰周</t>
    <phoneticPr fontId="78"/>
  </si>
  <si>
    <t>ＧＨソリューション</t>
    <phoneticPr fontId="78"/>
  </si>
  <si>
    <t>t-itou@b-tm.co.jp</t>
  </si>
  <si>
    <t>伊藤　嵩弥</t>
  </si>
  <si>
    <t>株式会社ビジネストータルマネージメント</t>
  </si>
  <si>
    <t xml:space="preserve">timamura@exceedone.co.jp </t>
  </si>
  <si>
    <t xml:space="preserve">t-ikoshi@tailwind.co.jp </t>
  </si>
  <si>
    <t xml:space="preserve">t-ikegami@crsnet.jp </t>
  </si>
  <si>
    <t>070-3830-8018</t>
    <phoneticPr fontId="78"/>
  </si>
  <si>
    <t>tian@tctmsoft.jp</t>
    <phoneticPr fontId="78"/>
  </si>
  <si>
    <t>田笑銘</t>
    <rPh sb="0" eb="1">
      <t>デン</t>
    </rPh>
    <rPh sb="1" eb="2">
      <t>ショウ</t>
    </rPh>
    <rPh sb="2" eb="3">
      <t>メイ</t>
    </rPh>
    <phoneticPr fontId="78"/>
  </si>
  <si>
    <t>日本立友ソフト株式会社</t>
    <rPh sb="7" eb="9">
      <t>カブシキ</t>
    </rPh>
    <rPh sb="9" eb="11">
      <t>カイシャ</t>
    </rPh>
    <phoneticPr fontId="78"/>
  </si>
  <si>
    <t>070-6484-6776</t>
    <phoneticPr fontId="78"/>
  </si>
  <si>
    <t>tian@mikisys.co.jp</t>
    <phoneticPr fontId="78"/>
  </si>
  <si>
    <t>田媛媛</t>
    <phoneticPr fontId="78"/>
  </si>
  <si>
    <t>ミキシステム株式会社</t>
  </si>
  <si>
    <t xml:space="preserve">t-harada@imagine-co.co.jp   </t>
  </si>
  <si>
    <t xml:space="preserve"> 原田智徳様</t>
  </si>
  <si>
    <t xml:space="preserve">t-gorokawa@eftweb.com </t>
  </si>
  <si>
    <t>tetsuo.goto@riverstone-soft.com</t>
  </si>
  <si>
    <t>後藤</t>
  </si>
  <si>
    <t>t-etoh@sela.co.jp</t>
  </si>
  <si>
    <t>terauchi@anets.co.jp</t>
  </si>
  <si>
    <t>寺内　誠</t>
  </si>
  <si>
    <t>エイネット株式会社</t>
  </si>
  <si>
    <t xml:space="preserve">terashita@nap-japan.net   </t>
  </si>
  <si>
    <t>寺下　菜津子</t>
  </si>
  <si>
    <t>terasaka@amazingbox.co.jp</t>
  </si>
  <si>
    <t>寺坂 智康</t>
  </si>
  <si>
    <t xml:space="preserve">terah@maruwasoft.co.jp </t>
  </si>
  <si>
    <t>terada@manten2.com</t>
  </si>
  <si>
    <t>株式会社ロボケン 寺田</t>
  </si>
  <si>
    <t>ten-kin@forward-soft.co.jp</t>
    <phoneticPr fontId="78"/>
  </si>
  <si>
    <t>展キン</t>
    <rPh sb="0" eb="1">
      <t>テン</t>
    </rPh>
    <phoneticPr fontId="78"/>
  </si>
  <si>
    <t xml:space="preserve">teitu@alead.co.jp </t>
  </si>
  <si>
    <t>teika@e-alt.co.jp</t>
  </si>
  <si>
    <t>鄭　華</t>
  </si>
  <si>
    <t>株式会社アルト</t>
  </si>
  <si>
    <t>ted.t@event-joy.com</t>
  </si>
  <si>
    <t xml:space="preserve">tatsuya.hayashi@asianlink.co.jp </t>
  </si>
  <si>
    <t>tatsuya.hayashi@asianlink.co.jp</t>
  </si>
  <si>
    <t>tatsuo.idani@exs-annex.co.jp</t>
  </si>
  <si>
    <t xml:space="preserve">tatsunori.asano@treebell.co.jp </t>
  </si>
  <si>
    <t>ta-terao@teraintl.co.jp</t>
  </si>
  <si>
    <t xml:space="preserve">tateno@shintaigi.co.jp </t>
  </si>
  <si>
    <t>tateishi@day-b.jp</t>
  </si>
  <si>
    <t>立石　晃一　</t>
  </si>
  <si>
    <t>株式会社デイブレイク</t>
  </si>
  <si>
    <t>tarui@pvac.co.jp</t>
  </si>
  <si>
    <t xml:space="preserve">tao.lin@gy-jp.com   </t>
  </si>
  <si>
    <t>lintao</t>
  </si>
  <si>
    <t xml:space="preserve">tanoue@tacsol.co.jp </t>
  </si>
  <si>
    <t xml:space="preserve">taninaka@jaic-g.com </t>
  </si>
  <si>
    <t xml:space="preserve">tanii@nse-inc.co.jp </t>
  </si>
  <si>
    <t>taniguchi@aisys-t.co.jp</t>
  </si>
  <si>
    <t xml:space="preserve">tani@jcbc.co.jp  </t>
  </si>
  <si>
    <t>谷 媛媛</t>
  </si>
  <si>
    <t xml:space="preserve">tanhong@inexus.co.jp   </t>
  </si>
  <si>
    <t>ネクサステクノロジー＿譚　鴻</t>
  </si>
  <si>
    <t>tangyibing@gridwind.com</t>
  </si>
  <si>
    <t>唐　一兵</t>
  </si>
  <si>
    <t>グリッドウィンド株式会社</t>
  </si>
  <si>
    <t>tanaka@workfield.co.jp</t>
  </si>
  <si>
    <t xml:space="preserve">tanaka@js-systems.jp </t>
  </si>
  <si>
    <t>tanaka@infoserv.co.jp</t>
  </si>
  <si>
    <t>tanaka@artenica.jp</t>
  </si>
  <si>
    <t>田中　祐哉</t>
  </si>
  <si>
    <t>株式会社アルテニカ</t>
  </si>
  <si>
    <t xml:space="preserve">tanaka.gi@msinet.co.jp </t>
  </si>
  <si>
    <t>tamuraizumi@gmail.com</t>
  </si>
  <si>
    <t>tamura@vimg.co.jp</t>
  </si>
  <si>
    <t>田村　実路</t>
  </si>
  <si>
    <t>ヴィマージ株式会社</t>
  </si>
  <si>
    <t xml:space="preserve">tamura@mail.hpy.co.jp </t>
  </si>
  <si>
    <t>takuzou.kizaki@intellect-inc.co.jp</t>
  </si>
  <si>
    <t>木崎　拓三</t>
  </si>
  <si>
    <t>株式会社インテレクト</t>
  </si>
  <si>
    <t xml:space="preserve">takuya-nagata@cal.co.jp </t>
  </si>
  <si>
    <t xml:space="preserve">takuya.itagaki@basic.co.jp </t>
  </si>
  <si>
    <t xml:space="preserve">takumico@dream.com </t>
  </si>
  <si>
    <t>takumi_komai@fexd.co.jp</t>
  </si>
  <si>
    <t>ご担当者</t>
  </si>
  <si>
    <t>フューチャー・エクシィード株式会社</t>
  </si>
  <si>
    <t xml:space="preserve">takizawa@mamol.co.jp   </t>
  </si>
  <si>
    <t>Ｍａｍｏｌの滝沢</t>
  </si>
  <si>
    <t>takeuchi-tomoji@kit.co.jp</t>
  </si>
  <si>
    <t>竹内</t>
  </si>
  <si>
    <t>株式会社久保田情報技研</t>
  </si>
  <si>
    <t xml:space="preserve">takeuchi@systemcube.co.jp </t>
  </si>
  <si>
    <t xml:space="preserve">takeuchi@mdltec.co.jp </t>
  </si>
  <si>
    <t xml:space="preserve">takeshi.toyata@acro-net.com </t>
  </si>
  <si>
    <t>takeshi.isobe@uni-info.co.jp</t>
  </si>
  <si>
    <t>takenaka@smazin.co.jp</t>
  </si>
  <si>
    <t>竹中元浩</t>
  </si>
  <si>
    <t>株式会社スマじん</t>
  </si>
  <si>
    <t>takenaka@knsw.co.jp</t>
  </si>
  <si>
    <t>竹中</t>
  </si>
  <si>
    <t>080-6255-9100</t>
    <phoneticPr fontId="78"/>
  </si>
  <si>
    <t>www.intesystem.co.jp</t>
    <phoneticPr fontId="78"/>
  </si>
  <si>
    <t>takemuraheng@gmail.com</t>
    <phoneticPr fontId="78"/>
  </si>
  <si>
    <t>竹村恒</t>
  </si>
  <si>
    <t>インテシス株式会社</t>
    <phoneticPr fontId="78"/>
  </si>
  <si>
    <t xml:space="preserve">Takehiko-toujima@syscrew.co.jp </t>
  </si>
  <si>
    <t>takeda@vas.ne.jp</t>
  </si>
  <si>
    <t xml:space="preserve">竹田耕介 </t>
  </si>
  <si>
    <t xml:space="preserve">株式会社バンガードシステム </t>
  </si>
  <si>
    <t>takeda@lunamare.co.jp</t>
  </si>
  <si>
    <t xml:space="preserve">takeda.s@l-ds.jp </t>
  </si>
  <si>
    <t>takeda.s@l-ds.jp</t>
  </si>
  <si>
    <t>武田　聡</t>
  </si>
  <si>
    <t>株式会社LDS</t>
  </si>
  <si>
    <t>takayuki.sairinji@dwn.co.jp</t>
  </si>
  <si>
    <t>西林寺　貴之</t>
  </si>
  <si>
    <t>データウェアネットワーク株式会社</t>
  </si>
  <si>
    <t>takayoshi.sasaki@global-thinking.com</t>
  </si>
  <si>
    <t xml:space="preserve">営業部   </t>
  </si>
  <si>
    <t>佐々木隆好</t>
  </si>
  <si>
    <t>株式会社グローバルシンキング</t>
  </si>
  <si>
    <t>takayasu.fujii@drice.jp</t>
  </si>
  <si>
    <t xml:space="preserve">takayama@netj.co.jp </t>
  </si>
  <si>
    <t xml:space="preserve">takaya_taneda@ssehd.co.jp </t>
  </si>
  <si>
    <t xml:space="preserve">takatsu@artista.co.jp </t>
  </si>
  <si>
    <t xml:space="preserve">takashi.saito@calm.co.jp </t>
  </si>
  <si>
    <t>takaoka@human-capital.co.jp</t>
  </si>
  <si>
    <t xml:space="preserve">takao@ozsoft.co.jp </t>
  </si>
  <si>
    <t>takao@ozsoft.co.jp</t>
  </si>
  <si>
    <t>takano@oceans.jpn.com</t>
  </si>
  <si>
    <t>takamitsu.mizushima@axeeds.com</t>
  </si>
  <si>
    <t>takahashi@unc.co.jp</t>
  </si>
  <si>
    <t>高橋</t>
  </si>
  <si>
    <t>ユナイテッド・ネットワーク株式会社</t>
  </si>
  <si>
    <t xml:space="preserve">takahashi@ric-net.co.jp </t>
  </si>
  <si>
    <t xml:space="preserve">takahashi@ntcomm.co.jp </t>
  </si>
  <si>
    <t xml:space="preserve">takahashi@maki-eng.co.jp </t>
  </si>
  <si>
    <t>takafumi.suzuki@r-arms.jp</t>
  </si>
  <si>
    <t>tajima@bigbros.net</t>
  </si>
  <si>
    <t>taichi.takayama@efu-addwis.co.jp</t>
  </si>
  <si>
    <t>高山　太一</t>
  </si>
  <si>
    <t>株式会社イーエフユーアドウィス</t>
  </si>
  <si>
    <t xml:space="preserve">tagu@world-info.co.jp </t>
  </si>
  <si>
    <t xml:space="preserve">tagai@tk.totyu.com </t>
  </si>
  <si>
    <t>営業マネージャー</t>
  </si>
  <si>
    <t>互　勝俊</t>
  </si>
  <si>
    <t>株式会社　東忠ソフト</t>
  </si>
  <si>
    <t>tadayuki.kudo@central-soft.co.jp</t>
  </si>
  <si>
    <t>工藤忠幸</t>
  </si>
  <si>
    <t>セントラルソフト株式会社</t>
  </si>
  <si>
    <t xml:space="preserve">t-abe@libellula.co.jp </t>
  </si>
  <si>
    <t>tabayashi.kohji@human-net.co.jp</t>
  </si>
  <si>
    <t xml:space="preserve">t_ushiki@rg-i.com   </t>
    <phoneticPr fontId="75"/>
  </si>
  <si>
    <t>牛木　剛</t>
  </si>
  <si>
    <t>t_shinohara@dealize.jp@dealize.jp</t>
  </si>
  <si>
    <t>株式会社ディアライズ・クラウディアドライブ</t>
  </si>
  <si>
    <t>t_shiga@enzantrades.co.jp</t>
  </si>
  <si>
    <t xml:space="preserve">t_otsuka@nt-systems.co.jp </t>
  </si>
  <si>
    <t>t_ohsato@ot-sol.com</t>
  </si>
  <si>
    <t>t_nakanishikt@quest-com.co.jp</t>
  </si>
  <si>
    <t>中西 海人</t>
  </si>
  <si>
    <t>Quest-Com株式会社</t>
  </si>
  <si>
    <t>t_nakamura@skyleaf.co.jp</t>
  </si>
  <si>
    <t>t_nakada@excel-system.co.jp</t>
  </si>
  <si>
    <t xml:space="preserve">t_maeda@c-bnk.com </t>
  </si>
  <si>
    <t>t_maeda@c-bnk.com</t>
  </si>
  <si>
    <t xml:space="preserve">t_inukai@mxq.mesh.ne.jp </t>
  </si>
  <si>
    <t xml:space="preserve">t_asano@fusionbrain.co.jp </t>
  </si>
  <si>
    <t>t_aoki@imagine-co.co.jp</t>
  </si>
  <si>
    <t>青木孝徳</t>
  </si>
  <si>
    <t>株式会社イマジン</t>
  </si>
  <si>
    <t>t.yamada@iforcom.jp;</t>
  </si>
  <si>
    <t xml:space="preserve">t.ueda@seplanning.co.jp </t>
  </si>
  <si>
    <t xml:space="preserve">t.sunaga@9lives.co.jp </t>
  </si>
  <si>
    <t xml:space="preserve">t.ren@tandx-group.com </t>
  </si>
  <si>
    <t>t.naoi@vgroup.jp</t>
  </si>
  <si>
    <t>直井</t>
  </si>
  <si>
    <t>株式会社Vカーネル</t>
  </si>
  <si>
    <t>t.miyamoto@shall.tokyo.jp</t>
  </si>
  <si>
    <t>宮本</t>
  </si>
  <si>
    <t xml:space="preserve">t.miyamoto@sayp.rdy.jp </t>
  </si>
  <si>
    <t>t.maeda@tomorrowlink.co.jp</t>
  </si>
  <si>
    <t>090-9972-7946</t>
    <phoneticPr fontId="78"/>
  </si>
  <si>
    <t>t.kyo@techware.co.jp</t>
    <phoneticPr fontId="78"/>
  </si>
  <si>
    <t>許　涛</t>
    <phoneticPr fontId="78"/>
  </si>
  <si>
    <t>テックウエア株式会社</t>
    <phoneticPr fontId="78"/>
  </si>
  <si>
    <t xml:space="preserve">t.kondou@groupaplay.net </t>
  </si>
  <si>
    <t xml:space="preserve">t.kodama@cscons.co.jp </t>
  </si>
  <si>
    <t>t.kitajima@anxsys.co.jp</t>
  </si>
  <si>
    <t>t.ito@bright-g.jp</t>
    <phoneticPr fontId="78"/>
  </si>
  <si>
    <t>伊藤　俊幸</t>
    <rPh sb="0" eb="2">
      <t>イトウ</t>
    </rPh>
    <rPh sb="3" eb="4">
      <t>トシ</t>
    </rPh>
    <rPh sb="4" eb="5">
      <t>ユキ</t>
    </rPh>
    <phoneticPr fontId="78"/>
  </si>
  <si>
    <t>株式会社ブライトD-Force</t>
    <rPh sb="0" eb="4">
      <t>カブシキガイシャ</t>
    </rPh>
    <phoneticPr fontId="78"/>
  </si>
  <si>
    <t>t.ishita@in-stance.com</t>
  </si>
  <si>
    <t>t.ichinose@rtmedias.com</t>
  </si>
  <si>
    <t>一之瀬登志雄</t>
  </si>
  <si>
    <t>リアルテイムメディア株式会社</t>
  </si>
  <si>
    <t xml:space="preserve">t.hirota@treebell.co.jp </t>
  </si>
  <si>
    <t>t.higuchi@ecs-ltd.co.jp</t>
  </si>
  <si>
    <t>t.harada@imsnet.co.jp</t>
  </si>
  <si>
    <t>t.baba@vgroup.jp</t>
  </si>
  <si>
    <t>馬場　知幸</t>
  </si>
  <si>
    <t>株式会社Ｖカレンシー</t>
  </si>
  <si>
    <t>090-6152-6700</t>
    <phoneticPr fontId="78"/>
  </si>
  <si>
    <t>syuriki@hotmail.com</t>
    <phoneticPr fontId="78"/>
  </si>
  <si>
    <t>株式会社東京エス・ティ・エス</t>
    <phoneticPr fontId="78"/>
  </si>
  <si>
    <t xml:space="preserve">syuketu@forestsoft.jp   </t>
  </si>
  <si>
    <t>フォレストソフト＿朱杰</t>
  </si>
  <si>
    <t>syuketu@forestsoft.jp</t>
  </si>
  <si>
    <t>朱</t>
  </si>
  <si>
    <t>フォレスト　ソフト株式会社</t>
  </si>
  <si>
    <t>朱傑</t>
  </si>
  <si>
    <t>フォレストソフト株式会社</t>
  </si>
  <si>
    <t xml:space="preserve">syu-kaneshima@mm-p.co.jp </t>
  </si>
  <si>
    <t>syu@hitotsu-cs.com</t>
  </si>
  <si>
    <t>専務取締役</t>
  </si>
  <si>
    <t>周　燕芬</t>
  </si>
  <si>
    <t>ヒトツウ商事株式会社</t>
  </si>
  <si>
    <t>system@i-phoenix.co.jp</t>
  </si>
  <si>
    <t>津田衛</t>
  </si>
  <si>
    <t>株式会社フェニックスシステムズ</t>
  </si>
  <si>
    <t xml:space="preserve">sys-sales@r14.co.jp </t>
  </si>
  <si>
    <t>sysm@agate.plala.or.jp</t>
  </si>
  <si>
    <t xml:space="preserve">syoui.sekine@clsinc.co.jp </t>
  </si>
  <si>
    <t>syouhei-tokuda@cal.co.jp</t>
  </si>
  <si>
    <t xml:space="preserve">syoka-chin@forward-soft.co.jp   </t>
  </si>
  <si>
    <t xml:space="preserve"> forward-soft 陳小華</t>
  </si>
  <si>
    <t xml:space="preserve">syoji@zest-co.jp </t>
  </si>
  <si>
    <t>syoji@zest-co.jp</t>
  </si>
  <si>
    <t>庄司　弘</t>
  </si>
  <si>
    <t>株式会社ZEST</t>
  </si>
  <si>
    <t xml:space="preserve">swjlgr0908@live.cn   </t>
  </si>
  <si>
    <t>桑 ?根</t>
  </si>
  <si>
    <t>090-6049-1818</t>
    <phoneticPr fontId="78"/>
  </si>
  <si>
    <t>swjlgr0908@live.cn</t>
    <phoneticPr fontId="78"/>
  </si>
  <si>
    <r>
      <t>桑</t>
    </r>
    <r>
      <rPr>
        <sz val="12"/>
        <rFont val="宋体"/>
        <family val="3"/>
        <charset val="134"/>
      </rPr>
      <t>锦</t>
    </r>
    <r>
      <rPr>
        <sz val="12"/>
        <rFont val="ＭＳ 明朝"/>
        <family val="1"/>
        <charset val="128"/>
      </rPr>
      <t>根</t>
    </r>
    <phoneticPr fontId="78"/>
  </si>
  <si>
    <t>中川広産株式会社</t>
    <rPh sb="4" eb="6">
      <t>カブシキ</t>
    </rPh>
    <rPh sb="6" eb="8">
      <t>カイシャ</t>
    </rPh>
    <phoneticPr fontId="78"/>
  </si>
  <si>
    <t xml:space="preserve">s-watanabe@shinka-ss.net </t>
  </si>
  <si>
    <t xml:space="preserve">suzuki-j@t-for.co.jp </t>
  </si>
  <si>
    <t>suzuki@ft-com.co.jp</t>
  </si>
  <si>
    <t xml:space="preserve">suzuki@6066.jp </t>
  </si>
  <si>
    <t xml:space="preserve">suyama@nrc-corp.com </t>
  </si>
  <si>
    <t>sutoh@hitotsu-cs.com</t>
  </si>
  <si>
    <t>事業部長</t>
  </si>
  <si>
    <t>須藤　健次</t>
  </si>
  <si>
    <t xml:space="preserve">susami@trentes.net </t>
  </si>
  <si>
    <t xml:space="preserve">sunto@nrc-corp.com </t>
  </si>
  <si>
    <t>sunshubin@ten-ji.co.jp</t>
    <phoneticPr fontId="78"/>
  </si>
  <si>
    <t>孫樹斌</t>
    <rPh sb="0" eb="1">
      <t>ソン</t>
    </rPh>
    <rPh sb="1" eb="2">
      <t>ジュ</t>
    </rPh>
    <rPh sb="2" eb="3">
      <t>ヒン</t>
    </rPh>
    <phoneticPr fontId="78"/>
  </si>
  <si>
    <t xml:space="preserve"> 080-5487-8613</t>
  </si>
  <si>
    <t>sun-qj@snssoft.co.jp</t>
  </si>
  <si>
    <t xml:space="preserve"> 取締役社長</t>
  </si>
  <si>
    <t>孫 前進</t>
  </si>
  <si>
    <t xml:space="preserve"> 株式会社SNSソフト</t>
  </si>
  <si>
    <t xml:space="preserve">sunny@bighandz.co.jp </t>
  </si>
  <si>
    <t>sunny@bighandz.co.jp</t>
  </si>
  <si>
    <t>孫 麗丹</t>
  </si>
  <si>
    <t xml:space="preserve">sunnet@sun-star.co.jp </t>
  </si>
  <si>
    <t>sung.shuyuan@isfnet.com</t>
  </si>
  <si>
    <t>宋　書源</t>
  </si>
  <si>
    <t>株式会社アイエスエフネットケア</t>
  </si>
  <si>
    <t>sun_l@amistrong.com</t>
    <phoneticPr fontId="78"/>
  </si>
  <si>
    <t>孫琳</t>
    <rPh sb="0" eb="1">
      <t>ソン</t>
    </rPh>
    <rPh sb="1" eb="2">
      <t>リン</t>
    </rPh>
    <phoneticPr fontId="78"/>
  </si>
  <si>
    <t>JP-孫琳 &lt;sun_l@amistrong.com&gt;</t>
    <phoneticPr fontId="78"/>
  </si>
  <si>
    <t>sun@ccc.co.jp</t>
  </si>
  <si>
    <t>孫 立新</t>
  </si>
  <si>
    <t>sumimoto@ibright.jp</t>
  </si>
  <si>
    <t>sugou@dream-v.co.jp</t>
  </si>
  <si>
    <t xml:space="preserve">sugiura@grs.co.jp </t>
  </si>
  <si>
    <t xml:space="preserve">sugita.hiroshi@isfnet.com </t>
  </si>
  <si>
    <t xml:space="preserve">suehiro@9010.co.jp </t>
  </si>
  <si>
    <t>sudo@e-northsea.com</t>
  </si>
  <si>
    <t>須藤　良久</t>
  </si>
  <si>
    <t>北海道情報産業株式会社</t>
  </si>
  <si>
    <t>s-tsurumoto@techno-file.co.jp</t>
  </si>
  <si>
    <t>sts-sales@suntechno-system.co.jp</t>
  </si>
  <si>
    <t>ITコンサルティング事業部</t>
  </si>
  <si>
    <t>栗秋　正基</t>
  </si>
  <si>
    <t>株式会社サンテクノシステム</t>
  </si>
  <si>
    <t xml:space="preserve">stanji@idac.co.jp </t>
  </si>
  <si>
    <t xml:space="preserve">s-tanaka@nextkey.co.jp </t>
  </si>
  <si>
    <t>s-takeda@jam-jump.com</t>
  </si>
  <si>
    <t xml:space="preserve">stakahashi@prime-tech.co.jp </t>
  </si>
  <si>
    <t xml:space="preserve">st_tsukahara@msinet.co.jp </t>
  </si>
  <si>
    <t>sss@shuretec.com</t>
  </si>
  <si>
    <t>ss@distant-view.co.jp</t>
  </si>
  <si>
    <t>部長</t>
  </si>
  <si>
    <t>海老名　昇</t>
  </si>
  <si>
    <t>株式会社ディスタント・ビュー</t>
  </si>
  <si>
    <t xml:space="preserve">soumu@staccato.co.jp </t>
  </si>
  <si>
    <t xml:space="preserve">sougen.kaneko@asianlink.co.jp </t>
  </si>
  <si>
    <t>sougen.kaneko@asianlink.co.jp</t>
  </si>
  <si>
    <t>sotoyama.s@active-it.co.jp</t>
  </si>
  <si>
    <t>外山真也</t>
  </si>
  <si>
    <t>アクティブ・アイティ株式会社</t>
  </si>
  <si>
    <t>songxy@suncom.ne.jp</t>
  </si>
  <si>
    <t>songxy@suncom.ne.jp</t>
    <phoneticPr fontId="75"/>
  </si>
  <si>
    <t xml:space="preserve">song_hai@encomware.com </t>
  </si>
  <si>
    <t>song.yan@connect-inc.jp</t>
  </si>
  <si>
    <t>宋 岩</t>
  </si>
  <si>
    <t xml:space="preserve">son@miraie-group.jp </t>
  </si>
  <si>
    <t>s-omata@nextagent.co.jp</t>
  </si>
  <si>
    <t>solution@realsys.co.jp</t>
  </si>
  <si>
    <t>朱　正銀</t>
  </si>
  <si>
    <t>リアルシス株式会社</t>
  </si>
  <si>
    <t>solution@i-sol.co.jp</t>
  </si>
  <si>
    <t xml:space="preserve">solution@fvt.co.jp </t>
  </si>
  <si>
    <t xml:space="preserve">solity@solity.com </t>
  </si>
  <si>
    <t>solity@solity.com</t>
  </si>
  <si>
    <t xml:space="preserve">s-ohta@atgs.jp </t>
  </si>
  <si>
    <t>soft-2saiyo@nihon-ids.co.jp</t>
  </si>
  <si>
    <t>080-9677-1668</t>
    <phoneticPr fontId="78"/>
  </si>
  <si>
    <t>sofesales01@i.softbank.jp</t>
    <phoneticPr fontId="78"/>
  </si>
  <si>
    <t>顧芳</t>
    <rPh sb="0" eb="1">
      <t>コ</t>
    </rPh>
    <rPh sb="1" eb="2">
      <t>ホウ</t>
    </rPh>
    <phoneticPr fontId="78"/>
  </si>
  <si>
    <t>株式会社ソフェスター</t>
    <phoneticPr fontId="78"/>
  </si>
  <si>
    <t>s-oda@crfts.co.jp</t>
  </si>
  <si>
    <t>株式会社　クラフト社</t>
  </si>
  <si>
    <t>so402shu@ai-2.co.jp</t>
  </si>
  <si>
    <t>会長</t>
  </si>
  <si>
    <t>園田　峻司</t>
  </si>
  <si>
    <t>株式会社アイツー</t>
  </si>
  <si>
    <t>snc-eigyou@sonic.sc</t>
  </si>
  <si>
    <t>s-miyagi@ibi-net.co.jp</t>
  </si>
  <si>
    <t>宮城繁次</t>
  </si>
  <si>
    <t>株式会社アイビネット</t>
  </si>
  <si>
    <t>smatsubara@bltinc.co.jp</t>
  </si>
  <si>
    <t>松原　駿</t>
  </si>
  <si>
    <t>バレットグループ株式会社</t>
  </si>
  <si>
    <t>sl@aag.co.jp</t>
  </si>
  <si>
    <t>女池和宏</t>
  </si>
  <si>
    <t>アクティブエージェント株式会社</t>
  </si>
  <si>
    <t xml:space="preserve">s-kawashima@aqua-be.co.jp </t>
  </si>
  <si>
    <t xml:space="preserve">s-kawaike@skynext.co.jp </t>
  </si>
  <si>
    <t>skatsu@symmetria.co.jp</t>
  </si>
  <si>
    <t>葛</t>
  </si>
  <si>
    <t>株式会社シンメトリア</t>
  </si>
  <si>
    <t xml:space="preserve">s-kase@ipo-corp.com </t>
  </si>
  <si>
    <t>si-takeda@edelta.co.jp</t>
  </si>
  <si>
    <t>s-ishida@umenity.co.jp</t>
  </si>
  <si>
    <t>代表取締役会長</t>
  </si>
  <si>
    <t>石田　伸吾</t>
  </si>
  <si>
    <t>株式会社ユメニティ</t>
  </si>
  <si>
    <t>sin@new-link.co.jp</t>
  </si>
  <si>
    <t>申　鴻緖</t>
  </si>
  <si>
    <t>株式会社NEW　LINK</t>
  </si>
  <si>
    <t>shuichi.kosugi@gbsol.co.jp</t>
  </si>
  <si>
    <t>小杉</t>
  </si>
  <si>
    <t>ＧＢＳ</t>
  </si>
  <si>
    <t xml:space="preserve">080-5053-2310 </t>
    <phoneticPr fontId="78"/>
  </si>
  <si>
    <t>shou.ss@info-max.jp</t>
    <phoneticPr fontId="78"/>
  </si>
  <si>
    <t>蒋サンサン　</t>
    <phoneticPr fontId="78"/>
  </si>
  <si>
    <t xml:space="preserve">株式会社インフォマックス </t>
    <phoneticPr fontId="78"/>
  </si>
  <si>
    <t>shota_i@earthlink.co.jp</t>
    <phoneticPr fontId="78"/>
  </si>
  <si>
    <t>市毛翔太</t>
    <phoneticPr fontId="78"/>
  </si>
  <si>
    <t>株式会社アースリンク</t>
  </si>
  <si>
    <t>shota.kinoshita@liberte-sys.co.jp</t>
  </si>
  <si>
    <t xml:space="preserve">s-honda@frontier-syssol.com </t>
  </si>
  <si>
    <t xml:space="preserve">shogo.satoh@agsystems.co.jp </t>
  </si>
  <si>
    <t xml:space="preserve">sho_yoshinaga@ysco.net </t>
  </si>
  <si>
    <t xml:space="preserve">sho@ozsoft.co.jp </t>
  </si>
  <si>
    <t xml:space="preserve">090-6543-1198 </t>
    <phoneticPr fontId="78"/>
  </si>
  <si>
    <t>shiyi.li@bcljapan.co.jp </t>
  </si>
  <si>
    <t>李 詩芸</t>
    <phoneticPr fontId="78"/>
  </si>
  <si>
    <t>株式会社ビー・シー・エル</t>
    <phoneticPr fontId="78"/>
  </si>
  <si>
    <t xml:space="preserve">shitara@git21.com </t>
  </si>
  <si>
    <t xml:space="preserve">shirai-sis@island.dti.ne.jp </t>
  </si>
  <si>
    <t>shirai@sinewave.co.jp</t>
  </si>
  <si>
    <t>白井輝紀</t>
  </si>
  <si>
    <t>株式会社サインウェーブ</t>
  </si>
  <si>
    <t xml:space="preserve">shirahata@witsys-japan.com </t>
  </si>
  <si>
    <t>shin-tetsu@livebridge.co.jp</t>
    <phoneticPr fontId="78"/>
  </si>
  <si>
    <t>申哲</t>
    <rPh sb="0" eb="1">
      <t>シン</t>
    </rPh>
    <rPh sb="1" eb="2">
      <t>テツ</t>
    </rPh>
    <phoneticPr fontId="78"/>
  </si>
  <si>
    <t>株式会社ライブブリッジ</t>
    <rPh sb="0" eb="2">
      <t>カブシキ</t>
    </rPh>
    <rPh sb="2" eb="4">
      <t>カイシャ</t>
    </rPh>
    <phoneticPr fontId="78"/>
  </si>
  <si>
    <t>shinozaki-t@tbrave.com</t>
  </si>
  <si>
    <t>shinoda@aisys-t.co.jp</t>
  </si>
  <si>
    <t>shinmura@no1s.biz</t>
  </si>
  <si>
    <t>株式会社ナンバーワンソリューションズ</t>
  </si>
  <si>
    <t>shinji-hirota@oita-apc.co.jp</t>
  </si>
  <si>
    <t>ゼネラルマネージャー</t>
  </si>
  <si>
    <t>廣田信治</t>
  </si>
  <si>
    <t>株式会社APC</t>
  </si>
  <si>
    <t>shinji.mega@f-scratch.com</t>
  </si>
  <si>
    <t>女鹿　慎司（株式会社フロムスクラッチ）</t>
  </si>
  <si>
    <t>shingo-tsushima@cal.co.jp</t>
  </si>
  <si>
    <t xml:space="preserve">shindo@tenda.co.jp </t>
  </si>
  <si>
    <t>shindo@tenda.co.jp</t>
  </si>
  <si>
    <t>平良 憲一郎</t>
  </si>
  <si>
    <t>株式会社テンダ</t>
  </si>
  <si>
    <t xml:space="preserve">shin@as-link.com   </t>
  </si>
  <si>
    <t>As-Link株式会社の秦 松甫</t>
  </si>
  <si>
    <t>shimizu-kouhei@availsolutions.co.jp</t>
  </si>
  <si>
    <t>shimazaki@zero-start.jp</t>
  </si>
  <si>
    <t>shimaya@rpc-ltd.co.jp</t>
  </si>
  <si>
    <t>課長</t>
  </si>
  <si>
    <t>島谷健朗</t>
  </si>
  <si>
    <t>株式会社アールピーシー</t>
  </si>
  <si>
    <t>営業部課長</t>
  </si>
  <si>
    <t xml:space="preserve">shimanoe@trs-first.jp </t>
  </si>
  <si>
    <t>shimada@asia-quest.jp</t>
  </si>
  <si>
    <t xml:space="preserve">shima@netts.co.jp </t>
  </si>
  <si>
    <t>shilu.huang@yidatec.co.jp</t>
  </si>
  <si>
    <t>黄世路</t>
  </si>
  <si>
    <t xml:space="preserve">shikata.ryosuke@chrono.co.jp </t>
  </si>
  <si>
    <t xml:space="preserve">shijian@e-glad.co.jp </t>
  </si>
  <si>
    <t>080-4338-2930</t>
    <phoneticPr fontId="78"/>
  </si>
  <si>
    <t>shiino@techtree.co.jp 　</t>
    <phoneticPr fontId="78"/>
  </si>
  <si>
    <t>椎野　元浩</t>
  </si>
  <si>
    <t>株式会社 テックツリー</t>
    <phoneticPr fontId="78"/>
  </si>
  <si>
    <t xml:space="preserve">shihzh@htsc.co.jp  </t>
  </si>
  <si>
    <t>史恒志</t>
  </si>
  <si>
    <t>080-4128-6278</t>
    <phoneticPr fontId="78"/>
  </si>
  <si>
    <t>shihzh@htsc.co.jp</t>
    <phoneticPr fontId="78"/>
  </si>
  <si>
    <t>史恒志</t>
    <rPh sb="0" eb="1">
      <t>シ</t>
    </rPh>
    <rPh sb="1" eb="2">
      <t>コウ</t>
    </rPh>
    <rPh sb="2" eb="3">
      <t>シ</t>
    </rPh>
    <phoneticPr fontId="78"/>
  </si>
  <si>
    <t>株式会社H&amp;T</t>
    <rPh sb="0" eb="2">
      <t>カブシキ</t>
    </rPh>
    <rPh sb="2" eb="4">
      <t>カイシャ</t>
    </rPh>
    <phoneticPr fontId="78"/>
  </si>
  <si>
    <t xml:space="preserve">shihong@ten-ji.com </t>
  </si>
  <si>
    <t>shihong@ten-ji.com</t>
  </si>
  <si>
    <t>sales@ten-ji.co.jp</t>
    <phoneticPr fontId="78"/>
  </si>
  <si>
    <t>shihong@ten-ji.co.jp</t>
    <phoneticPr fontId="78"/>
  </si>
  <si>
    <t>時紅</t>
    <rPh sb="0" eb="1">
      <t>ジ</t>
    </rPh>
    <rPh sb="1" eb="2">
      <t>ベニ</t>
    </rPh>
    <phoneticPr fontId="78"/>
  </si>
  <si>
    <t>shigeno@winas.jp</t>
  </si>
  <si>
    <t>ウィナスSES　重野</t>
  </si>
  <si>
    <t>shiga-t@applicative.jp</t>
  </si>
  <si>
    <t xml:space="preserve">shibuya@binary-love.co.jp </t>
  </si>
  <si>
    <t>shibazaki@uniss.co.jp</t>
  </si>
  <si>
    <t>shibata.masao@ossc-inc.jp</t>
  </si>
  <si>
    <t xml:space="preserve">shibasaki@meikou-f.com </t>
  </si>
  <si>
    <t>shi@itb-g.com</t>
  </si>
  <si>
    <t>史　傑平</t>
  </si>
  <si>
    <t>株式会社アイ・ティー・ビー</t>
  </si>
  <si>
    <t>sharu@jbdc.co.jp</t>
  </si>
  <si>
    <t>主任</t>
  </si>
  <si>
    <t>春木　伸介</t>
  </si>
  <si>
    <t>株式会社 日本経営データ・センター</t>
  </si>
  <si>
    <t>share@3sss.co.jp</t>
  </si>
  <si>
    <t>増沢　秀一</t>
  </si>
  <si>
    <t>株式会社システムシェアード</t>
  </si>
  <si>
    <t>shanqing331@yahoo.co.jp</t>
  </si>
  <si>
    <t>shanqing331@yahoo.co.jp</t>
    <phoneticPr fontId="75"/>
  </si>
  <si>
    <t>s-hanai@cosmostork.co.jp</t>
  </si>
  <si>
    <t>shahh@jcbc.co.jp</t>
  </si>
  <si>
    <t>謝 ?飛</t>
  </si>
  <si>
    <t>sha@rss-tk.com;eigyou001@rss-tk.com</t>
  </si>
  <si>
    <t>sha@rss-tk.com;</t>
  </si>
  <si>
    <t>sha@rss-tk.com</t>
  </si>
  <si>
    <t>謝 光</t>
  </si>
  <si>
    <t>sha@rss-tk.com</t>
    <phoneticPr fontId="75"/>
  </si>
  <si>
    <t>sha@kmkworld.com</t>
  </si>
  <si>
    <t>車 海潮</t>
  </si>
  <si>
    <t xml:space="preserve">sg-jin@kingsoft.co.jp </t>
  </si>
  <si>
    <t xml:space="preserve">sgh-nonaka@kra.biglobe.ne.jp </t>
  </si>
  <si>
    <t>sg@sunshine-power.co.jp</t>
  </si>
  <si>
    <t>宋 剛</t>
  </si>
  <si>
    <t>sg@sunshine-power.co.jp</t>
    <phoneticPr fontId="75"/>
  </si>
  <si>
    <t>s-fukushima@technowave.co.jp</t>
  </si>
  <si>
    <t>営業本部　東京営業第２課</t>
  </si>
  <si>
    <t>福島　周三</t>
  </si>
  <si>
    <t>株式会社テクノウェイブ</t>
  </si>
  <si>
    <t>s-fukushima@setsw.co.jp</t>
  </si>
  <si>
    <t>福島　英</t>
  </si>
  <si>
    <t>SETソフトウェア株式会社</t>
  </si>
  <si>
    <t>se-solution@sanei-system.co.jp</t>
  </si>
  <si>
    <t>ses-ml@strawbag.co.jp</t>
  </si>
  <si>
    <t xml:space="preserve">ses-info@frontier-hr.co.jp </t>
  </si>
  <si>
    <t>ses@winas.jp</t>
  </si>
  <si>
    <t>090-4715-5657</t>
  </si>
  <si>
    <t>ses@s-shine.co.jp</t>
  </si>
  <si>
    <t>村田 一哉</t>
  </si>
  <si>
    <t>有限会社サンシャイン</t>
  </si>
  <si>
    <t xml:space="preserve">ses@sinewave.co.jp </t>
  </si>
  <si>
    <t>ses@se-project.co.jp</t>
    <phoneticPr fontId="78"/>
  </si>
  <si>
    <t>株式会社エス・イー・プロジェクト</t>
    <rPh sb="0" eb="2">
      <t>カブシキ</t>
    </rPh>
    <rPh sb="2" eb="4">
      <t>カイシャ</t>
    </rPh>
    <phoneticPr fontId="78"/>
  </si>
  <si>
    <t>ses@scyna.com</t>
  </si>
  <si>
    <t xml:space="preserve">ses@mrp-net.co.jp </t>
  </si>
  <si>
    <t>ses@mrp-net.co.jp</t>
  </si>
  <si>
    <t xml:space="preserve">ses@ml.adore.bz </t>
  </si>
  <si>
    <t>se-s@mac-system.co.jp</t>
  </si>
  <si>
    <t>マックシステム株式会社</t>
  </si>
  <si>
    <t>ses@lbn.co.jp</t>
  </si>
  <si>
    <t xml:space="preserve">ses@ivywave.com </t>
  </si>
  <si>
    <t>ses@image-sol.com</t>
  </si>
  <si>
    <t>ses@i-infini.com</t>
  </si>
  <si>
    <t xml:space="preserve">ses@f-scratch.com </t>
  </si>
  <si>
    <t xml:space="preserve">ses@e-net-2.com </t>
  </si>
  <si>
    <t>ses@e-net-2.com</t>
  </si>
  <si>
    <t>ses@c-pistas.com</t>
  </si>
  <si>
    <t>株式会社cuatro?pistas(クアトロ・ピスタス</t>
  </si>
  <si>
    <t xml:space="preserve">ses@coresync.co.jp   </t>
  </si>
  <si>
    <t>株式会社コアシンク　SES事業部</t>
  </si>
  <si>
    <t xml:space="preserve">ses@applicative.jp </t>
  </si>
  <si>
    <t xml:space="preserve">ses@applicative.co.jp </t>
  </si>
  <si>
    <t>ses@anconsulting.jp</t>
  </si>
  <si>
    <t>多賀 ちか</t>
  </si>
  <si>
    <t>ses@agentec.jp</t>
  </si>
  <si>
    <t>南俊英</t>
  </si>
  <si>
    <t>株式会社エージェンテック</t>
  </si>
  <si>
    <t>ses.sales@freedomland.jp</t>
  </si>
  <si>
    <t>sensui@abil.co.jp</t>
  </si>
  <si>
    <t>チーフ</t>
  </si>
  <si>
    <t>泉水光晴</t>
  </si>
  <si>
    <t>株式会社アビリティーニッケン</t>
  </si>
  <si>
    <t>sekiguchi@i-inter.co.jp</t>
  </si>
  <si>
    <t>株式会社アイ・インターナショナル</t>
  </si>
  <si>
    <t xml:space="preserve">sekiguchi@bloomsystems.com </t>
  </si>
  <si>
    <t xml:space="preserve">seiichiro.doi@asno-sys.co.jp </t>
  </si>
  <si>
    <t>seiichi.baba@bbws.jp</t>
  </si>
  <si>
    <t>馬場 聖一</t>
  </si>
  <si>
    <t>株式会社 B.B</t>
  </si>
  <si>
    <t xml:space="preserve">seigo.ito@k-freund.co.jp </t>
  </si>
  <si>
    <t>seigo.ito@k-freund.co.jp</t>
  </si>
  <si>
    <t xml:space="preserve">se-grp@itcommunicationearth.com </t>
  </si>
  <si>
    <t xml:space="preserve">section-sales@world-link-system.com </t>
  </si>
  <si>
    <t>sec-eigyo@ablast.co.jp</t>
  </si>
  <si>
    <t>執行役員</t>
  </si>
  <si>
    <t>小野　健太郎</t>
  </si>
  <si>
    <t>株式会社アーク・ブラスト</t>
  </si>
  <si>
    <t xml:space="preserve">sboku@aozora-net.co.jp </t>
  </si>
  <si>
    <t xml:space="preserve">sayuri.kobayashi@acro-net.com </t>
  </si>
  <si>
    <t xml:space="preserve">sayuri.hiratsuka@fusionia.co.jp </t>
  </si>
  <si>
    <t xml:space="preserve">sawazaki.y@sic-kk.co.jp </t>
  </si>
  <si>
    <t xml:space="preserve">sawada@c-h-c.co.jp </t>
  </si>
  <si>
    <t>satou@spread-net.co.jp</t>
  </si>
  <si>
    <t>佐藤　顕寛</t>
  </si>
  <si>
    <t>株式会社スプレッド</t>
  </si>
  <si>
    <t xml:space="preserve">satou@infes.jp </t>
  </si>
  <si>
    <t>satoshi.tooi@seattleconsulting.co.jp</t>
  </si>
  <si>
    <t xml:space="preserve">sato_masayoshi@jade-info.net </t>
  </si>
  <si>
    <t xml:space="preserve">sato@pcn-j.co.jp </t>
  </si>
  <si>
    <t>sato@nsy-inc.jp</t>
  </si>
  <si>
    <t xml:space="preserve">sato@ijos.co.jp </t>
  </si>
  <si>
    <t xml:space="preserve">sato@absinc.co.jp </t>
  </si>
  <si>
    <t xml:space="preserve">satake@world-info.co.jp </t>
  </si>
  <si>
    <t>satake@cs-p.co.jp</t>
  </si>
  <si>
    <t>営業部</t>
  </si>
  <si>
    <t>佐竹　和明</t>
  </si>
  <si>
    <t>株式会社CSプランニング</t>
  </si>
  <si>
    <t xml:space="preserve">satake@cbs-n.com </t>
  </si>
  <si>
    <t>satake@cbs-n.com</t>
  </si>
  <si>
    <t xml:space="preserve">"佐竹＠CBS㈱" </t>
  </si>
  <si>
    <t xml:space="preserve">sasuzuki@rpc-ltd.co.jp </t>
  </si>
  <si>
    <t xml:space="preserve">sasatani@softem.com   </t>
  </si>
  <si>
    <t>Softemcom笹谷</t>
  </si>
  <si>
    <t>eigyo.t@softem.com</t>
  </si>
  <si>
    <t>sasatani@softem.com</t>
  </si>
  <si>
    <t>SOFTEMCOM東京</t>
  </si>
  <si>
    <t xml:space="preserve">sasatani@euphoria-it.com </t>
  </si>
  <si>
    <t xml:space="preserve">sasakit@computersystemlab.co.jp </t>
  </si>
  <si>
    <t>sasaki@technopower.co.jp</t>
  </si>
  <si>
    <t>佐々木　修</t>
  </si>
  <si>
    <t>株式会社テクノパワー</t>
  </si>
  <si>
    <t>sarb-bp@sarb.jp</t>
  </si>
  <si>
    <t>sano@hithit.co.jp</t>
  </si>
  <si>
    <t>佐野　</t>
  </si>
  <si>
    <t>株式会社ピー・フォース・システムズ</t>
  </si>
  <si>
    <t xml:space="preserve">salijapan@hotmail.com </t>
  </si>
  <si>
    <t>sales-tse@kktse.co.jp</t>
  </si>
  <si>
    <t xml:space="preserve">sales-tse@kkse.co.jp </t>
  </si>
  <si>
    <t xml:space="preserve">sales-tokyo@pico.co.jp </t>
  </si>
  <si>
    <t>sales-tokyo@fois.co.jp</t>
  </si>
  <si>
    <t>salesg@geoteck.co.jp</t>
  </si>
  <si>
    <t xml:space="preserve">salesdiv@tbn.co.jp </t>
  </si>
  <si>
    <t xml:space="preserve">sales-div@msinet.co.jp </t>
  </si>
  <si>
    <t>sales-department-avnz@ml.avnz.co.jp</t>
  </si>
  <si>
    <t>鈴木陽太</t>
  </si>
  <si>
    <t>salesall@sogeninc.co.jp</t>
  </si>
  <si>
    <t xml:space="preserve">sales-all@neuron-network.co.jp </t>
  </si>
  <si>
    <t>sales7g@geoteck.co.jp</t>
  </si>
  <si>
    <t>sales3g@geoteck.co.jp</t>
  </si>
  <si>
    <t xml:space="preserve">sales2@inw.jp </t>
  </si>
  <si>
    <t xml:space="preserve">sales1@h-so.co.jp </t>
  </si>
  <si>
    <t xml:space="preserve">sales01@trinitas.jp </t>
  </si>
  <si>
    <t xml:space="preserve">sales_trentes@trentes.net </t>
  </si>
  <si>
    <t>sales_ses@itto-inc.net</t>
  </si>
  <si>
    <t>松谷　修</t>
  </si>
  <si>
    <t xml:space="preserve">株式会社一燈 </t>
  </si>
  <si>
    <t>sales_s@b-engineer.com</t>
  </si>
  <si>
    <t>鈴木</t>
  </si>
  <si>
    <t>BRANDING ENGINEER</t>
  </si>
  <si>
    <t>sales_partner@arths-net.co.jp</t>
  </si>
  <si>
    <t>sales_info@soarest.co.jp</t>
  </si>
  <si>
    <t>久保田晃浩</t>
  </si>
  <si>
    <t>株式会社ソアレスト</t>
  </si>
  <si>
    <t>sales_all@r-learning.co.jp</t>
  </si>
  <si>
    <t>sales@zoccon.me</t>
  </si>
  <si>
    <t>ON SALES DIVISION / 株式会社ON</t>
  </si>
  <si>
    <t xml:space="preserve">sales@yaz.co.jp </t>
  </si>
  <si>
    <t>sales@yanda.co.jp</t>
  </si>
  <si>
    <t xml:space="preserve">sales@wingsystem.co.jp </t>
  </si>
  <si>
    <t>sales@wingsystem.co.jp</t>
  </si>
  <si>
    <t>システム営業 部</t>
  </si>
  <si>
    <t>080-3653-7806</t>
    <phoneticPr fontId="78"/>
  </si>
  <si>
    <t>sales@wetec.co.jp</t>
    <phoneticPr fontId="78"/>
  </si>
  <si>
    <t>周　春燕</t>
    <phoneticPr fontId="78"/>
  </si>
  <si>
    <t>株式会社WeTec</t>
    <phoneticPr fontId="78"/>
  </si>
  <si>
    <t xml:space="preserve">sales@vv-net.co.jp </t>
  </si>
  <si>
    <t>sales@visulia-g.jp</t>
  </si>
  <si>
    <t>斎藤優介</t>
  </si>
  <si>
    <t>株式会社ヴィズリアデザイン</t>
  </si>
  <si>
    <t>営業課長</t>
  </si>
  <si>
    <t>村上　芳幸</t>
  </si>
  <si>
    <t>SOC株式会社</t>
  </si>
  <si>
    <t xml:space="preserve">sales@valuenet.co.jp </t>
  </si>
  <si>
    <t xml:space="preserve">sales@unitrust.co.jp </t>
  </si>
  <si>
    <t>sales@unitedwill.jp</t>
  </si>
  <si>
    <t>山口　芳幸</t>
  </si>
  <si>
    <t>株式会社ユナイテッドウィル</t>
  </si>
  <si>
    <t>sales@umenetts.co.jp</t>
  </si>
  <si>
    <t>ユーエムイーネッツ</t>
  </si>
  <si>
    <t xml:space="preserve">sales@tsrs.co.jp </t>
  </si>
  <si>
    <t xml:space="preserve">sales@ts4g.net t-shinagawa@3sss.co.jp </t>
  </si>
  <si>
    <t>sales@tns-g.com</t>
  </si>
  <si>
    <t>sales@terabox.jp</t>
  </si>
  <si>
    <t>斎藤 中国</t>
  </si>
  <si>
    <t xml:space="preserve">sales@techtree.co.jp  </t>
  </si>
  <si>
    <t>営業＠テックツリー</t>
  </si>
  <si>
    <t xml:space="preserve">sales@techtree.co.jp </t>
  </si>
  <si>
    <t>sales@techtree.co.jp</t>
  </si>
  <si>
    <t>中川</t>
  </si>
  <si>
    <t xml:space="preserve">sales@techno-premier.co.jp </t>
  </si>
  <si>
    <t>sales@system-sophia.co.jp</t>
  </si>
  <si>
    <t>マネ－ジャ－</t>
  </si>
  <si>
    <t>渡辺　忠司</t>
  </si>
  <si>
    <t>株式会社システムソフィア</t>
  </si>
  <si>
    <t>sales@symmetria.co.jp</t>
  </si>
  <si>
    <t>趙ナイ</t>
  </si>
  <si>
    <t>sales@suehiro-s.jp</t>
  </si>
  <si>
    <t>川越　昭夫</t>
  </si>
  <si>
    <t>株式会社 末広システム</t>
  </si>
  <si>
    <t>sales@style-free.cp.jp</t>
  </si>
  <si>
    <t xml:space="preserve">sales@style-free.co.jp </t>
  </si>
  <si>
    <t>sales@style-free.co.jp</t>
  </si>
  <si>
    <t>島田 篤史</t>
  </si>
  <si>
    <t>株式会社スタイルフリー</t>
  </si>
  <si>
    <t xml:space="preserve">sales@stella-group.com </t>
  </si>
  <si>
    <t xml:space="preserve">sales@square-line.com </t>
  </si>
  <si>
    <t xml:space="preserve">sales@solidseed.co.jp </t>
  </si>
  <si>
    <t>sales@solidseed.co.jp</t>
  </si>
  <si>
    <t>sales@smhc.co.jp</t>
  </si>
  <si>
    <t>李　鉉道</t>
  </si>
  <si>
    <t>SMHC株式会社</t>
  </si>
  <si>
    <t>sales@shoei-int.com</t>
  </si>
  <si>
    <t>堺</t>
  </si>
  <si>
    <t>sales@shinesoft.co.jp</t>
  </si>
  <si>
    <t>張振</t>
  </si>
  <si>
    <t>株式会社シャインソフト</t>
  </si>
  <si>
    <t>sales@shantery.co.jp</t>
  </si>
  <si>
    <t>sales@sense-si.com</t>
  </si>
  <si>
    <t>朝日 中国</t>
  </si>
  <si>
    <t>sales@secure-i.jp</t>
  </si>
  <si>
    <t>宮本　尚寛</t>
  </si>
  <si>
    <t>株式会社セキュアクォリアランス</t>
  </si>
  <si>
    <t>sales@saj.co.jp</t>
  </si>
  <si>
    <t>営業ご担当者</t>
  </si>
  <si>
    <t>株式会社システムエージェントジャパン</t>
  </si>
  <si>
    <t>sales@rtmedias.com</t>
  </si>
  <si>
    <t>sales@rootage.co.jp</t>
  </si>
  <si>
    <t>sales@re-cent.co.jp</t>
  </si>
  <si>
    <t>株式会社リーセント</t>
  </si>
  <si>
    <t>sales@rebo.co.jp</t>
  </si>
  <si>
    <t>sales@qualia-ga.co.jp</t>
  </si>
  <si>
    <t>sales@proud-g.jp</t>
  </si>
  <si>
    <t>渡邊　聡一</t>
  </si>
  <si>
    <t>株式会社プラウドカーネル</t>
  </si>
  <si>
    <t>sales@presq.co.jp</t>
  </si>
  <si>
    <t>伊藤　瑞穂</t>
  </si>
  <si>
    <t>株式会社プレスク</t>
  </si>
  <si>
    <t>sales@p-branch.co.jp</t>
  </si>
  <si>
    <t>松枝一孝</t>
  </si>
  <si>
    <t>株式会社ブランチ</t>
  </si>
  <si>
    <t xml:space="preserve">sales@pacific-sys.jp </t>
  </si>
  <si>
    <t xml:space="preserve">sales@ozsoft.co.jp </t>
  </si>
  <si>
    <t>sales@okt.tv</t>
  </si>
  <si>
    <t xml:space="preserve">sales@observe.co.jp </t>
  </si>
  <si>
    <t>sales@observe.co.jp</t>
  </si>
  <si>
    <t xml:space="preserve">sales@ob-g.jp </t>
  </si>
  <si>
    <t xml:space="preserve">sales@ntcomm.co.jp </t>
  </si>
  <si>
    <t xml:space="preserve">sales@north-tech.co.jp </t>
  </si>
  <si>
    <t>sales@nodecom.jp</t>
  </si>
  <si>
    <t>近藤雄洋</t>
  </si>
  <si>
    <t>sales@net-file.co.jp</t>
  </si>
  <si>
    <t>岡田亮</t>
  </si>
  <si>
    <t>株式会社NetFile</t>
  </si>
  <si>
    <t>090-9392-2014</t>
    <phoneticPr fontId="78"/>
  </si>
  <si>
    <t>sales@nap-japan.net</t>
  </si>
  <si>
    <t>寺下菜津子</t>
  </si>
  <si>
    <t>株式会社NAP</t>
  </si>
  <si>
    <t>sales@nagisalabs.org</t>
  </si>
  <si>
    <t>スマートソリューション部　部長</t>
  </si>
  <si>
    <t>中山　茂</t>
  </si>
  <si>
    <t>株式会社渚ラボ</t>
  </si>
  <si>
    <t>sales@nagatake.co.jp</t>
  </si>
  <si>
    <t>鎌田賢亮</t>
  </si>
  <si>
    <t>エヌアイシィ株式会社</t>
  </si>
  <si>
    <t>sales@myk-k.com</t>
  </si>
  <si>
    <t>日向　玖美</t>
  </si>
  <si>
    <t>株式会社エム．ワイ．ケー</t>
  </si>
  <si>
    <t>sales@mucons.jp</t>
  </si>
  <si>
    <t>sales@mimaze.co.jp</t>
  </si>
  <si>
    <t>sales@maruwasoft.co.jp</t>
  </si>
  <si>
    <t>稲泉　南美</t>
  </si>
  <si>
    <t>マルワソフト株式会社</t>
  </si>
  <si>
    <t>sales@luxiar.com</t>
  </si>
  <si>
    <t xml:space="preserve">sales@lucent-global.co.jp </t>
  </si>
  <si>
    <t>sales@lucent-global.co.jp</t>
  </si>
  <si>
    <t>sales@lotusandcompanyinc.com</t>
  </si>
  <si>
    <t>sales@kzcom.jp</t>
  </si>
  <si>
    <t>ケイズドットコム株式会社</t>
  </si>
  <si>
    <t xml:space="preserve">sales@kkk-c.com </t>
  </si>
  <si>
    <t>sales@k-id.co.jp</t>
  </si>
  <si>
    <t xml:space="preserve">sales@kanamekey.com </t>
  </si>
  <si>
    <t>sales@kanamekey.com</t>
  </si>
  <si>
    <t>株式会社　要</t>
  </si>
  <si>
    <t>sales@jtpro.jp</t>
  </si>
  <si>
    <t>株式会社日本技研プロフェッショナルアーキテクト</t>
  </si>
  <si>
    <t>sales@joyworks.jp</t>
  </si>
  <si>
    <t>黒川幹代</t>
  </si>
  <si>
    <t>株式会社ジョイワークス</t>
  </si>
  <si>
    <t>sales@itk-grp.com</t>
  </si>
  <si>
    <t>岡田　和也</t>
  </si>
  <si>
    <t>株式会社ｉｔｋ</t>
  </si>
  <si>
    <t>sales@infosea.co.jp</t>
  </si>
  <si>
    <t>王</t>
  </si>
  <si>
    <t>インフォシー株式会社</t>
  </si>
  <si>
    <t>sales@info-next.jp</t>
  </si>
  <si>
    <t>sales@ic-com.co.jp</t>
  </si>
  <si>
    <t>柿木原　隼人</t>
  </si>
  <si>
    <t>アイシーコム株式会社</t>
  </si>
  <si>
    <t xml:space="preserve">sales@humanetech.jp </t>
  </si>
  <si>
    <t xml:space="preserve">sales@hiwell.co.jp </t>
  </si>
  <si>
    <t>sales@hiwell.co.jp</t>
  </si>
  <si>
    <t xml:space="preserve">sales@higuchi-consulting.com </t>
  </si>
  <si>
    <t>sales@higuchi-consulting.com</t>
  </si>
  <si>
    <t>sales@highflyer.jp</t>
  </si>
  <si>
    <t>sales@ghyperion.biz</t>
  </si>
  <si>
    <t xml:space="preserve">sales@fspartners.co.jp </t>
  </si>
  <si>
    <t>sales@fnbs.co.jp</t>
  </si>
  <si>
    <t>松本　由美子</t>
  </si>
  <si>
    <t>株式会社フナビス</t>
  </si>
  <si>
    <t>sales@flexagent.co.jp</t>
  </si>
  <si>
    <t xml:space="preserve">sales@flect.co.jp </t>
  </si>
  <si>
    <t>sales@flect.co.jp</t>
  </si>
  <si>
    <t xml:space="preserve">sales@fernridge.co.jp </t>
  </si>
  <si>
    <t>sales@fernridge.co.jp</t>
  </si>
  <si>
    <t>03-3780-7035</t>
    <phoneticPr fontId="78"/>
  </si>
  <si>
    <t>sales@fernridge.co.jp</t>
    <phoneticPr fontId="78"/>
  </si>
  <si>
    <t>営業本部</t>
    <phoneticPr fontId="78"/>
  </si>
  <si>
    <t>ファーンリッジ・ジャパン</t>
    <phoneticPr fontId="78"/>
  </si>
  <si>
    <t>sales@event-joy.com</t>
  </si>
  <si>
    <t xml:space="preserve">sales@euphoria-it.com </t>
  </si>
  <si>
    <t>sales@e-smile.ne.jp</t>
  </si>
  <si>
    <t xml:space="preserve">sales@e-net-2.com </t>
  </si>
  <si>
    <t xml:space="preserve">sales@efourtion.jp </t>
  </si>
  <si>
    <t>sales@efourtion.jp</t>
  </si>
  <si>
    <t>エフォーション営業部</t>
  </si>
  <si>
    <t>sales@e-fi.co.jp</t>
  </si>
  <si>
    <t>志田　美沙樹</t>
  </si>
  <si>
    <t>株式会社イーエフアイ</t>
  </si>
  <si>
    <t>sales@edge-system.jp</t>
  </si>
  <si>
    <t>sales@edge-consulting.jp</t>
  </si>
  <si>
    <t>営業企画部</t>
  </si>
  <si>
    <t>鶴田　修一</t>
  </si>
  <si>
    <t>エッジコンサルティング株式会社</t>
  </si>
  <si>
    <t xml:space="preserve">sales@e-business.co.jp </t>
  </si>
  <si>
    <t xml:space="preserve">sales@drtech.jp   </t>
  </si>
  <si>
    <t>李亜東様</t>
  </si>
  <si>
    <t>sales@drtech.jp</t>
  </si>
  <si>
    <t>営業共通</t>
  </si>
  <si>
    <t>ディー・アール・テクノロジー株式会社</t>
  </si>
  <si>
    <t>sales@directmessage.co.jp</t>
  </si>
  <si>
    <t>sales@digiwks.com</t>
  </si>
  <si>
    <t>山崎　英暁</t>
  </si>
  <si>
    <t>株式会社デジタルワークス</t>
  </si>
  <si>
    <t>sales@digitalpipeline.jp</t>
  </si>
  <si>
    <t>浦上 貴善</t>
  </si>
  <si>
    <t>有限会社 デジタルパイプライン</t>
  </si>
  <si>
    <t>sales@digitalio.co.jp</t>
  </si>
  <si>
    <t xml:space="preserve">sales@computerplanex.co.jp </t>
  </si>
  <si>
    <t>sales@clinks.jp</t>
  </si>
  <si>
    <t xml:space="preserve">sales@c-h-c.co.jp </t>
  </si>
  <si>
    <t xml:space="preserve">sales@c3-inc.jp </t>
  </si>
  <si>
    <t xml:space="preserve">sales@bravance.co.jp </t>
  </si>
  <si>
    <t>sales@bravance.co.jp</t>
  </si>
  <si>
    <t xml:space="preserve">sales@bitstrong.com </t>
  </si>
  <si>
    <t xml:space="preserve">sales@bestpartner.co.jp </t>
  </si>
  <si>
    <t>sales@bcc-ltd.co.jp</t>
  </si>
  <si>
    <t xml:space="preserve">sales@bartholojapan.jp </t>
  </si>
  <si>
    <t>sales@bartholojapan.jp</t>
  </si>
  <si>
    <t>sales@baroque-w.jp</t>
  </si>
  <si>
    <t>和田理央</t>
  </si>
  <si>
    <t>バロックワークス株式会社</t>
  </si>
  <si>
    <t>sales@axisware.co.jp</t>
  </si>
  <si>
    <t>sales@axiscreate.com</t>
  </si>
  <si>
    <t>sales@attsu.co.jp</t>
  </si>
  <si>
    <t>宮川 隆登司</t>
  </si>
  <si>
    <t>株式会社アッツ</t>
  </si>
  <si>
    <t>sales@a-sol-jp.com</t>
  </si>
  <si>
    <t>sales@asil.co.jp</t>
  </si>
  <si>
    <t>株式会社エイシル</t>
  </si>
  <si>
    <t>sales@aqured.co.jp</t>
  </si>
  <si>
    <t xml:space="preserve">sales@appro.jp </t>
  </si>
  <si>
    <t>sales@anisys.com</t>
  </si>
  <si>
    <t xml:space="preserve">sales@al-j.co.jp </t>
  </si>
  <si>
    <t xml:space="preserve">sales@aimu.co.jp </t>
  </si>
  <si>
    <t xml:space="preserve">sales@agora-tech.co.jp </t>
  </si>
  <si>
    <t>sales@agile-dev.jp</t>
  </si>
  <si>
    <t>sales@ae-st.com</t>
  </si>
  <si>
    <t>アエスト株式会社</t>
  </si>
  <si>
    <t>sales@ad-win.jp</t>
  </si>
  <si>
    <t>sales@acrowavenet.com</t>
  </si>
  <si>
    <t>吉井伸太郎</t>
  </si>
  <si>
    <t>株式会社アクロウェーブネット</t>
  </si>
  <si>
    <t>sales@acrovision.jp</t>
  </si>
  <si>
    <t>sales@abinet.co.jp</t>
  </si>
  <si>
    <t>鈴木潤一</t>
  </si>
  <si>
    <t>株式会社アビリティ</t>
  </si>
  <si>
    <t>sales@abi-inc.co.jp</t>
  </si>
  <si>
    <t>sales@5degrees.co.jp</t>
  </si>
  <si>
    <t xml:space="preserve">sales.dept@onsite-technology.co.jp </t>
  </si>
  <si>
    <t xml:space="preserve">sale@aevic.co.jp </t>
  </si>
  <si>
    <t xml:space="preserve">sakura@kreis-networks.com </t>
  </si>
  <si>
    <t>sakiya@temptech.co.jp</t>
  </si>
  <si>
    <t>sakaue@infrontinc.co.jp</t>
  </si>
  <si>
    <t>坂上　保則</t>
  </si>
  <si>
    <t>株式会社インフロント</t>
  </si>
  <si>
    <t>sakamoto-shinichi@kasugado.co.jp</t>
  </si>
  <si>
    <t>坂本　伸一</t>
  </si>
  <si>
    <t>株式会社カスガ堂</t>
  </si>
  <si>
    <t>sakamoto@prm.ne.jp</t>
  </si>
  <si>
    <t>sakamaki@sinewave.co.jp</t>
  </si>
  <si>
    <t xml:space="preserve">sakakibara@septjp.co.jp </t>
  </si>
  <si>
    <t xml:space="preserve">sakaihts@axis-systems.co.jp </t>
  </si>
  <si>
    <t>sakai@shoei-int.com</t>
  </si>
  <si>
    <t xml:space="preserve">sakai@r-factory.jp </t>
  </si>
  <si>
    <t>sakai@nisso-ind.co.jp</t>
  </si>
  <si>
    <t xml:space="preserve">saiyunan@letsbb.net </t>
  </si>
  <si>
    <t xml:space="preserve">saiyo@inw.jp </t>
  </si>
  <si>
    <t>090-7803-9780</t>
    <phoneticPr fontId="78"/>
  </si>
  <si>
    <t>saiu@gojapan.co.jp</t>
    <phoneticPr fontId="78"/>
  </si>
  <si>
    <t>崔曇鶴</t>
    <rPh sb="0" eb="1">
      <t>サイ</t>
    </rPh>
    <rPh sb="1" eb="2">
      <t>クモ</t>
    </rPh>
    <rPh sb="2" eb="3">
      <t>ツル</t>
    </rPh>
    <phoneticPr fontId="78"/>
  </si>
  <si>
    <t>株式会社ジーオー・ジャパン</t>
    <phoneticPr fontId="78"/>
  </si>
  <si>
    <t>saitou@sipclub.com</t>
  </si>
  <si>
    <t>斎藤　繁</t>
  </si>
  <si>
    <t>株式会社システム・インテグレーテッド・パートナーズ</t>
  </si>
  <si>
    <t>saito_yu@atmarksol.jp</t>
  </si>
  <si>
    <t xml:space="preserve">saito@forum-science.co.jp </t>
  </si>
  <si>
    <t xml:space="preserve">saito@dfj.co.jp </t>
  </si>
  <si>
    <t>saito.kyota@zynas.co.jp</t>
  </si>
  <si>
    <t>saikawa@n-support.jp</t>
  </si>
  <si>
    <t xml:space="preserve">sai@petatec.co.jp  </t>
  </si>
  <si>
    <t>斉 街栄</t>
  </si>
  <si>
    <t>sai@km-rhino.jp</t>
  </si>
  <si>
    <t>崔 登剣</t>
  </si>
  <si>
    <t xml:space="preserve">sai@bbwit-jpn.com </t>
  </si>
  <si>
    <t>sai@bbwit-jpn.com</t>
  </si>
  <si>
    <t>取締役事業部部長</t>
  </si>
  <si>
    <t>崔 剛</t>
  </si>
  <si>
    <t>株式会社ホウヨク</t>
  </si>
  <si>
    <t>sagi@stylagy.co.jp</t>
  </si>
  <si>
    <t>鷺　大輔</t>
  </si>
  <si>
    <t>株式会社スタイラジー</t>
  </si>
  <si>
    <t>sagami@tecs-g.co.jp</t>
  </si>
  <si>
    <t>sachiko.nakase@avinton.com</t>
  </si>
  <si>
    <t>中瀬　幸子</t>
  </si>
  <si>
    <t>アビントンジャパン株式会社</t>
  </si>
  <si>
    <t xml:space="preserve">s_suzuki@rg-i.com </t>
  </si>
  <si>
    <t>s_ogura@orangenet.co.jp</t>
  </si>
  <si>
    <t>小倉　俊一</t>
  </si>
  <si>
    <t>株式会社オレンジネット</t>
  </si>
  <si>
    <t>s_miyagawa@trancom-its.co.jp</t>
  </si>
  <si>
    <t>宮川</t>
  </si>
  <si>
    <t xml:space="preserve">s_meguro@gooya.co.jp </t>
  </si>
  <si>
    <t xml:space="preserve">s_matsunaga@broadnet-s.co.jp </t>
  </si>
  <si>
    <t xml:space="preserve">s_ishiyama@c-bnk.com </t>
  </si>
  <si>
    <t>s_abe@ic-com.co.jp</t>
  </si>
  <si>
    <t>s.tou@e-bcc.co.jp</t>
  </si>
  <si>
    <t>s.tanikawa@dorakuken.co.jp</t>
  </si>
  <si>
    <t>主任技師</t>
  </si>
  <si>
    <t>谷川　享</t>
  </si>
  <si>
    <t>株式会社ＩＴ働楽研究所</t>
  </si>
  <si>
    <t>s.sasaki@speedlink-td.info</t>
  </si>
  <si>
    <t>佐々木　翔太</t>
  </si>
  <si>
    <t>株式会社スピードリンクジャパン</t>
  </si>
  <si>
    <t xml:space="preserve">s.niioka@urbane-web.jp </t>
  </si>
  <si>
    <t>s.maki@gb-one.jp</t>
  </si>
  <si>
    <t>牧　沙梨奈</t>
  </si>
  <si>
    <t>株式会社グローバルワン　</t>
  </si>
  <si>
    <t>s.kojima@smatec.jp</t>
  </si>
  <si>
    <t>s.koide@gmail@guik.co.jp</t>
  </si>
  <si>
    <t>小出　祥子</t>
  </si>
  <si>
    <t>株式会社クルーク</t>
  </si>
  <si>
    <t>s.kohata@cadem.jp</t>
  </si>
  <si>
    <t>s.kim@rosy-japan.com</t>
  </si>
  <si>
    <t>s.kikuchi@micrenity.co.jp</t>
  </si>
  <si>
    <t>ITソリューション事業部　統括部長</t>
  </si>
  <si>
    <t>菊地　智士</t>
  </si>
  <si>
    <t>ミクレニティ株式会社</t>
  </si>
  <si>
    <t>菊池　智士</t>
  </si>
  <si>
    <t>s.kikuchi@com-es.jp</t>
  </si>
  <si>
    <t>s.kato@rtmedias.com</t>
  </si>
  <si>
    <t>RTC加藤　優</t>
  </si>
  <si>
    <t xml:space="preserve">s.kamaya@vasdaqj.jp </t>
  </si>
  <si>
    <t xml:space="preserve">s.fukuyama@sta-g.jp   </t>
  </si>
  <si>
    <t>STAK福山生吾</t>
  </si>
  <si>
    <t xml:space="preserve">s.fukushima@growth-jp.com </t>
  </si>
  <si>
    <t xml:space="preserve">ryurek@drtech.jp   </t>
  </si>
  <si>
    <t>ディー・アール・テクノロジーの劉</t>
  </si>
  <si>
    <t>ryurek@drtech.jp</t>
  </si>
  <si>
    <t>劉 麗紅</t>
  </si>
  <si>
    <t xml:space="preserve">ryu_rei@benegrouper.co.jp   </t>
  </si>
  <si>
    <t xml:space="preserve"> 劉玲＠Bene-grouper</t>
  </si>
  <si>
    <t>ryu_rei@benegrouper.co.jp</t>
    <phoneticPr fontId="78"/>
  </si>
  <si>
    <t>劉玲</t>
    <phoneticPr fontId="78"/>
  </si>
  <si>
    <t>株式会社Ｂｅｎｅ－ｇｒｏｕｐｅｒ</t>
  </si>
  <si>
    <t>ryu_rei@benegrouper.co.jp</t>
  </si>
  <si>
    <t>劉　玲</t>
  </si>
  <si>
    <t>株式会社Bene-grouper</t>
  </si>
  <si>
    <t xml:space="preserve">ryu@issoh.co.jp   </t>
  </si>
  <si>
    <t>劉寧様</t>
  </si>
  <si>
    <t xml:space="preserve">ryoji.shibuya@i7group.co.jp </t>
  </si>
  <si>
    <t xml:space="preserve">ryo.watanabe@good-timing.co.jp </t>
  </si>
  <si>
    <t>ryo.watanabe@asno-sys.co.jp</t>
  </si>
  <si>
    <t>ryo.koike@wizwiz.co.jp</t>
  </si>
  <si>
    <t>ryo.koike@bairon.jp</t>
  </si>
  <si>
    <t xml:space="preserve">ryama@trs-first.jp </t>
  </si>
  <si>
    <t>070-6553-3036</t>
    <phoneticPr fontId="78"/>
  </si>
  <si>
    <t>ruanlin@hl-soft.co.jp</t>
    <phoneticPr fontId="78"/>
  </si>
  <si>
    <t>阮麟</t>
    <phoneticPr fontId="78"/>
  </si>
  <si>
    <t>HL株式会社</t>
    <phoneticPr fontId="78"/>
  </si>
  <si>
    <t xml:space="preserve">rtanaka@interlink.ne.jp </t>
  </si>
  <si>
    <t>r-suzuki@nscg.co.jp</t>
  </si>
  <si>
    <t>r-sato@fnet.co.jp</t>
  </si>
  <si>
    <t>r-okada@tohtosystem.co.jp</t>
  </si>
  <si>
    <t>岡田　亮太朗</t>
  </si>
  <si>
    <t>東都システム開発株式会社</t>
  </si>
  <si>
    <t xml:space="preserve">ro.ra@tsrs.co.jp   </t>
  </si>
  <si>
    <t>羅　路</t>
  </si>
  <si>
    <t>r-muranaka@allseed.co.jp</t>
  </si>
  <si>
    <t>r-kurashina@i-enter.co.jp</t>
  </si>
  <si>
    <t>倉科　里菜</t>
  </si>
  <si>
    <t>株式会社アイエンター</t>
  </si>
  <si>
    <t xml:space="preserve">rkasama@veincarry.jp </t>
  </si>
  <si>
    <t>rjanada@skyleaf.co.jp</t>
  </si>
  <si>
    <t>真田 龍太</t>
  </si>
  <si>
    <t xml:space="preserve">rina_h@n-deltasystem.com </t>
  </si>
  <si>
    <t xml:space="preserve">rikio-ri@taiyo-st.co.jp </t>
  </si>
  <si>
    <t xml:space="preserve">ri_haku@benegrouper.co.jp   </t>
  </si>
  <si>
    <t>李博社長　協力会社</t>
  </si>
  <si>
    <t xml:space="preserve">ri.daigen@tau-web.com </t>
  </si>
  <si>
    <t>ri.daigen@tau-web.com</t>
  </si>
  <si>
    <t>090-9842-5044</t>
    <phoneticPr fontId="78"/>
  </si>
  <si>
    <t>ri.daigen@tau-web.com</t>
    <phoneticPr fontId="78"/>
  </si>
  <si>
    <t>李　大元</t>
    <phoneticPr fontId="78"/>
  </si>
  <si>
    <t>株式会社　ティー・アンド・ユー</t>
    <phoneticPr fontId="78"/>
  </si>
  <si>
    <t xml:space="preserve">rg-i@rg-i.com </t>
  </si>
  <si>
    <t xml:space="preserve">reikun.kyoku@3t-soft.co.jp   </t>
  </si>
  <si>
    <t>スリーティソフト　曲文君</t>
  </si>
  <si>
    <t>reikun.kyoku@3t-soft.co.jp</t>
  </si>
  <si>
    <t>曲</t>
  </si>
  <si>
    <t>曲　霊君</t>
  </si>
  <si>
    <t>株式会社　スリーティ　ソフト</t>
  </si>
  <si>
    <t>redcontinents@gmail.com</t>
  </si>
  <si>
    <t>邱実</t>
  </si>
  <si>
    <t>合同会社</t>
  </si>
  <si>
    <t xml:space="preserve">raijin@groove-gear.jp </t>
  </si>
  <si>
    <t>raijin@groove-gear.jp</t>
  </si>
  <si>
    <t>rai.noriaki@cs-echo.co.jp</t>
  </si>
  <si>
    <t>来　徳昭</t>
  </si>
  <si>
    <t>コンピュータ・システム・エコー株式会社</t>
  </si>
  <si>
    <t>r_takamura@shtech.co.jp</t>
  </si>
  <si>
    <t>r_matsubayashi@atec.ne.jp</t>
  </si>
  <si>
    <t xml:space="preserve">r.tanida@nohup.jp </t>
  </si>
  <si>
    <t xml:space="preserve">r.sugai@vasdaqj.jp </t>
  </si>
  <si>
    <t xml:space="preserve">r.sakurai@eti-g.co.jp </t>
  </si>
  <si>
    <t>r.murata@next-japan.co.jp</t>
  </si>
  <si>
    <t>r.li@hundsun.co.jp</t>
  </si>
  <si>
    <t>李 栄慶</t>
  </si>
  <si>
    <t>r.kato@com-es.jp</t>
  </si>
  <si>
    <t>r.asaka@id-entity.jp</t>
  </si>
  <si>
    <t>浅香　莉野</t>
  </si>
  <si>
    <t>株式会社アイデンティティー</t>
  </si>
  <si>
    <t xml:space="preserve">r.aoki@ticnet.co.jp </t>
  </si>
  <si>
    <t>qs-sales@91932.com</t>
  </si>
  <si>
    <t>qiu.xf@confulux.jp</t>
    <phoneticPr fontId="78"/>
  </si>
  <si>
    <t>邱暁芳</t>
    <rPh sb="0" eb="1">
      <t>キュウ</t>
    </rPh>
    <rPh sb="1" eb="2">
      <t>ギョウ</t>
    </rPh>
    <rPh sb="2" eb="3">
      <t>ホウ</t>
    </rPh>
    <phoneticPr fontId="78"/>
  </si>
  <si>
    <t xml:space="preserve">qianlx@starsoft.co.jp   </t>
  </si>
  <si>
    <t>銭　来興</t>
  </si>
  <si>
    <t xml:space="preserve">qianlx@starsoft.co.jp </t>
  </si>
  <si>
    <t>qh-yan@wain.co.jp</t>
  </si>
  <si>
    <t>エン 清華</t>
  </si>
  <si>
    <t>エン　清華</t>
  </si>
  <si>
    <t>株式会社ウェイン</t>
  </si>
  <si>
    <t xml:space="preserve">q.shigoto@gmail.com   </t>
  </si>
  <si>
    <t>秦平</t>
  </si>
  <si>
    <t>090-5578-3583</t>
    <phoneticPr fontId="78"/>
  </si>
  <si>
    <t>q.shigoto@gmail.com</t>
    <phoneticPr fontId="78"/>
  </si>
  <si>
    <t>秦　平</t>
    <phoneticPr fontId="78"/>
  </si>
  <si>
    <t>アイシン 株式会社</t>
    <phoneticPr fontId="78"/>
  </si>
  <si>
    <t xml:space="preserve">psc@pscp.co.jp   </t>
  </si>
  <si>
    <t>(株)パワースター</t>
  </si>
  <si>
    <t xml:space="preserve">psc@pscp.co.jp  </t>
  </si>
  <si>
    <t>賀来　悠太様</t>
  </si>
  <si>
    <t>psc@pscp.co.jp</t>
  </si>
  <si>
    <t>営業部マネージャー</t>
  </si>
  <si>
    <t>桂　楊</t>
  </si>
  <si>
    <t>株式会社パワースター</t>
  </si>
  <si>
    <t xml:space="preserve">psb-eigyou@psb.co.jp </t>
  </si>
  <si>
    <t>project@0903.co.jp</t>
  </si>
  <si>
    <t xml:space="preserve">pres@momosoc.com </t>
  </si>
  <si>
    <t>plus-eigyo@seplus.jp</t>
  </si>
  <si>
    <t>080-5078-3738</t>
    <phoneticPr fontId="78"/>
  </si>
  <si>
    <t>piao.zelin@jctop.biz</t>
    <phoneticPr fontId="78"/>
  </si>
  <si>
    <r>
      <t>朴</t>
    </r>
    <r>
      <rPr>
        <sz val="12"/>
        <color theme="1"/>
        <rFont val="宋体"/>
        <family val="3"/>
        <charset val="134"/>
      </rPr>
      <t>泽</t>
    </r>
    <r>
      <rPr>
        <sz val="12"/>
        <color theme="1"/>
        <rFont val="ＭＳ 明朝"/>
        <family val="1"/>
        <charset val="128"/>
      </rPr>
      <t>林</t>
    </r>
    <phoneticPr fontId="78"/>
  </si>
  <si>
    <t>JCTOP株式会社</t>
    <rPh sb="5" eb="7">
      <t>カブシキ</t>
    </rPh>
    <rPh sb="7" eb="9">
      <t>カイシャ</t>
    </rPh>
    <phoneticPr fontId="78"/>
  </si>
  <si>
    <t>personnel@fusionia.co.jp</t>
  </si>
  <si>
    <t>株式会社フュージヨニア</t>
  </si>
  <si>
    <t>ご担当者様</t>
  </si>
  <si>
    <t>株式会社フュージョニア</t>
  </si>
  <si>
    <t>peng-yr@etres.jp</t>
  </si>
  <si>
    <t>彭 怡然</t>
  </si>
  <si>
    <t>peng.zheng@chinasofti.com</t>
  </si>
  <si>
    <t>鄭鵬</t>
  </si>
  <si>
    <t>日本創智株式会社</t>
  </si>
  <si>
    <t>paul@luxdo.co.jp</t>
  </si>
  <si>
    <t>潘 振宇</t>
  </si>
  <si>
    <t>partnerinfo@componentdesign.co.jp</t>
  </si>
  <si>
    <t>partner_tk@jpn-web.co.jp</t>
  </si>
  <si>
    <t xml:space="preserve">partner@wizwiz.co.jp </t>
  </si>
  <si>
    <t>partner@t-ways.jp</t>
  </si>
  <si>
    <t>小澤 圭司</t>
  </si>
  <si>
    <t>t-waysコンサルティング株式会社</t>
  </si>
  <si>
    <t xml:space="preserve">partner@tenda.co.jp </t>
  </si>
  <si>
    <t>partner@tenda.co.jp</t>
  </si>
  <si>
    <t xml:space="preserve">partner@taiyo-st.co.jp </t>
  </si>
  <si>
    <t>partner@taiyo-st.co.jp</t>
  </si>
  <si>
    <t>株式会社 大洋システムテクノロジー</t>
  </si>
  <si>
    <t>partner@skillnetcom.co.jp</t>
  </si>
  <si>
    <t>関根　裕之</t>
  </si>
  <si>
    <t>スキルネットコミュニケーションズ株式会社</t>
  </si>
  <si>
    <t>partner@seattleconsulting.co.jp</t>
  </si>
  <si>
    <t>渋谷瞳</t>
  </si>
  <si>
    <t>シアトルコンサルティング株式会社</t>
  </si>
  <si>
    <t>partner@sakya.jp</t>
    <phoneticPr fontId="78"/>
  </si>
  <si>
    <t>株式会社サクヤ</t>
    <rPh sb="0" eb="2">
      <t>カブシキ</t>
    </rPh>
    <rPh sb="2" eb="4">
      <t>カイシャ</t>
    </rPh>
    <phoneticPr fontId="78"/>
  </si>
  <si>
    <t xml:space="preserve">partner@qualitysolutions.jp </t>
  </si>
  <si>
    <t>partner@mn-tech.co.jp</t>
  </si>
  <si>
    <t xml:space="preserve">partner@maplesystems.co.jp </t>
  </si>
  <si>
    <t>partner@maplesystems.co.jp</t>
  </si>
  <si>
    <t>株式会社MapleSystems</t>
  </si>
  <si>
    <t>partner@live-est.com</t>
  </si>
  <si>
    <t>高橋健太</t>
  </si>
  <si>
    <t>株式会社ライブエスト</t>
  </si>
  <si>
    <t xml:space="preserve">partner@i-standard.jp   </t>
  </si>
  <si>
    <t>アイスタンダード</t>
  </si>
  <si>
    <t>partner@i-standard.jp</t>
  </si>
  <si>
    <t>吉田光哉</t>
  </si>
  <si>
    <t>株式会社アイスタンダード</t>
  </si>
  <si>
    <t xml:space="preserve">partner@isaac-sys.jp </t>
  </si>
  <si>
    <t xml:space="preserve">partner@iproduce.jp </t>
  </si>
  <si>
    <t>partner@interlink.ne.jp</t>
  </si>
  <si>
    <t>山崎　真一</t>
  </si>
  <si>
    <t>インターリンク株式会社</t>
  </si>
  <si>
    <t>partner@ika-system.co.jp</t>
  </si>
  <si>
    <t>吉田昌一郎</t>
  </si>
  <si>
    <t>株式会社IKAシステム</t>
  </si>
  <si>
    <t>partner@hic-soft.co.jp</t>
  </si>
  <si>
    <t>鳥居　一仁</t>
  </si>
  <si>
    <t>株式会社エッチ・アイ・シー</t>
  </si>
  <si>
    <t xml:space="preserve">partner@groove-system.jp </t>
  </si>
  <si>
    <t>partner@groove-system.jp</t>
  </si>
  <si>
    <t>GDシステムコンサルティング事業部</t>
  </si>
  <si>
    <t>partner@good-works.co.jp</t>
  </si>
  <si>
    <t>partner@geechs.com</t>
  </si>
  <si>
    <t>partner@funteam.co.jp</t>
  </si>
  <si>
    <t>宮崎　莉奈子</t>
  </si>
  <si>
    <t>ファンチーム株式会社</t>
  </si>
  <si>
    <t xml:space="preserve">partner@fotome.jp </t>
  </si>
  <si>
    <t>partner@eyebrains.co.jp</t>
  </si>
  <si>
    <t>partner@contents-one.co.jp</t>
  </si>
  <si>
    <t xml:space="preserve">partner@commission-diver.net  </t>
  </si>
  <si>
    <t>【CDパートナー様推進担当】</t>
  </si>
  <si>
    <t>partner@colla-tech.co.jp</t>
  </si>
  <si>
    <t>吉田　光哉</t>
  </si>
  <si>
    <t>コラボテクノ株式会社</t>
  </si>
  <si>
    <t>partner@chrono.co.jp</t>
  </si>
  <si>
    <t>partner@bold.ne.jp</t>
  </si>
  <si>
    <t>株式会社ボールド</t>
  </si>
  <si>
    <t>partner.at@atgs.jp</t>
  </si>
  <si>
    <t>小山　潤</t>
  </si>
  <si>
    <t>株式会社ATGS</t>
  </si>
  <si>
    <t>parner＠mn－tech.co.jp</t>
  </si>
  <si>
    <t>株式会社マイクロネットワークテクノロジーズ</t>
  </si>
  <si>
    <t xml:space="preserve">parkyh@jptomato.com </t>
  </si>
  <si>
    <t>parkyh@jptomato.com</t>
  </si>
  <si>
    <t>朴映炫</t>
  </si>
  <si>
    <t>株式会社トマト</t>
  </si>
  <si>
    <t>parksh@join-tech.co.jp</t>
  </si>
  <si>
    <t>朴 商賢</t>
    <phoneticPr fontId="75"/>
  </si>
  <si>
    <t>株式会社ジョインテック</t>
  </si>
  <si>
    <t>03-6206-9696</t>
    <phoneticPr fontId="78"/>
  </si>
  <si>
    <t>park.my@tau-web.com</t>
    <phoneticPr fontId="78"/>
  </si>
  <si>
    <t>朴 美燕</t>
    <phoneticPr fontId="78"/>
  </si>
  <si>
    <t>panrong@rayoo.co.jp</t>
  </si>
  <si>
    <t>潘 蓉</t>
  </si>
  <si>
    <t xml:space="preserve">pang@panitec.com </t>
  </si>
  <si>
    <t xml:space="preserve">panfeng@zeta-co-jp.sakura.ne.jp   </t>
  </si>
  <si>
    <t>セーダ　潘　峰</t>
  </si>
  <si>
    <t xml:space="preserve">pan@nipponrick.co.jp </t>
  </si>
  <si>
    <t xml:space="preserve">palpalpal.nga@gmail.com </t>
  </si>
  <si>
    <t xml:space="preserve">owa@tokyone.co.jp </t>
  </si>
  <si>
    <t>ousenhou@hl-soft.co.jp</t>
  </si>
  <si>
    <t>王 占峰</t>
  </si>
  <si>
    <t xml:space="preserve">ousanyo@maiasoft.co.jp   </t>
  </si>
  <si>
    <t>王　山鷹様</t>
  </si>
  <si>
    <t>ousanyo@maiasoft.co.jp</t>
  </si>
  <si>
    <t>王 山鷹</t>
  </si>
  <si>
    <t>王　山鷹</t>
  </si>
  <si>
    <t>株式会社MAIASOFT</t>
  </si>
  <si>
    <t xml:space="preserve">oukashin@ictft.com   </t>
  </si>
  <si>
    <t>王　嘉晨様</t>
  </si>
  <si>
    <t>oukashin@ictft.com</t>
  </si>
  <si>
    <t>王 嘉晨</t>
  </si>
  <si>
    <t>ou@sof-developer.co.jp</t>
  </si>
  <si>
    <t>ou@esafenet.co.jp</t>
  </si>
  <si>
    <t>otani@internous.co.jp</t>
  </si>
  <si>
    <t>ota@baudroie.jp</t>
  </si>
  <si>
    <t>太田　大輔</t>
  </si>
  <si>
    <t>株式会社ボードルア</t>
  </si>
  <si>
    <t>oshiyama@towas.co.jp</t>
  </si>
  <si>
    <t>oshikiri@system-wing.co.jp</t>
  </si>
  <si>
    <t>osamu.nakagawa@wizwiz.co.jp</t>
  </si>
  <si>
    <t>中川　修</t>
  </si>
  <si>
    <t>株式会社ＷｉＺ</t>
  </si>
  <si>
    <t xml:space="preserve">osaka1@mobiled.jp </t>
  </si>
  <si>
    <t>osada@humancrest.co.jp</t>
  </si>
  <si>
    <t>長田　孟</t>
  </si>
  <si>
    <t>株式会社ヒューマンクレスト</t>
  </si>
  <si>
    <t>ooya104@infotechs.co.jp</t>
  </si>
  <si>
    <t>営業担当部長</t>
  </si>
  <si>
    <t>大谷淳</t>
  </si>
  <si>
    <t>インフォテックソリューション株式会社</t>
  </si>
  <si>
    <t xml:space="preserve">ootsuka@mindsfusion.co.jp </t>
  </si>
  <si>
    <t xml:space="preserve">ootsuka@fcs21.jp </t>
  </si>
  <si>
    <t xml:space="preserve">oonuma@largo.jp </t>
  </si>
  <si>
    <t>oonishi_ka@tsone.co.jp</t>
  </si>
  <si>
    <t>大西　克哉</t>
  </si>
  <si>
    <t>株式会社TSOne</t>
  </si>
  <si>
    <t xml:space="preserve">ookawa_t@cis-net.co.jp </t>
  </si>
  <si>
    <t xml:space="preserve">onose@m-dsystem.com </t>
  </si>
  <si>
    <t xml:space="preserve">onoda@newelite.co.jp </t>
  </si>
  <si>
    <t>onda@joy-tec.com</t>
  </si>
  <si>
    <t xml:space="preserve">okumura@cmc-a.co.jp </t>
  </si>
  <si>
    <t xml:space="preserve">okui-a@cscnet.co.jp </t>
  </si>
  <si>
    <t>okuda_yuuji@hlc.co.jp</t>
  </si>
  <si>
    <t>副本部長</t>
  </si>
  <si>
    <t>奥田　雄治</t>
  </si>
  <si>
    <t>株式会社エイチ･エル･シー</t>
  </si>
  <si>
    <t xml:space="preserve">okuda@baycc.co.jp </t>
  </si>
  <si>
    <t>okano@miraie-group.jp</t>
  </si>
  <si>
    <t>岡野徹志</t>
  </si>
  <si>
    <t>株式会社Miraie</t>
  </si>
  <si>
    <t xml:space="preserve">okamotoh@radiant-sol.co.jp </t>
  </si>
  <si>
    <t>okamoto@withsoft.co.jp</t>
  </si>
  <si>
    <t>okamoto@fatech.co.jp</t>
  </si>
  <si>
    <t>okada@urbansystem.co.jp</t>
  </si>
  <si>
    <t>okada@miraie-group.jp</t>
  </si>
  <si>
    <t xml:space="preserve">ohmori@tpsinc.co.jp </t>
  </si>
  <si>
    <t>ohmori@nexture.co.jp</t>
  </si>
  <si>
    <t>大森　勇</t>
  </si>
  <si>
    <t>株式会社ネクスチャー</t>
  </si>
  <si>
    <t xml:space="preserve">ohira@careervan.co.jp </t>
  </si>
  <si>
    <t xml:space="preserve">o-hamada@c-tos.com </t>
  </si>
  <si>
    <t xml:space="preserve">oh_ei@lj-japan.com   </t>
  </si>
  <si>
    <t>L&amp;J 王瑩</t>
  </si>
  <si>
    <t>080-3179-6045</t>
    <phoneticPr fontId="78"/>
  </si>
  <si>
    <t>oh_ei@lj-japan.com</t>
    <phoneticPr fontId="78"/>
  </si>
  <si>
    <t>王　エイ</t>
    <phoneticPr fontId="78"/>
  </si>
  <si>
    <t>株式会社L&amp;J</t>
    <phoneticPr fontId="78"/>
  </si>
  <si>
    <t>ogi@ims-net.org</t>
  </si>
  <si>
    <t>荻原 宏之</t>
  </si>
  <si>
    <t xml:space="preserve">ogawahara@archive-gp.com </t>
  </si>
  <si>
    <t xml:space="preserve">ogawa@restron.jp </t>
  </si>
  <si>
    <t xml:space="preserve">office@valtech.jp </t>
  </si>
  <si>
    <t xml:space="preserve">office@tokyone.co.jp </t>
  </si>
  <si>
    <t>oda-y@jstec.jp</t>
  </si>
  <si>
    <t>小田幸枝</t>
  </si>
  <si>
    <t>株式会社ジェスティック</t>
  </si>
  <si>
    <t xml:space="preserve">oda@planet.ne.jp </t>
  </si>
  <si>
    <t xml:space="preserve">ochiai-jbs@gaea.ocn.ne.jp </t>
  </si>
  <si>
    <t xml:space="preserve">obata@east-ls.co.jp   </t>
  </si>
  <si>
    <t>ELS小畑光久</t>
  </si>
  <si>
    <t>nss_eigyo@nss-t.co.jp</t>
  </si>
  <si>
    <t>株式会社NSサービス</t>
  </si>
  <si>
    <t>nsakai@hb-tech.com</t>
  </si>
  <si>
    <t>酒井　典子</t>
  </si>
  <si>
    <t>ハイブリッドテクノロジー株式会社</t>
  </si>
  <si>
    <t xml:space="preserve">nozaki@irckk.co.jp </t>
  </si>
  <si>
    <t xml:space="preserve">notsuka@cit.co.jp </t>
  </si>
  <si>
    <t xml:space="preserve">noshiro-tatsuya@tech-earth.co.jp </t>
  </si>
  <si>
    <t>nose@jspnet.co.jp</t>
  </si>
  <si>
    <t>noriyasuhoraguchi@wistronits.com</t>
  </si>
  <si>
    <t>執行役員　営業本部　本部長</t>
  </si>
  <si>
    <t>洞口　典康</t>
  </si>
  <si>
    <t>ウィツ株式会社</t>
  </si>
  <si>
    <t>noritaka.ishigaki@futurerays.biz</t>
  </si>
  <si>
    <t>noriko.miyagawa@mnwk.co.jp</t>
  </si>
  <si>
    <t>取締役　開発部長</t>
  </si>
  <si>
    <t>宮川　典子</t>
  </si>
  <si>
    <t>株式会社メディアネットワーク</t>
  </si>
  <si>
    <t xml:space="preserve">nojiri-s@netpark2000.co.jp </t>
  </si>
  <si>
    <t xml:space="preserve">nohmi@ulink.co.jp </t>
  </si>
  <si>
    <t>noh@mh-system.co.jp</t>
  </si>
  <si>
    <t>代表取締役社</t>
  </si>
  <si>
    <t>盧　輝宋</t>
  </si>
  <si>
    <t>株式会社エム・エイチ</t>
  </si>
  <si>
    <t>nogami@takes.ne.jp</t>
  </si>
  <si>
    <t>野上 貴文</t>
  </si>
  <si>
    <t>nobuyuki.shirahama@gs-inc.jp</t>
  </si>
  <si>
    <t xml:space="preserve">nobuko-arai@sanei-system.co.jp </t>
  </si>
  <si>
    <t xml:space="preserve">nobu@a-se.com </t>
  </si>
  <si>
    <t xml:space="preserve">n-nishi@up-system.info </t>
  </si>
  <si>
    <t xml:space="preserve">n-nakane@al-p.co.jp </t>
  </si>
  <si>
    <t xml:space="preserve">niwayama.hiroki@e-net-2.com </t>
  </si>
  <si>
    <t xml:space="preserve">niwayama.enet@gmail.com </t>
  </si>
  <si>
    <t xml:space="preserve">niu@bss-j.co.jp   </t>
  </si>
  <si>
    <t>BSS牛</t>
  </si>
  <si>
    <t xml:space="preserve">n-itoh@uis-w.co.jp </t>
  </si>
  <si>
    <t>nissin@cl.cilas.net</t>
  </si>
  <si>
    <t>李 馥明</t>
  </si>
  <si>
    <t>日新インターナショナル株式会社</t>
  </si>
  <si>
    <t xml:space="preserve">nisinfo@nisc.co.jp </t>
  </si>
  <si>
    <t>nisinfo@nisc.co.jp</t>
  </si>
  <si>
    <t xml:space="preserve">nishizako@bss1.co.jp </t>
  </si>
  <si>
    <t xml:space="preserve">nishiyama@gigasoft.co.jp </t>
  </si>
  <si>
    <t xml:space="preserve">nishida@unitedwill.jp   </t>
  </si>
  <si>
    <t>ユナイテッドウィル 西田</t>
  </si>
  <si>
    <t xml:space="preserve">nikkou.sai@microthink.co.jp   </t>
  </si>
  <si>
    <t>株式会社MICROTHINK　斉日光</t>
  </si>
  <si>
    <t xml:space="preserve">niioka@jcc-h.co.jp </t>
  </si>
  <si>
    <t xml:space="preserve">nihei@soft-systm.co.jp </t>
  </si>
  <si>
    <t>nice@bltinc.co.jp</t>
  </si>
  <si>
    <t>ICTソリューション事業部部長</t>
  </si>
  <si>
    <t>田中　洋輔</t>
  </si>
  <si>
    <t xml:space="preserve">nhao@infodeliver.com </t>
  </si>
  <si>
    <t xml:space="preserve">n-hagiri@dwn.co.jp </t>
  </si>
  <si>
    <t>newfuture888@yahoo.co.jp</t>
  </si>
  <si>
    <t xml:space="preserve"> ホウ 祥玉</t>
  </si>
  <si>
    <t>NewFuture株式会社</t>
  </si>
  <si>
    <t>new@kycm.co.jp</t>
  </si>
  <si>
    <t>今関　浩之</t>
  </si>
  <si>
    <t>株式会社京葉コミュニケーションズ</t>
  </si>
  <si>
    <t>net-eigyo@ml.net-tokyo.co.jp</t>
  </si>
  <si>
    <t>株式会社ネット</t>
  </si>
  <si>
    <t xml:space="preserve">nemoto@adore.bz </t>
  </si>
  <si>
    <t>naoto-kuroki@wytel.jp</t>
  </si>
  <si>
    <t>黒木直人</t>
  </si>
  <si>
    <t>株式会社Wytel</t>
  </si>
  <si>
    <t xml:space="preserve">naoki-fukuda@x-power.co.jp </t>
  </si>
  <si>
    <t xml:space="preserve">naoki.hitomi@asianlink.co.jp </t>
  </si>
  <si>
    <t>naofumi.abe@computerplanex.co.jp</t>
  </si>
  <si>
    <t xml:space="preserve">namiki@icnet.jp </t>
  </si>
  <si>
    <t>nakazawa@vip-soft.jp</t>
  </si>
  <si>
    <t>中澤　宏昭</t>
  </si>
  <si>
    <t>VIPソフトウェア株式会社</t>
  </si>
  <si>
    <t>nakayama_k@witsys-japan.com</t>
  </si>
  <si>
    <t>中山 健</t>
  </si>
  <si>
    <t>nakayama@soramasu.co.jp</t>
  </si>
  <si>
    <t xml:space="preserve">nakanoh@careervan.co.jp </t>
  </si>
  <si>
    <t>nakano@dejavu.co.jp</t>
  </si>
  <si>
    <t>中野　正彦</t>
  </si>
  <si>
    <t>有限会社デジャヴ</t>
  </si>
  <si>
    <t>nakanishi@unitedwill.jp</t>
  </si>
  <si>
    <t>中西 佑雅</t>
  </si>
  <si>
    <t>nakane-shigeki@honoh.jp</t>
  </si>
  <si>
    <t>中根　茂樹</t>
  </si>
  <si>
    <t>HONOH inc</t>
  </si>
  <si>
    <t>nakane@dwn.co.jp</t>
  </si>
  <si>
    <t xml:space="preserve">nakamura-takashi@neil-inc.com </t>
  </si>
  <si>
    <t>nakamura@sunseer.co.jp</t>
  </si>
  <si>
    <t>nakamura@g-s-c.co.jp</t>
  </si>
  <si>
    <t>nakamori@jion-g.co.jp</t>
  </si>
  <si>
    <t>中森 隆仁</t>
  </si>
  <si>
    <t xml:space="preserve">nakajima@fsolution.co.jp </t>
  </si>
  <si>
    <t xml:space="preserve">nakajima@ccom.ne.jp </t>
  </si>
  <si>
    <t>nakajima.kunihiko@isfnet.com</t>
  </si>
  <si>
    <t>中嶋　邦彦</t>
  </si>
  <si>
    <t xml:space="preserve">nakai@rcs-net.co.jp </t>
  </si>
  <si>
    <t>nakahara@tbk-sys.co.jp</t>
  </si>
  <si>
    <t>統括部長</t>
  </si>
  <si>
    <t>中原　満</t>
  </si>
  <si>
    <t>ティービーケー・システム株式会社</t>
  </si>
  <si>
    <t>nakagawa@luster-ltd.jp</t>
  </si>
  <si>
    <t>nakagawa@cmc-a.co.jp</t>
  </si>
  <si>
    <t>中川　哲史</t>
  </si>
  <si>
    <t>株式会社シ・エム・シ</t>
  </si>
  <si>
    <t>nakada@softg.co.jp</t>
  </si>
  <si>
    <t>中田 敏行</t>
  </si>
  <si>
    <t>nagano@growthsquare.co.jp</t>
  </si>
  <si>
    <t xml:space="preserve">n_takiguchi@s-link.co.jp </t>
  </si>
  <si>
    <t>n_inkyo@brain-tr.co.jp</t>
  </si>
  <si>
    <t>院去　教久</t>
  </si>
  <si>
    <t>株式会社ブレイントラスト</t>
  </si>
  <si>
    <t>n.tsuji@nohup.jp</t>
  </si>
  <si>
    <t xml:space="preserve">n.tsuji@nodecom.jp </t>
  </si>
  <si>
    <t xml:space="preserve">n.taya@m-and-p.com </t>
  </si>
  <si>
    <t>n.otake@allrighttech.co.jp</t>
  </si>
  <si>
    <t>大武　尚史</t>
  </si>
  <si>
    <t>往来技術株式会社</t>
  </si>
  <si>
    <t>n.nagayama@qulk.co.jp</t>
  </si>
  <si>
    <t xml:space="preserve">n.morita@agsystems.co.jp </t>
  </si>
  <si>
    <t xml:space="preserve">n.miyayoshi@m-netd.com </t>
  </si>
  <si>
    <t>n.mise@april-knights.com</t>
  </si>
  <si>
    <t>n.kurashima@h-so.co.jp</t>
  </si>
  <si>
    <t>"倉島直行(H-SO)"</t>
  </si>
  <si>
    <t xml:space="preserve">m-yoshida@ostechnology.co.jp </t>
  </si>
  <si>
    <t>m-yamanaka@allseed.co.jp</t>
  </si>
  <si>
    <t>m-yamaguchi@ibi-net.co.jp</t>
  </si>
  <si>
    <t>e-BIZ営業推進部</t>
  </si>
  <si>
    <t>山口 元大</t>
  </si>
  <si>
    <t>my24@10-12.jp</t>
  </si>
  <si>
    <t>米川 正則</t>
  </si>
  <si>
    <t xml:space="preserve">株式会社 テントゥウェルブ </t>
  </si>
  <si>
    <t xml:space="preserve">m-wakano@seekengine.jp </t>
  </si>
  <si>
    <t>muzuki@cosmo-tb.co.jp</t>
  </si>
  <si>
    <t>取締役　営業部長</t>
  </si>
  <si>
    <t>夘月　雅一</t>
  </si>
  <si>
    <t>株式会社コスモテクノブレインズ</t>
  </si>
  <si>
    <t>mutsuya.hayashi@technocrats.jp</t>
  </si>
  <si>
    <t>林　睦也</t>
  </si>
  <si>
    <t>mutsumi.shimonosono@axeeds.com</t>
  </si>
  <si>
    <t>muraoka@bits-jp.net</t>
  </si>
  <si>
    <t xml:space="preserve">muranishit@maruwasoft.co.jp </t>
  </si>
  <si>
    <t>murakumo@wosco.co.jp</t>
  </si>
  <si>
    <t>村雲　成洋</t>
  </si>
  <si>
    <t>株式会社ワールドシステムコンサルタント</t>
  </si>
  <si>
    <t xml:space="preserve">muraki@artex-corporation.co.jp </t>
  </si>
  <si>
    <t>murakami@b-link.co.jp</t>
  </si>
  <si>
    <t>株式会社ビジネス・リンク</t>
  </si>
  <si>
    <t xml:space="preserve">murakami@ackran.co.jp </t>
  </si>
  <si>
    <t>murai@orient-s.co.jp</t>
  </si>
  <si>
    <t>マネージャ</t>
  </si>
  <si>
    <t>村井　保博</t>
  </si>
  <si>
    <t>オリエントシステム株式会社</t>
  </si>
  <si>
    <t xml:space="preserve">murai.hitoshi@tackport.co.jp </t>
  </si>
  <si>
    <t>munson-k@sangnok.co.jp</t>
  </si>
  <si>
    <t>次長</t>
  </si>
  <si>
    <t>康文善</t>
  </si>
  <si>
    <t>サンノックシステム株式会社</t>
  </si>
  <si>
    <t xml:space="preserve">m-umemoto@inetweb.co.jp </t>
  </si>
  <si>
    <t>mtokura@technicalunion.co.jp</t>
  </si>
  <si>
    <t>常務取締役</t>
  </si>
  <si>
    <t>戸倉正貴</t>
  </si>
  <si>
    <t>株式会社テクニカル・ユニオン</t>
  </si>
  <si>
    <t xml:space="preserve">m-suzuki@get-dream.co.jp </t>
  </si>
  <si>
    <t xml:space="preserve">m-sumiyoshi@aqured.co.jp </t>
  </si>
  <si>
    <t>m-shiwar@alexsol.co.jp</t>
  </si>
  <si>
    <t xml:space="preserve">m-sekine@expertgig.com </t>
  </si>
  <si>
    <t>m-saito@i-solcom.net</t>
  </si>
  <si>
    <t xml:space="preserve">mou@dtrend-jpn.com </t>
  </si>
  <si>
    <t>mou@dtrend-jpn.com</t>
  </si>
  <si>
    <t>蒙家国</t>
  </si>
  <si>
    <t>株式会社ディトレンドジャパン</t>
  </si>
  <si>
    <t xml:space="preserve">motoyama@acro.vc </t>
  </si>
  <si>
    <t>motai@al-j.co.jp</t>
  </si>
  <si>
    <t>罍　昭雄</t>
  </si>
  <si>
    <t>株式会社エーエルジェイ</t>
  </si>
  <si>
    <t xml:space="preserve">moroyama@akira-line.com </t>
  </si>
  <si>
    <t>morita@hubell.co.jp</t>
  </si>
  <si>
    <t xml:space="preserve">morita@frise.co.jp </t>
  </si>
  <si>
    <t xml:space="preserve">morinaga@faila.jp </t>
  </si>
  <si>
    <t>morikawa.m@kanamekey.com</t>
  </si>
  <si>
    <t>森川</t>
  </si>
  <si>
    <t>mori@genech.co.jp</t>
  </si>
  <si>
    <t>m-nakayama@itecno.co.jp</t>
  </si>
  <si>
    <t>リーダー</t>
  </si>
  <si>
    <t>中山　幹</t>
  </si>
  <si>
    <t>株式会社アイテクノ</t>
  </si>
  <si>
    <t>mmochizuki@abest1.jp</t>
  </si>
  <si>
    <t xml:space="preserve">m-miyahara@crsnet.jp </t>
  </si>
  <si>
    <t>ml-sales_2012@smc-i.co.jp</t>
  </si>
  <si>
    <t>株式会社エス・エム・シー</t>
  </si>
  <si>
    <t>m-lmokawa@tailwind.co.jp</t>
  </si>
  <si>
    <t>正人</t>
  </si>
  <si>
    <t>mktg@techno-infinitus.co.jp</t>
  </si>
  <si>
    <t>伊藤　一之</t>
  </si>
  <si>
    <t>株式会社テクノインフィニタス</t>
  </si>
  <si>
    <t xml:space="preserve">mizuma@ws-c.com </t>
  </si>
  <si>
    <t>miyoshi@rhizo-me.com</t>
  </si>
  <si>
    <t>三吉  明希人</t>
  </si>
  <si>
    <t>株式会社リゾーム</t>
  </si>
  <si>
    <t xml:space="preserve">miyazaki@value-ark.com </t>
  </si>
  <si>
    <t xml:space="preserve">miyashita@orion-jk.co.jp </t>
  </si>
  <si>
    <t>miyashiro@e-fi.co.jp</t>
  </si>
  <si>
    <t>miyaou@axcel-mode.co.jp</t>
  </si>
  <si>
    <t>miyamoto@humancrest.co.jp</t>
  </si>
  <si>
    <t xml:space="preserve">miyakita@systemhouse-co.com </t>
  </si>
  <si>
    <t>miura.k@net-tokyo.co.jp</t>
  </si>
  <si>
    <t>三浦</t>
  </si>
  <si>
    <t>mitsuyasu.youki@porthofner.co.jp</t>
  </si>
  <si>
    <t>mitsunobu@broadnet-s.co.jp</t>
  </si>
  <si>
    <t>光延　七洋</t>
  </si>
  <si>
    <t>株式会社ブロードネット・ソリューション</t>
  </si>
  <si>
    <t>minowa@isoroot.jp</t>
  </si>
  <si>
    <t>簑輪昌亮</t>
  </si>
  <si>
    <t>株式会社アイソルート</t>
  </si>
  <si>
    <t>中</t>
  </si>
  <si>
    <t>080-3933-7227 </t>
  </si>
  <si>
    <t xml:space="preserve">minling.chen@symmetrix.co.jp </t>
  </si>
  <si>
    <t xml:space="preserve">陳敏玲 </t>
    <phoneticPr fontId="78"/>
  </si>
  <si>
    <t xml:space="preserve">株式会社シンメトリクス </t>
    <phoneticPr fontId="78"/>
  </si>
  <si>
    <t xml:space="preserve">mingye@baosight-jp.com </t>
  </si>
  <si>
    <t>mingye@baosight-jp.com</t>
  </si>
  <si>
    <t>葉　明</t>
  </si>
  <si>
    <t>日本宝信株式会社</t>
  </si>
  <si>
    <t>mingji.cui@confulux.jp</t>
    <phoneticPr fontId="78"/>
  </si>
  <si>
    <t>崔明吉</t>
    <rPh sb="1" eb="2">
      <t>メイ</t>
    </rPh>
    <rPh sb="2" eb="3">
      <t>ヨシ</t>
    </rPh>
    <phoneticPr fontId="78"/>
  </si>
  <si>
    <t>080-4412-1177</t>
    <phoneticPr fontId="78"/>
  </si>
  <si>
    <t>mika.jin@star-se.co.jp</t>
    <phoneticPr fontId="78"/>
  </si>
  <si>
    <t>金　美香</t>
    <rPh sb="0" eb="1">
      <t>カネ</t>
    </rPh>
    <rPh sb="2" eb="3">
      <t>ビ</t>
    </rPh>
    <rPh sb="3" eb="4">
      <t>カオリ</t>
    </rPh>
    <phoneticPr fontId="78"/>
  </si>
  <si>
    <t>STAR SE株式会社</t>
    <rPh sb="7" eb="11">
      <t>カブシキカイシャ</t>
    </rPh>
    <phoneticPr fontId="78"/>
  </si>
  <si>
    <t xml:space="preserve">mid_range@aegis.cx </t>
  </si>
  <si>
    <t xml:space="preserve">mi_nemoto@c-bnk.com </t>
  </si>
  <si>
    <t>m-hatano@a-technology.co.jp</t>
  </si>
  <si>
    <t>m-hanai@hermes.ne.jp</t>
  </si>
  <si>
    <t xml:space="preserve">men_xiaoli@bitstrong.com </t>
  </si>
  <si>
    <t xml:space="preserve">meina.yang@innovacess.com   </t>
  </si>
  <si>
    <t>イノベークス＿楊美那</t>
  </si>
  <si>
    <t>meina.yang@innovacess.com</t>
  </si>
  <si>
    <t>楊 美な</t>
  </si>
  <si>
    <t xml:space="preserve">070-5373-5280 </t>
    <phoneticPr fontId="78"/>
  </si>
  <si>
    <t>meina.yang@innovacess.com</t>
    <phoneticPr fontId="78"/>
  </si>
  <si>
    <t>楊美娜</t>
    <rPh sb="1" eb="2">
      <t>ビ</t>
    </rPh>
    <rPh sb="2" eb="3">
      <t>ナ</t>
    </rPh>
    <phoneticPr fontId="78"/>
  </si>
  <si>
    <t>イノベークス株式会社</t>
    <rPh sb="6" eb="8">
      <t>カブシキ</t>
    </rPh>
    <rPh sb="8" eb="10">
      <t>カイシャ</t>
    </rPh>
    <phoneticPr fontId="78"/>
  </si>
  <si>
    <t xml:space="preserve">meiki.son@3t-soft.co.jp   </t>
  </si>
  <si>
    <t>スリーティ　ソフト　孫社長</t>
  </si>
  <si>
    <t>mayo-ben@a-s.com.co</t>
  </si>
  <si>
    <t>卞 万女</t>
  </si>
  <si>
    <t>株式会社ASCOM</t>
  </si>
  <si>
    <t>matsuzaki@gibjapan.com</t>
  </si>
  <si>
    <t xml:space="preserve">matsushita@humanetech.jp </t>
  </si>
  <si>
    <t>matsuoka@esafenet.co.jp</t>
  </si>
  <si>
    <t>matsuoh@genech.co.jp</t>
  </si>
  <si>
    <t xml:space="preserve">matsumura@nxg.co.jp </t>
  </si>
  <si>
    <t xml:space="preserve">matsumot@westnet.co.jp </t>
  </si>
  <si>
    <t>matsufuji@core.co.jp</t>
  </si>
  <si>
    <t>matsufuji@core.co.jp</t>
    <phoneticPr fontId="75"/>
  </si>
  <si>
    <t>matsuda@ene-t.com</t>
  </si>
  <si>
    <t>顧問</t>
  </si>
  <si>
    <t>松田　洋</t>
  </si>
  <si>
    <t>株式会社　イーネット</t>
  </si>
  <si>
    <t xml:space="preserve">mat@owj.co.jp </t>
  </si>
  <si>
    <t>masubuchi@ibi-net.co.jp</t>
  </si>
  <si>
    <t xml:space="preserve">masatoshi.yamaura@smart-system.co.jp </t>
  </si>
  <si>
    <t xml:space="preserve">masato.sato@gs-inc.jp </t>
  </si>
  <si>
    <t>masataka.miyagawa@careervision.jp</t>
  </si>
  <si>
    <t>宮川  征鷹</t>
  </si>
  <si>
    <t>株式会社キャリアヴィジョン</t>
  </si>
  <si>
    <t>masashi.fukuda@kacoms.co.jp</t>
  </si>
  <si>
    <t>ビジネス推進本部</t>
  </si>
  <si>
    <t>福田　真史</t>
  </si>
  <si>
    <t>カコムス株式会社</t>
  </si>
  <si>
    <t>masanobu.seki@hubell.co.jp</t>
  </si>
  <si>
    <t xml:space="preserve">m-asakura@bsr-inc.jp </t>
  </si>
  <si>
    <t xml:space="preserve">masaki-furukane@navio.co.jp </t>
  </si>
  <si>
    <t>masaki-furukane@navio.co.jp</t>
  </si>
  <si>
    <t>masaki.matsumoto@mnwk.co.jp</t>
  </si>
  <si>
    <t>masaki.ikeda@axas-japan.co.jp</t>
  </si>
  <si>
    <t>Masahiro.Nakagawa@ris.co.jp</t>
  </si>
  <si>
    <t>中川　政宏</t>
  </si>
  <si>
    <t>アールアイ・ソフトウェア株式会社</t>
  </si>
  <si>
    <t>maruyama-y@classact.co.jp</t>
  </si>
  <si>
    <t xml:space="preserve">marumitsu0532@spic.co.jp </t>
  </si>
  <si>
    <t>03-5980-8976</t>
    <phoneticPr fontId="78"/>
  </si>
  <si>
    <t>marketingagent@togenryu.com</t>
    <phoneticPr fontId="78"/>
  </si>
  <si>
    <t>熊坂悦子</t>
    <rPh sb="0" eb="2">
      <t>クマサカ</t>
    </rPh>
    <rPh sb="2" eb="4">
      <t>エツコ</t>
    </rPh>
    <phoneticPr fontId="78"/>
  </si>
  <si>
    <t>株式会社Togenryu</t>
    <rPh sb="0" eb="2">
      <t>カブシキ</t>
    </rPh>
    <rPh sb="2" eb="4">
      <t>カイシャ</t>
    </rPh>
    <phoneticPr fontId="78"/>
  </si>
  <si>
    <t>marketing@fullon.co.jp</t>
  </si>
  <si>
    <t>mari_ohno@cleave.co.jp</t>
  </si>
  <si>
    <t xml:space="preserve">manshos@radiant-sol.co.jp </t>
  </si>
  <si>
    <t>manjyo58@gmail.com</t>
  </si>
  <si>
    <t>manami_saito@customatrix.co.jp</t>
  </si>
  <si>
    <t>manami.abo@yi-inc.co.jp</t>
  </si>
  <si>
    <t xml:space="preserve">安保 真奈美 </t>
  </si>
  <si>
    <t>Yi株式会社</t>
  </si>
  <si>
    <t>mamoru.tanabe@careervision.jp</t>
  </si>
  <si>
    <t>田邊　護</t>
  </si>
  <si>
    <t xml:space="preserve">makoto_ueno@m-c-c.co.jp </t>
  </si>
  <si>
    <t xml:space="preserve">makoto_arii@lapis.plala.or.jp </t>
  </si>
  <si>
    <t>makioka@aim-kk.co.jp</t>
  </si>
  <si>
    <t>牧岡　賢道</t>
  </si>
  <si>
    <t>株式会社エーム</t>
  </si>
  <si>
    <t>makino@cast-miq.co.jp</t>
  </si>
  <si>
    <t xml:space="preserve">makino.m@kanamekey.com </t>
  </si>
  <si>
    <t xml:space="preserve">maki@branchnet.co.jp </t>
  </si>
  <si>
    <t xml:space="preserve">maeda@cmsc.co.jp </t>
  </si>
  <si>
    <t xml:space="preserve">macj@starsoft.co.jp   </t>
  </si>
  <si>
    <t xml:space="preserve"> 馬成娟</t>
  </si>
  <si>
    <t xml:space="preserve">m-abe@suehiro-s.jp   </t>
  </si>
  <si>
    <t>阿部　雅之</t>
  </si>
  <si>
    <t>m-abe@suehiro-s.jp</t>
  </si>
  <si>
    <t>阿部 雅之</t>
  </si>
  <si>
    <t xml:space="preserve">ma@ls-jp.com   </t>
  </si>
  <si>
    <t>㈱言語サービス　SES事業部（馬）</t>
  </si>
  <si>
    <t xml:space="preserve">m_yamanouchi@businesslink-corp.com </t>
  </si>
  <si>
    <t xml:space="preserve">m_yamamoto@s-link.co.jp </t>
  </si>
  <si>
    <t xml:space="preserve">m_yaguchi@c-hrc.jp </t>
  </si>
  <si>
    <t xml:space="preserve">m_yaguchi@camac.co.jp </t>
  </si>
  <si>
    <t xml:space="preserve">m_sato@businesslink-corp.com </t>
  </si>
  <si>
    <t>m_nagao@pxp.co.jp</t>
  </si>
  <si>
    <t xml:space="preserve">m_komori@funteam.co.jp </t>
  </si>
  <si>
    <t>m_kobuna@hsk-net.co.jp</t>
  </si>
  <si>
    <t>小鮒　基之</t>
  </si>
  <si>
    <t>株式会社エイチエスケイ</t>
  </si>
  <si>
    <t xml:space="preserve">m_kashima@vision-c.co.jp </t>
  </si>
  <si>
    <t xml:space="preserve">m_kaneko@atec.ne.jp </t>
  </si>
  <si>
    <t>m_hon_sales21@cms.co.jp</t>
  </si>
  <si>
    <t>本社営業部</t>
  </si>
  <si>
    <t>橋爪　唯城</t>
  </si>
  <si>
    <t xml:space="preserve">株式会社クリエイト・マンパワーサービス </t>
  </si>
  <si>
    <t>m.yoneya@smatec.jp</t>
  </si>
  <si>
    <t xml:space="preserve">m.yamamoto@smatec.jp </t>
  </si>
  <si>
    <t xml:space="preserve">m.washinosu@kk-artech.co.jp </t>
  </si>
  <si>
    <t xml:space="preserve">m.togo@itsoft.ecnet.jp </t>
  </si>
  <si>
    <t>m.shimada@jcdsol.co.jp</t>
  </si>
  <si>
    <t>株式会社JCDソリューション</t>
  </si>
  <si>
    <t xml:space="preserve">m.sekine@smatec.jp   </t>
  </si>
  <si>
    <t>関根雅人</t>
    <phoneticPr fontId="75"/>
  </si>
  <si>
    <t xml:space="preserve">m.seki@next-st.co.jp </t>
  </si>
  <si>
    <t xml:space="preserve">m.sato@9010.co.jp </t>
  </si>
  <si>
    <t>m.okado@jcdsol.co.jp</t>
  </si>
  <si>
    <t>岡戸</t>
  </si>
  <si>
    <t>m.oe@no1s.bizm_okada@nisin.co.jp</t>
  </si>
  <si>
    <t>m.nishihara@hunet-sol.co.jp</t>
  </si>
  <si>
    <t>西原　雅也</t>
  </si>
  <si>
    <t>株式会社ビューネット・ソリューションズ</t>
  </si>
  <si>
    <t>m.morikawa@e-netj.com</t>
  </si>
  <si>
    <t>森川　幹夫</t>
  </si>
  <si>
    <t>株式会社イーネット・ジャパン</t>
  </si>
  <si>
    <t>m.kano@ntw.co.jp</t>
  </si>
  <si>
    <t>狩野　正幸</t>
  </si>
  <si>
    <t>株式会社日本テクノウエア</t>
  </si>
  <si>
    <t>m.ikeda@nodecom.jp</t>
  </si>
  <si>
    <t>m.hashimoto@androbo.jp</t>
  </si>
  <si>
    <t xml:space="preserve">m.hara@quolis.com </t>
  </si>
  <si>
    <t>m.ejima＠mn－tech.co.jp</t>
  </si>
  <si>
    <t>江島　みゆき</t>
  </si>
  <si>
    <t>m.ebihara@wakuto.net</t>
  </si>
  <si>
    <t>海老名　将大</t>
  </si>
  <si>
    <t>株式会社ワクト</t>
  </si>
  <si>
    <t xml:space="preserve">m.arakawa@amtech-inc.com </t>
  </si>
  <si>
    <t xml:space="preserve">lyn515@smarting.jp   </t>
  </si>
  <si>
    <t>smartING_林銀花</t>
  </si>
  <si>
    <t>luwenjun@newelite.co.jp</t>
  </si>
  <si>
    <t>営業本部　第一営業部　部長</t>
  </si>
  <si>
    <t>陸　文君</t>
  </si>
  <si>
    <t>ニューエリート株式会社</t>
  </si>
  <si>
    <t>luobing@ten-ji.co.jp</t>
    <phoneticPr fontId="78"/>
  </si>
  <si>
    <t>羅氷</t>
    <phoneticPr fontId="78"/>
  </si>
  <si>
    <t>lrq@porishasu.com</t>
  </si>
  <si>
    <t>080-5684-1543</t>
    <phoneticPr fontId="78"/>
  </si>
  <si>
    <t>lrq@porishasu.com</t>
    <phoneticPr fontId="78"/>
  </si>
  <si>
    <r>
      <t>李</t>
    </r>
    <r>
      <rPr>
        <sz val="12"/>
        <color theme="1"/>
        <rFont val="宋体"/>
        <family val="3"/>
        <charset val="134"/>
      </rPr>
      <t>润</t>
    </r>
    <r>
      <rPr>
        <sz val="12"/>
        <color theme="1"/>
        <rFont val="ＭＳ 明朝"/>
        <family val="1"/>
        <charset val="128"/>
      </rPr>
      <t>清</t>
    </r>
    <rPh sb="0" eb="1">
      <t>リ</t>
    </rPh>
    <phoneticPr fontId="78"/>
  </si>
  <si>
    <t>株式会社ポリシャス</t>
  </si>
  <si>
    <t>090-8251-3965</t>
    <phoneticPr fontId="78"/>
  </si>
  <si>
    <t>lj@ks-global.co.jp</t>
    <phoneticPr fontId="78"/>
  </si>
  <si>
    <t>劉勁</t>
    <phoneticPr fontId="78"/>
  </si>
  <si>
    <t xml:space="preserve">liyj@yourfuture.jp   </t>
  </si>
  <si>
    <t>李　遠軍</t>
  </si>
  <si>
    <t>lixin@eastern-gt.com</t>
  </si>
  <si>
    <t>李 昕</t>
  </si>
  <si>
    <t>イースタンゼネラルテクノ株式会社</t>
  </si>
  <si>
    <t>liweihui@tubnet.co.jp</t>
    <phoneticPr fontId="78"/>
  </si>
  <si>
    <t>李偉慧</t>
    <rPh sb="0" eb="1">
      <t>リ</t>
    </rPh>
    <rPh sb="1" eb="2">
      <t>イ</t>
    </rPh>
    <rPh sb="2" eb="3">
      <t>エ</t>
    </rPh>
    <phoneticPr fontId="78"/>
  </si>
  <si>
    <t>株式会社ティー・ユー・ビー</t>
    <rPh sb="0" eb="2">
      <t>カブシキ</t>
    </rPh>
    <rPh sb="2" eb="4">
      <t>カイシャ</t>
    </rPh>
    <phoneticPr fontId="78"/>
  </si>
  <si>
    <t xml:space="preserve">liuwei@genxlq.com   </t>
  </si>
  <si>
    <t>源信＿劉 巍</t>
  </si>
  <si>
    <t>liuting08@chinasoftinc.com</t>
  </si>
  <si>
    <t>liuting08@chinasoftinc.com</t>
    <phoneticPr fontId="75"/>
  </si>
  <si>
    <t xml:space="preserve">liu-sixian@exp-corp.com   </t>
  </si>
  <si>
    <t>イーバイピー_劉　思嫻</t>
  </si>
  <si>
    <t xml:space="preserve">liuli@it-ft.com   </t>
  </si>
  <si>
    <t xml:space="preserve"> アイティフューチュー　劉　莉</t>
  </si>
  <si>
    <t>liukl@istep-n.com</t>
  </si>
  <si>
    <t>劉　開来</t>
  </si>
  <si>
    <t>アイステップ株式会社</t>
  </si>
  <si>
    <t>liufz@softroad.com.cn</t>
  </si>
  <si>
    <t>劉 発智</t>
  </si>
  <si>
    <t>080-3510-2667</t>
    <phoneticPr fontId="78"/>
  </si>
  <si>
    <t>liu-cl@aliplaza.co.jp</t>
    <phoneticPr fontId="78"/>
  </si>
  <si>
    <t>劉長立</t>
    <rPh sb="0" eb="1">
      <t>リュウ</t>
    </rPh>
    <rPh sb="1" eb="2">
      <t>チョウ</t>
    </rPh>
    <rPh sb="2" eb="3">
      <t>リツ</t>
    </rPh>
    <phoneticPr fontId="78"/>
  </si>
  <si>
    <t>アリ</t>
    <phoneticPr fontId="78"/>
  </si>
  <si>
    <t>080-7949-7485</t>
    <phoneticPr fontId="78"/>
  </si>
  <si>
    <t>liuchang@e-business.co.jp</t>
    <phoneticPr fontId="78"/>
  </si>
  <si>
    <t>劉暢</t>
    <rPh sb="0" eb="1">
      <t>リュウ</t>
    </rPh>
    <rPh sb="1" eb="2">
      <t>チョウ</t>
    </rPh>
    <phoneticPr fontId="78"/>
  </si>
  <si>
    <t>株式会社　イー・ビジネス</t>
    <phoneticPr fontId="78"/>
  </si>
  <si>
    <t>liubaotai@softroad.co.jp</t>
  </si>
  <si>
    <t>劉 保太</t>
  </si>
  <si>
    <t>liu.qm@t.alkwalker.info</t>
  </si>
  <si>
    <t>劉 慶梅</t>
  </si>
  <si>
    <t>lisei@softist.com</t>
  </si>
  <si>
    <t>李 静</t>
  </si>
  <si>
    <t>080-3421-5804</t>
    <phoneticPr fontId="78"/>
  </si>
  <si>
    <t>lintao@genxlq.com</t>
    <phoneticPr fontId="78"/>
  </si>
  <si>
    <t>林涛</t>
    <rPh sb="0" eb="1">
      <t>リン</t>
    </rPh>
    <rPh sb="1" eb="2">
      <t>トウ</t>
    </rPh>
    <phoneticPr fontId="78"/>
  </si>
  <si>
    <t>源信株式会社</t>
    <phoneticPr fontId="78"/>
  </si>
  <si>
    <t xml:space="preserve">limin@activenetwork.co.jp </t>
  </si>
  <si>
    <t>limin@activenetwork.co.jp</t>
  </si>
  <si>
    <t>李　民</t>
  </si>
  <si>
    <t>アクティブネットワーク株式会社</t>
  </si>
  <si>
    <t xml:space="preserve">likuo@bitcross.co.jp   </t>
  </si>
  <si>
    <t>李カツ</t>
  </si>
  <si>
    <t>lihuiliang@chojo.co.jp</t>
  </si>
  <si>
    <t>李会良</t>
  </si>
  <si>
    <t>長城コンサルティング株式会社</t>
  </si>
  <si>
    <t>li-hua@vas.ne.jp</t>
  </si>
  <si>
    <t xml:space="preserve">李花 </t>
  </si>
  <si>
    <t>ligang@sofestar.com</t>
  </si>
  <si>
    <t>李剛</t>
  </si>
  <si>
    <t xml:space="preserve"> 株式会社ソフェスター</t>
  </si>
  <si>
    <t xml:space="preserve">lifenhui@shouchi.co.jp   </t>
  </si>
  <si>
    <t>Fenhui Li</t>
  </si>
  <si>
    <t>lifenhui@shouchi.co.jp</t>
  </si>
  <si>
    <t>李　芬慧</t>
  </si>
  <si>
    <t>翔智株式会社</t>
  </si>
  <si>
    <t>lichao@i-bsys.com</t>
    <phoneticPr fontId="78"/>
  </si>
  <si>
    <t>李超</t>
    <rPh sb="0" eb="1">
      <t>リ</t>
    </rPh>
    <rPh sb="1" eb="2">
      <t>チョウ</t>
    </rPh>
    <phoneticPr fontId="78"/>
  </si>
  <si>
    <t>株式会社IBSYS</t>
    <rPh sb="0" eb="2">
      <t>カブシキ</t>
    </rPh>
    <rPh sb="2" eb="4">
      <t>カイシャ</t>
    </rPh>
    <phoneticPr fontId="78"/>
  </si>
  <si>
    <t>080-3557-2937</t>
    <phoneticPr fontId="78"/>
  </si>
  <si>
    <t>libing@thinksystem-jp.com</t>
    <phoneticPr fontId="78"/>
  </si>
  <si>
    <t>李冰</t>
    <rPh sb="0" eb="1">
      <t>リ</t>
    </rPh>
    <rPh sb="1" eb="2">
      <t>ヒョウ</t>
    </rPh>
    <phoneticPr fontId="78"/>
  </si>
  <si>
    <t>シンクシステム株式会社</t>
    <rPh sb="7" eb="9">
      <t>カブシキ</t>
    </rPh>
    <rPh sb="9" eb="11">
      <t>カイシャ</t>
    </rPh>
    <phoneticPr fontId="78"/>
  </si>
  <si>
    <t>libing@thinksystem-jp.com</t>
  </si>
  <si>
    <t>李冰</t>
  </si>
  <si>
    <t>シンクシステム株式会社</t>
  </si>
  <si>
    <t>libin@digi-ocean.co.jp</t>
  </si>
  <si>
    <t>李 ビン</t>
  </si>
  <si>
    <t>libaihua@global-asp.co.jp</t>
  </si>
  <si>
    <t>李 百華</t>
  </si>
  <si>
    <t>li.hongyang@yohten.com</t>
  </si>
  <si>
    <t>子木　紅陽</t>
  </si>
  <si>
    <t>陽天株式会社</t>
  </si>
  <si>
    <t xml:space="preserve">leiruiai@sanei-system.co.jp </t>
  </si>
  <si>
    <t xml:space="preserve">lei.gao@futurelinkbiz.com   </t>
  </si>
  <si>
    <t xml:space="preserve"> FutureLink 高磊</t>
  </si>
  <si>
    <t>lei.gao@futurelinkbiz.com</t>
  </si>
  <si>
    <t>高 磊</t>
  </si>
  <si>
    <t>lee-nt@smhc.co.jp</t>
  </si>
  <si>
    <t>李 日柱</t>
  </si>
  <si>
    <t xml:space="preserve">leekahyou@genxlq.com   </t>
  </si>
  <si>
    <t>源信＿李　可標</t>
  </si>
  <si>
    <t>080-8869-1980</t>
    <phoneticPr fontId="78"/>
  </si>
  <si>
    <t>leekahyou@genxlq.com</t>
    <phoneticPr fontId="78"/>
  </si>
  <si>
    <t>李可標</t>
    <phoneticPr fontId="78"/>
  </si>
  <si>
    <t xml:space="preserve">Lee@staffi.co.jp </t>
  </si>
  <si>
    <t xml:space="preserve">lee@iitels.com </t>
  </si>
  <si>
    <t xml:space="preserve">lee@esquare.co.jp </t>
  </si>
  <si>
    <t xml:space="preserve">lan@infosea.co.jp </t>
  </si>
  <si>
    <t>k-zen@witts-tec.sakura.ne.jp</t>
  </si>
  <si>
    <t>全 虎男</t>
  </si>
  <si>
    <t>株式会社ウィッツテクノロジー</t>
  </si>
  <si>
    <t>kyusa@brycen.co.jp</t>
  </si>
  <si>
    <t xml:space="preserve">kyouryoku1-owner@tbc-inc.co.jp </t>
  </si>
  <si>
    <t>kyokm@3-best.jp</t>
  </si>
  <si>
    <t>姜</t>
  </si>
  <si>
    <t>kyoji.takahashi@going.co.jp</t>
  </si>
  <si>
    <t>シニアマネージャ</t>
  </si>
  <si>
    <t>高橋 京二</t>
  </si>
  <si>
    <t>株式会社ゴーイング・ドットコム</t>
  </si>
  <si>
    <t>kuwabara.ryousuke@ossc-inc.jp</t>
  </si>
  <si>
    <t>桑原　良輔</t>
  </si>
  <si>
    <t>株式会社アウトソーシング・システム・コンサルティング</t>
  </si>
  <si>
    <t>kusu@excelsior.co.jp</t>
  </si>
  <si>
    <t>久壽　絵里</t>
  </si>
  <si>
    <t>株式会社エクセルシア</t>
  </si>
  <si>
    <t>kurokawa@sials.com</t>
  </si>
  <si>
    <t>kurokawa@reedex.co.jp</t>
  </si>
  <si>
    <t>黒川　俊輝</t>
  </si>
  <si>
    <t>株式会社リーデックス</t>
  </si>
  <si>
    <t xml:space="preserve">kurita@ktcc.co.jp </t>
  </si>
  <si>
    <t>kurihara@techno-link.jp</t>
  </si>
  <si>
    <t>栗原　安之</t>
  </si>
  <si>
    <t>株式会社テクノリンク</t>
  </si>
  <si>
    <t xml:space="preserve">kurihara@shintaigi.co.jp </t>
  </si>
  <si>
    <t xml:space="preserve">kumasaka@hispot.co.jp </t>
  </si>
  <si>
    <t xml:space="preserve">kuga@closure.co.jp </t>
  </si>
  <si>
    <t xml:space="preserve">kubo@meikou-f.com </t>
  </si>
  <si>
    <t xml:space="preserve">kts@ktsjoho.co.jp </t>
  </si>
  <si>
    <t>k-tomono@zeatex.co.jp</t>
  </si>
  <si>
    <t>k-tomita@ut-h.co.jp</t>
  </si>
  <si>
    <t>冨田健介</t>
  </si>
  <si>
    <t>ＵＴリーディング株式会社</t>
  </si>
  <si>
    <t xml:space="preserve">ktake@use-ebisu.co.jp </t>
  </si>
  <si>
    <t>kt_wataya@ncm-net.co.jp</t>
  </si>
  <si>
    <t>k-sasaki@technowave.co.jp</t>
  </si>
  <si>
    <t>営業本部　東京営業第３課</t>
  </si>
  <si>
    <t>佐々木　功史</t>
  </si>
  <si>
    <t>k-sasaki@jna.co.jp</t>
  </si>
  <si>
    <t>k-sasaki@i-enter.co.jp</t>
  </si>
  <si>
    <t xml:space="preserve">k-sakamoto@computer-rescuer.com </t>
  </si>
  <si>
    <t>koyoshi@prandco.com</t>
  </si>
  <si>
    <t xml:space="preserve">kouyou@plusware.co.jp   </t>
  </si>
  <si>
    <t xml:space="preserve"> 高楊様</t>
  </si>
  <si>
    <t>080-3089-8656</t>
    <phoneticPr fontId="78"/>
  </si>
  <si>
    <t>kouyou@plusware.co.jp</t>
    <phoneticPr fontId="78"/>
  </si>
  <si>
    <t>高揚</t>
    <rPh sb="0" eb="1">
      <t>タカ</t>
    </rPh>
    <rPh sb="1" eb="2">
      <t>ヨウ</t>
    </rPh>
    <phoneticPr fontId="78"/>
  </si>
  <si>
    <t>株式会社プラスウエア</t>
    <rPh sb="0" eb="2">
      <t>カブシキ</t>
    </rPh>
    <rPh sb="2" eb="4">
      <t>カイシャ</t>
    </rPh>
    <phoneticPr fontId="78"/>
  </si>
  <si>
    <t>kousei_ogawa@equus-inc.co.jp</t>
  </si>
  <si>
    <t>小川  晃正</t>
  </si>
  <si>
    <t>株式会社エクウス</t>
  </si>
  <si>
    <t>kouri.kan@mina-solutions.com</t>
  </si>
  <si>
    <t>関 紅利</t>
  </si>
  <si>
    <t>080-3482-4706</t>
    <phoneticPr fontId="78"/>
  </si>
  <si>
    <t>kouran.kanemoto@star-se.co.jp</t>
    <phoneticPr fontId="78"/>
  </si>
  <si>
    <t>金本　香蘭</t>
    <rPh sb="0" eb="1">
      <t>カネ</t>
    </rPh>
    <rPh sb="1" eb="2">
      <t>モト</t>
    </rPh>
    <rPh sb="3" eb="4">
      <t>カオリ</t>
    </rPh>
    <rPh sb="4" eb="5">
      <t>ラン</t>
    </rPh>
    <phoneticPr fontId="78"/>
  </si>
  <si>
    <t>kouda@supply-net.co.jp</t>
  </si>
  <si>
    <t>好田俊朗</t>
  </si>
  <si>
    <t>株式会社サプライ</t>
  </si>
  <si>
    <t xml:space="preserve">kouda@c-h-c.co.jp </t>
  </si>
  <si>
    <t>kou.shini@trex-group.com</t>
  </si>
  <si>
    <t>黄 晨偉</t>
  </si>
  <si>
    <t xml:space="preserve">kou.ryuu@t-elite.com   </t>
  </si>
  <si>
    <t>テクノ・エリート株  劉昊（リュウコウ）</t>
  </si>
  <si>
    <t>kou.ryuu@t-elite.com</t>
  </si>
  <si>
    <t>劉 昊</t>
  </si>
  <si>
    <t>kotaki@tamwaorld.co.jp</t>
  </si>
  <si>
    <t xml:space="preserve">kota@plum-systems.co.jp </t>
  </si>
  <si>
    <t>koshio@teikyo.co.jp</t>
  </si>
  <si>
    <t>小塩</t>
  </si>
  <si>
    <t xml:space="preserve">koseki@h-so.co.jp </t>
  </si>
  <si>
    <t>konno@syslink.co.jp</t>
  </si>
  <si>
    <t xml:space="preserve">kong@thinkdigital.jp </t>
  </si>
  <si>
    <t>kondoh@ssie.jp</t>
  </si>
  <si>
    <t xml:space="preserve">komazawa@cbs-n.com </t>
  </si>
  <si>
    <t>k-okamoto@commission-diver.net</t>
  </si>
  <si>
    <t>岡本麗史</t>
  </si>
  <si>
    <t xml:space="preserve">kojima@msinet.co.jp </t>
  </si>
  <si>
    <t>kojima@ccnet.co.jp</t>
  </si>
  <si>
    <t>小島　一晃</t>
  </si>
  <si>
    <t>株式会社シーシー・ネットワーク</t>
  </si>
  <si>
    <t>koji.sakata@enisias.com</t>
  </si>
  <si>
    <t>坂田浩司</t>
  </si>
  <si>
    <t>株式会社エニシアス</t>
  </si>
  <si>
    <t>koji.hidaka@agent-network.com</t>
  </si>
  <si>
    <t>日高 光司</t>
  </si>
  <si>
    <t xml:space="preserve">koike@verylook.com </t>
  </si>
  <si>
    <t xml:space="preserve">kocho@nvcom.co.jp </t>
  </si>
  <si>
    <t xml:space="preserve">kobayashi-t@tnetsystem.co.jp </t>
  </si>
  <si>
    <t>kobayashi@techbeat.co.jp</t>
  </si>
  <si>
    <t>小林　潤平</t>
  </si>
  <si>
    <t>株式会社テックビート</t>
  </si>
  <si>
    <t xml:space="preserve">kobayashi@i-try.jp </t>
  </si>
  <si>
    <t xml:space="preserve">kobayashi@infoxnet.co.jp </t>
  </si>
  <si>
    <t xml:space="preserve">kobayashi@brainhearts.com </t>
  </si>
  <si>
    <t xml:space="preserve">ko.izumi@bravance.co.jp </t>
  </si>
  <si>
    <t>k-notsukitaira@pega-sys.co.jp</t>
  </si>
  <si>
    <t>野月平</t>
  </si>
  <si>
    <t>ペガサス・システム株式会社</t>
  </si>
  <si>
    <t xml:space="preserve">k-negishi@totec-net.com   </t>
  </si>
  <si>
    <t>TOTEC Negishi</t>
  </si>
  <si>
    <t xml:space="preserve">k-naruse@lucent-global.co.jp </t>
  </si>
  <si>
    <t>k-nakazaki@jet-t.co.jp</t>
  </si>
  <si>
    <t>k-nagabuchi@orangesol.co.jp</t>
  </si>
  <si>
    <t>kmasuyama@webbolt.co.jp</t>
  </si>
  <si>
    <t>ウェブボルト営業</t>
  </si>
  <si>
    <t>k-kowan@mm-p.co.jp</t>
  </si>
  <si>
    <t>ｸﾞﾙｰﾌﾟﾘｰﾀﾞｰ</t>
  </si>
  <si>
    <t>小湾　喜代宗</t>
  </si>
  <si>
    <t>メディアミックス株式会社</t>
  </si>
  <si>
    <t xml:space="preserve">k-kawai@frontier-syssol.com </t>
  </si>
  <si>
    <t>k-kawai@frontier-syssol.com</t>
  </si>
  <si>
    <t>kizumi@i-hats.co.jp</t>
  </si>
  <si>
    <t>kiwa@acmenet.co.jp</t>
    <phoneticPr fontId="78"/>
  </si>
  <si>
    <t>倪</t>
    <phoneticPr fontId="78"/>
  </si>
  <si>
    <t>エクミネット</t>
    <phoneticPr fontId="78"/>
  </si>
  <si>
    <t>kitamura@e-net-2.com</t>
  </si>
  <si>
    <t>北村　本子</t>
  </si>
  <si>
    <t>株式会社イ－ネット</t>
  </si>
  <si>
    <t xml:space="preserve">kitajima@kjcsoft.com </t>
  </si>
  <si>
    <t xml:space="preserve">kitagawa@i-bsys.com   </t>
  </si>
  <si>
    <t>北川浩様</t>
  </si>
  <si>
    <t xml:space="preserve">kist@tpsinc.co.jp </t>
  </si>
  <si>
    <t>kis-kitomi@ki-s.co.jp</t>
  </si>
  <si>
    <t xml:space="preserve">k-irie@snsystec.co.jp </t>
  </si>
  <si>
    <t xml:space="preserve">kin-ginka@pglk.co.jp   </t>
  </si>
  <si>
    <t>PGLK_金銀花</t>
  </si>
  <si>
    <t>080-5510-7160</t>
    <phoneticPr fontId="78"/>
  </si>
  <si>
    <t>kin-ginka@pglk.co.jp</t>
    <phoneticPr fontId="78"/>
  </si>
  <si>
    <t>金銀花</t>
    <rPh sb="0" eb="1">
      <t>キン</t>
    </rPh>
    <rPh sb="1" eb="2">
      <t>ギン</t>
    </rPh>
    <rPh sb="2" eb="3">
      <t>ハナ</t>
    </rPh>
    <phoneticPr fontId="78"/>
  </si>
  <si>
    <t>株式会社PGLK</t>
    <rPh sb="0" eb="2">
      <t>カブシキ</t>
    </rPh>
    <rPh sb="2" eb="4">
      <t>カイシャ</t>
    </rPh>
    <phoneticPr fontId="78"/>
  </si>
  <si>
    <t xml:space="preserve">kin@seamaple.co.jp   </t>
  </si>
  <si>
    <t>SeaMaple金</t>
  </si>
  <si>
    <t xml:space="preserve">kimura@iai-net.jp </t>
  </si>
  <si>
    <t xml:space="preserve">kimio_masuyama@humanware-k.co.jp </t>
  </si>
  <si>
    <t>090-1032-3585</t>
    <phoneticPr fontId="78"/>
  </si>
  <si>
    <t>kim.mh@e-msr.co.jp</t>
    <phoneticPr fontId="78"/>
  </si>
  <si>
    <t>金　梅花</t>
    <phoneticPr fontId="78"/>
  </si>
  <si>
    <t>株式会社多言語システム研究所</t>
  </si>
  <si>
    <t xml:space="preserve">kikuti-n@dm-tec.co.jp </t>
  </si>
  <si>
    <t xml:space="preserve">kikuchi@jpn-web.jp </t>
  </si>
  <si>
    <t>kikawada@adventec.jp</t>
  </si>
  <si>
    <t xml:space="preserve">kijyu@ocam.co.jp </t>
  </si>
  <si>
    <t>kidas@nextvision.co.jp</t>
  </si>
  <si>
    <t>リーダ</t>
  </si>
  <si>
    <t>木田　茂之</t>
  </si>
  <si>
    <t>株式会社ネクストビジョン</t>
  </si>
  <si>
    <t xml:space="preserve">kibo@6066.jp </t>
  </si>
  <si>
    <t xml:space="preserve">khosono@task-do.com </t>
  </si>
  <si>
    <t xml:space="preserve">k-hirayama@stella-group.com </t>
  </si>
  <si>
    <t xml:space="preserve">khayakawa@rightz.co.jp </t>
  </si>
  <si>
    <t xml:space="preserve">k-fukuyama@toyo-soft.co.jp </t>
  </si>
  <si>
    <t>kento.mizuochi@axas-japan.co.jp</t>
  </si>
  <si>
    <t>kenji.tomita@yskk.jp</t>
  </si>
  <si>
    <t>kenichi_tamura@zestsystem.co.jp</t>
  </si>
  <si>
    <t>田村　健一</t>
  </si>
  <si>
    <t>株式会社ゼストシステム</t>
  </si>
  <si>
    <t>kekey@wicresoft.com</t>
  </si>
  <si>
    <t>楊 可可</t>
  </si>
  <si>
    <t>keisuke.matsumoto@softry.co.jp</t>
  </si>
  <si>
    <t>080-4668-3615</t>
    <phoneticPr fontId="78"/>
  </si>
  <si>
    <t>keiiku@bcljapan.co.jp</t>
    <phoneticPr fontId="78"/>
  </si>
  <si>
    <t>景育</t>
    <rPh sb="0" eb="1">
      <t>ケイ</t>
    </rPh>
    <rPh sb="1" eb="2">
      <t>イク</t>
    </rPh>
    <phoneticPr fontId="78"/>
  </si>
  <si>
    <t xml:space="preserve">kei@futuresd.com   </t>
  </si>
  <si>
    <t>ケイ　ズイホウ</t>
  </si>
  <si>
    <t>kei@futuresd.com</t>
  </si>
  <si>
    <t xml:space="preserve">kei.ohyama@o-tam.co.jp </t>
  </si>
  <si>
    <t xml:space="preserve">k-chou@current-space.co.jp   </t>
  </si>
  <si>
    <t>カレントスペース_張</t>
  </si>
  <si>
    <t>k-chou@current-space.co.jp</t>
  </si>
  <si>
    <t>kazuo-sakata@oas.co.jp</t>
  </si>
  <si>
    <t>kazuko.sasaki@sacn.co.jp</t>
  </si>
  <si>
    <t xml:space="preserve">kazuki.suetake@axas-japan.co.jp </t>
  </si>
  <si>
    <t>kazuhito.ohtomo@yi-inc.co.jp</t>
  </si>
  <si>
    <t xml:space="preserve">kazuhide.okita@ak-system.co.jp </t>
  </si>
  <si>
    <t>kazama@seitokukogyo.co.jp</t>
  </si>
  <si>
    <t>kawata@riverfarm.co.jp</t>
  </si>
  <si>
    <t>河田　孝</t>
  </si>
  <si>
    <t>有限会社リバーファームシステム</t>
  </si>
  <si>
    <t>kawanabe.k@amenity-corp.co.jp</t>
  </si>
  <si>
    <t xml:space="preserve">kawamura@synergy-networks.co.jp </t>
  </si>
  <si>
    <t>kawamura@synergy-networks.co.jp</t>
  </si>
  <si>
    <t xml:space="preserve">kawamura@baudroie.jp </t>
  </si>
  <si>
    <t xml:space="preserve">kawamata@primeconsulting.jp </t>
  </si>
  <si>
    <t>kawai-nobukimi@kingsnet.co.jp</t>
  </si>
  <si>
    <t>kawahashi@tenda.co.jp</t>
  </si>
  <si>
    <t xml:space="preserve">kawaguchi@apec-japan.jp </t>
  </si>
  <si>
    <t xml:space="preserve">katsushige.tanabe@asianlink.co.jp </t>
  </si>
  <si>
    <t>katsumata@rpc-ltd.co.jp</t>
  </si>
  <si>
    <t xml:space="preserve">katsuhiko.yoshimura@shintaigi.co.jp </t>
  </si>
  <si>
    <t>katsuhiko.yoshimura@shintaigi.co.jp</t>
  </si>
  <si>
    <t xml:space="preserve">katou@psb.co.jp </t>
  </si>
  <si>
    <t xml:space="preserve">katorik@gbs-grp.com </t>
  </si>
  <si>
    <t xml:space="preserve">katoku@brand-e.net </t>
  </si>
  <si>
    <t xml:space="preserve">kato.ayana@revitie.jp </t>
  </si>
  <si>
    <t xml:space="preserve">kataoka@utinc.co.jp </t>
  </si>
  <si>
    <t xml:space="preserve">kasuya@rise-i.com </t>
  </si>
  <si>
    <t>kasumi@sosnet.co.jp</t>
  </si>
  <si>
    <t>kashiwase@axcell.info</t>
  </si>
  <si>
    <t xml:space="preserve">k-asai@technowave.co.jp </t>
  </si>
  <si>
    <t>kasai@faila.jp</t>
  </si>
  <si>
    <t>SI事業本部</t>
  </si>
  <si>
    <t>笠井　健祐</t>
  </si>
  <si>
    <t>株式会社ファイラエンジニアリング</t>
  </si>
  <si>
    <t xml:space="preserve">kasai.makoto@isfnet.com </t>
  </si>
  <si>
    <t>karita@popular-soft.com</t>
  </si>
  <si>
    <t>有田</t>
  </si>
  <si>
    <t>kantou.partner@sysystem.co.jp</t>
  </si>
  <si>
    <t>関　奈保美</t>
  </si>
  <si>
    <t>株式会社エスワイシステム</t>
  </si>
  <si>
    <t>kanto@androbo.jp</t>
  </si>
  <si>
    <t>kansk@smartservice.co.jp</t>
  </si>
  <si>
    <t>関 俊杰</t>
  </si>
  <si>
    <t xml:space="preserve">kanri@firstdata-tokyo.com </t>
  </si>
  <si>
    <t>kanoh@syskai.co.jp</t>
  </si>
  <si>
    <t>取締役　システム部　部長</t>
  </si>
  <si>
    <t>狩野　弘幸</t>
  </si>
  <si>
    <t>システム開発株式会社</t>
  </si>
  <si>
    <t xml:space="preserve">kano@gkt.co.jp </t>
  </si>
  <si>
    <t xml:space="preserve">kano@alex.co.jp </t>
  </si>
  <si>
    <t xml:space="preserve">kaneta@otc.co.jp </t>
  </si>
  <si>
    <t xml:space="preserve">kaneshige@kodama-system.com </t>
  </si>
  <si>
    <t>kanemitsu@gs-g.co.jp</t>
  </si>
  <si>
    <t>kanekoj@syskai.co.jp</t>
  </si>
  <si>
    <t>金子　純也</t>
  </si>
  <si>
    <t>kaneko_a@tsi-co.jp</t>
  </si>
  <si>
    <t>金子　敦</t>
  </si>
  <si>
    <t>株式会社ティーエスアイコーポレーション</t>
  </si>
  <si>
    <t>kaneko@azbros.co.jp</t>
  </si>
  <si>
    <t xml:space="preserve">kaneko@ab-is.com </t>
  </si>
  <si>
    <t>kaneko@ab-is.com</t>
  </si>
  <si>
    <t>金子 弘海</t>
  </si>
  <si>
    <t>AB情報システム株式会社</t>
  </si>
  <si>
    <t>kanekiyo@cbs-n.com</t>
  </si>
  <si>
    <t xml:space="preserve">"兼清＠CBS㈱" </t>
  </si>
  <si>
    <t>kanazawa.hitomi@abilitynet.jp</t>
  </si>
  <si>
    <t xml:space="preserve">kanai@nexusmind.co.jp </t>
  </si>
  <si>
    <t>090-6015-4980</t>
    <phoneticPr fontId="78"/>
  </si>
  <si>
    <t>kaku@pscp.co.jp</t>
    <phoneticPr fontId="78"/>
  </si>
  <si>
    <t>賀来</t>
    <phoneticPr fontId="78"/>
  </si>
  <si>
    <t>パワースター</t>
    <phoneticPr fontId="78"/>
  </si>
  <si>
    <t>kaku@keid.co.jp</t>
  </si>
  <si>
    <t>郭 立新</t>
  </si>
  <si>
    <t>郭　立新</t>
  </si>
  <si>
    <t>株式会社ケイ開発</t>
  </si>
  <si>
    <t>090-2439-4337</t>
    <phoneticPr fontId="78"/>
  </si>
  <si>
    <t>kaku@ebskk.com</t>
    <phoneticPr fontId="78"/>
  </si>
  <si>
    <t>郭亮</t>
    <rPh sb="0" eb="1">
      <t>カク</t>
    </rPh>
    <rPh sb="1" eb="2">
      <t>リョウ</t>
    </rPh>
    <phoneticPr fontId="78"/>
  </si>
  <si>
    <t>株式会社eビジネスソリューション</t>
    <rPh sb="0" eb="2">
      <t>カブシキ</t>
    </rPh>
    <rPh sb="2" eb="4">
      <t>カイシャ</t>
    </rPh>
    <phoneticPr fontId="78"/>
  </si>
  <si>
    <t>kaku@bigsea.co.jp</t>
  </si>
  <si>
    <t>郭 海波</t>
  </si>
  <si>
    <t>郭　海波</t>
  </si>
  <si>
    <t>株式会社翰海</t>
  </si>
  <si>
    <t>080-3442-9125</t>
    <phoneticPr fontId="78"/>
  </si>
  <si>
    <t>kaku.ot@cleansoft.co.jp</t>
    <phoneticPr fontId="78"/>
  </si>
  <si>
    <t>郭　恩東</t>
    <phoneticPr fontId="78"/>
  </si>
  <si>
    <t>株式会社クリーンソフト</t>
    <phoneticPr fontId="78"/>
  </si>
  <si>
    <t>kaku.ot@cleansoft.co.jp</t>
  </si>
  <si>
    <t>郭　恩東</t>
  </si>
  <si>
    <t>株式会社クリーンソフト</t>
  </si>
  <si>
    <t>kakegawa@aztecs.co.jp</t>
  </si>
  <si>
    <t xml:space="preserve">kajiwara@aisys-t.co.jp </t>
  </si>
  <si>
    <t>AIS梶原和彦</t>
  </si>
  <si>
    <t>kaizan.suu@e-techs.co.jp</t>
  </si>
  <si>
    <t>鄒海山</t>
  </si>
  <si>
    <t>kaisaka@hb-tech.com</t>
  </si>
  <si>
    <t>相坂和城</t>
  </si>
  <si>
    <t xml:space="preserve">kairan_sai@gbs-grp.com </t>
  </si>
  <si>
    <t>kaichi@baleno.jp</t>
  </si>
  <si>
    <t>ka-gotou@comcosystem.co.jp</t>
  </si>
  <si>
    <t>五藤 一彦</t>
  </si>
  <si>
    <t>kadota@aim-soft.co.jp</t>
  </si>
  <si>
    <t>門田　宏之</t>
  </si>
  <si>
    <t>株式会社エイムソフト</t>
  </si>
  <si>
    <t>kadokawa_y@stdjpn.co.jp</t>
  </si>
  <si>
    <t>角川　義光</t>
  </si>
  <si>
    <t>株式会社エスティード・ジャパン</t>
  </si>
  <si>
    <t xml:space="preserve">ka.shitara@geoteck.co.jp </t>
  </si>
  <si>
    <t xml:space="preserve">k_yoshikane@planet.ne.jp </t>
  </si>
  <si>
    <t xml:space="preserve">k_yabe@deepcom.co.jp </t>
  </si>
  <si>
    <t xml:space="preserve">k_urushiyama@densho-gp.co.jp </t>
  </si>
  <si>
    <t>k_ueno@soft-think.com</t>
  </si>
  <si>
    <t>上野　邦弘</t>
  </si>
  <si>
    <t>ソフトシンク株式会社</t>
  </si>
  <si>
    <t xml:space="preserve">K_toyama@e-cis.co.jp </t>
  </si>
  <si>
    <t xml:space="preserve">k_shirai@pascom.jp </t>
  </si>
  <si>
    <t>k_shirai@pascom.jp</t>
  </si>
  <si>
    <t xml:space="preserve">k_sakata@toua-jp.com </t>
  </si>
  <si>
    <t xml:space="preserve">k_koseki@bs-ja.co.jp </t>
  </si>
  <si>
    <t xml:space="preserve">k_kawashima@acro.vc </t>
  </si>
  <si>
    <t>k_kaneko@mediajoint.co.jp</t>
  </si>
  <si>
    <t xml:space="preserve">k_kanamori@teraseek.co.jp   </t>
  </si>
  <si>
    <t>テラシーク_金森</t>
  </si>
  <si>
    <t xml:space="preserve">k_ishida@systemio.co.jp </t>
  </si>
  <si>
    <t>k_inada@thinknet-pro.co.jp</t>
  </si>
  <si>
    <t>稲田 清和</t>
  </si>
  <si>
    <t>株式会社シンクネットプロ</t>
  </si>
  <si>
    <t>k_hasegawa@c-hrc.jp</t>
  </si>
  <si>
    <t xml:space="preserve">k_eigyo@clsinc.co.jp </t>
  </si>
  <si>
    <t>k.watanabe@tokyo.nextware.co.jp</t>
  </si>
  <si>
    <t>080-6635-8353</t>
    <phoneticPr fontId="78"/>
  </si>
  <si>
    <t>k.tei@tjs-se.com</t>
    <phoneticPr fontId="78"/>
  </si>
  <si>
    <t>鄭強</t>
    <phoneticPr fontId="78"/>
  </si>
  <si>
    <t>株式会社スリージェットシステム（TJS）</t>
    <phoneticPr fontId="78"/>
  </si>
  <si>
    <t>k.tei@tjs-se.com</t>
  </si>
  <si>
    <t>株式会社スリージェットシステム（ＴＪＳ）</t>
  </si>
  <si>
    <t>080-7736-7975</t>
    <phoneticPr fontId="78"/>
  </si>
  <si>
    <t>k.taguchi@tjs-se.com</t>
    <phoneticPr fontId="78"/>
  </si>
  <si>
    <t>田口梢</t>
    <phoneticPr fontId="78"/>
  </si>
  <si>
    <t>k.taguchi@tjs-se.com</t>
  </si>
  <si>
    <t>k.suzuki@sunretail.co.jp</t>
  </si>
  <si>
    <t>鈴木　賢一</t>
  </si>
  <si>
    <t>株式会社サンリテールシステム</t>
  </si>
  <si>
    <t>k.sano@ccnet.co.jp</t>
  </si>
  <si>
    <t>佐野　健悟</t>
  </si>
  <si>
    <t>k.saito@urbane-web.jp</t>
  </si>
  <si>
    <t>k.sai@seasuninfo.com</t>
  </si>
  <si>
    <t>斎建</t>
  </si>
  <si>
    <t>株式会社　海容</t>
  </si>
  <si>
    <t>k.okabe@TakionSD.com</t>
  </si>
  <si>
    <t xml:space="preserve">k.ohkawa@even.co.jp </t>
  </si>
  <si>
    <t>k.nishimura@symmetrix.co.jp</t>
  </si>
  <si>
    <t>西村 健</t>
  </si>
  <si>
    <t xml:space="preserve">k.nishikawa@androbo.jp </t>
  </si>
  <si>
    <t xml:space="preserve">k.nakajima@vasdaqj.jp </t>
  </si>
  <si>
    <t>k.nagatome@shinston.com</t>
  </si>
  <si>
    <t>永留 健二</t>
  </si>
  <si>
    <t>k.matsuyama@mn-tech.co.jp</t>
  </si>
  <si>
    <t>松山　晃大</t>
  </si>
  <si>
    <t>k.matsumoto@opty-creation.co.jp</t>
  </si>
  <si>
    <t xml:space="preserve">k.kurotaki@evonet.co.jp </t>
  </si>
  <si>
    <t xml:space="preserve">k.iwai@smatec.jp   </t>
  </si>
  <si>
    <t>祝　勝利</t>
  </si>
  <si>
    <t>k.baba@rtmedias.com</t>
  </si>
  <si>
    <t xml:space="preserve">k.asano@sanyu-i.com </t>
  </si>
  <si>
    <t xml:space="preserve">jyo@zenith-j.com </t>
  </si>
  <si>
    <t>jyo@shksoft.com</t>
  </si>
  <si>
    <t>常　一峰</t>
  </si>
  <si>
    <t>少伯ソフトウエアソリューションズ株式会社</t>
  </si>
  <si>
    <t>junichi.yoshino@axas-japan.co.jp</t>
  </si>
  <si>
    <t xml:space="preserve">jocisy@sincerity-trust.com   </t>
  </si>
  <si>
    <t xml:space="preserve"> 誠信システムズ 徐　淑芬</t>
  </si>
  <si>
    <t>080-4819-1092</t>
    <phoneticPr fontId="78"/>
  </si>
  <si>
    <t>jocisy@sincerity-trust.com</t>
    <phoneticPr fontId="78"/>
  </si>
  <si>
    <t>徐　淑芬</t>
    <phoneticPr fontId="78"/>
  </si>
  <si>
    <t>誠信システムズ株式会社</t>
    <phoneticPr fontId="78"/>
  </si>
  <si>
    <t xml:space="preserve">job-mail@active-noah.co.jp </t>
  </si>
  <si>
    <t>job-info@speedlink-td.info</t>
  </si>
  <si>
    <t>job@gvtech.co.jp</t>
  </si>
  <si>
    <t>job@forward-soft.co.jp</t>
  </si>
  <si>
    <t>job@forward-soft.co.jp</t>
    <phoneticPr fontId="75"/>
  </si>
  <si>
    <t>080-5458-6846</t>
    <phoneticPr fontId="78"/>
  </si>
  <si>
    <t>jinzg@e-msr.co.jp</t>
    <phoneticPr fontId="78"/>
  </si>
  <si>
    <t>金鐘鎬</t>
    <phoneticPr fontId="78"/>
  </si>
  <si>
    <t xml:space="preserve">jinzai@sig-c.co.jp </t>
  </si>
  <si>
    <t>jinzai@sig-c.co.jp</t>
  </si>
  <si>
    <t>jinzai@pckids.co.jp</t>
  </si>
  <si>
    <t>株式会社ピーシーキッド</t>
  </si>
  <si>
    <t xml:space="preserve">jinzai@nichiyuu.net </t>
  </si>
  <si>
    <t xml:space="preserve">jinzai@hopes-ise.co.jp </t>
  </si>
  <si>
    <t>jinzai@fspartners.co.jp</t>
  </si>
  <si>
    <t>株式会社FSP</t>
  </si>
  <si>
    <t>jinzai@espa.e-space.ne.jp</t>
  </si>
  <si>
    <t>井手芳幸</t>
  </si>
  <si>
    <t>株式会社エスパ</t>
  </si>
  <si>
    <t xml:space="preserve">jinzai@conflux.jp </t>
  </si>
  <si>
    <t>jinzai@conflux.jp</t>
  </si>
  <si>
    <t>反町　長禄</t>
  </si>
  <si>
    <t>株式会社Conflux</t>
  </si>
  <si>
    <t>jinzai@chojo.co.jp</t>
  </si>
  <si>
    <t xml:space="preserve">jinji@e-cec.jp </t>
  </si>
  <si>
    <t>jingbin@j-ideas.com</t>
  </si>
  <si>
    <t>景 斌</t>
  </si>
  <si>
    <t xml:space="preserve">jinb@netcome.co.jp </t>
  </si>
  <si>
    <t>jianping_chen@gel-lib.com</t>
  </si>
  <si>
    <t>陳　健平</t>
  </si>
  <si>
    <t>GEL研究所株式会社</t>
  </si>
  <si>
    <t xml:space="preserve">jianling@sun-star.co.jp </t>
  </si>
  <si>
    <t>jiangxiaolin@ten-ji.co.jp</t>
    <phoneticPr fontId="78"/>
  </si>
  <si>
    <t>姜　暁琳</t>
    <phoneticPr fontId="78"/>
  </si>
  <si>
    <t xml:space="preserve">jiang@jyj-sunbridge.com  </t>
  </si>
  <si>
    <t>姜 喜紅</t>
  </si>
  <si>
    <t>090-8045-7365</t>
    <phoneticPr fontId="78"/>
  </si>
  <si>
    <t>jangchersu2000@neosoft.jp</t>
    <phoneticPr fontId="78"/>
  </si>
  <si>
    <t>張哲洙</t>
    <rPh sb="0" eb="1">
      <t>チョウ</t>
    </rPh>
    <rPh sb="1" eb="2">
      <t>テツ</t>
    </rPh>
    <rPh sb="2" eb="3">
      <t>ズ</t>
    </rPh>
    <phoneticPr fontId="78"/>
  </si>
  <si>
    <t>jangchersu2000@neosoft.jp</t>
  </si>
  <si>
    <t>営業部　部長</t>
  </si>
  <si>
    <t>張</t>
  </si>
  <si>
    <t>株式会社ネオソフト</t>
  </si>
  <si>
    <t>s</t>
    <phoneticPr fontId="75"/>
  </si>
  <si>
    <t>j.yang@bizwel.jp</t>
  </si>
  <si>
    <t>楊　京京</t>
  </si>
  <si>
    <t>ビズウェル株式会社</t>
  </si>
  <si>
    <t xml:space="preserve">izumi@urbane-s.com </t>
  </si>
  <si>
    <t xml:space="preserve">iyama@jfe.co.jp </t>
  </si>
  <si>
    <t xml:space="preserve">iwasaki@ainet-c.com </t>
  </si>
  <si>
    <t>iwasaki@about-rd.co.jp</t>
  </si>
  <si>
    <t>岩崎　浩</t>
  </si>
  <si>
    <t>株式会社アバウトR&amp;D</t>
  </si>
  <si>
    <t>iwakuni@webjin.co.jp</t>
  </si>
  <si>
    <t xml:space="preserve">iwai@jpn-web.jp </t>
  </si>
  <si>
    <t>iwadate_takashi@fix-labs.jp</t>
  </si>
  <si>
    <t xml:space="preserve">itsj-sales@itsoft.ecnet.jp </t>
  </si>
  <si>
    <t xml:space="preserve">it-sales@azure-plus.co.jp </t>
  </si>
  <si>
    <t xml:space="preserve">itou@braingate.co.jp </t>
  </si>
  <si>
    <t xml:space="preserve">itot@asp-e.com </t>
  </si>
  <si>
    <t>itokazu@jion-g.co.jp</t>
  </si>
  <si>
    <t>ito@humancrest.co.jp</t>
  </si>
  <si>
    <t>伊藤　仁</t>
  </si>
  <si>
    <t>it-bs-dept@ailltd.co.jp</t>
  </si>
  <si>
    <t>itakura.t@active-it.co.jp</t>
  </si>
  <si>
    <t>板倉　喬</t>
  </si>
  <si>
    <t xml:space="preserve">it_sales@toua-jp.com </t>
  </si>
  <si>
    <t xml:space="preserve">it@businesslink-corp.com </t>
  </si>
  <si>
    <t>ishiwata@technocrats.jp</t>
  </si>
  <si>
    <t>石渡　聡</t>
  </si>
  <si>
    <t>ishino@stellar-g.co.jp</t>
  </si>
  <si>
    <t>石野　雅務</t>
  </si>
  <si>
    <t>株式会社ステラゲート</t>
  </si>
  <si>
    <t xml:space="preserve">ishino@owj.co.jp </t>
  </si>
  <si>
    <t xml:space="preserve">ishikawator@hdt-llc.com </t>
  </si>
  <si>
    <t xml:space="preserve">ishibashi@r-jc.jp </t>
  </si>
  <si>
    <t>ishibai@s-giken.com</t>
  </si>
  <si>
    <t xml:space="preserve">isamu@gkt.co.jp </t>
  </si>
  <si>
    <t>irisuna@as-c.co.jp</t>
  </si>
  <si>
    <t>入砂  秀一</t>
  </si>
  <si>
    <t>エイ・エス・株式会社</t>
  </si>
  <si>
    <t>ip-sales@ipc-mail.co.jp</t>
  </si>
  <si>
    <t>inq@8egg.co.jp</t>
  </si>
  <si>
    <t xml:space="preserve">inoue@pure-system.net </t>
  </si>
  <si>
    <t>infoplan@bg8.so-net.ne.jp</t>
    <phoneticPr fontId="78"/>
  </si>
  <si>
    <t>小楠</t>
    <rPh sb="0" eb="1">
      <t>ショウ</t>
    </rPh>
    <rPh sb="1" eb="2">
      <t>ナン</t>
    </rPh>
    <phoneticPr fontId="78"/>
  </si>
  <si>
    <t>株式会社情報企画</t>
    <phoneticPr fontId="78"/>
  </si>
  <si>
    <t xml:space="preserve">infoline@kzcom.jp </t>
  </si>
  <si>
    <t xml:space="preserve">info-jinzai@l-owcal.com </t>
  </si>
  <si>
    <t>info-jinzai@l-owcal.com</t>
  </si>
  <si>
    <t>木内　祐太</t>
  </si>
  <si>
    <t xml:space="preserve"> 株式会社LOWCAL</t>
  </si>
  <si>
    <t>info-bp@oneworld-jpn.net</t>
  </si>
  <si>
    <t>大場</t>
  </si>
  <si>
    <t>株式会社ワンワールド</t>
  </si>
  <si>
    <t>info1@brightstar.co.jp</t>
  </si>
  <si>
    <t>管理本部部長</t>
  </si>
  <si>
    <t>呉艶</t>
  </si>
  <si>
    <t>株式会社ブライドスター</t>
  </si>
  <si>
    <t>info1@aquamoonsystems.co.jp</t>
  </si>
  <si>
    <t xml:space="preserve">info_01@fexd.co.jp </t>
  </si>
  <si>
    <t xml:space="preserve">info@tenryu-sys.co.jp </t>
  </si>
  <si>
    <t>info@technocreation.co.jp</t>
  </si>
  <si>
    <t>info@smartsocial.jp</t>
  </si>
  <si>
    <t xml:space="preserve">info@sic-shibuya.co.jp </t>
  </si>
  <si>
    <t>info@sense-kk.jp</t>
  </si>
  <si>
    <t>張　振</t>
  </si>
  <si>
    <t>info@santecnet.co.jp</t>
  </si>
  <si>
    <t>株式会社サンテック</t>
  </si>
  <si>
    <t xml:space="preserve">info@number1.co.jp </t>
  </si>
  <si>
    <t>090-4059-6227</t>
    <phoneticPr fontId="78"/>
  </si>
  <si>
    <t>info@newvt.co.jp</t>
    <phoneticPr fontId="78"/>
  </si>
  <si>
    <t>催健志</t>
    <phoneticPr fontId="78"/>
  </si>
  <si>
    <t>株式会社ニュービジョンテック</t>
  </si>
  <si>
    <t xml:space="preserve">info@netst.co.jp </t>
  </si>
  <si>
    <t>info@netcom.co.jp</t>
  </si>
  <si>
    <t>張　書明</t>
  </si>
  <si>
    <t>株式会社ネットコム</t>
  </si>
  <si>
    <t xml:space="preserve">info@metatec.co.jp </t>
  </si>
  <si>
    <t>info@metatec.co.jp</t>
  </si>
  <si>
    <t>趙 東</t>
  </si>
  <si>
    <t>メタテック株式会社</t>
  </si>
  <si>
    <t xml:space="preserve">info@marion.ne.jp </t>
  </si>
  <si>
    <t xml:space="preserve">info@lspit.co.jp </t>
  </si>
  <si>
    <t>info@kindlingsoft.com</t>
  </si>
  <si>
    <t>副社長</t>
  </si>
  <si>
    <t>鄭　継飛</t>
  </si>
  <si>
    <t>株式会社キンドリングソフト</t>
  </si>
  <si>
    <t xml:space="preserve">info@kenes.co.jp </t>
  </si>
  <si>
    <t>info@info-max.jp</t>
  </si>
  <si>
    <t>蒋　</t>
  </si>
  <si>
    <t xml:space="preserve">info@hitotsu-cs.com </t>
  </si>
  <si>
    <t xml:space="preserve">info@gs-jp.com </t>
  </si>
  <si>
    <t xml:space="preserve">info@globalnet-software.com </t>
  </si>
  <si>
    <t>info@globalnet-software.com</t>
  </si>
  <si>
    <t>中軍　武</t>
  </si>
  <si>
    <t>グローバルネット・ソフトウェア株式会社</t>
  </si>
  <si>
    <t xml:space="preserve">info@gbs-grp.com   </t>
  </si>
  <si>
    <t>金井様</t>
  </si>
  <si>
    <t xml:space="preserve">info@gbs-grp.com  </t>
  </si>
  <si>
    <t>GBS/営業部　張愛東</t>
  </si>
  <si>
    <t xml:space="preserve">info@gbs-grp.com </t>
  </si>
  <si>
    <t>info@gbs-grp.com</t>
    <phoneticPr fontId="78"/>
  </si>
  <si>
    <t>楊慧泉</t>
    <rPh sb="0" eb="1">
      <t>ヨウ</t>
    </rPh>
    <rPh sb="1" eb="2">
      <t>エ</t>
    </rPh>
    <rPh sb="2" eb="3">
      <t>セン</t>
    </rPh>
    <phoneticPr fontId="78"/>
  </si>
  <si>
    <t>株式会社グローバルビジネスソリューションズ</t>
    <rPh sb="0" eb="2">
      <t>カブシキ</t>
    </rPh>
    <rPh sb="2" eb="4">
      <t>カイシャ</t>
    </rPh>
    <phoneticPr fontId="78"/>
  </si>
  <si>
    <t>info@forza21.com</t>
  </si>
  <si>
    <t xml:space="preserve">info@firstdata-tokyo.com </t>
  </si>
  <si>
    <t xml:space="preserve">info@fatech.co.jp </t>
  </si>
  <si>
    <t>info@fatech.co.jp</t>
  </si>
  <si>
    <t>株式会社ファテック</t>
  </si>
  <si>
    <t>info@dsrnet.co.jp</t>
  </si>
  <si>
    <t>佐藤　強</t>
  </si>
  <si>
    <t>株式会社ダイナミックシステムリサーチ</t>
  </si>
  <si>
    <t>info@digitalenergy.jp</t>
  </si>
  <si>
    <t>デジタルエナジー株式会社</t>
  </si>
  <si>
    <t>info@dcx.co.jp</t>
  </si>
  <si>
    <t>info@dcx.co.jp</t>
    <phoneticPr fontId="75"/>
  </si>
  <si>
    <t>info@cscons.co.jp</t>
    <phoneticPr fontId="75"/>
  </si>
  <si>
    <t>張　明吉</t>
  </si>
  <si>
    <t>千代田ソフトコンサル</t>
  </si>
  <si>
    <t xml:space="preserve">info@cs21.co.jp </t>
  </si>
  <si>
    <t xml:space="preserve">info@c-c-r.co.jp </t>
  </si>
  <si>
    <t>info@bayside-technologies.co.jp</t>
  </si>
  <si>
    <t>担当者</t>
  </si>
  <si>
    <t>株式会社ベイサイドテクノロジーズ</t>
  </si>
  <si>
    <t xml:space="preserve">info@atcjapan.com </t>
  </si>
  <si>
    <t>info@arnage.co.jp</t>
  </si>
  <si>
    <t>info@aim-soft.co.jp</t>
  </si>
  <si>
    <t>営業担当者</t>
  </si>
  <si>
    <t xml:space="preserve">info@7plus.co.jp </t>
  </si>
  <si>
    <t xml:space="preserve">inf@i-system-i.co.jp </t>
  </si>
  <si>
    <t>imamura@fcr-sys.net</t>
  </si>
  <si>
    <t xml:space="preserve">imai@eaz.co.jp </t>
  </si>
  <si>
    <t>imai.yoshiko@sense.co.jp</t>
  </si>
  <si>
    <t>ikuta@cs-echo.co.jp</t>
  </si>
  <si>
    <t>ikubo.tk@vses.co.jp</t>
  </si>
  <si>
    <t>Ikeguchi.chiharu@sysystem.co.jp;</t>
    <phoneticPr fontId="75"/>
  </si>
  <si>
    <t>Ikeguchi.chiharu@sysystem.co.jp</t>
  </si>
  <si>
    <t>iijima_kiyoshi@fix-labs.jp</t>
  </si>
  <si>
    <t>iida@rolan.co.jp</t>
  </si>
  <si>
    <t>飯田　博</t>
  </si>
  <si>
    <t>ローラン株式会社</t>
  </si>
  <si>
    <t xml:space="preserve">ihara-k@applicative.co.jp </t>
  </si>
  <si>
    <t>ihara-k@applicative.co.jp</t>
  </si>
  <si>
    <t>井原　研一</t>
  </si>
  <si>
    <t>アプリカティブ 株式会社</t>
  </si>
  <si>
    <t>igarashi.hiroshi@isfnet.com</t>
  </si>
  <si>
    <t>営業本部　第一営業部</t>
  </si>
  <si>
    <t>五十嵐　公洋</t>
  </si>
  <si>
    <t>株式会社アイエスエフネット</t>
  </si>
  <si>
    <t xml:space="preserve">ichiyama_hiroaki@i2c.jp </t>
  </si>
  <si>
    <t>ichiki@diamond-h.net</t>
  </si>
  <si>
    <t>ibaraki@icd.co.jp</t>
  </si>
  <si>
    <t xml:space="preserve">i_tsubota@unitechsoft.co.jp </t>
  </si>
  <si>
    <t>human_resorce@bigtreetc.com</t>
  </si>
  <si>
    <t>株式会社ビッグツリーテクノロジー&amp;コンサルティング</t>
  </si>
  <si>
    <t xml:space="preserve">HuaWang@WistronITS.com </t>
  </si>
  <si>
    <t>huangyan@totyu-create.com</t>
  </si>
  <si>
    <t>黄 燕</t>
  </si>
  <si>
    <t>huangxx@sinan.co.jp</t>
  </si>
  <si>
    <t>黄 暁霞</t>
  </si>
  <si>
    <t>080-7953-0775</t>
    <phoneticPr fontId="78"/>
  </si>
  <si>
    <t>huangxx@sinan.co.jp</t>
    <phoneticPr fontId="78"/>
  </si>
  <si>
    <t>黄暁霞</t>
    <rPh sb="0" eb="1">
      <t>コウ</t>
    </rPh>
    <rPh sb="1" eb="2">
      <t>ギョウ</t>
    </rPh>
    <rPh sb="2" eb="3">
      <t>カ</t>
    </rPh>
    <phoneticPr fontId="78"/>
  </si>
  <si>
    <t>司南株式会社</t>
    <rPh sb="2" eb="6">
      <t>カブシキカイシャ</t>
    </rPh>
    <phoneticPr fontId="78"/>
  </si>
  <si>
    <t>huanglim@youisoft.jp</t>
    <phoneticPr fontId="78"/>
  </si>
  <si>
    <t>黄林</t>
    <rPh sb="0" eb="1">
      <t>コウ</t>
    </rPh>
    <rPh sb="1" eb="2">
      <t>リン</t>
    </rPh>
    <phoneticPr fontId="78"/>
  </si>
  <si>
    <t>YOUIユーアイソフト株式会社</t>
    <rPh sb="11" eb="13">
      <t>カブシキ</t>
    </rPh>
    <rPh sb="13" eb="15">
      <t>カイシャ</t>
    </rPh>
    <phoneticPr fontId="78"/>
  </si>
  <si>
    <t xml:space="preserve">huang@kenes.co.jp   </t>
  </si>
  <si>
    <t xml:space="preserve"> 黄海東様</t>
  </si>
  <si>
    <t>huang@kenes.co.jp</t>
    <phoneticPr fontId="75"/>
  </si>
  <si>
    <t>黄　海東</t>
  </si>
  <si>
    <t>株式会社ケネス</t>
  </si>
  <si>
    <t xml:space="preserve">Huang@asiaplaza.co.jp </t>
  </si>
  <si>
    <t xml:space="preserve">h-tsujimura@fkcinc.co.jp </t>
  </si>
  <si>
    <t>h-terao@itckk.co.jp</t>
  </si>
  <si>
    <t>h-tanaka@kenschool.jp</t>
  </si>
  <si>
    <t>hsuzuki@fspartners.co.jp</t>
  </si>
  <si>
    <t>hsuzuki@fspartners.co.jp</t>
    <phoneticPr fontId="75"/>
  </si>
  <si>
    <t>h-sugaya@stylagy.co.jp</t>
  </si>
  <si>
    <t>Bizエージェンシー事業部</t>
  </si>
  <si>
    <t>菅谷</t>
  </si>
  <si>
    <t xml:space="preserve">hrd@kreis-networks.com </t>
  </si>
  <si>
    <t>hr_sales@id-entity.jp</t>
  </si>
  <si>
    <t>中村　勇</t>
  </si>
  <si>
    <t xml:space="preserve">hr@gooya.co.jp </t>
  </si>
  <si>
    <t>hr@gooya.co.jp</t>
  </si>
  <si>
    <t>株式会社gooya</t>
  </si>
  <si>
    <t>hr@brain-tr.co.jp</t>
  </si>
  <si>
    <t>hosoya@iii-inc.co.jp</t>
  </si>
  <si>
    <t>細矢隆明</t>
  </si>
  <si>
    <t>i株式会社</t>
  </si>
  <si>
    <t xml:space="preserve">hosoya@cbs-n.com </t>
  </si>
  <si>
    <t>hosog@iii-inc.co.jp</t>
  </si>
  <si>
    <t>細谷</t>
  </si>
  <si>
    <t>hosobuchi@liberal-co.com</t>
  </si>
  <si>
    <t>５/１５追加済</t>
    <rPh sb="4" eb="5">
      <t>オ</t>
    </rPh>
    <rPh sb="5" eb="6">
      <t>カ</t>
    </rPh>
    <rPh sb="6" eb="7">
      <t>ス</t>
    </rPh>
    <phoneticPr fontId="78"/>
  </si>
  <si>
    <t xml:space="preserve">hoshikawa@system-creation.com  </t>
  </si>
  <si>
    <t xml:space="preserve"> creation_星川社長</t>
  </si>
  <si>
    <t xml:space="preserve">hoshikawa@system-creation.com </t>
  </si>
  <si>
    <t xml:space="preserve">horikoshisht@infoxnet.co.jp </t>
  </si>
  <si>
    <t xml:space="preserve">hori@cs-p.co.jp </t>
  </si>
  <si>
    <t xml:space="preserve">hongmei@shoei-int.com   </t>
  </si>
  <si>
    <t>馬　紅梅</t>
  </si>
  <si>
    <t xml:space="preserve">honda-s@applicative.co.jp </t>
  </si>
  <si>
    <t>honda_yu@mcea.co.jp</t>
  </si>
  <si>
    <t>本田　優</t>
  </si>
  <si>
    <t>首都圏コンピュータ技術者株式会社</t>
  </si>
  <si>
    <t xml:space="preserve">honda@kmkworld.com </t>
  </si>
  <si>
    <t xml:space="preserve">honda@atedesign.co.jp </t>
  </si>
  <si>
    <t xml:space="preserve">h-nitta@begood-tech.com </t>
  </si>
  <si>
    <t>h-nara@fanaticofutbolclub.com</t>
  </si>
  <si>
    <t>fanatico 奈良</t>
  </si>
  <si>
    <t xml:space="preserve">h-matsuoka@kd.kyd.co.jp </t>
  </si>
  <si>
    <t xml:space="preserve">h-kinoshita@b-it.co.jp </t>
  </si>
  <si>
    <t xml:space="preserve">h-kimura@eec.co.jp </t>
  </si>
  <si>
    <t>hk@tes-g.com</t>
  </si>
  <si>
    <t>今野　晴彦</t>
  </si>
  <si>
    <t>株式会社トゥルーエンジニアリングサービス</t>
  </si>
  <si>
    <t xml:space="preserve">hitomi.ishii@acro-net.com </t>
  </si>
  <si>
    <t xml:space="preserve">hishi@kei-creation.co.jp </t>
  </si>
  <si>
    <t xml:space="preserve">hisaya.yamada@acro-net.com </t>
  </si>
  <si>
    <t>hisashi.arai2@hibiya-cs.co.jp</t>
  </si>
  <si>
    <t xml:space="preserve">hiroyuki_imazeki@r14.co.jp </t>
  </si>
  <si>
    <t>hiroshi.nagahori@axas-japan.co.jp</t>
  </si>
  <si>
    <t>hiroshi.kohno@tcmobile.jp</t>
  </si>
  <si>
    <t>マネージメントパートナー</t>
  </si>
  <si>
    <t>河野浩</t>
  </si>
  <si>
    <t>株式会社テクノモバイル</t>
  </si>
  <si>
    <t>hiroshi.abe@gs-inc.jp</t>
  </si>
  <si>
    <t>hirose@abit-jp.com</t>
  </si>
  <si>
    <t>広瀬　和市</t>
  </si>
  <si>
    <t>株式会社アビット</t>
  </si>
  <si>
    <t xml:space="preserve">hiromi@bplus.co.jp </t>
  </si>
  <si>
    <t xml:space="preserve">hirom@maki-eng.co.jp </t>
  </si>
  <si>
    <t>hirom@maki-eng.co.jp</t>
  </si>
  <si>
    <t>牧　英裕</t>
  </si>
  <si>
    <t>株式会社　牧エンジニアリング</t>
  </si>
  <si>
    <t xml:space="preserve">hiroko.kuboi@mnwk.co.jp </t>
  </si>
  <si>
    <t>hiroki@al-j.co.jp</t>
  </si>
  <si>
    <t>hiroki.saitou@speedlink-td.info</t>
  </si>
  <si>
    <t>hirofumi@access-system.co.jp</t>
  </si>
  <si>
    <t xml:space="preserve">hirofumi.miyagawa@asianlink.co.jp </t>
  </si>
  <si>
    <t>hiroaki@fxa.jp</t>
  </si>
  <si>
    <t xml:space="preserve">hiroaki.yoshino@luxiar.com </t>
  </si>
  <si>
    <t>hirata@weic.jp</t>
  </si>
  <si>
    <t>hirakawa@usoft.co.jp</t>
  </si>
  <si>
    <t>専務取締役　営業部長</t>
  </si>
  <si>
    <t>平川　学</t>
  </si>
  <si>
    <t>株式会社ユーソフト</t>
  </si>
  <si>
    <t xml:space="preserve">hiraiyou@hdt-llc.com </t>
  </si>
  <si>
    <t>hirai@kproject.co.jp</t>
  </si>
  <si>
    <t xml:space="preserve">hikaru.narisawa@stepup.ne.jp </t>
  </si>
  <si>
    <t>hikaru.honobe@dwn.co.jp</t>
  </si>
  <si>
    <t>higuchi_tomoko@mhsolutions.co.jp</t>
  </si>
  <si>
    <t>樋口智子</t>
  </si>
  <si>
    <t>MHソリューションズ株式会社</t>
  </si>
  <si>
    <t>higuchi@sanbb.co.jp</t>
  </si>
  <si>
    <t>higashita@ynet-ink.com</t>
  </si>
  <si>
    <t>higashita@ynet-inc.com</t>
  </si>
  <si>
    <t>東田　大輔</t>
  </si>
  <si>
    <t>株式会社ユーネット</t>
  </si>
  <si>
    <t xml:space="preserve">higa@funcshot.co.jp </t>
  </si>
  <si>
    <t xml:space="preserve">hide-tanaka@tas-ltd.jp </t>
  </si>
  <si>
    <t xml:space="preserve">hidenori.nagai@shintaigi.co.jp </t>
  </si>
  <si>
    <t>Hideki.Gomi@biz-cs.com</t>
  </si>
  <si>
    <t xml:space="preserve">henry@icubetec.jp </t>
  </si>
  <si>
    <t>hdx@gracewit.com</t>
    <phoneticPr fontId="75"/>
  </si>
  <si>
    <t>韓 東星</t>
    <phoneticPr fontId="75"/>
  </si>
  <si>
    <t>株式会社GraceWit</t>
  </si>
  <si>
    <t>hazuki.ogura@bigtreetc.com</t>
  </si>
  <si>
    <t>小椋葉月</t>
  </si>
  <si>
    <t xml:space="preserve">hayashi-h@tbrave.com </t>
  </si>
  <si>
    <t xml:space="preserve">hayashida@adore.bz </t>
  </si>
  <si>
    <t xml:space="preserve">hayashi@sourin.co.jp </t>
  </si>
  <si>
    <t>hayashi.kyosuke@ithink.co.jp</t>
  </si>
  <si>
    <t>hatakeyama@ois-yokohama.co.jp</t>
  </si>
  <si>
    <t>部長付</t>
  </si>
  <si>
    <t>畠山　稔</t>
  </si>
  <si>
    <t>株式会社オリエンタルインフォメ－ションサ－ビス</t>
  </si>
  <si>
    <t>hasumi@sials.com</t>
  </si>
  <si>
    <t>蓮見洋介</t>
  </si>
  <si>
    <t>シアルシステム株式会社</t>
  </si>
  <si>
    <t xml:space="preserve">hashimoto@kbsanhe.co.jp </t>
  </si>
  <si>
    <t xml:space="preserve">hashida@sinewave.co.jp </t>
  </si>
  <si>
    <t xml:space="preserve">hasegawa_r@cgsky.co.jp   </t>
  </si>
  <si>
    <t xml:space="preserve"> cgsky長谷川社長</t>
  </si>
  <si>
    <t>hasegawa_r@cgsky.co.jp</t>
  </si>
  <si>
    <t>長谷川</t>
  </si>
  <si>
    <t xml:space="preserve">hasegawa@jslabo.com </t>
  </si>
  <si>
    <t xml:space="preserve">harigaya@ever-g.co.jp </t>
  </si>
  <si>
    <t xml:space="preserve">harada@nissinjp.com   </t>
  </si>
  <si>
    <t xml:space="preserve"> 日新（株）　＿原田</t>
  </si>
  <si>
    <t>harada@nissinjp.com</t>
  </si>
  <si>
    <t>宏 原田</t>
  </si>
  <si>
    <t>080-6525-7771</t>
    <phoneticPr fontId="78"/>
  </si>
  <si>
    <t>harada@nissinjp.com</t>
    <phoneticPr fontId="78"/>
  </si>
  <si>
    <t>原田弘</t>
    <rPh sb="0" eb="1">
      <t>ハラ</t>
    </rPh>
    <rPh sb="1" eb="2">
      <t>タ</t>
    </rPh>
    <rPh sb="2" eb="3">
      <t>ヒロ</t>
    </rPh>
    <phoneticPr fontId="78"/>
  </si>
  <si>
    <t>日新株式会社</t>
    <rPh sb="0" eb="1">
      <t>ニチ</t>
    </rPh>
    <rPh sb="1" eb="2">
      <t>シン</t>
    </rPh>
    <rPh sb="2" eb="4">
      <t>カブシキ</t>
    </rPh>
    <rPh sb="4" eb="6">
      <t>カイシャ</t>
    </rPh>
    <phoneticPr fontId="78"/>
  </si>
  <si>
    <t>hara@kmkworld.com</t>
  </si>
  <si>
    <t>株式会社ケーエムケーワールド</t>
  </si>
  <si>
    <t xml:space="preserve">happy@value-ark.com </t>
  </si>
  <si>
    <t xml:space="preserve">haobo@firstdata-tokyo.com   </t>
  </si>
  <si>
    <t>カク様</t>
  </si>
  <si>
    <t>080-4361-3033</t>
    <phoneticPr fontId="78"/>
  </si>
  <si>
    <t>haobo@firstdata-tokyo.com</t>
    <phoneticPr fontId="78"/>
  </si>
  <si>
    <t>郝博</t>
    <rPh sb="0" eb="1">
      <t>カク</t>
    </rPh>
    <rPh sb="1" eb="2">
      <t>ハク</t>
    </rPh>
    <phoneticPr fontId="78"/>
  </si>
  <si>
    <t>FDファーストデータ株式会社</t>
    <rPh sb="10" eb="12">
      <t>カブシキ</t>
    </rPh>
    <rPh sb="12" eb="14">
      <t>カイシャ</t>
    </rPh>
    <phoneticPr fontId="78"/>
  </si>
  <si>
    <t xml:space="preserve">hanyu@founder.co.jp </t>
  </si>
  <si>
    <t>080-3544-6501</t>
    <phoneticPr fontId="78"/>
  </si>
  <si>
    <t>hantoyo@ouresource.com</t>
    <phoneticPr fontId="78"/>
  </si>
  <si>
    <t>範東洋</t>
    <rPh sb="0" eb="1">
      <t>ハン</t>
    </rPh>
    <rPh sb="1" eb="2">
      <t>トウ</t>
    </rPh>
    <rPh sb="2" eb="3">
      <t>ヨウ</t>
    </rPh>
    <phoneticPr fontId="78"/>
  </si>
  <si>
    <t>OUR株式会社</t>
    <rPh sb="3" eb="5">
      <t>カブシキ</t>
    </rPh>
    <rPh sb="5" eb="7">
      <t>カイシャ</t>
    </rPh>
    <phoneticPr fontId="78"/>
  </si>
  <si>
    <t xml:space="preserve">hanaoka@nsj-net.co.jp </t>
  </si>
  <si>
    <t xml:space="preserve">han.meng@future-tech.co.jp  </t>
  </si>
  <si>
    <t>han@future</t>
  </si>
  <si>
    <t>hamasaki@clinks-e.jp</t>
  </si>
  <si>
    <t xml:space="preserve">hajime_sato@corp-will.co.jp </t>
  </si>
  <si>
    <t>hagihara@onespal.co.jp</t>
  </si>
  <si>
    <t xml:space="preserve">hachiya@sysral.jp </t>
  </si>
  <si>
    <t>hachiya@sysral.jp</t>
  </si>
  <si>
    <t>h08.ozaki@primegear.jp</t>
  </si>
  <si>
    <t>尾崎　博正</t>
  </si>
  <si>
    <t>株式会社プライムギア</t>
  </si>
  <si>
    <t xml:space="preserve">h_yamanaka@kaijin.info </t>
  </si>
  <si>
    <t xml:space="preserve">h_wakamatsu@opt.co.jp </t>
  </si>
  <si>
    <t>h_ushijima@u-three.co.jp</t>
  </si>
  <si>
    <t>h_takahashi@ap-com.co.jp</t>
  </si>
  <si>
    <t xml:space="preserve">h_nakamura@kaijin.info </t>
  </si>
  <si>
    <t xml:space="preserve">h_kameda@braingate.co.jp </t>
  </si>
  <si>
    <t xml:space="preserve">h_hirooka@fusionbrain.co.jp </t>
  </si>
  <si>
    <t xml:space="preserve">h_hayami@shataisys.com </t>
  </si>
  <si>
    <t>h.uchiyama@androbo.jp</t>
  </si>
  <si>
    <t xml:space="preserve">h.tokunaga@s-a-t.co.jp </t>
  </si>
  <si>
    <t xml:space="preserve">h.shimada@nagatake.co.jp </t>
  </si>
  <si>
    <t xml:space="preserve">h.ono@androbo.jp </t>
  </si>
  <si>
    <t>h.ono@androbo.jp</t>
  </si>
  <si>
    <t>小野　浩史</t>
  </si>
  <si>
    <t>アンドロボディオーナ株式会社</t>
  </si>
  <si>
    <t xml:space="preserve">h.nakashima@succ.co.jp </t>
  </si>
  <si>
    <t xml:space="preserve">h.nakao@genesis-net.co.jp </t>
  </si>
  <si>
    <t>h.kuwahara@smatec.jp</t>
  </si>
  <si>
    <t>h.karakida@i-standard.jp</t>
  </si>
  <si>
    <t>唐木田</t>
  </si>
  <si>
    <t>h.igarashi@aster-isk.co.jp</t>
  </si>
  <si>
    <t>五十嵐啓奈</t>
  </si>
  <si>
    <t>株式会社アスタリスク</t>
  </si>
  <si>
    <t xml:space="preserve">h.doi@vasdaqj.jp </t>
  </si>
  <si>
    <t>h.doi@vasdaqj.jp</t>
  </si>
  <si>
    <t>h.chiyoda@evonet.co.jp</t>
  </si>
  <si>
    <t>千代田　博史</t>
  </si>
  <si>
    <t>株式会社エボリューション　ネット</t>
  </si>
  <si>
    <t>gyongho-s@sangnok.co.jp</t>
  </si>
  <si>
    <t>成慶鎬</t>
  </si>
  <si>
    <t xml:space="preserve">guxy@softwise.co.jp   </t>
  </si>
  <si>
    <t>ソフトワイズ　　顧暁寅</t>
  </si>
  <si>
    <t>080-5535-5388</t>
  </si>
  <si>
    <t>guto@good-sanzo.com</t>
  </si>
  <si>
    <t>虞都</t>
  </si>
  <si>
    <t>株式会社ＳＡＮＺＯ</t>
  </si>
  <si>
    <t xml:space="preserve">guoguoming@yahoo.co.jp </t>
  </si>
  <si>
    <t>guanlei@ten-ji.co.jp</t>
    <phoneticPr fontId="78"/>
  </si>
  <si>
    <t>関　磊</t>
    <rPh sb="0" eb="1">
      <t>カン</t>
    </rPh>
    <rPh sb="2" eb="3">
      <t>ライ</t>
    </rPh>
    <phoneticPr fontId="78"/>
  </si>
  <si>
    <t>gsui@ace.co.jp</t>
    <phoneticPr fontId="75"/>
  </si>
  <si>
    <t>株式会社エーシーイー</t>
  </si>
  <si>
    <t xml:space="preserve">gs@onlyhantang.com   </t>
  </si>
  <si>
    <t>高松様</t>
  </si>
  <si>
    <t>gotoh@ze-r0.jp</t>
  </si>
  <si>
    <t xml:space="preserve">goto@rpc-ltd.co.jp </t>
  </si>
  <si>
    <t xml:space="preserve">goto@it-lab.co.jp </t>
  </si>
  <si>
    <t>goseki@kmkworld.com</t>
  </si>
  <si>
    <t>五関</t>
  </si>
  <si>
    <t>gorai@lbss.jp</t>
  </si>
  <si>
    <t>goodjob@proface-sys.com</t>
  </si>
  <si>
    <t>goodjob@proface-sys.com</t>
    <phoneticPr fontId="75"/>
  </si>
  <si>
    <t xml:space="preserve">good-job@oa-b.jp </t>
  </si>
  <si>
    <t xml:space="preserve">gongxi@bitcross.co.jp </t>
    <phoneticPr fontId="75"/>
  </si>
  <si>
    <t xml:space="preserve">キョウ　雪雷 </t>
  </si>
  <si>
    <t>ビットクロス株式会社</t>
  </si>
  <si>
    <t xml:space="preserve">gomi@i-try.jp </t>
  </si>
  <si>
    <t>g-okuda@stylagy.co.jp</t>
  </si>
  <si>
    <t>080-4663-8080</t>
    <phoneticPr fontId="78"/>
  </si>
  <si>
    <t>gofi10276@qq.com</t>
    <phoneticPr fontId="78"/>
  </si>
  <si>
    <t>葛</t>
    <rPh sb="0" eb="1">
      <t>カツ</t>
    </rPh>
    <phoneticPr fontId="78"/>
  </si>
  <si>
    <r>
      <rPr>
        <sz val="12"/>
        <rFont val="宋体"/>
        <family val="3"/>
        <charset val="134"/>
      </rPr>
      <t>环</t>
    </r>
    <r>
      <rPr>
        <sz val="12"/>
        <rFont val="ＭＳ 明朝"/>
        <family val="1"/>
        <charset val="128"/>
      </rPr>
      <t>球智</t>
    </r>
    <r>
      <rPr>
        <sz val="12"/>
        <rFont val="宋体"/>
        <family val="3"/>
        <charset val="134"/>
      </rPr>
      <t>辉</t>
    </r>
    <phoneticPr fontId="78"/>
  </si>
  <si>
    <t xml:space="preserve">goen@brightstar.co.jp   </t>
  </si>
  <si>
    <t>呉 艶</t>
  </si>
  <si>
    <t>090-2561-5056</t>
    <phoneticPr fontId="78"/>
  </si>
  <si>
    <t>goen@brightstar.co.jp</t>
    <phoneticPr fontId="78"/>
  </si>
  <si>
    <t>呉 艶</t>
    <phoneticPr fontId="78"/>
  </si>
  <si>
    <t>株式会社ブライトスター</t>
    <phoneticPr fontId="78"/>
  </si>
  <si>
    <t>go@cmc-a.co.jp</t>
  </si>
  <si>
    <t>呉 春華</t>
  </si>
  <si>
    <t>070-5459-6934</t>
    <phoneticPr fontId="78"/>
  </si>
  <si>
    <t>go@cmc-a.co.jp</t>
    <phoneticPr fontId="78"/>
  </si>
  <si>
    <t>呉 春華</t>
    <phoneticPr fontId="78"/>
  </si>
  <si>
    <t>株式会社 シ・エム・シ</t>
    <phoneticPr fontId="78"/>
  </si>
  <si>
    <t>呉　春華</t>
  </si>
  <si>
    <t>go.jyunhou@wonderfulfly.com</t>
    <phoneticPr fontId="78"/>
  </si>
  <si>
    <t>呉順芳</t>
    <rPh sb="0" eb="1">
      <t>ゴ</t>
    </rPh>
    <rPh sb="1" eb="2">
      <t>ジュン</t>
    </rPh>
    <rPh sb="2" eb="3">
      <t>ホウ</t>
    </rPh>
    <phoneticPr fontId="78"/>
  </si>
  <si>
    <t>ワンダフルフライ株式会社</t>
    <rPh sb="8" eb="10">
      <t>カブシキ</t>
    </rPh>
    <rPh sb="10" eb="12">
      <t>カイシャ</t>
    </rPh>
    <phoneticPr fontId="78"/>
  </si>
  <si>
    <t xml:space="preserve">gnoguchi@task-do.com </t>
  </si>
  <si>
    <t xml:space="preserve">gishokou@forestsoft.jp   </t>
  </si>
  <si>
    <t>フォレストソフト＿魏書興</t>
  </si>
  <si>
    <t xml:space="preserve">(03)3833-3566 </t>
    <phoneticPr fontId="78"/>
  </si>
  <si>
    <t>gishokou@forestsoft.jp</t>
    <phoneticPr fontId="78"/>
  </si>
  <si>
    <t>魏   書興　</t>
    <phoneticPr fontId="78"/>
  </si>
  <si>
    <t xml:space="preserve"> フォレストソフト株式会社　</t>
    <phoneticPr fontId="78"/>
  </si>
  <si>
    <t xml:space="preserve">gishiwata@denovo.jp </t>
  </si>
  <si>
    <t xml:space="preserve">giichi-tanaka@msinet.co.jp </t>
  </si>
  <si>
    <t>ghinkai@ffs.fujifilm.co.jp</t>
  </si>
  <si>
    <t>呉 ?海</t>
  </si>
  <si>
    <t>geyu@intesystem.co.jp</t>
    <phoneticPr fontId="78"/>
  </si>
  <si>
    <t>genxin.mai@forward-soft.co.jp</t>
  </si>
  <si>
    <t>麦 艮心</t>
  </si>
  <si>
    <t>geng@t-elite.com</t>
  </si>
  <si>
    <t>耿　とう</t>
  </si>
  <si>
    <t>テクノ・エリート株式会社</t>
  </si>
  <si>
    <t xml:space="preserve">gao@talkwalker.info   </t>
  </si>
  <si>
    <t>トークウォーカー＿高洋</t>
  </si>
  <si>
    <t>gao@talkwalker.info</t>
    <phoneticPr fontId="78"/>
  </si>
  <si>
    <t>高洋</t>
    <rPh sb="0" eb="1">
      <t>タカ</t>
    </rPh>
    <rPh sb="1" eb="2">
      <t>ヨウ</t>
    </rPh>
    <phoneticPr fontId="78"/>
  </si>
  <si>
    <t>株式会社トークウォーカー</t>
    <rPh sb="0" eb="2">
      <t>カブシキ</t>
    </rPh>
    <rPh sb="2" eb="4">
      <t>カイシャ</t>
    </rPh>
    <phoneticPr fontId="78"/>
  </si>
  <si>
    <t xml:space="preserve">gao.wanguang@bestskip.com </t>
  </si>
  <si>
    <t xml:space="preserve">gakuromazda@itsoft.ecnet.jp </t>
  </si>
  <si>
    <t>gaku@ener-gy.jp</t>
  </si>
  <si>
    <t>佐藤　学</t>
  </si>
  <si>
    <t>株式会社エナジー</t>
  </si>
  <si>
    <t>g.zhang@microcreate.co.jp</t>
  </si>
  <si>
    <t>張 貴宝</t>
  </si>
  <si>
    <t>g.yajima@shantery.co.jp</t>
  </si>
  <si>
    <t>矢嶋 豪士</t>
  </si>
  <si>
    <t>株式会社シャンテリー</t>
  </si>
  <si>
    <t xml:space="preserve">fzz.winwin@gmail.com   </t>
  </si>
  <si>
    <t>冨谷錚</t>
  </si>
  <si>
    <t xml:space="preserve">fuu@floboard.co.jp   </t>
  </si>
  <si>
    <t>FloBoard　　馮雁</t>
  </si>
  <si>
    <t>080-5069-1827</t>
    <phoneticPr fontId="78"/>
  </si>
  <si>
    <t>fuu@floboard.co.jp</t>
    <phoneticPr fontId="78"/>
  </si>
  <si>
    <t>馮　雁</t>
    <phoneticPr fontId="78"/>
  </si>
  <si>
    <t>FloBoard</t>
    <phoneticPr fontId="78"/>
  </si>
  <si>
    <t xml:space="preserve">furuya@tgs-inc.co.jp </t>
  </si>
  <si>
    <t>furusawa@tdc.co.jp</t>
  </si>
  <si>
    <t>古澤 清司</t>
  </si>
  <si>
    <t xml:space="preserve">furukawa@nexusmind.co.jp </t>
  </si>
  <si>
    <t>furue@selecty.co.jp</t>
  </si>
  <si>
    <t>古江多加志</t>
  </si>
  <si>
    <t>株式会社セレクティ</t>
  </si>
  <si>
    <t>fukuzawa@greenways.jp</t>
  </si>
  <si>
    <t>fukuzawa@cbs-n.com</t>
  </si>
  <si>
    <t>福沢由之</t>
  </si>
  <si>
    <t>シービーエス株式会社</t>
  </si>
  <si>
    <t>fukushi@coresync.co.jp</t>
  </si>
  <si>
    <t>福士 晃友扇</t>
  </si>
  <si>
    <t xml:space="preserve">fukunaga@arkline.co.jp </t>
  </si>
  <si>
    <t xml:space="preserve">fukumoto.masaki@gmail.com </t>
  </si>
  <si>
    <t xml:space="preserve">fukuda-naoki@solity.com </t>
  </si>
  <si>
    <t>fukuda-mitsuyoshi@technolive.co.jp</t>
  </si>
  <si>
    <t>fukuchi_r@thinkone.jp</t>
  </si>
  <si>
    <t>福地　亮二</t>
  </si>
  <si>
    <t>株式会社シンクワン</t>
  </si>
  <si>
    <t xml:space="preserve">fukazawa@fkcinc.co.jp </t>
  </si>
  <si>
    <t>fukaya@ten-ji.co.jp</t>
    <phoneticPr fontId="78"/>
  </si>
  <si>
    <t>深谷幸子</t>
    <rPh sb="0" eb="1">
      <t>ブカ</t>
    </rPh>
    <rPh sb="1" eb="2">
      <t>タニ</t>
    </rPh>
    <rPh sb="2" eb="4">
      <t>ユキコ</t>
    </rPh>
    <phoneticPr fontId="78"/>
  </si>
  <si>
    <t xml:space="preserve">fukai@sys-tc.co.jp </t>
  </si>
  <si>
    <t>fujiura@akeytec.net</t>
  </si>
  <si>
    <t xml:space="preserve">fujita@newcon.co.jp </t>
  </si>
  <si>
    <t>fujikawa@atlas-co.co.jp</t>
  </si>
  <si>
    <t>fujii@ibi-net.co.jp</t>
  </si>
  <si>
    <t>藤井 康裕</t>
  </si>
  <si>
    <t>fujii.ay11@itast.com</t>
  </si>
  <si>
    <t>藤井紋可</t>
  </si>
  <si>
    <t>株式会社アイティーアスト</t>
  </si>
  <si>
    <t>Fuchu_Yoshiyuki@sisj.com</t>
  </si>
  <si>
    <t xml:space="preserve">fu@comft.co.jp </t>
  </si>
  <si>
    <t>090-6521-8565</t>
    <phoneticPr fontId="78"/>
  </si>
  <si>
    <t>fu@appworks.co.jp</t>
    <phoneticPr fontId="78"/>
  </si>
  <si>
    <t>符立軍</t>
    <phoneticPr fontId="78"/>
  </si>
  <si>
    <t>アプリワークス株式会社</t>
  </si>
  <si>
    <t>frontiersoftwareinfo@gmail.com</t>
  </si>
  <si>
    <t>王 世恒</t>
  </si>
  <si>
    <t>f-okumura@scij.co.jp</t>
  </si>
  <si>
    <t xml:space="preserve">fkc.sh.0051@fkcinc.co.jp </t>
  </si>
  <si>
    <t xml:space="preserve">fjj@e-northsea.com </t>
  </si>
  <si>
    <t xml:space="preserve">f-itoh@core-techno.co.jp </t>
  </si>
  <si>
    <t>090-3901-5826</t>
    <phoneticPr fontId="78"/>
  </si>
  <si>
    <t>fengshiying365@gmail.com</t>
    <phoneticPr fontId="78"/>
  </si>
  <si>
    <t>馮士英</t>
    <rPh sb="1" eb="2">
      <t>シ</t>
    </rPh>
    <rPh sb="2" eb="3">
      <t>エイ</t>
    </rPh>
    <phoneticPr fontId="78"/>
  </si>
  <si>
    <t xml:space="preserve">fengshiying@livebridge.co.jp  </t>
  </si>
  <si>
    <t>ライブブリッジ　　馮社長</t>
  </si>
  <si>
    <t>fellow@kmkworld.com</t>
  </si>
  <si>
    <t>五関　祐紀</t>
  </si>
  <si>
    <t>株式会社ケーエムーケーワールド</t>
  </si>
  <si>
    <t>fei.liang@pagodas.co.jp</t>
    <phoneticPr fontId="75"/>
  </si>
  <si>
    <t>梁飛</t>
  </si>
  <si>
    <t>パゴダ株式会社</t>
  </si>
  <si>
    <t>fatech@fatech.co.jp</t>
  </si>
  <si>
    <t xml:space="preserve">fangcheng@bss-j.co.jp   </t>
  </si>
  <si>
    <t>方　誠</t>
  </si>
  <si>
    <t xml:space="preserve">fan@phastec.com </t>
  </si>
  <si>
    <t>e-yoshioka@twalker.co.jp</t>
  </si>
  <si>
    <t>e-uzuki@umenity.co.jp</t>
  </si>
  <si>
    <t>卯月　栄治</t>
  </si>
  <si>
    <t xml:space="preserve">espacio@7ws.net </t>
  </si>
  <si>
    <t>espacio@7ws.net</t>
  </si>
  <si>
    <t>前田　達也</t>
  </si>
  <si>
    <t>株式会社セブン・ワイズ</t>
  </si>
  <si>
    <t xml:space="preserve">error@ejobgo.com </t>
  </si>
  <si>
    <t>eri_morita@arrow-i.co.jp</t>
  </si>
  <si>
    <t xml:space="preserve">eri.nakayama@acro-net.com </t>
  </si>
  <si>
    <t>e-okuzawa@froide-kk.co.jp</t>
  </si>
  <si>
    <t>en-yanxiaohua@sanei-system.co.jp</t>
    <phoneticPr fontId="78"/>
  </si>
  <si>
    <t>閻暁華</t>
    <phoneticPr fontId="78"/>
  </si>
  <si>
    <t>株式会社三鋭システム</t>
    <phoneticPr fontId="78"/>
  </si>
  <si>
    <t xml:space="preserve">ensei.park@disol.co.jp   </t>
  </si>
  <si>
    <t>DTS＿朴　燕青</t>
  </si>
  <si>
    <t xml:space="preserve">engineer@wellcom.jp </t>
  </si>
  <si>
    <t>engineer@si-agency.co.jp</t>
  </si>
  <si>
    <t>茂木 美奈子</t>
  </si>
  <si>
    <t>株式会社SIエージェンシー</t>
  </si>
  <si>
    <t>engineer@iskc.co.jp</t>
  </si>
  <si>
    <t>株式会社イシカワコーポレーション</t>
  </si>
  <si>
    <t xml:space="preserve">enami@kzcom.jp </t>
  </si>
  <si>
    <t>el_ses@earthlink.co.jp</t>
    <phoneticPr fontId="78"/>
  </si>
  <si>
    <t>株式会社アースリンク 営業</t>
    <rPh sb="11" eb="13">
      <t>エイギョウ</t>
    </rPh>
    <phoneticPr fontId="78"/>
  </si>
  <si>
    <t>eigyou-ty@fsi-japan.co.jp</t>
  </si>
  <si>
    <t>eigyou-team@de-com.co.jp</t>
  </si>
  <si>
    <t>株式会社データ・コム・ナレッジ</t>
  </si>
  <si>
    <t>eigyou-esc@elevera.net</t>
  </si>
  <si>
    <t>湯地 貴弘</t>
  </si>
  <si>
    <t>株式会社 エルバーラ・スイス</t>
  </si>
  <si>
    <t>eigyou1@system-crest.co.jp</t>
  </si>
  <si>
    <t>eigyou001@rss-tk.com</t>
  </si>
  <si>
    <t>eigyou001@rss-tk.com</t>
    <phoneticPr fontId="75"/>
  </si>
  <si>
    <t xml:space="preserve">eigyou_tokyo@emdes.co.jp   </t>
  </si>
  <si>
    <t xml:space="preserve"> EMD営業</t>
  </si>
  <si>
    <t>eigyou_tokyo@emdes.co.jp</t>
  </si>
  <si>
    <t>東京支社・東京開発センター EMD営業</t>
  </si>
  <si>
    <t xml:space="preserve">eigyou@yourfuture.jp   </t>
  </si>
  <si>
    <t>営業@YFC</t>
  </si>
  <si>
    <t>みんなの未来</t>
    <phoneticPr fontId="75"/>
  </si>
  <si>
    <t xml:space="preserve">eigyou@ws-c.com </t>
  </si>
  <si>
    <t xml:space="preserve">eigyou@vicom-jp.com </t>
  </si>
  <si>
    <t>トリオ様</t>
  </si>
  <si>
    <t>朱　自鵬</t>
  </si>
  <si>
    <t>eigyou@tpsinc.co.jp　</t>
  </si>
  <si>
    <t>株式会社ティーピーエス</t>
  </si>
  <si>
    <t>eigyou@tpsinc.co.jp</t>
  </si>
  <si>
    <t>eigyou@techno-jouhou.co.jp</t>
  </si>
  <si>
    <t xml:space="preserve">eigyou@technocreation.co.jp </t>
  </si>
  <si>
    <t xml:space="preserve">eigyou@tbc-inc.co.jp </t>
  </si>
  <si>
    <t>eigyou@spi-jp.com</t>
    <phoneticPr fontId="75"/>
  </si>
  <si>
    <t>申　賢官</t>
  </si>
  <si>
    <t>エスピーアイ株式会社</t>
  </si>
  <si>
    <t>eigyou@sincerity-trust.com；jocisy@sincerity-trust.com</t>
    <phoneticPr fontId="75"/>
  </si>
  <si>
    <t>徐　淑芬</t>
  </si>
  <si>
    <t>誠信システムズ株式会社</t>
  </si>
  <si>
    <t xml:space="preserve">eigyou@rapport-lab.co.jp </t>
  </si>
  <si>
    <t>eigyou@rapport-lab.co.jp</t>
  </si>
  <si>
    <t>宮崎　広隆</t>
  </si>
  <si>
    <t>ラポール・ラボ株式会社</t>
  </si>
  <si>
    <t xml:space="preserve">eigyou@psid.co.jp </t>
  </si>
  <si>
    <t xml:space="preserve">eigyou@pglk.co.jp   </t>
  </si>
  <si>
    <t>PGLK営業共通</t>
  </si>
  <si>
    <t>eigyou@pega-sys.co.jp</t>
  </si>
  <si>
    <t xml:space="preserve">eigyou@nno.co.jp </t>
  </si>
  <si>
    <t>eigyou@mos-create.co.jp</t>
  </si>
  <si>
    <t xml:space="preserve">eigyou@mediajoint.co.jp </t>
  </si>
  <si>
    <t>eigyou@mediajoint.co.jp</t>
  </si>
  <si>
    <t>メディアジョイント株式会社</t>
  </si>
  <si>
    <t>eigyou@jptomato.com</t>
    <phoneticPr fontId="75"/>
  </si>
  <si>
    <t>李秦周</t>
  </si>
  <si>
    <t xml:space="preserve">eigyou@jcbc.co.jp </t>
  </si>
  <si>
    <t>eigyou@jcbc.co.jp</t>
  </si>
  <si>
    <t>eigyou@icomcorp.jp</t>
  </si>
  <si>
    <t>栄田　美志</t>
  </si>
  <si>
    <t>アイコム株式会社</t>
  </si>
  <si>
    <t>eigyou@griffin-net.co.jp</t>
  </si>
  <si>
    <t>eigyou@good-wave.co.jp</t>
  </si>
  <si>
    <t>岩永　雅直</t>
  </si>
  <si>
    <t>株式会社グッドウェーブ</t>
  </si>
  <si>
    <t xml:space="preserve">eigyou@ghsolution.co.jp </t>
  </si>
  <si>
    <t>eigyou@frontier-info.jp</t>
    <phoneticPr fontId="75"/>
  </si>
  <si>
    <t>王　世恒</t>
  </si>
  <si>
    <t>株式会社Frontier-info</t>
  </si>
  <si>
    <t xml:space="preserve">eigyou@fexd.co.jp </t>
  </si>
  <si>
    <t>eigyou@fexd.co.jp</t>
  </si>
  <si>
    <t xml:space="preserve">eigyou@eaz.co.jp </t>
  </si>
  <si>
    <t>eigyou@bss-j.co.jp</t>
    <phoneticPr fontId="75"/>
  </si>
  <si>
    <t>株式会社ＢＳＳ</t>
  </si>
  <si>
    <t>eigyou@biz-connect.jp</t>
  </si>
  <si>
    <t>青山</t>
  </si>
  <si>
    <t>eigyou@aztecs.co.jp</t>
  </si>
  <si>
    <t>eigyou@atsp-it.co.jp</t>
  </si>
  <si>
    <t>eigyou@arise-inc.net</t>
  </si>
  <si>
    <t>eigyou@arise.co.jp</t>
  </si>
  <si>
    <t>青木　隆</t>
  </si>
  <si>
    <t>株式会社アライズ</t>
  </si>
  <si>
    <t>eigyou@aimstaff.co.jp</t>
  </si>
  <si>
    <t>eigyou@aim-kk.co.jp</t>
  </si>
  <si>
    <t>eigyou@actbg.co.jp</t>
  </si>
  <si>
    <t>eigyou@a-b.co.jp</t>
  </si>
  <si>
    <t>eigyou.vista@vista-sys.com</t>
  </si>
  <si>
    <t>eigyo-tk@cs-com.co.jp</t>
  </si>
  <si>
    <t>eigyo-t@ones-house.co.jp</t>
  </si>
  <si>
    <t>高田 康平</t>
  </si>
  <si>
    <t xml:space="preserve">eigyo-sys@syssolu.co.jp </t>
  </si>
  <si>
    <t>080-4883-3260</t>
    <phoneticPr fontId="78"/>
  </si>
  <si>
    <t>eigyo-nakamine@kksoft.co.jp</t>
    <phoneticPr fontId="78"/>
  </si>
  <si>
    <t>中峰　智樹</t>
    <rPh sb="0" eb="1">
      <t>ナカ</t>
    </rPh>
    <rPh sb="1" eb="2">
      <t>ミネ</t>
    </rPh>
    <rPh sb="3" eb="5">
      <t>トモキ</t>
    </rPh>
    <phoneticPr fontId="78"/>
  </si>
  <si>
    <t>K&amp;Kソフト株式会社</t>
    <rPh sb="6" eb="8">
      <t>カブシキ</t>
    </rPh>
    <rPh sb="8" eb="10">
      <t>カイシャ</t>
    </rPh>
    <phoneticPr fontId="78"/>
  </si>
  <si>
    <t>080-4883-3260</t>
  </si>
  <si>
    <t>eigyo-nakamine@kksoft.co.jp</t>
  </si>
  <si>
    <t>中峰　智樹</t>
  </si>
  <si>
    <t>K＆Kソフト株式会社</t>
  </si>
  <si>
    <t xml:space="preserve">eigyo-bu@inter-core.co.jp </t>
  </si>
  <si>
    <t xml:space="preserve">eigyobu@bighandz.co.jp </t>
  </si>
  <si>
    <t>eigyo1@sunlight-j.com</t>
  </si>
  <si>
    <t>木南　友宏</t>
  </si>
  <si>
    <t>株式会社サンライト</t>
  </si>
  <si>
    <t>eigyo1@airily.co.jp</t>
  </si>
  <si>
    <t>株式会社エアリー</t>
  </si>
  <si>
    <t xml:space="preserve">eigyo_tokyo@k-kis.co.jp </t>
  </si>
  <si>
    <t xml:space="preserve">eigyo_t@mx.gtec.co.jp </t>
  </si>
  <si>
    <t>eigyo_kyotsu@wing-sol.co.jp</t>
  </si>
  <si>
    <t xml:space="preserve">eigyo_bu@ocam.co.jp </t>
  </si>
  <si>
    <t xml:space="preserve">eigyo_2@zit.co.jp </t>
  </si>
  <si>
    <t xml:space="preserve">eigyo@ysco.net </t>
  </si>
  <si>
    <t>eigyo@ysco.net</t>
  </si>
  <si>
    <t xml:space="preserve">eigyo@voyager-inc.com </t>
  </si>
  <si>
    <t xml:space="preserve">eigyo@tt1.jp </t>
  </si>
  <si>
    <t>eigyo@trex-group.com</t>
  </si>
  <si>
    <t>株式会社トレックス</t>
  </si>
  <si>
    <t>080-7743-2000</t>
    <phoneticPr fontId="78"/>
  </si>
  <si>
    <t>eigyo@ten-ji.co.jp</t>
    <phoneticPr fontId="78"/>
  </si>
  <si>
    <t>武花　洋道</t>
    <phoneticPr fontId="78"/>
  </si>
  <si>
    <t>株式会社ディープコム　　</t>
    <phoneticPr fontId="78"/>
  </si>
  <si>
    <t>eigyo@techtone.biz</t>
  </si>
  <si>
    <t>eigyo@techno-link.jp</t>
  </si>
  <si>
    <t xml:space="preserve">eigyo@tbrave.com </t>
  </si>
  <si>
    <t>eigyo@systemhouse-co.com</t>
  </si>
  <si>
    <t>eigyo@solidcom.co.jp</t>
  </si>
  <si>
    <t>eigyo@solcreo.co.jp</t>
  </si>
  <si>
    <t>eigyo@sogen.co.jp</t>
  </si>
  <si>
    <t>営業課課長</t>
  </si>
  <si>
    <t>水野　穣</t>
  </si>
  <si>
    <t>株式会社創源ソフトウエア</t>
  </si>
  <si>
    <t>eigyo@soft-think.com</t>
  </si>
  <si>
    <t xml:space="preserve">eigyo@seekengine.jp </t>
  </si>
  <si>
    <t>eigyo@seekengine.jp</t>
  </si>
  <si>
    <t>eigyo@sbc.jpn.com</t>
  </si>
  <si>
    <t>eigyo@salto.link</t>
  </si>
  <si>
    <t>システムインテグレーション事業部</t>
  </si>
  <si>
    <t>高木啓太</t>
  </si>
  <si>
    <t>株式会社SALTO</t>
  </si>
  <si>
    <t xml:space="preserve">eigyo@rspct.co.jp </t>
  </si>
  <si>
    <t xml:space="preserve">eigyo@roue.co.jp </t>
  </si>
  <si>
    <t>eigyo@roue.co.jp</t>
  </si>
  <si>
    <t>eigyo@rosso-tokyo.co.jp</t>
  </si>
  <si>
    <t>増田 淳子</t>
  </si>
  <si>
    <t>株式会社Rosso</t>
  </si>
  <si>
    <t>eigyo@rhizo-me.com</t>
  </si>
  <si>
    <t>鷲美孝裕</t>
  </si>
  <si>
    <t xml:space="preserve">eigyo@possible-jp.com </t>
  </si>
  <si>
    <t>eigyo@noa-sol.co.jp</t>
  </si>
  <si>
    <t>取締役管理部長</t>
  </si>
  <si>
    <t>菅沼　久夫</t>
  </si>
  <si>
    <t>株式会社ノア・ソリューション</t>
  </si>
  <si>
    <t>eigyo@next-plus.jp</t>
  </si>
  <si>
    <t>野木　保裕</t>
  </si>
  <si>
    <t>株式会社ネクストプラス</t>
  </si>
  <si>
    <t>eigyo@n-cast.co.jp</t>
  </si>
  <si>
    <t xml:space="preserve">eigyo@mynetgrp.com </t>
  </si>
  <si>
    <t>eigyo@mynetgrp.com</t>
  </si>
  <si>
    <t>営業統括第1部　部長</t>
  </si>
  <si>
    <t>西畑　恭行</t>
  </si>
  <si>
    <t>株式会社マイネット・グループ</t>
  </si>
  <si>
    <t>eigyo@musashijh.co.jp</t>
  </si>
  <si>
    <t>星龍也　</t>
  </si>
  <si>
    <t>株式会社武蔵情報</t>
  </si>
  <si>
    <t>eigyo@mikisys.co.jp</t>
  </si>
  <si>
    <t>eigyo@mh-system.co.jp</t>
  </si>
  <si>
    <t>水野 修寿</t>
  </si>
  <si>
    <t>eigyo@lspit.co.jp</t>
    <phoneticPr fontId="75"/>
  </si>
  <si>
    <t>丁　卉</t>
  </si>
  <si>
    <t>日本光超株式会社</t>
  </si>
  <si>
    <t>eigyo@kogei.jp</t>
  </si>
  <si>
    <t>坂井　久仁江</t>
  </si>
  <si>
    <t>株式会社工芸精器製作所</t>
  </si>
  <si>
    <t>eigyo@kei-it.com</t>
  </si>
  <si>
    <t>薄井　健</t>
  </si>
  <si>
    <t>株式会社慶</t>
  </si>
  <si>
    <t>eigyo@kcs-net.co.jp</t>
  </si>
  <si>
    <t>取締役　営業部　部長</t>
  </si>
  <si>
    <t>中野義浩</t>
  </si>
  <si>
    <t>株式会社ＫＣＳ</t>
  </si>
  <si>
    <t xml:space="preserve">eigyo@is-tech.co.jp </t>
  </si>
  <si>
    <t>eigyo@is-tech.co.jp</t>
  </si>
  <si>
    <t>新井 淳</t>
  </si>
  <si>
    <t>株式会社 情報戦略テクノロジー</t>
  </si>
  <si>
    <t xml:space="preserve">eigyo@iris-ltd.co.jp </t>
  </si>
  <si>
    <t>eigyo@iris-ltd.co.jp</t>
  </si>
  <si>
    <t>株式会社　アイリス</t>
  </si>
  <si>
    <t>eigyo@illb.co.jp</t>
  </si>
  <si>
    <t>協業推進担当</t>
  </si>
  <si>
    <t>山崎　暁一</t>
  </si>
  <si>
    <t>株式会社アイルビーソリューションズ</t>
  </si>
  <si>
    <t>070-5557-0886</t>
  </si>
  <si>
    <t>eigyo@iii-inc.co.jp</t>
  </si>
  <si>
    <t>ｉ株式会社</t>
  </si>
  <si>
    <t>eigyo@hl-soft.co.jp</t>
  </si>
  <si>
    <t>阮麟</t>
  </si>
  <si>
    <t>HL株式会社</t>
  </si>
  <si>
    <t>eigyo@g-pacific.com</t>
  </si>
  <si>
    <t>eigyo@global-thinking.com</t>
  </si>
  <si>
    <t xml:space="preserve">eigyo@global-eng.co.jp </t>
  </si>
  <si>
    <t>eigyo@gf-design.jp</t>
  </si>
  <si>
    <t xml:space="preserve">eigyo@gb-one.jp </t>
  </si>
  <si>
    <t>eigyo@gb-one.jp</t>
  </si>
  <si>
    <t>株式会社グローバル・ワン</t>
  </si>
  <si>
    <t>eigyo@futuresd.com</t>
  </si>
  <si>
    <t>趙 セイ</t>
  </si>
  <si>
    <t>eigyo@fujinetworks.co.jp</t>
  </si>
  <si>
    <t>eigyo@fsolution.co.jp</t>
  </si>
  <si>
    <t xml:space="preserve">eigyo@four-j.com </t>
  </si>
  <si>
    <t xml:space="preserve">eigyo@forward-soft.co.jp   </t>
  </si>
  <si>
    <t xml:space="preserve"> フォワードソフト株式会社</t>
  </si>
  <si>
    <t>eigyo@firstsystem.co.jp</t>
  </si>
  <si>
    <t>桶田　正巳</t>
  </si>
  <si>
    <t>ファーストシステム株式会社</t>
  </si>
  <si>
    <t xml:space="preserve">eigyo@first-sd.co.jp </t>
  </si>
  <si>
    <t>eigyo@first-sd.co.jp</t>
  </si>
  <si>
    <t>eigyo@esprit-fort.co.jp</t>
  </si>
  <si>
    <t>株式会社エスプリフォート</t>
  </si>
  <si>
    <t>eigyo@esafenet.co.jp</t>
    <phoneticPr fontId="75"/>
  </si>
  <si>
    <t>王　暁冬</t>
  </si>
  <si>
    <t>株式会社E-Safenet</t>
  </si>
  <si>
    <t>eigyo@echigoya.asia</t>
  </si>
  <si>
    <t>システム事業部　営業課　課長補佐</t>
  </si>
  <si>
    <t>西村　亘弘</t>
  </si>
  <si>
    <t>株式会社ECHIGOYA</t>
  </si>
  <si>
    <t>eigyo@digifocus.co.jp</t>
  </si>
  <si>
    <t>金成徳</t>
  </si>
  <si>
    <t>株式会社 DigiFocus</t>
  </si>
  <si>
    <t>eigyo@dai1-eng.co.jp</t>
  </si>
  <si>
    <t>第一エンジニアリング株式会社</t>
  </si>
  <si>
    <t>eigyo@cyzennt.co.jp</t>
  </si>
  <si>
    <t>eigyo@cries.co.jp</t>
  </si>
  <si>
    <t>荒谷　光慶</t>
  </si>
  <si>
    <t>株式会社三恵クリエス</t>
  </si>
  <si>
    <t>eigyo@crane-i.co.jp</t>
    <phoneticPr fontId="78"/>
  </si>
  <si>
    <t>株式会社 Crane&amp;I　営業</t>
    <rPh sb="13" eb="15">
      <t>エイギョウ</t>
    </rPh>
    <phoneticPr fontId="78"/>
  </si>
  <si>
    <t xml:space="preserve">eigyo@cp-info.co.jp </t>
  </si>
  <si>
    <t xml:space="preserve">eigyo@computer-rescuer.com </t>
  </si>
  <si>
    <t xml:space="preserve">eigyo@classact.co.jp </t>
  </si>
  <si>
    <t xml:space="preserve">eigyo@careervision.jp </t>
  </si>
  <si>
    <t>eigyo@careervision.jp</t>
  </si>
  <si>
    <t xml:space="preserve">eigyo@b-tm.co.jp </t>
  </si>
  <si>
    <t>eigyo@b-tm.co.jp</t>
  </si>
  <si>
    <t>BTM営業</t>
  </si>
  <si>
    <t>田口　雅教</t>
  </si>
  <si>
    <t>eigyo@b-place.co.jp</t>
  </si>
  <si>
    <t xml:space="preserve">eigyo@bell-net.co.jp </t>
  </si>
  <si>
    <t xml:space="preserve">eigyo@axis-systems.co.jp </t>
  </si>
  <si>
    <t xml:space="preserve">eigyo@axas-japan.co.jp </t>
  </si>
  <si>
    <t>eigyo@ai-will.net</t>
  </si>
  <si>
    <t>矢嶋　豪士</t>
  </si>
  <si>
    <t>株式会社アイウィル</t>
  </si>
  <si>
    <t>eigyo@agsystems.co.jp</t>
  </si>
  <si>
    <t xml:space="preserve">eigyo@active-it.co.jp </t>
  </si>
  <si>
    <t>eigyo@access-net.co.jp</t>
  </si>
  <si>
    <t>株式会社アクセスネット</t>
  </si>
  <si>
    <t xml:space="preserve">eigyo@aade.co.jp </t>
  </si>
  <si>
    <t>eigyo@aade.co.jp</t>
  </si>
  <si>
    <t xml:space="preserve">e-heejung@e-net-2.com </t>
  </si>
  <si>
    <t xml:space="preserve">eguchi@seven.co.jp   </t>
  </si>
  <si>
    <t>セブンシーズの江口</t>
  </si>
  <si>
    <t xml:space="preserve">egawa@sanei-system.co.jp </t>
  </si>
  <si>
    <t xml:space="preserve">eg@onlyhantang.com </t>
  </si>
  <si>
    <t xml:space="preserve">eftsales@eftweb.com </t>
  </si>
  <si>
    <t xml:space="preserve">eanken@s-quest.co.jp </t>
  </si>
  <si>
    <t>eanken@s-quest.co.jp</t>
  </si>
  <si>
    <t xml:space="preserve">e_kasase@quarterlife.co.jp </t>
  </si>
  <si>
    <t xml:space="preserve">d-takeda@haiming.co.jp </t>
  </si>
  <si>
    <t>d-takeda@haiming.co.jp</t>
  </si>
  <si>
    <t>武田　大輔</t>
  </si>
  <si>
    <t>ハイミン・エンタープライズ株式会社</t>
  </si>
  <si>
    <t xml:space="preserve">dong@wisdom-japan.com </t>
    <phoneticPr fontId="78"/>
  </si>
  <si>
    <t>董　元祥</t>
    <phoneticPr fontId="78"/>
  </si>
  <si>
    <t>株式会社ウィズダム・ジャパン</t>
    <phoneticPr fontId="78"/>
  </si>
  <si>
    <t xml:space="preserve">dm.zhou@luxdo.co.jp   </t>
  </si>
  <si>
    <t>周冬梅</t>
  </si>
  <si>
    <t xml:space="preserve">d-koyama@skynext.co.jp </t>
  </si>
  <si>
    <t>d-koyama@skynext.co.jp</t>
  </si>
  <si>
    <t>小山　大祐</t>
  </si>
  <si>
    <t>株式会社スカイネクスト</t>
  </si>
  <si>
    <t xml:space="preserve">distributor@value-ark.com </t>
  </si>
  <si>
    <t xml:space="preserve">dezhi.li@sea-tech.info   </t>
  </si>
  <si>
    <t>シーテク　李徳智</t>
  </si>
  <si>
    <t>　　</t>
    <phoneticPr fontId="78"/>
  </si>
  <si>
    <t>dezhi.li@sea-tech.info</t>
    <phoneticPr fontId="78"/>
  </si>
  <si>
    <t>李徳志</t>
    <rPh sb="0" eb="1">
      <t>リ</t>
    </rPh>
    <rPh sb="1" eb="2">
      <t>トク</t>
    </rPh>
    <rPh sb="2" eb="3">
      <t>シ</t>
    </rPh>
    <phoneticPr fontId="78"/>
  </si>
  <si>
    <t>株式会社シーテク</t>
    <phoneticPr fontId="78"/>
  </si>
  <si>
    <t>den@iii-inc.co.jp</t>
    <phoneticPr fontId="78"/>
  </si>
  <si>
    <t>田一汛</t>
    <rPh sb="0" eb="1">
      <t>タ</t>
    </rPh>
    <rPh sb="1" eb="2">
      <t>イチ</t>
    </rPh>
    <rPh sb="2" eb="3">
      <t>ジン</t>
    </rPh>
    <phoneticPr fontId="78"/>
  </si>
  <si>
    <t>i株式会社</t>
    <rPh sb="1" eb="3">
      <t>カブシキ</t>
    </rPh>
    <rPh sb="3" eb="5">
      <t>カイシャ</t>
    </rPh>
    <phoneticPr fontId="78"/>
  </si>
  <si>
    <t>daisuke.nakamura@f-scratch.com</t>
  </si>
  <si>
    <t>中村　大輔（株式会社フロムスクラッチ）</t>
  </si>
  <si>
    <t xml:space="preserve">daishi.katou@grandline-v.com </t>
  </si>
  <si>
    <t xml:space="preserve">dai@cathay.jp </t>
  </si>
  <si>
    <t xml:space="preserve">dahai.ni@sea-tech.info   </t>
  </si>
  <si>
    <t xml:space="preserve"> 大海</t>
  </si>
  <si>
    <t>080-4925-7668
080-7953-6188
080-4173-8866</t>
    <phoneticPr fontId="78"/>
  </si>
  <si>
    <t>dahai.ni@sea-tech.info</t>
    <phoneticPr fontId="78"/>
  </si>
  <si>
    <t>倪大海</t>
    <phoneticPr fontId="78"/>
  </si>
  <si>
    <t xml:space="preserve">d_watanabe@a-exclamation.co.jp </t>
  </si>
  <si>
    <t>d.toyama@fanrevo.co.jp</t>
  </si>
  <si>
    <t>遠山　大樹</t>
  </si>
  <si>
    <t>株式会社ファンレボ</t>
  </si>
  <si>
    <t xml:space="preserve">d.kubodera@nodecom.jp </t>
  </si>
  <si>
    <t xml:space="preserve">cyou@popunavi-soft.com   </t>
  </si>
  <si>
    <t>POPUNAVI　張　倩</t>
  </si>
  <si>
    <t>cyou@popunavi-soft.com</t>
  </si>
  <si>
    <t>張　倩</t>
  </si>
  <si>
    <t>POPUNAVI株式会社</t>
  </si>
  <si>
    <t xml:space="preserve">cyou@meisenjp.com </t>
  </si>
  <si>
    <t>cyou@meisenjp.com</t>
    <phoneticPr fontId="78"/>
  </si>
  <si>
    <t>張伝炎</t>
    <rPh sb="0" eb="1">
      <t>チョウ</t>
    </rPh>
    <rPh sb="1" eb="2">
      <t>デン</t>
    </rPh>
    <rPh sb="2" eb="3">
      <t>エン</t>
    </rPh>
    <phoneticPr fontId="78"/>
  </si>
  <si>
    <t>株式会社名川ネットワーク</t>
    <rPh sb="0" eb="2">
      <t>カブシキ</t>
    </rPh>
    <rPh sb="2" eb="4">
      <t>カイシャ</t>
    </rPh>
    <rPh sb="4" eb="5">
      <t>メイ</t>
    </rPh>
    <rPh sb="5" eb="6">
      <t>カワ</t>
    </rPh>
    <phoneticPr fontId="78"/>
  </si>
  <si>
    <t xml:space="preserve">cyou@jcbc.co.jp   </t>
  </si>
  <si>
    <t>趙　薇?</t>
    <phoneticPr fontId="75"/>
  </si>
  <si>
    <t xml:space="preserve">customer@kmb.co.jp </t>
  </si>
  <si>
    <t>cuishengjie@chinasoft-tokyo.co.jp</t>
    <phoneticPr fontId="78"/>
  </si>
  <si>
    <t>崔勝傑</t>
    <phoneticPr fontId="78"/>
  </si>
  <si>
    <t>cui@newvt.co.jp</t>
  </si>
  <si>
    <t>催 健志</t>
  </si>
  <si>
    <t>080-7833-3231</t>
    <phoneticPr fontId="78"/>
  </si>
  <si>
    <t>cui.yunyan@nisshin-g.co.jp</t>
    <phoneticPr fontId="78"/>
  </si>
  <si>
    <t>崔 芸硯</t>
    <phoneticPr fontId="78"/>
  </si>
  <si>
    <t>株式会社　日進</t>
    <phoneticPr fontId="78"/>
  </si>
  <si>
    <t>cui.cf@conflux.jp</t>
  </si>
  <si>
    <t>崔 長福</t>
  </si>
  <si>
    <t>crystal@ebskk.com</t>
  </si>
  <si>
    <t>李 宝楽日</t>
  </si>
  <si>
    <t>contact@tiptopsoftware.com</t>
  </si>
  <si>
    <t>contact@shinston.com</t>
  </si>
  <si>
    <t>立田　卓</t>
  </si>
  <si>
    <t>新思通株式会社</t>
  </si>
  <si>
    <t>contact@baristride.co.jp</t>
  </si>
  <si>
    <t>construction@isa-plan.jp</t>
  </si>
  <si>
    <t>木下翔太</t>
  </si>
  <si>
    <t>株式会社アイエスエイプラン</t>
  </si>
  <si>
    <t xml:space="preserve">common@iai.jp </t>
  </si>
  <si>
    <t>cmc-105@willcom.com</t>
    <phoneticPr fontId="78"/>
  </si>
  <si>
    <t xml:space="preserve"> 呉 春華</t>
    <phoneticPr fontId="78"/>
  </si>
  <si>
    <t xml:space="preserve">clsnews@clsinc.co.jp </t>
  </si>
  <si>
    <t xml:space="preserve">chuncheng-wang@tokyo-hitech.com </t>
  </si>
  <si>
    <t xml:space="preserve">chos@uto.co.jp   </t>
  </si>
  <si>
    <t>【UTO】趙辛</t>
  </si>
  <si>
    <t>090-9672-5905</t>
    <phoneticPr fontId="78"/>
  </si>
  <si>
    <t>chos@uto.co.jp　</t>
    <phoneticPr fontId="78"/>
  </si>
  <si>
    <t>趙辛</t>
    <phoneticPr fontId="78"/>
  </si>
  <si>
    <t>ＵＴＯ株式会社</t>
    <phoneticPr fontId="78"/>
  </si>
  <si>
    <t xml:space="preserve">chonan@groove-gear.jp </t>
  </si>
  <si>
    <t>cho@sea-itsoft.com</t>
  </si>
  <si>
    <t>張 克武</t>
  </si>
  <si>
    <t xml:space="preserve">cho@im-intl.co.jp   </t>
  </si>
  <si>
    <t>張凱</t>
  </si>
  <si>
    <t>cho@im-intl.co.jp</t>
  </si>
  <si>
    <t>張 凱</t>
  </si>
  <si>
    <t>イセップ株式会社</t>
  </si>
  <si>
    <t xml:space="preserve">cho@bighandz.co.jp </t>
  </si>
  <si>
    <t>080-9158-5126</t>
    <phoneticPr fontId="78"/>
  </si>
  <si>
    <t>chi-ql@kk-ds.co.jp</t>
    <phoneticPr fontId="78"/>
  </si>
  <si>
    <t>遅慶利</t>
    <rPh sb="0" eb="1">
      <t>チ</t>
    </rPh>
    <rPh sb="1" eb="2">
      <t>ケイ</t>
    </rPh>
    <rPh sb="2" eb="3">
      <t>リ</t>
    </rPh>
    <phoneticPr fontId="78"/>
  </si>
  <si>
    <t>ディープソリューションズ</t>
    <phoneticPr fontId="78"/>
  </si>
  <si>
    <t xml:space="preserve">chida@aisinc.jp </t>
  </si>
  <si>
    <t xml:space="preserve">chenyj@ousoft-jmt.co.jp </t>
  </si>
  <si>
    <t xml:space="preserve">chen-x@e-glad.co.jp </t>
  </si>
  <si>
    <t xml:space="preserve">chentao@netcome.co.jp   </t>
  </si>
  <si>
    <t>陳涛様</t>
  </si>
  <si>
    <t>chentao@netcome.co.jp</t>
  </si>
  <si>
    <t>chentao@netcome.co.jp</t>
    <phoneticPr fontId="75"/>
  </si>
  <si>
    <t xml:space="preserve">chenlong@jadebird.co.jp </t>
  </si>
  <si>
    <t xml:space="preserve">chengshu@tbk-sys.co.jp </t>
  </si>
  <si>
    <t xml:space="preserve">chen@cathay.jp </t>
  </si>
  <si>
    <t>080-9041-8184</t>
  </si>
  <si>
    <t>che@i-bsys.com</t>
    <phoneticPr fontId="78"/>
  </si>
  <si>
    <t>車　暁萍</t>
    <phoneticPr fontId="78"/>
  </si>
  <si>
    <r>
      <rPr>
        <sz val="12"/>
        <color indexed="8"/>
        <rFont val="ＭＳ 明朝"/>
        <family val="1"/>
        <charset val="128"/>
      </rPr>
      <t>株式会社ＩＢＳＹＳ　</t>
    </r>
  </si>
  <si>
    <t xml:space="preserve">che@atoz-systems.co.jp </t>
  </si>
  <si>
    <t xml:space="preserve">ceo@tsrs.co.jp </t>
  </si>
  <si>
    <t>cao@springcyber.com</t>
    <phoneticPr fontId="75"/>
  </si>
  <si>
    <t>曹　炬</t>
  </si>
  <si>
    <t>エクミネット株式会社</t>
  </si>
  <si>
    <t>080-4388-2388</t>
    <phoneticPr fontId="78"/>
  </si>
  <si>
    <t>caidafeng@nakagawaks.com</t>
    <phoneticPr fontId="78"/>
  </si>
  <si>
    <t>蔡達峰</t>
    <phoneticPr fontId="78"/>
  </si>
  <si>
    <t>cai.jy@shall.tokyo.jp</t>
  </si>
  <si>
    <t>才 佳玉</t>
  </si>
  <si>
    <t>090-6493-1885</t>
    <phoneticPr fontId="78"/>
  </si>
  <si>
    <t>eigyou@shall.tokyo.jp</t>
    <phoneticPr fontId="78"/>
  </si>
  <si>
    <t>cai.jy@shall.tokyo.jp</t>
    <phoneticPr fontId="78"/>
  </si>
  <si>
    <t>才佳玉</t>
    <rPh sb="0" eb="1">
      <t>サイ</t>
    </rPh>
    <rPh sb="1" eb="2">
      <t>カ</t>
    </rPh>
    <phoneticPr fontId="78"/>
  </si>
  <si>
    <t>株式会社シャル</t>
    <phoneticPr fontId="78"/>
  </si>
  <si>
    <t xml:space="preserve">c.nakasone@asakasyouji.com </t>
  </si>
  <si>
    <t>b-wang@sunshine-power.co.jp</t>
    <phoneticPr fontId="78"/>
  </si>
  <si>
    <t>王濱</t>
    <rPh sb="0" eb="1">
      <t>オウ</t>
    </rPh>
    <rPh sb="1" eb="2">
      <t>ヒン</t>
    </rPh>
    <phoneticPr fontId="78"/>
  </si>
  <si>
    <t>サンシャインパワー株式会社</t>
    <rPh sb="9" eb="11">
      <t>カブシキ</t>
    </rPh>
    <rPh sb="11" eb="13">
      <t>カイシャ</t>
    </rPh>
    <phoneticPr fontId="78"/>
  </si>
  <si>
    <t>business07@unltd.co.jp</t>
  </si>
  <si>
    <t>business_partner@ossc-inc.jp</t>
  </si>
  <si>
    <t xml:space="preserve">business_matter@di-system.co.jp </t>
  </si>
  <si>
    <t>business@vsk-jp.com</t>
  </si>
  <si>
    <t>中川　友則</t>
  </si>
  <si>
    <t>株式会社ヴァンテルシステム</t>
  </si>
  <si>
    <t xml:space="preserve">business@victrade.jp </t>
  </si>
  <si>
    <t>business@triumph-corp.co.jp</t>
  </si>
  <si>
    <t>株式会社トライアンフコーポレーション</t>
  </si>
  <si>
    <t>business@task-do.com</t>
  </si>
  <si>
    <t>business@souken.co.jp</t>
  </si>
  <si>
    <t>business@som-corp.co.jp</t>
  </si>
  <si>
    <t>三井田　貴幸</t>
  </si>
  <si>
    <t>株式会社エス・オー・エム</t>
  </si>
  <si>
    <t>business@r-jc.jp</t>
  </si>
  <si>
    <t>business@novaks.co.jp</t>
  </si>
  <si>
    <t>business@mip.co.jp</t>
  </si>
  <si>
    <t>business@mba-international.jp</t>
  </si>
  <si>
    <t>児玉　秀明</t>
  </si>
  <si>
    <t>エム・ビー・エーインターナショナル株式会社</t>
  </si>
  <si>
    <t>business@connectcrew.co.jp</t>
  </si>
  <si>
    <t xml:space="preserve">business@businesslink-corp.com </t>
  </si>
  <si>
    <t>business@businesslink-corp.com</t>
  </si>
  <si>
    <t xml:space="preserve">buaep303@hi-net.zaq.ne.jp </t>
  </si>
  <si>
    <t xml:space="preserve">b-suu@forward-soft.co.jp  </t>
  </si>
  <si>
    <t>鄒 文科</t>
  </si>
  <si>
    <t xml:space="preserve">BSJ@baosight-jp.com </t>
  </si>
  <si>
    <t>bps@futureantiques.co.jp</t>
  </si>
  <si>
    <t>伊東　達也</t>
  </si>
  <si>
    <t xml:space="preserve">フューチャー・アンティークス株式会社 </t>
  </si>
  <si>
    <t xml:space="preserve">bps@crsnet.jp </t>
  </si>
  <si>
    <t>bpi@ccast-inc.com</t>
  </si>
  <si>
    <t>bpg@acro-net.com</t>
  </si>
  <si>
    <t>株式会社アクロネット</t>
  </si>
  <si>
    <t>bp@up-d.co.jp</t>
  </si>
  <si>
    <t>bp@rise-i.com</t>
  </si>
  <si>
    <t xml:space="preserve">bp@nt21.jp </t>
  </si>
  <si>
    <t xml:space="preserve">bp@fssoftware.co.jp </t>
  </si>
  <si>
    <t xml:space="preserve">bp@fianess.co.jp </t>
  </si>
  <si>
    <t>bp@cbs-n.com</t>
  </si>
  <si>
    <t>兼清　一樹</t>
  </si>
  <si>
    <t xml:space="preserve">bm@janga.co.jp </t>
  </si>
  <si>
    <t>biz_check@land-system.co.jp</t>
  </si>
  <si>
    <t>ランドシステム株式会社</t>
  </si>
  <si>
    <t>biz@prodigy-inc.co.jp</t>
  </si>
  <si>
    <t>山嵜吾郎</t>
  </si>
  <si>
    <t>株式会社プロディジ</t>
  </si>
  <si>
    <t>biz@agentgate.jp</t>
  </si>
  <si>
    <t>bcsd@brainchild.co.jp</t>
  </si>
  <si>
    <t>baolanjp@yahoo.co.jp</t>
  </si>
  <si>
    <t>baolanjp@yahoo.co.jp</t>
    <phoneticPr fontId="75"/>
  </si>
  <si>
    <t>宝　蘭</t>
    <phoneticPr fontId="78"/>
  </si>
  <si>
    <t xml:space="preserve">baolan@ten-ji.co.jp   </t>
  </si>
  <si>
    <t>宝蘭様</t>
  </si>
  <si>
    <t>baolan@ten-ji.co.jp</t>
    <phoneticPr fontId="78"/>
  </si>
  <si>
    <t>a-yanagisawa@mtcx.jp</t>
  </si>
  <si>
    <t>柳澤　敦</t>
  </si>
  <si>
    <t>株式会社エムテックス</t>
  </si>
  <si>
    <t xml:space="preserve">ayako.isogai@acro-net.com </t>
  </si>
  <si>
    <t xml:space="preserve">a-washitaki@stylagy.co.jp </t>
  </si>
  <si>
    <t xml:space="preserve">atsushi.sasaki@abi-inc.co.jp </t>
  </si>
  <si>
    <t>atsushi.m@tec-inf.co.jp</t>
  </si>
  <si>
    <t>新規事業室室長　兼　東京事務所所長</t>
  </si>
  <si>
    <t>増村　淳</t>
  </si>
  <si>
    <t>テック情報株式会社</t>
  </si>
  <si>
    <t>080-4346-1888</t>
    <phoneticPr fontId="78"/>
  </si>
  <si>
    <t>atou@drtech.jp</t>
    <phoneticPr fontId="78"/>
  </si>
  <si>
    <t>李亜東</t>
    <phoneticPr fontId="78"/>
  </si>
  <si>
    <t>ディー・アール・テクノロジー株式会社</t>
    <phoneticPr fontId="78"/>
  </si>
  <si>
    <t>atou@drtech.jp</t>
    <phoneticPr fontId="75"/>
  </si>
  <si>
    <t>李　亜東</t>
  </si>
  <si>
    <t xml:space="preserve">a-tckw@grow-net.co.jp </t>
  </si>
  <si>
    <t>a-suzuki@core-s.co.jp</t>
  </si>
  <si>
    <t>鈴木　厚史</t>
  </si>
  <si>
    <t>コアーズ株式会社</t>
  </si>
  <si>
    <t>aso@bitrate.co.jp</t>
  </si>
  <si>
    <t xml:space="preserve">asami@flex-s.com </t>
  </si>
  <si>
    <t xml:space="preserve">asakurai@geechs.com </t>
  </si>
  <si>
    <t>asakawa.hiroki@earthsys-lab.co.jp</t>
  </si>
  <si>
    <t>浅川広貴</t>
  </si>
  <si>
    <t>株式会社ア－スシステムズラボラトリー</t>
  </si>
  <si>
    <t xml:space="preserve">a-sakai@crsnet.jp </t>
  </si>
  <si>
    <t>art.gy@art-system.co.jp</t>
  </si>
  <si>
    <t>アートシステム株式会社</t>
  </si>
  <si>
    <t xml:space="preserve">aro@kinyou.co.jp </t>
  </si>
  <si>
    <t>ariyoshi@tkc-net.com</t>
  </si>
  <si>
    <t>事業推進担当部長</t>
  </si>
  <si>
    <t>有吉　基</t>
  </si>
  <si>
    <t>東京京装コンピュータ株式会社</t>
  </si>
  <si>
    <t>ari-sales@ari-jp.com</t>
  </si>
  <si>
    <t>山岡　択哉</t>
  </si>
  <si>
    <t>ARアドバンストテクノロジ株式会社</t>
  </si>
  <si>
    <t>arimoto@zenon.co.jp</t>
  </si>
  <si>
    <t>arc_sales@arc-biz.co.jp</t>
  </si>
  <si>
    <t>株式会社アーク</t>
  </si>
  <si>
    <t xml:space="preserve">araki@axiscreate.com </t>
  </si>
  <si>
    <t>arai@org-net.co.jp</t>
  </si>
  <si>
    <t>システム営業部長</t>
  </si>
  <si>
    <t>長崎　純一</t>
  </si>
  <si>
    <t>株式会社オルグ</t>
  </si>
  <si>
    <t xml:space="preserve">aoyagi@dgtech.co.jp </t>
  </si>
  <si>
    <t>aoki@internet-system.com</t>
  </si>
  <si>
    <t>aoki@faila.jp</t>
  </si>
  <si>
    <t>SI事業本部　マネージャー</t>
  </si>
  <si>
    <t>青木　宗憲</t>
  </si>
  <si>
    <t xml:space="preserve">any@any-jp.com </t>
  </si>
  <si>
    <t>annai@figeo.co.jp</t>
  </si>
  <si>
    <t>anken-box@veincarry.jp</t>
  </si>
  <si>
    <t>anken_tm@cobol.co.jp</t>
  </si>
  <si>
    <t>松本将克</t>
  </si>
  <si>
    <t>株式会社COBOL</t>
  </si>
  <si>
    <t>anken_2@s-link.co.jp</t>
  </si>
  <si>
    <t>宮内　茜</t>
  </si>
  <si>
    <t>株式会社システムリンク</t>
  </si>
  <si>
    <t xml:space="preserve">anken@value-ark.com </t>
  </si>
  <si>
    <t>anken@value-ark.com</t>
  </si>
  <si>
    <t>anken@tsrs.co.jp</t>
    <phoneticPr fontId="75"/>
  </si>
  <si>
    <t>TSRソリューションズ株式会社</t>
  </si>
  <si>
    <t>anken@treasurelink.co.jp</t>
  </si>
  <si>
    <t>anken@kmkworld.com</t>
  </si>
  <si>
    <t>anken@ken-first.com</t>
  </si>
  <si>
    <t>佐藤　洋一</t>
  </si>
  <si>
    <t>株式会社ケンファースト</t>
  </si>
  <si>
    <t xml:space="preserve">anken@inform-tokyo.co.jp </t>
  </si>
  <si>
    <t>anken@im-jp.com</t>
  </si>
  <si>
    <t>anken@go-partner.jp</t>
  </si>
  <si>
    <t>株式会社パートナー</t>
  </si>
  <si>
    <t xml:space="preserve">anken@glow.co.jp </t>
  </si>
  <si>
    <t>anken@fspartners.co.jp</t>
  </si>
  <si>
    <t xml:space="preserve">anken@delsol-j.com </t>
  </si>
  <si>
    <t xml:space="preserve">anken@buoyancy.co.jp </t>
  </si>
  <si>
    <t>anken@alpha-com.co.jp</t>
  </si>
  <si>
    <t>戎井一憲</t>
  </si>
  <si>
    <t>株式会社ALPHA</t>
  </si>
  <si>
    <t>anken@abilient.co.jp</t>
  </si>
  <si>
    <t>山路</t>
  </si>
  <si>
    <t>株式会社アビリエント</t>
  </si>
  <si>
    <t xml:space="preserve">andoh@kjcsoft.com </t>
  </si>
  <si>
    <t xml:space="preserve">ando@dtrend-jpn.com </t>
  </si>
  <si>
    <t xml:space="preserve">ando.tomo@zenith-j.com </t>
  </si>
  <si>
    <t>ando.shinji@genetec.co.jp</t>
  </si>
  <si>
    <t xml:space="preserve">a-morishita@c-jic.co.jp </t>
  </si>
  <si>
    <t>amika.koide@it-sol.net</t>
  </si>
  <si>
    <t xml:space="preserve">amano@syscrew.co.jp </t>
  </si>
  <si>
    <t xml:space="preserve">amamiya@meisenjp.com </t>
  </si>
  <si>
    <t>amakata@ecs.jp</t>
  </si>
  <si>
    <t>天方　哲</t>
  </si>
  <si>
    <t>株式会社ECS</t>
  </si>
  <si>
    <t xml:space="preserve">a-kubota@aade.co.jp </t>
  </si>
  <si>
    <t xml:space="preserve">akodama@geechs.com </t>
  </si>
  <si>
    <t xml:space="preserve">akita@shintaigi.co.jp </t>
  </si>
  <si>
    <t xml:space="preserve">akira.yoshida@afx-pro.com </t>
  </si>
  <si>
    <t xml:space="preserve">akira.suzuki@lvlv.biz </t>
  </si>
  <si>
    <t>akihiro.ujima@n-support.jp</t>
  </si>
  <si>
    <t xml:space="preserve">Akemi.oishi@grids.co.jp  </t>
  </si>
  <si>
    <t>大石　明美様</t>
  </si>
  <si>
    <t xml:space="preserve">ak.kanai@gbs-grp.com   </t>
  </si>
  <si>
    <t>金井愛華様</t>
  </si>
  <si>
    <t>aizawa.susumu@braid.co.jp</t>
  </si>
  <si>
    <t>相澤 進</t>
  </si>
  <si>
    <t xml:space="preserve">agarie@apr-ryu.com </t>
  </si>
  <si>
    <t xml:space="preserve">aej06205@nifty.com </t>
  </si>
  <si>
    <t>ab-sales@system-exe.co.jp</t>
  </si>
  <si>
    <t xml:space="preserve">abe@system-creation.com   </t>
  </si>
  <si>
    <t>阿部達也</t>
    <phoneticPr fontId="75"/>
  </si>
  <si>
    <t>aas-hnasuno@aasc.co.jp</t>
  </si>
  <si>
    <t xml:space="preserve">a-amagai@sankobs.com </t>
  </si>
  <si>
    <t xml:space="preserve">a_tanaka@s-link.co.jp </t>
  </si>
  <si>
    <t xml:space="preserve">a_sonobe@comfy.co.jp </t>
  </si>
  <si>
    <t>a_kaneko@ic-com.co.jp</t>
  </si>
  <si>
    <t>金子　彩</t>
  </si>
  <si>
    <t>ICCOM株式会社</t>
  </si>
  <si>
    <t>a_ishikawa@toua-jp.com</t>
  </si>
  <si>
    <t>a.tsuchiya@braveport.biz</t>
  </si>
  <si>
    <t>a.takahashi@iforcom.jp</t>
  </si>
  <si>
    <t xml:space="preserve">a.satou@systemtool.co.jp </t>
  </si>
  <si>
    <t>a.sasaki@t-t.ne.jp</t>
  </si>
  <si>
    <t xml:space="preserve">a.sasaki@g-light.co.jp </t>
  </si>
  <si>
    <t>a.ota@clover-sun.com</t>
  </si>
  <si>
    <t>太田　陽久</t>
  </si>
  <si>
    <t>株式会社クローバー・サン</t>
  </si>
  <si>
    <t>a.noda@agilecore.co.jp</t>
  </si>
  <si>
    <t>部長代理</t>
  </si>
  <si>
    <t>野田　明史</t>
  </si>
  <si>
    <t>株式会社アジルコア</t>
  </si>
  <si>
    <t>3e-sales@3ep.jp</t>
  </si>
  <si>
    <t>3ca_eigyo@3ca.co.jp</t>
  </si>
  <si>
    <r>
      <t>10群</t>
    </r>
    <r>
      <rPr>
        <sz val="12"/>
        <color theme="1"/>
        <rFont val="FangSong"/>
        <family val="3"/>
        <charset val="134"/>
      </rPr>
      <t>发</t>
    </r>
    <phoneticPr fontId="75"/>
  </si>
  <si>
    <t>来源</t>
    <phoneticPr fontId="75"/>
  </si>
  <si>
    <t>携帯電話</t>
    <phoneticPr fontId="75"/>
  </si>
  <si>
    <t>営業共通</t>
    <phoneticPr fontId="75"/>
  </si>
  <si>
    <t>EMAIL</t>
  </si>
  <si>
    <t>役職</t>
  </si>
  <si>
    <t>会社名</t>
  </si>
  <si>
    <t>ten-ji</t>
    <phoneticPr fontId="78"/>
  </si>
  <si>
    <t>t.ito@bright-g.jp</t>
  </si>
  <si>
    <t>misago-r@jobcrown.co.jp</t>
    <phoneticPr fontId="78"/>
  </si>
  <si>
    <t>三砂様</t>
    <phoneticPr fontId="78"/>
  </si>
  <si>
    <t>株式会社ジョブクラウン</t>
    <phoneticPr fontId="78"/>
  </si>
  <si>
    <t>hirayama@kproject.co.jp</t>
    <phoneticPr fontId="78"/>
  </si>
  <si>
    <t>平山様</t>
    <phoneticPr fontId="78"/>
  </si>
  <si>
    <t>株式会社ケープロジェクト</t>
    <phoneticPr fontId="78"/>
  </si>
  <si>
    <t>shinjo@brainnet.co.jp</t>
    <phoneticPr fontId="78"/>
  </si>
  <si>
    <t>新庄様</t>
    <phoneticPr fontId="78"/>
  </si>
  <si>
    <t>株式会社ブレーンネット</t>
    <phoneticPr fontId="78"/>
  </si>
  <si>
    <t>s_onoda@acu.co.jp</t>
    <phoneticPr fontId="78"/>
  </si>
  <si>
    <t>小野田様</t>
    <phoneticPr fontId="78"/>
  </si>
  <si>
    <t>株式会社ACU</t>
    <phoneticPr fontId="78"/>
  </si>
  <si>
    <t>uchida@sinewave.co.jp</t>
    <phoneticPr fontId="78"/>
  </si>
  <si>
    <t>内田様</t>
    <phoneticPr fontId="78"/>
  </si>
  <si>
    <t>株式会社サインウェーブ</t>
    <phoneticPr fontId="78"/>
  </si>
  <si>
    <t>r-kurashina@i-enter.co.jp</t>
    <phoneticPr fontId="78"/>
  </si>
  <si>
    <t>倉科氏</t>
    <rPh sb="0" eb="1">
      <t>クラ</t>
    </rPh>
    <rPh sb="2" eb="3">
      <t>シ</t>
    </rPh>
    <phoneticPr fontId="78"/>
  </si>
  <si>
    <t>株式会社アイエンター</t>
    <rPh sb="0" eb="2">
      <t>カブシキ</t>
    </rPh>
    <rPh sb="2" eb="4">
      <t>カイシャ</t>
    </rPh>
    <phoneticPr fontId="78"/>
  </si>
  <si>
    <t>r-kubo@i-enter.co.jp</t>
    <phoneticPr fontId="78"/>
  </si>
  <si>
    <t>久保氏</t>
    <rPh sb="0" eb="2">
      <t>クボ</t>
    </rPh>
    <rPh sb="2" eb="3">
      <t>シ</t>
    </rPh>
    <phoneticPr fontId="78"/>
  </si>
  <si>
    <t>a.iida@vgroup.jp</t>
    <phoneticPr fontId="78"/>
  </si>
  <si>
    <t>飯田氏</t>
    <rPh sb="2" eb="3">
      <t>シ</t>
    </rPh>
    <phoneticPr fontId="78"/>
  </si>
  <si>
    <t>mailto:kousuke.hino@asianlink.co.jp</t>
    <phoneticPr fontId="78"/>
  </si>
  <si>
    <t>日野氏</t>
    <phoneticPr fontId="78"/>
  </si>
  <si>
    <t>株式会社アジアンリンク</t>
    <phoneticPr fontId="78"/>
  </si>
  <si>
    <t>suzukimt@jastec.co.jp</t>
    <phoneticPr fontId="66"/>
  </si>
  <si>
    <t>鈴木氏</t>
    <rPh sb="0" eb="2">
      <t>スズキ</t>
    </rPh>
    <rPh sb="2" eb="3">
      <t>シ</t>
    </rPh>
    <phoneticPr fontId="66"/>
  </si>
  <si>
    <t>株式会社ジャステック</t>
    <rPh sb="0" eb="4">
      <t>カブシキガイシャ</t>
    </rPh>
    <phoneticPr fontId="66"/>
  </si>
  <si>
    <t>tokuse@answernet.co.jp</t>
    <phoneticPr fontId="66"/>
  </si>
  <si>
    <t>戸久世氏</t>
    <rPh sb="0" eb="3">
      <t>トクセ</t>
    </rPh>
    <rPh sb="3" eb="4">
      <t>シ</t>
    </rPh>
    <phoneticPr fontId="66"/>
  </si>
  <si>
    <t>株式会社アンサー</t>
    <rPh sb="0" eb="2">
      <t>カブシキ</t>
    </rPh>
    <rPh sb="2" eb="4">
      <t>カイシャ</t>
    </rPh>
    <phoneticPr fontId="66"/>
  </si>
  <si>
    <t>nishitani@answernet.co.jp</t>
    <phoneticPr fontId="66"/>
  </si>
  <si>
    <t>西谷氏</t>
    <rPh sb="0" eb="2">
      <t>ニシタニ</t>
    </rPh>
    <rPh sb="2" eb="3">
      <t>シ</t>
    </rPh>
    <phoneticPr fontId="66"/>
  </si>
  <si>
    <t>wakaume@sas-com.com</t>
    <phoneticPr fontId="66"/>
  </si>
  <si>
    <t>社名</t>
    <rPh sb="0" eb="2">
      <t>シャメイ</t>
    </rPh>
    <phoneticPr fontId="66"/>
  </si>
  <si>
    <t>エス・エー・エス株式会社</t>
    <rPh sb="8" eb="10">
      <t>カブシキ</t>
    </rPh>
    <rPh sb="10" eb="12">
      <t>カイシャ</t>
    </rPh>
    <phoneticPr fontId="75"/>
  </si>
  <si>
    <t>kasukawa@qms-inc.co.jp</t>
    <phoneticPr fontId="66"/>
  </si>
  <si>
    <t>株式会社キュー・エム・エス</t>
    <rPh sb="0" eb="2">
      <t>カブシキ</t>
    </rPh>
    <rPh sb="2" eb="4">
      <t>カイシャ</t>
    </rPh>
    <phoneticPr fontId="75"/>
  </si>
  <si>
    <t>tamura.i@world-e.biz</t>
    <phoneticPr fontId="66"/>
  </si>
  <si>
    <t>株式会社ワールドエンブレム</t>
    <rPh sb="0" eb="2">
      <t>カブシキ</t>
    </rPh>
    <rPh sb="2" eb="4">
      <t>カイシャ</t>
    </rPh>
    <phoneticPr fontId="75"/>
  </si>
  <si>
    <t>riichi@clsinc.co.jp</t>
    <phoneticPr fontId="66"/>
  </si>
  <si>
    <t>株式会社シーピーアイ・リバティー／算法</t>
    <rPh sb="0" eb="2">
      <t>カブシキ</t>
    </rPh>
    <rPh sb="2" eb="4">
      <t>カイシャ</t>
    </rPh>
    <rPh sb="17" eb="19">
      <t>サンポウ</t>
    </rPh>
    <phoneticPr fontId="75"/>
  </si>
  <si>
    <t>k.nishimura@sakura-com.co.jp　　</t>
    <phoneticPr fontId="66"/>
  </si>
  <si>
    <t>株式会社サクラ</t>
    <rPh sb="0" eb="2">
      <t>カブシキ</t>
    </rPh>
    <rPh sb="2" eb="4">
      <t>カイシャ</t>
    </rPh>
    <phoneticPr fontId="75"/>
  </si>
  <si>
    <t>shinozaki-t@tbrave.com</t>
    <phoneticPr fontId="66"/>
  </si>
  <si>
    <t>テクノブレイブ株式会社</t>
    <rPh sb="7" eb="9">
      <t>カブシキ</t>
    </rPh>
    <rPh sb="9" eb="11">
      <t>カイシャ</t>
    </rPh>
    <phoneticPr fontId="75"/>
  </si>
  <si>
    <t>okude.t@one-all.co.jp</t>
    <phoneticPr fontId="66"/>
  </si>
  <si>
    <t>株式会社ワンオールシステム</t>
    <rPh sb="0" eb="2">
      <t>カブシキ</t>
    </rPh>
    <rPh sb="2" eb="4">
      <t>カイシャ</t>
    </rPh>
    <phoneticPr fontId="75"/>
  </si>
  <si>
    <t>yora@uss.co.jp</t>
    <phoneticPr fontId="66"/>
  </si>
  <si>
    <t>株式会社ユーエスエス</t>
    <rPh sb="0" eb="2">
      <t>カブシキ</t>
    </rPh>
    <rPh sb="2" eb="4">
      <t>カイシャ</t>
    </rPh>
    <phoneticPr fontId="75"/>
  </si>
  <si>
    <t>t-seki@waveco.co.jp</t>
    <phoneticPr fontId="66"/>
  </si>
  <si>
    <t>関氏</t>
    <phoneticPr fontId="66"/>
  </si>
  <si>
    <t>株式会社ウェーブ</t>
    <phoneticPr fontId="66"/>
  </si>
  <si>
    <t>sales@sense-si.com</t>
    <phoneticPr fontId="66"/>
  </si>
  <si>
    <t>嶋田氏</t>
    <phoneticPr fontId="66"/>
  </si>
  <si>
    <t>株式会社センスインタナショナル</t>
    <phoneticPr fontId="66"/>
  </si>
  <si>
    <t>takasaki@hibiya-info.co.jp</t>
    <phoneticPr fontId="66"/>
  </si>
  <si>
    <t>高崎氏</t>
    <phoneticPr fontId="66"/>
  </si>
  <si>
    <t>株式会社日比谷情報システム</t>
    <phoneticPr fontId="66"/>
  </si>
  <si>
    <t>x-eigyou@x-power.co.jp</t>
    <phoneticPr fontId="66"/>
  </si>
  <si>
    <t>藤井氏</t>
    <phoneticPr fontId="66"/>
  </si>
  <si>
    <t>株式会社クロスパワー</t>
    <phoneticPr fontId="66"/>
  </si>
  <si>
    <t>hatanot@techvan.co.jp</t>
    <phoneticPr fontId="66"/>
  </si>
  <si>
    <t>秦野氏</t>
    <phoneticPr fontId="66"/>
  </si>
  <si>
    <t>テクバン株式会社</t>
    <phoneticPr fontId="66"/>
  </si>
  <si>
    <t>kishis@techvan.co.jp</t>
    <phoneticPr fontId="66"/>
  </si>
  <si>
    <t>岸氏</t>
    <phoneticPr fontId="66"/>
  </si>
  <si>
    <t>nakagawat@techvan.co.jp</t>
    <phoneticPr fontId="66"/>
  </si>
  <si>
    <t>中川氏</t>
    <phoneticPr fontId="66"/>
  </si>
  <si>
    <t>sakabey@techvan.co.jp</t>
    <phoneticPr fontId="66"/>
  </si>
  <si>
    <t>坂部氏</t>
    <phoneticPr fontId="66"/>
  </si>
  <si>
    <t>meri.ashizawa@neuron-network.co.jp</t>
    <phoneticPr fontId="66"/>
  </si>
  <si>
    <t>葦澤氏</t>
    <phoneticPr fontId="66"/>
  </si>
  <si>
    <t>株式会社ニューロンネットワーク</t>
    <phoneticPr fontId="66"/>
  </si>
  <si>
    <t>takayuki_takahashi@joinforce.co.jp</t>
    <phoneticPr fontId="66"/>
  </si>
  <si>
    <t>高橋氏</t>
    <rPh sb="0" eb="2">
      <t>タカハシ</t>
    </rPh>
    <rPh sb="2" eb="3">
      <t>シ</t>
    </rPh>
    <phoneticPr fontId="66"/>
  </si>
  <si>
    <t>株式会社ジョインフォース</t>
    <phoneticPr fontId="66"/>
  </si>
  <si>
    <t>t.ueda@seplanning.co.jp</t>
    <phoneticPr fontId="66"/>
  </si>
  <si>
    <t>上田氏</t>
    <rPh sb="0" eb="2">
      <t>ウエタ</t>
    </rPh>
    <rPh sb="2" eb="3">
      <t>シ</t>
    </rPh>
    <phoneticPr fontId="66"/>
  </si>
  <si>
    <t>株式会社　エスイープランニング</t>
    <phoneticPr fontId="66"/>
  </si>
  <si>
    <t>parkgh@ais-info.co.jp</t>
    <phoneticPr fontId="66"/>
  </si>
  <si>
    <t>朴氏</t>
    <rPh sb="0" eb="2">
      <t>パクシ</t>
    </rPh>
    <phoneticPr fontId="66"/>
  </si>
  <si>
    <t>株式会社　亜細亜情報システム</t>
    <phoneticPr fontId="66"/>
  </si>
  <si>
    <t>tobata@ais-info.co.jp</t>
    <phoneticPr fontId="66"/>
  </si>
  <si>
    <t>戸畑氏</t>
    <rPh sb="0" eb="2">
      <t>トバタ</t>
    </rPh>
    <rPh sb="2" eb="3">
      <t>シ</t>
    </rPh>
    <phoneticPr fontId="66"/>
  </si>
  <si>
    <t>hamada@linkstec.com</t>
    <phoneticPr fontId="66"/>
  </si>
  <si>
    <t>濱田氏</t>
    <rPh sb="0" eb="2">
      <t>ハマダ</t>
    </rPh>
    <rPh sb="2" eb="3">
      <t>シ</t>
    </rPh>
    <phoneticPr fontId="66"/>
  </si>
  <si>
    <t>イーテクノロジー株式会社</t>
    <rPh sb="8" eb="12">
      <t>カブシキカイシャ</t>
    </rPh>
    <phoneticPr fontId="66"/>
  </si>
  <si>
    <t>sato-m@j-ideas.com</t>
    <phoneticPr fontId="66"/>
  </si>
  <si>
    <t>佐藤氏</t>
    <rPh sb="0" eb="2">
      <t>サトウ</t>
    </rPh>
    <rPh sb="2" eb="3">
      <t>シ</t>
    </rPh>
    <phoneticPr fontId="66"/>
  </si>
  <si>
    <t>株式会社アイデアズ</t>
    <rPh sb="0" eb="4">
      <t>カブシキカイシャ</t>
    </rPh>
    <phoneticPr fontId="66"/>
  </si>
  <si>
    <t>nakagawa@oec-soft.com</t>
    <phoneticPr fontId="66"/>
  </si>
  <si>
    <t>中川氏</t>
    <rPh sb="0" eb="2">
      <t>ナカガワ</t>
    </rPh>
    <rPh sb="2" eb="3">
      <t>シ</t>
    </rPh>
    <phoneticPr fontId="66"/>
  </si>
  <si>
    <t>OECソフト</t>
    <phoneticPr fontId="66"/>
  </si>
  <si>
    <t>sakurai@jiec.co.jp</t>
  </si>
  <si>
    <t>櫻井</t>
  </si>
  <si>
    <t>株式会社JIEC</t>
  </si>
  <si>
    <t>t.nitta@jiec.co.jp</t>
  </si>
  <si>
    <t>仁田</t>
  </si>
  <si>
    <t>kurose@jiec.co.jp</t>
  </si>
  <si>
    <t>黒瀬</t>
  </si>
  <si>
    <t>k_hamasaki@jiec.co.jp</t>
  </si>
  <si>
    <t>濱崎</t>
  </si>
  <si>
    <t>kitkat@jiec.co.jp</t>
  </si>
  <si>
    <t>伊藤</t>
  </si>
  <si>
    <t>htakei@jiec.co.jp</t>
  </si>
  <si>
    <t>武井</t>
  </si>
  <si>
    <t>hmaruhas@jiec.co.jp</t>
  </si>
  <si>
    <t>丸橋</t>
  </si>
  <si>
    <t>watari@jiec.co.jp</t>
  </si>
  <si>
    <t>石渡</t>
  </si>
  <si>
    <t>hirokazu.seino@needswell.com</t>
  </si>
  <si>
    <t>清野博和</t>
  </si>
  <si>
    <t>株式会社ニーズウェル</t>
  </si>
  <si>
    <t>bp-info@pci-sol.com</t>
  </si>
  <si>
    <t>藤森　亮</t>
  </si>
  <si>
    <t>PCIソリューションズ株式会社</t>
  </si>
  <si>
    <t>itinfra@sr-net.co.jp</t>
  </si>
  <si>
    <t xml:space="preserve">佐々木 浩一郎 </t>
  </si>
  <si>
    <t>株式会社 システムリサーチ</t>
  </si>
  <si>
    <t>hiroaki.tamazaki@hibiya-cs.co.jp</t>
  </si>
  <si>
    <t>山﨑</t>
  </si>
  <si>
    <t>株式会社日比谷コンピュータサービス</t>
  </si>
  <si>
    <t>yoshida-kunihiko@keyware.co.jp</t>
  </si>
  <si>
    <t>吉田</t>
  </si>
  <si>
    <t>キーウェアソリューションズ株式会社</t>
  </si>
  <si>
    <t>murai@keyware.co.jp</t>
  </si>
  <si>
    <t>主任　</t>
  </si>
  <si>
    <t>村井</t>
  </si>
  <si>
    <t>suzuki_m@ines.co.jp</t>
  </si>
  <si>
    <t>鈴木正幸</t>
  </si>
  <si>
    <t>株式会社アイネス</t>
  </si>
  <si>
    <t>oomi@ines.co.jp</t>
  </si>
  <si>
    <t>大海秀元</t>
  </si>
  <si>
    <t>kayane@ines.co.jp</t>
  </si>
  <si>
    <t>茅根　正和</t>
  </si>
  <si>
    <t>kobo@ines.co.jp</t>
  </si>
  <si>
    <t>小堀　治彦</t>
  </si>
  <si>
    <t>haya_to@ines.co.jp</t>
  </si>
  <si>
    <t>林　俊宏</t>
  </si>
  <si>
    <t>bisu@rand.co.jp</t>
  </si>
  <si>
    <t>生井  和夫</t>
  </si>
  <si>
    <t>株式会社ランドコンピュータ</t>
  </si>
  <si>
    <t>tamaki@tatesina.co.jp</t>
  </si>
  <si>
    <t>飯塚　環</t>
  </si>
  <si>
    <t>蓼科情報株式会社</t>
  </si>
  <si>
    <t>partner_sys@fsi.co.jp</t>
  </si>
  <si>
    <t>富士ソフト株式会社</t>
  </si>
  <si>
    <t>partner_sol@fsi.co.jp</t>
  </si>
  <si>
    <t>partner_kin@fsi.co.jp</t>
  </si>
  <si>
    <t>n-takano@nssys.co.jp</t>
  </si>
  <si>
    <t>高野　典子</t>
  </si>
  <si>
    <t>日本総合システム株式会社</t>
  </si>
  <si>
    <t>partner-info_tokyo@jast.co.jp</t>
  </si>
  <si>
    <t>市川　大祐</t>
  </si>
  <si>
    <t>日本システム技術株式会社</t>
  </si>
  <si>
    <t>partner@ncsx.co.jp</t>
  </si>
  <si>
    <t>日本コンピュータシステム株式会社</t>
  </si>
  <si>
    <t>katsumi.onogawa@jse.jp</t>
  </si>
  <si>
    <t>小野川　克巳</t>
  </si>
  <si>
    <t>日本ＳＥ株式会社</t>
  </si>
  <si>
    <t>tomishige.hiroyuki@nhs.co.jp</t>
  </si>
  <si>
    <t>冨重　裕之</t>
  </si>
  <si>
    <t>日鉄日立システムエンジニアリング株式会社</t>
  </si>
  <si>
    <t>mc-sales-info@chuosystem.co.jp</t>
  </si>
  <si>
    <t>中央システム株式会社</t>
  </si>
  <si>
    <t>㈱トレックス</t>
  </si>
  <si>
    <t>ATSUMI_SEKI@mail.ryoyu.co.jp</t>
  </si>
  <si>
    <t>グループ長</t>
  </si>
  <si>
    <t>関　厚巳</t>
  </si>
  <si>
    <t>株式会社菱友システムズ</t>
  </si>
  <si>
    <t>k-tanaka@sisinc.co.jp</t>
  </si>
  <si>
    <t>田中　憲一</t>
  </si>
  <si>
    <t>株式会社科学情報システムズ</t>
  </si>
  <si>
    <t>eigyo@solxyz.co.jp</t>
  </si>
  <si>
    <t>株式会社ソルクシーズ</t>
  </si>
  <si>
    <t>partner-biz@jtsnet.co.jp</t>
  </si>
  <si>
    <t>株式会社ジャパンテクニカルソフトウェア</t>
  </si>
  <si>
    <t xml:space="preserve">partner-fi@systena.co.jp </t>
  </si>
  <si>
    <t>株式会社システナ</t>
  </si>
  <si>
    <t>kouji_kajiwara@jmas.co.jp</t>
  </si>
  <si>
    <t>梶原　広治</t>
  </si>
  <si>
    <t>株式会社ジェーエムエーシステムズ</t>
  </si>
  <si>
    <t>Toyoki_Asou@jmas.co.jp</t>
  </si>
  <si>
    <t>麻生　豊樹</t>
  </si>
  <si>
    <t>Y.Sekinuma@cec-ltd.co.jp</t>
  </si>
  <si>
    <t>関沼　泰久</t>
  </si>
  <si>
    <t>株式会社シーイーシー</t>
  </si>
  <si>
    <t>kenji.kojima@cec-ltd.co.jp</t>
  </si>
  <si>
    <t>小島　健児</t>
  </si>
  <si>
    <t>koubai@comnic.co.jp</t>
  </si>
  <si>
    <t>伊藤　冴香</t>
  </si>
  <si>
    <t>株式会社コムニック</t>
  </si>
  <si>
    <t>nagamine@xcat.co.jp</t>
  </si>
  <si>
    <t>永峰　淑雄</t>
  </si>
  <si>
    <t>株式会社クロスキャット</t>
  </si>
  <si>
    <t>h-satou@ic-net.co.jp</t>
  </si>
  <si>
    <t>課長代理</t>
  </si>
  <si>
    <t>佐藤裕毅</t>
  </si>
  <si>
    <t>株式会社インフォメーションクリエーティブ</t>
  </si>
  <si>
    <t>muneto_aoyagi@agrex.co.jp</t>
  </si>
  <si>
    <t>青柳　宗人</t>
  </si>
  <si>
    <t>株式会社アグレックス</t>
  </si>
  <si>
    <t>toshiyuki_iwahashi@agrex.co.jp</t>
  </si>
  <si>
    <t>岩橋利之</t>
  </si>
  <si>
    <t>a_partner@m.agrex.co.jp</t>
  </si>
  <si>
    <t>hinata@axis-net.co.jp　</t>
  </si>
  <si>
    <t>日向宏</t>
  </si>
  <si>
    <t>株式会社アクシス</t>
  </si>
  <si>
    <t>j-tanaka@airex.jp</t>
  </si>
  <si>
    <t>田中 淳司</t>
  </si>
  <si>
    <t>株式会社アイレックス</t>
  </si>
  <si>
    <t>id-bp-info@sra.co.jp</t>
  </si>
  <si>
    <t>株式会社ＳＲＡ</t>
  </si>
  <si>
    <t>chigira@sra.co.jp</t>
  </si>
  <si>
    <t>千吉良 孝之</t>
  </si>
  <si>
    <t>y.takei@nsp-ltd.co.jp</t>
  </si>
  <si>
    <t>武井　喜和</t>
  </si>
  <si>
    <t>株式会社ＮＳＰ</t>
  </si>
  <si>
    <t>suzuki@nsp-ltd.co.jp</t>
  </si>
  <si>
    <t>鈴木  淳</t>
  </si>
  <si>
    <t>k_uchiumi@jiec.co.jp</t>
  </si>
  <si>
    <t>内海</t>
  </si>
  <si>
    <t>株式会社ＪＩＥＣ</t>
  </si>
  <si>
    <t>tkikuchi@jiec.co.jp</t>
  </si>
  <si>
    <t>菊池</t>
  </si>
  <si>
    <t>kyougyou-mado@jiec.co.jp</t>
  </si>
  <si>
    <t>bps@ist-software.co.jp</t>
  </si>
  <si>
    <t>株式会社ＩＳＴソフトウェア</t>
  </si>
  <si>
    <t>imamura@tosco.co.jp</t>
  </si>
  <si>
    <t>事業推進室</t>
  </si>
  <si>
    <t>今村 達行</t>
  </si>
  <si>
    <t>株式会社 トスコ</t>
  </si>
  <si>
    <t>dozaki@sdcj.co.jp</t>
  </si>
  <si>
    <t>第２システム事業部</t>
  </si>
  <si>
    <t>尾崎　大輔</t>
  </si>
  <si>
    <t>システムズ・デザイン株式会社</t>
  </si>
  <si>
    <t>skillbox_t@sdcj.co.jp</t>
  </si>
  <si>
    <t>t-mutou@sakura-is.co.jp</t>
  </si>
  <si>
    <t>武藤 拓万</t>
  </si>
  <si>
    <t>さくら情報システム株式会社</t>
  </si>
  <si>
    <t>purchasing-sec@sakura-is.co.jp</t>
  </si>
  <si>
    <t>小松田　勝</t>
  </si>
  <si>
    <t>tsuchiya-t@cscnet.co.jp</t>
  </si>
  <si>
    <t>土屋　敏行</t>
  </si>
  <si>
    <t>コンピューターサイエンス株式会社</t>
  </si>
  <si>
    <t>business_partner@canon-electec.co.jp</t>
  </si>
  <si>
    <t>キヤノン電子テクノロジー株式会社</t>
  </si>
  <si>
    <t>partner@ost-ipnet.co.jp</t>
  </si>
  <si>
    <t>小山　輝恒</t>
  </si>
  <si>
    <t>オープンシステムテクノロジー株式会社</t>
  </si>
  <si>
    <t>kobayashi-masayuki@elecs-web.co.jp</t>
  </si>
  <si>
    <t>小林　正幸</t>
  </si>
  <si>
    <t>エレクス株式会社</t>
  </si>
  <si>
    <t>partner@iftc.co.jp</t>
  </si>
  <si>
    <t>山本 義隆</t>
  </si>
  <si>
    <t>インフォテック株式会社</t>
  </si>
  <si>
    <t>h-nakamura@EandM.co.jp</t>
  </si>
  <si>
    <t>中村　元</t>
  </si>
  <si>
    <t>イー・アンド・エム株式会社</t>
  </si>
  <si>
    <t>toshihiko.karino@ikic.co.jp</t>
  </si>
  <si>
    <t>副主任</t>
  </si>
  <si>
    <t>狩野　俊彦</t>
  </si>
  <si>
    <t>アイエックス・ナレッジ株式会社</t>
  </si>
  <si>
    <t>BusinessPartner@tdc.co.jp</t>
  </si>
  <si>
    <t>TDCソフトウェアエンジニアリング株式会社</t>
  </si>
  <si>
    <t>eguchi.kenichiro@nswt.jp</t>
  </si>
  <si>
    <t>江口　謙一朗</t>
  </si>
  <si>
    <t>ＮＳＷテクノサービス株式会社</t>
  </si>
  <si>
    <t>sakainb@nds-infos.co.jp</t>
  </si>
  <si>
    <t>酒井　昇</t>
  </si>
  <si>
    <t>ＮＤＳインフォス株式会社</t>
  </si>
  <si>
    <t>e-mail</t>
  </si>
  <si>
    <t>Prefecture</t>
  </si>
  <si>
    <t>Name</t>
  </si>
  <si>
    <t>Occupation</t>
  </si>
  <si>
    <t>LIBAOLONGgh</t>
    <phoneticPr fontId="66"/>
  </si>
  <si>
    <t>080-4845-4321</t>
    <phoneticPr fontId="66"/>
  </si>
  <si>
    <t xml:space="preserve">李宝龍   </t>
    <phoneticPr fontId="66"/>
  </si>
  <si>
    <t>xdsoftware</t>
    <phoneticPr fontId="66"/>
  </si>
  <si>
    <t>090-1730-1461</t>
    <phoneticPr fontId="66"/>
  </si>
  <si>
    <t xml:space="preserve">崔建斌 </t>
    <phoneticPr fontId="66"/>
  </si>
  <si>
    <t>王仁涛</t>
    <phoneticPr fontId="66"/>
  </si>
  <si>
    <t>liushuai0606@gmail.com</t>
    <phoneticPr fontId="66"/>
  </si>
  <si>
    <t>男</t>
    <phoneticPr fontId="66"/>
  </si>
  <si>
    <t>刘帅</t>
    <phoneticPr fontId="66"/>
  </si>
  <si>
    <t>BigData2</t>
    <phoneticPr fontId="70" type="noConversion"/>
  </si>
  <si>
    <t>zhanghui1024@ezweb.ne.jp</t>
    <phoneticPr fontId="66"/>
  </si>
  <si>
    <t>xiaopangNo1</t>
    <phoneticPr fontId="66"/>
  </si>
  <si>
    <t>070-3858-0414</t>
    <phoneticPr fontId="66"/>
  </si>
  <si>
    <t>张辉</t>
    <phoneticPr fontId="66"/>
  </si>
  <si>
    <t>alvinli_jp@yahoo.co.jp</t>
    <phoneticPr fontId="66"/>
  </si>
  <si>
    <t>alvinli_jp</t>
    <phoneticPr fontId="66"/>
  </si>
  <si>
    <t>080-5067-1979</t>
    <phoneticPr fontId="66"/>
  </si>
  <si>
    <t>李洋</t>
    <phoneticPr fontId="66"/>
  </si>
  <si>
    <t>buketubell2008</t>
    <phoneticPr fontId="66"/>
  </si>
  <si>
    <t>buketu2008</t>
    <phoneticPr fontId="66"/>
  </si>
  <si>
    <t>090-1379-4055</t>
    <phoneticPr fontId="66"/>
  </si>
  <si>
    <t>武杰</t>
    <phoneticPr fontId="66"/>
  </si>
  <si>
    <t>boatily@gmail.com</t>
    <phoneticPr fontId="66"/>
  </si>
  <si>
    <t>boatily</t>
    <phoneticPr fontId="66"/>
  </si>
  <si>
    <t>gengtao_it</t>
    <phoneticPr fontId="66"/>
  </si>
  <si>
    <t>070-4026-0178</t>
    <phoneticPr fontId="66"/>
  </si>
  <si>
    <t>耿涛</t>
    <phoneticPr fontId="66"/>
  </si>
  <si>
    <t>408187020@qq.com</t>
  </si>
  <si>
    <t>408187020@qq.com</t>
    <phoneticPr fontId="66"/>
  </si>
  <si>
    <t>070-6463-1446</t>
    <phoneticPr fontId="66"/>
  </si>
  <si>
    <r>
      <t>王</t>
    </r>
    <r>
      <rPr>
        <sz val="11"/>
        <color rgb="FFFF0000"/>
        <rFont val="游ゴシック"/>
        <family val="3"/>
        <charset val="134"/>
        <scheme val="minor"/>
      </rPr>
      <t>阅</t>
    </r>
    <r>
      <rPr>
        <sz val="11"/>
        <color rgb="FFFF0000"/>
        <rFont val="游ゴシック"/>
        <family val="2"/>
        <scheme val="minor"/>
      </rPr>
      <t>川</t>
    </r>
    <phoneticPr fontId="66"/>
  </si>
  <si>
    <t>perl147@gmail.com</t>
  </si>
  <si>
    <t>perl147@gmail.com</t>
    <phoneticPr fontId="66"/>
  </si>
  <si>
    <t>wrt420</t>
    <phoneticPr fontId="66"/>
  </si>
  <si>
    <t>090-6313-1998</t>
    <phoneticPr fontId="66"/>
  </si>
  <si>
    <t>chuxiong.yuan@gmail.com</t>
  </si>
  <si>
    <t>080-3754-3721</t>
  </si>
  <si>
    <t>袁楚雄</t>
  </si>
  <si>
    <t>kangyuzhe</t>
    <phoneticPr fontId="66"/>
  </si>
  <si>
    <t>allanmilan</t>
    <phoneticPr fontId="66"/>
  </si>
  <si>
    <t>070-3626-4557</t>
    <phoneticPr fontId="66"/>
  </si>
  <si>
    <t>康育哲</t>
    <phoneticPr fontId="66"/>
  </si>
  <si>
    <t xml:space="preserve">di-hong-bo </t>
    <phoneticPr fontId="66"/>
  </si>
  <si>
    <t>090-6026-0869</t>
    <phoneticPr fontId="66"/>
  </si>
  <si>
    <r>
      <t xml:space="preserve">狄 </t>
    </r>
    <r>
      <rPr>
        <sz val="11"/>
        <color rgb="FFFF0000"/>
        <rFont val="游ゴシック"/>
        <family val="3"/>
        <charset val="134"/>
        <scheme val="minor"/>
      </rPr>
      <t>红</t>
    </r>
    <r>
      <rPr>
        <sz val="11"/>
        <color rgb="FFFF0000"/>
        <rFont val="游ゴシック"/>
        <family val="2"/>
        <scheme val="minor"/>
      </rPr>
      <t>波</t>
    </r>
    <phoneticPr fontId="66"/>
  </si>
  <si>
    <t>zzhabei@hotmail.com</t>
    <phoneticPr fontId="66"/>
  </si>
  <si>
    <t>drinkerzb</t>
    <phoneticPr fontId="66"/>
  </si>
  <si>
    <t>080-6678-9166</t>
    <phoneticPr fontId="66"/>
  </si>
  <si>
    <t>女</t>
    <phoneticPr fontId="66"/>
  </si>
  <si>
    <r>
      <t>查</t>
    </r>
    <r>
      <rPr>
        <sz val="11"/>
        <color rgb="FFFF0000"/>
        <rFont val="游ゴシック"/>
        <family val="3"/>
        <charset val="128"/>
        <scheme val="minor"/>
      </rPr>
      <t>蓓</t>
    </r>
    <phoneticPr fontId="66"/>
  </si>
  <si>
    <t>mammut09@gmail.com</t>
  </si>
  <si>
    <t>mammut09@gmail.com</t>
    <phoneticPr fontId="66"/>
  </si>
  <si>
    <t>mammut09</t>
    <phoneticPr fontId="66"/>
  </si>
  <si>
    <t>090-6562-8699</t>
    <phoneticPr fontId="66"/>
  </si>
  <si>
    <r>
      <t>刘</t>
    </r>
    <r>
      <rPr>
        <sz val="11"/>
        <color rgb="FFFF0000"/>
        <rFont val="游ゴシック"/>
        <family val="3"/>
        <charset val="134"/>
        <scheme val="minor"/>
      </rPr>
      <t>红军</t>
    </r>
    <phoneticPr fontId="66"/>
  </si>
  <si>
    <t>luyuj2016@gmail.com</t>
    <phoneticPr fontId="66"/>
  </si>
  <si>
    <t>luyuj2010</t>
    <phoneticPr fontId="66"/>
  </si>
  <si>
    <t>tel08047398555</t>
    <phoneticPr fontId="66"/>
  </si>
  <si>
    <t>080-4739-8555</t>
    <phoneticPr fontId="66"/>
  </si>
  <si>
    <r>
      <t>吕</t>
    </r>
    <r>
      <rPr>
        <sz val="11"/>
        <color rgb="FFFF0000"/>
        <rFont val="游ゴシック"/>
        <family val="3"/>
        <charset val="134"/>
        <scheme val="minor"/>
      </rPr>
      <t>玉杰</t>
    </r>
    <phoneticPr fontId="66"/>
  </si>
  <si>
    <t>hyuk5666</t>
    <phoneticPr fontId="66"/>
  </si>
  <si>
    <t>080-5957-5666</t>
    <phoneticPr fontId="66"/>
  </si>
  <si>
    <t>権鳳赫</t>
    <phoneticPr fontId="66"/>
  </si>
  <si>
    <t>crh_619@163.com</t>
    <phoneticPr fontId="66"/>
  </si>
  <si>
    <t>wangrong2017</t>
    <phoneticPr fontId="66"/>
  </si>
  <si>
    <t>supana619</t>
    <phoneticPr fontId="66"/>
  </si>
  <si>
    <t>080-3017-4260</t>
    <phoneticPr fontId="66"/>
  </si>
  <si>
    <t xml:space="preserve">王荣 </t>
    <phoneticPr fontId="66"/>
  </si>
  <si>
    <t>yu.a.fu@Accenture.com</t>
    <phoneticPr fontId="66"/>
  </si>
  <si>
    <t>Tommy327</t>
    <phoneticPr fontId="66"/>
  </si>
  <si>
    <t>chat2bryan</t>
    <phoneticPr fontId="66"/>
  </si>
  <si>
    <t>080-4598-1818</t>
    <phoneticPr fontId="66"/>
  </si>
  <si>
    <t xml:space="preserve">富裕 </t>
    <phoneticPr fontId="66"/>
  </si>
  <si>
    <t>tangsz86@gmail.com</t>
    <phoneticPr fontId="66"/>
  </si>
  <si>
    <t>tangsz86</t>
    <phoneticPr fontId="66"/>
  </si>
  <si>
    <t>springreed</t>
    <phoneticPr fontId="66"/>
  </si>
  <si>
    <t>080-4911-4232</t>
    <phoneticPr fontId="66"/>
  </si>
  <si>
    <t>唐世朕</t>
    <phoneticPr fontId="66"/>
  </si>
  <si>
    <t>iameyama</t>
    <phoneticPr fontId="66"/>
  </si>
  <si>
    <t>090-3210-8963</t>
    <phoneticPr fontId="66"/>
  </si>
  <si>
    <t>井新民</t>
    <phoneticPr fontId="66"/>
  </si>
  <si>
    <t>liwei1083712@gmail.com</t>
    <phoneticPr fontId="66"/>
  </si>
  <si>
    <t>liwei1083712</t>
    <phoneticPr fontId="66"/>
  </si>
  <si>
    <t>070-1000-9536</t>
    <phoneticPr fontId="66"/>
  </si>
  <si>
    <r>
      <t>李</t>
    </r>
    <r>
      <rPr>
        <sz val="11"/>
        <color theme="1"/>
        <rFont val="游ゴシック"/>
        <family val="3"/>
        <charset val="134"/>
        <scheme val="minor"/>
      </rPr>
      <t>伟</t>
    </r>
    <phoneticPr fontId="66"/>
  </si>
  <si>
    <t>OneDrive ID</t>
    <phoneticPr fontId="66"/>
  </si>
  <si>
    <t>mail</t>
    <phoneticPr fontId="66"/>
  </si>
  <si>
    <t>GitHub账号</t>
    <phoneticPr fontId="66"/>
  </si>
  <si>
    <t>QQ</t>
    <phoneticPr fontId="66"/>
  </si>
  <si>
    <t>Wechat</t>
    <phoneticPr fontId="66"/>
  </si>
  <si>
    <t>電話</t>
    <rPh sb="0" eb="2">
      <t>デンワ</t>
    </rPh>
    <phoneticPr fontId="66"/>
  </si>
  <si>
    <t>性別</t>
    <rPh sb="0" eb="2">
      <t>セイベツ</t>
    </rPh>
    <phoneticPr fontId="66"/>
  </si>
  <si>
    <t>名前</t>
    <phoneticPr fontId="66"/>
  </si>
  <si>
    <t>班级</t>
    <phoneticPr fontId="70" type="noConversion"/>
  </si>
  <si>
    <t>End</t>
    <phoneticPr fontId="66"/>
  </si>
  <si>
    <t>李春林</t>
    <phoneticPr fontId="66"/>
  </si>
  <si>
    <t>东软集团（大连）有限公司</t>
    <phoneticPr fontId="66"/>
  </si>
  <si>
    <t>汽车电子研究院</t>
    <phoneticPr fontId="66"/>
  </si>
  <si>
    <t>院长</t>
    <phoneticPr fontId="66"/>
  </si>
  <si>
    <t>商国平</t>
    <phoneticPr fontId="66"/>
  </si>
  <si>
    <t>东软</t>
    <phoneticPr fontId="66"/>
  </si>
  <si>
    <t>睿驰研究院</t>
    <phoneticPr fontId="66"/>
  </si>
  <si>
    <t>赵杰</t>
    <phoneticPr fontId="66"/>
  </si>
  <si>
    <t>黑白万象（大连）科技有限公司</t>
    <phoneticPr fontId="66"/>
  </si>
  <si>
    <t>COO</t>
    <phoneticPr fontId="66"/>
  </si>
  <si>
    <t>周宽久</t>
    <phoneticPr fontId="66"/>
  </si>
  <si>
    <t>大连理工大学</t>
    <phoneticPr fontId="66"/>
  </si>
  <si>
    <t>软件学院</t>
    <phoneticPr fontId="66"/>
  </si>
  <si>
    <t>教授</t>
    <phoneticPr fontId="66"/>
  </si>
  <si>
    <t>博士生导师</t>
    <phoneticPr fontId="6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</si>
</sst>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106">
    <font>
      <sz val="11"/>
      <color theme="1"/>
      <name val="游ゴシック"/>
      <family val="2"/>
      <charset val="134"/>
      <scheme val="minor"/>
    </font>
    <font>
      <sz val="11"/>
      <color theme="1"/>
      <name val="游ゴシック"/>
      <family val="2"/>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
      <sz val="11"/>
      <color theme="1"/>
      <name val="游ゴシック"/>
      <family val="2"/>
      <charset val="128"/>
      <scheme val="minor"/>
    </font>
    <font>
      <sz val="12"/>
      <color theme="1"/>
      <name val="ＭＳ 明朝"/>
      <family val="1"/>
      <charset val="128"/>
    </font>
    <font>
      <sz val="12"/>
      <name val="宋体"/>
      <charset val="134"/>
    </font>
    <font>
      <sz val="12"/>
      <name val="ＭＳ 明朝"/>
      <family val="1"/>
      <charset val="128"/>
    </font>
    <font>
      <sz val="6"/>
      <name val="游ゴシック"/>
      <family val="2"/>
      <charset val="128"/>
      <scheme val="minor"/>
    </font>
    <font>
      <b/>
      <sz val="12"/>
      <name val="ＭＳ 明朝"/>
      <family val="1"/>
      <charset val="128"/>
    </font>
    <font>
      <sz val="12"/>
      <color rgb="FF0000FF"/>
      <name val="ＭＳ 明朝"/>
      <family val="1"/>
      <charset val="128"/>
    </font>
    <font>
      <sz val="6"/>
      <name val="ＭＳ Ｐゴシック"/>
      <family val="3"/>
      <charset val="128"/>
    </font>
    <font>
      <sz val="12"/>
      <color rgb="FFFF0000"/>
      <name val="ＭＳ 明朝"/>
      <family val="1"/>
      <charset val="128"/>
    </font>
    <font>
      <u/>
      <sz val="12"/>
      <color theme="10"/>
      <name val="宋体"/>
      <family val="3"/>
      <charset val="134"/>
    </font>
    <font>
      <u/>
      <sz val="12"/>
      <color theme="2" tint="-0.249977111117893"/>
      <name val="ＭＳ 明朝"/>
      <family val="1"/>
      <charset val="128"/>
    </font>
    <font>
      <u/>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2"/>
      <color theme="1"/>
      <name val="ＭＳ 明朝"/>
      <family val="1"/>
      <charset val="128"/>
    </font>
    <font>
      <b/>
      <sz val="12"/>
      <color rgb="FF0000FF"/>
      <name val="ＭＳ 明朝"/>
      <family val="1"/>
      <charset val="128"/>
    </font>
    <font>
      <sz val="12"/>
      <name val="宋体"/>
      <family val="3"/>
      <charset val="134"/>
    </font>
    <font>
      <b/>
      <sz val="12"/>
      <color rgb="FFFF0000"/>
      <name val="ＭＳ 明朝"/>
      <family val="1"/>
      <charset val="128"/>
    </font>
    <font>
      <sz val="12"/>
      <color rgb="FF000000"/>
      <name val="ＭＳ 明朝"/>
      <family val="1"/>
      <charset val="128"/>
    </font>
    <font>
      <sz val="12"/>
      <color indexed="8"/>
      <name val="ＭＳ 明朝"/>
      <family val="1"/>
      <charset val="128"/>
    </font>
    <font>
      <sz val="9"/>
      <name val="Meiryo UI"/>
      <family val="3"/>
      <charset val="128"/>
    </font>
    <font>
      <u/>
      <sz val="12"/>
      <color theme="1"/>
      <name val="宋体"/>
      <family val="3"/>
      <charset val="134"/>
    </font>
    <font>
      <sz val="10"/>
      <name val="游ゴシック"/>
      <family val="3"/>
      <charset val="128"/>
      <scheme val="minor"/>
    </font>
    <font>
      <u/>
      <sz val="9"/>
      <color theme="1"/>
      <name val="Meiryo UI"/>
      <family val="3"/>
      <charset val="128"/>
    </font>
    <font>
      <sz val="9"/>
      <color theme="1"/>
      <name val="Meiryo UI"/>
      <family val="3"/>
      <charset val="128"/>
    </font>
    <font>
      <sz val="9"/>
      <color theme="3" tint="0.79998168889431442"/>
      <name val="Meiryo UI"/>
      <family val="3"/>
      <charset val="128"/>
    </font>
    <font>
      <u/>
      <sz val="11"/>
      <color theme="10"/>
      <name val="游ゴシック"/>
      <family val="2"/>
      <scheme val="minor"/>
    </font>
    <font>
      <sz val="11"/>
      <name val="游ゴシック"/>
      <family val="2"/>
      <scheme val="minor"/>
    </font>
    <font>
      <sz val="11"/>
      <color rgb="FFFF0000"/>
      <name val="游ゴシック"/>
      <family val="2"/>
      <scheme val="minor"/>
    </font>
    <font>
      <sz val="11"/>
      <color rgb="FFFF0000"/>
      <name val="游ゴシック"/>
      <family val="3"/>
      <charset val="134"/>
      <scheme val="minor"/>
    </font>
    <font>
      <b/>
      <sz val="11"/>
      <color theme="1"/>
      <name val="游ゴシック"/>
      <family val="3"/>
      <charset val="128"/>
      <scheme val="minor"/>
    </font>
    <font>
      <sz val="11"/>
      <color rgb="FFFF0000"/>
      <name val="游ゴシック"/>
      <family val="3"/>
      <charset val="136"/>
      <scheme val="minor"/>
    </font>
    <font>
      <sz val="11"/>
      <color rgb="FFFF0000"/>
      <name val="游ゴシック"/>
      <family val="3"/>
      <charset val="128"/>
      <scheme val="minor"/>
    </font>
    <font>
      <sz val="11"/>
      <color theme="1"/>
      <name val="游ゴシック"/>
      <family val="3"/>
      <charset val="128"/>
      <scheme val="minor"/>
    </font>
    <font>
      <sz val="10"/>
      <color rgb="FF000000"/>
      <name val="Yu Gothic"/>
      <family val="2"/>
      <charset val="128"/>
    </font>
  </fonts>
  <fills count="8">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33">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bottom/>
      <diagonal/>
    </border>
    <border>
      <left style="hair">
        <color auto="1"/>
      </left>
      <right style="hair">
        <color auto="1"/>
      </right>
      <top/>
      <bottom/>
      <diagonal/>
    </border>
    <border>
      <left style="dotted">
        <color auto="1"/>
      </left>
      <right style="medium">
        <color indexed="64"/>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medium">
        <color indexed="64"/>
      </right>
      <top style="hair">
        <color auto="1"/>
      </top>
      <bottom style="dotted">
        <color auto="1"/>
      </bottom>
      <diagonal/>
    </border>
    <border>
      <left style="dotted">
        <color auto="1"/>
      </left>
      <right/>
      <top style="hair">
        <color auto="1"/>
      </top>
      <bottom style="dotted">
        <color auto="1"/>
      </bottom>
      <diagonal/>
    </border>
    <border>
      <left style="dotted">
        <color auto="1"/>
      </left>
      <right style="dotted">
        <color auto="1"/>
      </right>
      <top style="hair">
        <color auto="1"/>
      </top>
      <bottom style="dotted">
        <color auto="1"/>
      </bottom>
      <diagonal/>
    </border>
    <border>
      <left/>
      <right style="dotted">
        <color auto="1"/>
      </right>
      <top style="hair">
        <color auto="1"/>
      </top>
      <bottom style="dotted">
        <color auto="1"/>
      </bottom>
      <diagonal/>
    </border>
    <border>
      <left style="hair">
        <color auto="1"/>
      </left>
      <right style="medium">
        <color indexed="64"/>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indexed="64"/>
      </right>
      <top style="double">
        <color auto="1"/>
      </top>
      <bottom style="hair">
        <color auto="1"/>
      </bottom>
      <diagonal/>
    </border>
    <border>
      <left style="hair">
        <color auto="1"/>
      </left>
      <right/>
      <top style="double">
        <color auto="1"/>
      </top>
      <bottom style="hair">
        <color auto="1"/>
      </bottom>
      <diagonal/>
    </border>
    <border>
      <left style="hair">
        <color auto="1"/>
      </left>
      <right style="hair">
        <color auto="1"/>
      </right>
      <top style="double">
        <color auto="1"/>
      </top>
      <bottom style="hair">
        <color auto="1"/>
      </bottom>
      <diagonal/>
    </border>
    <border>
      <left/>
      <right style="hair">
        <color auto="1"/>
      </right>
      <top style="double">
        <color auto="1"/>
      </top>
      <bottom style="hair">
        <color auto="1"/>
      </bottom>
      <diagonal/>
    </border>
  </borders>
  <cellStyleXfs count="12">
    <xf numFmtId="0" fontId="0" fillId="0" borderId="0">
      <alignment vertical="center"/>
    </xf>
    <xf numFmtId="0" fontId="38" fillId="0" borderId="0" applyNumberFormat="0" applyFill="0" applyBorder="0" applyAlignment="0" applyProtection="0">
      <alignment vertical="center"/>
    </xf>
    <xf numFmtId="0" fontId="65" fillId="0" borderId="0">
      <alignment vertical="center"/>
    </xf>
    <xf numFmtId="0" fontId="2" fillId="0" borderId="0"/>
    <xf numFmtId="0" fontId="71" fillId="0" borderId="0">
      <alignment vertical="center"/>
    </xf>
    <xf numFmtId="0" fontId="73" fillId="0" borderId="0">
      <alignment vertical="center"/>
    </xf>
    <xf numFmtId="0" fontId="71" fillId="0" borderId="0">
      <alignment vertical="center"/>
    </xf>
    <xf numFmtId="0" fontId="38"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3" fillId="0" borderId="0" applyNumberFormat="0" applyFill="0" applyBorder="0" applyAlignment="0" applyProtection="0">
      <alignment vertical="center"/>
    </xf>
    <xf numFmtId="0" fontId="1" fillId="0" borderId="0"/>
    <xf numFmtId="0" fontId="97" fillId="0" borderId="0" applyNumberFormat="0" applyFill="0" applyBorder="0" applyAlignment="0" applyProtection="0"/>
  </cellStyleXfs>
  <cellXfs count="375">
    <xf numFmtId="0" fontId="0" fillId="0" borderId="0" xfId="0">
      <alignment vertical="center"/>
    </xf>
    <xf numFmtId="0" fontId="4" fillId="2" borderId="1" xfId="0" applyFont="1" applyFill="1" applyBorder="1" applyAlignment="1">
      <alignment horizontal="left" vertical="center"/>
    </xf>
    <xf numFmtId="0" fontId="4" fillId="0" borderId="1" xfId="0" applyFont="1" applyBorder="1" applyAlignment="1">
      <alignment horizontal="left" vertical="center"/>
    </xf>
    <xf numFmtId="0" fontId="5" fillId="0" borderId="1" xfId="0" applyFont="1" applyBorder="1" applyAlignment="1">
      <alignment vertical="center" wrapText="1"/>
    </xf>
    <xf numFmtId="0" fontId="6"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left" vertical="center"/>
    </xf>
    <xf numFmtId="0" fontId="3" fillId="0" borderId="0" xfId="0" applyFont="1" applyAlignment="1">
      <alignment vertical="center"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5" xfId="0" applyFont="1" applyBorder="1" applyAlignment="1">
      <alignment horizontal="center" vertical="center" wrapText="1"/>
    </xf>
    <xf numFmtId="0" fontId="13" fillId="4" borderId="6" xfId="0" applyFont="1" applyFill="1" applyBorder="1" applyAlignment="1">
      <alignment horizontal="center" vertical="center" wrapText="1"/>
    </xf>
    <xf numFmtId="0" fontId="10" fillId="0" borderId="7" xfId="0" applyFont="1" applyBorder="1" applyAlignment="1">
      <alignment horizontal="center" vertical="center"/>
    </xf>
    <xf numFmtId="0" fontId="14" fillId="4" borderId="8" xfId="0" applyFont="1" applyFill="1" applyBorder="1" applyAlignment="1">
      <alignment horizontal="center" vertical="center" wrapText="1"/>
    </xf>
    <xf numFmtId="0" fontId="9" fillId="0" borderId="9" xfId="0" applyFont="1" applyBorder="1" applyAlignment="1">
      <alignment horizontal="center" vertical="center" wrapText="1"/>
    </xf>
    <xf numFmtId="0" fontId="15" fillId="0" borderId="9" xfId="0" applyFont="1" applyBorder="1" applyAlignment="1">
      <alignment vertical="center" wrapText="1"/>
    </xf>
    <xf numFmtId="0" fontId="15" fillId="0" borderId="9" xfId="0" applyFont="1" applyBorder="1" applyAlignment="1">
      <alignment horizontal="center" vertical="center" wrapText="1"/>
    </xf>
    <xf numFmtId="0" fontId="14" fillId="4" borderId="6" xfId="0" applyFont="1" applyFill="1" applyBorder="1" applyAlignment="1">
      <alignment horizontal="center"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alignment vertical="center"/>
    </xf>
    <xf numFmtId="0" fontId="4" fillId="2" borderId="1" xfId="0" applyFont="1" applyFill="1" applyBorder="1">
      <alignment vertical="center"/>
    </xf>
    <xf numFmtId="0" fontId="4" fillId="0" borderId="1" xfId="0" applyFont="1" applyBorder="1">
      <alignment vertical="center"/>
    </xf>
    <xf numFmtId="0" fontId="18" fillId="2" borderId="1" xfId="0" applyFont="1" applyFill="1" applyBorder="1" applyAlignment="1">
      <alignment horizontal="center" vertical="center"/>
    </xf>
    <xf numFmtId="0" fontId="21" fillId="0" borderId="1" xfId="0" applyFont="1" applyBorder="1" applyAlignment="1">
      <alignment horizontal="center" vertical="center"/>
    </xf>
    <xf numFmtId="0" fontId="4" fillId="2" borderId="1" xfId="0" applyFont="1" applyFill="1" applyBorder="1" applyAlignment="1">
      <alignment horizontal="center" vertical="center"/>
    </xf>
    <xf numFmtId="0" fontId="4" fillId="0" borderId="1" xfId="0" applyFont="1" applyBorder="1" applyAlignment="1">
      <alignment horizontal="center" vertical="center"/>
    </xf>
    <xf numFmtId="0" fontId="23"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24" fillId="0" borderId="1" xfId="0" applyFont="1" applyBorder="1" applyAlignment="1">
      <alignment horizontal="left" vertical="center" wrapText="1"/>
    </xf>
    <xf numFmtId="0" fontId="25" fillId="0" borderId="1" xfId="0" applyFont="1" applyBorder="1" applyAlignment="1">
      <alignment horizontal="left" vertical="center" wrapText="1"/>
    </xf>
    <xf numFmtId="0" fontId="23" fillId="0" borderId="0" xfId="0" applyFont="1" applyAlignment="1">
      <alignment horizontal="center" vertical="center"/>
    </xf>
    <xf numFmtId="0" fontId="26" fillId="0" borderId="1" xfId="0" applyFont="1" applyBorder="1" applyAlignment="1">
      <alignment horizontal="center" vertical="center" wrapText="1"/>
    </xf>
    <xf numFmtId="0" fontId="26" fillId="0" borderId="0" xfId="0" applyFont="1" applyAlignment="1">
      <alignment horizontal="center" vertical="center"/>
    </xf>
    <xf numFmtId="0" fontId="27" fillId="0" borderId="0" xfId="0" applyFont="1" applyBorder="1" applyAlignment="1">
      <alignment horizontal="center" vertical="center"/>
    </xf>
    <xf numFmtId="0" fontId="29" fillId="0" borderId="0" xfId="0" applyFont="1" applyBorder="1" applyAlignment="1">
      <alignment horizontal="left" vertical="center" wrapText="1"/>
    </xf>
    <xf numFmtId="0" fontId="30" fillId="0" borderId="0" xfId="0" applyFont="1">
      <alignment vertical="center"/>
    </xf>
    <xf numFmtId="0" fontId="28" fillId="0" borderId="0" xfId="0" applyFont="1" applyBorder="1" applyAlignment="1">
      <alignment horizontal="center" vertical="center" wrapText="1"/>
    </xf>
    <xf numFmtId="0" fontId="0" fillId="0" borderId="0" xfId="0" applyAlignment="1">
      <alignment vertical="center" wrapText="1"/>
    </xf>
    <xf numFmtId="0" fontId="33" fillId="2" borderId="1"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0" xfId="0" applyAlignment="1">
      <alignment horizontal="center" vertical="center"/>
    </xf>
    <xf numFmtId="0" fontId="4" fillId="0" borderId="11" xfId="0" applyFont="1" applyBorder="1">
      <alignment vertical="center"/>
    </xf>
    <xf numFmtId="0" fontId="34" fillId="0" borderId="11" xfId="0" applyFont="1" applyBorder="1" applyAlignment="1">
      <alignment vertical="center" wrapText="1"/>
    </xf>
    <xf numFmtId="0" fontId="3"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0" fillId="0" borderId="0" xfId="0" applyFont="1" applyAlignment="1">
      <alignment vertical="center" wrapText="1"/>
    </xf>
    <xf numFmtId="0" fontId="30" fillId="0" borderId="0" xfId="0" applyFont="1" applyAlignment="1">
      <alignment horizontal="center" vertical="center"/>
    </xf>
    <xf numFmtId="0" fontId="0" fillId="0" borderId="0" xfId="0" applyFill="1">
      <alignment vertical="center"/>
    </xf>
    <xf numFmtId="0" fontId="42" fillId="0" borderId="0" xfId="0" applyFont="1" applyAlignment="1">
      <alignment vertical="center" wrapText="1"/>
    </xf>
    <xf numFmtId="0" fontId="38" fillId="0" borderId="0" xfId="1" applyAlignment="1">
      <alignment vertical="center" wrapText="1"/>
    </xf>
    <xf numFmtId="0" fontId="0" fillId="0" borderId="1" xfId="0" applyBorder="1" applyAlignment="1">
      <alignment vertical="center" wrapText="1"/>
    </xf>
    <xf numFmtId="0" fontId="42" fillId="0" borderId="1" xfId="0" applyFont="1" applyBorder="1" applyAlignment="1">
      <alignment vertical="center" wrapText="1"/>
    </xf>
    <xf numFmtId="0" fontId="38"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3" fillId="2" borderId="0" xfId="0" applyFont="1" applyFill="1" applyAlignment="1">
      <alignment vertical="center" wrapText="1"/>
    </xf>
    <xf numFmtId="0" fontId="0" fillId="2" borderId="0" xfId="0" applyFill="1">
      <alignment vertical="center"/>
    </xf>
    <xf numFmtId="0" fontId="31" fillId="2" borderId="0" xfId="0" applyFont="1" applyFill="1">
      <alignment vertical="center"/>
    </xf>
    <xf numFmtId="0" fontId="34" fillId="0" borderId="1" xfId="0" applyFont="1" applyBorder="1" applyAlignment="1">
      <alignment vertical="center" wrapText="1"/>
    </xf>
    <xf numFmtId="0" fontId="3" fillId="0" borderId="1" xfId="0" applyFont="1" applyBorder="1" applyAlignment="1">
      <alignment vertical="center" wrapText="1"/>
    </xf>
    <xf numFmtId="0" fontId="4" fillId="0" borderId="0" xfId="0" applyFont="1" applyBorder="1">
      <alignment vertical="center"/>
    </xf>
    <xf numFmtId="0" fontId="3" fillId="0" borderId="12" xfId="0" applyFont="1" applyBorder="1" applyAlignment="1">
      <alignment vertical="center" wrapText="1"/>
    </xf>
    <xf numFmtId="0" fontId="4" fillId="0" borderId="11" xfId="0" applyFont="1" applyBorder="1" applyAlignment="1">
      <alignment horizontal="left" vertical="center"/>
    </xf>
    <xf numFmtId="0" fontId="0" fillId="0" borderId="0" xfId="0" applyBorder="1">
      <alignment vertical="center"/>
    </xf>
    <xf numFmtId="0" fontId="3" fillId="0" borderId="0" xfId="0" applyFont="1" applyBorder="1" applyAlignment="1">
      <alignment vertical="center" wrapText="1"/>
    </xf>
    <xf numFmtId="0" fontId="38" fillId="0" borderId="0" xfId="1" applyBorder="1" applyAlignment="1">
      <alignment vertical="center" wrapText="1"/>
    </xf>
    <xf numFmtId="0" fontId="44" fillId="0" borderId="0" xfId="0" applyFont="1" applyBorder="1" applyAlignment="1">
      <alignment vertical="center" wrapText="1"/>
    </xf>
    <xf numFmtId="0" fontId="36" fillId="0" borderId="0" xfId="0" applyFont="1" applyBorder="1" applyAlignment="1">
      <alignment vertical="center" wrapText="1"/>
    </xf>
    <xf numFmtId="0" fontId="4" fillId="2" borderId="1" xfId="0" applyFont="1" applyFill="1" applyBorder="1" applyAlignment="1">
      <alignment horizontal="center" vertical="center" wrapText="1"/>
    </xf>
    <xf numFmtId="0" fontId="4" fillId="0" borderId="11" xfId="0" applyFont="1" applyBorder="1" applyAlignment="1">
      <alignment vertical="center" wrapText="1"/>
    </xf>
    <xf numFmtId="0" fontId="4" fillId="0" borderId="0" xfId="0" applyFont="1" applyBorder="1" applyAlignment="1">
      <alignment vertical="center" wrapText="1"/>
    </xf>
    <xf numFmtId="0" fontId="4" fillId="0" borderId="1" xfId="0" applyFont="1" applyBorder="1" applyAlignment="1">
      <alignment vertical="center" wrapText="1"/>
    </xf>
    <xf numFmtId="0" fontId="4"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4" fillId="2" borderId="10" xfId="0" applyFont="1" applyFill="1" applyBorder="1" applyAlignment="1">
      <alignment horizontal="center" vertical="center" wrapText="1"/>
    </xf>
    <xf numFmtId="0" fontId="45" fillId="0" borderId="0" xfId="0" applyFont="1" applyAlignment="1">
      <alignment vertical="center" wrapText="1"/>
    </xf>
    <xf numFmtId="0" fontId="36" fillId="0" borderId="1" xfId="0" applyFont="1" applyBorder="1" applyAlignment="1">
      <alignment vertical="center" wrapText="1"/>
    </xf>
    <xf numFmtId="0" fontId="35" fillId="0" borderId="0" xfId="0" applyFont="1" applyBorder="1" applyAlignment="1">
      <alignment vertical="center" wrapText="1"/>
    </xf>
    <xf numFmtId="0" fontId="45" fillId="0" borderId="0" xfId="0" applyFont="1">
      <alignment vertical="center"/>
    </xf>
    <xf numFmtId="176" fontId="0" fillId="0" borderId="0" xfId="0" applyNumberFormat="1">
      <alignment vertical="center"/>
    </xf>
    <xf numFmtId="14" fontId="0" fillId="0" borderId="0" xfId="0" applyNumberFormat="1">
      <alignment vertical="center"/>
    </xf>
    <xf numFmtId="0" fontId="35" fillId="0" borderId="11" xfId="0" applyFont="1" applyBorder="1" applyAlignment="1">
      <alignment vertical="center" wrapText="1"/>
    </xf>
    <xf numFmtId="0" fontId="46" fillId="2" borderId="0" xfId="0" applyFont="1" applyFill="1" applyAlignment="1">
      <alignment horizontal="center" vertical="center" wrapText="1"/>
    </xf>
    <xf numFmtId="0" fontId="38" fillId="0" borderId="0" xfId="1">
      <alignment vertical="center"/>
    </xf>
    <xf numFmtId="0" fontId="39" fillId="0" borderId="0" xfId="0" applyFont="1" applyAlignment="1">
      <alignment vertical="center" wrapText="1"/>
    </xf>
    <xf numFmtId="0" fontId="0" fillId="5" borderId="0" xfId="0" applyFill="1" applyAlignment="1">
      <alignment horizontal="center" vertical="center"/>
    </xf>
    <xf numFmtId="0" fontId="35" fillId="0" borderId="0" xfId="0" applyFont="1" applyAlignment="1">
      <alignment vertical="center" wrapText="1"/>
    </xf>
    <xf numFmtId="0" fontId="36" fillId="0" borderId="0" xfId="0" applyFont="1" applyAlignment="1">
      <alignment vertical="center" wrapText="1"/>
    </xf>
    <xf numFmtId="0" fontId="34" fillId="0" borderId="0" xfId="0" applyFont="1" applyAlignment="1">
      <alignment vertical="center" wrapText="1"/>
    </xf>
    <xf numFmtId="0" fontId="44" fillId="0" borderId="0" xfId="0" applyFont="1" applyAlignment="1">
      <alignment vertical="center" wrapText="1"/>
    </xf>
    <xf numFmtId="0" fontId="39" fillId="0" borderId="0" xfId="0" applyFont="1" applyBorder="1" applyAlignment="1">
      <alignment vertical="center" wrapText="1"/>
    </xf>
    <xf numFmtId="0" fontId="50" fillId="0" borderId="0" xfId="0" applyFont="1" applyAlignment="1">
      <alignment vertical="center" wrapText="1"/>
    </xf>
    <xf numFmtId="0" fontId="27" fillId="0" borderId="0" xfId="0" applyFont="1" applyBorder="1" applyAlignment="1">
      <alignment horizontal="lef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6"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7" fillId="0" borderId="1" xfId="0" applyFont="1" applyBorder="1" applyAlignment="1">
      <alignment vertical="center" wrapText="1"/>
    </xf>
    <xf numFmtId="0" fontId="47" fillId="0" borderId="0" xfId="0" applyFont="1" applyBorder="1" applyAlignment="1">
      <alignment vertical="center" wrapText="1"/>
    </xf>
    <xf numFmtId="0" fontId="47" fillId="0" borderId="0" xfId="0" applyFont="1" applyAlignment="1">
      <alignment vertical="center" wrapText="1"/>
    </xf>
    <xf numFmtId="0" fontId="47" fillId="0" borderId="0" xfId="0" applyFont="1">
      <alignment vertical="center"/>
    </xf>
    <xf numFmtId="0" fontId="47"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7"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3" fillId="0" borderId="0" xfId="1" applyFont="1" applyBorder="1" applyAlignment="1">
      <alignment horizontal="left" vertical="center" wrapText="1"/>
    </xf>
    <xf numFmtId="0" fontId="54" fillId="0" borderId="0" xfId="0" applyFont="1" applyBorder="1" applyAlignment="1">
      <alignment horizontal="center" vertical="center"/>
    </xf>
    <xf numFmtId="0" fontId="47"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3" fillId="0" borderId="0" xfId="1" applyFont="1" applyAlignment="1">
      <alignment vertical="center" wrapText="1"/>
    </xf>
    <xf numFmtId="0" fontId="53" fillId="0" borderId="0" xfId="0" applyFont="1" applyBorder="1" applyAlignment="1">
      <alignment horizontal="center" vertical="center" wrapText="1"/>
    </xf>
    <xf numFmtId="0" fontId="46" fillId="0" borderId="0" xfId="0" applyFont="1" applyFill="1" applyBorder="1" applyAlignment="1">
      <alignment vertical="center" wrapText="1"/>
    </xf>
    <xf numFmtId="0" fontId="53" fillId="2" borderId="0" xfId="0" applyFont="1" applyFill="1">
      <alignment vertical="center"/>
    </xf>
    <xf numFmtId="177" fontId="46" fillId="0" borderId="0" xfId="0" applyNumberFormat="1" applyFont="1" applyBorder="1" applyAlignment="1">
      <alignment horizontal="center" vertical="center" wrapText="1"/>
    </xf>
    <xf numFmtId="177" fontId="47" fillId="0" borderId="0" xfId="0" applyNumberFormat="1" applyFont="1" applyBorder="1" applyAlignment="1">
      <alignment horizontal="center" vertical="center" wrapText="1"/>
    </xf>
    <xf numFmtId="177" fontId="47" fillId="0" borderId="0" xfId="0" applyNumberFormat="1" applyFont="1" applyFill="1" applyBorder="1" applyAlignment="1">
      <alignment horizontal="center" vertical="center"/>
    </xf>
    <xf numFmtId="177" fontId="43" fillId="0" borderId="0" xfId="1" applyNumberFormat="1" applyFont="1" applyBorder="1" applyAlignment="1">
      <alignment horizontal="center" vertical="center" wrapText="1"/>
    </xf>
    <xf numFmtId="177" fontId="46" fillId="0" borderId="0" xfId="0" applyNumberFormat="1" applyFont="1" applyFill="1" applyBorder="1" applyAlignment="1">
      <alignment horizontal="center" vertical="center" wrapText="1"/>
    </xf>
    <xf numFmtId="177" fontId="46" fillId="2" borderId="0" xfId="0" applyNumberFormat="1" applyFont="1" applyFill="1" applyBorder="1" applyAlignment="1">
      <alignment horizontal="center" vertical="center" wrapText="1"/>
    </xf>
    <xf numFmtId="49" fontId="46"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6" fillId="6" borderId="0" xfId="0" applyFont="1" applyFill="1" applyBorder="1" applyAlignment="1">
      <alignment horizontal="left" vertical="center" wrapText="1"/>
    </xf>
    <xf numFmtId="177" fontId="46" fillId="6" borderId="0" xfId="0" applyNumberFormat="1" applyFont="1" applyFill="1" applyBorder="1" applyAlignment="1">
      <alignment horizontal="center" vertical="center" wrapText="1"/>
    </xf>
    <xf numFmtId="0" fontId="43" fillId="0" borderId="0" xfId="1" applyFont="1" applyBorder="1" applyAlignment="1">
      <alignment vertical="center" wrapText="1"/>
    </xf>
    <xf numFmtId="0" fontId="47" fillId="0" borderId="0" xfId="0" applyFont="1" applyBorder="1" applyAlignment="1">
      <alignment horizontal="center" vertical="center" wrapText="1"/>
    </xf>
    <xf numFmtId="49" fontId="47" fillId="0" borderId="0" xfId="0" applyNumberFormat="1" applyFont="1" applyBorder="1" applyAlignment="1">
      <alignment vertical="center" wrapText="1"/>
    </xf>
    <xf numFmtId="49" fontId="43" fillId="0" borderId="0" xfId="1" applyNumberFormat="1" applyFont="1" applyBorder="1" applyAlignment="1">
      <alignment horizontal="left" vertical="center" wrapText="1"/>
    </xf>
    <xf numFmtId="49" fontId="47" fillId="0" borderId="0" xfId="0" applyNumberFormat="1" applyFont="1" applyFill="1" applyBorder="1" applyAlignment="1">
      <alignment vertical="center" wrapText="1"/>
    </xf>
    <xf numFmtId="0" fontId="42" fillId="0" borderId="0" xfId="0" applyFont="1" applyBorder="1" applyAlignment="1">
      <alignment vertical="center" wrapText="1"/>
    </xf>
    <xf numFmtId="0" fontId="47" fillId="0" borderId="0" xfId="0" applyFont="1" applyBorder="1">
      <alignment vertical="center"/>
    </xf>
    <xf numFmtId="49" fontId="38" fillId="0" borderId="0" xfId="1" applyNumberFormat="1" applyBorder="1" applyAlignment="1">
      <alignment horizontal="left" vertical="center" wrapText="1"/>
    </xf>
    <xf numFmtId="0" fontId="38" fillId="0" borderId="1" xfId="1" applyBorder="1">
      <alignment vertical="center"/>
    </xf>
    <xf numFmtId="0" fontId="47"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2"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6" fillId="2" borderId="0" xfId="0" applyNumberFormat="1" applyFont="1" applyFill="1" applyBorder="1" applyAlignment="1">
      <alignment horizontal="center" vertical="center" wrapText="1"/>
    </xf>
    <xf numFmtId="0" fontId="46" fillId="2" borderId="0" xfId="0" applyFont="1" applyFill="1" applyBorder="1" applyAlignment="1">
      <alignment horizontal="center" vertical="center" wrapText="1"/>
    </xf>
    <xf numFmtId="0" fontId="0" fillId="0" borderId="0" xfId="0" applyFill="1" applyBorder="1">
      <alignment vertical="center"/>
    </xf>
    <xf numFmtId="0" fontId="42" fillId="0" borderId="0" xfId="0" applyFont="1" applyBorder="1" applyAlignment="1">
      <alignment horizontal="center" vertical="center" wrapText="1"/>
    </xf>
    <xf numFmtId="0" fontId="0" fillId="0" borderId="0" xfId="0" applyFill="1" applyBorder="1" applyAlignment="1">
      <alignment vertical="center" wrapText="1"/>
    </xf>
    <xf numFmtId="49" fontId="46" fillId="0" borderId="0" xfId="0" applyNumberFormat="1" applyFont="1" applyFill="1" applyBorder="1" applyAlignment="1">
      <alignment vertical="center" wrapText="1"/>
    </xf>
    <xf numFmtId="177" fontId="47"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7" fillId="0" borderId="13" xfId="0" applyFont="1" applyBorder="1">
      <alignment vertical="center"/>
    </xf>
    <xf numFmtId="0" fontId="52" fillId="0" borderId="13" xfId="0" applyFont="1" applyBorder="1" applyAlignment="1">
      <alignment vertical="center" wrapText="1"/>
    </xf>
    <xf numFmtId="0" fontId="44" fillId="0" borderId="11" xfId="0" applyFont="1" applyBorder="1" applyAlignment="1">
      <alignment vertical="center" wrapText="1"/>
    </xf>
    <xf numFmtId="0" fontId="34" fillId="0" borderId="0" xfId="0" applyFont="1" applyBorder="1" applyAlignment="1">
      <alignment vertical="center" wrapText="1"/>
    </xf>
    <xf numFmtId="0" fontId="49" fillId="0" borderId="11" xfId="0" applyFont="1" applyBorder="1">
      <alignment vertical="center"/>
    </xf>
    <xf numFmtId="0" fontId="38" fillId="0" borderId="11" xfId="1" applyBorder="1" applyAlignment="1">
      <alignment vertical="center" wrapText="1"/>
    </xf>
    <xf numFmtId="49" fontId="46" fillId="0" borderId="1" xfId="0" applyNumberFormat="1" applyFont="1" applyBorder="1" applyAlignment="1">
      <alignment horizontal="left" vertical="center" wrapText="1"/>
    </xf>
    <xf numFmtId="0" fontId="38" fillId="0" borderId="0" xfId="1" applyFill="1" applyBorder="1">
      <alignment vertical="center"/>
    </xf>
    <xf numFmtId="0" fontId="50" fillId="0" borderId="0" xfId="0" applyFont="1" applyBorder="1" applyAlignment="1">
      <alignment vertical="center" wrapText="1"/>
    </xf>
    <xf numFmtId="176" fontId="0" fillId="0" borderId="1" xfId="0" applyNumberFormat="1" applyBorder="1">
      <alignment vertical="center"/>
    </xf>
    <xf numFmtId="0" fontId="46" fillId="0" borderId="1" xfId="0" applyFont="1" applyBorder="1" applyAlignment="1">
      <alignment horizontal="left" vertical="center" wrapText="1"/>
    </xf>
    <xf numFmtId="0" fontId="56" fillId="0" borderId="0" xfId="0" applyFont="1" applyFill="1" applyBorder="1" applyAlignment="1">
      <alignment horizontal="left" vertical="center" wrapText="1" readingOrder="1"/>
    </xf>
    <xf numFmtId="0" fontId="37"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6" fillId="0" borderId="12" xfId="0" applyNumberFormat="1" applyFont="1" applyBorder="1" applyAlignment="1">
      <alignment horizontal="left" vertical="center" wrapText="1"/>
    </xf>
    <xf numFmtId="49" fontId="46" fillId="0" borderId="11" xfId="0" applyNumberFormat="1" applyFont="1" applyBorder="1" applyAlignment="1">
      <alignment horizontal="left" vertical="center" wrapText="1"/>
    </xf>
    <xf numFmtId="0" fontId="46" fillId="0" borderId="12" xfId="0" applyFont="1" applyBorder="1" applyAlignment="1">
      <alignment horizontal="left" vertical="center" wrapText="1"/>
    </xf>
    <xf numFmtId="0" fontId="46" fillId="0" borderId="11" xfId="0" applyFont="1" applyBorder="1" applyAlignment="1">
      <alignment horizontal="left" vertical="center" wrapText="1"/>
    </xf>
    <xf numFmtId="0" fontId="4" fillId="0" borderId="13" xfId="0" applyFont="1" applyBorder="1">
      <alignment vertical="center"/>
    </xf>
    <xf numFmtId="0" fontId="52" fillId="0" borderId="11" xfId="0" applyFont="1" applyBorder="1" applyAlignment="1">
      <alignment horizontal="center" vertical="center"/>
    </xf>
    <xf numFmtId="0" fontId="30" fillId="0" borderId="1" xfId="0" applyFont="1" applyBorder="1" applyAlignment="1">
      <alignment vertical="center" wrapText="1"/>
    </xf>
    <xf numFmtId="0" fontId="52" fillId="0" borderId="11" xfId="0" applyFont="1" applyBorder="1" applyAlignment="1">
      <alignment vertical="center" wrapText="1"/>
    </xf>
    <xf numFmtId="0" fontId="36" fillId="0" borderId="11" xfId="0" applyFont="1" applyBorder="1" applyAlignment="1">
      <alignment vertical="center" wrapText="1"/>
    </xf>
    <xf numFmtId="0" fontId="0" fillId="0" borderId="13" xfId="0" applyBorder="1">
      <alignment vertical="center"/>
    </xf>
    <xf numFmtId="0" fontId="45" fillId="0" borderId="1" xfId="0" applyFont="1" applyBorder="1">
      <alignment vertical="center"/>
    </xf>
    <xf numFmtId="0" fontId="58" fillId="0" borderId="0" xfId="0" applyFont="1">
      <alignment vertical="center"/>
    </xf>
    <xf numFmtId="0" fontId="54" fillId="0" borderId="0" xfId="0" applyFont="1" applyBorder="1" applyAlignment="1">
      <alignment horizontal="left" vertical="center" wrapText="1"/>
    </xf>
    <xf numFmtId="0" fontId="52" fillId="0" borderId="0" xfId="0" applyFont="1" applyBorder="1" applyAlignment="1">
      <alignment horizontal="left" vertical="center"/>
    </xf>
    <xf numFmtId="176" fontId="53" fillId="0" borderId="0" xfId="0" applyNumberFormat="1" applyFont="1" applyAlignment="1">
      <alignment horizontal="right" vertical="center"/>
    </xf>
    <xf numFmtId="176" fontId="53" fillId="0" borderId="0" xfId="0" applyNumberFormat="1" applyFont="1">
      <alignment vertical="center"/>
    </xf>
    <xf numFmtId="0" fontId="53" fillId="0" borderId="0" xfId="0" applyNumberFormat="1" applyFont="1">
      <alignment vertical="center"/>
    </xf>
    <xf numFmtId="0" fontId="53" fillId="0" borderId="0" xfId="0" applyFont="1" applyFill="1">
      <alignment vertical="center"/>
    </xf>
    <xf numFmtId="0" fontId="59" fillId="0" borderId="0" xfId="1" applyFont="1">
      <alignment vertical="center"/>
    </xf>
    <xf numFmtId="0" fontId="60" fillId="0" borderId="0" xfId="0" applyFont="1">
      <alignment vertical="center"/>
    </xf>
    <xf numFmtId="0" fontId="53" fillId="0" borderId="1" xfId="0" applyFont="1" applyBorder="1">
      <alignment vertical="center"/>
    </xf>
    <xf numFmtId="0" fontId="53" fillId="0" borderId="0" xfId="0" applyFont="1" applyBorder="1">
      <alignment vertical="center"/>
    </xf>
    <xf numFmtId="0" fontId="59" fillId="0" borderId="0" xfId="1" applyFont="1" applyFill="1">
      <alignment vertical="center"/>
    </xf>
    <xf numFmtId="0" fontId="52" fillId="0" borderId="0" xfId="0" applyFont="1" applyAlignment="1">
      <alignment vertical="center" wrapText="1"/>
    </xf>
    <xf numFmtId="0" fontId="38" fillId="0" borderId="0" xfId="1" applyFill="1">
      <alignment vertical="center"/>
    </xf>
    <xf numFmtId="0" fontId="57" fillId="0" borderId="0" xfId="0" applyFont="1">
      <alignment vertical="center"/>
    </xf>
    <xf numFmtId="0" fontId="62" fillId="0" borderId="0" xfId="0" applyFont="1" applyBorder="1" applyAlignment="1">
      <alignment horizontal="center" vertical="center" wrapText="1"/>
    </xf>
    <xf numFmtId="0" fontId="62" fillId="0" borderId="0" xfId="0" applyFont="1" applyAlignment="1">
      <alignment horizontal="left" vertical="center" wrapText="1"/>
    </xf>
    <xf numFmtId="0" fontId="63" fillId="0" borderId="0" xfId="0" applyFont="1">
      <alignment vertical="center"/>
    </xf>
    <xf numFmtId="0" fontId="57" fillId="0" borderId="0" xfId="0" applyFont="1" applyAlignment="1">
      <alignment horizontal="center" vertical="center"/>
    </xf>
    <xf numFmtId="0" fontId="65" fillId="0" borderId="0" xfId="2">
      <alignment vertical="center"/>
    </xf>
    <xf numFmtId="0" fontId="67" fillId="0" borderId="0" xfId="2" applyFont="1">
      <alignment vertical="center"/>
    </xf>
    <xf numFmtId="0" fontId="68" fillId="0" borderId="0" xfId="2" applyFont="1">
      <alignment vertical="center"/>
    </xf>
    <xf numFmtId="179" fontId="68" fillId="0" borderId="0" xfId="2" applyNumberFormat="1" applyFont="1">
      <alignment vertical="center"/>
    </xf>
    <xf numFmtId="0" fontId="67" fillId="0" borderId="0" xfId="2" applyFont="1" applyAlignment="1">
      <alignment horizontal="center" vertical="center"/>
    </xf>
    <xf numFmtId="0" fontId="68" fillId="0" borderId="0" xfId="2" applyFont="1" applyAlignment="1">
      <alignment horizontal="center" vertical="center"/>
    </xf>
    <xf numFmtId="0" fontId="2" fillId="0" borderId="0" xfId="3"/>
    <xf numFmtId="0" fontId="2" fillId="0" borderId="0" xfId="3" applyAlignment="1">
      <alignment horizontal="left"/>
    </xf>
    <xf numFmtId="0" fontId="2" fillId="2" borderId="0" xfId="3" applyFill="1" applyAlignment="1">
      <alignment horizontal="left"/>
    </xf>
    <xf numFmtId="0" fontId="2" fillId="2" borderId="0" xfId="3" applyFill="1"/>
    <xf numFmtId="0" fontId="61" fillId="0" borderId="0" xfId="3" applyFont="1" applyAlignment="1">
      <alignment horizontal="left"/>
    </xf>
    <xf numFmtId="0" fontId="31" fillId="0" borderId="0" xfId="3" applyFont="1"/>
    <xf numFmtId="176" fontId="2" fillId="2" borderId="0" xfId="3" applyNumberFormat="1" applyFill="1" applyAlignment="1">
      <alignment horizontal="left" vertical="center"/>
    </xf>
    <xf numFmtId="0" fontId="2" fillId="2" borderId="0" xfId="3" applyFill="1" applyAlignment="1">
      <alignment horizontal="center" vertical="center"/>
    </xf>
    <xf numFmtId="0" fontId="72" fillId="0" borderId="0" xfId="4" applyFont="1">
      <alignment vertical="center"/>
    </xf>
    <xf numFmtId="0" fontId="72" fillId="0" borderId="0" xfId="4" applyFont="1" applyAlignment="1">
      <alignment horizontal="center" vertical="center"/>
    </xf>
    <xf numFmtId="0" fontId="71" fillId="0" borderId="0" xfId="4">
      <alignment vertical="center"/>
    </xf>
    <xf numFmtId="0" fontId="74" fillId="0" borderId="0" xfId="5" applyFont="1">
      <alignment vertical="center"/>
    </xf>
    <xf numFmtId="0" fontId="74" fillId="0" borderId="0" xfId="5" applyFont="1" applyAlignment="1">
      <alignment horizontal="center" vertical="center"/>
    </xf>
    <xf numFmtId="0" fontId="76" fillId="0" borderId="0" xfId="5" applyFont="1" applyAlignment="1">
      <alignment horizontal="left" vertical="center"/>
    </xf>
    <xf numFmtId="0" fontId="74" fillId="0" borderId="0" xfId="5" applyFont="1" applyAlignment="1">
      <alignment horizontal="left" vertical="center"/>
    </xf>
    <xf numFmtId="0" fontId="77" fillId="0" borderId="0" xfId="5" applyFont="1" applyAlignment="1">
      <alignment horizontal="left" vertical="center"/>
    </xf>
    <xf numFmtId="0" fontId="72" fillId="0" borderId="0" xfId="6" applyFont="1">
      <alignment vertical="center"/>
    </xf>
    <xf numFmtId="0" fontId="72" fillId="0" borderId="0" xfId="5" applyFont="1" applyAlignment="1">
      <alignment horizontal="left" vertical="center"/>
    </xf>
    <xf numFmtId="0" fontId="79" fillId="0" borderId="0" xfId="5" applyFont="1" applyAlignment="1">
      <alignment horizontal="left" vertical="center"/>
    </xf>
    <xf numFmtId="0" fontId="38" fillId="0" borderId="0" xfId="7">
      <alignment vertical="center"/>
    </xf>
    <xf numFmtId="0" fontId="81" fillId="0" borderId="0" xfId="8" applyFont="1" applyBorder="1" applyAlignment="1" applyProtection="1">
      <alignment horizontal="left" vertical="center"/>
    </xf>
    <xf numFmtId="0" fontId="79" fillId="0" borderId="0" xfId="5" applyFont="1" applyAlignment="1">
      <alignment horizontal="center" vertical="center"/>
    </xf>
    <xf numFmtId="0" fontId="82" fillId="0" borderId="0" xfId="8" applyFont="1" applyBorder="1" applyAlignment="1" applyProtection="1">
      <alignment horizontal="left" vertical="center"/>
    </xf>
    <xf numFmtId="0" fontId="74" fillId="2" borderId="0" xfId="5" applyFont="1" applyFill="1" applyAlignment="1">
      <alignment horizontal="left" vertical="center"/>
    </xf>
    <xf numFmtId="0" fontId="84" fillId="0" borderId="0" xfId="9" applyFont="1" applyBorder="1">
      <alignment vertical="center"/>
    </xf>
    <xf numFmtId="0" fontId="85" fillId="0" borderId="0" xfId="8" applyFont="1" applyBorder="1" applyAlignment="1" applyProtection="1">
      <alignment horizontal="left" vertical="center"/>
    </xf>
    <xf numFmtId="0" fontId="84" fillId="0" borderId="0" xfId="8" applyFont="1" applyBorder="1" applyAlignment="1" applyProtection="1">
      <alignment horizontal="left" vertical="center"/>
    </xf>
    <xf numFmtId="0" fontId="86" fillId="0" borderId="0" xfId="5" applyFont="1" applyAlignment="1">
      <alignment horizontal="left" vertical="center"/>
    </xf>
    <xf numFmtId="0" fontId="72" fillId="0" borderId="0" xfId="5" quotePrefix="1" applyFont="1" applyAlignment="1">
      <alignment horizontal="left" vertical="center"/>
    </xf>
    <xf numFmtId="0" fontId="83" fillId="0" borderId="0" xfId="9">
      <alignment vertical="center"/>
    </xf>
    <xf numFmtId="0" fontId="85" fillId="0" borderId="0" xfId="8" applyFont="1" applyBorder="1" applyAlignment="1" applyProtection="1">
      <alignment vertical="center" wrapText="1"/>
    </xf>
    <xf numFmtId="0" fontId="79" fillId="0" borderId="0" xfId="5" applyFont="1">
      <alignment vertical="center"/>
    </xf>
    <xf numFmtId="0" fontId="88" fillId="0" borderId="0" xfId="5" applyFont="1" applyAlignment="1">
      <alignment horizontal="left" vertical="center"/>
    </xf>
    <xf numFmtId="0" fontId="84" fillId="0" borderId="0" xfId="9" applyFont="1">
      <alignment vertical="center"/>
    </xf>
    <xf numFmtId="0" fontId="85" fillId="0" borderId="0" xfId="8" applyFont="1" applyBorder="1" applyAlignment="1" applyProtection="1">
      <alignment vertical="center"/>
    </xf>
    <xf numFmtId="0" fontId="74" fillId="0" borderId="0" xfId="5" applyFont="1" applyAlignment="1">
      <alignment vertical="center" wrapText="1"/>
    </xf>
    <xf numFmtId="0" fontId="76" fillId="0" borderId="0" xfId="5" applyFont="1" applyAlignment="1">
      <alignment horizontal="center" vertical="center"/>
    </xf>
    <xf numFmtId="0" fontId="72" fillId="0" borderId="0" xfId="6" applyFont="1" applyAlignment="1">
      <alignment horizontal="center" vertical="center"/>
    </xf>
    <xf numFmtId="0" fontId="84" fillId="0" borderId="0" xfId="9" applyFont="1" applyFill="1">
      <alignment vertical="center"/>
    </xf>
    <xf numFmtId="0" fontId="84" fillId="0" borderId="0" xfId="8" applyFont="1" applyAlignment="1" applyProtection="1">
      <alignment vertical="center" wrapText="1"/>
    </xf>
    <xf numFmtId="0" fontId="72" fillId="0" borderId="11" xfId="4" applyFont="1" applyBorder="1">
      <alignment vertical="center"/>
    </xf>
    <xf numFmtId="0" fontId="71" fillId="0" borderId="11" xfId="4" applyBorder="1">
      <alignment vertical="center"/>
    </xf>
    <xf numFmtId="0" fontId="74" fillId="0" borderId="11" xfId="5" applyFont="1" applyBorder="1" applyAlignment="1">
      <alignment horizontal="left" vertical="center"/>
    </xf>
    <xf numFmtId="0" fontId="72" fillId="0" borderId="11" xfId="6" applyFont="1" applyBorder="1">
      <alignment vertical="center"/>
    </xf>
    <xf numFmtId="0" fontId="84" fillId="0" borderId="11" xfId="9" applyFont="1" applyBorder="1">
      <alignment vertical="center"/>
    </xf>
    <xf numFmtId="0" fontId="77" fillId="0" borderId="11" xfId="5" applyFont="1" applyBorder="1" applyAlignment="1">
      <alignment horizontal="left" vertical="center"/>
    </xf>
    <xf numFmtId="0" fontId="74" fillId="0" borderId="11" xfId="5" applyFont="1" applyBorder="1">
      <alignment vertical="center"/>
    </xf>
    <xf numFmtId="0" fontId="72" fillId="0" borderId="14" xfId="4" applyFont="1" applyBorder="1">
      <alignment vertical="center"/>
    </xf>
    <xf numFmtId="0" fontId="71" fillId="0" borderId="14" xfId="4" applyBorder="1">
      <alignment vertical="center"/>
    </xf>
    <xf numFmtId="0" fontId="76" fillId="0" borderId="15" xfId="5" applyFont="1" applyBorder="1" applyAlignment="1">
      <alignment horizontal="left" vertical="center"/>
    </xf>
    <xf numFmtId="0" fontId="86" fillId="0" borderId="14" xfId="5" applyFont="1" applyBorder="1" applyAlignment="1">
      <alignment horizontal="left" vertical="center"/>
    </xf>
    <xf numFmtId="0" fontId="82" fillId="0" borderId="14" xfId="8" applyFont="1" applyBorder="1" applyAlignment="1" applyProtection="1">
      <alignment horizontal="left" vertical="center"/>
    </xf>
    <xf numFmtId="0" fontId="76" fillId="0" borderId="14" xfId="5" applyFont="1" applyBorder="1" applyAlignment="1">
      <alignment horizontal="left" vertical="center"/>
    </xf>
    <xf numFmtId="0" fontId="71" fillId="0" borderId="15" xfId="4" applyBorder="1">
      <alignment vertical="center"/>
    </xf>
    <xf numFmtId="0" fontId="74" fillId="0" borderId="15" xfId="5" applyFont="1" applyBorder="1" applyAlignment="1">
      <alignment horizontal="left" vertical="center"/>
    </xf>
    <xf numFmtId="0" fontId="77" fillId="0" borderId="14" xfId="5" applyFont="1" applyBorder="1" applyAlignment="1">
      <alignment horizontal="left" vertical="center"/>
    </xf>
    <xf numFmtId="0" fontId="74" fillId="0" borderId="14" xfId="5" applyFont="1" applyBorder="1" applyAlignment="1">
      <alignment horizontal="left" vertical="center"/>
    </xf>
    <xf numFmtId="0" fontId="72" fillId="0" borderId="15" xfId="4" applyFont="1" applyBorder="1">
      <alignment vertical="center"/>
    </xf>
    <xf numFmtId="0" fontId="74" fillId="0" borderId="15" xfId="5" applyFont="1" applyBorder="1">
      <alignment vertical="center"/>
    </xf>
    <xf numFmtId="0" fontId="74" fillId="0" borderId="14" xfId="5" applyFont="1" applyBorder="1">
      <alignment vertical="center"/>
    </xf>
    <xf numFmtId="0" fontId="38" fillId="0" borderId="14" xfId="7" applyFill="1" applyBorder="1">
      <alignment vertical="center"/>
    </xf>
    <xf numFmtId="0" fontId="72" fillId="0" borderId="15" xfId="6" applyFont="1" applyBorder="1">
      <alignment vertical="center"/>
    </xf>
    <xf numFmtId="0" fontId="84" fillId="0" borderId="14" xfId="9" applyFont="1" applyBorder="1">
      <alignment vertical="center"/>
    </xf>
    <xf numFmtId="0" fontId="72" fillId="0" borderId="14" xfId="6" applyFont="1" applyBorder="1">
      <alignment vertical="center"/>
    </xf>
    <xf numFmtId="0" fontId="38" fillId="0" borderId="14" xfId="7" applyBorder="1">
      <alignment vertical="center"/>
    </xf>
    <xf numFmtId="0" fontId="72" fillId="0" borderId="16" xfId="4" applyFont="1" applyBorder="1">
      <alignment vertical="center"/>
    </xf>
    <xf numFmtId="0" fontId="72" fillId="0" borderId="17" xfId="4" applyFont="1" applyBorder="1">
      <alignment vertical="center"/>
    </xf>
    <xf numFmtId="0" fontId="38" fillId="0" borderId="0" xfId="7" applyFill="1">
      <alignment vertical="center"/>
    </xf>
    <xf numFmtId="0" fontId="72" fillId="0" borderId="0" xfId="8" applyFont="1" applyBorder="1" applyAlignment="1" applyProtection="1">
      <alignment vertical="center"/>
    </xf>
    <xf numFmtId="0" fontId="74" fillId="0" borderId="0" xfId="5" applyFont="1" applyAlignment="1">
      <alignment horizontal="left" vertical="center" wrapText="1"/>
    </xf>
    <xf numFmtId="0" fontId="89" fillId="0" borderId="0" xfId="5" applyFont="1" applyAlignment="1">
      <alignment horizontal="left" vertical="center"/>
    </xf>
    <xf numFmtId="0" fontId="91" fillId="0" borderId="0" xfId="5" applyFont="1" applyAlignment="1">
      <alignment horizontal="left" vertical="center"/>
    </xf>
    <xf numFmtId="0" fontId="92" fillId="0" borderId="0" xfId="8" applyFont="1" applyAlignment="1" applyProtection="1">
      <alignment vertical="center" wrapText="1"/>
    </xf>
    <xf numFmtId="0" fontId="91" fillId="0" borderId="0" xfId="5" applyFont="1">
      <alignment vertical="center"/>
    </xf>
    <xf numFmtId="0" fontId="91" fillId="0" borderId="11" xfId="5" applyFont="1" applyBorder="1">
      <alignment vertical="center"/>
    </xf>
    <xf numFmtId="0" fontId="92" fillId="0" borderId="11" xfId="8" applyFont="1" applyBorder="1" applyAlignment="1" applyProtection="1">
      <alignment vertical="center"/>
    </xf>
    <xf numFmtId="0" fontId="93" fillId="0" borderId="11" xfId="5" applyFont="1" applyBorder="1" applyAlignment="1">
      <alignment vertical="center" wrapText="1"/>
    </xf>
    <xf numFmtId="0" fontId="91" fillId="0" borderId="11" xfId="5" applyFont="1" applyBorder="1" applyAlignment="1">
      <alignment horizontal="left" vertical="center"/>
    </xf>
    <xf numFmtId="0" fontId="92" fillId="0" borderId="11" xfId="8" applyFont="1" applyBorder="1" applyAlignment="1" applyProtection="1">
      <alignment horizontal="left" vertical="center"/>
    </xf>
    <xf numFmtId="0" fontId="91" fillId="0" borderId="18" xfId="5" applyFont="1" applyBorder="1">
      <alignment vertical="center"/>
    </xf>
    <xf numFmtId="0" fontId="91" fillId="0" borderId="19" xfId="5" applyFont="1" applyBorder="1">
      <alignment vertical="center"/>
    </xf>
    <xf numFmtId="0" fontId="91" fillId="0" borderId="20" xfId="5" applyFont="1" applyBorder="1">
      <alignment vertical="center"/>
    </xf>
    <xf numFmtId="0" fontId="91" fillId="0" borderId="21" xfId="5" applyFont="1" applyBorder="1">
      <alignment vertical="center"/>
    </xf>
    <xf numFmtId="0" fontId="94" fillId="0" borderId="18" xfId="8" applyFont="1" applyBorder="1" applyAlignment="1" applyProtection="1">
      <alignment horizontal="left" vertical="center"/>
    </xf>
    <xf numFmtId="0" fontId="95" fillId="0" borderId="19" xfId="5" applyFont="1" applyBorder="1" applyAlignment="1">
      <alignment horizontal="left" vertical="center"/>
    </xf>
    <xf numFmtId="0" fontId="95" fillId="0" borderId="20" xfId="5" applyFont="1" applyBorder="1" applyAlignment="1">
      <alignment horizontal="left" vertical="center"/>
    </xf>
    <xf numFmtId="0" fontId="95" fillId="0" borderId="21" xfId="5" applyFont="1" applyBorder="1" applyAlignment="1">
      <alignment horizontal="left" vertical="center"/>
    </xf>
    <xf numFmtId="0" fontId="94" fillId="0" borderId="22" xfId="8" applyFont="1" applyBorder="1" applyAlignment="1" applyProtection="1">
      <alignment horizontal="left" vertical="center"/>
    </xf>
    <xf numFmtId="0" fontId="95" fillId="0" borderId="23" xfId="5" applyFont="1" applyBorder="1" applyAlignment="1">
      <alignment horizontal="left" vertical="center"/>
    </xf>
    <xf numFmtId="0" fontId="95" fillId="0" borderId="24" xfId="5" applyFont="1" applyBorder="1" applyAlignment="1">
      <alignment horizontal="left" vertical="center"/>
    </xf>
    <xf numFmtId="0" fontId="95" fillId="0" borderId="25" xfId="5" applyFont="1" applyBorder="1" applyAlignment="1">
      <alignment horizontal="left" vertical="center"/>
    </xf>
    <xf numFmtId="0" fontId="94" fillId="0" borderId="26" xfId="8" applyFont="1" applyBorder="1" applyAlignment="1" applyProtection="1">
      <alignment horizontal="left" vertical="center"/>
    </xf>
    <xf numFmtId="0" fontId="95" fillId="0" borderId="27" xfId="5" applyFont="1" applyBorder="1" applyAlignment="1">
      <alignment horizontal="left" vertical="center"/>
    </xf>
    <xf numFmtId="0" fontId="95" fillId="0" borderId="14" xfId="5" applyFont="1" applyBorder="1" applyAlignment="1">
      <alignment horizontal="left" vertical="center"/>
    </xf>
    <xf numFmtId="0" fontId="95" fillId="0" borderId="0" xfId="5" applyFont="1" applyAlignment="1">
      <alignment horizontal="left" vertical="center"/>
    </xf>
    <xf numFmtId="0" fontId="95" fillId="0" borderId="28" xfId="5" applyFont="1" applyBorder="1" applyAlignment="1">
      <alignment horizontal="left" vertical="center"/>
    </xf>
    <xf numFmtId="0" fontId="91" fillId="0" borderId="26" xfId="5" applyFont="1" applyBorder="1" applyAlignment="1">
      <alignment horizontal="left" vertical="center"/>
    </xf>
    <xf numFmtId="0" fontId="91" fillId="0" borderId="27" xfId="5" applyFont="1" applyBorder="1" applyAlignment="1">
      <alignment horizontal="left" vertical="center"/>
    </xf>
    <xf numFmtId="0" fontId="91" fillId="0" borderId="14" xfId="5" applyFont="1" applyBorder="1" applyAlignment="1">
      <alignment horizontal="left" vertical="center"/>
    </xf>
    <xf numFmtId="0" fontId="91" fillId="0" borderId="28" xfId="5" applyFont="1" applyBorder="1" applyAlignment="1">
      <alignment horizontal="left" vertical="center"/>
    </xf>
    <xf numFmtId="0" fontId="96" fillId="0" borderId="26" xfId="5" applyFont="1" applyBorder="1" applyAlignment="1">
      <alignment horizontal="left" vertical="center"/>
    </xf>
    <xf numFmtId="0" fontId="91" fillId="0" borderId="29" xfId="5" applyFont="1" applyBorder="1" applyAlignment="1">
      <alignment horizontal="left" vertical="center"/>
    </xf>
    <xf numFmtId="0" fontId="91" fillId="0" borderId="30" xfId="5" applyFont="1" applyBorder="1" applyAlignment="1">
      <alignment horizontal="left" vertical="center"/>
    </xf>
    <xf numFmtId="0" fontId="91" fillId="0" borderId="31" xfId="5" applyFont="1" applyBorder="1" applyAlignment="1">
      <alignment horizontal="left" vertical="center"/>
    </xf>
    <xf numFmtId="0" fontId="91" fillId="0" borderId="32" xfId="5" applyFont="1" applyBorder="1" applyAlignment="1">
      <alignment horizontal="left" vertical="center"/>
    </xf>
    <xf numFmtId="0" fontId="1" fillId="0" borderId="0" xfId="10"/>
    <xf numFmtId="0" fontId="1" fillId="0" borderId="0" xfId="10" applyAlignment="1">
      <alignment horizontal="left"/>
    </xf>
    <xf numFmtId="0" fontId="97" fillId="0" borderId="11" xfId="11" applyBorder="1" applyAlignment="1">
      <alignment horizontal="center" vertical="center"/>
    </xf>
    <xf numFmtId="0" fontId="1" fillId="0" borderId="11" xfId="10" applyBorder="1" applyAlignment="1">
      <alignment horizontal="center" vertical="center"/>
    </xf>
    <xf numFmtId="0" fontId="98" fillId="0" borderId="11" xfId="11" applyFont="1" applyBorder="1" applyAlignment="1">
      <alignment horizontal="center" vertical="center"/>
    </xf>
    <xf numFmtId="0" fontId="99" fillId="2" borderId="11" xfId="10" applyFont="1" applyFill="1" applyBorder="1" applyAlignment="1">
      <alignment horizontal="center" vertical="center"/>
    </xf>
    <xf numFmtId="0" fontId="1" fillId="0" borderId="0" xfId="10" applyAlignment="1">
      <alignment horizontal="center" vertical="center"/>
    </xf>
    <xf numFmtId="0" fontId="1" fillId="0" borderId="11" xfId="10" applyBorder="1"/>
    <xf numFmtId="0" fontId="1" fillId="0" borderId="0" xfId="10" applyAlignment="1">
      <alignment horizontal="center"/>
    </xf>
    <xf numFmtId="0" fontId="99" fillId="2" borderId="0" xfId="10" applyFont="1" applyFill="1" applyAlignment="1">
      <alignment horizontal="center" vertical="center"/>
    </xf>
    <xf numFmtId="0" fontId="97" fillId="0" borderId="11" xfId="11" applyBorder="1" applyAlignment="1">
      <alignment horizontal="left" vertical="center"/>
    </xf>
    <xf numFmtId="0" fontId="1" fillId="0" borderId="11" xfId="10" applyBorder="1" applyAlignment="1">
      <alignment horizontal="left" vertical="center"/>
    </xf>
    <xf numFmtId="0" fontId="99" fillId="0" borderId="11" xfId="10" applyFont="1" applyBorder="1" applyAlignment="1">
      <alignment horizontal="left" vertical="center"/>
    </xf>
    <xf numFmtId="0" fontId="1" fillId="0" borderId="11" xfId="10" applyBorder="1" applyAlignment="1">
      <alignment horizontal="left"/>
    </xf>
    <xf numFmtId="0" fontId="97" fillId="0" borderId="11" xfId="11" applyBorder="1" applyAlignment="1">
      <alignment horizontal="left"/>
    </xf>
    <xf numFmtId="0" fontId="99" fillId="2" borderId="11" xfId="10" applyFont="1" applyFill="1" applyBorder="1" applyAlignment="1">
      <alignment horizontal="left" vertical="center"/>
    </xf>
    <xf numFmtId="0" fontId="98" fillId="0" borderId="11" xfId="11" applyFont="1" applyBorder="1" applyAlignment="1">
      <alignment horizontal="left" vertical="center"/>
    </xf>
    <xf numFmtId="0" fontId="1" fillId="7" borderId="11" xfId="10" applyFill="1" applyBorder="1" applyAlignment="1">
      <alignment horizontal="center" vertical="center"/>
    </xf>
    <xf numFmtId="0" fontId="101" fillId="0" borderId="11" xfId="10" applyFont="1" applyBorder="1"/>
    <xf numFmtId="0" fontId="1" fillId="0" borderId="11" xfId="10" applyBorder="1" applyAlignment="1">
      <alignment horizontal="center"/>
    </xf>
    <xf numFmtId="0" fontId="102" fillId="2" borderId="11" xfId="10" applyFont="1" applyFill="1" applyBorder="1" applyAlignment="1">
      <alignment horizontal="left" vertical="center"/>
    </xf>
    <xf numFmtId="0" fontId="104" fillId="0" borderId="11" xfId="10" applyFont="1" applyBorder="1" applyAlignment="1">
      <alignment horizontal="left"/>
    </xf>
    <xf numFmtId="0" fontId="104" fillId="0" borderId="11" xfId="10" applyFont="1" applyBorder="1" applyAlignment="1">
      <alignment horizontal="center"/>
    </xf>
    <xf numFmtId="0" fontId="104" fillId="0" borderId="11" xfId="10" applyFont="1" applyBorder="1" applyAlignment="1">
      <alignment horizontal="left" vertical="center"/>
    </xf>
    <xf numFmtId="0" fontId="103" fillId="2" borderId="11" xfId="10" applyFont="1" applyFill="1" applyBorder="1" applyAlignment="1">
      <alignment horizontal="left" vertical="center"/>
    </xf>
    <xf numFmtId="0" fontId="97" fillId="0" borderId="11" xfId="11" applyBorder="1"/>
    <xf numFmtId="0" fontId="100" fillId="0" borderId="11" xfId="10" applyFont="1" applyBorder="1" applyAlignment="1">
      <alignment horizontal="left" vertical="center"/>
    </xf>
    <xf numFmtId="0" fontId="47" fillId="0" borderId="11" xfId="10" applyFont="1" applyBorder="1"/>
    <xf numFmtId="0" fontId="103" fillId="0" borderId="11" xfId="10" applyFont="1" applyBorder="1" applyAlignment="1">
      <alignment horizontal="left" vertical="center"/>
    </xf>
    <xf numFmtId="0" fontId="47" fillId="0" borderId="11" xfId="10" applyFont="1" applyBorder="1" applyAlignment="1">
      <alignment horizontal="center" vertical="center"/>
    </xf>
    <xf numFmtId="0" fontId="47" fillId="0" borderId="11" xfId="10" applyFont="1" applyBorder="1" applyAlignment="1">
      <alignment horizontal="left" vertical="center"/>
    </xf>
    <xf numFmtId="0" fontId="105" fillId="0" borderId="0" xfId="2" applyFont="1" applyAlignment="1">
      <alignment horizontal="center" vertical="center"/>
    </xf>
    <xf numFmtId="0" fontId="68" fillId="0" borderId="0" xfId="2" applyFont="1" applyAlignment="1">
      <alignment horizontal="center" vertical="center" wrapText="1"/>
    </xf>
    <xf numFmtId="178" fontId="68" fillId="0" borderId="0" xfId="2" applyNumberFormat="1" applyFont="1" applyAlignment="1">
      <alignment vertical="center" wrapText="1"/>
    </xf>
    <xf numFmtId="0" fontId="67" fillId="0" borderId="0" xfId="2" applyFont="1" applyAlignment="1">
      <alignment vertical="center" wrapText="1"/>
    </xf>
    <xf numFmtId="0" fontId="68" fillId="0" borderId="0" xfId="2" applyFont="1" applyAlignment="1">
      <alignment vertical="center" wrapText="1"/>
    </xf>
    <xf numFmtId="178" fontId="67" fillId="0" borderId="0" xfId="2" applyNumberFormat="1" applyFont="1" applyAlignment="1">
      <alignment vertical="center" wrapText="1"/>
    </xf>
    <xf numFmtId="0" fontId="65" fillId="0" borderId="0" xfId="2" applyAlignment="1">
      <alignment vertical="center" wrapText="1"/>
    </xf>
    <xf numFmtId="0" fontId="67" fillId="5" borderId="0" xfId="2" applyFont="1" applyFill="1">
      <alignment vertical="center"/>
    </xf>
    <xf numFmtId="0" fontId="67" fillId="5" borderId="0" xfId="2" applyFont="1" applyFill="1" applyAlignment="1">
      <alignment vertical="center" wrapText="1"/>
    </xf>
  </cellXfs>
  <cellStyles count="12">
    <cellStyle name="ハイパーリンク 2" xfId="8" xr:uid="{24C52D66-6630-4D40-AE2B-C8E4F631B7BD}"/>
    <cellStyle name="ハイパーリンク 3" xfId="7" xr:uid="{2E072016-CB0E-47FD-B373-A40B0E41A773}"/>
    <cellStyle name="標準 3 2" xfId="5" xr:uid="{03B176C6-4FDA-4763-AE6F-19CAC8F01C2A}"/>
    <cellStyle name="標準 9" xfId="4" xr:uid="{93098264-EB3D-4520-8A52-50C45AD840B9}"/>
    <cellStyle name="常规" xfId="0" builtinId="0"/>
    <cellStyle name="常规 2" xfId="2" xr:uid="{B4D44F78-A479-44D3-AB60-6DBB008679A1}"/>
    <cellStyle name="常规 2 3" xfId="6" xr:uid="{2448568B-A1FE-4412-8B58-3A8F4EED83D4}"/>
    <cellStyle name="常规 3" xfId="3" xr:uid="{1B9574BF-7467-4BEF-98FB-F3305DAF01E7}"/>
    <cellStyle name="常规 4" xfId="10" xr:uid="{1EE607FA-33FB-46A3-B618-F88219C9AB00}"/>
    <cellStyle name="超链接" xfId="1" builtinId="8"/>
    <cellStyle name="超链接 2" xfId="9" xr:uid="{6E6CA8D1-2303-432D-8015-CC0F337FDB6F}"/>
    <cellStyle name="超链接 3" xfId="11" xr:uid="{58AD3E8A-0B4A-4D52-B0D2-328108FEF4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Hub/SunShubin/Promotion_Tools/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2.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4.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5.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6.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23737-196F-451B-9C8E-0B25509EECA1}">
  <dimension ref="A1:I26"/>
  <sheetViews>
    <sheetView workbookViewId="0">
      <selection activeCell="H23" sqref="H23"/>
    </sheetView>
  </sheetViews>
  <sheetFormatPr defaultRowHeight="18.75"/>
  <cols>
    <col min="1" max="1" width="13.375" style="335" customWidth="1"/>
    <col min="2" max="3" width="9" style="335"/>
    <col min="4" max="4" width="17.125" style="336" customWidth="1"/>
    <col min="5" max="5" width="21.375" style="335" customWidth="1"/>
    <col min="6" max="6" width="19" style="336" customWidth="1"/>
    <col min="7" max="7" width="24.625" style="335" customWidth="1"/>
    <col min="8" max="8" width="28" style="335" customWidth="1"/>
    <col min="9" max="9" width="29.625" style="335" customWidth="1"/>
    <col min="10" max="16384" width="9" style="335"/>
  </cols>
  <sheetData>
    <row r="1" spans="1:9">
      <c r="A1" s="335" t="s">
        <v>9289</v>
      </c>
      <c r="B1" s="338" t="s">
        <v>9288</v>
      </c>
      <c r="C1" s="338" t="s">
        <v>9287</v>
      </c>
      <c r="D1" s="365" t="s">
        <v>9286</v>
      </c>
      <c r="E1" s="364" t="s">
        <v>9285</v>
      </c>
      <c r="F1" s="365" t="s">
        <v>9284</v>
      </c>
      <c r="G1" s="364" t="s">
        <v>9283</v>
      </c>
      <c r="H1" s="364" t="s">
        <v>9282</v>
      </c>
      <c r="I1" s="364" t="s">
        <v>9281</v>
      </c>
    </row>
    <row r="2" spans="1:9">
      <c r="A2" s="335" t="s">
        <v>9205</v>
      </c>
      <c r="B2" s="346" t="s">
        <v>9280</v>
      </c>
      <c r="C2" s="342" t="s">
        <v>9203</v>
      </c>
      <c r="D2" s="346" t="s">
        <v>9279</v>
      </c>
      <c r="E2" s="338" t="s">
        <v>9278</v>
      </c>
      <c r="F2" s="346"/>
      <c r="G2" s="337"/>
      <c r="H2" s="345" t="s">
        <v>9277</v>
      </c>
      <c r="I2" s="338"/>
    </row>
    <row r="3" spans="1:9">
      <c r="A3" s="335" t="s">
        <v>9205</v>
      </c>
      <c r="B3" s="363" t="s">
        <v>9276</v>
      </c>
      <c r="C3" s="342" t="s">
        <v>9203</v>
      </c>
      <c r="D3" s="346" t="s">
        <v>9275</v>
      </c>
      <c r="E3" s="338" t="s">
        <v>9274</v>
      </c>
      <c r="F3" s="346"/>
      <c r="G3" s="352" t="s">
        <v>9274</v>
      </c>
      <c r="H3" s="348"/>
      <c r="I3" s="342"/>
    </row>
    <row r="4" spans="1:9">
      <c r="A4" s="335" t="s">
        <v>9205</v>
      </c>
      <c r="B4" s="347" t="s">
        <v>9273</v>
      </c>
      <c r="C4" s="342" t="s">
        <v>9203</v>
      </c>
      <c r="D4" s="346" t="s">
        <v>9272</v>
      </c>
      <c r="E4" s="338" t="s">
        <v>9271</v>
      </c>
      <c r="F4" s="346">
        <v>3980811</v>
      </c>
      <c r="G4" s="337" t="s">
        <v>9270</v>
      </c>
      <c r="H4" s="345" t="s">
        <v>9269</v>
      </c>
      <c r="I4" s="337" t="s">
        <v>9269</v>
      </c>
    </row>
    <row r="5" spans="1:9">
      <c r="A5" s="335" t="s">
        <v>9205</v>
      </c>
      <c r="B5" s="363" t="s">
        <v>9268</v>
      </c>
      <c r="C5" s="342" t="s">
        <v>9203</v>
      </c>
      <c r="D5" s="346" t="s">
        <v>9267</v>
      </c>
      <c r="E5" s="338" t="s">
        <v>9266</v>
      </c>
      <c r="F5" s="346"/>
      <c r="G5" s="352" t="s">
        <v>9265</v>
      </c>
      <c r="H5" s="345" t="s">
        <v>9264</v>
      </c>
      <c r="I5" s="338"/>
    </row>
    <row r="6" spans="1:9">
      <c r="A6" s="335" t="s">
        <v>9205</v>
      </c>
      <c r="B6" s="347" t="s">
        <v>9263</v>
      </c>
      <c r="C6" s="342" t="s">
        <v>9203</v>
      </c>
      <c r="D6" s="348" t="s">
        <v>9262</v>
      </c>
      <c r="E6" s="338" t="s">
        <v>9261</v>
      </c>
      <c r="F6" s="346">
        <v>648346018</v>
      </c>
      <c r="G6" s="338" t="s">
        <v>9260</v>
      </c>
      <c r="H6" s="345" t="s">
        <v>9259</v>
      </c>
      <c r="I6" s="338"/>
    </row>
    <row r="7" spans="1:9">
      <c r="A7" s="335" t="s">
        <v>9205</v>
      </c>
      <c r="B7" s="347" t="s">
        <v>9258</v>
      </c>
      <c r="C7" s="362"/>
      <c r="D7" s="346" t="s">
        <v>9257</v>
      </c>
      <c r="E7" s="354" t="s">
        <v>9256</v>
      </c>
      <c r="F7" s="348"/>
      <c r="G7" s="338"/>
      <c r="H7" s="346"/>
      <c r="I7" s="338"/>
    </row>
    <row r="8" spans="1:9">
      <c r="A8" s="335" t="s">
        <v>9205</v>
      </c>
      <c r="B8" s="361" t="s">
        <v>9255</v>
      </c>
      <c r="C8" s="342" t="s">
        <v>9203</v>
      </c>
      <c r="D8" s="346" t="s">
        <v>9254</v>
      </c>
      <c r="E8" s="354" t="s">
        <v>9253</v>
      </c>
      <c r="F8" s="348">
        <v>2667115923</v>
      </c>
      <c r="G8" s="338" t="s">
        <v>9252</v>
      </c>
      <c r="H8" s="349" t="s">
        <v>9251</v>
      </c>
      <c r="I8" s="360" t="s">
        <v>9251</v>
      </c>
    </row>
    <row r="9" spans="1:9">
      <c r="A9" s="335" t="s">
        <v>9205</v>
      </c>
      <c r="B9" s="359" t="s">
        <v>9250</v>
      </c>
      <c r="C9" s="342" t="s">
        <v>9203</v>
      </c>
      <c r="D9" s="358" t="s">
        <v>9249</v>
      </c>
      <c r="E9" s="357" t="s">
        <v>9248</v>
      </c>
      <c r="F9" s="356"/>
      <c r="G9" s="337" t="s">
        <v>9247</v>
      </c>
      <c r="H9" s="348" t="s">
        <v>9246</v>
      </c>
      <c r="I9" s="342"/>
    </row>
    <row r="10" spans="1:9">
      <c r="A10" s="335" t="s">
        <v>9205</v>
      </c>
      <c r="B10" s="355" t="s">
        <v>9245</v>
      </c>
      <c r="C10" s="342" t="s">
        <v>9244</v>
      </c>
      <c r="D10" s="348" t="s">
        <v>9243</v>
      </c>
      <c r="E10" s="354" t="s">
        <v>9242</v>
      </c>
      <c r="F10" s="348"/>
      <c r="G10" s="337"/>
      <c r="H10" s="349" t="s">
        <v>9241</v>
      </c>
      <c r="I10" s="353"/>
    </row>
    <row r="11" spans="1:9">
      <c r="A11" s="335" t="s">
        <v>9205</v>
      </c>
      <c r="B11" s="350" t="s">
        <v>9240</v>
      </c>
      <c r="C11" s="342" t="s">
        <v>9203</v>
      </c>
      <c r="D11" s="346" t="s">
        <v>9239</v>
      </c>
      <c r="E11" s="338" t="s">
        <v>9238</v>
      </c>
      <c r="F11" s="346"/>
      <c r="G11" s="352"/>
      <c r="H11" s="346"/>
      <c r="I11" s="338"/>
    </row>
    <row r="12" spans="1:9">
      <c r="A12" s="335" t="s">
        <v>9205</v>
      </c>
      <c r="B12" s="350" t="s">
        <v>9237</v>
      </c>
      <c r="C12" s="342" t="s">
        <v>9203</v>
      </c>
      <c r="D12" s="351" t="s">
        <v>9236</v>
      </c>
      <c r="E12" s="338" t="s">
        <v>9235</v>
      </c>
      <c r="F12" s="346"/>
      <c r="G12" s="337" t="s">
        <v>9234</v>
      </c>
      <c r="H12" s="346"/>
      <c r="I12" s="338"/>
    </row>
    <row r="13" spans="1:9">
      <c r="A13" s="335" t="s">
        <v>9205</v>
      </c>
      <c r="B13" s="350" t="s">
        <v>9233</v>
      </c>
      <c r="C13" s="342" t="s">
        <v>9203</v>
      </c>
      <c r="D13" s="351" t="s">
        <v>9232</v>
      </c>
      <c r="E13" s="338"/>
      <c r="F13" s="346"/>
      <c r="G13" s="337" t="s">
        <v>9231</v>
      </c>
      <c r="H13" s="348"/>
      <c r="I13" s="342"/>
    </row>
    <row r="14" spans="1:9">
      <c r="A14" s="335" t="s">
        <v>9205</v>
      </c>
      <c r="B14" s="350" t="s">
        <v>9201</v>
      </c>
      <c r="C14" s="342" t="s">
        <v>9203</v>
      </c>
      <c r="D14" s="351" t="s">
        <v>9230</v>
      </c>
      <c r="E14" s="338" t="s">
        <v>9229</v>
      </c>
      <c r="F14" s="346"/>
      <c r="G14" s="337" t="s">
        <v>9228</v>
      </c>
      <c r="H14" s="346" t="s">
        <v>9227</v>
      </c>
      <c r="I14" s="338"/>
    </row>
    <row r="15" spans="1:9">
      <c r="A15" s="335" t="s">
        <v>9205</v>
      </c>
      <c r="B15" s="350" t="s">
        <v>9226</v>
      </c>
      <c r="C15" s="342" t="s">
        <v>9203</v>
      </c>
      <c r="D15" s="348" t="s">
        <v>9225</v>
      </c>
      <c r="E15" s="342"/>
      <c r="F15" s="348">
        <v>408187020</v>
      </c>
      <c r="G15" s="337" t="s">
        <v>9224</v>
      </c>
      <c r="H15" s="348" t="s">
        <v>9223</v>
      </c>
      <c r="I15" s="342"/>
    </row>
    <row r="16" spans="1:9">
      <c r="A16" s="335" t="s">
        <v>9205</v>
      </c>
      <c r="B16" s="350" t="s">
        <v>9222</v>
      </c>
      <c r="C16" s="342" t="s">
        <v>9203</v>
      </c>
      <c r="D16" s="348" t="s">
        <v>9221</v>
      </c>
      <c r="E16" s="338" t="s">
        <v>9220</v>
      </c>
      <c r="F16" s="348"/>
      <c r="G16" s="337" t="s">
        <v>9219</v>
      </c>
      <c r="H16" s="349" t="s">
        <v>9218</v>
      </c>
      <c r="I16" s="342"/>
    </row>
    <row r="17" spans="1:9">
      <c r="A17" s="335" t="s">
        <v>9205</v>
      </c>
      <c r="B17" s="347" t="s">
        <v>9217</v>
      </c>
      <c r="C17" s="342" t="s">
        <v>9203</v>
      </c>
      <c r="D17" s="348" t="s">
        <v>9216</v>
      </c>
      <c r="E17" s="338" t="s">
        <v>9215</v>
      </c>
      <c r="F17" s="348"/>
      <c r="G17" s="338" t="s">
        <v>9214</v>
      </c>
      <c r="H17" s="348"/>
      <c r="I17" s="342"/>
    </row>
    <row r="18" spans="1:9">
      <c r="A18" s="335" t="s">
        <v>9205</v>
      </c>
      <c r="B18" s="347" t="s">
        <v>9213</v>
      </c>
      <c r="C18" s="342" t="s">
        <v>9203</v>
      </c>
      <c r="D18" s="346" t="s">
        <v>9212</v>
      </c>
      <c r="E18" s="338"/>
      <c r="F18" s="346"/>
      <c r="G18" s="337" t="s">
        <v>9211</v>
      </c>
      <c r="H18" s="345" t="s">
        <v>9210</v>
      </c>
      <c r="I18" s="338"/>
    </row>
    <row r="19" spans="1:9">
      <c r="A19" s="335" t="s">
        <v>9205</v>
      </c>
      <c r="B19" s="347" t="s">
        <v>9209</v>
      </c>
      <c r="C19" s="342" t="s">
        <v>9203</v>
      </c>
      <c r="D19" s="346" t="s">
        <v>9208</v>
      </c>
      <c r="E19" s="338" t="s">
        <v>9207</v>
      </c>
      <c r="F19" s="346"/>
      <c r="G19" s="337" t="s">
        <v>9206</v>
      </c>
      <c r="H19" s="345"/>
      <c r="I19" s="338"/>
    </row>
    <row r="20" spans="1:9">
      <c r="A20" s="335" t="s">
        <v>9205</v>
      </c>
      <c r="B20" s="347" t="s">
        <v>9204</v>
      </c>
      <c r="C20" s="342" t="s">
        <v>9203</v>
      </c>
      <c r="D20" s="346"/>
      <c r="E20" s="338">
        <v>18042611987</v>
      </c>
      <c r="F20" s="346">
        <v>517687990</v>
      </c>
      <c r="G20" s="337" t="s">
        <v>9202</v>
      </c>
      <c r="H20" s="345"/>
      <c r="I20" s="338"/>
    </row>
    <row r="21" spans="1:9">
      <c r="B21" s="340" t="s">
        <v>9201</v>
      </c>
      <c r="C21" s="344"/>
      <c r="D21" s="343"/>
      <c r="F21" s="335"/>
      <c r="G21" s="341"/>
      <c r="H21" s="336"/>
    </row>
    <row r="22" spans="1:9">
      <c r="B22" s="342" t="s">
        <v>9200</v>
      </c>
      <c r="C22" s="342"/>
      <c r="D22" s="338" t="s">
        <v>9199</v>
      </c>
      <c r="E22" s="342" t="s">
        <v>9198</v>
      </c>
      <c r="F22" s="335"/>
      <c r="G22" s="341"/>
      <c r="H22" s="336"/>
    </row>
    <row r="23" spans="1:9">
      <c r="B23" s="340" t="s">
        <v>9197</v>
      </c>
      <c r="C23" s="340"/>
      <c r="D23" s="339" t="s">
        <v>9196</v>
      </c>
      <c r="E23" s="338"/>
      <c r="F23" s="338"/>
      <c r="G23" s="337" t="s">
        <v>9195</v>
      </c>
      <c r="H23" s="336"/>
    </row>
    <row r="24" spans="1:9">
      <c r="H24" s="336"/>
    </row>
    <row r="25" spans="1:9">
      <c r="H25" s="336"/>
    </row>
    <row r="26" spans="1:9">
      <c r="H26" s="336"/>
    </row>
  </sheetData>
  <phoneticPr fontId="66"/>
  <hyperlinks>
    <hyperlink ref="G9" r:id="rId1" display="chuxiong.yuan@gmail.com" xr:uid="{E877CC52-45F6-4864-B6EC-76B7D1569447}"/>
    <hyperlink ref="H5" r:id="rId2" xr:uid="{C339466C-3837-4CB0-A155-2770CE422217}"/>
    <hyperlink ref="H2" r:id="rId3" xr:uid="{0949D820-DC7F-4FC8-A81D-9E9BC2C57978}"/>
    <hyperlink ref="G4" r:id="rId4" display="tangsz86@gmail.com" xr:uid="{36926760-E8E9-4036-B620-29B5AE5BE979}"/>
    <hyperlink ref="H4" r:id="rId5" xr:uid="{34A3C39A-6C1E-4873-8BB7-FB0009DBC545}"/>
    <hyperlink ref="I4" r:id="rId6" xr:uid="{003C103E-33D2-4FD0-97CC-DFDEE8E9E070}"/>
    <hyperlink ref="H8" r:id="rId7" xr:uid="{4A3B7ED2-F7A0-4E7E-B78F-3E1D9314F147}"/>
    <hyperlink ref="I8" r:id="rId8" xr:uid="{8C2B20EC-6F0E-451E-B0B9-0C1F2775FB46}"/>
    <hyperlink ref="H10" r:id="rId9" xr:uid="{ECE7F3CF-741E-439C-987F-8FAB51DD5907}"/>
    <hyperlink ref="H6" r:id="rId10" xr:uid="{E8A833BA-A5E3-4901-ABC9-49AF5865F8F6}"/>
    <hyperlink ref="G14" r:id="rId11" xr:uid="{0A398A49-375D-4080-997A-34BC7C614BAE}"/>
    <hyperlink ref="G15" r:id="rId12" xr:uid="{0320CA3D-B6B5-4E18-A3B2-F2C30972A8F8}"/>
    <hyperlink ref="H16" r:id="rId13" xr:uid="{4FB6261D-7DF9-4E6F-ADD5-DA0A57C9E0A2}"/>
    <hyperlink ref="H18" r:id="rId14" xr:uid="{117E3844-692F-4E04-978A-4A019998EE48}"/>
    <hyperlink ref="G19" r:id="rId15" xr:uid="{EBC36C8F-4330-4F4F-B117-9B31527B339C}"/>
    <hyperlink ref="G20" r:id="rId16" xr:uid="{69F97E4A-4D77-4810-B36D-F4481C8185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290-D2ED-412C-AD37-F11CD2AAD5B2}">
  <dimension ref="A1:F114"/>
  <sheetViews>
    <sheetView workbookViewId="0">
      <pane ySplit="1" topLeftCell="A101" activePane="bottomLeft" state="frozen"/>
      <selection sqref="A1:E1"/>
      <selection pane="bottomLeft" activeCell="A124" sqref="A124"/>
    </sheetView>
  </sheetViews>
  <sheetFormatPr defaultRowHeight="18.75"/>
  <cols>
    <col min="1" max="1" width="35.25" style="240" customWidth="1"/>
    <col min="2" max="2" width="16.5" style="240" customWidth="1"/>
    <col min="3" max="3" width="14" style="240" customWidth="1"/>
    <col min="4" max="4" width="35.5" style="240" customWidth="1"/>
    <col min="5" max="16384" width="9" style="240"/>
  </cols>
  <sheetData>
    <row r="1" spans="1:6">
      <c r="A1" s="240" t="s">
        <v>9194</v>
      </c>
      <c r="B1" s="240" t="s">
        <v>9193</v>
      </c>
      <c r="C1" s="240" t="s">
        <v>9192</v>
      </c>
      <c r="D1" s="240" t="s">
        <v>9191</v>
      </c>
      <c r="F1" s="240" t="s">
        <v>8911</v>
      </c>
    </row>
    <row r="2" spans="1:6">
      <c r="A2" s="240" t="s">
        <v>9190</v>
      </c>
      <c r="B2" s="240" t="s">
        <v>9189</v>
      </c>
      <c r="D2" s="240" t="s">
        <v>9188</v>
      </c>
      <c r="F2" s="240" t="s">
        <v>5197</v>
      </c>
    </row>
    <row r="3" spans="1:6">
      <c r="A3" s="240" t="s">
        <v>9187</v>
      </c>
      <c r="B3" s="240" t="s">
        <v>9186</v>
      </c>
      <c r="C3" s="240" t="s">
        <v>6165</v>
      </c>
      <c r="D3" s="240" t="s">
        <v>9185</v>
      </c>
      <c r="F3" s="240" t="s">
        <v>5197</v>
      </c>
    </row>
    <row r="4" spans="1:6">
      <c r="A4" s="240" t="s">
        <v>9184</v>
      </c>
      <c r="B4" s="240" t="s">
        <v>5857</v>
      </c>
      <c r="D4" s="240" t="s">
        <v>9183</v>
      </c>
      <c r="F4" s="240" t="s">
        <v>5197</v>
      </c>
    </row>
    <row r="5" spans="1:6">
      <c r="A5" s="240" t="s">
        <v>9182</v>
      </c>
      <c r="B5" s="240" t="s">
        <v>9181</v>
      </c>
      <c r="C5" s="240" t="s">
        <v>9180</v>
      </c>
      <c r="D5" s="240" t="s">
        <v>9179</v>
      </c>
      <c r="F5" s="240" t="s">
        <v>5197</v>
      </c>
    </row>
    <row r="6" spans="1:6">
      <c r="A6" s="240" t="s">
        <v>9178</v>
      </c>
      <c r="B6" s="240" t="s">
        <v>9177</v>
      </c>
      <c r="D6" s="240" t="s">
        <v>9176</v>
      </c>
      <c r="F6" s="240" t="s">
        <v>5197</v>
      </c>
    </row>
    <row r="7" spans="1:6">
      <c r="A7" s="240" t="s">
        <v>9175</v>
      </c>
      <c r="B7" s="240" t="s">
        <v>9174</v>
      </c>
      <c r="D7" s="240" t="s">
        <v>9173</v>
      </c>
      <c r="F7" s="240" t="s">
        <v>5197</v>
      </c>
    </row>
    <row r="8" spans="1:6">
      <c r="A8" s="240" t="s">
        <v>9172</v>
      </c>
      <c r="B8" s="240" t="s">
        <v>9171</v>
      </c>
      <c r="D8" s="240" t="s">
        <v>9170</v>
      </c>
      <c r="F8" s="240" t="s">
        <v>5197</v>
      </c>
    </row>
    <row r="9" spans="1:6">
      <c r="A9" s="240" t="s">
        <v>9169</v>
      </c>
      <c r="B9" s="240" t="s">
        <v>9168</v>
      </c>
      <c r="D9" s="240" t="s">
        <v>9167</v>
      </c>
      <c r="F9" s="240" t="s">
        <v>5197</v>
      </c>
    </row>
    <row r="10" spans="1:6">
      <c r="A10" s="240" t="s">
        <v>9166</v>
      </c>
      <c r="B10" s="240" t="s">
        <v>5857</v>
      </c>
      <c r="D10" s="240" t="s">
        <v>9165</v>
      </c>
      <c r="F10" s="240" t="s">
        <v>5197</v>
      </c>
    </row>
    <row r="11" spans="1:6">
      <c r="A11" s="240" t="s">
        <v>9164</v>
      </c>
      <c r="B11" s="240" t="s">
        <v>9163</v>
      </c>
      <c r="C11" s="240" t="s">
        <v>6165</v>
      </c>
      <c r="D11" s="240" t="s">
        <v>9162</v>
      </c>
      <c r="F11" s="240" t="s">
        <v>5197</v>
      </c>
    </row>
    <row r="12" spans="1:6">
      <c r="A12" s="240" t="s">
        <v>9159</v>
      </c>
      <c r="B12" s="240" t="s">
        <v>9161</v>
      </c>
      <c r="C12" s="240" t="s">
        <v>7144</v>
      </c>
      <c r="D12" s="240" t="s">
        <v>9160</v>
      </c>
      <c r="F12" s="240" t="s">
        <v>5197</v>
      </c>
    </row>
    <row r="13" spans="1:6">
      <c r="A13" s="240" t="s">
        <v>9159</v>
      </c>
      <c r="B13" s="240" t="s">
        <v>9158</v>
      </c>
      <c r="D13" s="240" t="s">
        <v>9157</v>
      </c>
      <c r="F13" s="240" t="s">
        <v>5197</v>
      </c>
    </row>
    <row r="14" spans="1:6">
      <c r="A14" s="240" t="s">
        <v>9155</v>
      </c>
      <c r="B14" s="240" t="s">
        <v>5857</v>
      </c>
      <c r="D14" s="240" t="s">
        <v>9156</v>
      </c>
      <c r="F14" s="240" t="s">
        <v>5197</v>
      </c>
    </row>
    <row r="15" spans="1:6">
      <c r="A15" s="240" t="s">
        <v>9155</v>
      </c>
      <c r="B15" s="240" t="s">
        <v>9154</v>
      </c>
      <c r="C15" s="240" t="s">
        <v>9153</v>
      </c>
      <c r="D15" s="240" t="s">
        <v>9152</v>
      </c>
      <c r="F15" s="240" t="s">
        <v>5197</v>
      </c>
    </row>
    <row r="16" spans="1:6">
      <c r="A16" s="240" t="s">
        <v>9151</v>
      </c>
      <c r="B16" s="240" t="s">
        <v>9150</v>
      </c>
      <c r="C16" s="240" t="s">
        <v>9149</v>
      </c>
      <c r="D16" s="240" t="s">
        <v>9148</v>
      </c>
      <c r="F16" s="240" t="s">
        <v>5197</v>
      </c>
    </row>
    <row r="17" spans="1:6">
      <c r="A17" s="240" t="s">
        <v>9147</v>
      </c>
      <c r="B17" s="240" t="s">
        <v>5857</v>
      </c>
      <c r="D17" s="240" t="s">
        <v>9146</v>
      </c>
      <c r="F17" s="240" t="s">
        <v>5197</v>
      </c>
    </row>
    <row r="18" spans="1:6">
      <c r="A18" s="240" t="s">
        <v>9142</v>
      </c>
      <c r="B18" s="240" t="s">
        <v>5857</v>
      </c>
      <c r="D18" s="240" t="s">
        <v>9145</v>
      </c>
      <c r="F18" s="240" t="s">
        <v>5197</v>
      </c>
    </row>
    <row r="19" spans="1:6">
      <c r="A19" s="240" t="s">
        <v>9142</v>
      </c>
      <c r="B19" s="240" t="s">
        <v>9144</v>
      </c>
      <c r="D19" s="240" t="s">
        <v>9143</v>
      </c>
      <c r="F19" s="240" t="s">
        <v>5197</v>
      </c>
    </row>
    <row r="20" spans="1:6">
      <c r="A20" s="240" t="s">
        <v>9142</v>
      </c>
      <c r="B20" s="240" t="s">
        <v>9141</v>
      </c>
      <c r="D20" s="240" t="s">
        <v>9140</v>
      </c>
      <c r="F20" s="240" t="s">
        <v>5197</v>
      </c>
    </row>
    <row r="21" spans="1:6">
      <c r="A21" s="240" t="s">
        <v>9137</v>
      </c>
      <c r="B21" s="240" t="s">
        <v>9139</v>
      </c>
      <c r="D21" s="240" t="s">
        <v>9138</v>
      </c>
      <c r="F21" s="240" t="s">
        <v>5197</v>
      </c>
    </row>
    <row r="22" spans="1:6">
      <c r="A22" s="240" t="s">
        <v>9137</v>
      </c>
      <c r="B22" s="240" t="s">
        <v>9136</v>
      </c>
      <c r="C22" s="240" t="s">
        <v>6165</v>
      </c>
      <c r="D22" s="240" t="s">
        <v>9135</v>
      </c>
      <c r="F22" s="240" t="s">
        <v>5197</v>
      </c>
    </row>
    <row r="23" spans="1:6">
      <c r="A23" s="240" t="s">
        <v>9132</v>
      </c>
      <c r="B23" s="240" t="s">
        <v>9134</v>
      </c>
      <c r="D23" s="240" t="s">
        <v>9133</v>
      </c>
      <c r="F23" s="240" t="s">
        <v>5197</v>
      </c>
    </row>
    <row r="24" spans="1:6">
      <c r="A24" s="240" t="s">
        <v>9132</v>
      </c>
      <c r="B24" s="240" t="s">
        <v>5857</v>
      </c>
      <c r="D24" s="240" t="s">
        <v>9131</v>
      </c>
      <c r="F24" s="240" t="s">
        <v>5197</v>
      </c>
    </row>
    <row r="25" spans="1:6">
      <c r="A25" s="240" t="s">
        <v>9130</v>
      </c>
      <c r="B25" s="240" t="s">
        <v>9129</v>
      </c>
      <c r="D25" s="240" t="s">
        <v>9128</v>
      </c>
      <c r="F25" s="240" t="s">
        <v>5197</v>
      </c>
    </row>
    <row r="26" spans="1:6">
      <c r="A26" s="240" t="s">
        <v>9127</v>
      </c>
      <c r="B26" s="240" t="s">
        <v>9126</v>
      </c>
      <c r="C26" s="240" t="s">
        <v>5199</v>
      </c>
      <c r="D26" s="240" t="s">
        <v>9125</v>
      </c>
      <c r="F26" s="240" t="s">
        <v>5197</v>
      </c>
    </row>
    <row r="27" spans="1:6">
      <c r="A27" s="240" t="s">
        <v>9121</v>
      </c>
      <c r="B27" s="240" t="s">
        <v>5857</v>
      </c>
      <c r="D27" s="240" t="s">
        <v>9124</v>
      </c>
      <c r="F27" s="240" t="s">
        <v>5197</v>
      </c>
    </row>
    <row r="28" spans="1:6">
      <c r="A28" s="240" t="s">
        <v>9121</v>
      </c>
      <c r="B28" s="240" t="s">
        <v>9123</v>
      </c>
      <c r="D28" s="240" t="s">
        <v>9122</v>
      </c>
      <c r="F28" s="240" t="s">
        <v>5197</v>
      </c>
    </row>
    <row r="29" spans="1:6">
      <c r="A29" s="240" t="s">
        <v>9121</v>
      </c>
      <c r="B29" s="240" t="s">
        <v>9120</v>
      </c>
      <c r="D29" s="240" t="s">
        <v>9119</v>
      </c>
      <c r="F29" s="240" t="s">
        <v>5197</v>
      </c>
    </row>
    <row r="30" spans="1:6">
      <c r="A30" s="240" t="s">
        <v>9118</v>
      </c>
      <c r="B30" s="240" t="s">
        <v>9117</v>
      </c>
      <c r="C30" s="240" t="s">
        <v>9116</v>
      </c>
      <c r="D30" s="240" t="s">
        <v>9115</v>
      </c>
      <c r="F30" s="240" t="s">
        <v>5197</v>
      </c>
    </row>
    <row r="31" spans="1:6">
      <c r="A31" s="240" t="s">
        <v>9114</v>
      </c>
      <c r="B31" s="240" t="s">
        <v>9113</v>
      </c>
      <c r="C31" s="240" t="s">
        <v>6058</v>
      </c>
      <c r="D31" s="240" t="s">
        <v>9112</v>
      </c>
      <c r="F31" s="240" t="s">
        <v>5197</v>
      </c>
    </row>
    <row r="32" spans="1:6">
      <c r="A32" s="240" t="s">
        <v>9111</v>
      </c>
      <c r="B32" s="240" t="s">
        <v>9110</v>
      </c>
      <c r="D32" s="240" t="s">
        <v>9109</v>
      </c>
      <c r="F32" s="240" t="s">
        <v>5197</v>
      </c>
    </row>
    <row r="33" spans="1:6">
      <c r="A33" s="240" t="s">
        <v>9106</v>
      </c>
      <c r="B33" s="240" t="s">
        <v>9108</v>
      </c>
      <c r="D33" s="240" t="s">
        <v>9107</v>
      </c>
      <c r="F33" s="240" t="s">
        <v>5197</v>
      </c>
    </row>
    <row r="34" spans="1:6">
      <c r="A34" s="240" t="s">
        <v>9106</v>
      </c>
      <c r="B34" s="240" t="s">
        <v>9105</v>
      </c>
      <c r="C34" s="240" t="s">
        <v>6058</v>
      </c>
      <c r="D34" s="240" t="s">
        <v>9104</v>
      </c>
      <c r="F34" s="240" t="s">
        <v>5197</v>
      </c>
    </row>
    <row r="35" spans="1:6">
      <c r="A35" s="240" t="s">
        <v>9101</v>
      </c>
      <c r="B35" s="240" t="s">
        <v>9103</v>
      </c>
      <c r="D35" s="240" t="s">
        <v>9102</v>
      </c>
      <c r="F35" s="240" t="s">
        <v>5197</v>
      </c>
    </row>
    <row r="36" spans="1:6">
      <c r="A36" s="240" t="s">
        <v>9101</v>
      </c>
      <c r="B36" s="240" t="s">
        <v>9100</v>
      </c>
      <c r="D36" s="240" t="s">
        <v>9099</v>
      </c>
      <c r="F36" s="240" t="s">
        <v>5197</v>
      </c>
    </row>
    <row r="37" spans="1:6">
      <c r="A37" s="240" t="s">
        <v>9098</v>
      </c>
      <c r="B37" s="240" t="s">
        <v>5857</v>
      </c>
      <c r="D37" s="240" t="s">
        <v>9097</v>
      </c>
      <c r="F37" s="240" t="s">
        <v>5197</v>
      </c>
    </row>
    <row r="38" spans="1:6">
      <c r="A38" s="240" t="s">
        <v>9096</v>
      </c>
      <c r="B38" s="240" t="s">
        <v>5857</v>
      </c>
      <c r="D38" s="240" t="s">
        <v>9095</v>
      </c>
      <c r="F38" s="240" t="s">
        <v>5197</v>
      </c>
    </row>
    <row r="39" spans="1:6">
      <c r="A39" s="240" t="s">
        <v>9094</v>
      </c>
      <c r="B39" s="240" t="s">
        <v>5857</v>
      </c>
      <c r="D39" s="240" t="s">
        <v>9093</v>
      </c>
      <c r="F39" s="240" t="s">
        <v>5197</v>
      </c>
    </row>
    <row r="40" spans="1:6">
      <c r="A40" s="240" t="s">
        <v>9092</v>
      </c>
      <c r="B40" s="240" t="s">
        <v>9091</v>
      </c>
      <c r="C40" s="240" t="s">
        <v>6202</v>
      </c>
      <c r="D40" s="240" t="s">
        <v>9090</v>
      </c>
      <c r="F40" s="240" t="s">
        <v>5197</v>
      </c>
    </row>
    <row r="41" spans="1:6">
      <c r="A41" s="240" t="s">
        <v>9089</v>
      </c>
      <c r="B41" s="240" t="s">
        <v>9088</v>
      </c>
      <c r="C41" s="240" t="s">
        <v>9087</v>
      </c>
      <c r="D41" s="240" t="s">
        <v>9086</v>
      </c>
      <c r="F41" s="240" t="s">
        <v>5197</v>
      </c>
    </row>
    <row r="42" spans="1:6">
      <c r="A42" s="240" t="s">
        <v>9085</v>
      </c>
      <c r="B42" s="240" t="s">
        <v>7942</v>
      </c>
      <c r="D42" s="240" t="s">
        <v>8445</v>
      </c>
      <c r="F42" s="240" t="s">
        <v>5197</v>
      </c>
    </row>
    <row r="43" spans="1:6">
      <c r="A43" s="240" t="s">
        <v>9084</v>
      </c>
      <c r="B43" s="240" t="s">
        <v>5857</v>
      </c>
      <c r="D43" s="240" t="s">
        <v>9083</v>
      </c>
      <c r="F43" s="240" t="s">
        <v>5197</v>
      </c>
    </row>
    <row r="44" spans="1:6">
      <c r="A44" s="240" t="s">
        <v>9082</v>
      </c>
      <c r="B44" s="240" t="s">
        <v>9081</v>
      </c>
      <c r="C44" s="240" t="s">
        <v>6058</v>
      </c>
      <c r="D44" s="240" t="s">
        <v>9080</v>
      </c>
      <c r="F44" s="240" t="s">
        <v>5197</v>
      </c>
    </row>
    <row r="45" spans="1:6">
      <c r="A45" s="240" t="s">
        <v>9079</v>
      </c>
      <c r="B45" s="240" t="s">
        <v>9078</v>
      </c>
      <c r="C45" s="240" t="s">
        <v>7115</v>
      </c>
      <c r="D45" s="240" t="s">
        <v>9077</v>
      </c>
      <c r="F45" s="240" t="s">
        <v>5197</v>
      </c>
    </row>
    <row r="46" spans="1:6">
      <c r="A46" s="240" t="s">
        <v>9076</v>
      </c>
      <c r="B46" s="240" t="s">
        <v>5857</v>
      </c>
      <c r="D46" s="240" t="s">
        <v>9075</v>
      </c>
      <c r="F46" s="240" t="s">
        <v>5197</v>
      </c>
    </row>
    <row r="47" spans="1:6">
      <c r="A47" s="240" t="s">
        <v>9074</v>
      </c>
      <c r="B47" s="240" t="s">
        <v>9073</v>
      </c>
      <c r="C47" s="240" t="s">
        <v>6202</v>
      </c>
      <c r="D47" s="240" t="s">
        <v>9072</v>
      </c>
      <c r="F47" s="240" t="s">
        <v>5197</v>
      </c>
    </row>
    <row r="48" spans="1:6">
      <c r="A48" s="240" t="s">
        <v>9071</v>
      </c>
      <c r="B48" s="240" t="s">
        <v>9070</v>
      </c>
      <c r="D48" s="240" t="s">
        <v>9069</v>
      </c>
      <c r="F48" s="240" t="s">
        <v>5197</v>
      </c>
    </row>
    <row r="49" spans="1:6">
      <c r="A49" s="240" t="s">
        <v>9066</v>
      </c>
      <c r="B49" s="240" t="s">
        <v>5857</v>
      </c>
      <c r="D49" s="240" t="s">
        <v>9068</v>
      </c>
      <c r="F49" s="240" t="s">
        <v>5197</v>
      </c>
    </row>
    <row r="50" spans="1:6">
      <c r="A50" s="240" t="s">
        <v>9066</v>
      </c>
      <c r="B50" s="240" t="s">
        <v>5857</v>
      </c>
      <c r="D50" s="240" t="s">
        <v>9067</v>
      </c>
      <c r="F50" s="240" t="s">
        <v>5197</v>
      </c>
    </row>
    <row r="51" spans="1:6">
      <c r="A51" s="240" t="s">
        <v>9066</v>
      </c>
      <c r="B51" s="240" t="s">
        <v>5857</v>
      </c>
      <c r="D51" s="240" t="s">
        <v>9065</v>
      </c>
      <c r="F51" s="240" t="s">
        <v>5197</v>
      </c>
    </row>
    <row r="52" spans="1:6">
      <c r="A52" s="240" t="s">
        <v>9064</v>
      </c>
      <c r="B52" s="240" t="s">
        <v>9063</v>
      </c>
      <c r="D52" s="240" t="s">
        <v>9062</v>
      </c>
      <c r="F52" s="240" t="s">
        <v>5197</v>
      </c>
    </row>
    <row r="53" spans="1:6">
      <c r="A53" s="240" t="s">
        <v>9061</v>
      </c>
      <c r="B53" s="240" t="s">
        <v>9060</v>
      </c>
      <c r="D53" s="240" t="s">
        <v>9059</v>
      </c>
      <c r="F53" s="240" t="s">
        <v>5197</v>
      </c>
    </row>
    <row r="54" spans="1:6">
      <c r="A54" s="240" t="s">
        <v>9050</v>
      </c>
      <c r="B54" s="240" t="s">
        <v>9058</v>
      </c>
      <c r="D54" s="240" t="s">
        <v>9057</v>
      </c>
      <c r="F54" s="240" t="s">
        <v>5197</v>
      </c>
    </row>
    <row r="55" spans="1:6">
      <c r="A55" s="240" t="s">
        <v>9050</v>
      </c>
      <c r="B55" s="240" t="s">
        <v>9056</v>
      </c>
      <c r="D55" s="240" t="s">
        <v>9055</v>
      </c>
      <c r="F55" s="240" t="s">
        <v>5197</v>
      </c>
    </row>
    <row r="56" spans="1:6">
      <c r="A56" s="240" t="s">
        <v>9050</v>
      </c>
      <c r="B56" s="240" t="s">
        <v>9054</v>
      </c>
      <c r="D56" s="240" t="s">
        <v>9053</v>
      </c>
      <c r="F56" s="240" t="s">
        <v>5197</v>
      </c>
    </row>
    <row r="57" spans="1:6">
      <c r="A57" s="240" t="s">
        <v>9050</v>
      </c>
      <c r="B57" s="240" t="s">
        <v>9052</v>
      </c>
      <c r="D57" s="240" t="s">
        <v>9051</v>
      </c>
      <c r="F57" s="240" t="s">
        <v>5197</v>
      </c>
    </row>
    <row r="58" spans="1:6">
      <c r="A58" s="240" t="s">
        <v>9050</v>
      </c>
      <c r="B58" s="240" t="s">
        <v>9049</v>
      </c>
      <c r="D58" s="240" t="s">
        <v>9048</v>
      </c>
      <c r="F58" s="240" t="s">
        <v>5197</v>
      </c>
    </row>
    <row r="59" spans="1:6">
      <c r="A59" s="240" t="s">
        <v>9044</v>
      </c>
      <c r="B59" s="240" t="s">
        <v>9047</v>
      </c>
      <c r="C59" s="240" t="s">
        <v>9046</v>
      </c>
      <c r="D59" s="240" t="s">
        <v>9045</v>
      </c>
      <c r="F59" s="240" t="s">
        <v>5197</v>
      </c>
    </row>
    <row r="60" spans="1:6">
      <c r="A60" s="240" t="s">
        <v>9044</v>
      </c>
      <c r="B60" s="240" t="s">
        <v>9043</v>
      </c>
      <c r="D60" s="240" t="s">
        <v>9042</v>
      </c>
      <c r="F60" s="240" t="s">
        <v>5197</v>
      </c>
    </row>
    <row r="61" spans="1:6">
      <c r="A61" s="240" t="s">
        <v>9041</v>
      </c>
      <c r="B61" s="240" t="s">
        <v>9040</v>
      </c>
      <c r="C61" s="240" t="s">
        <v>6058</v>
      </c>
      <c r="D61" s="240" t="s">
        <v>9039</v>
      </c>
      <c r="F61" s="240" t="s">
        <v>5197</v>
      </c>
    </row>
    <row r="62" spans="1:6">
      <c r="A62" s="240" t="s">
        <v>9038</v>
      </c>
      <c r="B62" s="240" t="s">
        <v>9037</v>
      </c>
      <c r="D62" s="240" t="s">
        <v>9036</v>
      </c>
      <c r="F62" s="240" t="s">
        <v>5197</v>
      </c>
    </row>
    <row r="63" spans="1:6">
      <c r="A63" s="240" t="s">
        <v>9035</v>
      </c>
      <c r="B63" s="240" t="s">
        <v>9034</v>
      </c>
      <c r="D63" s="240" t="s">
        <v>9033</v>
      </c>
      <c r="F63" s="240" t="s">
        <v>5197</v>
      </c>
    </row>
    <row r="64" spans="1:6">
      <c r="A64" s="240" t="s">
        <v>9032</v>
      </c>
      <c r="B64" s="240" t="s">
        <v>9031</v>
      </c>
      <c r="D64" s="240" t="s">
        <v>9030</v>
      </c>
      <c r="F64" s="240" t="s">
        <v>5197</v>
      </c>
    </row>
    <row r="65" spans="1:6">
      <c r="A65" s="240" t="s">
        <v>9015</v>
      </c>
      <c r="B65" s="240" t="s">
        <v>9029</v>
      </c>
      <c r="C65" s="240" t="s">
        <v>5322</v>
      </c>
      <c r="D65" s="240" t="s">
        <v>9028</v>
      </c>
      <c r="F65" s="240" t="s">
        <v>5197</v>
      </c>
    </row>
    <row r="66" spans="1:6">
      <c r="A66" s="240" t="s">
        <v>9015</v>
      </c>
      <c r="B66" s="240" t="s">
        <v>9027</v>
      </c>
      <c r="D66" s="240" t="s">
        <v>9026</v>
      </c>
      <c r="F66" s="240" t="s">
        <v>5197</v>
      </c>
    </row>
    <row r="67" spans="1:6">
      <c r="A67" s="240" t="s">
        <v>9015</v>
      </c>
      <c r="B67" s="240" t="s">
        <v>9025</v>
      </c>
      <c r="D67" s="240" t="s">
        <v>9024</v>
      </c>
      <c r="F67" s="240" t="s">
        <v>5197</v>
      </c>
    </row>
    <row r="68" spans="1:6">
      <c r="A68" s="240" t="s">
        <v>9015</v>
      </c>
      <c r="B68" s="240" t="s">
        <v>9023</v>
      </c>
      <c r="C68" s="240" t="s">
        <v>5322</v>
      </c>
      <c r="D68" s="240" t="s">
        <v>9022</v>
      </c>
      <c r="F68" s="240" t="s">
        <v>5197</v>
      </c>
    </row>
    <row r="69" spans="1:6">
      <c r="A69" s="240" t="s">
        <v>9015</v>
      </c>
      <c r="B69" s="240" t="s">
        <v>9021</v>
      </c>
      <c r="D69" s="240" t="s">
        <v>9020</v>
      </c>
      <c r="F69" s="240" t="s">
        <v>5197</v>
      </c>
    </row>
    <row r="70" spans="1:6">
      <c r="A70" s="240" t="s">
        <v>9015</v>
      </c>
      <c r="B70" s="240" t="s">
        <v>9019</v>
      </c>
      <c r="D70" s="240" t="s">
        <v>9018</v>
      </c>
      <c r="F70" s="240" t="s">
        <v>5197</v>
      </c>
    </row>
    <row r="71" spans="1:6">
      <c r="A71" s="240" t="s">
        <v>9015</v>
      </c>
      <c r="B71" s="240" t="s">
        <v>9017</v>
      </c>
      <c r="D71" s="240" t="s">
        <v>9016</v>
      </c>
      <c r="F71" s="240" t="s">
        <v>5197</v>
      </c>
    </row>
    <row r="72" spans="1:6" ht="19.5" thickBot="1">
      <c r="A72" s="240" t="s">
        <v>9015</v>
      </c>
      <c r="B72" s="240" t="s">
        <v>9014</v>
      </c>
      <c r="C72" s="240" t="s">
        <v>7144</v>
      </c>
      <c r="D72" s="240" t="s">
        <v>9013</v>
      </c>
      <c r="F72" s="240" t="s">
        <v>5197</v>
      </c>
    </row>
    <row r="73" spans="1:6" s="301" customFormat="1" ht="12.75" thickTop="1">
      <c r="A73" s="334" t="s">
        <v>9012</v>
      </c>
      <c r="B73" s="333" t="s">
        <v>9011</v>
      </c>
      <c r="C73" s="332"/>
      <c r="D73" s="331" t="s">
        <v>9010</v>
      </c>
      <c r="F73" s="301" t="s">
        <v>8917</v>
      </c>
    </row>
    <row r="74" spans="1:6" s="301" customFormat="1" ht="12">
      <c r="A74" s="329" t="s">
        <v>9009</v>
      </c>
      <c r="B74" s="328" t="s">
        <v>9008</v>
      </c>
      <c r="C74" s="327"/>
      <c r="D74" s="326" t="s">
        <v>9007</v>
      </c>
      <c r="F74" s="301" t="s">
        <v>8917</v>
      </c>
    </row>
    <row r="75" spans="1:6" s="301" customFormat="1" ht="12">
      <c r="A75" s="329" t="s">
        <v>9006</v>
      </c>
      <c r="B75" s="328" t="s">
        <v>9005</v>
      </c>
      <c r="C75" s="327"/>
      <c r="D75" s="326" t="s">
        <v>9004</v>
      </c>
      <c r="F75" s="301" t="s">
        <v>8917</v>
      </c>
    </row>
    <row r="76" spans="1:6" s="301" customFormat="1" ht="12">
      <c r="A76" s="329" t="s">
        <v>9001</v>
      </c>
      <c r="B76" s="328" t="s">
        <v>9003</v>
      </c>
      <c r="C76" s="327"/>
      <c r="D76" s="326" t="s">
        <v>9002</v>
      </c>
      <c r="F76" s="301" t="s">
        <v>8917</v>
      </c>
    </row>
    <row r="77" spans="1:6" s="301" customFormat="1" ht="12">
      <c r="A77" s="329" t="s">
        <v>9001</v>
      </c>
      <c r="B77" s="328" t="s">
        <v>9000</v>
      </c>
      <c r="C77" s="327"/>
      <c r="D77" s="330" t="s">
        <v>8999</v>
      </c>
      <c r="F77" s="301" t="s">
        <v>8917</v>
      </c>
    </row>
    <row r="78" spans="1:6" s="301" customFormat="1" ht="12">
      <c r="A78" s="329" t="s">
        <v>8998</v>
      </c>
      <c r="B78" s="328" t="s">
        <v>8997</v>
      </c>
      <c r="C78" s="327"/>
      <c r="D78" s="326" t="s">
        <v>8996</v>
      </c>
      <c r="F78" s="301" t="s">
        <v>8917</v>
      </c>
    </row>
    <row r="79" spans="1:6" s="301" customFormat="1" ht="12">
      <c r="A79" s="329" t="s">
        <v>8995</v>
      </c>
      <c r="B79" s="328" t="s">
        <v>8994</v>
      </c>
      <c r="C79" s="327"/>
      <c r="D79" s="326" t="s">
        <v>8993</v>
      </c>
      <c r="F79" s="301" t="s">
        <v>8917</v>
      </c>
    </row>
    <row r="80" spans="1:6" s="301" customFormat="1" ht="12">
      <c r="A80" s="329" t="s">
        <v>8992</v>
      </c>
      <c r="B80" s="328" t="s">
        <v>8991</v>
      </c>
      <c r="C80" s="327"/>
      <c r="D80" s="326" t="s">
        <v>8990</v>
      </c>
      <c r="F80" s="301" t="s">
        <v>8917</v>
      </c>
    </row>
    <row r="81" spans="1:6" s="301" customFormat="1" ht="12">
      <c r="A81" s="329" t="s">
        <v>8983</v>
      </c>
      <c r="B81" s="328" t="s">
        <v>8989</v>
      </c>
      <c r="C81" s="327"/>
      <c r="D81" s="326" t="s">
        <v>8988</v>
      </c>
      <c r="F81" s="301" t="s">
        <v>8917</v>
      </c>
    </row>
    <row r="82" spans="1:6" s="301" customFormat="1" ht="12">
      <c r="A82" s="329" t="s">
        <v>8983</v>
      </c>
      <c r="B82" s="328" t="s">
        <v>8987</v>
      </c>
      <c r="C82" s="327"/>
      <c r="D82" s="326" t="s">
        <v>8986</v>
      </c>
      <c r="F82" s="301" t="s">
        <v>8917</v>
      </c>
    </row>
    <row r="83" spans="1:6" s="301" customFormat="1" ht="12">
      <c r="A83" s="329" t="s">
        <v>8983</v>
      </c>
      <c r="B83" s="328" t="s">
        <v>8985</v>
      </c>
      <c r="C83" s="327"/>
      <c r="D83" s="326" t="s">
        <v>8984</v>
      </c>
      <c r="F83" s="301" t="s">
        <v>8917</v>
      </c>
    </row>
    <row r="84" spans="1:6" s="301" customFormat="1" ht="12">
      <c r="A84" s="329" t="s">
        <v>8983</v>
      </c>
      <c r="B84" s="328" t="s">
        <v>8982</v>
      </c>
      <c r="C84" s="327"/>
      <c r="D84" s="326" t="s">
        <v>8981</v>
      </c>
      <c r="F84" s="301" t="s">
        <v>8917</v>
      </c>
    </row>
    <row r="85" spans="1:6" s="301" customFormat="1" ht="12">
      <c r="A85" s="329" t="s">
        <v>8980</v>
      </c>
      <c r="B85" s="328" t="s">
        <v>8979</v>
      </c>
      <c r="C85" s="327"/>
      <c r="D85" s="326" t="s">
        <v>8978</v>
      </c>
      <c r="F85" s="301" t="s">
        <v>8917</v>
      </c>
    </row>
    <row r="86" spans="1:6" s="301" customFormat="1" ht="12">
      <c r="A86" s="329" t="s">
        <v>8977</v>
      </c>
      <c r="B86" s="328" t="s">
        <v>8976</v>
      </c>
      <c r="C86" s="327"/>
      <c r="D86" s="326" t="s">
        <v>8975</v>
      </c>
      <c r="F86" s="301" t="s">
        <v>8917</v>
      </c>
    </row>
    <row r="87" spans="1:6" s="301" customFormat="1" ht="12">
      <c r="A87" s="329" t="s">
        <v>8974</v>
      </c>
      <c r="B87" s="328" t="s">
        <v>8973</v>
      </c>
      <c r="C87" s="327"/>
      <c r="D87" s="326" t="s">
        <v>8972</v>
      </c>
      <c r="F87" s="301" t="s">
        <v>8917</v>
      </c>
    </row>
    <row r="88" spans="1:6" s="301" customFormat="1" ht="12">
      <c r="A88" s="329" t="s">
        <v>8971</v>
      </c>
      <c r="B88" s="328" t="s">
        <v>8970</v>
      </c>
      <c r="C88" s="327"/>
      <c r="D88" s="326" t="s">
        <v>8969</v>
      </c>
      <c r="F88" s="301" t="s">
        <v>8917</v>
      </c>
    </row>
    <row r="89" spans="1:6" s="301" customFormat="1" ht="12">
      <c r="A89" s="329" t="s">
        <v>8968</v>
      </c>
      <c r="B89" s="328" t="s">
        <v>8953</v>
      </c>
      <c r="C89" s="327"/>
      <c r="D89" s="326" t="s">
        <v>8967</v>
      </c>
      <c r="F89" s="301" t="s">
        <v>8917</v>
      </c>
    </row>
    <row r="90" spans="1:6" s="301" customFormat="1" ht="12">
      <c r="A90" s="329" t="s">
        <v>8966</v>
      </c>
      <c r="B90" s="328" t="s">
        <v>8953</v>
      </c>
      <c r="C90" s="327"/>
      <c r="D90" s="326" t="s">
        <v>8965</v>
      </c>
      <c r="F90" s="301" t="s">
        <v>8917</v>
      </c>
    </row>
    <row r="91" spans="1:6" s="301" customFormat="1" ht="12">
      <c r="A91" s="329" t="s">
        <v>8964</v>
      </c>
      <c r="B91" s="328" t="s">
        <v>8953</v>
      </c>
      <c r="C91" s="327"/>
      <c r="D91" s="326" t="s">
        <v>8963</v>
      </c>
      <c r="F91" s="301" t="s">
        <v>8917</v>
      </c>
    </row>
    <row r="92" spans="1:6" s="301" customFormat="1" ht="12">
      <c r="A92" s="329" t="s">
        <v>8962</v>
      </c>
      <c r="B92" s="328" t="s">
        <v>8953</v>
      </c>
      <c r="C92" s="327"/>
      <c r="D92" s="326" t="s">
        <v>8961</v>
      </c>
      <c r="F92" s="301" t="s">
        <v>8917</v>
      </c>
    </row>
    <row r="93" spans="1:6" s="301" customFormat="1" ht="12">
      <c r="A93" s="329" t="s">
        <v>8960</v>
      </c>
      <c r="B93" s="328" t="s">
        <v>8953</v>
      </c>
      <c r="C93" s="327"/>
      <c r="D93" s="326" t="s">
        <v>8959</v>
      </c>
      <c r="F93" s="301" t="s">
        <v>8917</v>
      </c>
    </row>
    <row r="94" spans="1:6" s="301" customFormat="1" ht="12">
      <c r="A94" s="329" t="s">
        <v>8958</v>
      </c>
      <c r="B94" s="328" t="s">
        <v>8953</v>
      </c>
      <c r="C94" s="327"/>
      <c r="D94" s="326" t="s">
        <v>8957</v>
      </c>
      <c r="F94" s="301" t="s">
        <v>8917</v>
      </c>
    </row>
    <row r="95" spans="1:6" s="301" customFormat="1" ht="12">
      <c r="A95" s="329" t="s">
        <v>8956</v>
      </c>
      <c r="B95" s="328" t="s">
        <v>8953</v>
      </c>
      <c r="C95" s="327"/>
      <c r="D95" s="326" t="s">
        <v>8955</v>
      </c>
      <c r="F95" s="301" t="s">
        <v>8917</v>
      </c>
    </row>
    <row r="96" spans="1:6" s="301" customFormat="1" ht="12">
      <c r="A96" s="329" t="s">
        <v>8954</v>
      </c>
      <c r="B96" s="328" t="s">
        <v>8953</v>
      </c>
      <c r="C96" s="327"/>
      <c r="D96" s="326" t="s">
        <v>8952</v>
      </c>
      <c r="F96" s="301" t="s">
        <v>8917</v>
      </c>
    </row>
    <row r="97" spans="1:6" s="301" customFormat="1" ht="12">
      <c r="A97" s="329" t="s">
        <v>8949</v>
      </c>
      <c r="B97" s="328" t="s">
        <v>8951</v>
      </c>
      <c r="C97" s="327"/>
      <c r="D97" s="326" t="s">
        <v>8950</v>
      </c>
      <c r="F97" s="301" t="s">
        <v>8917</v>
      </c>
    </row>
    <row r="98" spans="1:6" s="301" customFormat="1" ht="12">
      <c r="A98" s="329" t="s">
        <v>8949</v>
      </c>
      <c r="B98" s="328" t="s">
        <v>8948</v>
      </c>
      <c r="C98" s="327"/>
      <c r="D98" s="326" t="s">
        <v>8947</v>
      </c>
      <c r="F98" s="301" t="s">
        <v>8917</v>
      </c>
    </row>
    <row r="99" spans="1:6" s="301" customFormat="1" ht="12">
      <c r="A99" s="329" t="s">
        <v>8946</v>
      </c>
      <c r="B99" s="328" t="s">
        <v>8945</v>
      </c>
      <c r="C99" s="327"/>
      <c r="D99" s="326" t="s">
        <v>8944</v>
      </c>
      <c r="F99" s="301" t="s">
        <v>8917</v>
      </c>
    </row>
    <row r="100" spans="1:6" s="301" customFormat="1" ht="12">
      <c r="A100" s="325" t="s">
        <v>8943</v>
      </c>
      <c r="B100" s="323" t="s">
        <v>8942</v>
      </c>
      <c r="C100" s="322"/>
      <c r="D100" s="321" t="s">
        <v>8941</v>
      </c>
      <c r="F100" s="301" t="s">
        <v>8917</v>
      </c>
    </row>
    <row r="101" spans="1:6" s="301" customFormat="1" ht="12">
      <c r="A101" s="324" t="s">
        <v>5974</v>
      </c>
      <c r="B101" s="323" t="s">
        <v>8940</v>
      </c>
      <c r="C101" s="322"/>
      <c r="D101" s="321" t="s">
        <v>8939</v>
      </c>
      <c r="F101" s="301" t="s">
        <v>8917</v>
      </c>
    </row>
    <row r="102" spans="1:6" s="301" customFormat="1" ht="12">
      <c r="A102" s="320" t="s">
        <v>8936</v>
      </c>
      <c r="B102" s="319" t="s">
        <v>8938</v>
      </c>
      <c r="C102" s="318"/>
      <c r="D102" s="317" t="s">
        <v>8937</v>
      </c>
      <c r="F102" s="301" t="s">
        <v>8917</v>
      </c>
    </row>
    <row r="103" spans="1:6" s="301" customFormat="1" ht="12">
      <c r="A103" s="316" t="s">
        <v>8936</v>
      </c>
      <c r="B103" s="315" t="s">
        <v>8935</v>
      </c>
      <c r="C103" s="314"/>
      <c r="D103" s="313" t="s">
        <v>8934</v>
      </c>
      <c r="F103" s="301" t="s">
        <v>8917</v>
      </c>
    </row>
    <row r="104" spans="1:6" s="301" customFormat="1" ht="12">
      <c r="A104" s="312" t="s">
        <v>8933</v>
      </c>
      <c r="B104" s="311" t="s">
        <v>8932</v>
      </c>
      <c r="C104" s="310"/>
      <c r="D104" s="309" t="s">
        <v>8931</v>
      </c>
      <c r="F104" s="301" t="s">
        <v>8917</v>
      </c>
    </row>
    <row r="105" spans="1:6" s="301" customFormat="1" ht="12">
      <c r="A105" s="312"/>
      <c r="B105" s="311"/>
      <c r="C105" s="310"/>
      <c r="D105" s="309"/>
      <c r="F105" s="301" t="s">
        <v>8917</v>
      </c>
    </row>
    <row r="106" spans="1:6" s="301" customFormat="1" ht="12">
      <c r="A106" s="312" t="s">
        <v>8930</v>
      </c>
      <c r="B106" s="311" t="s">
        <v>8929</v>
      </c>
      <c r="C106" s="310"/>
      <c r="D106" s="309" t="s">
        <v>8928</v>
      </c>
      <c r="F106" s="301" t="s">
        <v>8917</v>
      </c>
    </row>
    <row r="107" spans="1:6" s="301" customFormat="1" ht="12">
      <c r="A107" s="312" t="s">
        <v>8927</v>
      </c>
      <c r="B107" s="311" t="s">
        <v>8926</v>
      </c>
      <c r="C107" s="310"/>
      <c r="D107" s="309" t="s">
        <v>8925</v>
      </c>
      <c r="F107" s="301" t="s">
        <v>8917</v>
      </c>
    </row>
    <row r="108" spans="1:6" s="301" customFormat="1" ht="12">
      <c r="A108" s="312" t="s">
        <v>8924</v>
      </c>
      <c r="B108" s="311" t="s">
        <v>8923</v>
      </c>
      <c r="C108" s="310"/>
      <c r="D108" s="309" t="s">
        <v>8922</v>
      </c>
      <c r="F108" s="301" t="s">
        <v>8917</v>
      </c>
    </row>
    <row r="109" spans="1:6" s="301" customFormat="1" ht="12">
      <c r="A109" s="312" t="s">
        <v>8921</v>
      </c>
      <c r="B109" s="311" t="s">
        <v>8920</v>
      </c>
      <c r="C109" s="310"/>
      <c r="D109" s="309" t="s">
        <v>8919</v>
      </c>
      <c r="F109" s="301" t="s">
        <v>8917</v>
      </c>
    </row>
    <row r="110" spans="1:6" s="301" customFormat="1" ht="14.25">
      <c r="A110" s="307" t="s">
        <v>5479</v>
      </c>
      <c r="B110" s="307" t="s">
        <v>5478</v>
      </c>
      <c r="C110" s="307"/>
      <c r="D110" s="308" t="s">
        <v>5477</v>
      </c>
      <c r="F110" s="301" t="s">
        <v>8917</v>
      </c>
    </row>
    <row r="111" spans="1:6" s="301" customFormat="1" ht="14.25">
      <c r="A111" s="307" t="s">
        <v>8565</v>
      </c>
      <c r="B111" s="304"/>
      <c r="C111" s="304"/>
      <c r="D111" s="305" t="s">
        <v>8564</v>
      </c>
      <c r="F111" s="301" t="s">
        <v>8917</v>
      </c>
    </row>
    <row r="112" spans="1:6" s="301" customFormat="1" ht="16.5">
      <c r="A112" s="304" t="s">
        <v>6126</v>
      </c>
      <c r="B112" s="306" t="s">
        <v>6125</v>
      </c>
      <c r="C112" s="306"/>
      <c r="D112" s="305" t="s">
        <v>6124</v>
      </c>
      <c r="F112" s="301" t="s">
        <v>8917</v>
      </c>
    </row>
    <row r="113" spans="1:6" s="301" customFormat="1" ht="14.25">
      <c r="A113" s="304" t="s">
        <v>8338</v>
      </c>
      <c r="B113" s="304"/>
      <c r="C113" s="304"/>
      <c r="D113" s="305" t="s">
        <v>8337</v>
      </c>
      <c r="F113" s="301" t="s">
        <v>8917</v>
      </c>
    </row>
    <row r="114" spans="1:6" s="301" customFormat="1" ht="14.25">
      <c r="A114" s="304" t="s">
        <v>5964</v>
      </c>
      <c r="B114" s="304" t="s">
        <v>5963</v>
      </c>
      <c r="C114" s="303"/>
      <c r="D114" s="302" t="s">
        <v>8918</v>
      </c>
      <c r="F114" s="301" t="s">
        <v>8917</v>
      </c>
    </row>
  </sheetData>
  <phoneticPr fontId="66"/>
  <hyperlinks>
    <hyperlink ref="D92" r:id="rId1" xr:uid="{319C168C-513A-4775-A514-C993B494C09B}"/>
    <hyperlink ref="D93" r:id="rId2" xr:uid="{9708B76D-1FDF-430F-A1BC-5062B43366CE}"/>
    <hyperlink ref="D89" r:id="rId3" xr:uid="{73F7D3C2-9E6D-4914-BC97-F36A837C5EAB}"/>
    <hyperlink ref="D90" r:id="rId4" xr:uid="{3FB8CAA7-1E94-4DA3-9DF4-01693AD9956A}"/>
    <hyperlink ref="D91" r:id="rId5" xr:uid="{545B69A5-3FFE-421F-8ECE-47B33F3CF052}"/>
    <hyperlink ref="D95" r:id="rId6" xr:uid="{61A052B5-F8AB-4DD1-BC00-2E45033009A5}"/>
    <hyperlink ref="D94" r:id="rId7" xr:uid="{74387898-810F-44FB-BAE7-9442792F44E4}"/>
    <hyperlink ref="D96" r:id="rId8" xr:uid="{3CCBADB7-1775-46DB-9B9F-52223B67E08F}"/>
    <hyperlink ref="D100" r:id="rId9" xr:uid="{485C3DFD-DF98-4777-8F5A-A0D3087342B4}"/>
    <hyperlink ref="D101" r:id="rId10" xr:uid="{DCC3332E-DCBF-4D24-9BDE-02D43777B130}"/>
    <hyperlink ref="D102" r:id="rId11" xr:uid="{E2683032-9D14-4E22-8DDB-D598B7D762D4}"/>
    <hyperlink ref="D103" r:id="rId12" xr:uid="{82A0E9C3-122B-419D-97DB-22FFA29D6E58}"/>
    <hyperlink ref="D110" r:id="rId13" xr:uid="{8C22CB3E-0A5A-404E-A362-B67AC8A7AB45}"/>
    <hyperlink ref="D111" r:id="rId14" xr:uid="{56CBAB67-A5C4-4405-8972-DA59A9EC6FD3}"/>
    <hyperlink ref="D112" r:id="rId15" xr:uid="{C326B0B0-0FFE-45DC-A9B4-8BA15A59DADA}"/>
    <hyperlink ref="D113" r:id="rId16" xr:uid="{5454D220-6F17-46E2-8B37-5593D0F219CA}"/>
    <hyperlink ref="D114" r:id="rId17" display="mailto:t.ito@bright-g.jp" xr:uid="{C09D9AAB-FC58-4B89-8186-06CD9C19F4B2}"/>
  </hyperlinks>
  <pageMargins left="0.7" right="0.7" top="0.75" bottom="0.75" header="0.3" footer="0.3"/>
  <pageSetup paperSize="9" orientation="portrait" horizontalDpi="1200" verticalDpi="120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778E-B46D-4C37-94BA-398147656602}">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238" customWidth="1"/>
    <col min="2" max="2" width="36.625" style="238" customWidth="1"/>
    <col min="3" max="3" width="20.75" style="238" customWidth="1"/>
    <col min="4" max="4" width="38" style="238" customWidth="1"/>
    <col min="5" max="5" width="29.25" style="238" customWidth="1"/>
    <col min="6" max="6" width="16.25" style="238" customWidth="1"/>
    <col min="7" max="7" width="15.75" style="238" customWidth="1"/>
    <col min="8" max="8" width="9" style="239"/>
    <col min="9" max="16384" width="9" style="238"/>
  </cols>
  <sheetData>
    <row r="1" spans="1:10">
      <c r="A1" s="238" t="s">
        <v>8916</v>
      </c>
      <c r="B1" s="238" t="s">
        <v>5857</v>
      </c>
      <c r="C1" s="238" t="s">
        <v>8915</v>
      </c>
      <c r="D1" s="238" t="s">
        <v>8914</v>
      </c>
      <c r="E1" s="238" t="s">
        <v>8913</v>
      </c>
      <c r="F1" s="238" t="s">
        <v>8912</v>
      </c>
      <c r="G1" s="238" t="s">
        <v>8911</v>
      </c>
      <c r="H1" s="239" t="s">
        <v>8910</v>
      </c>
    </row>
    <row r="2" spans="1:10">
      <c r="D2" s="238" t="s">
        <v>8909</v>
      </c>
    </row>
    <row r="3" spans="1:10">
      <c r="D3" s="238" t="s">
        <v>8908</v>
      </c>
      <c r="J3" s="238" t="str">
        <f t="shared" ref="J3:J66" si="0">IF(D2=D3,"OK","")</f>
        <v/>
      </c>
    </row>
    <row r="4" spans="1:10">
      <c r="A4" s="238" t="s">
        <v>8907</v>
      </c>
      <c r="B4" s="238" t="s">
        <v>8906</v>
      </c>
      <c r="C4" s="238" t="s">
        <v>8905</v>
      </c>
      <c r="D4" s="238" t="s">
        <v>8904</v>
      </c>
      <c r="G4" s="238" t="s">
        <v>5197</v>
      </c>
      <c r="J4" s="238" t="str">
        <f t="shared" si="0"/>
        <v/>
      </c>
    </row>
    <row r="5" spans="1:10">
      <c r="A5" s="238" t="s">
        <v>8903</v>
      </c>
      <c r="B5" s="238" t="s">
        <v>8902</v>
      </c>
      <c r="C5" s="238" t="s">
        <v>5212</v>
      </c>
      <c r="D5" s="238" t="s">
        <v>8901</v>
      </c>
      <c r="G5" s="238" t="s">
        <v>5197</v>
      </c>
      <c r="J5" s="238" t="str">
        <f t="shared" si="0"/>
        <v/>
      </c>
    </row>
    <row r="6" spans="1:10">
      <c r="D6" s="238" t="s">
        <v>8900</v>
      </c>
      <c r="J6" s="238" t="str">
        <f t="shared" si="0"/>
        <v/>
      </c>
    </row>
    <row r="7" spans="1:10">
      <c r="D7" s="238" t="s">
        <v>8899</v>
      </c>
      <c r="J7" s="238" t="str">
        <f t="shared" si="0"/>
        <v/>
      </c>
    </row>
    <row r="8" spans="1:10">
      <c r="D8" s="238" t="s">
        <v>8898</v>
      </c>
      <c r="J8" s="238" t="str">
        <f t="shared" si="0"/>
        <v/>
      </c>
    </row>
    <row r="9" spans="1:10">
      <c r="D9" s="238" t="s">
        <v>8897</v>
      </c>
      <c r="J9" s="238" t="str">
        <f t="shared" si="0"/>
        <v/>
      </c>
    </row>
    <row r="10" spans="1:10">
      <c r="D10" s="238" t="s">
        <v>8896</v>
      </c>
      <c r="J10" s="238" t="str">
        <f t="shared" si="0"/>
        <v/>
      </c>
    </row>
    <row r="11" spans="1:10">
      <c r="D11" s="238" t="s">
        <v>8895</v>
      </c>
      <c r="J11" s="238" t="str">
        <f t="shared" si="0"/>
        <v/>
      </c>
    </row>
    <row r="12" spans="1:10">
      <c r="A12" s="238" t="s">
        <v>8894</v>
      </c>
      <c r="B12" s="238" t="s">
        <v>8893</v>
      </c>
      <c r="C12" s="238" t="s">
        <v>6304</v>
      </c>
      <c r="D12" s="238" t="s">
        <v>8892</v>
      </c>
      <c r="G12" s="238" t="s">
        <v>5197</v>
      </c>
      <c r="J12" s="238" t="str">
        <f t="shared" si="0"/>
        <v/>
      </c>
    </row>
    <row r="13" spans="1:10">
      <c r="D13" s="238" t="s">
        <v>8891</v>
      </c>
      <c r="J13" s="238" t="str">
        <f t="shared" si="0"/>
        <v/>
      </c>
    </row>
    <row r="14" spans="1:10">
      <c r="D14" s="238" t="s">
        <v>8890</v>
      </c>
      <c r="J14" s="238" t="str">
        <f t="shared" si="0"/>
        <v/>
      </c>
    </row>
    <row r="15" spans="1:10">
      <c r="D15" s="238" t="s">
        <v>8889</v>
      </c>
      <c r="J15" s="238" t="str">
        <f t="shared" si="0"/>
        <v/>
      </c>
    </row>
    <row r="16" spans="1:10">
      <c r="D16" s="238" t="s">
        <v>8888</v>
      </c>
      <c r="J16" s="238" t="str">
        <f t="shared" si="0"/>
        <v/>
      </c>
    </row>
    <row r="17" spans="1:10" ht="18.75">
      <c r="A17" s="240"/>
      <c r="B17" s="240" t="s">
        <v>8887</v>
      </c>
      <c r="C17" s="240"/>
      <c r="D17" s="240" t="s">
        <v>8886</v>
      </c>
      <c r="E17" s="240"/>
      <c r="F17" s="240"/>
      <c r="G17" s="240"/>
      <c r="H17" s="240"/>
      <c r="I17" s="240"/>
      <c r="J17" s="238" t="str">
        <f t="shared" si="0"/>
        <v/>
      </c>
    </row>
    <row r="18" spans="1:10">
      <c r="D18" s="238" t="s">
        <v>8885</v>
      </c>
      <c r="J18" s="238" t="str">
        <f t="shared" si="0"/>
        <v/>
      </c>
    </row>
    <row r="19" spans="1:10">
      <c r="D19" s="238" t="s">
        <v>8884</v>
      </c>
      <c r="J19" s="238" t="str">
        <f t="shared" si="0"/>
        <v/>
      </c>
    </row>
    <row r="20" spans="1:10">
      <c r="D20" s="238" t="s">
        <v>8883</v>
      </c>
      <c r="J20" s="238" t="str">
        <f t="shared" si="0"/>
        <v/>
      </c>
    </row>
    <row r="21" spans="1:10" ht="18.75">
      <c r="A21" s="240"/>
      <c r="B21" s="240" t="s">
        <v>8882</v>
      </c>
      <c r="C21" s="240"/>
      <c r="D21" s="240" t="s">
        <v>8881</v>
      </c>
      <c r="E21" s="240"/>
      <c r="F21" s="240"/>
      <c r="G21" s="240"/>
      <c r="H21" s="240"/>
      <c r="I21" s="240"/>
      <c r="J21" s="238" t="str">
        <f t="shared" si="0"/>
        <v/>
      </c>
    </row>
    <row r="22" spans="1:10" ht="18.75">
      <c r="A22" s="240"/>
      <c r="B22" s="240" t="s">
        <v>8880</v>
      </c>
      <c r="C22" s="240"/>
      <c r="D22" s="240" t="s">
        <v>8879</v>
      </c>
      <c r="E22" s="240"/>
      <c r="F22" s="240"/>
      <c r="G22" s="240"/>
      <c r="H22" s="240"/>
      <c r="I22" s="240"/>
      <c r="J22" s="238" t="str">
        <f t="shared" si="0"/>
        <v/>
      </c>
    </row>
    <row r="23" spans="1:10" ht="18.75">
      <c r="A23" s="240"/>
      <c r="B23" s="240" t="s">
        <v>8878</v>
      </c>
      <c r="C23" s="240"/>
      <c r="D23" s="240" t="s">
        <v>8877</v>
      </c>
      <c r="E23" s="240"/>
      <c r="F23" s="240"/>
      <c r="G23" s="240"/>
      <c r="H23" s="240"/>
      <c r="I23" s="240"/>
      <c r="J23" s="238" t="str">
        <f t="shared" si="0"/>
        <v/>
      </c>
    </row>
    <row r="24" spans="1:10">
      <c r="D24" s="238" t="s">
        <v>8876</v>
      </c>
      <c r="J24" s="238" t="str">
        <f t="shared" si="0"/>
        <v/>
      </c>
    </row>
    <row r="25" spans="1:10">
      <c r="D25" s="238" t="s">
        <v>8875</v>
      </c>
      <c r="J25" s="238" t="str">
        <f t="shared" si="0"/>
        <v/>
      </c>
    </row>
    <row r="26" spans="1:10">
      <c r="D26" s="238" t="s">
        <v>8874</v>
      </c>
      <c r="J26" s="238" t="str">
        <f t="shared" si="0"/>
        <v/>
      </c>
    </row>
    <row r="27" spans="1:10">
      <c r="D27" s="238" t="s">
        <v>8873</v>
      </c>
      <c r="J27" s="238" t="str">
        <f t="shared" si="0"/>
        <v/>
      </c>
    </row>
    <row r="28" spans="1:10">
      <c r="D28" s="238" t="s">
        <v>8872</v>
      </c>
      <c r="J28" s="238" t="str">
        <f t="shared" si="0"/>
        <v/>
      </c>
    </row>
    <row r="29" spans="1:10">
      <c r="D29" s="238" t="s">
        <v>8871</v>
      </c>
      <c r="J29" s="238" t="str">
        <f t="shared" si="0"/>
        <v/>
      </c>
    </row>
    <row r="30" spans="1:10">
      <c r="A30" s="238" t="s">
        <v>8870</v>
      </c>
      <c r="B30" s="238" t="s">
        <v>8869</v>
      </c>
      <c r="C30" s="238" t="s">
        <v>6058</v>
      </c>
      <c r="D30" s="238" t="s">
        <v>8868</v>
      </c>
      <c r="G30" s="238" t="s">
        <v>5197</v>
      </c>
      <c r="J30" s="238" t="str">
        <f t="shared" si="0"/>
        <v/>
      </c>
    </row>
    <row r="31" spans="1:10">
      <c r="D31" s="238" t="s">
        <v>8867</v>
      </c>
      <c r="J31" s="238" t="str">
        <f t="shared" si="0"/>
        <v/>
      </c>
    </row>
    <row r="32" spans="1:10">
      <c r="D32" s="238" t="s">
        <v>8866</v>
      </c>
      <c r="J32" s="238" t="str">
        <f t="shared" si="0"/>
        <v/>
      </c>
    </row>
    <row r="33" spans="1:10">
      <c r="D33" s="238" t="s">
        <v>8865</v>
      </c>
      <c r="J33" s="238" t="str">
        <f t="shared" si="0"/>
        <v/>
      </c>
    </row>
    <row r="34" spans="1:10">
      <c r="D34" s="238" t="s">
        <v>8864</v>
      </c>
      <c r="J34" s="238" t="str">
        <f t="shared" si="0"/>
        <v/>
      </c>
    </row>
    <row r="35" spans="1:10">
      <c r="D35" s="238" t="s">
        <v>8863</v>
      </c>
      <c r="J35" s="238" t="str">
        <f t="shared" si="0"/>
        <v/>
      </c>
    </row>
    <row r="36" spans="1:10">
      <c r="D36" s="238" t="s">
        <v>8862</v>
      </c>
      <c r="J36" s="238" t="str">
        <f t="shared" si="0"/>
        <v/>
      </c>
    </row>
    <row r="37" spans="1:10">
      <c r="D37" s="238" t="s">
        <v>8861</v>
      </c>
      <c r="J37" s="238" t="str">
        <f t="shared" si="0"/>
        <v/>
      </c>
    </row>
    <row r="38" spans="1:10">
      <c r="D38" s="238" t="s">
        <v>8860</v>
      </c>
      <c r="J38" s="238" t="str">
        <f t="shared" si="0"/>
        <v/>
      </c>
    </row>
    <row r="39" spans="1:10">
      <c r="A39" s="238" t="s">
        <v>8859</v>
      </c>
      <c r="B39" s="238" t="s">
        <v>8858</v>
      </c>
      <c r="D39" s="238" t="s">
        <v>8857</v>
      </c>
      <c r="G39" s="238" t="s">
        <v>5197</v>
      </c>
      <c r="J39" s="238" t="str">
        <f t="shared" si="0"/>
        <v/>
      </c>
    </row>
    <row r="40" spans="1:10">
      <c r="A40" s="238" t="s">
        <v>8856</v>
      </c>
      <c r="B40" s="238" t="s">
        <v>8855</v>
      </c>
      <c r="C40" s="238" t="s">
        <v>6058</v>
      </c>
      <c r="D40" s="238" t="s">
        <v>8854</v>
      </c>
      <c r="G40" s="238" t="s">
        <v>5197</v>
      </c>
      <c r="J40" s="238" t="str">
        <f t="shared" si="0"/>
        <v/>
      </c>
    </row>
    <row r="41" spans="1:10">
      <c r="D41" s="238" t="s">
        <v>8853</v>
      </c>
      <c r="J41" s="238" t="str">
        <f t="shared" si="0"/>
        <v/>
      </c>
    </row>
    <row r="42" spans="1:10">
      <c r="D42" s="238" t="s">
        <v>8852</v>
      </c>
      <c r="J42" s="238" t="str">
        <f t="shared" si="0"/>
        <v/>
      </c>
    </row>
    <row r="43" spans="1:10">
      <c r="A43" s="244" t="s">
        <v>7789</v>
      </c>
      <c r="B43" s="241"/>
      <c r="C43" s="241"/>
      <c r="D43" s="244" t="s">
        <v>8851</v>
      </c>
      <c r="E43" s="244"/>
      <c r="F43" s="241"/>
      <c r="G43" s="243" t="s">
        <v>5168</v>
      </c>
      <c r="J43" s="238" t="str">
        <f t="shared" si="0"/>
        <v/>
      </c>
    </row>
    <row r="44" spans="1:10">
      <c r="D44" s="238" t="s">
        <v>8850</v>
      </c>
      <c r="J44" s="238" t="str">
        <f t="shared" si="0"/>
        <v/>
      </c>
    </row>
    <row r="45" spans="1:10">
      <c r="A45" s="238" t="s">
        <v>8849</v>
      </c>
      <c r="B45" s="238" t="s">
        <v>5857</v>
      </c>
      <c r="D45" s="238" t="s">
        <v>8848</v>
      </c>
      <c r="G45" s="238" t="s">
        <v>5197</v>
      </c>
      <c r="J45" s="238" t="str">
        <f t="shared" si="0"/>
        <v/>
      </c>
    </row>
    <row r="46" spans="1:10">
      <c r="D46" s="238" t="s">
        <v>8847</v>
      </c>
      <c r="J46" s="238" t="str">
        <f t="shared" si="0"/>
        <v/>
      </c>
    </row>
    <row r="47" spans="1:10">
      <c r="D47" s="238" t="s">
        <v>8846</v>
      </c>
      <c r="J47" s="238" t="str">
        <f t="shared" si="0"/>
        <v/>
      </c>
    </row>
    <row r="48" spans="1:10">
      <c r="A48" s="238" t="s">
        <v>8845</v>
      </c>
      <c r="B48" s="238" t="s">
        <v>8844</v>
      </c>
      <c r="C48" s="238" t="s">
        <v>5199</v>
      </c>
      <c r="D48" s="238" t="s">
        <v>8843</v>
      </c>
      <c r="G48" s="238" t="s">
        <v>5197</v>
      </c>
      <c r="J48" s="238" t="str">
        <f t="shared" si="0"/>
        <v/>
      </c>
    </row>
    <row r="49" spans="1:10">
      <c r="D49" s="238" t="s">
        <v>8842</v>
      </c>
      <c r="J49" s="238" t="str">
        <f t="shared" si="0"/>
        <v/>
      </c>
    </row>
    <row r="50" spans="1:10">
      <c r="D50" s="238" t="s">
        <v>8841</v>
      </c>
      <c r="J50" s="238" t="str">
        <f t="shared" si="0"/>
        <v/>
      </c>
    </row>
    <row r="51" spans="1:10" ht="18.75">
      <c r="A51" s="238" t="s">
        <v>8840</v>
      </c>
      <c r="B51" s="238" t="s">
        <v>6706</v>
      </c>
      <c r="C51" s="238" t="s">
        <v>6304</v>
      </c>
      <c r="D51" s="240" t="s">
        <v>8839</v>
      </c>
      <c r="G51" s="238" t="s">
        <v>5197</v>
      </c>
      <c r="H51" s="239" t="s">
        <v>7175</v>
      </c>
      <c r="J51" s="238" t="str">
        <f t="shared" si="0"/>
        <v/>
      </c>
    </row>
    <row r="52" spans="1:10">
      <c r="D52" s="238" t="s">
        <v>8838</v>
      </c>
      <c r="J52" s="238" t="str">
        <f t="shared" si="0"/>
        <v/>
      </c>
    </row>
    <row r="53" spans="1:10">
      <c r="D53" s="238" t="s">
        <v>8837</v>
      </c>
      <c r="J53" s="238" t="str">
        <f t="shared" si="0"/>
        <v/>
      </c>
    </row>
    <row r="54" spans="1:10">
      <c r="A54" s="238" t="s">
        <v>8836</v>
      </c>
      <c r="B54" s="238" t="s">
        <v>8835</v>
      </c>
      <c r="D54" s="238" t="s">
        <v>8834</v>
      </c>
      <c r="G54" s="238" t="s">
        <v>5197</v>
      </c>
      <c r="J54" s="238" t="str">
        <f t="shared" si="0"/>
        <v/>
      </c>
    </row>
    <row r="55" spans="1:10">
      <c r="A55" s="238" t="s">
        <v>8833</v>
      </c>
      <c r="B55" s="238" t="s">
        <v>8832</v>
      </c>
      <c r="D55" s="238" t="s">
        <v>8831</v>
      </c>
      <c r="G55" s="238" t="s">
        <v>5197</v>
      </c>
      <c r="J55" s="238" t="str">
        <f t="shared" si="0"/>
        <v/>
      </c>
    </row>
    <row r="56" spans="1:10">
      <c r="D56" s="238" t="s">
        <v>8830</v>
      </c>
      <c r="J56" s="238" t="str">
        <f t="shared" si="0"/>
        <v/>
      </c>
    </row>
    <row r="57" spans="1:10">
      <c r="D57" s="238" t="s">
        <v>8829</v>
      </c>
      <c r="J57" s="238" t="str">
        <f t="shared" si="0"/>
        <v/>
      </c>
    </row>
    <row r="58" spans="1:10">
      <c r="D58" s="238" t="s">
        <v>8828</v>
      </c>
      <c r="J58" s="238" t="str">
        <f t="shared" si="0"/>
        <v/>
      </c>
    </row>
    <row r="59" spans="1:10">
      <c r="A59" s="238" t="s">
        <v>7631</v>
      </c>
      <c r="B59" s="238" t="s">
        <v>8827</v>
      </c>
      <c r="C59" s="238" t="s">
        <v>8826</v>
      </c>
      <c r="D59" s="238" t="s">
        <v>8825</v>
      </c>
      <c r="G59" s="238" t="s">
        <v>5197</v>
      </c>
      <c r="J59" s="238" t="str">
        <f t="shared" si="0"/>
        <v/>
      </c>
    </row>
    <row r="60" spans="1:10">
      <c r="D60" s="238" t="s">
        <v>8824</v>
      </c>
      <c r="J60" s="238" t="str">
        <f t="shared" si="0"/>
        <v/>
      </c>
    </row>
    <row r="61" spans="1:10">
      <c r="D61" s="238" t="s">
        <v>8823</v>
      </c>
      <c r="J61" s="238" t="str">
        <f t="shared" si="0"/>
        <v/>
      </c>
    </row>
    <row r="62" spans="1:10">
      <c r="A62" s="238" t="s">
        <v>8822</v>
      </c>
      <c r="B62" s="238" t="s">
        <v>8821</v>
      </c>
      <c r="C62" s="238" t="s">
        <v>8820</v>
      </c>
      <c r="D62" s="238" t="s">
        <v>8819</v>
      </c>
      <c r="G62" s="238" t="s">
        <v>5197</v>
      </c>
      <c r="J62" s="238" t="str">
        <f t="shared" si="0"/>
        <v/>
      </c>
    </row>
    <row r="63" spans="1:10">
      <c r="D63" s="238" t="s">
        <v>8818</v>
      </c>
      <c r="J63" s="238" t="str">
        <f t="shared" si="0"/>
        <v/>
      </c>
    </row>
    <row r="64" spans="1:10">
      <c r="A64" s="238" t="s">
        <v>8817</v>
      </c>
      <c r="B64" s="238" t="s">
        <v>5857</v>
      </c>
      <c r="C64" s="238" t="s">
        <v>8507</v>
      </c>
      <c r="D64" s="238" t="s">
        <v>8816</v>
      </c>
      <c r="G64" s="238" t="s">
        <v>5197</v>
      </c>
      <c r="J64" s="238" t="str">
        <f t="shared" si="0"/>
        <v/>
      </c>
    </row>
    <row r="65" spans="1:10">
      <c r="D65" s="238" t="s">
        <v>8815</v>
      </c>
      <c r="J65" s="238" t="str">
        <f t="shared" si="0"/>
        <v/>
      </c>
    </row>
    <row r="66" spans="1:10">
      <c r="A66" s="238" t="s">
        <v>8814</v>
      </c>
      <c r="B66" s="238" t="s">
        <v>8813</v>
      </c>
      <c r="C66" s="238" t="s">
        <v>7144</v>
      </c>
      <c r="D66" s="238" t="s">
        <v>8812</v>
      </c>
      <c r="G66" s="238" t="s">
        <v>5197</v>
      </c>
      <c r="J66" s="238" t="str">
        <f t="shared" si="0"/>
        <v/>
      </c>
    </row>
    <row r="67" spans="1:10">
      <c r="A67" s="238" t="s">
        <v>8811</v>
      </c>
      <c r="B67" s="238" t="s">
        <v>8810</v>
      </c>
      <c r="C67" s="238" t="s">
        <v>8809</v>
      </c>
      <c r="D67" s="238" t="s">
        <v>8808</v>
      </c>
      <c r="G67" s="238" t="s">
        <v>5197</v>
      </c>
      <c r="J67" s="238" t="str">
        <f t="shared" ref="J67:J130" si="1">IF(D66=D67,"OK","")</f>
        <v/>
      </c>
    </row>
    <row r="68" spans="1:10">
      <c r="D68" s="238" t="s">
        <v>8807</v>
      </c>
      <c r="J68" s="238" t="str">
        <f t="shared" si="1"/>
        <v/>
      </c>
    </row>
    <row r="69" spans="1:10">
      <c r="A69" s="238" t="s">
        <v>8806</v>
      </c>
      <c r="B69" s="238" t="s">
        <v>5857</v>
      </c>
      <c r="D69" s="238" t="s">
        <v>8805</v>
      </c>
      <c r="G69" s="238" t="s">
        <v>5197</v>
      </c>
      <c r="J69" s="238" t="str">
        <f t="shared" si="1"/>
        <v/>
      </c>
    </row>
    <row r="70" spans="1:10">
      <c r="D70" s="238" t="s">
        <v>8804</v>
      </c>
      <c r="J70" s="238" t="str">
        <f t="shared" si="1"/>
        <v/>
      </c>
    </row>
    <row r="71" spans="1:10">
      <c r="A71" s="238" t="s">
        <v>8803</v>
      </c>
      <c r="B71" s="238" t="s">
        <v>8802</v>
      </c>
      <c r="C71" s="238" t="s">
        <v>5322</v>
      </c>
      <c r="D71" s="238" t="s">
        <v>8801</v>
      </c>
      <c r="G71" s="238" t="s">
        <v>5197</v>
      </c>
      <c r="J71" s="238" t="str">
        <f t="shared" si="1"/>
        <v/>
      </c>
    </row>
    <row r="72" spans="1:10">
      <c r="D72" s="238" t="s">
        <v>8800</v>
      </c>
      <c r="J72" s="238" t="str">
        <f t="shared" si="1"/>
        <v/>
      </c>
    </row>
    <row r="73" spans="1:10">
      <c r="D73" s="238" t="s">
        <v>8799</v>
      </c>
      <c r="J73" s="238" t="str">
        <f t="shared" si="1"/>
        <v/>
      </c>
    </row>
    <row r="74" spans="1:10">
      <c r="D74" s="238" t="s">
        <v>8798</v>
      </c>
      <c r="J74" s="238" t="str">
        <f t="shared" si="1"/>
        <v/>
      </c>
    </row>
    <row r="75" spans="1:10">
      <c r="A75" s="238" t="s">
        <v>8797</v>
      </c>
      <c r="B75" s="238" t="s">
        <v>8796</v>
      </c>
      <c r="C75" s="238" t="s">
        <v>5322</v>
      </c>
      <c r="D75" s="238" t="s">
        <v>8795</v>
      </c>
      <c r="G75" s="238" t="s">
        <v>5197</v>
      </c>
      <c r="J75" s="238" t="str">
        <f t="shared" si="1"/>
        <v/>
      </c>
    </row>
    <row r="76" spans="1:10">
      <c r="D76" s="238" t="s">
        <v>8794</v>
      </c>
      <c r="J76" s="238" t="str">
        <f t="shared" si="1"/>
        <v/>
      </c>
    </row>
    <row r="77" spans="1:10" ht="18.75">
      <c r="A77" s="238" t="s">
        <v>6538</v>
      </c>
      <c r="B77" s="238" t="s">
        <v>8793</v>
      </c>
      <c r="C77" s="238" t="s">
        <v>5212</v>
      </c>
      <c r="D77" s="240" t="s">
        <v>8792</v>
      </c>
      <c r="F77" s="244" t="s">
        <v>8788</v>
      </c>
      <c r="G77" s="238" t="s">
        <v>5197</v>
      </c>
      <c r="H77" s="239" t="s">
        <v>7175</v>
      </c>
      <c r="J77" s="238" t="str">
        <f t="shared" si="1"/>
        <v/>
      </c>
    </row>
    <row r="78" spans="1:10">
      <c r="A78" s="244" t="s">
        <v>8791</v>
      </c>
      <c r="B78" s="244" t="s">
        <v>8790</v>
      </c>
      <c r="C78" s="244"/>
      <c r="D78" s="238" t="s">
        <v>8789</v>
      </c>
      <c r="E78" s="245"/>
      <c r="F78" s="244" t="s">
        <v>8788</v>
      </c>
      <c r="G78" s="243" t="s">
        <v>5168</v>
      </c>
      <c r="J78" s="238" t="str">
        <f t="shared" si="1"/>
        <v>OK</v>
      </c>
    </row>
    <row r="79" spans="1:10">
      <c r="A79" s="238" t="s">
        <v>8787</v>
      </c>
      <c r="B79" s="238" t="s">
        <v>8786</v>
      </c>
      <c r="C79" s="238" t="s">
        <v>8785</v>
      </c>
      <c r="D79" s="238" t="s">
        <v>8784</v>
      </c>
      <c r="G79" s="238" t="s">
        <v>5197</v>
      </c>
      <c r="J79" s="238" t="str">
        <f t="shared" si="1"/>
        <v/>
      </c>
    </row>
    <row r="80" spans="1:10">
      <c r="D80" s="238" t="s">
        <v>8783</v>
      </c>
      <c r="J80" s="238" t="str">
        <f t="shared" si="1"/>
        <v/>
      </c>
    </row>
    <row r="81" spans="1:10">
      <c r="D81" s="238" t="s">
        <v>8782</v>
      </c>
      <c r="J81" s="238" t="str">
        <f t="shared" si="1"/>
        <v/>
      </c>
    </row>
    <row r="82" spans="1:10">
      <c r="D82" s="238" t="s">
        <v>8781</v>
      </c>
      <c r="J82" s="238" t="str">
        <f t="shared" si="1"/>
        <v/>
      </c>
    </row>
    <row r="83" spans="1:10">
      <c r="A83" s="238" t="s">
        <v>8780</v>
      </c>
      <c r="B83" s="238" t="s">
        <v>8779</v>
      </c>
      <c r="D83" s="238" t="s">
        <v>8778</v>
      </c>
      <c r="G83" s="238" t="s">
        <v>5197</v>
      </c>
      <c r="J83" s="238" t="str">
        <f t="shared" si="1"/>
        <v/>
      </c>
    </row>
    <row r="84" spans="1:10">
      <c r="A84" s="243" t="s">
        <v>5687</v>
      </c>
      <c r="B84" s="243" t="s">
        <v>8774</v>
      </c>
      <c r="C84" s="243"/>
      <c r="D84" s="252" t="s">
        <v>8777</v>
      </c>
      <c r="E84" s="257"/>
      <c r="F84" s="243"/>
      <c r="G84" s="243" t="s">
        <v>5168</v>
      </c>
      <c r="J84" s="238" t="str">
        <f t="shared" si="1"/>
        <v/>
      </c>
    </row>
    <row r="85" spans="1:10" ht="18.75">
      <c r="A85" s="240"/>
      <c r="B85" s="240" t="s">
        <v>8776</v>
      </c>
      <c r="C85" s="240"/>
      <c r="D85" s="240" t="s">
        <v>8775</v>
      </c>
      <c r="E85" s="240"/>
      <c r="F85" s="240"/>
      <c r="G85" s="240"/>
      <c r="H85" s="240"/>
      <c r="I85" s="240"/>
      <c r="J85" s="238" t="str">
        <f t="shared" si="1"/>
        <v/>
      </c>
    </row>
    <row r="86" spans="1:10">
      <c r="A86" s="246"/>
      <c r="B86" s="243" t="s">
        <v>8774</v>
      </c>
      <c r="C86" s="263"/>
      <c r="D86" s="238" t="s">
        <v>8773</v>
      </c>
      <c r="F86" s="246"/>
      <c r="G86" s="246"/>
      <c r="J86" s="238" t="str">
        <f t="shared" si="1"/>
        <v/>
      </c>
    </row>
    <row r="87" spans="1:10">
      <c r="D87" s="238" t="s">
        <v>8772</v>
      </c>
      <c r="J87" s="238" t="str">
        <f t="shared" si="1"/>
        <v>OK</v>
      </c>
    </row>
    <row r="88" spans="1:10">
      <c r="D88" s="238" t="s">
        <v>8771</v>
      </c>
      <c r="J88" s="238" t="str">
        <f t="shared" si="1"/>
        <v/>
      </c>
    </row>
    <row r="89" spans="1:10">
      <c r="D89" s="238" t="s">
        <v>8770</v>
      </c>
      <c r="J89" s="238" t="str">
        <f t="shared" si="1"/>
        <v/>
      </c>
    </row>
    <row r="90" spans="1:10">
      <c r="A90" s="238" t="s">
        <v>8769</v>
      </c>
      <c r="B90" s="238" t="s">
        <v>8768</v>
      </c>
      <c r="C90" s="238" t="s">
        <v>5212</v>
      </c>
      <c r="D90" s="238" t="s">
        <v>8767</v>
      </c>
      <c r="G90" s="238" t="s">
        <v>5197</v>
      </c>
      <c r="J90" s="238" t="str">
        <f t="shared" si="1"/>
        <v/>
      </c>
    </row>
    <row r="91" spans="1:10">
      <c r="A91" s="238" t="s">
        <v>8766</v>
      </c>
      <c r="B91" s="238" t="s">
        <v>5857</v>
      </c>
      <c r="D91" s="238" t="s">
        <v>8765</v>
      </c>
      <c r="G91" s="238" t="s">
        <v>5197</v>
      </c>
      <c r="J91" s="238" t="str">
        <f t="shared" si="1"/>
        <v/>
      </c>
    </row>
    <row r="92" spans="1:10">
      <c r="D92" s="238" t="s">
        <v>8764</v>
      </c>
      <c r="J92" s="238" t="str">
        <f t="shared" si="1"/>
        <v/>
      </c>
    </row>
    <row r="93" spans="1:10">
      <c r="A93" s="238" t="s">
        <v>8265</v>
      </c>
      <c r="B93" s="238" t="s">
        <v>8763</v>
      </c>
      <c r="D93" s="238" t="s">
        <v>8762</v>
      </c>
      <c r="G93" s="238" t="s">
        <v>5197</v>
      </c>
      <c r="J93" s="238" t="str">
        <f t="shared" si="1"/>
        <v/>
      </c>
    </row>
    <row r="94" spans="1:10">
      <c r="D94" s="238" t="s">
        <v>8761</v>
      </c>
      <c r="J94" s="238" t="str">
        <f t="shared" si="1"/>
        <v/>
      </c>
    </row>
    <row r="95" spans="1:10">
      <c r="D95" s="238" t="s">
        <v>8760</v>
      </c>
      <c r="J95" s="238" t="str">
        <f t="shared" si="1"/>
        <v/>
      </c>
    </row>
    <row r="96" spans="1:10">
      <c r="D96" s="238" t="s">
        <v>8759</v>
      </c>
      <c r="J96" s="238" t="str">
        <f t="shared" si="1"/>
        <v/>
      </c>
    </row>
    <row r="97" spans="1:10">
      <c r="D97" s="238" t="s">
        <v>8758</v>
      </c>
      <c r="J97" s="238" t="str">
        <f t="shared" si="1"/>
        <v/>
      </c>
    </row>
    <row r="98" spans="1:10">
      <c r="D98" s="238" t="s">
        <v>8757</v>
      </c>
      <c r="J98" s="238" t="str">
        <f t="shared" si="1"/>
        <v/>
      </c>
    </row>
    <row r="99" spans="1:10">
      <c r="A99" s="238" t="s">
        <v>8756</v>
      </c>
      <c r="B99" s="238" t="s">
        <v>5857</v>
      </c>
      <c r="D99" s="238" t="s">
        <v>8755</v>
      </c>
      <c r="G99" s="238" t="s">
        <v>5197</v>
      </c>
      <c r="J99" s="238" t="str">
        <f t="shared" si="1"/>
        <v/>
      </c>
    </row>
    <row r="100" spans="1:10">
      <c r="A100" s="244" t="s">
        <v>8756</v>
      </c>
      <c r="B100" s="241"/>
      <c r="C100" s="241"/>
      <c r="D100" s="244" t="s">
        <v>8755</v>
      </c>
      <c r="E100" s="244"/>
      <c r="F100" s="241"/>
      <c r="G100" s="243" t="s">
        <v>5168</v>
      </c>
      <c r="J100" s="238" t="str">
        <f t="shared" si="1"/>
        <v>OK</v>
      </c>
    </row>
    <row r="101" spans="1:10">
      <c r="D101" s="238" t="s">
        <v>8754</v>
      </c>
      <c r="J101" s="238" t="str">
        <f t="shared" si="1"/>
        <v/>
      </c>
    </row>
    <row r="102" spans="1:10">
      <c r="D102" s="238" t="s">
        <v>8753</v>
      </c>
      <c r="J102" s="238" t="str">
        <f t="shared" si="1"/>
        <v/>
      </c>
    </row>
    <row r="103" spans="1:10">
      <c r="A103" s="238" t="s">
        <v>8752</v>
      </c>
      <c r="B103" s="238" t="s">
        <v>8751</v>
      </c>
      <c r="D103" s="238" t="s">
        <v>8750</v>
      </c>
      <c r="G103" s="238" t="s">
        <v>5197</v>
      </c>
      <c r="J103" s="238" t="str">
        <f t="shared" si="1"/>
        <v/>
      </c>
    </row>
    <row r="104" spans="1:10">
      <c r="D104" s="238" t="s">
        <v>8749</v>
      </c>
      <c r="J104" s="238" t="str">
        <f t="shared" si="1"/>
        <v/>
      </c>
    </row>
    <row r="105" spans="1:10" ht="18.75">
      <c r="A105" s="240"/>
      <c r="B105" s="240" t="s">
        <v>8748</v>
      </c>
      <c r="C105" s="240"/>
      <c r="D105" s="240" t="s">
        <v>8747</v>
      </c>
      <c r="E105" s="240"/>
      <c r="F105" s="240"/>
      <c r="G105" s="240"/>
      <c r="H105" s="240"/>
      <c r="I105" s="240"/>
      <c r="J105" s="238" t="str">
        <f t="shared" si="1"/>
        <v/>
      </c>
    </row>
    <row r="106" spans="1:10">
      <c r="D106" s="238" t="s">
        <v>8746</v>
      </c>
      <c r="J106" s="238" t="str">
        <f t="shared" si="1"/>
        <v/>
      </c>
    </row>
    <row r="107" spans="1:10">
      <c r="A107" s="238" t="s">
        <v>7107</v>
      </c>
      <c r="B107" s="238" t="s">
        <v>5857</v>
      </c>
      <c r="D107" s="238" t="s">
        <v>8745</v>
      </c>
      <c r="G107" s="238" t="s">
        <v>5197</v>
      </c>
      <c r="J107" s="238" t="str">
        <f t="shared" si="1"/>
        <v/>
      </c>
    </row>
    <row r="108" spans="1:10">
      <c r="D108" s="238" t="s">
        <v>8744</v>
      </c>
      <c r="J108" s="238" t="str">
        <f t="shared" si="1"/>
        <v/>
      </c>
    </row>
    <row r="109" spans="1:10">
      <c r="D109" s="238" t="s">
        <v>8743</v>
      </c>
      <c r="J109" s="238" t="str">
        <f t="shared" si="1"/>
        <v/>
      </c>
    </row>
    <row r="110" spans="1:10">
      <c r="A110" s="238" t="s">
        <v>8742</v>
      </c>
      <c r="B110" s="238" t="s">
        <v>8741</v>
      </c>
      <c r="D110" s="238" t="s">
        <v>8740</v>
      </c>
      <c r="G110" s="238" t="s">
        <v>5197</v>
      </c>
      <c r="J110" s="238" t="str">
        <f t="shared" si="1"/>
        <v/>
      </c>
    </row>
    <row r="111" spans="1:10">
      <c r="D111" s="238" t="s">
        <v>8739</v>
      </c>
      <c r="J111" s="238" t="str">
        <f t="shared" si="1"/>
        <v/>
      </c>
    </row>
    <row r="112" spans="1:10">
      <c r="D112" s="238" t="s">
        <v>8738</v>
      </c>
      <c r="J112" s="238" t="str">
        <f t="shared" si="1"/>
        <v/>
      </c>
    </row>
    <row r="113" spans="1:10">
      <c r="D113" s="238" t="s">
        <v>8737</v>
      </c>
      <c r="J113" s="238" t="str">
        <f t="shared" si="1"/>
        <v/>
      </c>
    </row>
    <row r="114" spans="1:10">
      <c r="A114" s="238" t="s">
        <v>8736</v>
      </c>
      <c r="B114" s="238" t="s">
        <v>8735</v>
      </c>
      <c r="D114" s="238" t="s">
        <v>8734</v>
      </c>
      <c r="G114" s="238" t="s">
        <v>5197</v>
      </c>
      <c r="J114" s="238" t="str">
        <f t="shared" si="1"/>
        <v/>
      </c>
    </row>
    <row r="115" spans="1:10">
      <c r="D115" s="238" t="s">
        <v>8733</v>
      </c>
      <c r="J115" s="238" t="str">
        <f t="shared" si="1"/>
        <v/>
      </c>
    </row>
    <row r="116" spans="1:10">
      <c r="D116" s="238" t="s">
        <v>8732</v>
      </c>
      <c r="J116" s="238" t="str">
        <f t="shared" si="1"/>
        <v/>
      </c>
    </row>
    <row r="117" spans="1:10">
      <c r="A117" s="238" t="s">
        <v>8731</v>
      </c>
      <c r="B117" s="238" t="s">
        <v>5857</v>
      </c>
      <c r="D117" s="238" t="s">
        <v>8730</v>
      </c>
      <c r="G117" s="238" t="s">
        <v>5197</v>
      </c>
      <c r="J117" s="238" t="str">
        <f t="shared" si="1"/>
        <v/>
      </c>
    </row>
    <row r="118" spans="1:10">
      <c r="D118" s="238" t="s">
        <v>8729</v>
      </c>
      <c r="J118" s="238" t="str">
        <f t="shared" si="1"/>
        <v/>
      </c>
    </row>
    <row r="119" spans="1:10">
      <c r="A119" s="238" t="s">
        <v>8728</v>
      </c>
      <c r="B119" s="238" t="s">
        <v>8727</v>
      </c>
      <c r="D119" s="238" t="s">
        <v>8726</v>
      </c>
      <c r="G119" s="238" t="s">
        <v>5197</v>
      </c>
      <c r="J119" s="238" t="str">
        <f t="shared" si="1"/>
        <v/>
      </c>
    </row>
    <row r="120" spans="1:10">
      <c r="D120" s="238" t="s">
        <v>8725</v>
      </c>
      <c r="J120" s="238" t="str">
        <f t="shared" si="1"/>
        <v/>
      </c>
    </row>
    <row r="121" spans="1:10">
      <c r="A121" s="238" t="s">
        <v>7440</v>
      </c>
      <c r="B121" s="238" t="s">
        <v>5857</v>
      </c>
      <c r="D121" s="238" t="s">
        <v>8724</v>
      </c>
      <c r="G121" s="238" t="s">
        <v>5197</v>
      </c>
      <c r="J121" s="238" t="str">
        <f t="shared" si="1"/>
        <v/>
      </c>
    </row>
    <row r="122" spans="1:10">
      <c r="D122" s="238" t="s">
        <v>8723</v>
      </c>
      <c r="J122" s="238" t="str">
        <f t="shared" si="1"/>
        <v/>
      </c>
    </row>
    <row r="123" spans="1:10">
      <c r="A123" s="244" t="s">
        <v>8722</v>
      </c>
      <c r="B123" s="244" t="s">
        <v>8721</v>
      </c>
      <c r="C123" s="244"/>
      <c r="D123" s="238" t="s">
        <v>8720</v>
      </c>
      <c r="E123" s="245"/>
      <c r="F123" s="244"/>
      <c r="G123" s="243" t="s">
        <v>5168</v>
      </c>
      <c r="H123" s="239" t="s">
        <v>5625</v>
      </c>
      <c r="J123" s="238" t="str">
        <f t="shared" si="1"/>
        <v/>
      </c>
    </row>
    <row r="124" spans="1:10">
      <c r="D124" s="238" t="s">
        <v>8719</v>
      </c>
      <c r="J124" s="238" t="str">
        <f t="shared" si="1"/>
        <v/>
      </c>
    </row>
    <row r="125" spans="1:10" ht="18.75">
      <c r="A125" s="247" t="s">
        <v>8718</v>
      </c>
      <c r="B125" s="247" t="s">
        <v>8717</v>
      </c>
      <c r="C125" s="247"/>
      <c r="D125" s="238" t="s">
        <v>8716</v>
      </c>
      <c r="E125" s="297" t="s">
        <v>8715</v>
      </c>
      <c r="F125" s="247" t="s">
        <v>8714</v>
      </c>
      <c r="G125" s="243" t="s">
        <v>5168</v>
      </c>
      <c r="H125" s="239" t="s">
        <v>7175</v>
      </c>
      <c r="J125" s="238" t="str">
        <f t="shared" si="1"/>
        <v/>
      </c>
    </row>
    <row r="126" spans="1:10" ht="18.75">
      <c r="A126" s="240"/>
      <c r="B126" s="240" t="s">
        <v>8713</v>
      </c>
      <c r="C126" s="240"/>
      <c r="D126" s="240" t="s">
        <v>8712</v>
      </c>
      <c r="E126" s="240"/>
      <c r="F126" s="240"/>
      <c r="G126" s="240"/>
      <c r="H126" s="240"/>
      <c r="I126" s="240"/>
      <c r="J126" s="238" t="str">
        <f t="shared" si="1"/>
        <v>OK</v>
      </c>
    </row>
    <row r="127" spans="1:10" ht="18.75">
      <c r="A127" s="244" t="s">
        <v>6008</v>
      </c>
      <c r="B127" s="244" t="s">
        <v>8711</v>
      </c>
      <c r="C127" s="244"/>
      <c r="D127" s="297" t="s">
        <v>8710</v>
      </c>
      <c r="E127" s="245"/>
      <c r="F127" s="244" t="s">
        <v>8709</v>
      </c>
      <c r="G127" s="243" t="s">
        <v>5168</v>
      </c>
      <c r="H127" s="239" t="s">
        <v>7175</v>
      </c>
      <c r="J127" s="238" t="str">
        <f t="shared" si="1"/>
        <v/>
      </c>
    </row>
    <row r="128" spans="1:10" ht="18.75">
      <c r="A128" s="238" t="s">
        <v>8708</v>
      </c>
      <c r="B128" s="238" t="s">
        <v>8707</v>
      </c>
      <c r="C128" s="238" t="s">
        <v>5199</v>
      </c>
      <c r="D128" s="249" t="s">
        <v>8706</v>
      </c>
      <c r="G128" s="238" t="s">
        <v>5197</v>
      </c>
      <c r="H128" s="239" t="s">
        <v>7175</v>
      </c>
      <c r="J128" s="238" t="str">
        <f t="shared" si="1"/>
        <v/>
      </c>
    </row>
    <row r="129" spans="1:10">
      <c r="D129" s="238" t="s">
        <v>8705</v>
      </c>
      <c r="J129" s="238" t="str">
        <f t="shared" si="1"/>
        <v/>
      </c>
    </row>
    <row r="130" spans="1:10">
      <c r="D130" s="238" t="s">
        <v>8704</v>
      </c>
      <c r="J130" s="238" t="str">
        <f t="shared" si="1"/>
        <v/>
      </c>
    </row>
    <row r="131" spans="1:10">
      <c r="A131" s="300" t="s">
        <v>8703</v>
      </c>
      <c r="B131" s="244" t="s">
        <v>8702</v>
      </c>
      <c r="C131" s="244"/>
      <c r="D131" s="238" t="s">
        <v>8701</v>
      </c>
      <c r="E131" s="245"/>
      <c r="F131" s="300" t="s">
        <v>8700</v>
      </c>
      <c r="G131" s="243" t="s">
        <v>5168</v>
      </c>
      <c r="H131" s="239" t="s">
        <v>5625</v>
      </c>
      <c r="J131" s="238" t="str">
        <f t="shared" ref="J131:J194" si="2">IF(D130=D131,"OK","")</f>
        <v/>
      </c>
    </row>
    <row r="132" spans="1:10">
      <c r="D132" s="238" t="s">
        <v>8699</v>
      </c>
      <c r="J132" s="238" t="str">
        <f t="shared" si="2"/>
        <v/>
      </c>
    </row>
    <row r="133" spans="1:10">
      <c r="D133" s="238" t="s">
        <v>8698</v>
      </c>
      <c r="J133" s="238" t="str">
        <f t="shared" si="2"/>
        <v/>
      </c>
    </row>
    <row r="134" spans="1:10">
      <c r="D134" s="238" t="s">
        <v>8697</v>
      </c>
      <c r="J134" s="238" t="str">
        <f t="shared" si="2"/>
        <v/>
      </c>
    </row>
    <row r="135" spans="1:10" ht="18.75">
      <c r="A135" s="246"/>
      <c r="B135" s="263"/>
      <c r="C135" s="263"/>
      <c r="D135" s="297" t="s">
        <v>8696</v>
      </c>
      <c r="F135" s="246"/>
      <c r="G135" s="246"/>
      <c r="J135" s="238" t="str">
        <f t="shared" si="2"/>
        <v/>
      </c>
    </row>
    <row r="136" spans="1:10">
      <c r="D136" s="238" t="s">
        <v>8695</v>
      </c>
      <c r="J136" s="238" t="str">
        <f t="shared" si="2"/>
        <v>OK</v>
      </c>
    </row>
    <row r="137" spans="1:10" ht="18.75">
      <c r="A137" s="240"/>
      <c r="B137" s="240" t="s">
        <v>8694</v>
      </c>
      <c r="C137" s="240"/>
      <c r="D137" s="240" t="s">
        <v>8693</v>
      </c>
      <c r="E137" s="240"/>
      <c r="F137" s="240"/>
      <c r="G137" s="240"/>
      <c r="H137" s="240"/>
      <c r="I137" s="240"/>
      <c r="J137" s="238" t="str">
        <f t="shared" si="2"/>
        <v/>
      </c>
    </row>
    <row r="138" spans="1:10">
      <c r="D138" s="238" t="s">
        <v>8692</v>
      </c>
      <c r="J138" s="238" t="str">
        <f t="shared" si="2"/>
        <v/>
      </c>
    </row>
    <row r="139" spans="1:10">
      <c r="D139" s="238" t="s">
        <v>8691</v>
      </c>
      <c r="J139" s="238" t="str">
        <f t="shared" si="2"/>
        <v/>
      </c>
    </row>
    <row r="140" spans="1:10">
      <c r="D140" s="238" t="s">
        <v>8690</v>
      </c>
      <c r="J140" s="238" t="str">
        <f t="shared" si="2"/>
        <v/>
      </c>
    </row>
    <row r="141" spans="1:10" ht="18.75">
      <c r="A141" s="247" t="s">
        <v>8689</v>
      </c>
      <c r="B141" s="247" t="s">
        <v>8688</v>
      </c>
      <c r="C141" s="247"/>
      <c r="D141" s="297" t="s">
        <v>8687</v>
      </c>
      <c r="E141" s="248"/>
      <c r="F141" s="247" t="s">
        <v>8686</v>
      </c>
      <c r="G141" s="243" t="s">
        <v>5168</v>
      </c>
      <c r="H141" s="239" t="s">
        <v>7175</v>
      </c>
      <c r="J141" s="238" t="str">
        <f t="shared" si="2"/>
        <v/>
      </c>
    </row>
    <row r="142" spans="1:10">
      <c r="D142" s="238" t="s">
        <v>8685</v>
      </c>
      <c r="J142" s="238" t="str">
        <f t="shared" si="2"/>
        <v/>
      </c>
    </row>
    <row r="143" spans="1:10">
      <c r="A143" s="238" t="s">
        <v>8684</v>
      </c>
      <c r="B143" s="238" t="s">
        <v>8683</v>
      </c>
      <c r="D143" s="238" t="s">
        <v>8682</v>
      </c>
      <c r="G143" s="238" t="s">
        <v>5197</v>
      </c>
      <c r="H143" s="239" t="s">
        <v>7175</v>
      </c>
      <c r="J143" s="238" t="str">
        <f t="shared" si="2"/>
        <v/>
      </c>
    </row>
    <row r="144" spans="1:10" ht="18.75">
      <c r="A144" s="240"/>
      <c r="B144" s="240" t="s">
        <v>8681</v>
      </c>
      <c r="C144" s="240"/>
      <c r="D144" s="240" t="s">
        <v>8680</v>
      </c>
      <c r="E144" s="240"/>
      <c r="F144" s="240"/>
      <c r="G144" s="240"/>
      <c r="H144" s="240"/>
      <c r="I144" s="240"/>
      <c r="J144" s="238" t="str">
        <f t="shared" si="2"/>
        <v/>
      </c>
    </row>
    <row r="145" spans="1:10" ht="18.75">
      <c r="A145" s="240"/>
      <c r="B145" s="240" t="s">
        <v>8679</v>
      </c>
      <c r="C145" s="240"/>
      <c r="D145" s="240" t="s">
        <v>8678</v>
      </c>
      <c r="E145" s="240"/>
      <c r="F145" s="240"/>
      <c r="G145" s="240"/>
      <c r="H145" s="240"/>
      <c r="I145" s="240"/>
      <c r="J145" s="238" t="str">
        <f t="shared" si="2"/>
        <v/>
      </c>
    </row>
    <row r="146" spans="1:10">
      <c r="D146" s="238" t="s">
        <v>8677</v>
      </c>
      <c r="J146" s="238" t="str">
        <f t="shared" si="2"/>
        <v/>
      </c>
    </row>
    <row r="147" spans="1:10">
      <c r="A147" s="253" t="s">
        <v>8676</v>
      </c>
      <c r="B147" s="244" t="s">
        <v>8675</v>
      </c>
      <c r="C147" s="244"/>
      <c r="D147" s="238" t="s">
        <v>8674</v>
      </c>
      <c r="E147" s="245"/>
      <c r="F147" s="244" t="s">
        <v>8673</v>
      </c>
      <c r="G147" s="243" t="s">
        <v>5168</v>
      </c>
      <c r="H147" s="239" t="s">
        <v>7175</v>
      </c>
      <c r="J147" s="238" t="str">
        <f t="shared" si="2"/>
        <v/>
      </c>
    </row>
    <row r="148" spans="1:10" ht="18.75">
      <c r="A148" s="240"/>
      <c r="B148" s="240" t="s">
        <v>8672</v>
      </c>
      <c r="C148" s="240"/>
      <c r="D148" s="240" t="s">
        <v>8671</v>
      </c>
      <c r="E148" s="240"/>
      <c r="F148" s="240"/>
      <c r="G148" s="240"/>
      <c r="H148" s="240"/>
      <c r="I148" s="240"/>
      <c r="J148" s="238" t="str">
        <f t="shared" si="2"/>
        <v/>
      </c>
    </row>
    <row r="149" spans="1:10">
      <c r="D149" s="238" t="s">
        <v>8670</v>
      </c>
      <c r="J149" s="238" t="str">
        <f t="shared" si="2"/>
        <v/>
      </c>
    </row>
    <row r="150" spans="1:10">
      <c r="D150" s="238" t="s">
        <v>8669</v>
      </c>
      <c r="J150" s="238" t="str">
        <f t="shared" si="2"/>
        <v/>
      </c>
    </row>
    <row r="151" spans="1:10">
      <c r="A151" s="244" t="s">
        <v>8210</v>
      </c>
      <c r="B151" s="244" t="s">
        <v>8668</v>
      </c>
      <c r="C151" s="244"/>
      <c r="D151" s="238" t="s">
        <v>8667</v>
      </c>
      <c r="E151" s="245"/>
      <c r="F151" s="244" t="s">
        <v>8207</v>
      </c>
      <c r="G151" s="243" t="s">
        <v>5168</v>
      </c>
      <c r="H151" s="239" t="s">
        <v>7175</v>
      </c>
      <c r="J151" s="238" t="str">
        <f t="shared" si="2"/>
        <v/>
      </c>
    </row>
    <row r="152" spans="1:10">
      <c r="D152" s="238" t="s">
        <v>8666</v>
      </c>
      <c r="J152" s="238" t="str">
        <f t="shared" si="2"/>
        <v/>
      </c>
    </row>
    <row r="153" spans="1:10">
      <c r="A153" s="238" t="s">
        <v>8665</v>
      </c>
      <c r="B153" s="238" t="s">
        <v>8664</v>
      </c>
      <c r="D153" s="238" t="s">
        <v>8663</v>
      </c>
      <c r="G153" s="238" t="s">
        <v>5197</v>
      </c>
      <c r="J153" s="238" t="str">
        <f t="shared" si="2"/>
        <v/>
      </c>
    </row>
    <row r="154" spans="1:10">
      <c r="D154" s="238" t="s">
        <v>8662</v>
      </c>
      <c r="J154" s="238" t="str">
        <f t="shared" si="2"/>
        <v/>
      </c>
    </row>
    <row r="155" spans="1:10">
      <c r="A155" s="238" t="s">
        <v>8661</v>
      </c>
      <c r="B155" s="238" t="s">
        <v>8660</v>
      </c>
      <c r="D155" s="238" t="s">
        <v>8659</v>
      </c>
      <c r="G155" s="238" t="s">
        <v>5197</v>
      </c>
      <c r="J155" s="238" t="str">
        <f t="shared" si="2"/>
        <v/>
      </c>
    </row>
    <row r="156" spans="1:10">
      <c r="D156" s="238" t="s">
        <v>8658</v>
      </c>
      <c r="J156" s="238" t="str">
        <f t="shared" si="2"/>
        <v/>
      </c>
    </row>
    <row r="157" spans="1:10" ht="18.75">
      <c r="A157" s="240"/>
      <c r="B157" s="240" t="s">
        <v>8657</v>
      </c>
      <c r="C157" s="240"/>
      <c r="D157" s="240" t="s">
        <v>8656</v>
      </c>
      <c r="E157" s="240"/>
      <c r="F157" s="240"/>
      <c r="G157" s="240"/>
      <c r="H157" s="240"/>
      <c r="I157" s="240"/>
      <c r="J157" s="238" t="str">
        <f t="shared" si="2"/>
        <v/>
      </c>
    </row>
    <row r="158" spans="1:10" ht="18.75">
      <c r="A158" s="240"/>
      <c r="B158" s="240" t="s">
        <v>8655</v>
      </c>
      <c r="C158" s="240"/>
      <c r="D158" s="240" t="s">
        <v>8654</v>
      </c>
      <c r="E158" s="240"/>
      <c r="F158" s="240"/>
      <c r="G158" s="240"/>
      <c r="H158" s="240"/>
      <c r="I158" s="240"/>
      <c r="J158" s="238" t="str">
        <f t="shared" si="2"/>
        <v/>
      </c>
    </row>
    <row r="159" spans="1:10" ht="18.75">
      <c r="A159" s="244" t="s">
        <v>8653</v>
      </c>
      <c r="B159" s="244" t="s">
        <v>8652</v>
      </c>
      <c r="C159" s="244"/>
      <c r="D159" s="297" t="s">
        <v>8651</v>
      </c>
      <c r="E159" s="245"/>
      <c r="F159" s="244" t="s">
        <v>8650</v>
      </c>
      <c r="G159" s="243" t="s">
        <v>5168</v>
      </c>
      <c r="H159" s="239" t="s">
        <v>7175</v>
      </c>
      <c r="J159" s="238" t="str">
        <f t="shared" si="2"/>
        <v/>
      </c>
    </row>
    <row r="160" spans="1:10" ht="18.75">
      <c r="A160" s="240"/>
      <c r="B160" s="240" t="s">
        <v>8649</v>
      </c>
      <c r="C160" s="240"/>
      <c r="D160" s="240" t="s">
        <v>8648</v>
      </c>
      <c r="E160" s="240"/>
      <c r="F160" s="240"/>
      <c r="G160" s="240"/>
      <c r="H160" s="240"/>
      <c r="I160" s="240"/>
      <c r="J160" s="238" t="str">
        <f t="shared" si="2"/>
        <v/>
      </c>
    </row>
    <row r="161" spans="1:10" ht="18.75">
      <c r="A161" s="253" t="s">
        <v>5317</v>
      </c>
      <c r="B161" s="244" t="s">
        <v>8647</v>
      </c>
      <c r="C161" s="244"/>
      <c r="D161" s="297" t="s">
        <v>8646</v>
      </c>
      <c r="E161" s="245"/>
      <c r="F161" s="244"/>
      <c r="G161" s="243" t="s">
        <v>5168</v>
      </c>
      <c r="H161" s="239" t="s">
        <v>7175</v>
      </c>
      <c r="J161" s="238" t="str">
        <f t="shared" si="2"/>
        <v/>
      </c>
    </row>
    <row r="162" spans="1:10">
      <c r="D162" s="238" t="s">
        <v>8645</v>
      </c>
      <c r="J162" s="238" t="str">
        <f t="shared" si="2"/>
        <v/>
      </c>
    </row>
    <row r="163" spans="1:10" ht="18.75">
      <c r="A163" s="240"/>
      <c r="B163" s="240" t="s">
        <v>8644</v>
      </c>
      <c r="C163" s="240"/>
      <c r="D163" s="240" t="s">
        <v>8643</v>
      </c>
      <c r="E163" s="240"/>
      <c r="F163" s="240"/>
      <c r="G163" s="240"/>
      <c r="H163" s="240"/>
      <c r="I163" s="240"/>
      <c r="J163" s="238" t="str">
        <f t="shared" si="2"/>
        <v/>
      </c>
    </row>
    <row r="164" spans="1:10">
      <c r="A164" s="244" t="s">
        <v>8642</v>
      </c>
      <c r="B164" s="244" t="s">
        <v>8641</v>
      </c>
      <c r="C164" s="244"/>
      <c r="D164" s="238" t="s">
        <v>8640</v>
      </c>
      <c r="E164" s="245"/>
      <c r="F164" s="244"/>
      <c r="G164" s="243" t="s">
        <v>5168</v>
      </c>
      <c r="H164" s="239" t="s">
        <v>7175</v>
      </c>
      <c r="J164" s="238" t="str">
        <f t="shared" si="2"/>
        <v/>
      </c>
    </row>
    <row r="165" spans="1:10">
      <c r="D165" s="238" t="s">
        <v>8639</v>
      </c>
      <c r="J165" s="238" t="str">
        <f t="shared" si="2"/>
        <v/>
      </c>
    </row>
    <row r="166" spans="1:10">
      <c r="A166" s="238" t="s">
        <v>8638</v>
      </c>
      <c r="B166" s="238" t="s">
        <v>8637</v>
      </c>
      <c r="C166" s="238" t="s">
        <v>5199</v>
      </c>
      <c r="D166" s="238" t="s">
        <v>8636</v>
      </c>
      <c r="G166" s="238" t="s">
        <v>5197</v>
      </c>
      <c r="H166" s="239" t="s">
        <v>7175</v>
      </c>
      <c r="J166" s="238" t="str">
        <f t="shared" si="2"/>
        <v/>
      </c>
    </row>
    <row r="167" spans="1:10" ht="18.75">
      <c r="A167" s="240"/>
      <c r="B167" s="240" t="s">
        <v>8635</v>
      </c>
      <c r="C167" s="240"/>
      <c r="D167" s="240" t="s">
        <v>8634</v>
      </c>
      <c r="E167" s="240"/>
      <c r="F167" s="240"/>
      <c r="G167" s="240"/>
      <c r="H167" s="240"/>
      <c r="I167" s="240"/>
      <c r="J167" s="238" t="str">
        <f t="shared" si="2"/>
        <v/>
      </c>
    </row>
    <row r="168" spans="1:10">
      <c r="D168" s="238" t="s">
        <v>8633</v>
      </c>
      <c r="J168" s="238" t="str">
        <f t="shared" si="2"/>
        <v/>
      </c>
    </row>
    <row r="169" spans="1:10">
      <c r="A169" s="238" t="s">
        <v>8632</v>
      </c>
      <c r="B169" s="238" t="s">
        <v>8631</v>
      </c>
      <c r="D169" s="238" t="s">
        <v>8630</v>
      </c>
      <c r="G169" s="238" t="s">
        <v>5197</v>
      </c>
      <c r="J169" s="238" t="str">
        <f t="shared" si="2"/>
        <v/>
      </c>
    </row>
    <row r="170" spans="1:10">
      <c r="D170" s="238" t="s">
        <v>8629</v>
      </c>
      <c r="J170" s="238" t="str">
        <f t="shared" si="2"/>
        <v/>
      </c>
    </row>
    <row r="171" spans="1:10" ht="42.75">
      <c r="A171" s="253" t="s">
        <v>8616</v>
      </c>
      <c r="B171" s="244" t="s">
        <v>8628</v>
      </c>
      <c r="C171" s="244"/>
      <c r="D171" s="297" t="s">
        <v>8627</v>
      </c>
      <c r="E171" s="245"/>
      <c r="F171" s="299" t="s">
        <v>8626</v>
      </c>
      <c r="G171" s="243" t="s">
        <v>5168</v>
      </c>
      <c r="H171" s="239" t="s">
        <v>7175</v>
      </c>
      <c r="J171" s="238" t="str">
        <f t="shared" si="2"/>
        <v/>
      </c>
    </row>
    <row r="172" spans="1:10" ht="18.75">
      <c r="A172" s="240"/>
      <c r="B172" s="240" t="s">
        <v>8625</v>
      </c>
      <c r="C172" s="240"/>
      <c r="D172" s="240" t="s">
        <v>8624</v>
      </c>
      <c r="E172" s="240"/>
      <c r="F172" s="240"/>
      <c r="G172" s="240"/>
      <c r="H172" s="240"/>
      <c r="I172" s="240"/>
      <c r="J172" s="238" t="str">
        <f t="shared" si="2"/>
        <v/>
      </c>
    </row>
    <row r="173" spans="1:10">
      <c r="D173" s="238" t="s">
        <v>8623</v>
      </c>
      <c r="J173" s="238" t="str">
        <f t="shared" si="2"/>
        <v/>
      </c>
    </row>
    <row r="174" spans="1:10">
      <c r="D174" s="238" t="s">
        <v>8622</v>
      </c>
      <c r="J174" s="238" t="str">
        <f t="shared" si="2"/>
        <v/>
      </c>
    </row>
    <row r="175" spans="1:10">
      <c r="A175" s="244" t="s">
        <v>8621</v>
      </c>
      <c r="B175" s="241"/>
      <c r="C175" s="241"/>
      <c r="D175" s="244" t="s">
        <v>8620</v>
      </c>
      <c r="E175" s="244"/>
      <c r="F175" s="241"/>
      <c r="G175" s="243" t="s">
        <v>5168</v>
      </c>
      <c r="J175" s="238" t="str">
        <f t="shared" si="2"/>
        <v/>
      </c>
    </row>
    <row r="176" spans="1:10" ht="18.75">
      <c r="A176" s="244" t="s">
        <v>8619</v>
      </c>
      <c r="B176" s="244" t="s">
        <v>8618</v>
      </c>
      <c r="C176" s="244"/>
      <c r="D176" s="297" t="s">
        <v>8617</v>
      </c>
      <c r="E176" s="245"/>
      <c r="F176" s="244"/>
      <c r="G176" s="243" t="s">
        <v>5168</v>
      </c>
      <c r="H176" s="239" t="s">
        <v>7175</v>
      </c>
      <c r="J176" s="238" t="str">
        <f t="shared" si="2"/>
        <v/>
      </c>
    </row>
    <row r="177" spans="1:10" ht="18.75">
      <c r="A177" s="253" t="s">
        <v>8616</v>
      </c>
      <c r="B177" s="244" t="s">
        <v>8615</v>
      </c>
      <c r="C177" s="244"/>
      <c r="D177" s="297" t="s">
        <v>8614</v>
      </c>
      <c r="E177" s="245"/>
      <c r="F177" s="244" t="s">
        <v>8613</v>
      </c>
      <c r="G177" s="243" t="s">
        <v>5168</v>
      </c>
      <c r="H177" s="239" t="s">
        <v>7175</v>
      </c>
      <c r="J177" s="238" t="str">
        <f t="shared" si="2"/>
        <v/>
      </c>
    </row>
    <row r="178" spans="1:10" ht="18.75">
      <c r="A178" s="240"/>
      <c r="B178" s="240" t="s">
        <v>8612</v>
      </c>
      <c r="C178" s="240"/>
      <c r="D178" s="240" t="s">
        <v>8611</v>
      </c>
      <c r="E178" s="240"/>
      <c r="F178" s="240"/>
      <c r="G178" s="240"/>
      <c r="H178" s="240"/>
      <c r="I178" s="240"/>
      <c r="J178" s="238" t="str">
        <f t="shared" si="2"/>
        <v/>
      </c>
    </row>
    <row r="179" spans="1:10">
      <c r="D179" s="238" t="s">
        <v>8610</v>
      </c>
      <c r="J179" s="238" t="str">
        <f t="shared" si="2"/>
        <v/>
      </c>
    </row>
    <row r="180" spans="1:10">
      <c r="A180" s="238" t="s">
        <v>8609</v>
      </c>
      <c r="B180" s="238" t="s">
        <v>8608</v>
      </c>
      <c r="C180" s="238" t="s">
        <v>6304</v>
      </c>
      <c r="D180" s="238" t="s">
        <v>8607</v>
      </c>
      <c r="G180" s="238" t="s">
        <v>5197</v>
      </c>
      <c r="J180" s="238" t="str">
        <f t="shared" si="2"/>
        <v/>
      </c>
    </row>
    <row r="181" spans="1:10">
      <c r="D181" s="238" t="s">
        <v>8606</v>
      </c>
      <c r="J181" s="238" t="str">
        <f t="shared" si="2"/>
        <v/>
      </c>
    </row>
    <row r="182" spans="1:10" ht="18.75">
      <c r="A182" s="240"/>
      <c r="B182" s="240" t="s">
        <v>8605</v>
      </c>
      <c r="C182" s="240"/>
      <c r="D182" s="240" t="s">
        <v>8604</v>
      </c>
      <c r="E182" s="240"/>
      <c r="F182" s="240"/>
      <c r="G182" s="240"/>
      <c r="H182" s="240"/>
      <c r="I182" s="240"/>
      <c r="J182" s="238" t="str">
        <f t="shared" si="2"/>
        <v/>
      </c>
    </row>
    <row r="183" spans="1:10" ht="18.75">
      <c r="A183" s="244" t="s">
        <v>8603</v>
      </c>
      <c r="B183" s="244" t="s">
        <v>8602</v>
      </c>
      <c r="C183" s="244"/>
      <c r="D183" s="297" t="s">
        <v>8601</v>
      </c>
      <c r="E183" s="245"/>
      <c r="F183" s="244" t="s">
        <v>6132</v>
      </c>
      <c r="G183" s="243" t="s">
        <v>5168</v>
      </c>
      <c r="H183" s="239" t="s">
        <v>7175</v>
      </c>
      <c r="J183" s="238" t="str">
        <f t="shared" si="2"/>
        <v/>
      </c>
    </row>
    <row r="184" spans="1:10">
      <c r="A184" s="238" t="s">
        <v>8600</v>
      </c>
      <c r="B184" s="238" t="s">
        <v>8599</v>
      </c>
      <c r="D184" s="238" t="s">
        <v>8598</v>
      </c>
      <c r="G184" s="238" t="s">
        <v>5197</v>
      </c>
      <c r="J184" s="238" t="str">
        <f t="shared" si="2"/>
        <v/>
      </c>
    </row>
    <row r="185" spans="1:10">
      <c r="D185" s="238" t="s">
        <v>8597</v>
      </c>
      <c r="J185" s="238" t="str">
        <f t="shared" si="2"/>
        <v/>
      </c>
    </row>
    <row r="186" spans="1:10">
      <c r="D186" s="238" t="s">
        <v>8596</v>
      </c>
      <c r="J186" s="238" t="str">
        <f t="shared" si="2"/>
        <v/>
      </c>
    </row>
    <row r="187" spans="1:10">
      <c r="D187" s="238" t="s">
        <v>8595</v>
      </c>
      <c r="J187" s="238" t="str">
        <f t="shared" si="2"/>
        <v/>
      </c>
    </row>
    <row r="188" spans="1:10">
      <c r="D188" s="238" t="s">
        <v>8594</v>
      </c>
      <c r="J188" s="238" t="str">
        <f t="shared" si="2"/>
        <v/>
      </c>
    </row>
    <row r="189" spans="1:10">
      <c r="D189" s="238" t="s">
        <v>8593</v>
      </c>
      <c r="J189" s="238" t="str">
        <f t="shared" si="2"/>
        <v/>
      </c>
    </row>
    <row r="190" spans="1:10">
      <c r="D190" s="238" t="s">
        <v>8592</v>
      </c>
      <c r="J190" s="238" t="str">
        <f t="shared" si="2"/>
        <v/>
      </c>
    </row>
    <row r="191" spans="1:10">
      <c r="D191" s="238" t="s">
        <v>8591</v>
      </c>
      <c r="J191" s="238" t="str">
        <f t="shared" si="2"/>
        <v/>
      </c>
    </row>
    <row r="192" spans="1:10" ht="18.75">
      <c r="A192" s="240"/>
      <c r="B192" s="240" t="s">
        <v>8590</v>
      </c>
      <c r="C192" s="240"/>
      <c r="D192" s="240" t="s">
        <v>8589</v>
      </c>
      <c r="E192" s="240"/>
      <c r="F192" s="240"/>
      <c r="G192" s="240"/>
      <c r="H192" s="240"/>
      <c r="I192" s="240"/>
      <c r="J192" s="238" t="str">
        <f t="shared" si="2"/>
        <v/>
      </c>
    </row>
    <row r="193" spans="1:10">
      <c r="D193" s="238" t="s">
        <v>8588</v>
      </c>
      <c r="J193" s="238" t="str">
        <f t="shared" si="2"/>
        <v/>
      </c>
    </row>
    <row r="194" spans="1:10">
      <c r="D194" s="238" t="s">
        <v>8587</v>
      </c>
      <c r="J194" s="238" t="str">
        <f t="shared" si="2"/>
        <v/>
      </c>
    </row>
    <row r="195" spans="1:10">
      <c r="D195" s="238" t="s">
        <v>8586</v>
      </c>
      <c r="J195" s="238" t="str">
        <f t="shared" ref="J195:J258" si="3">IF(D194=D195,"OK","")</f>
        <v/>
      </c>
    </row>
    <row r="196" spans="1:10">
      <c r="A196" s="238" t="s">
        <v>8585</v>
      </c>
      <c r="B196" s="238" t="s">
        <v>5857</v>
      </c>
      <c r="D196" s="238" t="s">
        <v>8584</v>
      </c>
      <c r="G196" s="238" t="s">
        <v>5197</v>
      </c>
      <c r="J196" s="238" t="str">
        <f t="shared" si="3"/>
        <v/>
      </c>
    </row>
    <row r="197" spans="1:10">
      <c r="D197" s="238" t="s">
        <v>8583</v>
      </c>
      <c r="J197" s="238" t="str">
        <f t="shared" si="3"/>
        <v/>
      </c>
    </row>
    <row r="198" spans="1:10">
      <c r="D198" s="238" t="s">
        <v>8582</v>
      </c>
      <c r="J198" s="238" t="str">
        <f t="shared" si="3"/>
        <v/>
      </c>
    </row>
    <row r="199" spans="1:10">
      <c r="A199" s="238" t="s">
        <v>8581</v>
      </c>
      <c r="B199" s="238" t="s">
        <v>8580</v>
      </c>
      <c r="D199" s="238" t="s">
        <v>8579</v>
      </c>
      <c r="G199" s="238" t="s">
        <v>5197</v>
      </c>
      <c r="J199" s="238" t="str">
        <f t="shared" si="3"/>
        <v/>
      </c>
    </row>
    <row r="200" spans="1:10">
      <c r="D200" s="238" t="s">
        <v>8578</v>
      </c>
      <c r="J200" s="238" t="str">
        <f t="shared" si="3"/>
        <v/>
      </c>
    </row>
    <row r="201" spans="1:10">
      <c r="D201" s="238" t="s">
        <v>8577</v>
      </c>
      <c r="J201" s="238" t="str">
        <f t="shared" si="3"/>
        <v/>
      </c>
    </row>
    <row r="202" spans="1:10">
      <c r="D202" s="238" t="s">
        <v>8576</v>
      </c>
      <c r="J202" s="238" t="str">
        <f t="shared" si="3"/>
        <v/>
      </c>
    </row>
    <row r="203" spans="1:10">
      <c r="D203" s="238" t="s">
        <v>8575</v>
      </c>
      <c r="J203" s="238" t="str">
        <f t="shared" si="3"/>
        <v/>
      </c>
    </row>
    <row r="204" spans="1:10">
      <c r="A204" s="238" t="s">
        <v>5780</v>
      </c>
      <c r="B204" s="238" t="s">
        <v>8574</v>
      </c>
      <c r="C204" s="238" t="s">
        <v>6284</v>
      </c>
      <c r="D204" s="238" t="s">
        <v>8572</v>
      </c>
      <c r="G204" s="238" t="s">
        <v>5197</v>
      </c>
      <c r="J204" s="238" t="str">
        <f t="shared" si="3"/>
        <v/>
      </c>
    </row>
    <row r="205" spans="1:10">
      <c r="A205" s="244" t="s">
        <v>8573</v>
      </c>
      <c r="B205" s="241"/>
      <c r="C205" s="241"/>
      <c r="D205" s="244" t="s">
        <v>8572</v>
      </c>
      <c r="E205" s="244"/>
      <c r="F205" s="241"/>
      <c r="G205" s="243" t="s">
        <v>5168</v>
      </c>
      <c r="J205" s="238" t="str">
        <f t="shared" si="3"/>
        <v>OK</v>
      </c>
    </row>
    <row r="206" spans="1:10">
      <c r="D206" s="238" t="s">
        <v>8571</v>
      </c>
      <c r="J206" s="238" t="str">
        <f t="shared" si="3"/>
        <v/>
      </c>
    </row>
    <row r="207" spans="1:10">
      <c r="A207" s="238" t="s">
        <v>7226</v>
      </c>
      <c r="B207" s="238" t="s">
        <v>5857</v>
      </c>
      <c r="D207" s="238" t="s">
        <v>8570</v>
      </c>
      <c r="G207" s="238" t="s">
        <v>5197</v>
      </c>
      <c r="J207" s="238" t="str">
        <f t="shared" si="3"/>
        <v/>
      </c>
    </row>
    <row r="208" spans="1:10">
      <c r="D208" s="238" t="s">
        <v>8569</v>
      </c>
      <c r="J208" s="238" t="str">
        <f t="shared" si="3"/>
        <v/>
      </c>
    </row>
    <row r="209" spans="1:10">
      <c r="D209" s="238" t="s">
        <v>8568</v>
      </c>
      <c r="J209" s="238" t="str">
        <f t="shared" si="3"/>
        <v/>
      </c>
    </row>
    <row r="210" spans="1:10">
      <c r="D210" s="238" t="s">
        <v>8567</v>
      </c>
      <c r="J210" s="238" t="str">
        <f t="shared" si="3"/>
        <v/>
      </c>
    </row>
    <row r="211" spans="1:10">
      <c r="D211" s="238" t="s">
        <v>8566</v>
      </c>
      <c r="J211" s="238" t="str">
        <f t="shared" si="3"/>
        <v/>
      </c>
    </row>
    <row r="212" spans="1:10">
      <c r="A212" s="244" t="s">
        <v>8565</v>
      </c>
      <c r="B212" s="241"/>
      <c r="C212" s="241"/>
      <c r="D212" s="264" t="s">
        <v>8564</v>
      </c>
      <c r="E212" s="264"/>
      <c r="F212" s="241"/>
      <c r="G212" s="243" t="s">
        <v>5168</v>
      </c>
      <c r="J212" s="238" t="str">
        <f t="shared" si="3"/>
        <v/>
      </c>
    </row>
    <row r="213" spans="1:10">
      <c r="A213" s="238" t="s">
        <v>8563</v>
      </c>
      <c r="B213" s="238" t="s">
        <v>8562</v>
      </c>
      <c r="D213" s="238" t="s">
        <v>8561</v>
      </c>
      <c r="G213" s="238" t="s">
        <v>5197</v>
      </c>
      <c r="J213" s="238" t="str">
        <f t="shared" si="3"/>
        <v/>
      </c>
    </row>
    <row r="214" spans="1:10">
      <c r="D214" s="238" t="s">
        <v>8560</v>
      </c>
      <c r="J214" s="238" t="str">
        <f t="shared" si="3"/>
        <v/>
      </c>
    </row>
    <row r="215" spans="1:10">
      <c r="A215" s="238" t="s">
        <v>8559</v>
      </c>
      <c r="B215" s="238" t="s">
        <v>5857</v>
      </c>
      <c r="D215" s="238" t="s">
        <v>8558</v>
      </c>
      <c r="G215" s="238" t="s">
        <v>5197</v>
      </c>
      <c r="J215" s="238" t="str">
        <f t="shared" si="3"/>
        <v/>
      </c>
    </row>
    <row r="216" spans="1:10">
      <c r="A216" s="238" t="s">
        <v>8557</v>
      </c>
      <c r="B216" s="238" t="s">
        <v>8556</v>
      </c>
      <c r="D216" s="238" t="s">
        <v>8555</v>
      </c>
      <c r="G216" s="238" t="s">
        <v>5197</v>
      </c>
      <c r="J216" s="238" t="str">
        <f t="shared" si="3"/>
        <v/>
      </c>
    </row>
    <row r="217" spans="1:10">
      <c r="A217" s="238" t="s">
        <v>8554</v>
      </c>
      <c r="B217" s="238" t="s">
        <v>8553</v>
      </c>
      <c r="C217" s="238" t="s">
        <v>8552</v>
      </c>
      <c r="D217" s="238" t="s">
        <v>8551</v>
      </c>
      <c r="G217" s="238" t="s">
        <v>5197</v>
      </c>
      <c r="J217" s="238" t="str">
        <f t="shared" si="3"/>
        <v/>
      </c>
    </row>
    <row r="218" spans="1:10" ht="18.75">
      <c r="A218" s="238" t="s">
        <v>8550</v>
      </c>
      <c r="B218" s="238" t="s">
        <v>8549</v>
      </c>
      <c r="C218" s="238" t="s">
        <v>5403</v>
      </c>
      <c r="D218" s="240" t="s">
        <v>8548</v>
      </c>
      <c r="G218" s="238" t="s">
        <v>5197</v>
      </c>
      <c r="H218" s="239" t="s">
        <v>7175</v>
      </c>
      <c r="J218" s="238" t="str">
        <f t="shared" si="3"/>
        <v/>
      </c>
    </row>
    <row r="219" spans="1:10">
      <c r="A219" s="238" t="s">
        <v>8547</v>
      </c>
      <c r="B219" s="238" t="s">
        <v>5857</v>
      </c>
      <c r="D219" s="238" t="s">
        <v>8546</v>
      </c>
      <c r="G219" s="238" t="s">
        <v>5197</v>
      </c>
      <c r="J219" s="238" t="str">
        <f t="shared" si="3"/>
        <v/>
      </c>
    </row>
    <row r="220" spans="1:10">
      <c r="D220" s="238" t="s">
        <v>8545</v>
      </c>
      <c r="J220" s="238" t="str">
        <f t="shared" si="3"/>
        <v/>
      </c>
    </row>
    <row r="221" spans="1:10">
      <c r="D221" s="238" t="s">
        <v>8544</v>
      </c>
      <c r="J221" s="238" t="str">
        <f t="shared" si="3"/>
        <v/>
      </c>
    </row>
    <row r="222" spans="1:10">
      <c r="A222" s="238" t="s">
        <v>8543</v>
      </c>
      <c r="B222" s="238" t="s">
        <v>8542</v>
      </c>
      <c r="D222" s="238" t="s">
        <v>8541</v>
      </c>
      <c r="G222" s="238" t="s">
        <v>5197</v>
      </c>
      <c r="J222" s="238" t="str">
        <f t="shared" si="3"/>
        <v/>
      </c>
    </row>
    <row r="223" spans="1:10" ht="18.75">
      <c r="A223" s="240"/>
      <c r="B223" s="240" t="s">
        <v>8540</v>
      </c>
      <c r="C223" s="240"/>
      <c r="D223" s="240" t="s">
        <v>8539</v>
      </c>
      <c r="E223" s="240"/>
      <c r="F223" s="240"/>
      <c r="G223" s="240"/>
      <c r="H223" s="240"/>
      <c r="I223" s="240"/>
      <c r="J223" s="238" t="str">
        <f t="shared" si="3"/>
        <v/>
      </c>
    </row>
    <row r="224" spans="1:10">
      <c r="D224" s="238" t="s">
        <v>8538</v>
      </c>
      <c r="J224" s="238" t="str">
        <f t="shared" si="3"/>
        <v/>
      </c>
    </row>
    <row r="225" spans="1:10">
      <c r="D225" s="238" t="s">
        <v>8537</v>
      </c>
      <c r="J225" s="238" t="str">
        <f t="shared" si="3"/>
        <v/>
      </c>
    </row>
    <row r="226" spans="1:10">
      <c r="D226" s="238" t="s">
        <v>8536</v>
      </c>
      <c r="J226" s="238" t="str">
        <f t="shared" si="3"/>
        <v/>
      </c>
    </row>
    <row r="227" spans="1:10" ht="18.75">
      <c r="A227" s="240"/>
      <c r="B227" s="240" t="s">
        <v>8535</v>
      </c>
      <c r="C227" s="240"/>
      <c r="D227" s="240" t="s">
        <v>8534</v>
      </c>
      <c r="E227" s="240"/>
      <c r="F227" s="240"/>
      <c r="G227" s="240"/>
      <c r="H227" s="240"/>
      <c r="I227" s="240"/>
      <c r="J227" s="238" t="str">
        <f t="shared" si="3"/>
        <v/>
      </c>
    </row>
    <row r="228" spans="1:10">
      <c r="A228" s="238" t="s">
        <v>8533</v>
      </c>
      <c r="B228" s="238" t="s">
        <v>5857</v>
      </c>
      <c r="D228" s="238" t="s">
        <v>8532</v>
      </c>
      <c r="G228" s="238" t="s">
        <v>5197</v>
      </c>
      <c r="J228" s="238" t="str">
        <f t="shared" si="3"/>
        <v/>
      </c>
    </row>
    <row r="229" spans="1:10">
      <c r="D229" s="238" t="s">
        <v>8531</v>
      </c>
      <c r="J229" s="238" t="str">
        <f t="shared" si="3"/>
        <v/>
      </c>
    </row>
    <row r="230" spans="1:10">
      <c r="D230" s="238" t="s">
        <v>8530</v>
      </c>
      <c r="J230" s="238" t="str">
        <f t="shared" si="3"/>
        <v/>
      </c>
    </row>
    <row r="231" spans="1:10">
      <c r="D231" s="238" t="s">
        <v>8529</v>
      </c>
      <c r="J231" s="238" t="str">
        <f t="shared" si="3"/>
        <v/>
      </c>
    </row>
    <row r="232" spans="1:10">
      <c r="D232" s="238" t="s">
        <v>8528</v>
      </c>
      <c r="J232" s="238" t="str">
        <f t="shared" si="3"/>
        <v/>
      </c>
    </row>
    <row r="233" spans="1:10">
      <c r="D233" s="238" t="s">
        <v>8527</v>
      </c>
      <c r="J233" s="238" t="str">
        <f t="shared" si="3"/>
        <v/>
      </c>
    </row>
    <row r="234" spans="1:10">
      <c r="A234" s="238" t="s">
        <v>8526</v>
      </c>
      <c r="B234" s="238" t="s">
        <v>8525</v>
      </c>
      <c r="D234" s="238" t="s">
        <v>8524</v>
      </c>
      <c r="G234" s="238" t="s">
        <v>5197</v>
      </c>
      <c r="H234" s="239" t="s">
        <v>7175</v>
      </c>
      <c r="J234" s="238" t="str">
        <f t="shared" si="3"/>
        <v/>
      </c>
    </row>
    <row r="235" spans="1:10">
      <c r="A235" s="238" t="s">
        <v>8523</v>
      </c>
      <c r="B235" s="238" t="s">
        <v>8004</v>
      </c>
      <c r="D235" s="238" t="s">
        <v>8522</v>
      </c>
      <c r="F235" s="238" t="s">
        <v>8521</v>
      </c>
      <c r="G235" s="238" t="s">
        <v>5197</v>
      </c>
      <c r="J235" s="238" t="str">
        <f t="shared" si="3"/>
        <v/>
      </c>
    </row>
    <row r="236" spans="1:10">
      <c r="A236" s="238" t="s">
        <v>8520</v>
      </c>
      <c r="B236" s="238" t="s">
        <v>8519</v>
      </c>
      <c r="C236" s="238" t="s">
        <v>8518</v>
      </c>
      <c r="D236" s="238" t="s">
        <v>8517</v>
      </c>
      <c r="G236" s="238" t="s">
        <v>5197</v>
      </c>
      <c r="J236" s="238" t="str">
        <f t="shared" si="3"/>
        <v/>
      </c>
    </row>
    <row r="237" spans="1:10">
      <c r="A237" s="238" t="s">
        <v>8516</v>
      </c>
      <c r="B237" s="238" t="s">
        <v>5857</v>
      </c>
      <c r="D237" s="238" t="s">
        <v>8515</v>
      </c>
      <c r="G237" s="238" t="s">
        <v>5197</v>
      </c>
      <c r="J237" s="238" t="str">
        <f t="shared" si="3"/>
        <v/>
      </c>
    </row>
    <row r="238" spans="1:10">
      <c r="D238" s="238" t="s">
        <v>8514</v>
      </c>
      <c r="J238" s="238" t="str">
        <f t="shared" si="3"/>
        <v/>
      </c>
    </row>
    <row r="239" spans="1:10">
      <c r="A239" s="238" t="s">
        <v>8513</v>
      </c>
      <c r="B239" s="238" t="s">
        <v>8512</v>
      </c>
      <c r="D239" s="238" t="s">
        <v>8511</v>
      </c>
      <c r="G239" s="238" t="s">
        <v>5197</v>
      </c>
      <c r="J239" s="238" t="str">
        <f t="shared" si="3"/>
        <v/>
      </c>
    </row>
    <row r="240" spans="1:10">
      <c r="D240" s="238" t="s">
        <v>8510</v>
      </c>
      <c r="J240" s="238" t="str">
        <f t="shared" si="3"/>
        <v/>
      </c>
    </row>
    <row r="241" spans="1:10">
      <c r="A241" s="238" t="s">
        <v>8509</v>
      </c>
      <c r="B241" s="238" t="s">
        <v>8508</v>
      </c>
      <c r="C241" s="238" t="s">
        <v>8507</v>
      </c>
      <c r="D241" s="238" t="s">
        <v>8506</v>
      </c>
      <c r="G241" s="238" t="s">
        <v>5197</v>
      </c>
      <c r="J241" s="238" t="str">
        <f t="shared" si="3"/>
        <v/>
      </c>
    </row>
    <row r="242" spans="1:10">
      <c r="A242" s="238" t="s">
        <v>8505</v>
      </c>
      <c r="B242" s="238" t="s">
        <v>8504</v>
      </c>
      <c r="D242" s="238" t="s">
        <v>8503</v>
      </c>
      <c r="G242" s="238" t="s">
        <v>5197</v>
      </c>
      <c r="J242" s="238" t="str">
        <f t="shared" si="3"/>
        <v/>
      </c>
    </row>
    <row r="243" spans="1:10">
      <c r="A243" s="238" t="s">
        <v>8502</v>
      </c>
      <c r="B243" s="238" t="s">
        <v>8501</v>
      </c>
      <c r="D243" s="238" t="s">
        <v>8500</v>
      </c>
      <c r="G243" s="238" t="s">
        <v>5197</v>
      </c>
      <c r="J243" s="238" t="str">
        <f t="shared" si="3"/>
        <v/>
      </c>
    </row>
    <row r="244" spans="1:10" ht="18.75">
      <c r="A244" s="238" t="s">
        <v>8499</v>
      </c>
      <c r="B244" s="238" t="s">
        <v>8498</v>
      </c>
      <c r="D244" s="240" t="s">
        <v>8497</v>
      </c>
      <c r="G244" s="238" t="s">
        <v>5197</v>
      </c>
      <c r="H244" s="239" t="s">
        <v>7175</v>
      </c>
      <c r="J244" s="238" t="str">
        <f t="shared" si="3"/>
        <v/>
      </c>
    </row>
    <row r="245" spans="1:10">
      <c r="A245" s="238" t="s">
        <v>6984</v>
      </c>
      <c r="B245" s="238" t="s">
        <v>8496</v>
      </c>
      <c r="D245" s="238" t="s">
        <v>8495</v>
      </c>
      <c r="G245" s="238" t="s">
        <v>5197</v>
      </c>
      <c r="J245" s="238" t="str">
        <f t="shared" si="3"/>
        <v/>
      </c>
    </row>
    <row r="246" spans="1:10">
      <c r="D246" s="238" t="s">
        <v>8494</v>
      </c>
      <c r="J246" s="238" t="str">
        <f t="shared" si="3"/>
        <v/>
      </c>
    </row>
    <row r="247" spans="1:10">
      <c r="A247" s="238" t="s">
        <v>8493</v>
      </c>
      <c r="B247" s="238" t="s">
        <v>8492</v>
      </c>
      <c r="D247" s="238" t="s">
        <v>8491</v>
      </c>
      <c r="G247" s="238" t="s">
        <v>5197</v>
      </c>
      <c r="J247" s="238" t="str">
        <f t="shared" si="3"/>
        <v/>
      </c>
    </row>
    <row r="248" spans="1:10">
      <c r="A248" s="238" t="s">
        <v>8490</v>
      </c>
      <c r="B248" s="238" t="s">
        <v>8489</v>
      </c>
      <c r="C248" s="238" t="s">
        <v>8488</v>
      </c>
      <c r="D248" s="238" t="s">
        <v>8487</v>
      </c>
      <c r="G248" s="238" t="s">
        <v>5197</v>
      </c>
      <c r="J248" s="238" t="str">
        <f t="shared" si="3"/>
        <v/>
      </c>
    </row>
    <row r="249" spans="1:10">
      <c r="D249" s="238" t="s">
        <v>8486</v>
      </c>
      <c r="J249" s="238" t="str">
        <f t="shared" si="3"/>
        <v/>
      </c>
    </row>
    <row r="250" spans="1:10">
      <c r="D250" s="238" t="s">
        <v>8485</v>
      </c>
      <c r="J250" s="238" t="str">
        <f t="shared" si="3"/>
        <v/>
      </c>
    </row>
    <row r="251" spans="1:10">
      <c r="A251" s="238" t="s">
        <v>8484</v>
      </c>
      <c r="B251" s="238" t="s">
        <v>8483</v>
      </c>
      <c r="D251" s="238" t="s">
        <v>8482</v>
      </c>
      <c r="G251" s="238" t="s">
        <v>5197</v>
      </c>
      <c r="J251" s="238" t="str">
        <f t="shared" si="3"/>
        <v/>
      </c>
    </row>
    <row r="252" spans="1:10">
      <c r="A252" s="238" t="s">
        <v>8481</v>
      </c>
      <c r="B252" s="238" t="s">
        <v>8480</v>
      </c>
      <c r="C252" s="238" t="s">
        <v>8479</v>
      </c>
      <c r="D252" s="238" t="s">
        <v>8478</v>
      </c>
      <c r="G252" s="238" t="s">
        <v>5197</v>
      </c>
      <c r="J252" s="238" t="str">
        <f t="shared" si="3"/>
        <v/>
      </c>
    </row>
    <row r="253" spans="1:10">
      <c r="D253" s="238" t="s">
        <v>8477</v>
      </c>
      <c r="J253" s="238" t="str">
        <f t="shared" si="3"/>
        <v/>
      </c>
    </row>
    <row r="254" spans="1:10">
      <c r="A254" s="238" t="s">
        <v>7159</v>
      </c>
      <c r="B254" s="238" t="s">
        <v>8476</v>
      </c>
      <c r="D254" s="238" t="s">
        <v>8475</v>
      </c>
      <c r="G254" s="238" t="s">
        <v>5197</v>
      </c>
      <c r="J254" s="238" t="str">
        <f t="shared" si="3"/>
        <v/>
      </c>
    </row>
    <row r="255" spans="1:10">
      <c r="A255" s="238" t="s">
        <v>8474</v>
      </c>
      <c r="B255" s="238" t="s">
        <v>8473</v>
      </c>
      <c r="D255" s="238" t="s">
        <v>8472</v>
      </c>
      <c r="G255" s="238" t="s">
        <v>5197</v>
      </c>
      <c r="J255" s="238" t="str">
        <f t="shared" si="3"/>
        <v/>
      </c>
    </row>
    <row r="256" spans="1:10">
      <c r="D256" s="238" t="s">
        <v>8471</v>
      </c>
      <c r="J256" s="238" t="str">
        <f t="shared" si="3"/>
        <v/>
      </c>
    </row>
    <row r="257" spans="1:10">
      <c r="D257" s="238" t="s">
        <v>8470</v>
      </c>
      <c r="J257" s="238" t="str">
        <f t="shared" si="3"/>
        <v/>
      </c>
    </row>
    <row r="258" spans="1:10">
      <c r="D258" s="238" t="s">
        <v>8469</v>
      </c>
      <c r="J258" s="238" t="str">
        <f t="shared" si="3"/>
        <v/>
      </c>
    </row>
    <row r="259" spans="1:10">
      <c r="A259" s="238" t="s">
        <v>8468</v>
      </c>
      <c r="B259" s="238" t="s">
        <v>8467</v>
      </c>
      <c r="C259" s="238" t="s">
        <v>8466</v>
      </c>
      <c r="D259" s="238" t="s">
        <v>8465</v>
      </c>
      <c r="G259" s="238" t="s">
        <v>5197</v>
      </c>
      <c r="J259" s="238" t="str">
        <f t="shared" ref="J259:J322" si="4">IF(D258=D259,"OK","")</f>
        <v/>
      </c>
    </row>
    <row r="260" spans="1:10">
      <c r="D260" s="238" t="s">
        <v>8464</v>
      </c>
      <c r="J260" s="238" t="str">
        <f t="shared" si="4"/>
        <v/>
      </c>
    </row>
    <row r="261" spans="1:10">
      <c r="D261" s="238" t="s">
        <v>8463</v>
      </c>
      <c r="J261" s="238" t="str">
        <f t="shared" si="4"/>
        <v/>
      </c>
    </row>
    <row r="262" spans="1:10">
      <c r="D262" s="238" t="s">
        <v>8462</v>
      </c>
      <c r="J262" s="238" t="str">
        <f t="shared" si="4"/>
        <v/>
      </c>
    </row>
    <row r="263" spans="1:10">
      <c r="A263" s="238" t="s">
        <v>7711</v>
      </c>
      <c r="B263" s="238" t="s">
        <v>5857</v>
      </c>
      <c r="D263" s="238" t="s">
        <v>8461</v>
      </c>
      <c r="G263" s="238" t="s">
        <v>5197</v>
      </c>
      <c r="J263" s="238" t="str">
        <f t="shared" si="4"/>
        <v/>
      </c>
    </row>
    <row r="264" spans="1:10">
      <c r="A264" s="238" t="s">
        <v>8460</v>
      </c>
      <c r="B264" s="238" t="s">
        <v>8459</v>
      </c>
      <c r="C264" s="238" t="s">
        <v>8458</v>
      </c>
      <c r="D264" s="238" t="s">
        <v>8457</v>
      </c>
      <c r="G264" s="238" t="s">
        <v>5197</v>
      </c>
      <c r="J264" s="238" t="str">
        <f t="shared" si="4"/>
        <v/>
      </c>
    </row>
    <row r="265" spans="1:10">
      <c r="D265" s="238" t="s">
        <v>8456</v>
      </c>
      <c r="J265" s="238" t="str">
        <f t="shared" si="4"/>
        <v/>
      </c>
    </row>
    <row r="266" spans="1:10">
      <c r="D266" s="238" t="s">
        <v>8455</v>
      </c>
      <c r="J266" s="238" t="str">
        <f t="shared" si="4"/>
        <v/>
      </c>
    </row>
    <row r="267" spans="1:10">
      <c r="D267" s="238" t="s">
        <v>8454</v>
      </c>
      <c r="J267" s="238" t="str">
        <f t="shared" si="4"/>
        <v/>
      </c>
    </row>
    <row r="268" spans="1:10">
      <c r="D268" s="238" t="s">
        <v>8453</v>
      </c>
      <c r="J268" s="238" t="str">
        <f t="shared" si="4"/>
        <v/>
      </c>
    </row>
    <row r="269" spans="1:10">
      <c r="A269" s="238" t="s">
        <v>7451</v>
      </c>
      <c r="B269" s="238" t="s">
        <v>7450</v>
      </c>
      <c r="D269" s="238" t="s">
        <v>8452</v>
      </c>
      <c r="G269" s="238" t="s">
        <v>5197</v>
      </c>
      <c r="J269" s="238" t="str">
        <f t="shared" si="4"/>
        <v/>
      </c>
    </row>
    <row r="270" spans="1:10">
      <c r="D270" s="238" t="s">
        <v>8451</v>
      </c>
      <c r="J270" s="238" t="str">
        <f t="shared" si="4"/>
        <v/>
      </c>
    </row>
    <row r="271" spans="1:10">
      <c r="A271" s="244" t="s">
        <v>8450</v>
      </c>
      <c r="B271" s="244" t="s">
        <v>8449</v>
      </c>
      <c r="C271" s="244"/>
      <c r="D271" s="238" t="s">
        <v>8448</v>
      </c>
      <c r="E271" s="245"/>
      <c r="F271" s="244" t="s">
        <v>8447</v>
      </c>
      <c r="G271" s="243" t="s">
        <v>5168</v>
      </c>
      <c r="J271" s="238" t="str">
        <f t="shared" si="4"/>
        <v/>
      </c>
    </row>
    <row r="272" spans="1:10">
      <c r="A272" s="238" t="s">
        <v>8446</v>
      </c>
      <c r="B272" s="238" t="s">
        <v>6423</v>
      </c>
      <c r="D272" s="238" t="s">
        <v>8445</v>
      </c>
      <c r="G272" s="238" t="s">
        <v>5197</v>
      </c>
      <c r="J272" s="238" t="str">
        <f t="shared" si="4"/>
        <v/>
      </c>
    </row>
    <row r="273" spans="1:10">
      <c r="D273" s="238" t="s">
        <v>8444</v>
      </c>
      <c r="J273" s="238" t="str">
        <f t="shared" si="4"/>
        <v/>
      </c>
    </row>
    <row r="274" spans="1:10">
      <c r="D274" s="238" t="s">
        <v>8443</v>
      </c>
      <c r="J274" s="238" t="str">
        <f t="shared" si="4"/>
        <v/>
      </c>
    </row>
    <row r="275" spans="1:10">
      <c r="D275" s="238" t="s">
        <v>8442</v>
      </c>
      <c r="J275" s="238" t="str">
        <f t="shared" si="4"/>
        <v/>
      </c>
    </row>
    <row r="276" spans="1:10">
      <c r="D276" s="238" t="s">
        <v>8441</v>
      </c>
      <c r="J276" s="238" t="str">
        <f t="shared" si="4"/>
        <v/>
      </c>
    </row>
    <row r="277" spans="1:10">
      <c r="D277" s="238" t="s">
        <v>8440</v>
      </c>
      <c r="J277" s="238" t="str">
        <f t="shared" si="4"/>
        <v/>
      </c>
    </row>
    <row r="278" spans="1:10">
      <c r="D278" s="238" t="s">
        <v>8439</v>
      </c>
      <c r="J278" s="238" t="str">
        <f t="shared" si="4"/>
        <v/>
      </c>
    </row>
    <row r="279" spans="1:10">
      <c r="D279" s="238" t="s">
        <v>8438</v>
      </c>
      <c r="J279" s="238" t="str">
        <f t="shared" si="4"/>
        <v/>
      </c>
    </row>
    <row r="280" spans="1:10">
      <c r="D280" s="238" t="s">
        <v>8437</v>
      </c>
      <c r="J280" s="238" t="str">
        <f t="shared" si="4"/>
        <v/>
      </c>
    </row>
    <row r="281" spans="1:10">
      <c r="D281" s="238" t="s">
        <v>8436</v>
      </c>
      <c r="J281" s="238" t="str">
        <f t="shared" si="4"/>
        <v/>
      </c>
    </row>
    <row r="282" spans="1:10">
      <c r="A282" s="238" t="s">
        <v>8435</v>
      </c>
      <c r="B282" s="238" t="s">
        <v>5857</v>
      </c>
      <c r="D282" s="238" t="s">
        <v>8434</v>
      </c>
      <c r="G282" s="238" t="s">
        <v>5197</v>
      </c>
      <c r="J282" s="238" t="str">
        <f t="shared" si="4"/>
        <v/>
      </c>
    </row>
    <row r="283" spans="1:10">
      <c r="A283" s="238" t="s">
        <v>8433</v>
      </c>
      <c r="B283" s="238" t="s">
        <v>8432</v>
      </c>
      <c r="D283" s="238" t="s">
        <v>8431</v>
      </c>
      <c r="G283" s="238" t="s">
        <v>5197</v>
      </c>
      <c r="J283" s="238" t="str">
        <f t="shared" si="4"/>
        <v/>
      </c>
    </row>
    <row r="284" spans="1:10">
      <c r="D284" s="238" t="s">
        <v>8430</v>
      </c>
      <c r="J284" s="238" t="str">
        <f t="shared" si="4"/>
        <v/>
      </c>
    </row>
    <row r="285" spans="1:10">
      <c r="D285" s="238" t="s">
        <v>8429</v>
      </c>
      <c r="J285" s="238" t="str">
        <f t="shared" si="4"/>
        <v/>
      </c>
    </row>
    <row r="286" spans="1:10">
      <c r="A286" s="238" t="s">
        <v>8428</v>
      </c>
      <c r="B286" s="238" t="s">
        <v>8427</v>
      </c>
      <c r="C286" s="238" t="s">
        <v>6304</v>
      </c>
      <c r="D286" s="238" t="s">
        <v>8426</v>
      </c>
      <c r="F286" s="238" t="s">
        <v>8425</v>
      </c>
      <c r="G286" s="238" t="s">
        <v>5197</v>
      </c>
      <c r="J286" s="238" t="str">
        <f t="shared" si="4"/>
        <v/>
      </c>
    </row>
    <row r="287" spans="1:10">
      <c r="A287" s="247" t="s">
        <v>8424</v>
      </c>
      <c r="B287" s="247" t="s">
        <v>8423</v>
      </c>
      <c r="C287" s="247"/>
      <c r="D287" s="256" t="s">
        <v>8422</v>
      </c>
      <c r="E287" s="248"/>
      <c r="F287" s="247" t="s">
        <v>8421</v>
      </c>
      <c r="G287" s="243" t="s">
        <v>5168</v>
      </c>
      <c r="J287" s="238" t="str">
        <f t="shared" si="4"/>
        <v>OK</v>
      </c>
    </row>
    <row r="288" spans="1:10">
      <c r="D288" s="238" t="s">
        <v>8420</v>
      </c>
      <c r="J288" s="238" t="str">
        <f t="shared" si="4"/>
        <v/>
      </c>
    </row>
    <row r="289" spans="1:10" ht="18.75">
      <c r="A289" s="240"/>
      <c r="B289" s="240" t="s">
        <v>8419</v>
      </c>
      <c r="C289" s="240"/>
      <c r="D289" s="240" t="s">
        <v>8418</v>
      </c>
      <c r="E289" s="240"/>
      <c r="F289" s="240"/>
      <c r="G289" s="240"/>
      <c r="H289" s="240"/>
      <c r="I289" s="240"/>
      <c r="J289" s="238" t="str">
        <f t="shared" si="4"/>
        <v/>
      </c>
    </row>
    <row r="290" spans="1:10">
      <c r="D290" s="238" t="s">
        <v>8417</v>
      </c>
      <c r="J290" s="238" t="str">
        <f t="shared" si="4"/>
        <v/>
      </c>
    </row>
    <row r="291" spans="1:10" ht="18.75">
      <c r="A291" s="240"/>
      <c r="B291" s="240" t="s">
        <v>5342</v>
      </c>
      <c r="C291" s="240"/>
      <c r="D291" s="240" t="s">
        <v>8416</v>
      </c>
      <c r="E291" s="240"/>
      <c r="F291" s="240"/>
      <c r="G291" s="240"/>
      <c r="H291" s="240"/>
      <c r="I291" s="240"/>
      <c r="J291" s="238" t="str">
        <f t="shared" si="4"/>
        <v/>
      </c>
    </row>
    <row r="292" spans="1:10">
      <c r="D292" s="238" t="s">
        <v>8415</v>
      </c>
      <c r="J292" s="238" t="str">
        <f t="shared" si="4"/>
        <v/>
      </c>
    </row>
    <row r="293" spans="1:10">
      <c r="D293" s="238" t="s">
        <v>8414</v>
      </c>
      <c r="J293" s="238" t="str">
        <f t="shared" si="4"/>
        <v/>
      </c>
    </row>
    <row r="294" spans="1:10">
      <c r="D294" s="238" t="s">
        <v>8413</v>
      </c>
      <c r="J294" s="238" t="str">
        <f t="shared" si="4"/>
        <v/>
      </c>
    </row>
    <row r="295" spans="1:10">
      <c r="D295" s="238" t="s">
        <v>8412</v>
      </c>
      <c r="J295" s="238" t="str">
        <f t="shared" si="4"/>
        <v/>
      </c>
    </row>
    <row r="296" spans="1:10">
      <c r="A296" s="238" t="s">
        <v>8411</v>
      </c>
      <c r="B296" s="238" t="s">
        <v>8410</v>
      </c>
      <c r="D296" s="238" t="s">
        <v>8409</v>
      </c>
      <c r="G296" s="238" t="s">
        <v>5197</v>
      </c>
      <c r="J296" s="238" t="str">
        <f t="shared" si="4"/>
        <v/>
      </c>
    </row>
    <row r="297" spans="1:10">
      <c r="D297" s="238" t="s">
        <v>8408</v>
      </c>
      <c r="J297" s="238" t="str">
        <f t="shared" si="4"/>
        <v/>
      </c>
    </row>
    <row r="298" spans="1:10">
      <c r="D298" s="238" t="s">
        <v>8407</v>
      </c>
      <c r="J298" s="238" t="str">
        <f t="shared" si="4"/>
        <v/>
      </c>
    </row>
    <row r="299" spans="1:10">
      <c r="A299" s="244" t="s">
        <v>8406</v>
      </c>
      <c r="B299" s="241"/>
      <c r="C299" s="241"/>
      <c r="D299" s="244" t="s">
        <v>8406</v>
      </c>
      <c r="E299" s="244"/>
      <c r="F299" s="241"/>
      <c r="G299" s="243" t="s">
        <v>5168</v>
      </c>
      <c r="J299" s="238" t="str">
        <f t="shared" si="4"/>
        <v/>
      </c>
    </row>
    <row r="300" spans="1:10" ht="18.75">
      <c r="A300" s="240"/>
      <c r="B300" s="240" t="s">
        <v>8405</v>
      </c>
      <c r="C300" s="240"/>
      <c r="D300" s="240" t="s">
        <v>8404</v>
      </c>
      <c r="E300" s="240"/>
      <c r="F300" s="240"/>
      <c r="G300" s="240"/>
      <c r="H300" s="240"/>
      <c r="I300" s="240"/>
      <c r="J300" s="238" t="str">
        <f t="shared" si="4"/>
        <v/>
      </c>
    </row>
    <row r="301" spans="1:10" ht="18.75">
      <c r="A301" s="238" t="s">
        <v>8403</v>
      </c>
      <c r="B301" s="238" t="s">
        <v>8312</v>
      </c>
      <c r="C301" s="238" t="s">
        <v>6304</v>
      </c>
      <c r="D301" s="240" t="s">
        <v>8402</v>
      </c>
      <c r="G301" s="238" t="s">
        <v>5197</v>
      </c>
      <c r="H301" s="239" t="s">
        <v>7175</v>
      </c>
      <c r="J301" s="238" t="str">
        <f t="shared" si="4"/>
        <v/>
      </c>
    </row>
    <row r="302" spans="1:10">
      <c r="D302" s="238" t="s">
        <v>8401</v>
      </c>
      <c r="J302" s="238" t="str">
        <f t="shared" si="4"/>
        <v/>
      </c>
    </row>
    <row r="303" spans="1:10">
      <c r="D303" s="238" t="s">
        <v>8400</v>
      </c>
      <c r="J303" s="238" t="str">
        <f t="shared" si="4"/>
        <v/>
      </c>
    </row>
    <row r="304" spans="1:10">
      <c r="D304" s="238" t="s">
        <v>8399</v>
      </c>
      <c r="J304" s="238" t="str">
        <f t="shared" si="4"/>
        <v/>
      </c>
    </row>
    <row r="305" spans="1:10" ht="18.75">
      <c r="A305" s="238" t="s">
        <v>8398</v>
      </c>
      <c r="B305" s="238" t="s">
        <v>8397</v>
      </c>
      <c r="C305" s="238" t="s">
        <v>6304</v>
      </c>
      <c r="D305" s="240" t="s">
        <v>8396</v>
      </c>
      <c r="G305" s="238" t="s">
        <v>5197</v>
      </c>
      <c r="H305" s="239" t="s">
        <v>7175</v>
      </c>
      <c r="J305" s="238" t="str">
        <f t="shared" si="4"/>
        <v/>
      </c>
    </row>
    <row r="306" spans="1:10">
      <c r="D306" s="238" t="s">
        <v>8395</v>
      </c>
      <c r="J306" s="238" t="str">
        <f t="shared" si="4"/>
        <v/>
      </c>
    </row>
    <row r="307" spans="1:10">
      <c r="A307" s="238" t="s">
        <v>8394</v>
      </c>
      <c r="B307" s="238" t="s">
        <v>8393</v>
      </c>
      <c r="C307" s="238" t="s">
        <v>5199</v>
      </c>
      <c r="D307" s="238" t="s">
        <v>8392</v>
      </c>
      <c r="G307" s="238" t="s">
        <v>5197</v>
      </c>
      <c r="J307" s="238" t="str">
        <f t="shared" si="4"/>
        <v/>
      </c>
    </row>
    <row r="308" spans="1:10">
      <c r="D308" s="238" t="s">
        <v>8391</v>
      </c>
      <c r="J308" s="238" t="str">
        <f t="shared" si="4"/>
        <v/>
      </c>
    </row>
    <row r="309" spans="1:10">
      <c r="A309" s="238" t="s">
        <v>8390</v>
      </c>
      <c r="B309" s="238" t="s">
        <v>8389</v>
      </c>
      <c r="D309" s="238" t="s">
        <v>8388</v>
      </c>
      <c r="G309" s="238" t="s">
        <v>5197</v>
      </c>
      <c r="J309" s="238" t="str">
        <f t="shared" si="4"/>
        <v/>
      </c>
    </row>
    <row r="310" spans="1:10">
      <c r="A310" s="238" t="s">
        <v>5584</v>
      </c>
      <c r="B310" s="238" t="s">
        <v>5857</v>
      </c>
      <c r="D310" s="238" t="s">
        <v>8387</v>
      </c>
      <c r="G310" s="238" t="s">
        <v>5197</v>
      </c>
      <c r="J310" s="238" t="str">
        <f t="shared" si="4"/>
        <v/>
      </c>
    </row>
    <row r="311" spans="1:10">
      <c r="D311" s="238" t="s">
        <v>8386</v>
      </c>
      <c r="J311" s="238" t="str">
        <f t="shared" si="4"/>
        <v/>
      </c>
    </row>
    <row r="312" spans="1:10" ht="18.75">
      <c r="A312" s="238" t="s">
        <v>6865</v>
      </c>
      <c r="B312" s="238" t="s">
        <v>8385</v>
      </c>
      <c r="D312" s="249" t="s">
        <v>8384</v>
      </c>
      <c r="G312" s="238" t="s">
        <v>5197</v>
      </c>
      <c r="J312" s="238" t="str">
        <f t="shared" si="4"/>
        <v/>
      </c>
    </row>
    <row r="313" spans="1:10">
      <c r="A313" s="238" t="s">
        <v>8383</v>
      </c>
      <c r="B313" s="238" t="s">
        <v>5857</v>
      </c>
      <c r="D313" s="238" t="s">
        <v>8382</v>
      </c>
      <c r="G313" s="238" t="s">
        <v>5197</v>
      </c>
      <c r="J313" s="238" t="str">
        <f t="shared" si="4"/>
        <v/>
      </c>
    </row>
    <row r="314" spans="1:10">
      <c r="D314" s="238" t="s">
        <v>8381</v>
      </c>
      <c r="J314" s="238" t="str">
        <f t="shared" si="4"/>
        <v/>
      </c>
    </row>
    <row r="315" spans="1:10">
      <c r="D315" s="238" t="s">
        <v>8380</v>
      </c>
      <c r="J315" s="238" t="str">
        <f t="shared" si="4"/>
        <v/>
      </c>
    </row>
    <row r="316" spans="1:10">
      <c r="D316" s="238" t="s">
        <v>8379</v>
      </c>
      <c r="J316" s="238" t="str">
        <f t="shared" si="4"/>
        <v/>
      </c>
    </row>
    <row r="317" spans="1:10">
      <c r="A317" s="238" t="s">
        <v>7526</v>
      </c>
      <c r="B317" s="238" t="s">
        <v>6423</v>
      </c>
      <c r="D317" s="238" t="s">
        <v>8378</v>
      </c>
      <c r="G317" s="238" t="s">
        <v>5197</v>
      </c>
      <c r="J317" s="238" t="str">
        <f t="shared" si="4"/>
        <v/>
      </c>
    </row>
    <row r="318" spans="1:10" ht="18.75">
      <c r="A318" s="240"/>
      <c r="B318" s="240" t="s">
        <v>8377</v>
      </c>
      <c r="C318" s="240"/>
      <c r="D318" s="240" t="s">
        <v>8376</v>
      </c>
      <c r="E318" s="240"/>
      <c r="F318" s="240"/>
      <c r="G318" s="240"/>
      <c r="H318" s="240"/>
      <c r="I318" s="240"/>
      <c r="J318" s="238" t="str">
        <f t="shared" si="4"/>
        <v/>
      </c>
    </row>
    <row r="319" spans="1:10">
      <c r="D319" s="238" t="s">
        <v>8375</v>
      </c>
      <c r="J319" s="238" t="str">
        <f t="shared" si="4"/>
        <v/>
      </c>
    </row>
    <row r="320" spans="1:10">
      <c r="A320" s="238" t="s">
        <v>8374</v>
      </c>
      <c r="B320" s="238" t="s">
        <v>8373</v>
      </c>
      <c r="D320" s="238" t="s">
        <v>8372</v>
      </c>
      <c r="G320" s="238" t="s">
        <v>5197</v>
      </c>
      <c r="J320" s="238" t="str">
        <f t="shared" si="4"/>
        <v/>
      </c>
    </row>
    <row r="321" spans="1:10">
      <c r="D321" s="238" t="s">
        <v>8371</v>
      </c>
      <c r="J321" s="238" t="str">
        <f t="shared" si="4"/>
        <v/>
      </c>
    </row>
    <row r="322" spans="1:10" ht="18.75">
      <c r="A322" s="238" t="s">
        <v>8370</v>
      </c>
      <c r="B322" s="238" t="s">
        <v>8369</v>
      </c>
      <c r="D322" s="240" t="s">
        <v>8368</v>
      </c>
      <c r="G322" s="238" t="s">
        <v>5197</v>
      </c>
      <c r="H322" s="239" t="s">
        <v>7175</v>
      </c>
      <c r="J322" s="238" t="str">
        <f t="shared" si="4"/>
        <v/>
      </c>
    </row>
    <row r="323" spans="1:10" ht="18.75">
      <c r="A323" s="238" t="s">
        <v>8367</v>
      </c>
      <c r="B323" s="238" t="s">
        <v>8366</v>
      </c>
      <c r="C323" s="238" t="s">
        <v>5212</v>
      </c>
      <c r="D323" s="240" t="s">
        <v>8365</v>
      </c>
      <c r="G323" s="238" t="s">
        <v>5197</v>
      </c>
      <c r="H323" s="239" t="s">
        <v>7175</v>
      </c>
      <c r="J323" s="238" t="str">
        <f t="shared" ref="J323:J386" si="5">IF(D322=D323,"OK","")</f>
        <v/>
      </c>
    </row>
    <row r="324" spans="1:10">
      <c r="D324" s="238" t="s">
        <v>8364</v>
      </c>
      <c r="J324" s="238" t="str">
        <f t="shared" si="5"/>
        <v/>
      </c>
    </row>
    <row r="325" spans="1:10">
      <c r="D325" s="238" t="s">
        <v>8363</v>
      </c>
      <c r="J325" s="238" t="str">
        <f t="shared" si="5"/>
        <v/>
      </c>
    </row>
    <row r="326" spans="1:10">
      <c r="D326" s="238" t="s">
        <v>8362</v>
      </c>
      <c r="J326" s="238" t="str">
        <f t="shared" si="5"/>
        <v/>
      </c>
    </row>
    <row r="327" spans="1:10">
      <c r="D327" s="238" t="s">
        <v>8361</v>
      </c>
      <c r="J327" s="238" t="str">
        <f t="shared" si="5"/>
        <v/>
      </c>
    </row>
    <row r="328" spans="1:10">
      <c r="A328" s="238" t="s">
        <v>8360</v>
      </c>
      <c r="B328" s="238" t="s">
        <v>5857</v>
      </c>
      <c r="D328" s="238" t="s">
        <v>8359</v>
      </c>
      <c r="G328" s="238" t="s">
        <v>5197</v>
      </c>
      <c r="J328" s="238" t="str">
        <f t="shared" si="5"/>
        <v/>
      </c>
    </row>
    <row r="329" spans="1:10">
      <c r="A329" s="238" t="s">
        <v>5293</v>
      </c>
      <c r="B329" s="238" t="s">
        <v>8358</v>
      </c>
      <c r="C329" s="238" t="s">
        <v>5379</v>
      </c>
      <c r="D329" s="238" t="s">
        <v>5290</v>
      </c>
      <c r="G329" s="238" t="s">
        <v>5197</v>
      </c>
      <c r="H329" s="239" t="s">
        <v>7175</v>
      </c>
      <c r="J329" s="238" t="str">
        <f t="shared" si="5"/>
        <v/>
      </c>
    </row>
    <row r="330" spans="1:10" ht="18.75">
      <c r="A330" s="240"/>
      <c r="B330" s="240" t="s">
        <v>8357</v>
      </c>
      <c r="C330" s="240"/>
      <c r="D330" s="240" t="s">
        <v>5290</v>
      </c>
      <c r="E330" s="240"/>
      <c r="F330" s="240"/>
      <c r="G330" s="240"/>
      <c r="H330" s="240"/>
      <c r="I330" s="240"/>
      <c r="J330" s="238" t="str">
        <f t="shared" si="5"/>
        <v>OK</v>
      </c>
    </row>
    <row r="331" spans="1:10">
      <c r="D331" s="238" t="s">
        <v>8356</v>
      </c>
      <c r="J331" s="238" t="str">
        <f t="shared" si="5"/>
        <v/>
      </c>
    </row>
    <row r="332" spans="1:10">
      <c r="D332" s="238" t="s">
        <v>8355</v>
      </c>
      <c r="J332" s="238" t="str">
        <f t="shared" si="5"/>
        <v/>
      </c>
    </row>
    <row r="333" spans="1:10" ht="18.75">
      <c r="A333" s="238" t="s">
        <v>8354</v>
      </c>
      <c r="B333" s="240" t="s">
        <v>8353</v>
      </c>
      <c r="C333" s="240"/>
      <c r="D333" s="240" t="s">
        <v>8352</v>
      </c>
      <c r="E333" s="240"/>
      <c r="F333" s="240"/>
      <c r="G333" s="240"/>
      <c r="H333" s="240"/>
      <c r="I333" s="240"/>
      <c r="J333" s="238" t="str">
        <f t="shared" si="5"/>
        <v/>
      </c>
    </row>
    <row r="334" spans="1:10" ht="18.75">
      <c r="A334" s="240"/>
      <c r="B334" s="240" t="s">
        <v>8351</v>
      </c>
      <c r="C334" s="240"/>
      <c r="D334" s="240" t="s">
        <v>8350</v>
      </c>
      <c r="E334" s="240"/>
      <c r="F334" s="240"/>
      <c r="G334" s="240"/>
      <c r="H334" s="240"/>
      <c r="I334" s="240"/>
      <c r="J334" s="238" t="str">
        <f t="shared" si="5"/>
        <v/>
      </c>
    </row>
    <row r="335" spans="1:10" ht="18.75">
      <c r="A335" s="240"/>
      <c r="B335" s="240" t="s">
        <v>8349</v>
      </c>
      <c r="C335" s="240"/>
      <c r="D335" s="240" t="s">
        <v>8348</v>
      </c>
      <c r="E335" s="240"/>
      <c r="F335" s="240"/>
      <c r="G335" s="240"/>
      <c r="H335" s="240"/>
      <c r="I335" s="240"/>
      <c r="J335" s="238" t="str">
        <f t="shared" si="5"/>
        <v/>
      </c>
    </row>
    <row r="336" spans="1:10">
      <c r="A336" s="246"/>
      <c r="B336" s="263"/>
      <c r="C336" s="263"/>
      <c r="D336" s="238" t="s">
        <v>8347</v>
      </c>
      <c r="F336" s="246"/>
      <c r="G336" s="246"/>
      <c r="H336" s="239" t="s">
        <v>7175</v>
      </c>
      <c r="J336" s="238" t="str">
        <f t="shared" si="5"/>
        <v/>
      </c>
    </row>
    <row r="337" spans="1:10">
      <c r="D337" s="238" t="s">
        <v>8346</v>
      </c>
      <c r="J337" s="238" t="str">
        <f t="shared" si="5"/>
        <v>OK</v>
      </c>
    </row>
    <row r="338" spans="1:10">
      <c r="D338" s="238" t="s">
        <v>8346</v>
      </c>
      <c r="J338" s="238" t="str">
        <f t="shared" si="5"/>
        <v>OK</v>
      </c>
    </row>
    <row r="339" spans="1:10">
      <c r="D339" s="238" t="s">
        <v>8345</v>
      </c>
      <c r="J339" s="238" t="str">
        <f t="shared" si="5"/>
        <v/>
      </c>
    </row>
    <row r="340" spans="1:10">
      <c r="A340" s="238" t="s">
        <v>8344</v>
      </c>
      <c r="B340" s="238" t="s">
        <v>8343</v>
      </c>
      <c r="D340" s="238" t="s">
        <v>8342</v>
      </c>
      <c r="G340" s="238" t="s">
        <v>5197</v>
      </c>
      <c r="J340" s="238" t="str">
        <f t="shared" si="5"/>
        <v/>
      </c>
    </row>
    <row r="341" spans="1:10">
      <c r="A341" s="238" t="s">
        <v>8341</v>
      </c>
      <c r="B341" s="238" t="s">
        <v>5857</v>
      </c>
      <c r="D341" s="238" t="s">
        <v>8340</v>
      </c>
      <c r="G341" s="238" t="s">
        <v>5197</v>
      </c>
      <c r="J341" s="238" t="str">
        <f t="shared" si="5"/>
        <v/>
      </c>
    </row>
    <row r="342" spans="1:10">
      <c r="D342" s="238" t="s">
        <v>8339</v>
      </c>
      <c r="J342" s="238" t="str">
        <f t="shared" si="5"/>
        <v/>
      </c>
    </row>
    <row r="343" spans="1:10">
      <c r="A343" s="241" t="s">
        <v>8338</v>
      </c>
      <c r="B343" s="241"/>
      <c r="C343" s="241"/>
      <c r="D343" s="298" t="s">
        <v>8337</v>
      </c>
      <c r="E343" s="264"/>
      <c r="F343" s="241"/>
      <c r="G343" s="243" t="s">
        <v>5168</v>
      </c>
      <c r="J343" s="238" t="str">
        <f t="shared" si="5"/>
        <v/>
      </c>
    </row>
    <row r="344" spans="1:10">
      <c r="D344" s="238" t="s">
        <v>8336</v>
      </c>
      <c r="J344" s="238" t="str">
        <f t="shared" si="5"/>
        <v/>
      </c>
    </row>
    <row r="345" spans="1:10">
      <c r="A345" s="238" t="s">
        <v>8335</v>
      </c>
      <c r="B345" s="238" t="s">
        <v>5857</v>
      </c>
      <c r="D345" s="238" t="s">
        <v>8334</v>
      </c>
      <c r="G345" s="238" t="s">
        <v>5197</v>
      </c>
      <c r="J345" s="238" t="str">
        <f t="shared" si="5"/>
        <v/>
      </c>
    </row>
    <row r="346" spans="1:10">
      <c r="A346" s="238" t="s">
        <v>8333</v>
      </c>
      <c r="B346" s="238" t="s">
        <v>8332</v>
      </c>
      <c r="D346" s="238" t="s">
        <v>8331</v>
      </c>
      <c r="G346" s="238" t="s">
        <v>5197</v>
      </c>
      <c r="J346" s="238" t="str">
        <f t="shared" si="5"/>
        <v/>
      </c>
    </row>
    <row r="347" spans="1:10">
      <c r="D347" s="238" t="s">
        <v>8330</v>
      </c>
      <c r="J347" s="238" t="str">
        <f t="shared" si="5"/>
        <v/>
      </c>
    </row>
    <row r="348" spans="1:10" ht="18.75">
      <c r="A348" s="240"/>
      <c r="B348" s="240" t="s">
        <v>8329</v>
      </c>
      <c r="C348" s="240"/>
      <c r="D348" s="240" t="s">
        <v>8328</v>
      </c>
      <c r="E348" s="240"/>
      <c r="F348" s="240"/>
      <c r="G348" s="240"/>
      <c r="H348" s="240"/>
      <c r="I348" s="240"/>
      <c r="J348" s="238" t="str">
        <f t="shared" si="5"/>
        <v/>
      </c>
    </row>
    <row r="349" spans="1:10" ht="18.75">
      <c r="A349" s="244" t="s">
        <v>8327</v>
      </c>
      <c r="B349" s="244" t="s">
        <v>8326</v>
      </c>
      <c r="C349" s="244"/>
      <c r="D349" s="240" t="s">
        <v>8325</v>
      </c>
      <c r="E349" s="245"/>
      <c r="F349" s="244"/>
      <c r="G349" s="243" t="s">
        <v>5168</v>
      </c>
      <c r="H349" s="239" t="s">
        <v>7175</v>
      </c>
      <c r="J349" s="238" t="str">
        <f t="shared" si="5"/>
        <v/>
      </c>
    </row>
    <row r="350" spans="1:10">
      <c r="D350" s="238" t="s">
        <v>8324</v>
      </c>
      <c r="J350" s="238" t="str">
        <f t="shared" si="5"/>
        <v/>
      </c>
    </row>
    <row r="351" spans="1:10">
      <c r="D351" s="238" t="s">
        <v>8323</v>
      </c>
      <c r="J351" s="238" t="str">
        <f t="shared" si="5"/>
        <v/>
      </c>
    </row>
    <row r="352" spans="1:10">
      <c r="D352" s="238" t="s">
        <v>8322</v>
      </c>
      <c r="J352" s="238" t="str">
        <f t="shared" si="5"/>
        <v/>
      </c>
    </row>
    <row r="353" spans="1:10">
      <c r="D353" s="238" t="s">
        <v>8321</v>
      </c>
      <c r="J353" s="238" t="str">
        <f t="shared" si="5"/>
        <v/>
      </c>
    </row>
    <row r="354" spans="1:10">
      <c r="A354" s="238" t="s">
        <v>8320</v>
      </c>
      <c r="B354" s="238" t="s">
        <v>8319</v>
      </c>
      <c r="C354" s="238" t="s">
        <v>6165</v>
      </c>
      <c r="D354" s="238" t="s">
        <v>8318</v>
      </c>
      <c r="G354" s="238" t="s">
        <v>5197</v>
      </c>
      <c r="J354" s="238" t="str">
        <f t="shared" si="5"/>
        <v/>
      </c>
    </row>
    <row r="355" spans="1:10">
      <c r="D355" s="238" t="s">
        <v>8317</v>
      </c>
      <c r="J355" s="238" t="str">
        <f t="shared" si="5"/>
        <v/>
      </c>
    </row>
    <row r="356" spans="1:10">
      <c r="A356" s="238" t="s">
        <v>6113</v>
      </c>
      <c r="B356" s="238" t="s">
        <v>8316</v>
      </c>
      <c r="C356" s="238" t="s">
        <v>5379</v>
      </c>
      <c r="D356" s="238" t="s">
        <v>8315</v>
      </c>
      <c r="G356" s="238" t="s">
        <v>5197</v>
      </c>
      <c r="J356" s="238" t="str">
        <f t="shared" si="5"/>
        <v/>
      </c>
    </row>
    <row r="357" spans="1:10">
      <c r="D357" s="238" t="s">
        <v>8314</v>
      </c>
      <c r="J357" s="238" t="str">
        <f t="shared" si="5"/>
        <v/>
      </c>
    </row>
    <row r="358" spans="1:10">
      <c r="D358" s="238" t="s">
        <v>8313</v>
      </c>
      <c r="J358" s="238" t="str">
        <f t="shared" si="5"/>
        <v/>
      </c>
    </row>
    <row r="359" spans="1:10" ht="18.75">
      <c r="A359" s="240"/>
      <c r="B359" s="240" t="s">
        <v>8312</v>
      </c>
      <c r="C359" s="240"/>
      <c r="D359" s="240" t="s">
        <v>8311</v>
      </c>
      <c r="E359" s="240"/>
      <c r="F359" s="240"/>
      <c r="G359" s="240"/>
      <c r="H359" s="240"/>
      <c r="I359" s="240"/>
      <c r="J359" s="238" t="str">
        <f t="shared" si="5"/>
        <v/>
      </c>
    </row>
    <row r="360" spans="1:10">
      <c r="A360" s="238" t="s">
        <v>7923</v>
      </c>
      <c r="B360" s="238" t="s">
        <v>5857</v>
      </c>
      <c r="D360" s="238" t="s">
        <v>8310</v>
      </c>
      <c r="G360" s="238" t="s">
        <v>5197</v>
      </c>
      <c r="J360" s="238" t="str">
        <f t="shared" si="5"/>
        <v/>
      </c>
    </row>
    <row r="361" spans="1:10" ht="18.75">
      <c r="A361" s="238" t="s">
        <v>8309</v>
      </c>
      <c r="B361" s="238" t="s">
        <v>8308</v>
      </c>
      <c r="C361" s="238" t="s">
        <v>5212</v>
      </c>
      <c r="D361" s="240" t="s">
        <v>8307</v>
      </c>
      <c r="G361" s="238" t="s">
        <v>5197</v>
      </c>
      <c r="H361" s="239" t="s">
        <v>7175</v>
      </c>
      <c r="J361" s="238" t="str">
        <f t="shared" si="5"/>
        <v/>
      </c>
    </row>
    <row r="362" spans="1:10">
      <c r="A362" s="238" t="s">
        <v>8306</v>
      </c>
      <c r="B362" s="238" t="s">
        <v>8305</v>
      </c>
      <c r="D362" s="238" t="s">
        <v>8304</v>
      </c>
      <c r="G362" s="238" t="s">
        <v>5197</v>
      </c>
      <c r="J362" s="238" t="str">
        <f t="shared" si="5"/>
        <v/>
      </c>
    </row>
    <row r="363" spans="1:10" ht="18.75">
      <c r="A363" s="240"/>
      <c r="B363" s="240" t="s">
        <v>8303</v>
      </c>
      <c r="C363" s="240"/>
      <c r="D363" s="240" t="s">
        <v>8302</v>
      </c>
      <c r="E363" s="240"/>
      <c r="F363" s="240"/>
      <c r="G363" s="240"/>
      <c r="H363" s="240"/>
      <c r="I363" s="240"/>
      <c r="J363" s="238" t="str">
        <f t="shared" si="5"/>
        <v/>
      </c>
    </row>
    <row r="364" spans="1:10">
      <c r="A364" s="244" t="s">
        <v>6144</v>
      </c>
      <c r="B364" s="244" t="s">
        <v>8301</v>
      </c>
      <c r="C364" s="244"/>
      <c r="D364" s="238" t="s">
        <v>8300</v>
      </c>
      <c r="E364" s="245"/>
      <c r="F364" s="244" t="s">
        <v>8299</v>
      </c>
      <c r="G364" s="243" t="s">
        <v>5168</v>
      </c>
      <c r="H364" s="239" t="s">
        <v>7175</v>
      </c>
      <c r="J364" s="238" t="str">
        <f t="shared" si="5"/>
        <v/>
      </c>
    </row>
    <row r="365" spans="1:10">
      <c r="D365" s="238" t="s">
        <v>8298</v>
      </c>
      <c r="J365" s="238" t="str">
        <f t="shared" si="5"/>
        <v/>
      </c>
    </row>
    <row r="366" spans="1:10">
      <c r="D366" s="238" t="s">
        <v>8297</v>
      </c>
      <c r="J366" s="238" t="str">
        <f t="shared" si="5"/>
        <v/>
      </c>
    </row>
    <row r="367" spans="1:10">
      <c r="D367" s="238" t="s">
        <v>8296</v>
      </c>
      <c r="J367" s="238" t="str">
        <f t="shared" si="5"/>
        <v/>
      </c>
    </row>
    <row r="368" spans="1:10">
      <c r="D368" s="238" t="s">
        <v>8295</v>
      </c>
      <c r="J368" s="238" t="str">
        <f t="shared" si="5"/>
        <v/>
      </c>
    </row>
    <row r="369" spans="1:10" ht="18.75">
      <c r="A369" s="240"/>
      <c r="B369" s="240" t="s">
        <v>8294</v>
      </c>
      <c r="C369" s="240"/>
      <c r="D369" s="240" t="s">
        <v>8293</v>
      </c>
      <c r="E369" s="240"/>
      <c r="F369" s="240"/>
      <c r="G369" s="240"/>
      <c r="H369" s="240"/>
      <c r="I369" s="240"/>
      <c r="J369" s="238" t="str">
        <f t="shared" si="5"/>
        <v/>
      </c>
    </row>
    <row r="370" spans="1:10">
      <c r="A370" s="244" t="s">
        <v>8292</v>
      </c>
      <c r="B370" s="244" t="s">
        <v>8291</v>
      </c>
      <c r="C370" s="244"/>
      <c r="D370" s="238" t="s">
        <v>8290</v>
      </c>
      <c r="E370" s="245"/>
      <c r="F370" s="244" t="s">
        <v>8289</v>
      </c>
      <c r="G370" s="243" t="s">
        <v>5168</v>
      </c>
      <c r="H370" s="239" t="s">
        <v>7175</v>
      </c>
      <c r="J370" s="238" t="str">
        <f t="shared" si="5"/>
        <v/>
      </c>
    </row>
    <row r="371" spans="1:10">
      <c r="D371" s="238" t="s">
        <v>8288</v>
      </c>
      <c r="J371" s="238" t="str">
        <f t="shared" si="5"/>
        <v/>
      </c>
    </row>
    <row r="372" spans="1:10">
      <c r="D372" s="238" t="s">
        <v>8287</v>
      </c>
      <c r="J372" s="238" t="str">
        <f t="shared" si="5"/>
        <v/>
      </c>
    </row>
    <row r="373" spans="1:10">
      <c r="A373" s="238" t="s">
        <v>8286</v>
      </c>
      <c r="B373" s="238" t="s">
        <v>8285</v>
      </c>
      <c r="C373" s="238" t="s">
        <v>6202</v>
      </c>
      <c r="D373" s="238" t="s">
        <v>8284</v>
      </c>
      <c r="G373" s="238" t="s">
        <v>5197</v>
      </c>
      <c r="J373" s="238" t="str">
        <f t="shared" si="5"/>
        <v/>
      </c>
    </row>
    <row r="374" spans="1:10">
      <c r="A374" s="238" t="s">
        <v>6096</v>
      </c>
      <c r="B374" s="238" t="s">
        <v>8283</v>
      </c>
      <c r="D374" s="238" t="s">
        <v>8282</v>
      </c>
      <c r="G374" s="238" t="s">
        <v>5197</v>
      </c>
      <c r="J374" s="238" t="str">
        <f t="shared" si="5"/>
        <v/>
      </c>
    </row>
    <row r="375" spans="1:10">
      <c r="D375" s="238" t="s">
        <v>8281</v>
      </c>
      <c r="J375" s="238" t="str">
        <f t="shared" si="5"/>
        <v/>
      </c>
    </row>
    <row r="376" spans="1:10">
      <c r="D376" s="238" t="s">
        <v>8280</v>
      </c>
      <c r="J376" s="238" t="str">
        <f t="shared" si="5"/>
        <v/>
      </c>
    </row>
    <row r="377" spans="1:10">
      <c r="D377" s="238" t="s">
        <v>8279</v>
      </c>
      <c r="J377" s="238" t="str">
        <f t="shared" si="5"/>
        <v/>
      </c>
    </row>
    <row r="378" spans="1:10">
      <c r="D378" s="238" t="s">
        <v>8278</v>
      </c>
      <c r="J378" s="238" t="str">
        <f t="shared" si="5"/>
        <v/>
      </c>
    </row>
    <row r="379" spans="1:10">
      <c r="A379" s="262" t="s">
        <v>5687</v>
      </c>
      <c r="B379" s="262" t="s">
        <v>8277</v>
      </c>
      <c r="C379" s="262"/>
      <c r="D379" s="261" t="s">
        <v>8276</v>
      </c>
      <c r="E379" s="257"/>
      <c r="F379" s="243"/>
      <c r="G379" s="243" t="s">
        <v>5168</v>
      </c>
      <c r="J379" s="238" t="str">
        <f t="shared" si="5"/>
        <v/>
      </c>
    </row>
    <row r="380" spans="1:10">
      <c r="D380" s="238" t="s">
        <v>8275</v>
      </c>
      <c r="J380" s="238" t="str">
        <f t="shared" si="5"/>
        <v/>
      </c>
    </row>
    <row r="381" spans="1:10">
      <c r="A381" s="238" t="s">
        <v>8274</v>
      </c>
      <c r="B381" s="238" t="s">
        <v>8273</v>
      </c>
      <c r="D381" s="238" t="s">
        <v>8272</v>
      </c>
      <c r="G381" s="238" t="s">
        <v>5197</v>
      </c>
      <c r="J381" s="238" t="str">
        <f t="shared" si="5"/>
        <v/>
      </c>
    </row>
    <row r="382" spans="1:10">
      <c r="D382" s="238" t="s">
        <v>8271</v>
      </c>
      <c r="J382" s="238" t="str">
        <f t="shared" si="5"/>
        <v/>
      </c>
    </row>
    <row r="383" spans="1:10">
      <c r="D383" s="238" t="s">
        <v>8270</v>
      </c>
      <c r="J383" s="238" t="str">
        <f t="shared" si="5"/>
        <v/>
      </c>
    </row>
    <row r="384" spans="1:10">
      <c r="D384" s="238" t="s">
        <v>8269</v>
      </c>
      <c r="J384" s="238" t="str">
        <f t="shared" si="5"/>
        <v/>
      </c>
    </row>
    <row r="385" spans="1:10">
      <c r="D385" s="238" t="s">
        <v>8268</v>
      </c>
      <c r="J385" s="238" t="str">
        <f t="shared" si="5"/>
        <v/>
      </c>
    </row>
    <row r="386" spans="1:10" ht="18.75">
      <c r="A386" s="240"/>
      <c r="B386" s="240" t="s">
        <v>8267</v>
      </c>
      <c r="C386" s="240"/>
      <c r="D386" s="240" t="s">
        <v>8266</v>
      </c>
      <c r="E386" s="240"/>
      <c r="F386" s="240"/>
      <c r="G386" s="240"/>
      <c r="H386" s="240"/>
      <c r="I386" s="240"/>
      <c r="J386" s="238" t="str">
        <f t="shared" si="5"/>
        <v/>
      </c>
    </row>
    <row r="387" spans="1:10">
      <c r="A387" s="238" t="s">
        <v>8265</v>
      </c>
      <c r="B387" s="238" t="s">
        <v>8264</v>
      </c>
      <c r="C387" s="238" t="s">
        <v>5379</v>
      </c>
      <c r="D387" s="238" t="s">
        <v>8263</v>
      </c>
      <c r="G387" s="238" t="s">
        <v>5197</v>
      </c>
      <c r="J387" s="238" t="str">
        <f t="shared" ref="J387:J450" si="6">IF(D386=D387,"OK","")</f>
        <v/>
      </c>
    </row>
    <row r="388" spans="1:10">
      <c r="D388" s="238" t="s">
        <v>8262</v>
      </c>
      <c r="J388" s="238" t="str">
        <f t="shared" si="6"/>
        <v/>
      </c>
    </row>
    <row r="389" spans="1:10">
      <c r="A389" s="238" t="s">
        <v>8261</v>
      </c>
      <c r="B389" s="238" t="s">
        <v>8260</v>
      </c>
      <c r="D389" s="238" t="s">
        <v>8259</v>
      </c>
      <c r="G389" s="238" t="s">
        <v>5197</v>
      </c>
      <c r="J389" s="238" t="str">
        <f t="shared" si="6"/>
        <v/>
      </c>
    </row>
    <row r="390" spans="1:10">
      <c r="D390" s="238" t="s">
        <v>8258</v>
      </c>
      <c r="J390" s="238" t="str">
        <f t="shared" si="6"/>
        <v/>
      </c>
    </row>
    <row r="391" spans="1:10" ht="18.75">
      <c r="A391" s="240"/>
      <c r="B391" s="240" t="s">
        <v>8257</v>
      </c>
      <c r="C391" s="240"/>
      <c r="D391" s="240" t="s">
        <v>8256</v>
      </c>
      <c r="E391" s="240"/>
      <c r="F391" s="240"/>
      <c r="G391" s="240"/>
      <c r="H391" s="240"/>
      <c r="I391" s="240"/>
      <c r="J391" s="238" t="str">
        <f t="shared" si="6"/>
        <v/>
      </c>
    </row>
    <row r="392" spans="1:10">
      <c r="D392" s="238" t="s">
        <v>8255</v>
      </c>
      <c r="J392" s="238" t="str">
        <f t="shared" si="6"/>
        <v/>
      </c>
    </row>
    <row r="393" spans="1:10" ht="18.75">
      <c r="A393" s="244" t="s">
        <v>8254</v>
      </c>
      <c r="B393" s="244" t="s">
        <v>8253</v>
      </c>
      <c r="C393" s="244"/>
      <c r="D393" s="297" t="s">
        <v>8252</v>
      </c>
      <c r="E393" s="245"/>
      <c r="F393" s="244" t="s">
        <v>8251</v>
      </c>
      <c r="G393" s="243" t="s">
        <v>5168</v>
      </c>
      <c r="H393" s="239" t="s">
        <v>7175</v>
      </c>
      <c r="J393" s="238" t="str">
        <f t="shared" si="6"/>
        <v/>
      </c>
    </row>
    <row r="394" spans="1:10" ht="18.75">
      <c r="A394" s="240"/>
      <c r="B394" s="240" t="s">
        <v>8250</v>
      </c>
      <c r="C394" s="240"/>
      <c r="D394" s="240" t="s">
        <v>8249</v>
      </c>
      <c r="E394" s="240"/>
      <c r="F394" s="240"/>
      <c r="G394" s="240"/>
      <c r="H394" s="240"/>
      <c r="I394" s="240"/>
      <c r="J394" s="238" t="str">
        <f t="shared" si="6"/>
        <v/>
      </c>
    </row>
    <row r="395" spans="1:10" ht="18.75">
      <c r="A395" s="240"/>
      <c r="B395" s="240" t="s">
        <v>8248</v>
      </c>
      <c r="C395" s="240"/>
      <c r="D395" s="240" t="s">
        <v>8247</v>
      </c>
      <c r="E395" s="240"/>
      <c r="F395" s="240"/>
      <c r="G395" s="240"/>
      <c r="H395" s="240"/>
      <c r="I395" s="240"/>
      <c r="J395" s="238" t="str">
        <f t="shared" si="6"/>
        <v/>
      </c>
    </row>
    <row r="396" spans="1:10">
      <c r="A396" s="238" t="s">
        <v>8246</v>
      </c>
      <c r="B396" s="238" t="s">
        <v>8245</v>
      </c>
      <c r="D396" s="238" t="s">
        <v>8244</v>
      </c>
      <c r="G396" s="238" t="s">
        <v>5197</v>
      </c>
      <c r="J396" s="238" t="str">
        <f t="shared" si="6"/>
        <v/>
      </c>
    </row>
    <row r="397" spans="1:10" ht="18.75">
      <c r="A397" s="240"/>
      <c r="B397" s="240" t="s">
        <v>8243</v>
      </c>
      <c r="C397" s="240"/>
      <c r="D397" s="240" t="s">
        <v>8242</v>
      </c>
      <c r="E397" s="240"/>
      <c r="F397" s="240"/>
      <c r="G397" s="240"/>
      <c r="H397" s="240"/>
      <c r="I397" s="240"/>
      <c r="J397" s="238" t="str">
        <f t="shared" si="6"/>
        <v/>
      </c>
    </row>
    <row r="398" spans="1:10">
      <c r="A398" s="238" t="s">
        <v>8241</v>
      </c>
      <c r="B398" s="238" t="s">
        <v>8240</v>
      </c>
      <c r="C398" s="238" t="s">
        <v>5212</v>
      </c>
      <c r="D398" s="238" t="s">
        <v>8239</v>
      </c>
      <c r="G398" s="238" t="s">
        <v>5197</v>
      </c>
      <c r="J398" s="238" t="str">
        <f t="shared" si="6"/>
        <v/>
      </c>
    </row>
    <row r="399" spans="1:10">
      <c r="D399" s="238" t="s">
        <v>8238</v>
      </c>
      <c r="J399" s="238" t="str">
        <f t="shared" si="6"/>
        <v/>
      </c>
    </row>
    <row r="400" spans="1:10">
      <c r="D400" s="238" t="s">
        <v>8237</v>
      </c>
      <c r="J400" s="238" t="str">
        <f t="shared" si="6"/>
        <v/>
      </c>
    </row>
    <row r="401" spans="1:10">
      <c r="A401" s="244" t="s">
        <v>8236</v>
      </c>
      <c r="B401" s="244" t="s">
        <v>8235</v>
      </c>
      <c r="C401" s="244"/>
      <c r="D401" s="238" t="s">
        <v>8234</v>
      </c>
      <c r="E401" s="245"/>
      <c r="F401" s="244"/>
      <c r="G401" s="243" t="s">
        <v>5168</v>
      </c>
      <c r="H401" s="239" t="s">
        <v>5196</v>
      </c>
      <c r="J401" s="238" t="str">
        <f t="shared" si="6"/>
        <v/>
      </c>
    </row>
    <row r="402" spans="1:10" ht="18.75">
      <c r="A402" s="240"/>
      <c r="B402" s="240" t="s">
        <v>8233</v>
      </c>
      <c r="C402" s="240"/>
      <c r="D402" s="240" t="s">
        <v>8232</v>
      </c>
      <c r="E402" s="240"/>
      <c r="F402" s="240"/>
      <c r="G402" s="240"/>
      <c r="H402" s="240"/>
      <c r="I402" s="240"/>
      <c r="J402" s="238" t="str">
        <f t="shared" si="6"/>
        <v/>
      </c>
    </row>
    <row r="403" spans="1:10">
      <c r="A403" s="238" t="s">
        <v>8231</v>
      </c>
      <c r="B403" s="238" t="s">
        <v>8230</v>
      </c>
      <c r="C403" s="238" t="s">
        <v>5212</v>
      </c>
      <c r="D403" s="238" t="s">
        <v>8229</v>
      </c>
      <c r="G403" s="238" t="s">
        <v>5197</v>
      </c>
      <c r="J403" s="238" t="str">
        <f t="shared" si="6"/>
        <v/>
      </c>
    </row>
    <row r="404" spans="1:10" ht="18.75">
      <c r="A404" s="240"/>
      <c r="B404" s="240" t="s">
        <v>8228</v>
      </c>
      <c r="C404" s="240"/>
      <c r="D404" s="240" t="s">
        <v>8227</v>
      </c>
      <c r="E404" s="240"/>
      <c r="F404" s="240"/>
      <c r="G404" s="240"/>
      <c r="H404" s="240"/>
      <c r="I404" s="240"/>
      <c r="J404" s="238" t="str">
        <f t="shared" si="6"/>
        <v/>
      </c>
    </row>
    <row r="405" spans="1:10">
      <c r="A405" s="244" t="s">
        <v>5310</v>
      </c>
      <c r="B405" s="244" t="s">
        <v>5309</v>
      </c>
      <c r="C405" s="244"/>
      <c r="D405" s="238" t="s">
        <v>8226</v>
      </c>
      <c r="E405" s="245"/>
      <c r="F405" s="244" t="s">
        <v>5307</v>
      </c>
      <c r="G405" s="243" t="s">
        <v>5168</v>
      </c>
      <c r="J405" s="238" t="str">
        <f t="shared" si="6"/>
        <v/>
      </c>
    </row>
    <row r="406" spans="1:10" ht="18.75">
      <c r="A406" s="240"/>
      <c r="B406" s="240" t="s">
        <v>8225</v>
      </c>
      <c r="C406" s="240"/>
      <c r="D406" s="240" t="s">
        <v>8224</v>
      </c>
      <c r="E406" s="240"/>
      <c r="F406" s="240"/>
      <c r="G406" s="240"/>
      <c r="H406" s="240"/>
      <c r="I406" s="240"/>
      <c r="J406" s="238" t="str">
        <f t="shared" si="6"/>
        <v/>
      </c>
    </row>
    <row r="407" spans="1:10">
      <c r="D407" s="238" t="s">
        <v>8223</v>
      </c>
      <c r="J407" s="238" t="str">
        <f t="shared" si="6"/>
        <v/>
      </c>
    </row>
    <row r="408" spans="1:10">
      <c r="D408" s="238" t="s">
        <v>8222</v>
      </c>
      <c r="J408" s="238" t="str">
        <f t="shared" si="6"/>
        <v/>
      </c>
    </row>
    <row r="409" spans="1:10" ht="18.75">
      <c r="A409" s="244" t="s">
        <v>8221</v>
      </c>
      <c r="B409" s="244" t="s">
        <v>8220</v>
      </c>
      <c r="C409" s="244"/>
      <c r="D409" s="240" t="s">
        <v>8219</v>
      </c>
      <c r="E409" s="245"/>
      <c r="F409" s="244" t="s">
        <v>8218</v>
      </c>
      <c r="G409" s="243" t="s">
        <v>5168</v>
      </c>
      <c r="H409" s="239" t="s">
        <v>7175</v>
      </c>
      <c r="J409" s="238" t="str">
        <f t="shared" si="6"/>
        <v/>
      </c>
    </row>
    <row r="410" spans="1:10" ht="18.75">
      <c r="A410" s="240"/>
      <c r="B410" s="240" t="s">
        <v>8217</v>
      </c>
      <c r="C410" s="240"/>
      <c r="D410" s="240" t="s">
        <v>8216</v>
      </c>
      <c r="E410" s="240"/>
      <c r="F410" s="240"/>
      <c r="G410" s="240"/>
      <c r="H410" s="240"/>
      <c r="I410" s="240"/>
      <c r="J410" s="238" t="str">
        <f t="shared" si="6"/>
        <v/>
      </c>
    </row>
    <row r="411" spans="1:10">
      <c r="D411" s="238" t="s">
        <v>8215</v>
      </c>
      <c r="J411" s="238" t="str">
        <f t="shared" si="6"/>
        <v/>
      </c>
    </row>
    <row r="412" spans="1:10" ht="18.75">
      <c r="A412" s="244" t="s">
        <v>8214</v>
      </c>
      <c r="B412" s="244" t="s">
        <v>8213</v>
      </c>
      <c r="C412" s="244"/>
      <c r="D412" s="240" t="s">
        <v>8212</v>
      </c>
      <c r="E412" s="245"/>
      <c r="F412" s="244"/>
      <c r="G412" s="243" t="s">
        <v>5168</v>
      </c>
      <c r="H412" s="239" t="s">
        <v>7175</v>
      </c>
      <c r="J412" s="238" t="str">
        <f t="shared" si="6"/>
        <v/>
      </c>
    </row>
    <row r="413" spans="1:10">
      <c r="A413" s="238" t="s">
        <v>7064</v>
      </c>
      <c r="B413" s="238" t="s">
        <v>8211</v>
      </c>
      <c r="D413" s="238" t="s">
        <v>8205</v>
      </c>
      <c r="G413" s="238" t="s">
        <v>5197</v>
      </c>
      <c r="J413" s="238" t="str">
        <f t="shared" si="6"/>
        <v/>
      </c>
    </row>
    <row r="414" spans="1:10">
      <c r="A414" s="244" t="s">
        <v>8210</v>
      </c>
      <c r="B414" s="244" t="s">
        <v>8209</v>
      </c>
      <c r="C414" s="244"/>
      <c r="D414" s="252" t="s">
        <v>8208</v>
      </c>
      <c r="E414" s="245"/>
      <c r="F414" s="244" t="s">
        <v>8207</v>
      </c>
      <c r="G414" s="243" t="s">
        <v>5168</v>
      </c>
      <c r="J414" s="238" t="str">
        <f t="shared" si="6"/>
        <v>OK</v>
      </c>
    </row>
    <row r="415" spans="1:10" ht="18.75">
      <c r="A415" s="240"/>
      <c r="B415" s="240" t="s">
        <v>8206</v>
      </c>
      <c r="C415" s="240"/>
      <c r="D415" s="240" t="s">
        <v>8205</v>
      </c>
      <c r="E415" s="240"/>
      <c r="F415" s="240"/>
      <c r="G415" s="240"/>
      <c r="H415" s="240"/>
      <c r="I415" s="240"/>
      <c r="J415" s="238" t="str">
        <f t="shared" si="6"/>
        <v>OK</v>
      </c>
    </row>
    <row r="416" spans="1:10" ht="18.75">
      <c r="A416" s="244" t="s">
        <v>8204</v>
      </c>
      <c r="B416" s="244" t="s">
        <v>8203</v>
      </c>
      <c r="C416" s="244"/>
      <c r="D416" s="297" t="s">
        <v>8202</v>
      </c>
      <c r="E416" s="245"/>
      <c r="F416" s="244" t="s">
        <v>8201</v>
      </c>
      <c r="G416" s="243" t="s">
        <v>5168</v>
      </c>
      <c r="J416" s="238" t="str">
        <f t="shared" si="6"/>
        <v/>
      </c>
    </row>
    <row r="417" spans="1:10" ht="18.75">
      <c r="A417" s="240"/>
      <c r="B417" s="240" t="s">
        <v>8200</v>
      </c>
      <c r="C417" s="240"/>
      <c r="D417" s="240" t="s">
        <v>8199</v>
      </c>
      <c r="E417" s="240"/>
      <c r="F417" s="240"/>
      <c r="G417" s="240"/>
      <c r="H417" s="240"/>
      <c r="I417" s="240"/>
      <c r="J417" s="238" t="str">
        <f t="shared" si="6"/>
        <v/>
      </c>
    </row>
    <row r="418" spans="1:10">
      <c r="A418" s="244" t="s">
        <v>8198</v>
      </c>
      <c r="B418" s="244" t="s">
        <v>8197</v>
      </c>
      <c r="C418" s="244"/>
      <c r="D418" s="238" t="s">
        <v>8196</v>
      </c>
      <c r="E418" s="245"/>
      <c r="F418" s="244" t="s">
        <v>8195</v>
      </c>
      <c r="G418" s="243" t="s">
        <v>5168</v>
      </c>
      <c r="J418" s="238" t="str">
        <f t="shared" si="6"/>
        <v/>
      </c>
    </row>
    <row r="419" spans="1:10">
      <c r="A419" s="238" t="s">
        <v>6630</v>
      </c>
      <c r="B419" s="238" t="s">
        <v>5857</v>
      </c>
      <c r="C419" s="238" t="s">
        <v>7994</v>
      </c>
      <c r="D419" s="238" t="s">
        <v>8194</v>
      </c>
      <c r="G419" s="238" t="s">
        <v>5197</v>
      </c>
      <c r="J419" s="238" t="str">
        <f t="shared" si="6"/>
        <v/>
      </c>
    </row>
    <row r="420" spans="1:10">
      <c r="D420" s="238" t="s">
        <v>8193</v>
      </c>
      <c r="J420" s="238" t="str">
        <f t="shared" si="6"/>
        <v/>
      </c>
    </row>
    <row r="421" spans="1:10" ht="18.75">
      <c r="A421" s="238" t="s">
        <v>8192</v>
      </c>
      <c r="B421" s="238" t="s">
        <v>8191</v>
      </c>
      <c r="C421" s="238" t="s">
        <v>5212</v>
      </c>
      <c r="D421" s="249" t="s">
        <v>8190</v>
      </c>
      <c r="G421" s="238" t="s">
        <v>5197</v>
      </c>
      <c r="H421" s="239" t="s">
        <v>7175</v>
      </c>
      <c r="J421" s="238" t="str">
        <f t="shared" si="6"/>
        <v/>
      </c>
    </row>
    <row r="422" spans="1:10">
      <c r="D422" s="238" t="s">
        <v>8189</v>
      </c>
      <c r="J422" s="238" t="str">
        <f t="shared" si="6"/>
        <v/>
      </c>
    </row>
    <row r="423" spans="1:10">
      <c r="A423" s="246"/>
      <c r="B423" s="263"/>
      <c r="C423" s="263"/>
      <c r="D423" s="238" t="s">
        <v>8188</v>
      </c>
      <c r="F423" s="246"/>
      <c r="G423" s="246"/>
      <c r="J423" s="238" t="str">
        <f t="shared" si="6"/>
        <v/>
      </c>
    </row>
    <row r="424" spans="1:10">
      <c r="D424" s="238" t="s">
        <v>8187</v>
      </c>
      <c r="J424" s="238" t="str">
        <f t="shared" si="6"/>
        <v>OK</v>
      </c>
    </row>
    <row r="425" spans="1:10">
      <c r="D425" s="238" t="s">
        <v>8186</v>
      </c>
      <c r="J425" s="238" t="str">
        <f t="shared" si="6"/>
        <v/>
      </c>
    </row>
    <row r="426" spans="1:10" ht="18.75">
      <c r="A426" s="240"/>
      <c r="B426" s="240" t="s">
        <v>8185</v>
      </c>
      <c r="C426" s="240"/>
      <c r="D426" s="240" t="s">
        <v>8184</v>
      </c>
      <c r="E426" s="240"/>
      <c r="F426" s="240"/>
      <c r="G426" s="240"/>
      <c r="H426" s="240"/>
      <c r="I426" s="240"/>
      <c r="J426" s="238" t="str">
        <f t="shared" si="6"/>
        <v/>
      </c>
    </row>
    <row r="427" spans="1:10">
      <c r="D427" s="238" t="s">
        <v>8183</v>
      </c>
      <c r="J427" s="238" t="str">
        <f t="shared" si="6"/>
        <v/>
      </c>
    </row>
    <row r="428" spans="1:10">
      <c r="D428" s="238" t="s">
        <v>8182</v>
      </c>
      <c r="J428" s="238" t="str">
        <f t="shared" si="6"/>
        <v/>
      </c>
    </row>
    <row r="429" spans="1:10">
      <c r="D429" s="238" t="s">
        <v>8181</v>
      </c>
      <c r="J429" s="238" t="str">
        <f t="shared" si="6"/>
        <v/>
      </c>
    </row>
    <row r="430" spans="1:10" ht="18.75">
      <c r="A430" s="240"/>
      <c r="B430" s="240" t="s">
        <v>8180</v>
      </c>
      <c r="C430" s="240"/>
      <c r="D430" s="240" t="s">
        <v>8179</v>
      </c>
      <c r="E430" s="240"/>
      <c r="F430" s="240"/>
      <c r="G430" s="240"/>
      <c r="H430" s="240"/>
      <c r="I430" s="240"/>
      <c r="J430" s="238" t="str">
        <f t="shared" si="6"/>
        <v/>
      </c>
    </row>
    <row r="431" spans="1:10" ht="18.75">
      <c r="A431" s="238" t="s">
        <v>8178</v>
      </c>
      <c r="B431" s="238" t="s">
        <v>5857</v>
      </c>
      <c r="D431" s="249" t="s">
        <v>8177</v>
      </c>
      <c r="G431" s="238" t="s">
        <v>5197</v>
      </c>
      <c r="H431" s="239" t="s">
        <v>5196</v>
      </c>
      <c r="J431" s="238" t="str">
        <f t="shared" si="6"/>
        <v/>
      </c>
    </row>
    <row r="432" spans="1:10">
      <c r="A432" s="243" t="s">
        <v>5687</v>
      </c>
      <c r="B432" s="243" t="s">
        <v>8176</v>
      </c>
      <c r="C432" s="243"/>
      <c r="D432" s="252" t="s">
        <v>8175</v>
      </c>
      <c r="E432" s="257"/>
      <c r="F432" s="243"/>
      <c r="G432" s="243" t="s">
        <v>5168</v>
      </c>
      <c r="J432" s="238" t="str">
        <f t="shared" si="6"/>
        <v/>
      </c>
    </row>
    <row r="433" spans="1:10">
      <c r="D433" s="238" t="s">
        <v>8174</v>
      </c>
      <c r="J433" s="238" t="str">
        <f t="shared" si="6"/>
        <v/>
      </c>
    </row>
    <row r="434" spans="1:10">
      <c r="A434" s="238" t="s">
        <v>8173</v>
      </c>
      <c r="B434" s="238" t="s">
        <v>8172</v>
      </c>
      <c r="D434" s="238" t="s">
        <v>8171</v>
      </c>
      <c r="F434" s="238" t="s">
        <v>8170</v>
      </c>
      <c r="G434" s="238" t="s">
        <v>5197</v>
      </c>
      <c r="H434" s="239" t="s">
        <v>7175</v>
      </c>
      <c r="J434" s="238" t="str">
        <f t="shared" si="6"/>
        <v/>
      </c>
    </row>
    <row r="435" spans="1:10" ht="18.75">
      <c r="A435" s="240"/>
      <c r="B435" s="240" t="s">
        <v>8169</v>
      </c>
      <c r="C435" s="240"/>
      <c r="D435" s="240" t="s">
        <v>8168</v>
      </c>
      <c r="E435" s="240"/>
      <c r="F435" s="240"/>
      <c r="G435" s="240"/>
      <c r="H435" s="240"/>
      <c r="I435" s="240"/>
      <c r="J435" s="238" t="str">
        <f t="shared" si="6"/>
        <v/>
      </c>
    </row>
    <row r="436" spans="1:10">
      <c r="A436" s="238" t="s">
        <v>7117</v>
      </c>
      <c r="B436" s="238" t="s">
        <v>8167</v>
      </c>
      <c r="C436" s="238" t="s">
        <v>6165</v>
      </c>
      <c r="D436" s="238" t="s">
        <v>8166</v>
      </c>
      <c r="G436" s="238" t="s">
        <v>5197</v>
      </c>
      <c r="J436" s="238" t="str">
        <f t="shared" si="6"/>
        <v/>
      </c>
    </row>
    <row r="437" spans="1:10">
      <c r="A437" s="238" t="s">
        <v>8165</v>
      </c>
      <c r="B437" s="238" t="s">
        <v>8164</v>
      </c>
      <c r="D437" s="238" t="s">
        <v>8163</v>
      </c>
      <c r="G437" s="238" t="s">
        <v>5197</v>
      </c>
      <c r="J437" s="238" t="str">
        <f t="shared" si="6"/>
        <v/>
      </c>
    </row>
    <row r="438" spans="1:10">
      <c r="D438" s="238" t="s">
        <v>8162</v>
      </c>
      <c r="J438" s="238" t="str">
        <f t="shared" si="6"/>
        <v/>
      </c>
    </row>
    <row r="439" spans="1:10">
      <c r="D439" s="238" t="s">
        <v>8161</v>
      </c>
      <c r="J439" s="238" t="str">
        <f t="shared" si="6"/>
        <v/>
      </c>
    </row>
    <row r="440" spans="1:10">
      <c r="A440" s="238" t="s">
        <v>8160</v>
      </c>
      <c r="B440" s="238" t="s">
        <v>8159</v>
      </c>
      <c r="D440" s="238" t="s">
        <v>8158</v>
      </c>
      <c r="G440" s="238" t="s">
        <v>5197</v>
      </c>
      <c r="J440" s="238" t="str">
        <f t="shared" si="6"/>
        <v/>
      </c>
    </row>
    <row r="441" spans="1:10" ht="18.75">
      <c r="A441" s="240"/>
      <c r="B441" s="240" t="s">
        <v>8157</v>
      </c>
      <c r="C441" s="240"/>
      <c r="D441" s="240" t="s">
        <v>8156</v>
      </c>
      <c r="E441" s="240"/>
      <c r="F441" s="240"/>
      <c r="G441" s="240"/>
      <c r="H441" s="240"/>
      <c r="I441" s="240"/>
      <c r="J441" s="238" t="str">
        <f t="shared" si="6"/>
        <v/>
      </c>
    </row>
    <row r="442" spans="1:10">
      <c r="D442" s="238" t="s">
        <v>8155</v>
      </c>
      <c r="J442" s="238" t="str">
        <f t="shared" si="6"/>
        <v/>
      </c>
    </row>
    <row r="443" spans="1:10">
      <c r="D443" s="238" t="s">
        <v>8154</v>
      </c>
      <c r="J443" s="238" t="str">
        <f t="shared" si="6"/>
        <v/>
      </c>
    </row>
    <row r="444" spans="1:10">
      <c r="D444" s="238" t="s">
        <v>8153</v>
      </c>
      <c r="J444" s="238" t="str">
        <f t="shared" si="6"/>
        <v/>
      </c>
    </row>
    <row r="445" spans="1:10">
      <c r="A445" s="238" t="s">
        <v>8152</v>
      </c>
      <c r="B445" s="238" t="s">
        <v>8151</v>
      </c>
      <c r="C445" s="238" t="s">
        <v>6284</v>
      </c>
      <c r="D445" s="238" t="s">
        <v>8150</v>
      </c>
      <c r="G445" s="238" t="s">
        <v>5197</v>
      </c>
      <c r="J445" s="238" t="str">
        <f t="shared" si="6"/>
        <v/>
      </c>
    </row>
    <row r="446" spans="1:10">
      <c r="D446" s="238" t="s">
        <v>8149</v>
      </c>
      <c r="J446" s="238" t="str">
        <f t="shared" si="6"/>
        <v/>
      </c>
    </row>
    <row r="447" spans="1:10">
      <c r="D447" s="238" t="s">
        <v>8148</v>
      </c>
      <c r="J447" s="238" t="str">
        <f t="shared" si="6"/>
        <v/>
      </c>
    </row>
    <row r="448" spans="1:10">
      <c r="D448" s="238" t="s">
        <v>8147</v>
      </c>
      <c r="J448" s="238" t="str">
        <f t="shared" si="6"/>
        <v/>
      </c>
    </row>
    <row r="449" spans="1:10">
      <c r="D449" s="238" t="s">
        <v>8147</v>
      </c>
      <c r="J449" s="238" t="str">
        <f t="shared" si="6"/>
        <v>OK</v>
      </c>
    </row>
    <row r="450" spans="1:10">
      <c r="D450" s="238" t="s">
        <v>8146</v>
      </c>
      <c r="J450" s="238" t="str">
        <f t="shared" si="6"/>
        <v/>
      </c>
    </row>
    <row r="451" spans="1:10">
      <c r="D451" s="238" t="s">
        <v>8145</v>
      </c>
      <c r="J451" s="238" t="str">
        <f t="shared" ref="J451:J514" si="7">IF(D450=D451,"OK","")</f>
        <v/>
      </c>
    </row>
    <row r="452" spans="1:10">
      <c r="D452" s="238" t="s">
        <v>8144</v>
      </c>
      <c r="J452" s="238" t="str">
        <f t="shared" si="7"/>
        <v/>
      </c>
    </row>
    <row r="453" spans="1:10">
      <c r="D453" s="238" t="s">
        <v>8143</v>
      </c>
      <c r="J453" s="238" t="str">
        <f t="shared" si="7"/>
        <v/>
      </c>
    </row>
    <row r="454" spans="1:10">
      <c r="D454" s="238" t="s">
        <v>8142</v>
      </c>
      <c r="J454" s="238" t="str">
        <f t="shared" si="7"/>
        <v/>
      </c>
    </row>
    <row r="455" spans="1:10">
      <c r="D455" s="238" t="s">
        <v>8141</v>
      </c>
      <c r="J455" s="238" t="str">
        <f t="shared" si="7"/>
        <v/>
      </c>
    </row>
    <row r="456" spans="1:10">
      <c r="D456" s="238" t="s">
        <v>8140</v>
      </c>
      <c r="J456" s="238" t="str">
        <f t="shared" si="7"/>
        <v/>
      </c>
    </row>
    <row r="457" spans="1:10">
      <c r="D457" s="238" t="s">
        <v>8139</v>
      </c>
      <c r="J457" s="238" t="str">
        <f t="shared" si="7"/>
        <v/>
      </c>
    </row>
    <row r="458" spans="1:10">
      <c r="D458" s="238" t="s">
        <v>8138</v>
      </c>
      <c r="J458" s="238" t="str">
        <f t="shared" si="7"/>
        <v/>
      </c>
    </row>
    <row r="459" spans="1:10">
      <c r="A459" s="238" t="s">
        <v>8137</v>
      </c>
      <c r="B459" s="238" t="s">
        <v>8136</v>
      </c>
      <c r="C459" s="238" t="s">
        <v>6058</v>
      </c>
      <c r="D459" s="238" t="s">
        <v>8135</v>
      </c>
      <c r="G459" s="238" t="s">
        <v>5197</v>
      </c>
      <c r="J459" s="238" t="str">
        <f t="shared" si="7"/>
        <v/>
      </c>
    </row>
    <row r="460" spans="1:10">
      <c r="D460" s="238" t="s">
        <v>8134</v>
      </c>
      <c r="J460" s="238" t="str">
        <f t="shared" si="7"/>
        <v/>
      </c>
    </row>
    <row r="461" spans="1:10">
      <c r="D461" s="238" t="s">
        <v>8133</v>
      </c>
      <c r="J461" s="238" t="str">
        <f t="shared" si="7"/>
        <v/>
      </c>
    </row>
    <row r="462" spans="1:10">
      <c r="D462" s="238" t="s">
        <v>8132</v>
      </c>
      <c r="J462" s="238" t="str">
        <f t="shared" si="7"/>
        <v/>
      </c>
    </row>
    <row r="463" spans="1:10">
      <c r="D463" s="238" t="s">
        <v>8131</v>
      </c>
      <c r="J463" s="238" t="str">
        <f t="shared" si="7"/>
        <v/>
      </c>
    </row>
    <row r="464" spans="1:10">
      <c r="D464" s="238" t="s">
        <v>8130</v>
      </c>
      <c r="J464" s="238" t="str">
        <f t="shared" si="7"/>
        <v/>
      </c>
    </row>
    <row r="465" spans="1:10" ht="18.75">
      <c r="A465" s="240"/>
      <c r="B465" s="240" t="s">
        <v>8129</v>
      </c>
      <c r="C465" s="240"/>
      <c r="D465" s="240" t="s">
        <v>8128</v>
      </c>
      <c r="E465" s="240"/>
      <c r="F465" s="240"/>
      <c r="G465" s="240"/>
      <c r="H465" s="240"/>
      <c r="I465" s="240"/>
      <c r="J465" s="238" t="str">
        <f t="shared" si="7"/>
        <v/>
      </c>
    </row>
    <row r="466" spans="1:10">
      <c r="D466" s="238" t="s">
        <v>8127</v>
      </c>
      <c r="J466" s="238" t="str">
        <f t="shared" si="7"/>
        <v/>
      </c>
    </row>
    <row r="467" spans="1:10" s="246" customFormat="1" ht="21" customHeight="1">
      <c r="A467" s="244" t="s">
        <v>8126</v>
      </c>
      <c r="B467" s="244" t="s">
        <v>8125</v>
      </c>
      <c r="C467" s="244"/>
      <c r="D467" s="297" t="s">
        <v>8124</v>
      </c>
      <c r="E467" s="245"/>
      <c r="F467" s="244" t="s">
        <v>8123</v>
      </c>
      <c r="G467" s="243" t="s">
        <v>5168</v>
      </c>
      <c r="H467" s="239" t="s">
        <v>7175</v>
      </c>
      <c r="I467" s="238"/>
      <c r="J467" s="238" t="str">
        <f t="shared" si="7"/>
        <v/>
      </c>
    </row>
    <row r="468" spans="1:10" s="246" customFormat="1" ht="21" customHeight="1">
      <c r="A468" s="238"/>
      <c r="B468" s="238"/>
      <c r="C468" s="238"/>
      <c r="D468" s="238" t="s">
        <v>8122</v>
      </c>
      <c r="E468" s="238"/>
      <c r="F468" s="238"/>
      <c r="G468" s="238"/>
      <c r="H468" s="239"/>
      <c r="I468" s="238"/>
      <c r="J468" s="238" t="str">
        <f t="shared" si="7"/>
        <v/>
      </c>
    </row>
    <row r="469" spans="1:10" s="246" customFormat="1" ht="21" customHeight="1">
      <c r="A469" s="244" t="s">
        <v>8121</v>
      </c>
      <c r="B469" s="244" t="s">
        <v>8120</v>
      </c>
      <c r="C469" s="244"/>
      <c r="D469" s="297" t="s">
        <v>8119</v>
      </c>
      <c r="E469" s="245"/>
      <c r="F469" s="244" t="s">
        <v>8118</v>
      </c>
      <c r="G469" s="243" t="s">
        <v>5168</v>
      </c>
      <c r="H469" s="239" t="s">
        <v>7175</v>
      </c>
      <c r="I469" s="238"/>
      <c r="J469" s="238" t="str">
        <f t="shared" si="7"/>
        <v/>
      </c>
    </row>
    <row r="470" spans="1:10" s="246" customFormat="1" ht="21" customHeight="1">
      <c r="A470" s="240"/>
      <c r="B470" s="240" t="s">
        <v>8117</v>
      </c>
      <c r="C470" s="240"/>
      <c r="D470" s="240" t="s">
        <v>8116</v>
      </c>
      <c r="E470" s="240"/>
      <c r="F470" s="240"/>
      <c r="G470" s="240"/>
      <c r="H470" s="240"/>
      <c r="I470" s="240"/>
      <c r="J470" s="238" t="str">
        <f t="shared" si="7"/>
        <v/>
      </c>
    </row>
    <row r="471" spans="1:10" s="246" customFormat="1" ht="21" customHeight="1">
      <c r="A471" s="238"/>
      <c r="B471" s="238"/>
      <c r="C471" s="238"/>
      <c r="D471" s="238" t="s">
        <v>8115</v>
      </c>
      <c r="E471" s="238"/>
      <c r="F471" s="238"/>
      <c r="G471" s="238"/>
      <c r="H471" s="239"/>
      <c r="I471" s="238"/>
      <c r="J471" s="238" t="str">
        <f t="shared" si="7"/>
        <v/>
      </c>
    </row>
    <row r="472" spans="1:10" s="246" customFormat="1" ht="21" customHeight="1">
      <c r="A472" s="238" t="s">
        <v>8114</v>
      </c>
      <c r="B472" s="238" t="s">
        <v>5857</v>
      </c>
      <c r="C472" s="238"/>
      <c r="D472" s="238" t="s">
        <v>8113</v>
      </c>
      <c r="E472" s="238"/>
      <c r="F472" s="238"/>
      <c r="G472" s="238" t="s">
        <v>5197</v>
      </c>
      <c r="H472" s="239"/>
      <c r="I472" s="238"/>
      <c r="J472" s="238" t="str">
        <f t="shared" si="7"/>
        <v/>
      </c>
    </row>
    <row r="473" spans="1:10" s="246" customFormat="1" ht="21" customHeight="1">
      <c r="A473" s="244" t="s">
        <v>8112</v>
      </c>
      <c r="B473" s="244" t="s">
        <v>8111</v>
      </c>
      <c r="C473" s="244"/>
      <c r="D473" s="238" t="s">
        <v>8110</v>
      </c>
      <c r="E473" s="245"/>
      <c r="F473" s="244" t="s">
        <v>8109</v>
      </c>
      <c r="G473" s="243" t="s">
        <v>5168</v>
      </c>
      <c r="H473" s="239"/>
      <c r="I473" s="238"/>
      <c r="J473" s="238" t="str">
        <f t="shared" si="7"/>
        <v/>
      </c>
    </row>
    <row r="474" spans="1:10" s="246" customFormat="1" ht="21" customHeight="1">
      <c r="A474" s="240"/>
      <c r="B474" s="240" t="s">
        <v>8108</v>
      </c>
      <c r="C474" s="240"/>
      <c r="D474" s="240" t="s">
        <v>8107</v>
      </c>
      <c r="E474" s="240"/>
      <c r="F474" s="240"/>
      <c r="G474" s="240"/>
      <c r="H474" s="240"/>
      <c r="I474" s="240"/>
      <c r="J474" s="238" t="str">
        <f t="shared" si="7"/>
        <v>OK</v>
      </c>
    </row>
    <row r="475" spans="1:10" s="246" customFormat="1" ht="21" customHeight="1">
      <c r="A475" s="240"/>
      <c r="B475" s="240" t="s">
        <v>8106</v>
      </c>
      <c r="C475" s="240"/>
      <c r="D475" s="240" t="s">
        <v>8105</v>
      </c>
      <c r="E475" s="240"/>
      <c r="F475" s="240"/>
      <c r="G475" s="240"/>
      <c r="H475" s="240"/>
      <c r="I475" s="240"/>
      <c r="J475" s="238" t="str">
        <f t="shared" si="7"/>
        <v/>
      </c>
    </row>
    <row r="476" spans="1:10" s="246" customFormat="1" ht="21" customHeight="1">
      <c r="A476" s="238"/>
      <c r="B476" s="238"/>
      <c r="C476" s="238"/>
      <c r="D476" s="238" t="s">
        <v>8104</v>
      </c>
      <c r="E476" s="238"/>
      <c r="F476" s="238"/>
      <c r="G476" s="238"/>
      <c r="H476" s="239"/>
      <c r="I476" s="238"/>
      <c r="J476" s="238" t="str">
        <f t="shared" si="7"/>
        <v/>
      </c>
    </row>
    <row r="477" spans="1:10" s="246" customFormat="1" ht="21" customHeight="1">
      <c r="A477" s="238"/>
      <c r="B477" s="238"/>
      <c r="C477" s="238"/>
      <c r="D477" s="238" t="s">
        <v>8103</v>
      </c>
      <c r="E477" s="238"/>
      <c r="F477" s="238"/>
      <c r="G477" s="238"/>
      <c r="H477" s="239"/>
      <c r="I477" s="238"/>
      <c r="J477" s="238" t="str">
        <f t="shared" si="7"/>
        <v/>
      </c>
    </row>
    <row r="478" spans="1:10" s="246" customFormat="1" ht="21" customHeight="1">
      <c r="A478" s="240"/>
      <c r="B478" s="240" t="s">
        <v>8102</v>
      </c>
      <c r="C478" s="240"/>
      <c r="D478" s="240" t="s">
        <v>8101</v>
      </c>
      <c r="E478" s="240"/>
      <c r="F478" s="240"/>
      <c r="G478" s="240"/>
      <c r="H478" s="240"/>
      <c r="I478" s="240"/>
      <c r="J478" s="238" t="str">
        <f t="shared" si="7"/>
        <v/>
      </c>
    </row>
    <row r="479" spans="1:10" s="246" customFormat="1" ht="21" customHeight="1">
      <c r="A479" s="240"/>
      <c r="B479" s="240" t="s">
        <v>8100</v>
      </c>
      <c r="C479" s="240"/>
      <c r="D479" s="240" t="s">
        <v>8099</v>
      </c>
      <c r="E479" s="240"/>
      <c r="F479" s="240"/>
      <c r="G479" s="240"/>
      <c r="H479" s="240"/>
      <c r="I479" s="240"/>
      <c r="J479" s="238" t="str">
        <f t="shared" si="7"/>
        <v/>
      </c>
    </row>
    <row r="480" spans="1:10" s="246" customFormat="1" ht="21" customHeight="1">
      <c r="A480" s="238"/>
      <c r="B480" s="238"/>
      <c r="C480" s="238"/>
      <c r="D480" s="238" t="s">
        <v>8098</v>
      </c>
      <c r="E480" s="238"/>
      <c r="F480" s="238"/>
      <c r="G480" s="238"/>
      <c r="H480" s="239"/>
      <c r="I480" s="238"/>
      <c r="J480" s="238" t="str">
        <f t="shared" si="7"/>
        <v/>
      </c>
    </row>
    <row r="481" spans="1:10" s="246" customFormat="1" ht="21" customHeight="1">
      <c r="A481" s="238"/>
      <c r="B481" s="238"/>
      <c r="C481" s="238"/>
      <c r="D481" s="238" t="s">
        <v>8097</v>
      </c>
      <c r="E481" s="238"/>
      <c r="F481" s="238"/>
      <c r="G481" s="238"/>
      <c r="H481" s="239"/>
      <c r="I481" s="238"/>
      <c r="J481" s="238" t="str">
        <f t="shared" si="7"/>
        <v/>
      </c>
    </row>
    <row r="482" spans="1:10" s="246" customFormat="1" ht="21" customHeight="1">
      <c r="A482" s="238" t="s">
        <v>8096</v>
      </c>
      <c r="B482" s="238" t="s">
        <v>8095</v>
      </c>
      <c r="C482" s="238"/>
      <c r="D482" s="238" t="s">
        <v>8094</v>
      </c>
      <c r="E482" s="238"/>
      <c r="F482" s="238"/>
      <c r="G482" s="238" t="s">
        <v>5197</v>
      </c>
      <c r="H482" s="239"/>
      <c r="I482" s="238"/>
      <c r="J482" s="238" t="str">
        <f t="shared" si="7"/>
        <v/>
      </c>
    </row>
    <row r="483" spans="1:10" s="246" customFormat="1" ht="21" customHeight="1">
      <c r="A483" s="238" t="s">
        <v>8093</v>
      </c>
      <c r="B483" s="238" t="s">
        <v>8092</v>
      </c>
      <c r="C483" s="238" t="s">
        <v>8091</v>
      </c>
      <c r="D483" s="238" t="s">
        <v>8090</v>
      </c>
      <c r="E483" s="238"/>
      <c r="F483" s="238"/>
      <c r="G483" s="238" t="s">
        <v>5197</v>
      </c>
      <c r="H483" s="239"/>
      <c r="I483" s="238"/>
      <c r="J483" s="238" t="str">
        <f t="shared" si="7"/>
        <v/>
      </c>
    </row>
    <row r="484" spans="1:10" s="246" customFormat="1" ht="21" customHeight="1">
      <c r="A484" s="238"/>
      <c r="B484" s="238"/>
      <c r="C484" s="238"/>
      <c r="D484" s="238" t="s">
        <v>8089</v>
      </c>
      <c r="E484" s="238"/>
      <c r="F484" s="238"/>
      <c r="G484" s="238"/>
      <c r="H484" s="239"/>
      <c r="I484" s="238"/>
      <c r="J484" s="238" t="str">
        <f t="shared" si="7"/>
        <v/>
      </c>
    </row>
    <row r="485" spans="1:10" s="246" customFormat="1" ht="21" customHeight="1">
      <c r="A485" s="238"/>
      <c r="B485" s="238"/>
      <c r="C485" s="238"/>
      <c r="D485" s="238" t="s">
        <v>8088</v>
      </c>
      <c r="E485" s="238"/>
      <c r="F485" s="238"/>
      <c r="G485" s="238"/>
      <c r="H485" s="239"/>
      <c r="I485" s="238"/>
      <c r="J485" s="238" t="str">
        <f t="shared" si="7"/>
        <v/>
      </c>
    </row>
    <row r="486" spans="1:10" s="246" customFormat="1" ht="21" customHeight="1">
      <c r="A486" s="238"/>
      <c r="B486" s="238"/>
      <c r="C486" s="238"/>
      <c r="D486" s="238" t="s">
        <v>8087</v>
      </c>
      <c r="E486" s="238"/>
      <c r="F486" s="238"/>
      <c r="G486" s="238"/>
      <c r="H486" s="239"/>
      <c r="I486" s="238"/>
      <c r="J486" s="238" t="str">
        <f t="shared" si="7"/>
        <v/>
      </c>
    </row>
    <row r="487" spans="1:10" s="246" customFormat="1" ht="21" customHeight="1">
      <c r="A487" s="238"/>
      <c r="B487" s="238"/>
      <c r="C487" s="238"/>
      <c r="D487" s="238" t="s">
        <v>8086</v>
      </c>
      <c r="E487" s="238"/>
      <c r="F487" s="238"/>
      <c r="G487" s="238"/>
      <c r="H487" s="239"/>
      <c r="I487" s="238"/>
      <c r="J487" s="238" t="str">
        <f t="shared" si="7"/>
        <v/>
      </c>
    </row>
    <row r="488" spans="1:10" s="246" customFormat="1" ht="21" customHeight="1">
      <c r="A488" s="238" t="s">
        <v>7969</v>
      </c>
      <c r="B488" s="238" t="s">
        <v>8085</v>
      </c>
      <c r="C488" s="238"/>
      <c r="D488" s="238" t="s">
        <v>8084</v>
      </c>
      <c r="E488" s="238"/>
      <c r="F488" s="238"/>
      <c r="G488" s="238" t="s">
        <v>5197</v>
      </c>
      <c r="H488" s="239"/>
      <c r="I488" s="238"/>
      <c r="J488" s="238" t="str">
        <f t="shared" si="7"/>
        <v/>
      </c>
    </row>
    <row r="489" spans="1:10" s="246" customFormat="1" ht="21" customHeight="1">
      <c r="A489" s="238" t="s">
        <v>8083</v>
      </c>
      <c r="B489" s="238" t="s">
        <v>8082</v>
      </c>
      <c r="C489" s="238" t="s">
        <v>5212</v>
      </c>
      <c r="D489" s="249" t="s">
        <v>8081</v>
      </c>
      <c r="E489" s="238"/>
      <c r="F489" s="238"/>
      <c r="G489" s="238" t="s">
        <v>5197</v>
      </c>
      <c r="H489" s="239" t="s">
        <v>7175</v>
      </c>
      <c r="I489" s="238"/>
      <c r="J489" s="238" t="str">
        <f t="shared" si="7"/>
        <v/>
      </c>
    </row>
    <row r="490" spans="1:10" s="246" customFormat="1" ht="21" customHeight="1">
      <c r="A490" s="238"/>
      <c r="B490" s="238"/>
      <c r="C490" s="238"/>
      <c r="D490" s="238" t="s">
        <v>8080</v>
      </c>
      <c r="E490" s="238"/>
      <c r="F490" s="238"/>
      <c r="G490" s="238"/>
      <c r="H490" s="239"/>
      <c r="I490" s="238"/>
      <c r="J490" s="238" t="str">
        <f t="shared" si="7"/>
        <v/>
      </c>
    </row>
    <row r="491" spans="1:10" s="246" customFormat="1" ht="21" customHeight="1">
      <c r="A491" s="238"/>
      <c r="B491" s="238"/>
      <c r="C491" s="238"/>
      <c r="D491" s="238" t="s">
        <v>8079</v>
      </c>
      <c r="E491" s="238"/>
      <c r="F491" s="238"/>
      <c r="G491" s="238"/>
      <c r="H491" s="239"/>
      <c r="I491" s="238"/>
      <c r="J491" s="238" t="str">
        <f t="shared" si="7"/>
        <v/>
      </c>
    </row>
    <row r="492" spans="1:10" s="246" customFormat="1" ht="21" customHeight="1">
      <c r="A492" s="238"/>
      <c r="B492" s="238"/>
      <c r="C492" s="238"/>
      <c r="D492" s="238" t="s">
        <v>8078</v>
      </c>
      <c r="E492" s="238"/>
      <c r="F492" s="238"/>
      <c r="G492" s="238"/>
      <c r="H492" s="239"/>
      <c r="I492" s="238"/>
      <c r="J492" s="238" t="str">
        <f t="shared" si="7"/>
        <v/>
      </c>
    </row>
    <row r="493" spans="1:10" s="246" customFormat="1" ht="21" customHeight="1">
      <c r="A493" s="238"/>
      <c r="B493" s="238"/>
      <c r="C493" s="238"/>
      <c r="D493" s="238" t="s">
        <v>8077</v>
      </c>
      <c r="E493" s="238"/>
      <c r="F493" s="238"/>
      <c r="G493" s="238"/>
      <c r="H493" s="239"/>
      <c r="I493" s="238"/>
      <c r="J493" s="238" t="str">
        <f t="shared" si="7"/>
        <v/>
      </c>
    </row>
    <row r="494" spans="1:10" s="246" customFormat="1" ht="21" customHeight="1">
      <c r="A494" s="238"/>
      <c r="B494" s="238"/>
      <c r="C494" s="238"/>
      <c r="D494" s="238" t="s">
        <v>8076</v>
      </c>
      <c r="E494" s="238"/>
      <c r="F494" s="238"/>
      <c r="G494" s="238"/>
      <c r="H494" s="239"/>
      <c r="I494" s="238"/>
      <c r="J494" s="238" t="str">
        <f t="shared" si="7"/>
        <v/>
      </c>
    </row>
    <row r="495" spans="1:10" s="246" customFormat="1" ht="21" customHeight="1">
      <c r="A495" s="238" t="s">
        <v>8075</v>
      </c>
      <c r="B495" s="238" t="s">
        <v>8074</v>
      </c>
      <c r="C495" s="238"/>
      <c r="D495" s="238" t="s">
        <v>8073</v>
      </c>
      <c r="E495" s="238"/>
      <c r="F495" s="238"/>
      <c r="G495" s="238" t="s">
        <v>5197</v>
      </c>
      <c r="H495" s="239"/>
      <c r="I495" s="238"/>
      <c r="J495" s="238" t="str">
        <f t="shared" si="7"/>
        <v/>
      </c>
    </row>
    <row r="496" spans="1:10" s="246" customFormat="1" ht="21" customHeight="1">
      <c r="A496" s="238"/>
      <c r="B496" s="238"/>
      <c r="C496" s="238"/>
      <c r="D496" s="238" t="s">
        <v>8072</v>
      </c>
      <c r="E496" s="238"/>
      <c r="F496" s="238"/>
      <c r="G496" s="238"/>
      <c r="H496" s="239"/>
      <c r="I496" s="238"/>
      <c r="J496" s="238" t="str">
        <f t="shared" si="7"/>
        <v/>
      </c>
    </row>
    <row r="497" spans="1:10" s="246" customFormat="1" ht="21" customHeight="1">
      <c r="A497" s="238"/>
      <c r="B497" s="238"/>
      <c r="C497" s="238"/>
      <c r="D497" s="238" t="s">
        <v>8071</v>
      </c>
      <c r="E497" s="238"/>
      <c r="F497" s="238"/>
      <c r="G497" s="238"/>
      <c r="H497" s="239"/>
      <c r="I497" s="238"/>
      <c r="J497" s="238" t="str">
        <f t="shared" si="7"/>
        <v/>
      </c>
    </row>
    <row r="498" spans="1:10" s="246" customFormat="1" ht="21" customHeight="1">
      <c r="A498" s="238" t="s">
        <v>8070</v>
      </c>
      <c r="B498" s="238" t="s">
        <v>8069</v>
      </c>
      <c r="C498" s="238" t="s">
        <v>6165</v>
      </c>
      <c r="D498" s="238" t="s">
        <v>8068</v>
      </c>
      <c r="E498" s="238"/>
      <c r="F498" s="238"/>
      <c r="G498" s="238" t="s">
        <v>5197</v>
      </c>
      <c r="H498" s="239"/>
      <c r="I498" s="238"/>
      <c r="J498" s="238" t="str">
        <f t="shared" si="7"/>
        <v/>
      </c>
    </row>
    <row r="499" spans="1:10" s="246" customFormat="1" ht="21" customHeight="1">
      <c r="A499" s="238"/>
      <c r="B499" s="238"/>
      <c r="C499" s="238"/>
      <c r="D499" s="238" t="s">
        <v>8067</v>
      </c>
      <c r="E499" s="238"/>
      <c r="F499" s="238"/>
      <c r="G499" s="238"/>
      <c r="H499" s="239"/>
      <c r="I499" s="238"/>
      <c r="J499" s="238" t="str">
        <f t="shared" si="7"/>
        <v/>
      </c>
    </row>
    <row r="500" spans="1:10" s="246" customFormat="1" ht="21" customHeight="1">
      <c r="A500" s="238"/>
      <c r="B500" s="238"/>
      <c r="C500" s="238"/>
      <c r="D500" s="238" t="s">
        <v>8066</v>
      </c>
      <c r="E500" s="238"/>
      <c r="F500" s="238"/>
      <c r="G500" s="238"/>
      <c r="H500" s="239"/>
      <c r="I500" s="238"/>
      <c r="J500" s="238" t="str">
        <f t="shared" si="7"/>
        <v/>
      </c>
    </row>
    <row r="501" spans="1:10" s="246" customFormat="1" ht="21" customHeight="1">
      <c r="A501" s="238"/>
      <c r="B501" s="238"/>
      <c r="C501" s="238"/>
      <c r="D501" s="238" t="s">
        <v>8065</v>
      </c>
      <c r="E501" s="238"/>
      <c r="F501" s="238"/>
      <c r="G501" s="238"/>
      <c r="H501" s="239"/>
      <c r="I501" s="238"/>
      <c r="J501" s="238" t="str">
        <f t="shared" si="7"/>
        <v/>
      </c>
    </row>
    <row r="502" spans="1:10" s="246" customFormat="1" ht="21" customHeight="1">
      <c r="A502" s="238"/>
      <c r="B502" s="238"/>
      <c r="C502" s="238"/>
      <c r="D502" s="238" t="s">
        <v>8064</v>
      </c>
      <c r="E502" s="238"/>
      <c r="F502" s="238"/>
      <c r="G502" s="238"/>
      <c r="H502" s="239"/>
      <c r="I502" s="238"/>
      <c r="J502" s="238" t="str">
        <f t="shared" si="7"/>
        <v/>
      </c>
    </row>
    <row r="503" spans="1:10" s="246" customFormat="1" ht="21" customHeight="1">
      <c r="A503" s="238" t="s">
        <v>8063</v>
      </c>
      <c r="B503" s="238" t="s">
        <v>8062</v>
      </c>
      <c r="C503" s="238" t="s">
        <v>8061</v>
      </c>
      <c r="D503" s="238" t="s">
        <v>8060</v>
      </c>
      <c r="E503" s="238"/>
      <c r="F503" s="238"/>
      <c r="G503" s="238" t="s">
        <v>5197</v>
      </c>
      <c r="H503" s="239"/>
      <c r="I503" s="238"/>
      <c r="J503" s="238" t="str">
        <f t="shared" si="7"/>
        <v/>
      </c>
    </row>
    <row r="504" spans="1:10" s="246" customFormat="1" ht="21" customHeight="1">
      <c r="A504" s="238"/>
      <c r="B504" s="238"/>
      <c r="C504" s="238"/>
      <c r="D504" s="238" t="s">
        <v>8059</v>
      </c>
      <c r="E504" s="238"/>
      <c r="F504" s="238"/>
      <c r="G504" s="238"/>
      <c r="H504" s="239"/>
      <c r="I504" s="238"/>
      <c r="J504" s="238" t="str">
        <f t="shared" si="7"/>
        <v/>
      </c>
    </row>
    <row r="505" spans="1:10" s="246" customFormat="1" ht="21" customHeight="1">
      <c r="A505" s="238"/>
      <c r="B505" s="238"/>
      <c r="C505" s="238"/>
      <c r="D505" s="238" t="s">
        <v>8058</v>
      </c>
      <c r="E505" s="238"/>
      <c r="F505" s="238"/>
      <c r="G505" s="238"/>
      <c r="H505" s="239"/>
      <c r="I505" s="238"/>
      <c r="J505" s="238" t="str">
        <f t="shared" si="7"/>
        <v/>
      </c>
    </row>
    <row r="506" spans="1:10" s="246" customFormat="1" ht="21" customHeight="1">
      <c r="A506" s="238"/>
      <c r="B506" s="238"/>
      <c r="C506" s="238"/>
      <c r="D506" s="238" t="s">
        <v>8057</v>
      </c>
      <c r="E506" s="238"/>
      <c r="F506" s="238"/>
      <c r="G506" s="238"/>
      <c r="H506" s="239"/>
      <c r="I506" s="238"/>
      <c r="J506" s="238" t="str">
        <f t="shared" si="7"/>
        <v/>
      </c>
    </row>
    <row r="507" spans="1:10" s="246" customFormat="1" ht="21" customHeight="1">
      <c r="A507" s="238"/>
      <c r="B507" s="238"/>
      <c r="C507" s="238"/>
      <c r="D507" s="238" t="s">
        <v>8056</v>
      </c>
      <c r="E507" s="238"/>
      <c r="F507" s="238"/>
      <c r="G507" s="238"/>
      <c r="H507" s="239"/>
      <c r="I507" s="238"/>
      <c r="J507" s="238" t="str">
        <f t="shared" si="7"/>
        <v/>
      </c>
    </row>
    <row r="508" spans="1:10" s="246" customFormat="1" ht="21" customHeight="1">
      <c r="A508" s="238"/>
      <c r="B508" s="238"/>
      <c r="C508" s="238"/>
      <c r="D508" s="238" t="s">
        <v>8055</v>
      </c>
      <c r="E508" s="238"/>
      <c r="F508" s="238"/>
      <c r="G508" s="238"/>
      <c r="H508" s="239"/>
      <c r="I508" s="238"/>
      <c r="J508" s="238" t="str">
        <f t="shared" si="7"/>
        <v/>
      </c>
    </row>
    <row r="509" spans="1:10" s="246" customFormat="1" ht="21" customHeight="1">
      <c r="A509" s="238"/>
      <c r="B509" s="238"/>
      <c r="C509" s="238"/>
      <c r="D509" s="238" t="s">
        <v>8054</v>
      </c>
      <c r="E509" s="238"/>
      <c r="F509" s="238"/>
      <c r="G509" s="238"/>
      <c r="H509" s="239"/>
      <c r="I509" s="238"/>
      <c r="J509" s="238" t="str">
        <f t="shared" si="7"/>
        <v/>
      </c>
    </row>
    <row r="510" spans="1:10" s="243" customFormat="1">
      <c r="A510" s="296"/>
      <c r="B510" s="296"/>
      <c r="C510" s="296"/>
      <c r="D510" s="296" t="s">
        <v>8053</v>
      </c>
      <c r="E510" s="296"/>
      <c r="F510" s="295"/>
      <c r="G510" s="238"/>
      <c r="H510" s="239"/>
      <c r="I510" s="238"/>
      <c r="J510" s="238" t="str">
        <f t="shared" si="7"/>
        <v/>
      </c>
    </row>
    <row r="511" spans="1:10" s="243" customFormat="1">
      <c r="A511" s="296"/>
      <c r="B511" s="296"/>
      <c r="C511" s="296"/>
      <c r="D511" s="238" t="s">
        <v>8052</v>
      </c>
      <c r="E511" s="296"/>
      <c r="F511" s="295"/>
      <c r="G511" s="238"/>
      <c r="H511" s="239"/>
      <c r="I511" s="238"/>
      <c r="J511" s="238" t="str">
        <f t="shared" si="7"/>
        <v/>
      </c>
    </row>
    <row r="512" spans="1:10" s="243" customFormat="1">
      <c r="A512" s="296" t="s">
        <v>8051</v>
      </c>
      <c r="B512" s="296" t="s">
        <v>8050</v>
      </c>
      <c r="C512" s="296"/>
      <c r="D512" s="238" t="s">
        <v>8049</v>
      </c>
      <c r="E512" s="296"/>
      <c r="F512" s="295"/>
      <c r="G512" s="238" t="s">
        <v>5197</v>
      </c>
      <c r="H512" s="239"/>
      <c r="I512" s="238"/>
      <c r="J512" s="238" t="str">
        <f t="shared" si="7"/>
        <v/>
      </c>
    </row>
    <row r="513" spans="1:10" s="243" customFormat="1">
      <c r="A513" s="296"/>
      <c r="B513" s="296"/>
      <c r="C513" s="238"/>
      <c r="D513" s="238" t="s">
        <v>8048</v>
      </c>
      <c r="E513" s="296"/>
      <c r="F513" s="295"/>
      <c r="G513" s="238"/>
      <c r="H513" s="239"/>
      <c r="I513" s="238"/>
      <c r="J513" s="238" t="str">
        <f t="shared" si="7"/>
        <v/>
      </c>
    </row>
    <row r="514" spans="1:10" s="243" customFormat="1">
      <c r="A514" s="296"/>
      <c r="B514" s="296"/>
      <c r="C514" s="238"/>
      <c r="D514" s="238" t="s">
        <v>8047</v>
      </c>
      <c r="E514" s="296"/>
      <c r="F514" s="295"/>
      <c r="G514" s="238"/>
      <c r="H514" s="239"/>
      <c r="I514" s="238"/>
      <c r="J514" s="238" t="str">
        <f t="shared" si="7"/>
        <v/>
      </c>
    </row>
    <row r="515" spans="1:10" s="244" customFormat="1">
      <c r="A515" s="277" t="s">
        <v>8046</v>
      </c>
      <c r="B515" s="277" t="s">
        <v>8045</v>
      </c>
      <c r="C515" s="277" t="s">
        <v>7217</v>
      </c>
      <c r="D515" s="277" t="s">
        <v>8044</v>
      </c>
      <c r="E515" s="277"/>
      <c r="F515" s="287"/>
      <c r="G515" s="238" t="s">
        <v>5197</v>
      </c>
      <c r="H515" s="239"/>
      <c r="I515" s="238"/>
      <c r="J515" s="238" t="str">
        <f t="shared" ref="J515:J578" si="8">IF(D514=D515,"OK","")</f>
        <v/>
      </c>
    </row>
    <row r="516" spans="1:10" s="244" customFormat="1">
      <c r="A516" s="277"/>
      <c r="B516" s="277"/>
      <c r="C516" s="277"/>
      <c r="D516" s="277" t="s">
        <v>8043</v>
      </c>
      <c r="E516" s="277"/>
      <c r="F516" s="287"/>
      <c r="G516" s="238"/>
      <c r="H516" s="239"/>
      <c r="I516" s="238"/>
      <c r="J516" s="238" t="str">
        <f t="shared" si="8"/>
        <v/>
      </c>
    </row>
    <row r="517" spans="1:10" s="244" customFormat="1">
      <c r="A517" s="277" t="s">
        <v>8042</v>
      </c>
      <c r="B517" s="277" t="s">
        <v>8041</v>
      </c>
      <c r="C517" s="277" t="s">
        <v>8040</v>
      </c>
      <c r="D517" s="277" t="s">
        <v>8039</v>
      </c>
      <c r="E517" s="277"/>
      <c r="F517" s="287"/>
      <c r="G517" s="238" t="s">
        <v>5197</v>
      </c>
      <c r="H517" s="239"/>
      <c r="I517" s="238"/>
      <c r="J517" s="238" t="str">
        <f t="shared" si="8"/>
        <v/>
      </c>
    </row>
    <row r="518" spans="1:10" s="244" customFormat="1">
      <c r="A518" s="277"/>
      <c r="B518" s="277"/>
      <c r="C518" s="277"/>
      <c r="D518" s="277" t="s">
        <v>8038</v>
      </c>
      <c r="E518" s="277"/>
      <c r="F518" s="287"/>
      <c r="G518" s="238"/>
      <c r="H518" s="239"/>
      <c r="I518" s="238"/>
      <c r="J518" s="238" t="str">
        <f t="shared" si="8"/>
        <v/>
      </c>
    </row>
    <row r="519" spans="1:10" s="244" customFormat="1">
      <c r="A519" s="277"/>
      <c r="B519" s="277"/>
      <c r="C519" s="277"/>
      <c r="D519" s="277" t="s">
        <v>8037</v>
      </c>
      <c r="E519" s="277"/>
      <c r="F519" s="287"/>
      <c r="G519" s="238"/>
      <c r="H519" s="239"/>
      <c r="I519" s="238"/>
      <c r="J519" s="238" t="str">
        <f t="shared" si="8"/>
        <v/>
      </c>
    </row>
    <row r="520" spans="1:10" s="244" customFormat="1">
      <c r="A520" s="277"/>
      <c r="B520" s="277"/>
      <c r="C520" s="277"/>
      <c r="D520" s="238" t="s">
        <v>8036</v>
      </c>
      <c r="E520" s="277"/>
      <c r="F520" s="287"/>
      <c r="G520" s="238"/>
      <c r="H520" s="239"/>
      <c r="I520" s="238"/>
      <c r="J520" s="238" t="str">
        <f t="shared" si="8"/>
        <v/>
      </c>
    </row>
    <row r="521" spans="1:10" s="244" customFormat="1">
      <c r="A521" s="277"/>
      <c r="B521" s="277"/>
      <c r="C521" s="277"/>
      <c r="D521" s="277" t="s">
        <v>8035</v>
      </c>
      <c r="E521" s="277"/>
      <c r="F521" s="287"/>
      <c r="G521" s="238"/>
      <c r="H521" s="239"/>
      <c r="I521" s="238"/>
      <c r="J521" s="238" t="str">
        <f t="shared" si="8"/>
        <v/>
      </c>
    </row>
    <row r="522" spans="1:10" s="244" customFormat="1">
      <c r="A522" s="277"/>
      <c r="B522" s="277"/>
      <c r="C522" s="277"/>
      <c r="D522" s="238" t="s">
        <v>8034</v>
      </c>
      <c r="E522" s="277"/>
      <c r="F522" s="287"/>
      <c r="G522" s="238"/>
      <c r="H522" s="239"/>
      <c r="I522" s="238"/>
      <c r="J522" s="238" t="str">
        <f t="shared" si="8"/>
        <v/>
      </c>
    </row>
    <row r="523" spans="1:10" s="244" customFormat="1">
      <c r="A523" s="277"/>
      <c r="B523" s="277"/>
      <c r="C523" s="277"/>
      <c r="D523" s="277" t="s">
        <v>8033</v>
      </c>
      <c r="E523" s="277"/>
      <c r="F523" s="287"/>
      <c r="G523" s="238"/>
      <c r="H523" s="239"/>
      <c r="I523" s="238"/>
      <c r="J523" s="238" t="str">
        <f t="shared" si="8"/>
        <v/>
      </c>
    </row>
    <row r="524" spans="1:10" s="244" customFormat="1">
      <c r="A524" s="277" t="s">
        <v>8032</v>
      </c>
      <c r="B524" s="277" t="s">
        <v>8031</v>
      </c>
      <c r="C524" s="277" t="s">
        <v>5379</v>
      </c>
      <c r="D524" s="277" t="s">
        <v>8030</v>
      </c>
      <c r="E524" s="277"/>
      <c r="F524" s="287"/>
      <c r="G524" s="238" t="s">
        <v>5197</v>
      </c>
      <c r="H524" s="239"/>
      <c r="I524" s="238"/>
      <c r="J524" s="238" t="str">
        <f t="shared" si="8"/>
        <v/>
      </c>
    </row>
    <row r="525" spans="1:10" s="244" customFormat="1">
      <c r="A525" s="277"/>
      <c r="B525" s="277"/>
      <c r="C525" s="277"/>
      <c r="D525" s="277" t="s">
        <v>8029</v>
      </c>
      <c r="E525" s="277"/>
      <c r="F525" s="287"/>
      <c r="G525" s="238"/>
      <c r="H525" s="239"/>
      <c r="I525" s="238"/>
      <c r="J525" s="238" t="str">
        <f t="shared" si="8"/>
        <v/>
      </c>
    </row>
    <row r="526" spans="1:10" s="244" customFormat="1">
      <c r="A526" s="277"/>
      <c r="B526" s="277"/>
      <c r="C526" s="277"/>
      <c r="D526" s="277" t="s">
        <v>8028</v>
      </c>
      <c r="E526" s="277"/>
      <c r="F526" s="287"/>
      <c r="G526" s="238"/>
      <c r="H526" s="239"/>
      <c r="I526" s="238"/>
      <c r="J526" s="238" t="str">
        <f t="shared" si="8"/>
        <v/>
      </c>
    </row>
    <row r="527" spans="1:10" s="244" customFormat="1">
      <c r="A527" s="277"/>
      <c r="B527" s="277"/>
      <c r="C527" s="277"/>
      <c r="D527" s="277" t="s">
        <v>8027</v>
      </c>
      <c r="E527" s="277"/>
      <c r="F527" s="287"/>
      <c r="G527" s="238"/>
      <c r="H527" s="239"/>
      <c r="I527" s="238"/>
      <c r="J527" s="238" t="str">
        <f t="shared" si="8"/>
        <v/>
      </c>
    </row>
    <row r="528" spans="1:10" s="244" customFormat="1">
      <c r="A528" s="286" t="s">
        <v>8026</v>
      </c>
      <c r="B528" s="289"/>
      <c r="C528" s="289"/>
      <c r="D528" s="286" t="s">
        <v>8025</v>
      </c>
      <c r="E528" s="286"/>
      <c r="F528" s="288"/>
      <c r="G528" s="243" t="s">
        <v>5168</v>
      </c>
      <c r="H528" s="239"/>
      <c r="I528" s="238"/>
      <c r="J528" s="238" t="str">
        <f t="shared" si="8"/>
        <v/>
      </c>
    </row>
    <row r="529" spans="1:14" s="244" customFormat="1">
      <c r="A529" s="277"/>
      <c r="B529" s="277"/>
      <c r="C529" s="277"/>
      <c r="D529" s="277" t="s">
        <v>8024</v>
      </c>
      <c r="E529" s="277"/>
      <c r="F529" s="287"/>
      <c r="G529" s="238"/>
      <c r="H529" s="239"/>
      <c r="I529" s="238"/>
      <c r="J529" s="238" t="str">
        <f t="shared" si="8"/>
        <v/>
      </c>
    </row>
    <row r="530" spans="1:14" s="244" customFormat="1">
      <c r="A530" s="277"/>
      <c r="B530" s="277"/>
      <c r="C530" s="277"/>
      <c r="D530" s="277" t="s">
        <v>8023</v>
      </c>
      <c r="E530" s="277"/>
      <c r="F530" s="287"/>
      <c r="G530" s="238"/>
      <c r="H530" s="239"/>
      <c r="I530" s="238"/>
      <c r="J530" s="238" t="str">
        <f t="shared" si="8"/>
        <v/>
      </c>
    </row>
    <row r="531" spans="1:14" s="244" customFormat="1">
      <c r="A531" s="277"/>
      <c r="B531" s="277"/>
      <c r="C531" s="238"/>
      <c r="D531" s="238" t="s">
        <v>8022</v>
      </c>
      <c r="E531" s="277"/>
      <c r="F531" s="287"/>
      <c r="G531" s="238"/>
      <c r="H531" s="239"/>
      <c r="I531" s="238"/>
      <c r="J531" s="238" t="str">
        <f t="shared" si="8"/>
        <v/>
      </c>
    </row>
    <row r="532" spans="1:14" s="244" customFormat="1">
      <c r="A532" s="277" t="s">
        <v>8021</v>
      </c>
      <c r="B532" s="277" t="s">
        <v>8020</v>
      </c>
      <c r="C532" s="277"/>
      <c r="D532" s="277" t="s">
        <v>8019</v>
      </c>
      <c r="E532" s="277"/>
      <c r="F532" s="287"/>
      <c r="G532" s="238" t="s">
        <v>5197</v>
      </c>
      <c r="H532" s="239"/>
      <c r="I532" s="238"/>
      <c r="J532" s="238" t="str">
        <f t="shared" si="8"/>
        <v/>
      </c>
    </row>
    <row r="533" spans="1:14" s="244" customFormat="1">
      <c r="A533" s="277"/>
      <c r="B533" s="277"/>
      <c r="C533" s="277"/>
      <c r="D533" s="277" t="s">
        <v>8018</v>
      </c>
      <c r="E533" s="277"/>
      <c r="F533" s="287"/>
      <c r="G533" s="238"/>
      <c r="H533" s="239"/>
      <c r="I533" s="238"/>
      <c r="J533" s="238" t="str">
        <f t="shared" si="8"/>
        <v/>
      </c>
    </row>
    <row r="534" spans="1:14" s="244" customFormat="1" ht="18.75">
      <c r="A534" s="278"/>
      <c r="B534" s="278" t="s">
        <v>8017</v>
      </c>
      <c r="C534" s="278"/>
      <c r="D534" s="240" t="s">
        <v>8016</v>
      </c>
      <c r="E534" s="278"/>
      <c r="F534" s="283"/>
      <c r="G534" s="240"/>
      <c r="H534" s="240"/>
      <c r="I534" s="240"/>
      <c r="J534" s="238" t="str">
        <f t="shared" si="8"/>
        <v/>
      </c>
    </row>
    <row r="535" spans="1:14" s="244" customFormat="1">
      <c r="A535" s="277"/>
      <c r="B535" s="277"/>
      <c r="C535" s="277"/>
      <c r="D535" s="277" t="s">
        <v>8015</v>
      </c>
      <c r="E535" s="277"/>
      <c r="F535" s="287"/>
      <c r="G535" s="238"/>
      <c r="H535" s="239"/>
      <c r="I535" s="238"/>
      <c r="J535" s="238" t="str">
        <f t="shared" si="8"/>
        <v/>
      </c>
    </row>
    <row r="536" spans="1:14" s="244" customFormat="1">
      <c r="A536" s="277"/>
      <c r="B536" s="277"/>
      <c r="C536" s="238"/>
      <c r="D536" s="238" t="s">
        <v>8014</v>
      </c>
      <c r="E536" s="277"/>
      <c r="F536" s="287"/>
      <c r="G536" s="238"/>
      <c r="H536" s="239"/>
      <c r="I536" s="238"/>
      <c r="J536" s="238" t="str">
        <f t="shared" si="8"/>
        <v/>
      </c>
    </row>
    <row r="537" spans="1:14" s="244" customFormat="1">
      <c r="A537" s="277"/>
      <c r="B537" s="277"/>
      <c r="C537" s="277"/>
      <c r="D537" s="277" t="s">
        <v>8013</v>
      </c>
      <c r="E537" s="277"/>
      <c r="F537" s="287"/>
      <c r="G537" s="238"/>
      <c r="H537" s="239"/>
      <c r="I537" s="238"/>
      <c r="J537" s="238" t="str">
        <f t="shared" si="8"/>
        <v/>
      </c>
    </row>
    <row r="538" spans="1:14" s="244" customFormat="1" ht="18.75">
      <c r="A538" s="278"/>
      <c r="B538" s="278" t="s">
        <v>8012</v>
      </c>
      <c r="C538" s="278"/>
      <c r="D538" s="278" t="s">
        <v>8011</v>
      </c>
      <c r="E538" s="278"/>
      <c r="F538" s="283"/>
      <c r="G538" s="240"/>
      <c r="H538" s="240"/>
      <c r="I538" s="240"/>
      <c r="J538" s="238" t="str">
        <f t="shared" si="8"/>
        <v/>
      </c>
      <c r="N538" s="244" t="s">
        <v>8010</v>
      </c>
    </row>
    <row r="539" spans="1:14" s="244" customFormat="1">
      <c r="A539" s="277"/>
      <c r="B539" s="277"/>
      <c r="C539" s="277"/>
      <c r="D539" s="277" t="s">
        <v>8009</v>
      </c>
      <c r="E539" s="277"/>
      <c r="F539" s="287"/>
      <c r="G539" s="238"/>
      <c r="H539" s="239"/>
      <c r="I539" s="238"/>
      <c r="J539" s="238" t="str">
        <f t="shared" si="8"/>
        <v/>
      </c>
    </row>
    <row r="540" spans="1:14" s="244" customFormat="1" ht="18.75">
      <c r="A540" s="278"/>
      <c r="B540" s="278" t="s">
        <v>8008</v>
      </c>
      <c r="C540" s="278"/>
      <c r="D540" s="278" t="s">
        <v>8007</v>
      </c>
      <c r="E540" s="278"/>
      <c r="F540" s="283"/>
      <c r="G540" s="240"/>
      <c r="H540" s="240"/>
      <c r="I540" s="240"/>
      <c r="J540" s="238" t="str">
        <f t="shared" si="8"/>
        <v/>
      </c>
    </row>
    <row r="541" spans="1:14" s="244" customFormat="1">
      <c r="A541" s="277"/>
      <c r="B541" s="277"/>
      <c r="C541" s="277"/>
      <c r="D541" s="277" t="s">
        <v>8006</v>
      </c>
      <c r="E541" s="277"/>
      <c r="F541" s="287"/>
      <c r="G541" s="238"/>
      <c r="H541" s="239"/>
      <c r="I541" s="238"/>
      <c r="J541" s="238" t="str">
        <f t="shared" si="8"/>
        <v/>
      </c>
    </row>
    <row r="542" spans="1:14" s="244" customFormat="1">
      <c r="A542" s="277" t="s">
        <v>8005</v>
      </c>
      <c r="B542" s="277" t="s">
        <v>8004</v>
      </c>
      <c r="C542" s="277" t="s">
        <v>5212</v>
      </c>
      <c r="D542" s="277" t="s">
        <v>8003</v>
      </c>
      <c r="E542" s="277"/>
      <c r="F542" s="287"/>
      <c r="G542" s="238" t="s">
        <v>5197</v>
      </c>
      <c r="H542" s="239"/>
      <c r="I542" s="238"/>
      <c r="J542" s="238" t="str">
        <f t="shared" si="8"/>
        <v/>
      </c>
    </row>
    <row r="543" spans="1:14" s="244" customFormat="1">
      <c r="A543" s="277"/>
      <c r="B543" s="277"/>
      <c r="C543" s="277"/>
      <c r="D543" s="277" t="s">
        <v>8002</v>
      </c>
      <c r="E543" s="277"/>
      <c r="F543" s="287"/>
      <c r="G543" s="238"/>
      <c r="H543" s="239"/>
      <c r="I543" s="238"/>
      <c r="J543" s="238" t="str">
        <f t="shared" si="8"/>
        <v/>
      </c>
    </row>
    <row r="544" spans="1:14" s="244" customFormat="1" ht="13.9" customHeight="1">
      <c r="A544" s="277" t="s">
        <v>8001</v>
      </c>
      <c r="B544" s="277" t="s">
        <v>5857</v>
      </c>
      <c r="C544" s="277"/>
      <c r="D544" s="277" t="s">
        <v>8000</v>
      </c>
      <c r="E544" s="277"/>
      <c r="F544" s="287"/>
      <c r="G544" s="238" t="s">
        <v>5197</v>
      </c>
      <c r="H544" s="239"/>
      <c r="I544" s="238"/>
      <c r="J544" s="238" t="str">
        <f t="shared" si="8"/>
        <v/>
      </c>
    </row>
    <row r="545" spans="1:10" s="244" customFormat="1">
      <c r="A545" s="277"/>
      <c r="B545" s="277"/>
      <c r="C545" s="277"/>
      <c r="D545" s="277" t="s">
        <v>7999</v>
      </c>
      <c r="E545" s="277"/>
      <c r="F545" s="287"/>
      <c r="G545" s="238"/>
      <c r="H545" s="239"/>
      <c r="I545" s="238"/>
      <c r="J545" s="238" t="str">
        <f t="shared" si="8"/>
        <v/>
      </c>
    </row>
    <row r="546" spans="1:10" s="244" customFormat="1">
      <c r="A546" s="277" t="s">
        <v>6750</v>
      </c>
      <c r="B546" s="277" t="s">
        <v>7998</v>
      </c>
      <c r="C546" s="277"/>
      <c r="D546" s="277" t="s">
        <v>7997</v>
      </c>
      <c r="E546" s="277"/>
      <c r="F546" s="287"/>
      <c r="G546" s="238" t="s">
        <v>5197</v>
      </c>
      <c r="H546" s="239"/>
      <c r="I546" s="238"/>
      <c r="J546" s="238" t="str">
        <f t="shared" si="8"/>
        <v/>
      </c>
    </row>
    <row r="547" spans="1:10" s="244" customFormat="1">
      <c r="A547" s="277"/>
      <c r="B547" s="277"/>
      <c r="C547" s="277"/>
      <c r="D547" s="238" t="s">
        <v>7996</v>
      </c>
      <c r="E547" s="277"/>
      <c r="F547" s="287"/>
      <c r="G547" s="238"/>
      <c r="H547" s="239"/>
      <c r="I547" s="238"/>
      <c r="J547" s="238" t="str">
        <f t="shared" si="8"/>
        <v/>
      </c>
    </row>
    <row r="548" spans="1:10" s="244" customFormat="1">
      <c r="A548" s="277" t="s">
        <v>6630</v>
      </c>
      <c r="B548" s="277" t="s">
        <v>7995</v>
      </c>
      <c r="C548" s="277" t="s">
        <v>7994</v>
      </c>
      <c r="D548" s="277" t="s">
        <v>7993</v>
      </c>
      <c r="E548" s="277"/>
      <c r="F548" s="287"/>
      <c r="G548" s="238" t="s">
        <v>5197</v>
      </c>
      <c r="H548" s="239"/>
      <c r="I548" s="238"/>
      <c r="J548" s="238" t="str">
        <f t="shared" si="8"/>
        <v/>
      </c>
    </row>
    <row r="549" spans="1:10" s="244" customFormat="1">
      <c r="A549" s="293"/>
      <c r="B549" s="292"/>
      <c r="C549" s="292"/>
      <c r="D549" s="277" t="s">
        <v>7992</v>
      </c>
      <c r="E549" s="277"/>
      <c r="F549" s="291"/>
      <c r="G549" s="246"/>
      <c r="H549" s="239"/>
      <c r="I549" s="238"/>
      <c r="J549" s="238" t="str">
        <f t="shared" si="8"/>
        <v/>
      </c>
    </row>
    <row r="550" spans="1:10" s="244" customFormat="1">
      <c r="A550" s="277"/>
      <c r="B550" s="277"/>
      <c r="C550" s="277"/>
      <c r="D550" s="277" t="s">
        <v>7991</v>
      </c>
      <c r="E550" s="277"/>
      <c r="F550" s="287"/>
      <c r="G550" s="238"/>
      <c r="H550" s="239"/>
      <c r="I550" s="238"/>
      <c r="J550" s="238" t="str">
        <f t="shared" si="8"/>
        <v>OK</v>
      </c>
    </row>
    <row r="551" spans="1:10" s="244" customFormat="1">
      <c r="A551" s="277"/>
      <c r="B551" s="277"/>
      <c r="C551" s="277"/>
      <c r="D551" s="277" t="s">
        <v>7990</v>
      </c>
      <c r="E551" s="277"/>
      <c r="F551" s="287"/>
      <c r="G551" s="238"/>
      <c r="H551" s="239"/>
      <c r="I551" s="238"/>
      <c r="J551" s="238" t="str">
        <f t="shared" si="8"/>
        <v/>
      </c>
    </row>
    <row r="552" spans="1:10" s="244" customFormat="1">
      <c r="A552" s="277"/>
      <c r="B552" s="277"/>
      <c r="C552" s="277"/>
      <c r="D552" s="238" t="s">
        <v>7989</v>
      </c>
      <c r="E552" s="277"/>
      <c r="F552" s="287"/>
      <c r="G552" s="238"/>
      <c r="H552" s="239"/>
      <c r="I552" s="238"/>
      <c r="J552" s="238" t="str">
        <f t="shared" si="8"/>
        <v/>
      </c>
    </row>
    <row r="553" spans="1:10" s="244" customFormat="1">
      <c r="A553" s="277"/>
      <c r="B553" s="277"/>
      <c r="C553" s="277"/>
      <c r="D553" s="277" t="s">
        <v>7988</v>
      </c>
      <c r="E553" s="277"/>
      <c r="F553" s="287"/>
      <c r="G553" s="238"/>
      <c r="H553" s="239"/>
      <c r="I553" s="238"/>
      <c r="J553" s="238" t="str">
        <f t="shared" si="8"/>
        <v/>
      </c>
    </row>
    <row r="554" spans="1:10" s="244" customFormat="1">
      <c r="A554" s="277"/>
      <c r="B554" s="277"/>
      <c r="C554" s="277"/>
      <c r="D554" s="277" t="s">
        <v>7987</v>
      </c>
      <c r="E554" s="277"/>
      <c r="F554" s="287"/>
      <c r="G554" s="238"/>
      <c r="H554" s="239"/>
      <c r="I554" s="238"/>
      <c r="J554" s="238" t="str">
        <f t="shared" si="8"/>
        <v/>
      </c>
    </row>
    <row r="555" spans="1:10" s="244" customFormat="1" ht="18.75">
      <c r="A555" s="277" t="s">
        <v>7986</v>
      </c>
      <c r="B555" s="277" t="s">
        <v>7985</v>
      </c>
      <c r="C555" s="277" t="s">
        <v>5212</v>
      </c>
      <c r="D555" s="294" t="s">
        <v>7984</v>
      </c>
      <c r="E555" s="277"/>
      <c r="F555" s="287"/>
      <c r="G555" s="238" t="s">
        <v>5197</v>
      </c>
      <c r="H555" s="239" t="s">
        <v>7175</v>
      </c>
      <c r="I555" s="238"/>
      <c r="J555" s="238" t="str">
        <f t="shared" si="8"/>
        <v/>
      </c>
    </row>
    <row r="556" spans="1:10" s="248" customFormat="1" ht="18.75">
      <c r="A556" s="278"/>
      <c r="B556" s="278" t="s">
        <v>7983</v>
      </c>
      <c r="C556" s="278"/>
      <c r="D556" s="240" t="s">
        <v>7982</v>
      </c>
      <c r="E556" s="278"/>
      <c r="F556" s="283"/>
      <c r="G556" s="240"/>
      <c r="H556" s="240"/>
      <c r="I556" s="240"/>
      <c r="J556" s="238" t="str">
        <f t="shared" si="8"/>
        <v/>
      </c>
    </row>
    <row r="557" spans="1:10" s="248" customFormat="1">
      <c r="A557" s="286" t="s">
        <v>7981</v>
      </c>
      <c r="B557" s="286" t="s">
        <v>7980</v>
      </c>
      <c r="C557" s="286"/>
      <c r="D557" s="277" t="s">
        <v>7979</v>
      </c>
      <c r="E557" s="285"/>
      <c r="F557" s="284"/>
      <c r="G557" s="243" t="s">
        <v>5168</v>
      </c>
      <c r="H557" s="239" t="s">
        <v>7175</v>
      </c>
      <c r="I557" s="238"/>
      <c r="J557" s="238" t="str">
        <f t="shared" si="8"/>
        <v/>
      </c>
    </row>
    <row r="558" spans="1:10" s="248" customFormat="1">
      <c r="A558" s="286" t="s">
        <v>7978</v>
      </c>
      <c r="B558" s="286" t="s">
        <v>7977</v>
      </c>
      <c r="C558" s="286"/>
      <c r="D558" s="277" t="s">
        <v>7976</v>
      </c>
      <c r="E558" s="285"/>
      <c r="F558" s="284" t="s">
        <v>7975</v>
      </c>
      <c r="G558" s="243" t="s">
        <v>5168</v>
      </c>
      <c r="H558" s="239" t="s">
        <v>5196</v>
      </c>
      <c r="I558" s="238"/>
      <c r="J558" s="238" t="str">
        <f t="shared" si="8"/>
        <v/>
      </c>
    </row>
    <row r="559" spans="1:10" s="244" customFormat="1" ht="18.75">
      <c r="A559" s="278"/>
      <c r="B559" s="278" t="s">
        <v>7974</v>
      </c>
      <c r="C559" s="278"/>
      <c r="D559" s="278" t="s">
        <v>7973</v>
      </c>
      <c r="E559" s="278"/>
      <c r="F559" s="283"/>
      <c r="G559" s="240"/>
      <c r="H559" s="240"/>
      <c r="I559" s="240"/>
      <c r="J559" s="238" t="str">
        <f t="shared" si="8"/>
        <v>OK</v>
      </c>
    </row>
    <row r="560" spans="1:10" s="244" customFormat="1" ht="18.75">
      <c r="A560" s="278"/>
      <c r="B560" s="278" t="s">
        <v>7972</v>
      </c>
      <c r="C560" s="278"/>
      <c r="D560" s="278" t="s">
        <v>7971</v>
      </c>
      <c r="E560" s="278"/>
      <c r="F560" s="283"/>
      <c r="G560" s="240"/>
      <c r="H560" s="240"/>
      <c r="I560" s="240"/>
      <c r="J560" s="238" t="str">
        <f t="shared" si="8"/>
        <v/>
      </c>
    </row>
    <row r="561" spans="1:10" s="244" customFormat="1">
      <c r="A561" s="277"/>
      <c r="B561" s="277"/>
      <c r="C561" s="277"/>
      <c r="D561" s="277" t="s">
        <v>7970</v>
      </c>
      <c r="E561" s="277"/>
      <c r="F561" s="287"/>
      <c r="G561" s="238"/>
      <c r="H561" s="239"/>
      <c r="I561" s="238"/>
      <c r="J561" s="238" t="str">
        <f t="shared" si="8"/>
        <v/>
      </c>
    </row>
    <row r="562" spans="1:10" s="244" customFormat="1">
      <c r="A562" s="277" t="s">
        <v>7969</v>
      </c>
      <c r="B562" s="277" t="s">
        <v>5857</v>
      </c>
      <c r="C562" s="277"/>
      <c r="D562" s="277" t="s">
        <v>7968</v>
      </c>
      <c r="E562" s="277"/>
      <c r="F562" s="287"/>
      <c r="G562" s="238" t="s">
        <v>5197</v>
      </c>
      <c r="H562" s="239"/>
      <c r="I562" s="238"/>
      <c r="J562" s="238" t="str">
        <f t="shared" si="8"/>
        <v/>
      </c>
    </row>
    <row r="563" spans="1:10" s="244" customFormat="1">
      <c r="A563" s="277"/>
      <c r="B563" s="277"/>
      <c r="C563" s="277"/>
      <c r="D563" s="277" t="s">
        <v>7967</v>
      </c>
      <c r="E563" s="277"/>
      <c r="F563" s="287"/>
      <c r="G563" s="238"/>
      <c r="H563" s="239"/>
      <c r="I563" s="238"/>
      <c r="J563" s="238" t="str">
        <f t="shared" si="8"/>
        <v/>
      </c>
    </row>
    <row r="564" spans="1:10" s="244" customFormat="1">
      <c r="A564" s="277"/>
      <c r="B564" s="277"/>
      <c r="C564" s="277"/>
      <c r="D564" s="277" t="s">
        <v>7966</v>
      </c>
      <c r="E564" s="277"/>
      <c r="F564" s="287"/>
      <c r="G564" s="238"/>
      <c r="H564" s="239"/>
      <c r="I564" s="238"/>
      <c r="J564" s="238" t="str">
        <f t="shared" si="8"/>
        <v/>
      </c>
    </row>
    <row r="565" spans="1:10" s="244" customFormat="1">
      <c r="A565" s="277"/>
      <c r="B565" s="277"/>
      <c r="C565" s="277"/>
      <c r="D565" s="277" t="s">
        <v>7965</v>
      </c>
      <c r="E565" s="277"/>
      <c r="F565" s="287"/>
      <c r="G565" s="238"/>
      <c r="H565" s="239"/>
      <c r="I565" s="238"/>
      <c r="J565" s="238" t="str">
        <f t="shared" si="8"/>
        <v/>
      </c>
    </row>
    <row r="566" spans="1:10" s="244" customFormat="1">
      <c r="A566" s="277"/>
      <c r="B566" s="277"/>
      <c r="C566" s="277"/>
      <c r="D566" s="277" t="s">
        <v>7964</v>
      </c>
      <c r="E566" s="277"/>
      <c r="F566" s="287"/>
      <c r="G566" s="238"/>
      <c r="H566" s="239"/>
      <c r="I566" s="238"/>
      <c r="J566" s="238" t="str">
        <f t="shared" si="8"/>
        <v/>
      </c>
    </row>
    <row r="567" spans="1:10" s="244" customFormat="1">
      <c r="A567" s="277" t="s">
        <v>7963</v>
      </c>
      <c r="B567" s="277" t="s">
        <v>7962</v>
      </c>
      <c r="C567" s="277" t="s">
        <v>7961</v>
      </c>
      <c r="D567" s="277" t="s">
        <v>7960</v>
      </c>
      <c r="E567" s="277"/>
      <c r="F567" s="287"/>
      <c r="G567" s="238" t="s">
        <v>5197</v>
      </c>
      <c r="H567" s="239"/>
      <c r="I567" s="238"/>
      <c r="J567" s="238" t="str">
        <f t="shared" si="8"/>
        <v/>
      </c>
    </row>
    <row r="568" spans="1:10" s="244" customFormat="1">
      <c r="A568" s="277" t="s">
        <v>7959</v>
      </c>
      <c r="B568" s="277" t="s">
        <v>7958</v>
      </c>
      <c r="C568" s="277"/>
      <c r="D568" s="277" t="s">
        <v>7957</v>
      </c>
      <c r="E568" s="277"/>
      <c r="F568" s="287"/>
      <c r="G568" s="238" t="s">
        <v>5197</v>
      </c>
      <c r="H568" s="239"/>
      <c r="I568" s="238"/>
      <c r="J568" s="238" t="str">
        <f t="shared" si="8"/>
        <v/>
      </c>
    </row>
    <row r="569" spans="1:10" s="244" customFormat="1">
      <c r="A569" s="277"/>
      <c r="B569" s="277"/>
      <c r="C569" s="277"/>
      <c r="D569" s="277" t="s">
        <v>7956</v>
      </c>
      <c r="E569" s="277"/>
      <c r="F569" s="287"/>
      <c r="G569" s="238"/>
      <c r="H569" s="239"/>
      <c r="I569" s="238"/>
      <c r="J569" s="238" t="str">
        <f t="shared" si="8"/>
        <v/>
      </c>
    </row>
    <row r="570" spans="1:10" s="244" customFormat="1">
      <c r="A570" s="277" t="s">
        <v>7955</v>
      </c>
      <c r="B570" s="277" t="s">
        <v>7954</v>
      </c>
      <c r="C570" s="277" t="s">
        <v>6058</v>
      </c>
      <c r="D570" s="277" t="s">
        <v>7953</v>
      </c>
      <c r="E570" s="277"/>
      <c r="F570" s="287"/>
      <c r="G570" s="238" t="s">
        <v>5197</v>
      </c>
      <c r="H570" s="239"/>
      <c r="I570" s="238"/>
      <c r="J570" s="238" t="str">
        <f t="shared" si="8"/>
        <v/>
      </c>
    </row>
    <row r="571" spans="1:10" s="244" customFormat="1">
      <c r="A571" s="277"/>
      <c r="B571" s="277"/>
      <c r="C571" s="277"/>
      <c r="D571" s="277" t="s">
        <v>7952</v>
      </c>
      <c r="E571" s="277"/>
      <c r="F571" s="287"/>
      <c r="G571" s="238"/>
      <c r="H571" s="239"/>
      <c r="I571" s="238"/>
      <c r="J571" s="238" t="str">
        <f t="shared" si="8"/>
        <v/>
      </c>
    </row>
    <row r="572" spans="1:10" s="244" customFormat="1">
      <c r="A572" s="293"/>
      <c r="B572" s="293"/>
      <c r="C572" s="293"/>
      <c r="D572" s="293" t="s">
        <v>7951</v>
      </c>
      <c r="E572" s="293"/>
      <c r="F572" s="291"/>
      <c r="G572" s="246"/>
      <c r="H572" s="239"/>
      <c r="I572" s="238"/>
      <c r="J572" s="238" t="str">
        <f t="shared" si="8"/>
        <v/>
      </c>
    </row>
    <row r="573" spans="1:10" s="244" customFormat="1">
      <c r="A573" s="277"/>
      <c r="B573" s="277"/>
      <c r="C573" s="277"/>
      <c r="D573" s="277" t="s">
        <v>7951</v>
      </c>
      <c r="E573" s="277"/>
      <c r="F573" s="287"/>
      <c r="G573" s="238"/>
      <c r="H573" s="239"/>
      <c r="I573" s="238"/>
      <c r="J573" s="238" t="str">
        <f t="shared" si="8"/>
        <v>OK</v>
      </c>
    </row>
    <row r="574" spans="1:10" s="244" customFormat="1">
      <c r="A574" s="277"/>
      <c r="B574" s="277"/>
      <c r="C574" s="277"/>
      <c r="D574" s="277" t="s">
        <v>7951</v>
      </c>
      <c r="E574" s="277"/>
      <c r="F574" s="287"/>
      <c r="G574" s="238"/>
      <c r="H574" s="239"/>
      <c r="I574" s="238"/>
      <c r="J574" s="238" t="str">
        <f t="shared" si="8"/>
        <v>OK</v>
      </c>
    </row>
    <row r="575" spans="1:10" s="244" customFormat="1">
      <c r="A575" s="293"/>
      <c r="B575" s="292"/>
      <c r="C575" s="292"/>
      <c r="D575" s="277" t="s">
        <v>7950</v>
      </c>
      <c r="E575" s="277"/>
      <c r="F575" s="291"/>
      <c r="G575" s="246"/>
      <c r="H575" s="239"/>
      <c r="I575" s="238"/>
      <c r="J575" s="238" t="str">
        <f t="shared" si="8"/>
        <v/>
      </c>
    </row>
    <row r="576" spans="1:10" s="244" customFormat="1">
      <c r="A576" s="277"/>
      <c r="B576" s="277"/>
      <c r="C576" s="277"/>
      <c r="D576" s="277" t="s">
        <v>7949</v>
      </c>
      <c r="E576" s="277"/>
      <c r="F576" s="287"/>
      <c r="G576" s="238"/>
      <c r="H576" s="239"/>
      <c r="I576" s="238"/>
      <c r="J576" s="238" t="str">
        <f t="shared" si="8"/>
        <v/>
      </c>
    </row>
    <row r="577" spans="1:10" s="244" customFormat="1">
      <c r="A577" s="277"/>
      <c r="B577" s="277"/>
      <c r="C577" s="277"/>
      <c r="D577" s="277" t="s">
        <v>7948</v>
      </c>
      <c r="E577" s="277"/>
      <c r="F577" s="287"/>
      <c r="G577" s="238"/>
      <c r="H577" s="239"/>
      <c r="I577" s="238"/>
      <c r="J577" s="238" t="str">
        <f t="shared" si="8"/>
        <v/>
      </c>
    </row>
    <row r="578" spans="1:10" s="244" customFormat="1">
      <c r="A578" s="277"/>
      <c r="B578" s="277"/>
      <c r="C578" s="277"/>
      <c r="D578" s="238" t="s">
        <v>7947</v>
      </c>
      <c r="E578" s="277"/>
      <c r="F578" s="287"/>
      <c r="G578" s="238"/>
      <c r="H578" s="239"/>
      <c r="I578" s="238"/>
      <c r="J578" s="238" t="str">
        <f t="shared" si="8"/>
        <v/>
      </c>
    </row>
    <row r="579" spans="1:10" s="244" customFormat="1">
      <c r="A579" s="277"/>
      <c r="B579" s="277"/>
      <c r="C579" s="277"/>
      <c r="D579" s="277" t="s">
        <v>7946</v>
      </c>
      <c r="E579" s="277"/>
      <c r="F579" s="287"/>
      <c r="G579" s="238"/>
      <c r="H579" s="239"/>
      <c r="I579" s="238"/>
      <c r="J579" s="238" t="str">
        <f t="shared" ref="J579:J642" si="9">IF(D578=D579,"OK","")</f>
        <v/>
      </c>
    </row>
    <row r="580" spans="1:10" s="244" customFormat="1">
      <c r="A580" s="277"/>
      <c r="B580" s="277"/>
      <c r="C580" s="277"/>
      <c r="D580" s="277" t="s">
        <v>7945</v>
      </c>
      <c r="E580" s="277"/>
      <c r="F580" s="287"/>
      <c r="G580" s="238"/>
      <c r="H580" s="239"/>
      <c r="I580" s="238"/>
      <c r="J580" s="238" t="str">
        <f t="shared" si="9"/>
        <v/>
      </c>
    </row>
    <row r="581" spans="1:10" s="244" customFormat="1">
      <c r="A581" s="277"/>
      <c r="B581" s="277"/>
      <c r="C581" s="277"/>
      <c r="D581" s="277" t="s">
        <v>7944</v>
      </c>
      <c r="E581" s="277"/>
      <c r="F581" s="287"/>
      <c r="G581" s="238"/>
      <c r="H581" s="239"/>
      <c r="I581" s="238"/>
      <c r="J581" s="238" t="str">
        <f t="shared" si="9"/>
        <v/>
      </c>
    </row>
    <row r="582" spans="1:10" s="244" customFormat="1">
      <c r="A582" s="277"/>
      <c r="B582" s="277"/>
      <c r="C582" s="277"/>
      <c r="D582" s="238" t="s">
        <v>7943</v>
      </c>
      <c r="E582" s="277"/>
      <c r="F582" s="287"/>
      <c r="G582" s="238"/>
      <c r="H582" s="239"/>
      <c r="I582" s="238"/>
      <c r="J582" s="238" t="str">
        <f t="shared" si="9"/>
        <v/>
      </c>
    </row>
    <row r="583" spans="1:10" s="244" customFormat="1">
      <c r="A583" s="277" t="s">
        <v>7701</v>
      </c>
      <c r="B583" s="277" t="s">
        <v>7942</v>
      </c>
      <c r="C583" s="277"/>
      <c r="D583" s="238" t="s">
        <v>7941</v>
      </c>
      <c r="E583" s="277"/>
      <c r="F583" s="287"/>
      <c r="G583" s="238" t="s">
        <v>5197</v>
      </c>
      <c r="H583" s="239"/>
      <c r="I583" s="238"/>
      <c r="J583" s="238" t="str">
        <f t="shared" si="9"/>
        <v/>
      </c>
    </row>
    <row r="584" spans="1:10" s="244" customFormat="1">
      <c r="A584" s="277"/>
      <c r="B584" s="277"/>
      <c r="C584" s="277"/>
      <c r="D584" s="277" t="s">
        <v>7940</v>
      </c>
      <c r="E584" s="277"/>
      <c r="F584" s="287"/>
      <c r="G584" s="238"/>
      <c r="H584" s="239"/>
      <c r="I584" s="238"/>
      <c r="J584" s="238" t="str">
        <f t="shared" si="9"/>
        <v/>
      </c>
    </row>
    <row r="585" spans="1:10" s="244" customFormat="1">
      <c r="A585" s="277"/>
      <c r="B585" s="277"/>
      <c r="C585" s="277"/>
      <c r="D585" s="238" t="s">
        <v>7939</v>
      </c>
      <c r="E585" s="277"/>
      <c r="F585" s="287"/>
      <c r="G585" s="238"/>
      <c r="H585" s="239"/>
      <c r="I585" s="238"/>
      <c r="J585" s="238" t="str">
        <f t="shared" si="9"/>
        <v/>
      </c>
    </row>
    <row r="586" spans="1:10" s="244" customFormat="1">
      <c r="A586" s="277" t="s">
        <v>7938</v>
      </c>
      <c r="B586" s="277" t="s">
        <v>7937</v>
      </c>
      <c r="C586" s="277"/>
      <c r="D586" s="277" t="s">
        <v>7936</v>
      </c>
      <c r="E586" s="277"/>
      <c r="F586" s="287"/>
      <c r="G586" s="238" t="s">
        <v>5197</v>
      </c>
      <c r="H586" s="239"/>
      <c r="I586" s="238"/>
      <c r="J586" s="238" t="str">
        <f t="shared" si="9"/>
        <v/>
      </c>
    </row>
    <row r="587" spans="1:10" s="244" customFormat="1">
      <c r="A587" s="277"/>
      <c r="B587" s="277"/>
      <c r="C587" s="277"/>
      <c r="D587" s="277" t="s">
        <v>7935</v>
      </c>
      <c r="E587" s="277"/>
      <c r="F587" s="287"/>
      <c r="G587" s="238"/>
      <c r="H587" s="239"/>
      <c r="I587" s="238"/>
      <c r="J587" s="238" t="str">
        <f t="shared" si="9"/>
        <v/>
      </c>
    </row>
    <row r="588" spans="1:10" s="244" customFormat="1">
      <c r="A588" s="277"/>
      <c r="B588" s="277"/>
      <c r="C588" s="277"/>
      <c r="D588" s="277" t="s">
        <v>7934</v>
      </c>
      <c r="E588" s="277"/>
      <c r="F588" s="287"/>
      <c r="G588" s="238"/>
      <c r="H588" s="239"/>
      <c r="I588" s="238"/>
      <c r="J588" s="238" t="str">
        <f t="shared" si="9"/>
        <v/>
      </c>
    </row>
    <row r="589" spans="1:10" s="244" customFormat="1" ht="18.75">
      <c r="A589" s="277" t="s">
        <v>7933</v>
      </c>
      <c r="B589" s="277" t="s">
        <v>7932</v>
      </c>
      <c r="C589" s="277" t="s">
        <v>6304</v>
      </c>
      <c r="D589" s="294" t="s">
        <v>7931</v>
      </c>
      <c r="E589" s="277"/>
      <c r="F589" s="287"/>
      <c r="G589" s="238" t="s">
        <v>5197</v>
      </c>
      <c r="H589" s="239" t="s">
        <v>7175</v>
      </c>
      <c r="I589" s="238"/>
      <c r="J589" s="238" t="str">
        <f t="shared" si="9"/>
        <v/>
      </c>
    </row>
    <row r="590" spans="1:10" s="244" customFormat="1">
      <c r="A590" s="293"/>
      <c r="B590" s="292"/>
      <c r="C590" s="292"/>
      <c r="D590" s="238" t="s">
        <v>7930</v>
      </c>
      <c r="E590" s="277"/>
      <c r="F590" s="291"/>
      <c r="G590" s="246"/>
      <c r="H590" s="239"/>
      <c r="I590" s="238"/>
      <c r="J590" s="238" t="str">
        <f t="shared" si="9"/>
        <v/>
      </c>
    </row>
    <row r="591" spans="1:10" s="244" customFormat="1">
      <c r="A591" s="277"/>
      <c r="B591" s="277"/>
      <c r="C591" s="277"/>
      <c r="D591" s="277" t="s">
        <v>7929</v>
      </c>
      <c r="E591" s="277"/>
      <c r="F591" s="287"/>
      <c r="G591" s="238"/>
      <c r="H591" s="239"/>
      <c r="I591" s="238"/>
      <c r="J591" s="238" t="str">
        <f t="shared" si="9"/>
        <v>OK</v>
      </c>
    </row>
    <row r="592" spans="1:10" s="244" customFormat="1">
      <c r="A592" s="277" t="s">
        <v>7928</v>
      </c>
      <c r="B592" s="277" t="s">
        <v>5857</v>
      </c>
      <c r="C592" s="277"/>
      <c r="D592" s="277" t="s">
        <v>7927</v>
      </c>
      <c r="E592" s="277"/>
      <c r="F592" s="287"/>
      <c r="G592" s="238" t="s">
        <v>5197</v>
      </c>
      <c r="H592" s="239"/>
      <c r="I592" s="238"/>
      <c r="J592" s="238" t="str">
        <f t="shared" si="9"/>
        <v/>
      </c>
    </row>
    <row r="593" spans="1:10" s="244" customFormat="1">
      <c r="A593" s="277" t="s">
        <v>7926</v>
      </c>
      <c r="B593" s="277" t="s">
        <v>7925</v>
      </c>
      <c r="C593" s="277" t="s">
        <v>7120</v>
      </c>
      <c r="D593" s="277" t="s">
        <v>7924</v>
      </c>
      <c r="E593" s="277"/>
      <c r="F593" s="287"/>
      <c r="G593" s="238" t="s">
        <v>5197</v>
      </c>
      <c r="H593" s="239"/>
      <c r="I593" s="238"/>
      <c r="J593" s="238" t="str">
        <f t="shared" si="9"/>
        <v/>
      </c>
    </row>
    <row r="594" spans="1:10" s="244" customFormat="1">
      <c r="A594" s="277" t="s">
        <v>7923</v>
      </c>
      <c r="B594" s="277" t="s">
        <v>5857</v>
      </c>
      <c r="C594" s="277"/>
      <c r="D594" s="277" t="s">
        <v>7922</v>
      </c>
      <c r="E594" s="277"/>
      <c r="F594" s="287"/>
      <c r="G594" s="238" t="s">
        <v>5197</v>
      </c>
      <c r="H594" s="239"/>
      <c r="I594" s="238"/>
      <c r="J594" s="238" t="str">
        <f t="shared" si="9"/>
        <v/>
      </c>
    </row>
    <row r="595" spans="1:10" s="244" customFormat="1">
      <c r="A595" s="277"/>
      <c r="B595" s="277"/>
      <c r="C595" s="277"/>
      <c r="D595" s="277" t="s">
        <v>7921</v>
      </c>
      <c r="E595" s="277"/>
      <c r="F595" s="287"/>
      <c r="G595" s="238"/>
      <c r="H595" s="239"/>
      <c r="I595" s="238"/>
      <c r="J595" s="238" t="str">
        <f t="shared" si="9"/>
        <v/>
      </c>
    </row>
    <row r="596" spans="1:10" s="244" customFormat="1">
      <c r="A596" s="277"/>
      <c r="B596" s="277"/>
      <c r="C596" s="277"/>
      <c r="D596" s="277" t="s">
        <v>7920</v>
      </c>
      <c r="E596" s="277"/>
      <c r="F596" s="287"/>
      <c r="G596" s="238"/>
      <c r="H596" s="239"/>
      <c r="I596" s="238"/>
      <c r="J596" s="238" t="str">
        <f t="shared" si="9"/>
        <v/>
      </c>
    </row>
    <row r="597" spans="1:10" s="244" customFormat="1">
      <c r="A597" s="277"/>
      <c r="B597" s="277"/>
      <c r="C597" s="277"/>
      <c r="D597" s="277" t="s">
        <v>7919</v>
      </c>
      <c r="E597" s="277"/>
      <c r="F597" s="287"/>
      <c r="G597" s="238"/>
      <c r="H597" s="239"/>
      <c r="I597" s="238"/>
      <c r="J597" s="238" t="str">
        <f t="shared" si="9"/>
        <v/>
      </c>
    </row>
    <row r="598" spans="1:10" s="244" customFormat="1" ht="18.75">
      <c r="A598" s="286" t="s">
        <v>7918</v>
      </c>
      <c r="B598" s="286" t="s">
        <v>7917</v>
      </c>
      <c r="C598" s="286"/>
      <c r="D598" s="290" t="s">
        <v>7916</v>
      </c>
      <c r="E598" s="285"/>
      <c r="F598" s="284"/>
      <c r="G598" s="243" t="s">
        <v>5168</v>
      </c>
      <c r="H598" s="239"/>
      <c r="I598" s="238"/>
      <c r="J598" s="238" t="str">
        <f t="shared" si="9"/>
        <v/>
      </c>
    </row>
    <row r="599" spans="1:10" s="244" customFormat="1">
      <c r="A599" s="277"/>
      <c r="B599" s="277"/>
      <c r="C599" s="277"/>
      <c r="D599" s="277" t="s">
        <v>7915</v>
      </c>
      <c r="E599" s="277"/>
      <c r="F599" s="287"/>
      <c r="G599" s="238"/>
      <c r="H599" s="239"/>
      <c r="I599" s="238"/>
      <c r="J599" s="238" t="str">
        <f t="shared" si="9"/>
        <v/>
      </c>
    </row>
    <row r="600" spans="1:10" s="244" customFormat="1" ht="18.75">
      <c r="A600" s="278"/>
      <c r="B600" s="278" t="s">
        <v>7914</v>
      </c>
      <c r="C600" s="278"/>
      <c r="D600" s="278" t="s">
        <v>7913</v>
      </c>
      <c r="E600" s="278"/>
      <c r="F600" s="283"/>
      <c r="G600" s="240"/>
      <c r="H600" s="240"/>
      <c r="I600" s="240"/>
      <c r="J600" s="238" t="str">
        <f t="shared" si="9"/>
        <v/>
      </c>
    </row>
    <row r="601" spans="1:10" s="244" customFormat="1" ht="18.75">
      <c r="A601" s="278"/>
      <c r="B601" s="278" t="s">
        <v>7912</v>
      </c>
      <c r="C601" s="278"/>
      <c r="D601" s="278" t="s">
        <v>7911</v>
      </c>
      <c r="E601" s="278"/>
      <c r="F601" s="283"/>
      <c r="G601" s="240"/>
      <c r="H601" s="240"/>
      <c r="I601" s="240"/>
      <c r="J601" s="238" t="str">
        <f t="shared" si="9"/>
        <v/>
      </c>
    </row>
    <row r="602" spans="1:10" s="244" customFormat="1">
      <c r="A602" s="277" t="s">
        <v>7910</v>
      </c>
      <c r="B602" s="277" t="s">
        <v>7909</v>
      </c>
      <c r="C602" s="238"/>
      <c r="D602" s="238" t="s">
        <v>7908</v>
      </c>
      <c r="E602" s="277"/>
      <c r="F602" s="287"/>
      <c r="G602" s="238" t="s">
        <v>5197</v>
      </c>
      <c r="H602" s="239"/>
      <c r="I602" s="238"/>
      <c r="J602" s="238" t="str">
        <f t="shared" si="9"/>
        <v/>
      </c>
    </row>
    <row r="603" spans="1:10" s="244" customFormat="1">
      <c r="A603" s="277"/>
      <c r="B603" s="277"/>
      <c r="C603" s="277"/>
      <c r="D603" s="277" t="s">
        <v>7907</v>
      </c>
      <c r="E603" s="277"/>
      <c r="F603" s="287"/>
      <c r="G603" s="238"/>
      <c r="H603" s="239"/>
      <c r="I603" s="238"/>
      <c r="J603" s="238" t="str">
        <f t="shared" si="9"/>
        <v/>
      </c>
    </row>
    <row r="604" spans="1:10" s="244" customFormat="1">
      <c r="A604" s="277"/>
      <c r="B604" s="277"/>
      <c r="C604" s="277"/>
      <c r="D604" s="277" t="s">
        <v>7906</v>
      </c>
      <c r="E604" s="277"/>
      <c r="F604" s="287"/>
      <c r="G604" s="238"/>
      <c r="H604" s="239"/>
      <c r="I604" s="238"/>
      <c r="J604" s="238" t="str">
        <f t="shared" si="9"/>
        <v/>
      </c>
    </row>
    <row r="605" spans="1:10" s="244" customFormat="1">
      <c r="A605" s="277"/>
      <c r="B605" s="277"/>
      <c r="C605" s="277"/>
      <c r="D605" s="277" t="s">
        <v>7905</v>
      </c>
      <c r="E605" s="277"/>
      <c r="F605" s="287"/>
      <c r="G605" s="238"/>
      <c r="H605" s="239"/>
      <c r="I605" s="238"/>
      <c r="J605" s="238" t="str">
        <f t="shared" si="9"/>
        <v/>
      </c>
    </row>
    <row r="606" spans="1:10" s="244" customFormat="1">
      <c r="A606" s="277" t="s">
        <v>5577</v>
      </c>
      <c r="B606" s="277" t="s">
        <v>7904</v>
      </c>
      <c r="C606" s="277"/>
      <c r="D606" s="277" t="s">
        <v>7903</v>
      </c>
      <c r="E606" s="277"/>
      <c r="F606" s="287"/>
      <c r="G606" s="238" t="s">
        <v>5197</v>
      </c>
      <c r="H606" s="239" t="s">
        <v>7175</v>
      </c>
      <c r="I606" s="238"/>
      <c r="J606" s="238" t="str">
        <f t="shared" si="9"/>
        <v/>
      </c>
    </row>
    <row r="607" spans="1:10" s="244" customFormat="1">
      <c r="A607" s="277"/>
      <c r="B607" s="277"/>
      <c r="C607" s="277"/>
      <c r="D607" s="277" t="s">
        <v>7902</v>
      </c>
      <c r="E607" s="277"/>
      <c r="F607" s="287"/>
      <c r="G607" s="238"/>
      <c r="H607" s="239"/>
      <c r="I607" s="238"/>
      <c r="J607" s="238" t="str">
        <f t="shared" si="9"/>
        <v/>
      </c>
    </row>
    <row r="608" spans="1:10" s="244" customFormat="1">
      <c r="A608" s="277" t="s">
        <v>7901</v>
      </c>
      <c r="B608" s="277" t="s">
        <v>7900</v>
      </c>
      <c r="C608" s="277" t="s">
        <v>7899</v>
      </c>
      <c r="D608" s="238" t="s">
        <v>7898</v>
      </c>
      <c r="E608" s="277"/>
      <c r="F608" s="287"/>
      <c r="G608" s="238" t="s">
        <v>5197</v>
      </c>
      <c r="H608" s="239" t="s">
        <v>5196</v>
      </c>
      <c r="I608" s="238"/>
      <c r="J608" s="238" t="str">
        <f t="shared" si="9"/>
        <v/>
      </c>
    </row>
    <row r="609" spans="1:10" s="244" customFormat="1">
      <c r="A609" s="277"/>
      <c r="B609" s="277"/>
      <c r="C609" s="277"/>
      <c r="D609" s="277" t="s">
        <v>7897</v>
      </c>
      <c r="E609" s="277"/>
      <c r="F609" s="287"/>
      <c r="G609" s="238"/>
      <c r="H609" s="239"/>
      <c r="I609" s="238"/>
      <c r="J609" s="238" t="str">
        <f t="shared" si="9"/>
        <v/>
      </c>
    </row>
    <row r="610" spans="1:10" s="244" customFormat="1">
      <c r="A610" s="277"/>
      <c r="B610" s="277"/>
      <c r="C610" s="277"/>
      <c r="D610" s="277" t="s">
        <v>7896</v>
      </c>
      <c r="E610" s="277"/>
      <c r="F610" s="287"/>
      <c r="G610" s="238"/>
      <c r="H610" s="239"/>
      <c r="I610" s="238"/>
      <c r="J610" s="238" t="str">
        <f t="shared" si="9"/>
        <v/>
      </c>
    </row>
    <row r="611" spans="1:10" s="244" customFormat="1">
      <c r="A611" s="277" t="s">
        <v>7895</v>
      </c>
      <c r="B611" s="277" t="s">
        <v>7894</v>
      </c>
      <c r="C611" s="277"/>
      <c r="D611" s="238" t="s">
        <v>7893</v>
      </c>
      <c r="E611" s="277"/>
      <c r="F611" s="287"/>
      <c r="G611" s="238" t="s">
        <v>5197</v>
      </c>
      <c r="H611" s="239" t="s">
        <v>7175</v>
      </c>
      <c r="I611" s="238"/>
      <c r="J611" s="238" t="str">
        <f t="shared" si="9"/>
        <v/>
      </c>
    </row>
    <row r="612" spans="1:10" s="244" customFormat="1">
      <c r="A612" s="277"/>
      <c r="B612" s="277"/>
      <c r="C612" s="277"/>
      <c r="D612" s="277" t="s">
        <v>7892</v>
      </c>
      <c r="E612" s="277"/>
      <c r="F612" s="287"/>
      <c r="G612" s="238"/>
      <c r="H612" s="239"/>
      <c r="I612" s="238"/>
      <c r="J612" s="238" t="str">
        <f t="shared" si="9"/>
        <v/>
      </c>
    </row>
    <row r="613" spans="1:10" s="244" customFormat="1">
      <c r="A613" s="277" t="s">
        <v>7891</v>
      </c>
      <c r="B613" s="277" t="s">
        <v>7890</v>
      </c>
      <c r="C613" s="277"/>
      <c r="D613" s="277" t="s">
        <v>7889</v>
      </c>
      <c r="E613" s="277"/>
      <c r="F613" s="287"/>
      <c r="G613" s="238" t="s">
        <v>5197</v>
      </c>
      <c r="H613" s="239" t="s">
        <v>7175</v>
      </c>
      <c r="I613" s="238"/>
      <c r="J613" s="238" t="str">
        <f t="shared" si="9"/>
        <v/>
      </c>
    </row>
    <row r="614" spans="1:10" s="244" customFormat="1">
      <c r="A614" s="277"/>
      <c r="B614" s="277"/>
      <c r="C614" s="238"/>
      <c r="D614" s="238" t="s">
        <v>7888</v>
      </c>
      <c r="E614" s="277"/>
      <c r="F614" s="287"/>
      <c r="G614" s="238"/>
      <c r="H614" s="239"/>
      <c r="I614" s="238"/>
      <c r="J614" s="238" t="str">
        <f t="shared" si="9"/>
        <v/>
      </c>
    </row>
    <row r="615" spans="1:10" s="244" customFormat="1">
      <c r="A615" s="286" t="s">
        <v>7887</v>
      </c>
      <c r="B615" s="286" t="s">
        <v>7886</v>
      </c>
      <c r="C615" s="286"/>
      <c r="D615" s="277" t="s">
        <v>7885</v>
      </c>
      <c r="E615" s="285"/>
      <c r="F615" s="284" t="s">
        <v>7884</v>
      </c>
      <c r="G615" s="243" t="s">
        <v>5168</v>
      </c>
      <c r="H615" s="239" t="s">
        <v>7175</v>
      </c>
      <c r="I615" s="238"/>
      <c r="J615" s="238" t="str">
        <f t="shared" si="9"/>
        <v/>
      </c>
    </row>
    <row r="616" spans="1:10" s="244" customFormat="1">
      <c r="A616" s="277"/>
      <c r="B616" s="277"/>
      <c r="C616" s="277"/>
      <c r="D616" s="238" t="s">
        <v>7883</v>
      </c>
      <c r="E616" s="277"/>
      <c r="F616" s="287"/>
      <c r="G616" s="238"/>
      <c r="H616" s="239"/>
      <c r="I616" s="238"/>
      <c r="J616" s="238" t="str">
        <f t="shared" si="9"/>
        <v/>
      </c>
    </row>
    <row r="617" spans="1:10" s="244" customFormat="1">
      <c r="A617" s="277" t="s">
        <v>7882</v>
      </c>
      <c r="B617" s="277" t="s">
        <v>6786</v>
      </c>
      <c r="C617" s="277"/>
      <c r="D617" s="238" t="s">
        <v>7881</v>
      </c>
      <c r="E617" s="277"/>
      <c r="F617" s="287"/>
      <c r="G617" s="238" t="s">
        <v>5197</v>
      </c>
      <c r="H617" s="239" t="s">
        <v>7175</v>
      </c>
      <c r="I617" s="238"/>
      <c r="J617" s="238" t="str">
        <f t="shared" si="9"/>
        <v/>
      </c>
    </row>
    <row r="618" spans="1:10" s="244" customFormat="1">
      <c r="A618" s="277" t="s">
        <v>5297</v>
      </c>
      <c r="B618" s="277" t="s">
        <v>7880</v>
      </c>
      <c r="C618" s="277" t="s">
        <v>5199</v>
      </c>
      <c r="D618" s="277" t="s">
        <v>7879</v>
      </c>
      <c r="E618" s="277"/>
      <c r="F618" s="287"/>
      <c r="G618" s="238" t="s">
        <v>5197</v>
      </c>
      <c r="H618" s="239" t="s">
        <v>7175</v>
      </c>
      <c r="I618" s="238"/>
      <c r="J618" s="238" t="str">
        <f t="shared" si="9"/>
        <v/>
      </c>
    </row>
    <row r="619" spans="1:10" s="244" customFormat="1">
      <c r="A619" s="277"/>
      <c r="B619" s="277"/>
      <c r="C619" s="277"/>
      <c r="D619" s="277" t="s">
        <v>7878</v>
      </c>
      <c r="E619" s="277"/>
      <c r="F619" s="287"/>
      <c r="G619" s="238"/>
      <c r="H619" s="239"/>
      <c r="I619" s="238"/>
      <c r="J619" s="238" t="str">
        <f t="shared" si="9"/>
        <v/>
      </c>
    </row>
    <row r="620" spans="1:10" s="244" customFormat="1">
      <c r="A620" s="286" t="s">
        <v>7877</v>
      </c>
      <c r="B620" s="289"/>
      <c r="C620" s="289"/>
      <c r="D620" s="286" t="s">
        <v>7877</v>
      </c>
      <c r="E620" s="286"/>
      <c r="F620" s="288"/>
      <c r="G620" s="243" t="s">
        <v>5168</v>
      </c>
      <c r="H620" s="239" t="s">
        <v>7175</v>
      </c>
      <c r="I620" s="238"/>
      <c r="J620" s="238" t="str">
        <f t="shared" si="9"/>
        <v/>
      </c>
    </row>
    <row r="621" spans="1:10" s="244" customFormat="1">
      <c r="A621" s="277"/>
      <c r="B621" s="277"/>
      <c r="C621" s="277"/>
      <c r="D621" s="277" t="s">
        <v>7876</v>
      </c>
      <c r="E621" s="277"/>
      <c r="F621" s="287"/>
      <c r="G621" s="238"/>
      <c r="H621" s="239"/>
      <c r="I621" s="238"/>
      <c r="J621" s="238" t="str">
        <f t="shared" si="9"/>
        <v/>
      </c>
    </row>
    <row r="622" spans="1:10" s="244" customFormat="1">
      <c r="A622" s="277"/>
      <c r="B622" s="277"/>
      <c r="C622" s="277"/>
      <c r="D622" s="277" t="s">
        <v>7875</v>
      </c>
      <c r="E622" s="277"/>
      <c r="F622" s="287"/>
      <c r="G622" s="238"/>
      <c r="H622" s="239"/>
      <c r="I622" s="238"/>
      <c r="J622" s="238" t="str">
        <f t="shared" si="9"/>
        <v/>
      </c>
    </row>
    <row r="623" spans="1:10" s="244" customFormat="1">
      <c r="A623" s="277"/>
      <c r="B623" s="277"/>
      <c r="C623" s="277"/>
      <c r="D623" s="277" t="s">
        <v>7874</v>
      </c>
      <c r="E623" s="277"/>
      <c r="F623" s="287"/>
      <c r="G623" s="238"/>
      <c r="H623" s="239"/>
      <c r="I623" s="238"/>
      <c r="J623" s="238" t="str">
        <f t="shared" si="9"/>
        <v/>
      </c>
    </row>
    <row r="624" spans="1:10" s="244" customFormat="1">
      <c r="A624" s="277"/>
      <c r="B624" s="277"/>
      <c r="C624" s="277"/>
      <c r="D624" s="277" t="s">
        <v>7873</v>
      </c>
      <c r="E624" s="277"/>
      <c r="F624" s="287"/>
      <c r="G624" s="238"/>
      <c r="H624" s="239"/>
      <c r="I624" s="238"/>
      <c r="J624" s="238" t="str">
        <f t="shared" si="9"/>
        <v/>
      </c>
    </row>
    <row r="625" spans="1:10" s="244" customFormat="1">
      <c r="A625" s="277" t="s">
        <v>7872</v>
      </c>
      <c r="B625" s="277" t="s">
        <v>7871</v>
      </c>
      <c r="C625" s="277" t="s">
        <v>7870</v>
      </c>
      <c r="D625" s="277" t="s">
        <v>7869</v>
      </c>
      <c r="E625" s="277"/>
      <c r="F625" s="287"/>
      <c r="G625" s="238" t="s">
        <v>5197</v>
      </c>
      <c r="H625" s="239" t="s">
        <v>7175</v>
      </c>
      <c r="I625" s="238"/>
      <c r="J625" s="238" t="str">
        <f t="shared" si="9"/>
        <v/>
      </c>
    </row>
    <row r="626" spans="1:10" s="244" customFormat="1">
      <c r="A626" s="277" t="s">
        <v>7868</v>
      </c>
      <c r="B626" s="277" t="s">
        <v>7867</v>
      </c>
      <c r="C626" s="277"/>
      <c r="D626" s="277" t="s">
        <v>7866</v>
      </c>
      <c r="E626" s="277"/>
      <c r="F626" s="287"/>
      <c r="G626" s="238" t="s">
        <v>5197</v>
      </c>
      <c r="H626" s="239"/>
      <c r="I626" s="238"/>
      <c r="J626" s="238" t="str">
        <f t="shared" si="9"/>
        <v/>
      </c>
    </row>
    <row r="627" spans="1:10" s="244" customFormat="1">
      <c r="A627" s="277" t="s">
        <v>7865</v>
      </c>
      <c r="B627" s="277" t="s">
        <v>7864</v>
      </c>
      <c r="C627" s="277" t="s">
        <v>6304</v>
      </c>
      <c r="D627" s="277" t="s">
        <v>7863</v>
      </c>
      <c r="E627" s="277"/>
      <c r="F627" s="287"/>
      <c r="G627" s="238" t="s">
        <v>5197</v>
      </c>
      <c r="H627" s="239"/>
      <c r="I627" s="238"/>
      <c r="J627" s="238" t="str">
        <f t="shared" si="9"/>
        <v/>
      </c>
    </row>
    <row r="628" spans="1:10" s="244" customFormat="1">
      <c r="A628" s="277"/>
      <c r="B628" s="277"/>
      <c r="C628" s="277"/>
      <c r="D628" s="238" t="s">
        <v>7862</v>
      </c>
      <c r="E628" s="277"/>
      <c r="F628" s="287"/>
      <c r="G628" s="238"/>
      <c r="H628" s="239"/>
      <c r="I628" s="238"/>
      <c r="J628" s="238" t="str">
        <f t="shared" si="9"/>
        <v/>
      </c>
    </row>
    <row r="629" spans="1:10" s="244" customFormat="1">
      <c r="A629" s="277"/>
      <c r="B629" s="277"/>
      <c r="C629" s="277"/>
      <c r="D629" s="238" t="s">
        <v>7861</v>
      </c>
      <c r="E629" s="277"/>
      <c r="F629" s="287"/>
      <c r="G629" s="238"/>
      <c r="H629" s="239"/>
      <c r="I629" s="238"/>
      <c r="J629" s="238" t="str">
        <f t="shared" si="9"/>
        <v/>
      </c>
    </row>
    <row r="630" spans="1:10" s="244" customFormat="1">
      <c r="A630" s="286" t="s">
        <v>7860</v>
      </c>
      <c r="B630" s="286" t="s">
        <v>7859</v>
      </c>
      <c r="C630" s="286"/>
      <c r="D630" s="277" t="s">
        <v>7858</v>
      </c>
      <c r="E630" s="285"/>
      <c r="F630" s="284"/>
      <c r="G630" s="243" t="s">
        <v>5168</v>
      </c>
      <c r="H630" s="239"/>
      <c r="I630" s="238"/>
      <c r="J630" s="238" t="str">
        <f t="shared" si="9"/>
        <v/>
      </c>
    </row>
    <row r="631" spans="1:10" s="244" customFormat="1">
      <c r="A631" s="277"/>
      <c r="B631" s="277"/>
      <c r="C631" s="277"/>
      <c r="D631" s="277" t="s">
        <v>7857</v>
      </c>
      <c r="E631" s="277"/>
      <c r="F631" s="287"/>
      <c r="G631" s="238"/>
      <c r="H631" s="239"/>
      <c r="I631" s="238"/>
      <c r="J631" s="238" t="str">
        <f t="shared" si="9"/>
        <v/>
      </c>
    </row>
    <row r="632" spans="1:10" s="244" customFormat="1">
      <c r="A632" s="277"/>
      <c r="B632" s="277"/>
      <c r="C632" s="277"/>
      <c r="D632" s="238" t="s">
        <v>7856</v>
      </c>
      <c r="E632" s="277"/>
      <c r="F632" s="287"/>
      <c r="G632" s="238"/>
      <c r="H632" s="239"/>
      <c r="I632" s="238"/>
      <c r="J632" s="238" t="str">
        <f t="shared" si="9"/>
        <v/>
      </c>
    </row>
    <row r="633" spans="1:10" s="244" customFormat="1">
      <c r="A633" s="277"/>
      <c r="B633" s="277"/>
      <c r="C633" s="277"/>
      <c r="D633" s="277" t="s">
        <v>7855</v>
      </c>
      <c r="E633" s="277"/>
      <c r="F633" s="287"/>
      <c r="G633" s="238"/>
      <c r="H633" s="239"/>
      <c r="I633" s="238"/>
      <c r="J633" s="238" t="str">
        <f t="shared" si="9"/>
        <v/>
      </c>
    </row>
    <row r="634" spans="1:10" s="244" customFormat="1">
      <c r="A634" s="277" t="s">
        <v>7854</v>
      </c>
      <c r="B634" s="277" t="s">
        <v>7853</v>
      </c>
      <c r="C634" s="277" t="s">
        <v>6058</v>
      </c>
      <c r="D634" s="238" t="s">
        <v>7852</v>
      </c>
      <c r="E634" s="277"/>
      <c r="F634" s="287"/>
      <c r="G634" s="238" t="s">
        <v>5197</v>
      </c>
      <c r="H634" s="239"/>
      <c r="I634" s="238"/>
      <c r="J634" s="238" t="str">
        <f t="shared" si="9"/>
        <v/>
      </c>
    </row>
    <row r="635" spans="1:10" s="244" customFormat="1">
      <c r="A635" s="277"/>
      <c r="B635" s="277"/>
      <c r="C635" s="277"/>
      <c r="D635" s="277" t="s">
        <v>7851</v>
      </c>
      <c r="E635" s="277"/>
      <c r="F635" s="287"/>
      <c r="G635" s="238"/>
      <c r="H635" s="239"/>
      <c r="I635" s="238"/>
      <c r="J635" s="238" t="str">
        <f t="shared" si="9"/>
        <v/>
      </c>
    </row>
    <row r="636" spans="1:10" s="244" customFormat="1">
      <c r="A636" s="277"/>
      <c r="B636" s="277"/>
      <c r="C636" s="277"/>
      <c r="D636" s="277" t="s">
        <v>7850</v>
      </c>
      <c r="E636" s="277"/>
      <c r="F636" s="287"/>
      <c r="G636" s="238"/>
      <c r="H636" s="239"/>
      <c r="I636" s="238"/>
      <c r="J636" s="238" t="str">
        <f t="shared" si="9"/>
        <v/>
      </c>
    </row>
    <row r="637" spans="1:10" s="244" customFormat="1">
      <c r="A637" s="277"/>
      <c r="B637" s="277"/>
      <c r="C637" s="277"/>
      <c r="D637" s="277" t="s">
        <v>7849</v>
      </c>
      <c r="E637" s="277"/>
      <c r="F637" s="287"/>
      <c r="G637" s="238"/>
      <c r="H637" s="239"/>
      <c r="I637" s="238"/>
      <c r="J637" s="238" t="str">
        <f t="shared" si="9"/>
        <v/>
      </c>
    </row>
    <row r="638" spans="1:10" s="244" customFormat="1">
      <c r="A638" s="277"/>
      <c r="B638" s="277"/>
      <c r="C638" s="277"/>
      <c r="D638" s="277" t="s">
        <v>7848</v>
      </c>
      <c r="E638" s="277"/>
      <c r="F638" s="287"/>
      <c r="G638" s="238"/>
      <c r="H638" s="239"/>
      <c r="I638" s="238"/>
      <c r="J638" s="238" t="str">
        <f t="shared" si="9"/>
        <v/>
      </c>
    </row>
    <row r="639" spans="1:10" s="244" customFormat="1">
      <c r="A639" s="277"/>
      <c r="B639" s="277"/>
      <c r="C639" s="277"/>
      <c r="D639" s="277" t="s">
        <v>7847</v>
      </c>
      <c r="E639" s="277"/>
      <c r="F639" s="287"/>
      <c r="G639" s="238"/>
      <c r="H639" s="239"/>
      <c r="I639" s="238"/>
      <c r="J639" s="238" t="str">
        <f t="shared" si="9"/>
        <v/>
      </c>
    </row>
    <row r="640" spans="1:10" s="244" customFormat="1">
      <c r="A640" s="277" t="s">
        <v>7846</v>
      </c>
      <c r="B640" s="277" t="s">
        <v>7845</v>
      </c>
      <c r="C640" s="277" t="s">
        <v>5212</v>
      </c>
      <c r="D640" s="277" t="s">
        <v>7844</v>
      </c>
      <c r="E640" s="277"/>
      <c r="F640" s="287"/>
      <c r="G640" s="238" t="s">
        <v>5197</v>
      </c>
      <c r="H640" s="239"/>
      <c r="I640" s="238"/>
      <c r="J640" s="238" t="str">
        <f t="shared" si="9"/>
        <v/>
      </c>
    </row>
    <row r="641" spans="1:10" s="244" customFormat="1">
      <c r="A641" s="277" t="s">
        <v>5256</v>
      </c>
      <c r="B641" s="277" t="s">
        <v>7843</v>
      </c>
      <c r="C641" s="277"/>
      <c r="D641" s="277" t="s">
        <v>7842</v>
      </c>
      <c r="E641" s="277"/>
      <c r="F641" s="287"/>
      <c r="G641" s="238" t="s">
        <v>5197</v>
      </c>
      <c r="H641" s="239"/>
      <c r="I641" s="238"/>
      <c r="J641" s="238" t="str">
        <f t="shared" si="9"/>
        <v/>
      </c>
    </row>
    <row r="642" spans="1:10" s="244" customFormat="1">
      <c r="A642" s="277"/>
      <c r="B642" s="277"/>
      <c r="C642" s="277"/>
      <c r="D642" s="277" t="s">
        <v>7841</v>
      </c>
      <c r="E642" s="277"/>
      <c r="F642" s="287"/>
      <c r="G642" s="238"/>
      <c r="H642" s="239"/>
      <c r="I642" s="238"/>
      <c r="J642" s="238" t="str">
        <f t="shared" si="9"/>
        <v/>
      </c>
    </row>
    <row r="643" spans="1:10" s="244" customFormat="1">
      <c r="A643" s="277"/>
      <c r="B643" s="277"/>
      <c r="C643" s="277"/>
      <c r="D643" s="238" t="s">
        <v>7840</v>
      </c>
      <c r="E643" s="277"/>
      <c r="F643" s="287"/>
      <c r="G643" s="238"/>
      <c r="H643" s="239"/>
      <c r="I643" s="238"/>
      <c r="J643" s="238" t="str">
        <f t="shared" ref="J643:J706" si="10">IF(D642=D643,"OK","")</f>
        <v/>
      </c>
    </row>
    <row r="644" spans="1:10" s="244" customFormat="1">
      <c r="A644" s="277" t="s">
        <v>6066</v>
      </c>
      <c r="B644" s="277" t="s">
        <v>7839</v>
      </c>
      <c r="C644" s="277" t="s">
        <v>5212</v>
      </c>
      <c r="D644" s="277" t="s">
        <v>7838</v>
      </c>
      <c r="E644" s="277"/>
      <c r="F644" s="287"/>
      <c r="G644" s="238" t="s">
        <v>5197</v>
      </c>
      <c r="H644" s="239"/>
      <c r="I644" s="238"/>
      <c r="J644" s="238" t="str">
        <f t="shared" si="10"/>
        <v/>
      </c>
    </row>
    <row r="645" spans="1:10" s="244" customFormat="1">
      <c r="A645" s="277"/>
      <c r="B645" s="277"/>
      <c r="C645" s="277"/>
      <c r="D645" s="277" t="s">
        <v>7837</v>
      </c>
      <c r="E645" s="277"/>
      <c r="F645" s="287"/>
      <c r="G645" s="238"/>
      <c r="H645" s="239"/>
      <c r="I645" s="238"/>
      <c r="J645" s="238" t="str">
        <f t="shared" si="10"/>
        <v/>
      </c>
    </row>
    <row r="646" spans="1:10" s="244" customFormat="1">
      <c r="A646" s="277" t="s">
        <v>6906</v>
      </c>
      <c r="B646" s="277" t="s">
        <v>7836</v>
      </c>
      <c r="C646" s="277" t="s">
        <v>5199</v>
      </c>
      <c r="D646" s="277" t="s">
        <v>7835</v>
      </c>
      <c r="E646" s="277"/>
      <c r="F646" s="287"/>
      <c r="G646" s="238" t="s">
        <v>5197</v>
      </c>
      <c r="H646" s="239"/>
      <c r="I646" s="238"/>
      <c r="J646" s="238" t="str">
        <f t="shared" si="10"/>
        <v/>
      </c>
    </row>
    <row r="647" spans="1:10" s="244" customFormat="1">
      <c r="A647" s="277"/>
      <c r="B647" s="277"/>
      <c r="C647" s="277"/>
      <c r="D647" s="277" t="s">
        <v>7834</v>
      </c>
      <c r="E647" s="277"/>
      <c r="F647" s="287"/>
      <c r="G647" s="238"/>
      <c r="H647" s="239"/>
      <c r="I647" s="238"/>
      <c r="J647" s="238" t="str">
        <f t="shared" si="10"/>
        <v/>
      </c>
    </row>
    <row r="648" spans="1:10" s="244" customFormat="1">
      <c r="A648" s="277"/>
      <c r="B648" s="277"/>
      <c r="C648" s="277"/>
      <c r="D648" s="277" t="s">
        <v>7833</v>
      </c>
      <c r="E648" s="277"/>
      <c r="F648" s="287"/>
      <c r="G648" s="238"/>
      <c r="H648" s="239"/>
      <c r="I648" s="238"/>
      <c r="J648" s="238" t="str">
        <f t="shared" si="10"/>
        <v/>
      </c>
    </row>
    <row r="649" spans="1:10" s="244" customFormat="1">
      <c r="A649" s="238"/>
      <c r="B649" s="277"/>
      <c r="C649" s="238"/>
      <c r="D649" s="238" t="s">
        <v>7832</v>
      </c>
      <c r="E649" s="277"/>
      <c r="F649" s="287"/>
      <c r="G649" s="238"/>
      <c r="H649" s="239"/>
      <c r="I649" s="238"/>
      <c r="J649" s="238" t="str">
        <f t="shared" si="10"/>
        <v/>
      </c>
    </row>
    <row r="650" spans="1:10" s="244" customFormat="1">
      <c r="A650" s="277"/>
      <c r="B650" s="277"/>
      <c r="C650" s="277"/>
      <c r="D650" s="277" t="s">
        <v>7831</v>
      </c>
      <c r="E650" s="277"/>
      <c r="F650" s="287"/>
      <c r="G650" s="238"/>
      <c r="H650" s="239"/>
      <c r="I650" s="238"/>
      <c r="J650" s="238" t="str">
        <f t="shared" si="10"/>
        <v/>
      </c>
    </row>
    <row r="651" spans="1:10" s="244" customFormat="1">
      <c r="A651" s="277"/>
      <c r="B651" s="277"/>
      <c r="C651" s="277"/>
      <c r="D651" s="277" t="s">
        <v>7830</v>
      </c>
      <c r="E651" s="277"/>
      <c r="F651" s="287"/>
      <c r="G651" s="238"/>
      <c r="H651" s="239"/>
      <c r="I651" s="238"/>
      <c r="J651" s="238" t="str">
        <f t="shared" si="10"/>
        <v/>
      </c>
    </row>
    <row r="652" spans="1:10" s="244" customFormat="1">
      <c r="A652" s="277"/>
      <c r="B652" s="277"/>
      <c r="C652" s="277"/>
      <c r="D652" s="277" t="s">
        <v>7829</v>
      </c>
      <c r="E652" s="277"/>
      <c r="F652" s="287"/>
      <c r="G652" s="238"/>
      <c r="H652" s="239"/>
      <c r="I652" s="238"/>
      <c r="J652" s="238" t="str">
        <f t="shared" si="10"/>
        <v/>
      </c>
    </row>
    <row r="653" spans="1:10" s="244" customFormat="1">
      <c r="A653" s="277"/>
      <c r="B653" s="277"/>
      <c r="C653" s="277"/>
      <c r="D653" s="277" t="s">
        <v>7828</v>
      </c>
      <c r="E653" s="277"/>
      <c r="F653" s="287"/>
      <c r="G653" s="238"/>
      <c r="H653" s="239"/>
      <c r="I653" s="238"/>
      <c r="J653" s="238" t="str">
        <f t="shared" si="10"/>
        <v/>
      </c>
    </row>
    <row r="654" spans="1:10" s="244" customFormat="1">
      <c r="A654" s="277"/>
      <c r="B654" s="277"/>
      <c r="C654" s="277"/>
      <c r="D654" s="277" t="s">
        <v>7827</v>
      </c>
      <c r="E654" s="277"/>
      <c r="F654" s="287"/>
      <c r="G654" s="238"/>
      <c r="H654" s="239"/>
      <c r="I654" s="238"/>
      <c r="J654" s="238" t="str">
        <f t="shared" si="10"/>
        <v/>
      </c>
    </row>
    <row r="655" spans="1:10" s="244" customFormat="1">
      <c r="A655" s="277" t="s">
        <v>7826</v>
      </c>
      <c r="B655" s="277" t="s">
        <v>7825</v>
      </c>
      <c r="C655" s="277" t="s">
        <v>5212</v>
      </c>
      <c r="D655" s="277" t="s">
        <v>7824</v>
      </c>
      <c r="E655" s="277"/>
      <c r="F655" s="287"/>
      <c r="G655" s="238" t="s">
        <v>5197</v>
      </c>
      <c r="H655" s="239"/>
      <c r="I655" s="238"/>
      <c r="J655" s="238" t="str">
        <f t="shared" si="10"/>
        <v/>
      </c>
    </row>
    <row r="656" spans="1:10" s="244" customFormat="1">
      <c r="A656" s="277"/>
      <c r="B656" s="277"/>
      <c r="C656" s="277"/>
      <c r="D656" s="277" t="s">
        <v>7823</v>
      </c>
      <c r="E656" s="277"/>
      <c r="F656" s="287"/>
      <c r="G656" s="238"/>
      <c r="H656" s="239"/>
      <c r="I656" s="238"/>
      <c r="J656" s="238" t="str">
        <f t="shared" si="10"/>
        <v/>
      </c>
    </row>
    <row r="657" spans="1:10" s="244" customFormat="1">
      <c r="A657" s="277"/>
      <c r="B657" s="277"/>
      <c r="C657" s="277"/>
      <c r="D657" s="277" t="s">
        <v>7822</v>
      </c>
      <c r="E657" s="277"/>
      <c r="F657" s="287"/>
      <c r="G657" s="238"/>
      <c r="H657" s="239"/>
      <c r="I657" s="238"/>
      <c r="J657" s="238" t="str">
        <f t="shared" si="10"/>
        <v/>
      </c>
    </row>
    <row r="658" spans="1:10" s="244" customFormat="1">
      <c r="A658" s="277"/>
      <c r="B658" s="277"/>
      <c r="C658" s="277"/>
      <c r="D658" s="277" t="s">
        <v>7821</v>
      </c>
      <c r="E658" s="277"/>
      <c r="F658" s="287"/>
      <c r="G658" s="238"/>
      <c r="H658" s="239"/>
      <c r="I658" s="238"/>
      <c r="J658" s="238" t="str">
        <f t="shared" si="10"/>
        <v/>
      </c>
    </row>
    <row r="659" spans="1:10" s="244" customFormat="1">
      <c r="A659" s="277" t="s">
        <v>7820</v>
      </c>
      <c r="B659" s="277" t="s">
        <v>7819</v>
      </c>
      <c r="C659" s="277"/>
      <c r="D659" s="277" t="s">
        <v>7818</v>
      </c>
      <c r="E659" s="277"/>
      <c r="F659" s="287"/>
      <c r="G659" s="238" t="s">
        <v>5197</v>
      </c>
      <c r="H659" s="239" t="s">
        <v>7817</v>
      </c>
      <c r="I659" s="238"/>
      <c r="J659" s="238" t="str">
        <f t="shared" si="10"/>
        <v/>
      </c>
    </row>
    <row r="660" spans="1:10" s="244" customFormat="1">
      <c r="A660" s="238" t="s">
        <v>7816</v>
      </c>
      <c r="B660" s="277" t="s">
        <v>7815</v>
      </c>
      <c r="C660" s="277" t="s">
        <v>7814</v>
      </c>
      <c r="D660" s="277" t="s">
        <v>7813</v>
      </c>
      <c r="E660" s="277"/>
      <c r="F660" s="287"/>
      <c r="G660" s="238" t="s">
        <v>5197</v>
      </c>
      <c r="H660" s="239" t="s">
        <v>7175</v>
      </c>
      <c r="I660" s="238"/>
      <c r="J660" s="238" t="str">
        <f t="shared" si="10"/>
        <v/>
      </c>
    </row>
    <row r="661" spans="1:10" s="244" customFormat="1">
      <c r="A661" s="286" t="s">
        <v>5184</v>
      </c>
      <c r="B661" s="286" t="s">
        <v>7812</v>
      </c>
      <c r="C661" s="286"/>
      <c r="D661" s="277" t="s">
        <v>7811</v>
      </c>
      <c r="E661" s="285"/>
      <c r="F661" s="284" t="s">
        <v>7810</v>
      </c>
      <c r="G661" s="243" t="s">
        <v>5168</v>
      </c>
      <c r="H661" s="239" t="s">
        <v>7175</v>
      </c>
      <c r="I661" s="238"/>
      <c r="J661" s="238" t="str">
        <f t="shared" si="10"/>
        <v>OK</v>
      </c>
    </row>
    <row r="662" spans="1:10" s="244" customFormat="1" ht="18.75">
      <c r="A662" s="278"/>
      <c r="B662" s="278" t="s">
        <v>7809</v>
      </c>
      <c r="C662" s="278"/>
      <c r="D662" s="278" t="s">
        <v>7808</v>
      </c>
      <c r="E662" s="278"/>
      <c r="F662" s="283"/>
      <c r="G662" s="240"/>
      <c r="H662" s="240"/>
      <c r="I662" s="240"/>
      <c r="J662" s="238" t="str">
        <f t="shared" si="10"/>
        <v/>
      </c>
    </row>
    <row r="663" spans="1:10" s="248" customFormat="1">
      <c r="A663" s="282" t="s">
        <v>5687</v>
      </c>
      <c r="B663" s="282" t="s">
        <v>7807</v>
      </c>
      <c r="C663" s="282"/>
      <c r="D663" s="281" t="s">
        <v>7806</v>
      </c>
      <c r="E663" s="280"/>
      <c r="F663" s="279"/>
      <c r="G663" s="243" t="s">
        <v>5168</v>
      </c>
      <c r="H663" s="239" t="s">
        <v>7175</v>
      </c>
      <c r="I663" s="238"/>
      <c r="J663" s="238" t="str">
        <f t="shared" si="10"/>
        <v/>
      </c>
    </row>
    <row r="664" spans="1:10" s="241" customFormat="1">
      <c r="A664" s="270"/>
      <c r="B664" s="270"/>
      <c r="C664" s="270"/>
      <c r="D664" s="270" t="s">
        <v>7805</v>
      </c>
      <c r="E664" s="270"/>
      <c r="F664" s="270"/>
      <c r="G664" s="238"/>
      <c r="H664" s="239"/>
      <c r="I664" s="238"/>
      <c r="J664" s="238" t="str">
        <f t="shared" si="10"/>
        <v/>
      </c>
    </row>
    <row r="665" spans="1:10" s="241" customFormat="1">
      <c r="A665" s="270" t="s">
        <v>7804</v>
      </c>
      <c r="B665" s="270" t="s">
        <v>7803</v>
      </c>
      <c r="C665" s="270"/>
      <c r="D665" s="270" t="s">
        <v>7802</v>
      </c>
      <c r="E665" s="270"/>
      <c r="F665" s="270"/>
      <c r="G665" s="238" t="s">
        <v>5197</v>
      </c>
      <c r="H665" s="239" t="s">
        <v>7175</v>
      </c>
      <c r="I665" s="238"/>
      <c r="J665" s="238" t="str">
        <f t="shared" si="10"/>
        <v/>
      </c>
    </row>
    <row r="666" spans="1:10" s="241" customFormat="1">
      <c r="A666" s="270"/>
      <c r="B666" s="270"/>
      <c r="C666" s="270"/>
      <c r="D666" s="277" t="s">
        <v>7801</v>
      </c>
      <c r="E666" s="277"/>
      <c r="F666" s="270"/>
      <c r="G666" s="238"/>
      <c r="H666" s="239"/>
      <c r="I666" s="238"/>
      <c r="J666" s="238" t="str">
        <f t="shared" si="10"/>
        <v/>
      </c>
    </row>
    <row r="667" spans="1:10" s="241" customFormat="1" ht="18.75">
      <c r="A667" s="271"/>
      <c r="B667" s="271" t="s">
        <v>7800</v>
      </c>
      <c r="C667" s="271"/>
      <c r="D667" s="278" t="s">
        <v>7799</v>
      </c>
      <c r="E667" s="278"/>
      <c r="F667" s="271"/>
      <c r="G667" s="240"/>
      <c r="H667" s="240"/>
      <c r="I667" s="240"/>
      <c r="J667" s="238" t="str">
        <f t="shared" si="10"/>
        <v/>
      </c>
    </row>
    <row r="668" spans="1:10" s="241" customFormat="1">
      <c r="A668" s="270"/>
      <c r="B668" s="270"/>
      <c r="C668" s="270"/>
      <c r="D668" s="277" t="s">
        <v>7798</v>
      </c>
      <c r="E668" s="277"/>
      <c r="F668" s="270"/>
      <c r="G668" s="238"/>
      <c r="H668" s="239"/>
      <c r="I668" s="238"/>
      <c r="J668" s="238" t="str">
        <f t="shared" si="10"/>
        <v/>
      </c>
    </row>
    <row r="669" spans="1:10" s="241" customFormat="1">
      <c r="A669" s="270" t="s">
        <v>7383</v>
      </c>
      <c r="B669" s="270" t="s">
        <v>5857</v>
      </c>
      <c r="C669" s="270"/>
      <c r="D669" s="277" t="s">
        <v>7797</v>
      </c>
      <c r="E669" s="277"/>
      <c r="F669" s="270"/>
      <c r="G669" s="238" t="s">
        <v>5197</v>
      </c>
      <c r="H669" s="239" t="s">
        <v>7175</v>
      </c>
      <c r="I669" s="238"/>
      <c r="J669" s="238" t="str">
        <f t="shared" si="10"/>
        <v/>
      </c>
    </row>
    <row r="670" spans="1:10" s="241" customFormat="1">
      <c r="A670" s="270" t="s">
        <v>7796</v>
      </c>
      <c r="B670" s="270" t="s">
        <v>7795</v>
      </c>
      <c r="C670" s="270" t="s">
        <v>5212</v>
      </c>
      <c r="D670" s="270" t="s">
        <v>7794</v>
      </c>
      <c r="E670" s="270"/>
      <c r="F670" s="270"/>
      <c r="G670" s="238" t="s">
        <v>5197</v>
      </c>
      <c r="H670" s="239"/>
      <c r="I670" s="238"/>
      <c r="J670" s="238" t="str">
        <f t="shared" si="10"/>
        <v/>
      </c>
    </row>
    <row r="671" spans="1:10" s="241" customFormat="1">
      <c r="A671" s="270"/>
      <c r="B671" s="270"/>
      <c r="C671" s="270"/>
      <c r="D671" s="270" t="s">
        <v>7793</v>
      </c>
      <c r="E671" s="270"/>
      <c r="F671" s="270"/>
      <c r="G671" s="238"/>
      <c r="H671" s="239"/>
      <c r="I671" s="238"/>
      <c r="J671" s="238" t="str">
        <f t="shared" si="10"/>
        <v/>
      </c>
    </row>
    <row r="672" spans="1:10" s="241" customFormat="1">
      <c r="A672" s="270" t="s">
        <v>7792</v>
      </c>
      <c r="B672" s="270" t="s">
        <v>7791</v>
      </c>
      <c r="C672" s="270"/>
      <c r="D672" s="270" t="s">
        <v>7790</v>
      </c>
      <c r="E672" s="270"/>
      <c r="F672" s="270"/>
      <c r="G672" s="238" t="s">
        <v>5197</v>
      </c>
      <c r="H672" s="239"/>
      <c r="I672" s="238"/>
      <c r="J672" s="238" t="str">
        <f t="shared" si="10"/>
        <v/>
      </c>
    </row>
    <row r="673" spans="1:10" s="241" customFormat="1">
      <c r="A673" s="272" t="s">
        <v>7789</v>
      </c>
      <c r="B673" s="276"/>
      <c r="C673" s="276"/>
      <c r="D673" s="272" t="s">
        <v>7788</v>
      </c>
      <c r="E673" s="272"/>
      <c r="F673" s="276"/>
      <c r="G673" s="243" t="s">
        <v>5168</v>
      </c>
      <c r="H673" s="239"/>
      <c r="I673" s="238"/>
      <c r="J673" s="238" t="str">
        <f t="shared" si="10"/>
        <v/>
      </c>
    </row>
    <row r="674" spans="1:10" s="241" customFormat="1">
      <c r="A674" s="270"/>
      <c r="B674" s="270"/>
      <c r="C674" s="270"/>
      <c r="D674" s="238" t="s">
        <v>7787</v>
      </c>
      <c r="E674" s="270"/>
      <c r="F674" s="270"/>
      <c r="G674" s="238"/>
      <c r="H674" s="239"/>
      <c r="I674" s="238"/>
      <c r="J674" s="238" t="str">
        <f t="shared" si="10"/>
        <v/>
      </c>
    </row>
    <row r="675" spans="1:10" s="241" customFormat="1">
      <c r="A675" s="270"/>
      <c r="B675" s="270"/>
      <c r="C675" s="270"/>
      <c r="D675" s="238" t="s">
        <v>7786</v>
      </c>
      <c r="E675" s="270"/>
      <c r="F675" s="270"/>
      <c r="G675" s="238"/>
      <c r="H675" s="239"/>
      <c r="I675" s="238"/>
      <c r="J675" s="238" t="str">
        <f t="shared" si="10"/>
        <v/>
      </c>
    </row>
    <row r="676" spans="1:10" s="241" customFormat="1">
      <c r="A676" s="270" t="s">
        <v>7785</v>
      </c>
      <c r="B676" s="270" t="s">
        <v>5857</v>
      </c>
      <c r="C676" s="270"/>
      <c r="D676" s="238" t="s">
        <v>7784</v>
      </c>
      <c r="E676" s="270"/>
      <c r="F676" s="270"/>
      <c r="G676" s="238" t="s">
        <v>5197</v>
      </c>
      <c r="H676" s="239"/>
      <c r="I676" s="238"/>
      <c r="J676" s="238" t="str">
        <f t="shared" si="10"/>
        <v/>
      </c>
    </row>
    <row r="677" spans="1:10" s="241" customFormat="1">
      <c r="A677" s="270"/>
      <c r="B677" s="270"/>
      <c r="C677" s="270"/>
      <c r="D677" s="238" t="s">
        <v>7783</v>
      </c>
      <c r="E677" s="270"/>
      <c r="F677" s="270"/>
      <c r="G677" s="238"/>
      <c r="H677" s="239"/>
      <c r="I677" s="238"/>
      <c r="J677" s="238" t="str">
        <f t="shared" si="10"/>
        <v/>
      </c>
    </row>
    <row r="678" spans="1:10" s="241" customFormat="1">
      <c r="A678" s="270"/>
      <c r="B678" s="270"/>
      <c r="C678" s="270"/>
      <c r="D678" s="238" t="s">
        <v>7782</v>
      </c>
      <c r="E678" s="270"/>
      <c r="F678" s="270"/>
      <c r="G678" s="238"/>
      <c r="H678" s="239"/>
      <c r="I678" s="238"/>
      <c r="J678" s="238" t="str">
        <f t="shared" si="10"/>
        <v/>
      </c>
    </row>
    <row r="679" spans="1:10" s="241" customFormat="1">
      <c r="A679" s="272" t="s">
        <v>7566</v>
      </c>
      <c r="B679" s="272" t="s">
        <v>7781</v>
      </c>
      <c r="C679" s="272"/>
      <c r="D679" s="238" t="s">
        <v>7780</v>
      </c>
      <c r="E679" s="275"/>
      <c r="F679" s="272" t="s">
        <v>7779</v>
      </c>
      <c r="G679" s="243" t="s">
        <v>5168</v>
      </c>
      <c r="H679" s="239"/>
      <c r="I679" s="238"/>
      <c r="J679" s="238" t="str">
        <f t="shared" si="10"/>
        <v/>
      </c>
    </row>
    <row r="680" spans="1:10" s="241" customFormat="1">
      <c r="A680" s="273"/>
      <c r="B680" s="274"/>
      <c r="C680" s="274"/>
      <c r="D680" s="238" t="s">
        <v>7778</v>
      </c>
      <c r="E680" s="270"/>
      <c r="F680" s="273"/>
      <c r="G680" s="246"/>
      <c r="H680" s="239"/>
      <c r="I680" s="238"/>
      <c r="J680" s="238" t="str">
        <f t="shared" si="10"/>
        <v/>
      </c>
    </row>
    <row r="681" spans="1:10" s="241" customFormat="1">
      <c r="A681" s="270"/>
      <c r="B681" s="270"/>
      <c r="C681" s="270"/>
      <c r="D681" s="238" t="s">
        <v>7777</v>
      </c>
      <c r="E681" s="270"/>
      <c r="F681" s="270"/>
      <c r="G681" s="238"/>
      <c r="H681" s="239"/>
      <c r="I681" s="238"/>
      <c r="J681" s="238" t="str">
        <f t="shared" si="10"/>
        <v>OK</v>
      </c>
    </row>
    <row r="682" spans="1:10" s="241" customFormat="1">
      <c r="A682" s="270"/>
      <c r="B682" s="270"/>
      <c r="C682" s="270"/>
      <c r="D682" s="238" t="s">
        <v>7776</v>
      </c>
      <c r="E682" s="270"/>
      <c r="F682" s="270"/>
      <c r="G682" s="238"/>
      <c r="H682" s="239"/>
      <c r="I682" s="238"/>
      <c r="J682" s="238" t="str">
        <f t="shared" si="10"/>
        <v/>
      </c>
    </row>
    <row r="683" spans="1:10" s="241" customFormat="1">
      <c r="A683" s="270" t="s">
        <v>6652</v>
      </c>
      <c r="B683" s="270" t="s">
        <v>5857</v>
      </c>
      <c r="C683" s="270"/>
      <c r="D683" s="238" t="s">
        <v>7775</v>
      </c>
      <c r="E683" s="270"/>
      <c r="F683" s="270"/>
      <c r="G683" s="238" t="s">
        <v>5197</v>
      </c>
      <c r="H683" s="239"/>
      <c r="I683" s="238"/>
      <c r="J683" s="238" t="str">
        <f t="shared" si="10"/>
        <v/>
      </c>
    </row>
    <row r="684" spans="1:10" s="241" customFormat="1">
      <c r="A684" s="270"/>
      <c r="B684" s="270"/>
      <c r="C684" s="270"/>
      <c r="D684" s="238" t="s">
        <v>7774</v>
      </c>
      <c r="E684" s="270"/>
      <c r="F684" s="270"/>
      <c r="G684" s="238"/>
      <c r="H684" s="239"/>
      <c r="I684" s="238"/>
      <c r="J684" s="238" t="str">
        <f t="shared" si="10"/>
        <v/>
      </c>
    </row>
    <row r="685" spans="1:10" s="241" customFormat="1">
      <c r="A685" s="272" t="s">
        <v>7773</v>
      </c>
      <c r="B685" s="272" t="s">
        <v>7772</v>
      </c>
      <c r="C685" s="272"/>
      <c r="D685" s="238" t="s">
        <v>7771</v>
      </c>
      <c r="E685" s="245"/>
      <c r="F685" s="244" t="s">
        <v>7770</v>
      </c>
      <c r="G685" s="243" t="s">
        <v>5168</v>
      </c>
      <c r="H685" s="239" t="s">
        <v>7175</v>
      </c>
      <c r="I685" s="238"/>
      <c r="J685" s="238" t="str">
        <f t="shared" si="10"/>
        <v/>
      </c>
    </row>
    <row r="686" spans="1:10" s="241" customFormat="1" ht="18.75">
      <c r="A686" s="271"/>
      <c r="B686" s="271" t="s">
        <v>7769</v>
      </c>
      <c r="C686" s="271"/>
      <c r="D686" s="240" t="s">
        <v>7768</v>
      </c>
      <c r="E686" s="271"/>
      <c r="F686" s="271"/>
      <c r="G686" s="240"/>
      <c r="H686" s="240"/>
      <c r="I686" s="240"/>
      <c r="J686" s="238" t="str">
        <f t="shared" si="10"/>
        <v/>
      </c>
    </row>
    <row r="687" spans="1:10" s="241" customFormat="1">
      <c r="A687" s="270"/>
      <c r="B687" s="270"/>
      <c r="C687" s="270"/>
      <c r="D687" s="238" t="s">
        <v>7767</v>
      </c>
      <c r="E687" s="270"/>
      <c r="F687" s="270"/>
      <c r="G687" s="238"/>
      <c r="H687" s="239"/>
      <c r="I687" s="238"/>
      <c r="J687" s="238" t="str">
        <f t="shared" si="10"/>
        <v/>
      </c>
    </row>
    <row r="688" spans="1:10" s="241" customFormat="1">
      <c r="A688" s="270" t="s">
        <v>7766</v>
      </c>
      <c r="B688" s="270" t="s">
        <v>7765</v>
      </c>
      <c r="C688" s="270" t="s">
        <v>5212</v>
      </c>
      <c r="D688" s="238" t="s">
        <v>7764</v>
      </c>
      <c r="E688" s="270"/>
      <c r="F688" s="270"/>
      <c r="G688" s="238" t="s">
        <v>5197</v>
      </c>
      <c r="H688" s="239" t="s">
        <v>7175</v>
      </c>
      <c r="I688" s="238"/>
      <c r="J688" s="238" t="str">
        <f t="shared" si="10"/>
        <v/>
      </c>
    </row>
    <row r="689" spans="1:10" s="241" customFormat="1">
      <c r="A689" s="270"/>
      <c r="B689" s="270"/>
      <c r="C689" s="270"/>
      <c r="D689" s="238" t="s">
        <v>7763</v>
      </c>
      <c r="E689" s="270"/>
      <c r="F689" s="270"/>
      <c r="G689" s="238"/>
      <c r="H689" s="239"/>
      <c r="I689" s="238"/>
      <c r="J689" s="238" t="str">
        <f t="shared" si="10"/>
        <v/>
      </c>
    </row>
    <row r="690" spans="1:10" s="241" customFormat="1">
      <c r="A690" s="270"/>
      <c r="B690" s="270"/>
      <c r="C690" s="270"/>
      <c r="D690" s="238" t="s">
        <v>7762</v>
      </c>
      <c r="E690" s="270"/>
      <c r="F690" s="270"/>
      <c r="G690" s="238"/>
      <c r="H690" s="239"/>
      <c r="I690" s="238"/>
      <c r="J690" s="238" t="str">
        <f t="shared" si="10"/>
        <v/>
      </c>
    </row>
    <row r="691" spans="1:10" s="240" customFormat="1" ht="18.75">
      <c r="A691" s="238"/>
      <c r="B691" s="238"/>
      <c r="C691" s="238"/>
      <c r="D691" s="238" t="s">
        <v>7761</v>
      </c>
      <c r="E691" s="238"/>
      <c r="F691" s="238"/>
      <c r="G691" s="238"/>
      <c r="H691" s="239"/>
      <c r="I691" s="238"/>
      <c r="J691" s="238" t="str">
        <f t="shared" si="10"/>
        <v/>
      </c>
    </row>
    <row r="692" spans="1:10" s="240" customFormat="1" ht="18.75">
      <c r="B692" s="240" t="s">
        <v>7760</v>
      </c>
      <c r="D692" s="240" t="s">
        <v>7759</v>
      </c>
      <c r="J692" s="238" t="str">
        <f t="shared" si="10"/>
        <v/>
      </c>
    </row>
    <row r="693" spans="1:10" s="240" customFormat="1" ht="18.75">
      <c r="A693" s="238"/>
      <c r="B693" s="238"/>
      <c r="C693" s="238"/>
      <c r="D693" s="238" t="s">
        <v>7758</v>
      </c>
      <c r="E693" s="238"/>
      <c r="F693" s="238"/>
      <c r="G693" s="238"/>
      <c r="H693" s="239"/>
      <c r="I693" s="238"/>
      <c r="J693" s="238" t="str">
        <f t="shared" si="10"/>
        <v/>
      </c>
    </row>
    <row r="694" spans="1:10" s="240" customFormat="1" ht="18.75">
      <c r="A694" s="238"/>
      <c r="B694" s="238"/>
      <c r="C694" s="238"/>
      <c r="D694" s="238" t="s">
        <v>7757</v>
      </c>
      <c r="E694" s="238"/>
      <c r="F694" s="238"/>
      <c r="G694" s="238"/>
      <c r="H694" s="239"/>
      <c r="I694" s="238"/>
      <c r="J694" s="238" t="str">
        <f t="shared" si="10"/>
        <v/>
      </c>
    </row>
    <row r="695" spans="1:10" s="240" customFormat="1" ht="18.75">
      <c r="A695" s="238" t="s">
        <v>6861</v>
      </c>
      <c r="B695" s="238" t="s">
        <v>7756</v>
      </c>
      <c r="C695" s="238"/>
      <c r="D695" s="238" t="s">
        <v>7755</v>
      </c>
      <c r="E695" s="238"/>
      <c r="F695" s="238"/>
      <c r="G695" s="238" t="s">
        <v>5197</v>
      </c>
      <c r="H695" s="239"/>
      <c r="I695" s="238"/>
      <c r="J695" s="238" t="str">
        <f t="shared" si="10"/>
        <v/>
      </c>
    </row>
    <row r="696" spans="1:10" s="240" customFormat="1" ht="18.75">
      <c r="B696" s="240" t="s">
        <v>7754</v>
      </c>
      <c r="D696" s="240" t="s">
        <v>7753</v>
      </c>
      <c r="J696" s="238" t="str">
        <f t="shared" si="10"/>
        <v/>
      </c>
    </row>
    <row r="697" spans="1:10" s="240" customFormat="1" ht="18.75">
      <c r="A697" s="238"/>
      <c r="B697" s="238"/>
      <c r="C697" s="238"/>
      <c r="D697" s="238" t="s">
        <v>7752</v>
      </c>
      <c r="E697" s="238"/>
      <c r="F697" s="238"/>
      <c r="G697" s="238"/>
      <c r="H697" s="239"/>
      <c r="I697" s="238"/>
      <c r="J697" s="238" t="str">
        <f t="shared" si="10"/>
        <v/>
      </c>
    </row>
    <row r="698" spans="1:10" s="240" customFormat="1" ht="18.75">
      <c r="A698" s="238"/>
      <c r="B698" s="238"/>
      <c r="C698" s="238"/>
      <c r="D698" s="238" t="s">
        <v>7751</v>
      </c>
      <c r="E698" s="238"/>
      <c r="F698" s="238"/>
      <c r="G698" s="238"/>
      <c r="H698" s="239"/>
      <c r="I698" s="238"/>
      <c r="J698" s="238" t="str">
        <f t="shared" si="10"/>
        <v/>
      </c>
    </row>
    <row r="699" spans="1:10" s="240" customFormat="1" ht="18.75">
      <c r="B699" s="240" t="s">
        <v>7750</v>
      </c>
      <c r="D699" s="240" t="s">
        <v>7749</v>
      </c>
      <c r="J699" s="238" t="str">
        <f t="shared" si="10"/>
        <v/>
      </c>
    </row>
    <row r="700" spans="1:10" s="240" customFormat="1" ht="18.75">
      <c r="A700" s="238"/>
      <c r="B700" s="238"/>
      <c r="C700" s="238"/>
      <c r="D700" s="238" t="s">
        <v>7748</v>
      </c>
      <c r="E700" s="238"/>
      <c r="F700" s="238"/>
      <c r="G700" s="238"/>
      <c r="H700" s="239"/>
      <c r="I700" s="238"/>
      <c r="J700" s="238" t="str">
        <f t="shared" si="10"/>
        <v/>
      </c>
    </row>
    <row r="701" spans="1:10" s="240" customFormat="1" ht="18.75">
      <c r="A701" s="238"/>
      <c r="B701" s="238"/>
      <c r="C701" s="238"/>
      <c r="D701" s="238" t="s">
        <v>7747</v>
      </c>
      <c r="E701" s="238"/>
      <c r="F701" s="238"/>
      <c r="G701" s="238"/>
      <c r="H701" s="239"/>
      <c r="I701" s="238"/>
      <c r="J701" s="238" t="str">
        <f t="shared" si="10"/>
        <v/>
      </c>
    </row>
    <row r="702" spans="1:10" s="240" customFormat="1" ht="18.75">
      <c r="A702" s="238" t="s">
        <v>7746</v>
      </c>
      <c r="B702" s="238" t="s">
        <v>7745</v>
      </c>
      <c r="C702" s="238" t="s">
        <v>5212</v>
      </c>
      <c r="D702" s="238" t="s">
        <v>7744</v>
      </c>
      <c r="E702" s="238"/>
      <c r="F702" s="238"/>
      <c r="G702" s="238" t="s">
        <v>5197</v>
      </c>
      <c r="H702" s="239"/>
      <c r="I702" s="238"/>
      <c r="J702" s="238" t="str">
        <f t="shared" si="10"/>
        <v/>
      </c>
    </row>
    <row r="703" spans="1:10" s="240" customFormat="1" ht="18.75">
      <c r="B703" s="240" t="s">
        <v>5342</v>
      </c>
      <c r="D703" s="240" t="s">
        <v>7744</v>
      </c>
      <c r="J703" s="238" t="str">
        <f t="shared" si="10"/>
        <v>OK</v>
      </c>
    </row>
    <row r="704" spans="1:10" s="240" customFormat="1" ht="18.75">
      <c r="A704" s="238"/>
      <c r="B704" s="238"/>
      <c r="C704" s="238"/>
      <c r="D704" s="238" t="s">
        <v>7743</v>
      </c>
      <c r="E704" s="238"/>
      <c r="F704" s="238"/>
      <c r="G704" s="238"/>
      <c r="H704" s="239"/>
      <c r="I704" s="238"/>
      <c r="J704" s="238" t="str">
        <f t="shared" si="10"/>
        <v/>
      </c>
    </row>
    <row r="705" spans="1:10" s="240" customFormat="1" ht="18.75">
      <c r="A705" s="238" t="s">
        <v>7508</v>
      </c>
      <c r="B705" s="238" t="s">
        <v>7742</v>
      </c>
      <c r="C705" s="238"/>
      <c r="D705" s="238" t="s">
        <v>7741</v>
      </c>
      <c r="E705" s="238"/>
      <c r="F705" s="238"/>
      <c r="G705" s="238" t="s">
        <v>5197</v>
      </c>
      <c r="H705" s="239"/>
      <c r="I705" s="238"/>
      <c r="J705" s="238" t="str">
        <f t="shared" si="10"/>
        <v/>
      </c>
    </row>
    <row r="706" spans="1:10" s="240" customFormat="1" ht="18.75">
      <c r="A706" s="238" t="s">
        <v>7740</v>
      </c>
      <c r="B706" s="238" t="s">
        <v>7739</v>
      </c>
      <c r="C706" s="238" t="s">
        <v>5322</v>
      </c>
      <c r="D706" s="238" t="s">
        <v>7738</v>
      </c>
      <c r="E706" s="238"/>
      <c r="F706" s="238"/>
      <c r="G706" s="238" t="s">
        <v>5197</v>
      </c>
      <c r="H706" s="239"/>
      <c r="I706" s="238"/>
      <c r="J706" s="238" t="str">
        <f t="shared" si="10"/>
        <v/>
      </c>
    </row>
    <row r="707" spans="1:10" s="240" customFormat="1" ht="18.75">
      <c r="A707" s="238" t="s">
        <v>5249</v>
      </c>
      <c r="B707" s="244" t="s">
        <v>7736</v>
      </c>
      <c r="C707" s="238"/>
      <c r="D707" s="238" t="s">
        <v>7737</v>
      </c>
      <c r="E707" s="238"/>
      <c r="F707" s="238"/>
      <c r="G707" s="238" t="s">
        <v>5197</v>
      </c>
      <c r="H707" s="239"/>
      <c r="I707" s="238"/>
      <c r="J707" s="238" t="str">
        <f t="shared" ref="J707:J770" si="11">IF(D706=D707,"OK","")</f>
        <v/>
      </c>
    </row>
    <row r="708" spans="1:10" s="240" customFormat="1" ht="18.75">
      <c r="A708" s="253" t="s">
        <v>7731</v>
      </c>
      <c r="B708" s="244" t="s">
        <v>7736</v>
      </c>
      <c r="C708" s="244"/>
      <c r="D708" s="238" t="s">
        <v>7735</v>
      </c>
      <c r="E708" s="245"/>
      <c r="F708" s="244" t="s">
        <v>7734</v>
      </c>
      <c r="G708" s="243" t="s">
        <v>5168</v>
      </c>
      <c r="H708" s="239"/>
      <c r="I708" s="238"/>
      <c r="J708" s="238" t="str">
        <f t="shared" si="11"/>
        <v>OK</v>
      </c>
    </row>
    <row r="709" spans="1:10" s="240" customFormat="1" ht="18.75">
      <c r="A709" s="238" t="s">
        <v>7733</v>
      </c>
      <c r="B709" s="244" t="s">
        <v>7730</v>
      </c>
      <c r="C709" s="238"/>
      <c r="D709" s="238" t="s">
        <v>7732</v>
      </c>
      <c r="E709" s="238"/>
      <c r="F709" s="238"/>
      <c r="G709" s="238" t="s">
        <v>5197</v>
      </c>
      <c r="H709" s="239"/>
      <c r="I709" s="238"/>
      <c r="J709" s="238" t="str">
        <f t="shared" si="11"/>
        <v/>
      </c>
    </row>
    <row r="710" spans="1:10" s="240" customFormat="1" ht="18.75">
      <c r="A710" s="253" t="s">
        <v>7731</v>
      </c>
      <c r="B710" s="244" t="s">
        <v>7730</v>
      </c>
      <c r="C710" s="244"/>
      <c r="D710" s="238" t="s">
        <v>7729</v>
      </c>
      <c r="E710" s="245"/>
      <c r="F710" s="244" t="s">
        <v>7728</v>
      </c>
      <c r="G710" s="243" t="s">
        <v>5168</v>
      </c>
      <c r="H710" s="239"/>
      <c r="I710" s="238"/>
      <c r="J710" s="238" t="str">
        <f t="shared" si="11"/>
        <v>OK</v>
      </c>
    </row>
    <row r="711" spans="1:10" s="240" customFormat="1" ht="18.75">
      <c r="A711" s="238"/>
      <c r="B711" s="238"/>
      <c r="C711" s="238"/>
      <c r="D711" s="238" t="s">
        <v>7727</v>
      </c>
      <c r="E711" s="238"/>
      <c r="F711" s="238"/>
      <c r="G711" s="238"/>
      <c r="H711" s="239"/>
      <c r="I711" s="238"/>
      <c r="J711" s="238" t="str">
        <f t="shared" si="11"/>
        <v/>
      </c>
    </row>
    <row r="712" spans="1:10" s="240" customFormat="1" ht="18.75">
      <c r="A712" s="238"/>
      <c r="B712" s="238"/>
      <c r="C712" s="238"/>
      <c r="D712" s="238" t="s">
        <v>7726</v>
      </c>
      <c r="E712" s="238"/>
      <c r="F712" s="238"/>
      <c r="G712" s="238"/>
      <c r="H712" s="239"/>
      <c r="I712" s="238"/>
      <c r="J712" s="238" t="str">
        <f t="shared" si="11"/>
        <v/>
      </c>
    </row>
    <row r="713" spans="1:10" s="240" customFormat="1" ht="18.75">
      <c r="A713" s="238"/>
      <c r="B713" s="238"/>
      <c r="C713" s="238"/>
      <c r="D713" s="238" t="s">
        <v>7725</v>
      </c>
      <c r="E713" s="238"/>
      <c r="F713" s="238"/>
      <c r="G713" s="238"/>
      <c r="H713" s="239"/>
      <c r="I713" s="238"/>
      <c r="J713" s="238" t="str">
        <f t="shared" si="11"/>
        <v/>
      </c>
    </row>
    <row r="714" spans="1:10" s="240" customFormat="1" ht="18.75">
      <c r="A714" s="238" t="s">
        <v>7724</v>
      </c>
      <c r="B714" s="238" t="s">
        <v>7723</v>
      </c>
      <c r="C714" s="238"/>
      <c r="D714" s="238" t="s">
        <v>7722</v>
      </c>
      <c r="E714" s="238"/>
      <c r="F714" s="238"/>
      <c r="G714" s="238" t="s">
        <v>5197</v>
      </c>
      <c r="H714" s="239"/>
      <c r="I714" s="238"/>
      <c r="J714" s="238" t="str">
        <f t="shared" si="11"/>
        <v/>
      </c>
    </row>
    <row r="715" spans="1:10" s="240" customFormat="1" ht="18.75">
      <c r="A715" s="238"/>
      <c r="B715" s="238"/>
      <c r="C715" s="238"/>
      <c r="D715" s="238" t="s">
        <v>7721</v>
      </c>
      <c r="E715" s="238"/>
      <c r="F715" s="238"/>
      <c r="G715" s="238"/>
      <c r="H715" s="239"/>
      <c r="I715" s="238"/>
      <c r="J715" s="238" t="str">
        <f t="shared" si="11"/>
        <v/>
      </c>
    </row>
    <row r="716" spans="1:10" s="240" customFormat="1" ht="18.75">
      <c r="B716" s="240" t="s">
        <v>7720</v>
      </c>
      <c r="D716" s="240" t="s">
        <v>7719</v>
      </c>
      <c r="J716" s="238" t="str">
        <f t="shared" si="11"/>
        <v/>
      </c>
    </row>
    <row r="717" spans="1:10" s="240" customFormat="1" ht="18.75">
      <c r="A717" s="238"/>
      <c r="B717" s="238"/>
      <c r="C717" s="238"/>
      <c r="D717" s="238" t="s">
        <v>7718</v>
      </c>
      <c r="E717" s="238"/>
      <c r="F717" s="238"/>
      <c r="G717" s="238"/>
      <c r="H717" s="239"/>
      <c r="I717" s="238"/>
      <c r="J717" s="238" t="str">
        <f t="shared" si="11"/>
        <v/>
      </c>
    </row>
    <row r="718" spans="1:10" s="240" customFormat="1" ht="18.75">
      <c r="A718" s="238"/>
      <c r="B718" s="238"/>
      <c r="C718" s="238"/>
      <c r="D718" s="238" t="s">
        <v>7717</v>
      </c>
      <c r="E718" s="238"/>
      <c r="F718" s="238"/>
      <c r="G718" s="238"/>
      <c r="H718" s="239"/>
      <c r="I718" s="238"/>
      <c r="J718" s="238" t="str">
        <f t="shared" si="11"/>
        <v/>
      </c>
    </row>
    <row r="719" spans="1:10" s="240" customFormat="1" ht="18.75">
      <c r="A719" s="238"/>
      <c r="B719" s="238"/>
      <c r="C719" s="238"/>
      <c r="D719" s="238" t="s">
        <v>7716</v>
      </c>
      <c r="E719" s="238"/>
      <c r="F719" s="238"/>
      <c r="G719" s="238"/>
      <c r="H719" s="239"/>
      <c r="I719" s="238"/>
      <c r="J719" s="238" t="str">
        <f t="shared" si="11"/>
        <v/>
      </c>
    </row>
    <row r="720" spans="1:10" s="240" customFormat="1" ht="18.75">
      <c r="A720" s="238"/>
      <c r="B720" s="238"/>
      <c r="C720" s="238"/>
      <c r="D720" s="238" t="s">
        <v>7715</v>
      </c>
      <c r="E720" s="238"/>
      <c r="F720" s="238"/>
      <c r="G720" s="238"/>
      <c r="H720" s="239"/>
      <c r="I720" s="238"/>
      <c r="J720" s="238" t="str">
        <f t="shared" si="11"/>
        <v/>
      </c>
    </row>
    <row r="721" spans="1:10" s="240" customFormat="1" ht="18.75">
      <c r="A721" s="238"/>
      <c r="B721" s="238"/>
      <c r="C721" s="238"/>
      <c r="D721" s="238" t="s">
        <v>7714</v>
      </c>
      <c r="E721" s="238"/>
      <c r="F721" s="238"/>
      <c r="G721" s="238"/>
      <c r="H721" s="239"/>
      <c r="I721" s="238"/>
      <c r="J721" s="238" t="str">
        <f t="shared" si="11"/>
        <v/>
      </c>
    </row>
    <row r="722" spans="1:10" s="240" customFormat="1" ht="18.75">
      <c r="A722" s="238"/>
      <c r="B722" s="238"/>
      <c r="C722" s="238"/>
      <c r="D722" s="238" t="s">
        <v>7713</v>
      </c>
      <c r="E722" s="238"/>
      <c r="F722" s="238"/>
      <c r="G722" s="238"/>
      <c r="H722" s="239"/>
      <c r="I722" s="238"/>
      <c r="J722" s="238" t="str">
        <f t="shared" si="11"/>
        <v/>
      </c>
    </row>
    <row r="723" spans="1:10" s="240" customFormat="1" ht="18.75">
      <c r="A723" s="238"/>
      <c r="B723" s="238"/>
      <c r="C723" s="238"/>
      <c r="D723" s="238" t="s">
        <v>7712</v>
      </c>
      <c r="E723" s="238"/>
      <c r="F723" s="238"/>
      <c r="G723" s="238"/>
      <c r="H723" s="239"/>
      <c r="I723" s="238"/>
      <c r="J723" s="238" t="str">
        <f t="shared" si="11"/>
        <v/>
      </c>
    </row>
    <row r="724" spans="1:10" s="240" customFormat="1" ht="18.75">
      <c r="A724" s="238" t="s">
        <v>7711</v>
      </c>
      <c r="B724" s="238" t="s">
        <v>7710</v>
      </c>
      <c r="C724" s="238"/>
      <c r="D724" s="238" t="s">
        <v>7709</v>
      </c>
      <c r="E724" s="238"/>
      <c r="F724" s="238"/>
      <c r="G724" s="238" t="s">
        <v>5197</v>
      </c>
      <c r="H724" s="239"/>
      <c r="I724" s="238"/>
      <c r="J724" s="238" t="str">
        <f t="shared" si="11"/>
        <v/>
      </c>
    </row>
    <row r="725" spans="1:10" s="240" customFormat="1" ht="18.75">
      <c r="A725" s="238"/>
      <c r="B725" s="238"/>
      <c r="C725" s="238"/>
      <c r="D725" s="238" t="s">
        <v>7708</v>
      </c>
      <c r="E725" s="238"/>
      <c r="F725" s="238"/>
      <c r="G725" s="238"/>
      <c r="H725" s="239"/>
      <c r="I725" s="238"/>
      <c r="J725" s="238" t="str">
        <f t="shared" si="11"/>
        <v/>
      </c>
    </row>
    <row r="726" spans="1:10" s="240" customFormat="1" ht="18.75">
      <c r="A726" s="238"/>
      <c r="B726" s="238"/>
      <c r="C726" s="238"/>
      <c r="D726" s="238" t="s">
        <v>7707</v>
      </c>
      <c r="E726" s="238"/>
      <c r="F726" s="238"/>
      <c r="G726" s="238"/>
      <c r="H726" s="239"/>
      <c r="I726" s="238"/>
      <c r="J726" s="238" t="str">
        <f t="shared" si="11"/>
        <v/>
      </c>
    </row>
    <row r="727" spans="1:10" s="240" customFormat="1" ht="18.75">
      <c r="A727" s="238"/>
      <c r="B727" s="238"/>
      <c r="C727" s="238"/>
      <c r="D727" s="238" t="s">
        <v>7706</v>
      </c>
      <c r="E727" s="238"/>
      <c r="F727" s="238"/>
      <c r="G727" s="238"/>
      <c r="H727" s="239"/>
      <c r="I727" s="238"/>
      <c r="J727" s="238" t="str">
        <f t="shared" si="11"/>
        <v/>
      </c>
    </row>
    <row r="728" spans="1:10" s="240" customFormat="1" ht="18.75">
      <c r="A728" s="238"/>
      <c r="B728" s="238"/>
      <c r="C728" s="238"/>
      <c r="D728" s="238" t="s">
        <v>7705</v>
      </c>
      <c r="E728" s="238"/>
      <c r="F728" s="238"/>
      <c r="G728" s="238"/>
      <c r="H728" s="239"/>
      <c r="I728" s="238"/>
      <c r="J728" s="238" t="str">
        <f t="shared" si="11"/>
        <v/>
      </c>
    </row>
    <row r="729" spans="1:10" s="240" customFormat="1" ht="18.75">
      <c r="A729" s="238" t="s">
        <v>7704</v>
      </c>
      <c r="B729" s="238" t="s">
        <v>7703</v>
      </c>
      <c r="C729" s="238"/>
      <c r="D729" s="238" t="s">
        <v>7702</v>
      </c>
      <c r="E729" s="238"/>
      <c r="F729" s="238"/>
      <c r="G729" s="238" t="s">
        <v>5197</v>
      </c>
      <c r="H729" s="239"/>
      <c r="I729" s="238"/>
      <c r="J729" s="238" t="str">
        <f t="shared" si="11"/>
        <v/>
      </c>
    </row>
    <row r="730" spans="1:10" s="240" customFormat="1" ht="18.75">
      <c r="A730" s="238" t="s">
        <v>7701</v>
      </c>
      <c r="B730" s="238" t="s">
        <v>7700</v>
      </c>
      <c r="C730" s="238" t="s">
        <v>5199</v>
      </c>
      <c r="D730" s="238" t="s">
        <v>7699</v>
      </c>
      <c r="E730" s="238"/>
      <c r="F730" s="238"/>
      <c r="G730" s="238" t="s">
        <v>5197</v>
      </c>
      <c r="H730" s="239"/>
      <c r="I730" s="238"/>
      <c r="J730" s="238" t="str">
        <f t="shared" si="11"/>
        <v/>
      </c>
    </row>
    <row r="731" spans="1:10" s="240" customFormat="1" ht="18.75">
      <c r="B731" s="240" t="s">
        <v>7698</v>
      </c>
      <c r="D731" s="240" t="s">
        <v>7697</v>
      </c>
      <c r="J731" s="238" t="str">
        <f t="shared" si="11"/>
        <v/>
      </c>
    </row>
    <row r="732" spans="1:10" s="240" customFormat="1" ht="18.75">
      <c r="A732" s="238"/>
      <c r="B732" s="238"/>
      <c r="C732" s="238"/>
      <c r="D732" s="238" t="s">
        <v>7696</v>
      </c>
      <c r="E732" s="238"/>
      <c r="F732" s="238"/>
      <c r="G732" s="238"/>
      <c r="H732" s="239"/>
      <c r="I732" s="238"/>
      <c r="J732" s="238" t="str">
        <f t="shared" si="11"/>
        <v/>
      </c>
    </row>
    <row r="733" spans="1:10" s="240" customFormat="1" ht="18.75">
      <c r="A733" s="238"/>
      <c r="B733" s="238"/>
      <c r="C733" s="238"/>
      <c r="D733" s="238" t="s">
        <v>7695</v>
      </c>
      <c r="E733" s="238"/>
      <c r="F733" s="238"/>
      <c r="G733" s="238"/>
      <c r="H733" s="239"/>
      <c r="I733" s="238"/>
      <c r="J733" s="238" t="str">
        <f t="shared" si="11"/>
        <v/>
      </c>
    </row>
    <row r="734" spans="1:10" s="240" customFormat="1" ht="18.75">
      <c r="A734" s="238" t="s">
        <v>6965</v>
      </c>
      <c r="B734" s="238" t="s">
        <v>7694</v>
      </c>
      <c r="C734" s="238"/>
      <c r="D734" s="238" t="s">
        <v>7693</v>
      </c>
      <c r="E734" s="238"/>
      <c r="F734" s="238"/>
      <c r="G734" s="238" t="s">
        <v>5197</v>
      </c>
      <c r="H734" s="239"/>
      <c r="I734" s="238"/>
      <c r="J734" s="238" t="str">
        <f t="shared" si="11"/>
        <v/>
      </c>
    </row>
    <row r="735" spans="1:10" s="240" customFormat="1" ht="18.75">
      <c r="B735" s="240" t="s">
        <v>7692</v>
      </c>
      <c r="D735" s="240" t="s">
        <v>7691</v>
      </c>
      <c r="J735" s="238" t="str">
        <f t="shared" si="11"/>
        <v/>
      </c>
    </row>
    <row r="736" spans="1:10" s="240" customFormat="1" ht="18.75">
      <c r="B736" s="240" t="s">
        <v>7690</v>
      </c>
      <c r="D736" s="240" t="s">
        <v>7689</v>
      </c>
      <c r="J736" s="238" t="str">
        <f t="shared" si="11"/>
        <v/>
      </c>
    </row>
    <row r="737" spans="1:10" s="240" customFormat="1" ht="18.75">
      <c r="A737" s="238"/>
      <c r="B737" s="238"/>
      <c r="C737" s="238"/>
      <c r="D737" s="238" t="s">
        <v>7688</v>
      </c>
      <c r="E737" s="238"/>
      <c r="F737" s="238"/>
      <c r="G737" s="238"/>
      <c r="H737" s="239"/>
      <c r="I737" s="238"/>
      <c r="J737" s="238" t="str">
        <f t="shared" si="11"/>
        <v/>
      </c>
    </row>
    <row r="738" spans="1:10" s="240" customFormat="1" ht="18.75">
      <c r="A738" s="238" t="s">
        <v>7687</v>
      </c>
      <c r="B738" s="238" t="s">
        <v>7686</v>
      </c>
      <c r="C738" s="238"/>
      <c r="D738" s="238" t="s">
        <v>7685</v>
      </c>
      <c r="E738" s="238"/>
      <c r="F738" s="238"/>
      <c r="G738" s="238" t="s">
        <v>5197</v>
      </c>
      <c r="H738" s="239"/>
      <c r="I738" s="238"/>
      <c r="J738" s="238" t="str">
        <f t="shared" si="11"/>
        <v/>
      </c>
    </row>
    <row r="739" spans="1:10" s="240" customFormat="1" ht="18.75">
      <c r="A739" s="244" t="s">
        <v>7684</v>
      </c>
      <c r="B739" s="244" t="s">
        <v>7683</v>
      </c>
      <c r="C739" s="244"/>
      <c r="D739" s="238" t="s">
        <v>7682</v>
      </c>
      <c r="E739" s="245"/>
      <c r="F739" s="244" t="s">
        <v>7681</v>
      </c>
      <c r="G739" s="243" t="s">
        <v>5168</v>
      </c>
      <c r="H739" s="239" t="s">
        <v>7175</v>
      </c>
      <c r="I739" s="238"/>
      <c r="J739" s="238" t="str">
        <f t="shared" si="11"/>
        <v>OK</v>
      </c>
    </row>
    <row r="740" spans="1:10" s="240" customFormat="1" ht="18.75">
      <c r="A740" s="238" t="s">
        <v>7680</v>
      </c>
      <c r="B740" s="238" t="s">
        <v>7679</v>
      </c>
      <c r="C740" s="238"/>
      <c r="D740" s="238" t="s">
        <v>7677</v>
      </c>
      <c r="E740" s="238"/>
      <c r="F740" s="238"/>
      <c r="G740" s="238" t="s">
        <v>5197</v>
      </c>
      <c r="H740" s="239" t="s">
        <v>7175</v>
      </c>
      <c r="I740" s="238"/>
      <c r="J740" s="238" t="str">
        <f t="shared" si="11"/>
        <v/>
      </c>
    </row>
    <row r="741" spans="1:10" s="240" customFormat="1" ht="18.75">
      <c r="B741" s="240" t="s">
        <v>7678</v>
      </c>
      <c r="D741" s="240" t="s">
        <v>7677</v>
      </c>
      <c r="J741" s="238" t="str">
        <f t="shared" si="11"/>
        <v>OK</v>
      </c>
    </row>
    <row r="742" spans="1:10" s="240" customFormat="1" ht="18.75">
      <c r="A742" s="247" t="s">
        <v>7676</v>
      </c>
      <c r="B742" s="247" t="s">
        <v>7675</v>
      </c>
      <c r="C742" s="247"/>
      <c r="D742" s="238" t="s">
        <v>7674</v>
      </c>
      <c r="E742" s="248"/>
      <c r="F742" s="247" t="s">
        <v>7673</v>
      </c>
      <c r="G742" s="243" t="s">
        <v>5168</v>
      </c>
      <c r="H742" s="239" t="s">
        <v>7175</v>
      </c>
      <c r="I742" s="238"/>
      <c r="J742" s="238" t="str">
        <f t="shared" si="11"/>
        <v/>
      </c>
    </row>
    <row r="743" spans="1:10" s="240" customFormat="1" ht="18.75">
      <c r="A743" s="238" t="s">
        <v>7672</v>
      </c>
      <c r="B743" s="238" t="s">
        <v>7671</v>
      </c>
      <c r="C743" s="238" t="s">
        <v>5987</v>
      </c>
      <c r="D743" s="238" t="s">
        <v>7669</v>
      </c>
      <c r="E743" s="238"/>
      <c r="F743" s="238"/>
      <c r="G743" s="238" t="s">
        <v>5197</v>
      </c>
      <c r="H743" s="239" t="s">
        <v>7175</v>
      </c>
      <c r="I743" s="238"/>
      <c r="J743" s="238" t="str">
        <f t="shared" si="11"/>
        <v/>
      </c>
    </row>
    <row r="744" spans="1:10" s="240" customFormat="1" ht="18.75">
      <c r="B744" s="240" t="s">
        <v>7670</v>
      </c>
      <c r="D744" s="240" t="s">
        <v>7669</v>
      </c>
      <c r="J744" s="238" t="str">
        <f t="shared" si="11"/>
        <v>OK</v>
      </c>
    </row>
    <row r="745" spans="1:10" s="240" customFormat="1" ht="18.75">
      <c r="A745" s="247" t="s">
        <v>7668</v>
      </c>
      <c r="B745" s="247" t="s">
        <v>7667</v>
      </c>
      <c r="C745" s="247"/>
      <c r="D745" s="238" t="s">
        <v>7666</v>
      </c>
      <c r="E745" s="245"/>
      <c r="F745" s="247" t="s">
        <v>7665</v>
      </c>
      <c r="G745" s="243" t="s">
        <v>5168</v>
      </c>
      <c r="H745" s="239" t="s">
        <v>7175</v>
      </c>
      <c r="I745" s="238"/>
      <c r="J745" s="238" t="str">
        <f t="shared" si="11"/>
        <v/>
      </c>
    </row>
    <row r="746" spans="1:10" s="240" customFormat="1" ht="18.75">
      <c r="A746" s="238"/>
      <c r="B746" s="238"/>
      <c r="C746" s="238"/>
      <c r="D746" s="238" t="s">
        <v>7664</v>
      </c>
      <c r="E746" s="238"/>
      <c r="F746" s="238"/>
      <c r="G746" s="238"/>
      <c r="H746" s="239"/>
      <c r="I746" s="238"/>
      <c r="J746" s="238" t="str">
        <f t="shared" si="11"/>
        <v/>
      </c>
    </row>
    <row r="747" spans="1:10" s="240" customFormat="1" ht="18.75">
      <c r="A747" s="238"/>
      <c r="B747" s="238"/>
      <c r="C747" s="238"/>
      <c r="D747" s="238" t="s">
        <v>7663</v>
      </c>
      <c r="E747" s="238"/>
      <c r="F747" s="238"/>
      <c r="G747" s="238"/>
      <c r="H747" s="239"/>
      <c r="I747" s="238"/>
      <c r="J747" s="238" t="str">
        <f t="shared" si="11"/>
        <v/>
      </c>
    </row>
    <row r="748" spans="1:10" s="240" customFormat="1" ht="18.75">
      <c r="A748" s="244" t="s">
        <v>7662</v>
      </c>
      <c r="B748" s="241"/>
      <c r="C748" s="241"/>
      <c r="D748" s="244" t="s">
        <v>7661</v>
      </c>
      <c r="E748" s="244"/>
      <c r="F748" s="241"/>
      <c r="G748" s="243" t="s">
        <v>5168</v>
      </c>
      <c r="H748" s="239" t="s">
        <v>7175</v>
      </c>
      <c r="I748" s="238"/>
      <c r="J748" s="238" t="str">
        <f t="shared" si="11"/>
        <v/>
      </c>
    </row>
    <row r="749" spans="1:10" s="240" customFormat="1" ht="18.75">
      <c r="A749" s="238" t="s">
        <v>7660</v>
      </c>
      <c r="B749" s="238" t="s">
        <v>7659</v>
      </c>
      <c r="C749" s="238" t="s">
        <v>5212</v>
      </c>
      <c r="D749" s="238" t="s">
        <v>7658</v>
      </c>
      <c r="E749" s="238"/>
      <c r="F749" s="238"/>
      <c r="G749" s="238" t="s">
        <v>5197</v>
      </c>
      <c r="H749" s="239"/>
      <c r="I749" s="238"/>
      <c r="J749" s="238" t="str">
        <f t="shared" si="11"/>
        <v/>
      </c>
    </row>
    <row r="750" spans="1:10" s="240" customFormat="1" ht="18.75">
      <c r="A750" s="238"/>
      <c r="B750" s="238"/>
      <c r="C750" s="238"/>
      <c r="D750" s="238" t="s">
        <v>7657</v>
      </c>
      <c r="E750" s="238"/>
      <c r="F750" s="238"/>
      <c r="G750" s="238"/>
      <c r="H750" s="239"/>
      <c r="I750" s="238"/>
      <c r="J750" s="238" t="str">
        <f t="shared" si="11"/>
        <v/>
      </c>
    </row>
    <row r="751" spans="1:10" s="240" customFormat="1" ht="18.75">
      <c r="A751" s="238"/>
      <c r="B751" s="238"/>
      <c r="C751" s="238"/>
      <c r="D751" s="238" t="s">
        <v>7656</v>
      </c>
      <c r="E751" s="238"/>
      <c r="F751" s="238"/>
      <c r="G751" s="238"/>
      <c r="H751" s="239"/>
      <c r="I751" s="238"/>
      <c r="J751" s="238" t="str">
        <f t="shared" si="11"/>
        <v/>
      </c>
    </row>
    <row r="752" spans="1:10" s="240" customFormat="1" ht="18.75">
      <c r="A752" s="238" t="s">
        <v>7655</v>
      </c>
      <c r="B752" s="238" t="s">
        <v>7654</v>
      </c>
      <c r="C752" s="238"/>
      <c r="D752" s="238" t="s">
        <v>7653</v>
      </c>
      <c r="E752" s="238"/>
      <c r="F752" s="238"/>
      <c r="G752" s="238" t="s">
        <v>5197</v>
      </c>
      <c r="H752" s="239"/>
      <c r="I752" s="238"/>
      <c r="J752" s="238" t="str">
        <f t="shared" si="11"/>
        <v/>
      </c>
    </row>
    <row r="753" spans="1:10" s="240" customFormat="1" ht="18.75">
      <c r="A753" s="238" t="s">
        <v>7645</v>
      </c>
      <c r="B753" s="238" t="s">
        <v>7652</v>
      </c>
      <c r="C753" s="238" t="s">
        <v>6165</v>
      </c>
      <c r="D753" s="238" t="s">
        <v>7651</v>
      </c>
      <c r="E753" s="238"/>
      <c r="F753" s="238"/>
      <c r="G753" s="238" t="s">
        <v>5197</v>
      </c>
      <c r="H753" s="239"/>
      <c r="I753" s="238"/>
      <c r="J753" s="238" t="str">
        <f t="shared" si="11"/>
        <v/>
      </c>
    </row>
    <row r="754" spans="1:10" s="240" customFormat="1" ht="18.75">
      <c r="A754" s="238"/>
      <c r="B754" s="238"/>
      <c r="C754" s="238"/>
      <c r="D754" s="238" t="s">
        <v>7650</v>
      </c>
      <c r="E754" s="238"/>
      <c r="F754" s="238"/>
      <c r="G754" s="238"/>
      <c r="H754" s="239"/>
      <c r="I754" s="238"/>
      <c r="J754" s="238" t="str">
        <f t="shared" si="11"/>
        <v/>
      </c>
    </row>
    <row r="755" spans="1:10" s="240" customFormat="1" ht="18.75">
      <c r="A755" s="238"/>
      <c r="B755" s="238"/>
      <c r="C755" s="238"/>
      <c r="D755" s="238" t="s">
        <v>7649</v>
      </c>
      <c r="E755" s="238"/>
      <c r="F755" s="238"/>
      <c r="G755" s="238"/>
      <c r="H755" s="239"/>
      <c r="I755" s="238"/>
      <c r="J755" s="238" t="str">
        <f t="shared" si="11"/>
        <v/>
      </c>
    </row>
    <row r="756" spans="1:10" s="240" customFormat="1" ht="18.75">
      <c r="A756" s="238"/>
      <c r="B756" s="238"/>
      <c r="C756" s="238"/>
      <c r="D756" s="238" t="s">
        <v>7648</v>
      </c>
      <c r="E756" s="238"/>
      <c r="F756" s="238"/>
      <c r="G756" s="238"/>
      <c r="H756" s="239"/>
      <c r="I756" s="238"/>
      <c r="J756" s="238" t="str">
        <f t="shared" si="11"/>
        <v/>
      </c>
    </row>
    <row r="757" spans="1:10" s="240" customFormat="1" ht="18.75">
      <c r="A757" s="238"/>
      <c r="B757" s="238"/>
      <c r="C757" s="238"/>
      <c r="D757" s="238" t="s">
        <v>7647</v>
      </c>
      <c r="E757" s="238"/>
      <c r="F757" s="238"/>
      <c r="G757" s="238"/>
      <c r="H757" s="239"/>
      <c r="I757" s="238"/>
      <c r="J757" s="238" t="str">
        <f t="shared" si="11"/>
        <v/>
      </c>
    </row>
    <row r="758" spans="1:10" s="240" customFormat="1" ht="18.75">
      <c r="A758" s="238"/>
      <c r="B758" s="238"/>
      <c r="C758" s="238"/>
      <c r="D758" s="238" t="s">
        <v>7646</v>
      </c>
      <c r="E758" s="238"/>
      <c r="F758" s="238"/>
      <c r="G758" s="238"/>
      <c r="H758" s="239"/>
      <c r="I758" s="238"/>
      <c r="J758" s="238" t="str">
        <f t="shared" si="11"/>
        <v/>
      </c>
    </row>
    <row r="759" spans="1:10" s="240" customFormat="1" ht="18.75">
      <c r="A759" s="238" t="s">
        <v>7645</v>
      </c>
      <c r="B759" s="238" t="s">
        <v>7644</v>
      </c>
      <c r="C759" s="238" t="s">
        <v>7643</v>
      </c>
      <c r="D759" s="238" t="s">
        <v>7642</v>
      </c>
      <c r="E759" s="238"/>
      <c r="F759" s="238"/>
      <c r="G759" s="238" t="s">
        <v>5197</v>
      </c>
      <c r="H759" s="239"/>
      <c r="I759" s="238"/>
      <c r="J759" s="238" t="str">
        <f t="shared" si="11"/>
        <v/>
      </c>
    </row>
    <row r="760" spans="1:10" s="240" customFormat="1" ht="18.75">
      <c r="A760" s="238"/>
      <c r="B760" s="238"/>
      <c r="C760" s="238"/>
      <c r="D760" s="238" t="s">
        <v>7641</v>
      </c>
      <c r="E760" s="238"/>
      <c r="F760" s="238"/>
      <c r="G760" s="238"/>
      <c r="H760" s="239"/>
      <c r="I760" s="238"/>
      <c r="J760" s="238" t="str">
        <f t="shared" si="11"/>
        <v/>
      </c>
    </row>
    <row r="761" spans="1:10" s="240" customFormat="1" ht="18.75">
      <c r="B761" s="240" t="s">
        <v>7640</v>
      </c>
      <c r="D761" s="240" t="s">
        <v>7639</v>
      </c>
      <c r="J761" s="238" t="str">
        <f t="shared" si="11"/>
        <v/>
      </c>
    </row>
    <row r="762" spans="1:10" s="240" customFormat="1" ht="18.75">
      <c r="A762" s="238"/>
      <c r="B762" s="238"/>
      <c r="C762" s="238"/>
      <c r="D762" s="238" t="s">
        <v>7638</v>
      </c>
      <c r="E762" s="238"/>
      <c r="F762" s="238"/>
      <c r="G762" s="238"/>
      <c r="H762" s="239"/>
      <c r="I762" s="238"/>
      <c r="J762" s="238" t="str">
        <f t="shared" si="11"/>
        <v/>
      </c>
    </row>
    <row r="763" spans="1:10" s="240" customFormat="1" ht="18.75">
      <c r="A763" s="238" t="s">
        <v>7637</v>
      </c>
      <c r="B763" s="238" t="s">
        <v>7636</v>
      </c>
      <c r="C763" s="238"/>
      <c r="D763" s="238" t="s">
        <v>7635</v>
      </c>
      <c r="E763" s="238"/>
      <c r="F763" s="238"/>
      <c r="G763" s="238" t="s">
        <v>5197</v>
      </c>
      <c r="H763" s="239"/>
      <c r="I763" s="238"/>
      <c r="J763" s="238" t="str">
        <f t="shared" si="11"/>
        <v/>
      </c>
    </row>
    <row r="764" spans="1:10" s="240" customFormat="1" ht="18.75">
      <c r="B764" s="240" t="s">
        <v>7634</v>
      </c>
      <c r="D764" s="240" t="s">
        <v>7633</v>
      </c>
      <c r="J764" s="238" t="str">
        <f t="shared" si="11"/>
        <v/>
      </c>
    </row>
    <row r="765" spans="1:10" s="240" customFormat="1" ht="18.75">
      <c r="A765" s="238"/>
      <c r="B765" s="238"/>
      <c r="C765" s="238"/>
      <c r="D765" s="238" t="s">
        <v>7632</v>
      </c>
      <c r="E765" s="238"/>
      <c r="F765" s="238"/>
      <c r="G765" s="238"/>
      <c r="H765" s="239"/>
      <c r="I765" s="238"/>
      <c r="J765" s="238" t="str">
        <f t="shared" si="11"/>
        <v/>
      </c>
    </row>
    <row r="766" spans="1:10" s="240" customFormat="1" ht="18.75">
      <c r="A766" s="238" t="s">
        <v>7631</v>
      </c>
      <c r="B766" s="238" t="s">
        <v>7630</v>
      </c>
      <c r="C766" s="238" t="s">
        <v>7629</v>
      </c>
      <c r="D766" s="238" t="s">
        <v>7628</v>
      </c>
      <c r="E766" s="238"/>
      <c r="F766" s="238"/>
      <c r="G766" s="238" t="s">
        <v>5197</v>
      </c>
      <c r="H766" s="239"/>
      <c r="I766" s="238"/>
      <c r="J766" s="238" t="str">
        <f t="shared" si="11"/>
        <v/>
      </c>
    </row>
    <row r="767" spans="1:10" s="240" customFormat="1" ht="18.75">
      <c r="A767" s="238"/>
      <c r="B767" s="238"/>
      <c r="C767" s="238"/>
      <c r="D767" s="238" t="s">
        <v>7627</v>
      </c>
      <c r="E767" s="238"/>
      <c r="F767" s="238"/>
      <c r="G767" s="238"/>
      <c r="H767" s="239"/>
      <c r="I767" s="238"/>
      <c r="J767" s="238" t="str">
        <f t="shared" si="11"/>
        <v/>
      </c>
    </row>
    <row r="768" spans="1:10" s="240" customFormat="1" ht="18.75">
      <c r="A768" s="238"/>
      <c r="B768" s="238"/>
      <c r="C768" s="238"/>
      <c r="D768" s="238" t="s">
        <v>7626</v>
      </c>
      <c r="E768" s="238"/>
      <c r="F768" s="238"/>
      <c r="G768" s="238"/>
      <c r="H768" s="239"/>
      <c r="I768" s="238"/>
      <c r="J768" s="238" t="str">
        <f t="shared" si="11"/>
        <v/>
      </c>
    </row>
    <row r="769" spans="1:10" s="240" customFormat="1" ht="18.75">
      <c r="A769" s="238"/>
      <c r="B769" s="238"/>
      <c r="C769" s="238"/>
      <c r="D769" s="238" t="s">
        <v>7625</v>
      </c>
      <c r="E769" s="238"/>
      <c r="F769" s="238"/>
      <c r="G769" s="238"/>
      <c r="H769" s="239"/>
      <c r="I769" s="238"/>
      <c r="J769" s="238" t="str">
        <f t="shared" si="11"/>
        <v/>
      </c>
    </row>
    <row r="770" spans="1:10" s="240" customFormat="1" ht="18.75">
      <c r="A770" s="238"/>
      <c r="B770" s="238"/>
      <c r="C770" s="238"/>
      <c r="D770" s="238" t="s">
        <v>7624</v>
      </c>
      <c r="E770" s="238"/>
      <c r="F770" s="238"/>
      <c r="G770" s="238"/>
      <c r="H770" s="239"/>
      <c r="I770" s="238"/>
      <c r="J770" s="238" t="str">
        <f t="shared" si="11"/>
        <v/>
      </c>
    </row>
    <row r="771" spans="1:10" s="240" customFormat="1" ht="18.75">
      <c r="A771" s="238"/>
      <c r="B771" s="238"/>
      <c r="C771" s="238"/>
      <c r="D771" s="238" t="s">
        <v>7623</v>
      </c>
      <c r="E771" s="238"/>
      <c r="F771" s="238"/>
      <c r="G771" s="238"/>
      <c r="H771" s="239"/>
      <c r="I771" s="238"/>
      <c r="J771" s="238" t="str">
        <f t="shared" ref="J771:J834" si="12">IF(D770=D771,"OK","")</f>
        <v/>
      </c>
    </row>
    <row r="772" spans="1:10" s="240" customFormat="1" ht="18.75">
      <c r="A772" s="238"/>
      <c r="B772" s="238"/>
      <c r="C772" s="238"/>
      <c r="D772" s="238" t="s">
        <v>7622</v>
      </c>
      <c r="E772" s="238"/>
      <c r="F772" s="238"/>
      <c r="G772" s="238"/>
      <c r="H772" s="239"/>
      <c r="I772" s="238"/>
      <c r="J772" s="238" t="str">
        <f t="shared" si="12"/>
        <v/>
      </c>
    </row>
    <row r="773" spans="1:10" s="240" customFormat="1" ht="18.75">
      <c r="A773" s="238"/>
      <c r="B773" s="238"/>
      <c r="C773" s="238"/>
      <c r="D773" s="238" t="s">
        <v>7621</v>
      </c>
      <c r="E773" s="238"/>
      <c r="F773" s="238"/>
      <c r="G773" s="238"/>
      <c r="H773" s="239"/>
      <c r="I773" s="238"/>
      <c r="J773" s="238" t="str">
        <f t="shared" si="12"/>
        <v/>
      </c>
    </row>
    <row r="774" spans="1:10" s="240" customFormat="1" ht="18.75">
      <c r="A774" s="238"/>
      <c r="B774" s="238"/>
      <c r="C774" s="238"/>
      <c r="D774" s="238" t="s">
        <v>7620</v>
      </c>
      <c r="E774" s="238"/>
      <c r="F774" s="238"/>
      <c r="G774" s="238"/>
      <c r="H774" s="239"/>
      <c r="I774" s="238"/>
      <c r="J774" s="238" t="str">
        <f t="shared" si="12"/>
        <v/>
      </c>
    </row>
    <row r="775" spans="1:10" s="240" customFormat="1" ht="18.75">
      <c r="A775" s="238"/>
      <c r="B775" s="238"/>
      <c r="C775" s="238"/>
      <c r="D775" s="238" t="s">
        <v>7619</v>
      </c>
      <c r="E775" s="238"/>
      <c r="F775" s="238"/>
      <c r="G775" s="238"/>
      <c r="H775" s="239"/>
      <c r="I775" s="238"/>
      <c r="J775" s="238" t="str">
        <f t="shared" si="12"/>
        <v/>
      </c>
    </row>
    <row r="776" spans="1:10" s="240" customFormat="1" ht="18.75">
      <c r="A776" s="238"/>
      <c r="B776" s="238"/>
      <c r="C776" s="238"/>
      <c r="D776" s="238" t="s">
        <v>7618</v>
      </c>
      <c r="E776" s="238"/>
      <c r="F776" s="238"/>
      <c r="G776" s="238"/>
      <c r="H776" s="239"/>
      <c r="I776" s="238"/>
      <c r="J776" s="238" t="str">
        <f t="shared" si="12"/>
        <v/>
      </c>
    </row>
    <row r="777" spans="1:10" s="240" customFormat="1" ht="18.75">
      <c r="A777" s="238"/>
      <c r="B777" s="238"/>
      <c r="C777" s="238"/>
      <c r="D777" s="238" t="s">
        <v>7617</v>
      </c>
      <c r="E777" s="238"/>
      <c r="F777" s="238"/>
      <c r="G777" s="238"/>
      <c r="H777" s="239"/>
      <c r="I777" s="238"/>
      <c r="J777" s="238" t="str">
        <f t="shared" si="12"/>
        <v/>
      </c>
    </row>
    <row r="778" spans="1:10" s="240" customFormat="1" ht="18.75">
      <c r="A778" s="238"/>
      <c r="B778" s="238"/>
      <c r="C778" s="238"/>
      <c r="D778" s="238" t="s">
        <v>7616</v>
      </c>
      <c r="E778" s="238"/>
      <c r="F778" s="238"/>
      <c r="G778" s="238"/>
      <c r="H778" s="239"/>
      <c r="I778" s="238"/>
      <c r="J778" s="238" t="str">
        <f t="shared" si="12"/>
        <v/>
      </c>
    </row>
    <row r="779" spans="1:10" s="240" customFormat="1" ht="18.75">
      <c r="A779" s="238"/>
      <c r="B779" s="238"/>
      <c r="C779" s="238"/>
      <c r="D779" s="238" t="s">
        <v>7615</v>
      </c>
      <c r="E779" s="238"/>
      <c r="F779" s="238"/>
      <c r="G779" s="238"/>
      <c r="H779" s="239"/>
      <c r="I779" s="238"/>
      <c r="J779" s="238" t="str">
        <f t="shared" si="12"/>
        <v/>
      </c>
    </row>
    <row r="780" spans="1:10" s="240" customFormat="1" ht="18.75">
      <c r="A780" s="238"/>
      <c r="B780" s="238"/>
      <c r="C780" s="238"/>
      <c r="D780" s="238" t="s">
        <v>7614</v>
      </c>
      <c r="E780" s="238"/>
      <c r="F780" s="238"/>
      <c r="G780" s="238"/>
      <c r="H780" s="239"/>
      <c r="I780" s="238"/>
      <c r="J780" s="238" t="str">
        <f t="shared" si="12"/>
        <v/>
      </c>
    </row>
    <row r="781" spans="1:10" s="240" customFormat="1" ht="18.75">
      <c r="A781" s="238" t="s">
        <v>6159</v>
      </c>
      <c r="B781" s="238" t="s">
        <v>5857</v>
      </c>
      <c r="C781" s="238"/>
      <c r="D781" s="238" t="s">
        <v>7613</v>
      </c>
      <c r="E781" s="238"/>
      <c r="F781" s="238"/>
      <c r="G781" s="238" t="s">
        <v>5197</v>
      </c>
      <c r="H781" s="239"/>
      <c r="I781" s="238"/>
      <c r="J781" s="238" t="str">
        <f t="shared" si="12"/>
        <v/>
      </c>
    </row>
    <row r="782" spans="1:10" s="240" customFormat="1" ht="18.75">
      <c r="A782" s="238"/>
      <c r="B782" s="238"/>
      <c r="C782" s="238"/>
      <c r="D782" s="238" t="s">
        <v>7612</v>
      </c>
      <c r="E782" s="238"/>
      <c r="F782" s="238"/>
      <c r="G782" s="238"/>
      <c r="H782" s="239"/>
      <c r="I782" s="238"/>
      <c r="J782" s="238" t="str">
        <f t="shared" si="12"/>
        <v/>
      </c>
    </row>
    <row r="783" spans="1:10" s="240" customFormat="1" ht="18.75">
      <c r="A783" s="238"/>
      <c r="B783" s="238"/>
      <c r="C783" s="238"/>
      <c r="D783" s="238" t="s">
        <v>7611</v>
      </c>
      <c r="E783" s="238"/>
      <c r="F783" s="238"/>
      <c r="G783" s="238"/>
      <c r="H783" s="239"/>
      <c r="I783" s="238"/>
      <c r="J783" s="238" t="str">
        <f t="shared" si="12"/>
        <v/>
      </c>
    </row>
    <row r="784" spans="1:10" s="240" customFormat="1" ht="18.75">
      <c r="A784" s="238"/>
      <c r="B784" s="238"/>
      <c r="C784" s="238"/>
      <c r="D784" s="238" t="s">
        <v>7610</v>
      </c>
      <c r="E784" s="238"/>
      <c r="F784" s="238"/>
      <c r="G784" s="238"/>
      <c r="H784" s="239"/>
      <c r="I784" s="238"/>
      <c r="J784" s="238" t="str">
        <f t="shared" si="12"/>
        <v/>
      </c>
    </row>
    <row r="785" spans="1:10" s="240" customFormat="1" ht="18.75">
      <c r="A785" s="238"/>
      <c r="B785" s="238"/>
      <c r="C785" s="238"/>
      <c r="D785" s="238" t="s">
        <v>7609</v>
      </c>
      <c r="E785" s="238"/>
      <c r="F785" s="238"/>
      <c r="G785" s="238"/>
      <c r="H785" s="239"/>
      <c r="I785" s="238"/>
      <c r="J785" s="238" t="str">
        <f t="shared" si="12"/>
        <v/>
      </c>
    </row>
    <row r="786" spans="1:10" s="240" customFormat="1" ht="18.75">
      <c r="A786" s="238"/>
      <c r="B786" s="238"/>
      <c r="C786" s="238"/>
      <c r="D786" s="238" t="s">
        <v>7608</v>
      </c>
      <c r="E786" s="238"/>
      <c r="F786" s="238"/>
      <c r="G786" s="238"/>
      <c r="H786" s="239"/>
      <c r="I786" s="238"/>
      <c r="J786" s="238" t="str">
        <f t="shared" si="12"/>
        <v/>
      </c>
    </row>
    <row r="787" spans="1:10" s="240" customFormat="1" ht="18.75">
      <c r="A787" s="238"/>
      <c r="B787" s="238"/>
      <c r="C787" s="238"/>
      <c r="D787" s="238" t="s">
        <v>7607</v>
      </c>
      <c r="E787" s="238"/>
      <c r="F787" s="238"/>
      <c r="G787" s="238"/>
      <c r="H787" s="239"/>
      <c r="I787" s="238"/>
      <c r="J787" s="238" t="str">
        <f t="shared" si="12"/>
        <v/>
      </c>
    </row>
    <row r="788" spans="1:10" s="240" customFormat="1" ht="18.75">
      <c r="A788" s="238" t="s">
        <v>7606</v>
      </c>
      <c r="B788" s="238" t="s">
        <v>7605</v>
      </c>
      <c r="C788" s="238" t="s">
        <v>5212</v>
      </c>
      <c r="D788" s="238" t="s">
        <v>7604</v>
      </c>
      <c r="E788" s="238"/>
      <c r="F788" s="238"/>
      <c r="G788" s="238" t="s">
        <v>5197</v>
      </c>
      <c r="H788" s="239"/>
      <c r="I788" s="238"/>
      <c r="J788" s="238" t="str">
        <f t="shared" si="12"/>
        <v/>
      </c>
    </row>
    <row r="789" spans="1:10" s="240" customFormat="1" ht="18.75">
      <c r="A789" s="238"/>
      <c r="B789" s="238"/>
      <c r="C789" s="238"/>
      <c r="D789" s="238" t="s">
        <v>7603</v>
      </c>
      <c r="E789" s="238"/>
      <c r="F789" s="238"/>
      <c r="G789" s="238"/>
      <c r="H789" s="239"/>
      <c r="I789" s="238"/>
      <c r="J789" s="238" t="str">
        <f t="shared" si="12"/>
        <v/>
      </c>
    </row>
    <row r="790" spans="1:10" s="240" customFormat="1" ht="18.75">
      <c r="A790" s="238"/>
      <c r="B790" s="238"/>
      <c r="C790" s="238"/>
      <c r="D790" s="238" t="s">
        <v>7602</v>
      </c>
      <c r="E790" s="238"/>
      <c r="F790" s="238"/>
      <c r="G790" s="238"/>
      <c r="H790" s="239"/>
      <c r="I790" s="238"/>
      <c r="J790" s="238" t="str">
        <f t="shared" si="12"/>
        <v/>
      </c>
    </row>
    <row r="791" spans="1:10" s="240" customFormat="1" ht="18.75">
      <c r="A791" s="238"/>
      <c r="B791" s="238"/>
      <c r="C791" s="238"/>
      <c r="D791" s="238" t="s">
        <v>7601</v>
      </c>
      <c r="E791" s="238"/>
      <c r="F791" s="238"/>
      <c r="G791" s="238"/>
      <c r="H791" s="239"/>
      <c r="I791" s="238"/>
      <c r="J791" s="238" t="str">
        <f t="shared" si="12"/>
        <v/>
      </c>
    </row>
    <row r="792" spans="1:10" s="240" customFormat="1" ht="18.75">
      <c r="A792" s="238"/>
      <c r="B792" s="238"/>
      <c r="C792" s="238"/>
      <c r="D792" s="238" t="s">
        <v>7600</v>
      </c>
      <c r="E792" s="238"/>
      <c r="F792" s="238"/>
      <c r="G792" s="238"/>
      <c r="H792" s="239"/>
      <c r="I792" s="238"/>
      <c r="J792" s="238" t="str">
        <f t="shared" si="12"/>
        <v/>
      </c>
    </row>
    <row r="793" spans="1:10" s="240" customFormat="1" ht="18.75">
      <c r="A793" s="238"/>
      <c r="B793" s="238"/>
      <c r="C793" s="238"/>
      <c r="D793" s="238" t="s">
        <v>7599</v>
      </c>
      <c r="E793" s="238"/>
      <c r="F793" s="238"/>
      <c r="G793" s="238"/>
      <c r="H793" s="239"/>
      <c r="I793" s="238"/>
      <c r="J793" s="238" t="str">
        <f t="shared" si="12"/>
        <v/>
      </c>
    </row>
    <row r="794" spans="1:10" s="240" customFormat="1" ht="18.75">
      <c r="A794" s="238"/>
      <c r="B794" s="238"/>
      <c r="C794" s="238"/>
      <c r="D794" s="238" t="s">
        <v>7598</v>
      </c>
      <c r="E794" s="238"/>
      <c r="F794" s="238"/>
      <c r="G794" s="238"/>
      <c r="H794" s="239"/>
      <c r="I794" s="238"/>
      <c r="J794" s="238" t="str">
        <f t="shared" si="12"/>
        <v/>
      </c>
    </row>
    <row r="795" spans="1:10" s="240" customFormat="1" ht="18.75">
      <c r="A795" s="246"/>
      <c r="B795" s="246"/>
      <c r="C795" s="246"/>
      <c r="D795" s="246" t="s">
        <v>7597</v>
      </c>
      <c r="E795" s="246"/>
      <c r="F795" s="246"/>
      <c r="G795" s="246"/>
      <c r="H795" s="239"/>
      <c r="I795" s="238"/>
      <c r="J795" s="238" t="str">
        <f t="shared" si="12"/>
        <v/>
      </c>
    </row>
    <row r="796" spans="1:10" s="240" customFormat="1" ht="18.75">
      <c r="A796" s="238"/>
      <c r="B796" s="238"/>
      <c r="C796" s="238"/>
      <c r="D796" s="238" t="s">
        <v>7597</v>
      </c>
      <c r="E796" s="238"/>
      <c r="F796" s="238"/>
      <c r="G796" s="238"/>
      <c r="H796" s="239"/>
      <c r="I796" s="238"/>
      <c r="J796" s="238" t="str">
        <f t="shared" si="12"/>
        <v>OK</v>
      </c>
    </row>
    <row r="797" spans="1:10" s="240" customFormat="1" ht="18.75">
      <c r="A797" s="238"/>
      <c r="B797" s="238"/>
      <c r="C797" s="238"/>
      <c r="D797" s="238" t="s">
        <v>7597</v>
      </c>
      <c r="E797" s="238"/>
      <c r="F797" s="238"/>
      <c r="G797" s="238"/>
      <c r="H797" s="239"/>
      <c r="I797" s="238"/>
      <c r="J797" s="238" t="str">
        <f t="shared" si="12"/>
        <v>OK</v>
      </c>
    </row>
    <row r="798" spans="1:10" s="240" customFormat="1" ht="18.75">
      <c r="B798" s="240" t="s">
        <v>7596</v>
      </c>
      <c r="D798" s="240" t="s">
        <v>7595</v>
      </c>
      <c r="J798" s="238" t="str">
        <f t="shared" si="12"/>
        <v/>
      </c>
    </row>
    <row r="799" spans="1:10" s="240" customFormat="1" ht="18.75">
      <c r="A799" s="238"/>
      <c r="B799" s="238"/>
      <c r="C799" s="238"/>
      <c r="D799" s="238" t="s">
        <v>7594</v>
      </c>
      <c r="E799" s="238"/>
      <c r="F799" s="238"/>
      <c r="G799" s="238"/>
      <c r="H799" s="239"/>
      <c r="I799" s="238"/>
      <c r="J799" s="238" t="str">
        <f t="shared" si="12"/>
        <v/>
      </c>
    </row>
    <row r="800" spans="1:10" s="240" customFormat="1" ht="18.75">
      <c r="A800" s="246"/>
      <c r="B800" s="246"/>
      <c r="C800" s="246"/>
      <c r="D800" s="246" t="s">
        <v>7593</v>
      </c>
      <c r="E800" s="246"/>
      <c r="F800" s="246"/>
      <c r="G800" s="246"/>
      <c r="H800" s="239"/>
      <c r="I800" s="238"/>
      <c r="J800" s="238" t="str">
        <f t="shared" si="12"/>
        <v/>
      </c>
    </row>
    <row r="801" spans="1:10" s="240" customFormat="1" ht="18.75">
      <c r="A801" s="238"/>
      <c r="B801" s="238"/>
      <c r="C801" s="238"/>
      <c r="D801" s="238" t="s">
        <v>7593</v>
      </c>
      <c r="E801" s="238"/>
      <c r="F801" s="238"/>
      <c r="G801" s="238"/>
      <c r="H801" s="239"/>
      <c r="I801" s="238"/>
      <c r="J801" s="238" t="str">
        <f t="shared" si="12"/>
        <v>OK</v>
      </c>
    </row>
    <row r="802" spans="1:10" s="240" customFormat="1" ht="18.75">
      <c r="A802" s="238"/>
      <c r="B802" s="238"/>
      <c r="C802" s="238"/>
      <c r="D802" s="238" t="s">
        <v>7593</v>
      </c>
      <c r="E802" s="238"/>
      <c r="F802" s="238"/>
      <c r="G802" s="238"/>
      <c r="H802" s="239"/>
      <c r="I802" s="238"/>
      <c r="J802" s="238" t="str">
        <f t="shared" si="12"/>
        <v>OK</v>
      </c>
    </row>
    <row r="803" spans="1:10" s="240" customFormat="1" ht="18.75">
      <c r="B803" s="240" t="s">
        <v>7592</v>
      </c>
      <c r="D803" s="240" t="s">
        <v>7591</v>
      </c>
      <c r="J803" s="238" t="str">
        <f t="shared" si="12"/>
        <v/>
      </c>
    </row>
    <row r="804" spans="1:10" s="240" customFormat="1" ht="18.75">
      <c r="A804" s="253" t="s">
        <v>6135</v>
      </c>
      <c r="B804" s="244" t="s">
        <v>7590</v>
      </c>
      <c r="C804" s="244"/>
      <c r="D804" s="238" t="s">
        <v>7589</v>
      </c>
      <c r="E804" s="245"/>
      <c r="F804" s="244" t="s">
        <v>7588</v>
      </c>
      <c r="G804" s="243" t="s">
        <v>5168</v>
      </c>
      <c r="H804" s="239"/>
      <c r="I804" s="238"/>
      <c r="J804" s="238" t="str">
        <f t="shared" si="12"/>
        <v/>
      </c>
    </row>
    <row r="805" spans="1:10" s="240" customFormat="1" ht="18.75">
      <c r="A805" s="238"/>
      <c r="B805" s="238"/>
      <c r="C805" s="238"/>
      <c r="D805" s="238" t="s">
        <v>7587</v>
      </c>
      <c r="E805" s="238"/>
      <c r="F805" s="238"/>
      <c r="G805" s="238"/>
      <c r="H805" s="239"/>
      <c r="I805" s="238"/>
      <c r="J805" s="238" t="str">
        <f t="shared" si="12"/>
        <v/>
      </c>
    </row>
    <row r="806" spans="1:10" s="240" customFormat="1" ht="18.75">
      <c r="B806" s="240" t="s">
        <v>7586</v>
      </c>
      <c r="D806" s="240" t="s">
        <v>7585</v>
      </c>
      <c r="J806" s="238" t="str">
        <f t="shared" si="12"/>
        <v/>
      </c>
    </row>
    <row r="807" spans="1:10" s="240" customFormat="1" ht="18.75">
      <c r="A807" s="238" t="s">
        <v>7584</v>
      </c>
      <c r="B807" s="238" t="s">
        <v>7583</v>
      </c>
      <c r="C807" s="238"/>
      <c r="D807" s="238" t="s">
        <v>7582</v>
      </c>
      <c r="E807" s="238"/>
      <c r="F807" s="238"/>
      <c r="G807" s="238" t="s">
        <v>5197</v>
      </c>
      <c r="H807" s="239"/>
      <c r="I807" s="238"/>
      <c r="J807" s="238" t="str">
        <f t="shared" si="12"/>
        <v/>
      </c>
    </row>
    <row r="808" spans="1:10" s="240" customFormat="1" ht="18.75">
      <c r="A808" s="238"/>
      <c r="B808" s="238"/>
      <c r="C808" s="238"/>
      <c r="D808" s="238" t="s">
        <v>7581</v>
      </c>
      <c r="E808" s="238"/>
      <c r="F808" s="238"/>
      <c r="G808" s="238"/>
      <c r="H808" s="239"/>
      <c r="I808" s="238"/>
      <c r="J808" s="238" t="str">
        <f t="shared" si="12"/>
        <v/>
      </c>
    </row>
    <row r="809" spans="1:10" s="240" customFormat="1" ht="18.75">
      <c r="A809" s="238"/>
      <c r="B809" s="238"/>
      <c r="C809" s="238"/>
      <c r="D809" s="238" t="s">
        <v>7580</v>
      </c>
      <c r="E809" s="238"/>
      <c r="F809" s="238"/>
      <c r="G809" s="238"/>
      <c r="H809" s="239"/>
      <c r="I809" s="238"/>
      <c r="J809" s="238" t="str">
        <f t="shared" si="12"/>
        <v/>
      </c>
    </row>
    <row r="810" spans="1:10" s="240" customFormat="1" ht="18.75">
      <c r="A810" s="238"/>
      <c r="B810" s="238"/>
      <c r="C810" s="238"/>
      <c r="D810" s="238" t="s">
        <v>7579</v>
      </c>
      <c r="E810" s="238"/>
      <c r="F810" s="238"/>
      <c r="G810" s="238"/>
      <c r="H810" s="239"/>
      <c r="I810" s="238"/>
      <c r="J810" s="238" t="str">
        <f t="shared" si="12"/>
        <v/>
      </c>
    </row>
    <row r="811" spans="1:10" s="240" customFormat="1" ht="18.75">
      <c r="A811" s="238"/>
      <c r="B811" s="238"/>
      <c r="C811" s="238"/>
      <c r="D811" s="238" t="s">
        <v>7578</v>
      </c>
      <c r="E811" s="238"/>
      <c r="F811" s="238"/>
      <c r="G811" s="238"/>
      <c r="H811" s="239"/>
      <c r="I811" s="238"/>
      <c r="J811" s="238" t="str">
        <f t="shared" si="12"/>
        <v/>
      </c>
    </row>
    <row r="812" spans="1:10" s="240" customFormat="1" ht="18.75">
      <c r="A812" s="238"/>
      <c r="B812" s="238"/>
      <c r="C812" s="238"/>
      <c r="D812" s="238" t="s">
        <v>7577</v>
      </c>
      <c r="E812" s="238"/>
      <c r="F812" s="238"/>
      <c r="G812" s="238"/>
      <c r="H812" s="239"/>
      <c r="I812" s="238"/>
      <c r="J812" s="238" t="str">
        <f t="shared" si="12"/>
        <v/>
      </c>
    </row>
    <row r="813" spans="1:10" s="240" customFormat="1" ht="18.75">
      <c r="A813" s="238"/>
      <c r="B813" s="238"/>
      <c r="C813" s="238"/>
      <c r="D813" s="238" t="s">
        <v>7576</v>
      </c>
      <c r="E813" s="238"/>
      <c r="F813" s="238"/>
      <c r="G813" s="238"/>
      <c r="H813" s="239"/>
      <c r="I813" s="238"/>
      <c r="J813" s="238" t="str">
        <f t="shared" si="12"/>
        <v/>
      </c>
    </row>
    <row r="814" spans="1:10" s="240" customFormat="1" ht="18.75">
      <c r="A814" s="238"/>
      <c r="B814" s="238"/>
      <c r="C814" s="238"/>
      <c r="D814" s="238" t="s">
        <v>7575</v>
      </c>
      <c r="E814" s="238"/>
      <c r="F814" s="238"/>
      <c r="G814" s="238"/>
      <c r="H814" s="239"/>
      <c r="I814" s="238"/>
      <c r="J814" s="238" t="str">
        <f t="shared" si="12"/>
        <v/>
      </c>
    </row>
    <row r="815" spans="1:10" s="240" customFormat="1" ht="18.75">
      <c r="A815" s="238" t="s">
        <v>7574</v>
      </c>
      <c r="B815" s="238" t="s">
        <v>7573</v>
      </c>
      <c r="C815" s="238" t="s">
        <v>7572</v>
      </c>
      <c r="D815" s="238" t="s">
        <v>7571</v>
      </c>
      <c r="E815" s="238"/>
      <c r="F815" s="238"/>
      <c r="G815" s="238" t="s">
        <v>5197</v>
      </c>
      <c r="H815" s="239"/>
      <c r="I815" s="238"/>
      <c r="J815" s="238" t="str">
        <f t="shared" si="12"/>
        <v/>
      </c>
    </row>
    <row r="816" spans="1:10" s="240" customFormat="1" ht="18.75">
      <c r="A816" s="238"/>
      <c r="B816" s="238"/>
      <c r="C816" s="238"/>
      <c r="D816" s="238" t="s">
        <v>7570</v>
      </c>
      <c r="E816" s="238"/>
      <c r="F816" s="238"/>
      <c r="G816" s="238"/>
      <c r="H816" s="239"/>
      <c r="I816" s="238"/>
      <c r="J816" s="238" t="str">
        <f t="shared" si="12"/>
        <v/>
      </c>
    </row>
    <row r="817" spans="1:10" s="240" customFormat="1" ht="18.75">
      <c r="A817" s="238"/>
      <c r="B817" s="238"/>
      <c r="C817" s="238"/>
      <c r="D817" s="238" t="s">
        <v>7569</v>
      </c>
      <c r="E817" s="238"/>
      <c r="F817" s="238"/>
      <c r="G817" s="238"/>
      <c r="H817" s="239"/>
      <c r="I817" s="238"/>
      <c r="J817" s="238" t="str">
        <f t="shared" si="12"/>
        <v/>
      </c>
    </row>
    <row r="818" spans="1:10" s="240" customFormat="1" ht="18.75">
      <c r="A818" s="238"/>
      <c r="B818" s="238"/>
      <c r="C818" s="238"/>
      <c r="D818" s="238" t="s">
        <v>7568</v>
      </c>
      <c r="E818" s="238"/>
      <c r="F818" s="238"/>
      <c r="G818" s="238"/>
      <c r="H818" s="239"/>
      <c r="I818" s="238"/>
      <c r="J818" s="238" t="str">
        <f t="shared" si="12"/>
        <v/>
      </c>
    </row>
    <row r="819" spans="1:10" s="240" customFormat="1" ht="18.75">
      <c r="A819" s="238"/>
      <c r="B819" s="238"/>
      <c r="C819" s="238"/>
      <c r="D819" s="238" t="s">
        <v>7567</v>
      </c>
      <c r="E819" s="238"/>
      <c r="F819" s="238"/>
      <c r="G819" s="238"/>
      <c r="H819" s="239"/>
      <c r="I819" s="238"/>
      <c r="J819" s="238" t="str">
        <f t="shared" si="12"/>
        <v/>
      </c>
    </row>
    <row r="820" spans="1:10" s="240" customFormat="1" ht="18.75">
      <c r="A820" s="244" t="s">
        <v>7566</v>
      </c>
      <c r="B820" s="244" t="s">
        <v>7565</v>
      </c>
      <c r="C820" s="244"/>
      <c r="D820" s="238" t="s">
        <v>7564</v>
      </c>
      <c r="E820" s="245"/>
      <c r="F820" s="244" t="s">
        <v>7563</v>
      </c>
      <c r="G820" s="243" t="s">
        <v>5168</v>
      </c>
      <c r="H820" s="239" t="s">
        <v>7175</v>
      </c>
      <c r="I820" s="238"/>
      <c r="J820" s="238" t="str">
        <f t="shared" si="12"/>
        <v/>
      </c>
    </row>
    <row r="821" spans="1:10" s="240" customFormat="1" ht="18.75">
      <c r="A821" s="238"/>
      <c r="B821" s="238"/>
      <c r="C821" s="238"/>
      <c r="D821" s="238" t="s">
        <v>7562</v>
      </c>
      <c r="E821" s="238"/>
      <c r="F821" s="238"/>
      <c r="G821" s="238"/>
      <c r="H821" s="239"/>
      <c r="I821" s="238"/>
      <c r="J821" s="238" t="str">
        <f t="shared" si="12"/>
        <v/>
      </c>
    </row>
    <row r="822" spans="1:10" s="240" customFormat="1" ht="18.75">
      <c r="A822" s="238"/>
      <c r="B822" s="238"/>
      <c r="C822" s="238"/>
      <c r="D822" s="238" t="s">
        <v>7561</v>
      </c>
      <c r="E822" s="238"/>
      <c r="F822" s="238"/>
      <c r="G822" s="238"/>
      <c r="H822" s="239"/>
      <c r="I822" s="238"/>
      <c r="J822" s="238" t="str">
        <f t="shared" si="12"/>
        <v/>
      </c>
    </row>
    <row r="823" spans="1:10" s="240" customFormat="1" ht="18.75">
      <c r="B823" s="240" t="s">
        <v>7560</v>
      </c>
      <c r="D823" s="240" t="s">
        <v>7559</v>
      </c>
      <c r="J823" s="238" t="str">
        <f t="shared" si="12"/>
        <v/>
      </c>
    </row>
    <row r="824" spans="1:10" s="240" customFormat="1" ht="18.75">
      <c r="A824" s="247" t="s">
        <v>7558</v>
      </c>
      <c r="B824" s="247" t="s">
        <v>7557</v>
      </c>
      <c r="C824" s="247"/>
      <c r="D824" s="238" t="s">
        <v>7556</v>
      </c>
      <c r="E824" s="248"/>
      <c r="F824" s="247" t="s">
        <v>7555</v>
      </c>
      <c r="G824" s="243" t="s">
        <v>5168</v>
      </c>
      <c r="H824" s="239" t="s">
        <v>7175</v>
      </c>
      <c r="I824" s="238"/>
      <c r="J824" s="238" t="str">
        <f t="shared" si="12"/>
        <v/>
      </c>
    </row>
    <row r="825" spans="1:10" ht="18.75">
      <c r="A825" s="240"/>
      <c r="B825" s="240" t="s">
        <v>7554</v>
      </c>
      <c r="C825" s="240"/>
      <c r="D825" s="240" t="s">
        <v>7553</v>
      </c>
      <c r="E825" s="240"/>
      <c r="F825" s="240"/>
      <c r="G825" s="240"/>
      <c r="H825" s="240"/>
      <c r="I825" s="240"/>
      <c r="J825" s="238" t="str">
        <f t="shared" si="12"/>
        <v/>
      </c>
    </row>
    <row r="826" spans="1:10">
      <c r="D826" s="238" t="s">
        <v>7552</v>
      </c>
      <c r="J826" s="238" t="str">
        <f t="shared" si="12"/>
        <v/>
      </c>
    </row>
    <row r="827" spans="1:10">
      <c r="D827" s="238" t="s">
        <v>7551</v>
      </c>
      <c r="J827" s="238" t="str">
        <f t="shared" si="12"/>
        <v/>
      </c>
    </row>
    <row r="828" spans="1:10">
      <c r="D828" s="238" t="s">
        <v>7550</v>
      </c>
      <c r="J828" s="238" t="str">
        <f t="shared" si="12"/>
        <v/>
      </c>
    </row>
    <row r="829" spans="1:10" ht="18.75">
      <c r="A829" s="240"/>
      <c r="B829" s="240" t="s">
        <v>7549</v>
      </c>
      <c r="C829" s="240"/>
      <c r="D829" s="240" t="s">
        <v>7548</v>
      </c>
      <c r="E829" s="240"/>
      <c r="F829" s="240"/>
      <c r="G829" s="240"/>
      <c r="H829" s="240"/>
      <c r="I829" s="240"/>
      <c r="J829" s="238" t="str">
        <f t="shared" si="12"/>
        <v/>
      </c>
    </row>
    <row r="830" spans="1:10">
      <c r="D830" s="238" t="s">
        <v>7547</v>
      </c>
      <c r="J830" s="238" t="str">
        <f t="shared" si="12"/>
        <v/>
      </c>
    </row>
    <row r="831" spans="1:10">
      <c r="A831" s="238" t="s">
        <v>7546</v>
      </c>
      <c r="B831" s="238" t="s">
        <v>7545</v>
      </c>
      <c r="C831" s="238" t="s">
        <v>5917</v>
      </c>
      <c r="D831" s="238" t="s">
        <v>7544</v>
      </c>
      <c r="G831" s="238" t="s">
        <v>5197</v>
      </c>
      <c r="J831" s="238" t="str">
        <f t="shared" si="12"/>
        <v/>
      </c>
    </row>
    <row r="832" spans="1:10">
      <c r="A832" s="244" t="s">
        <v>7543</v>
      </c>
      <c r="B832" s="244" t="s">
        <v>7542</v>
      </c>
      <c r="C832" s="244"/>
      <c r="D832" s="238" t="s">
        <v>7541</v>
      </c>
      <c r="E832" s="245"/>
      <c r="F832" s="244"/>
      <c r="G832" s="243" t="s">
        <v>5168</v>
      </c>
      <c r="J832" s="238" t="str">
        <f t="shared" si="12"/>
        <v/>
      </c>
    </row>
    <row r="833" spans="1:10">
      <c r="A833" s="246"/>
      <c r="B833" s="246"/>
      <c r="C833" s="246"/>
      <c r="D833" s="246" t="s">
        <v>7540</v>
      </c>
      <c r="E833" s="246"/>
      <c r="F833" s="246"/>
      <c r="G833" s="246"/>
      <c r="J833" s="238" t="str">
        <f t="shared" si="12"/>
        <v/>
      </c>
    </row>
    <row r="834" spans="1:10">
      <c r="D834" s="238" t="s">
        <v>7540</v>
      </c>
      <c r="J834" s="238" t="str">
        <f t="shared" si="12"/>
        <v>OK</v>
      </c>
    </row>
    <row r="835" spans="1:10">
      <c r="D835" s="238" t="s">
        <v>7540</v>
      </c>
      <c r="J835" s="238" t="str">
        <f t="shared" ref="J835:J898" si="13">IF(D834=D835,"OK","")</f>
        <v>OK</v>
      </c>
    </row>
    <row r="836" spans="1:10">
      <c r="D836" s="238" t="s">
        <v>7539</v>
      </c>
      <c r="J836" s="238" t="str">
        <f t="shared" si="13"/>
        <v/>
      </c>
    </row>
    <row r="837" spans="1:10">
      <c r="D837" s="238" t="s">
        <v>7538</v>
      </c>
      <c r="J837" s="238" t="str">
        <f t="shared" si="13"/>
        <v/>
      </c>
    </row>
    <row r="838" spans="1:10">
      <c r="A838" s="238" t="s">
        <v>7537</v>
      </c>
      <c r="B838" s="238" t="s">
        <v>7536</v>
      </c>
      <c r="C838" s="238" t="s">
        <v>7535</v>
      </c>
      <c r="D838" s="238" t="s">
        <v>7534</v>
      </c>
      <c r="G838" s="238" t="s">
        <v>5197</v>
      </c>
      <c r="J838" s="238" t="str">
        <f t="shared" si="13"/>
        <v/>
      </c>
    </row>
    <row r="839" spans="1:10">
      <c r="A839" s="244" t="s">
        <v>7533</v>
      </c>
      <c r="B839" s="241"/>
      <c r="C839" s="241"/>
      <c r="D839" s="244" t="s">
        <v>7532</v>
      </c>
      <c r="E839" s="244"/>
      <c r="F839" s="241"/>
      <c r="G839" s="243" t="s">
        <v>5168</v>
      </c>
      <c r="J839" s="238" t="str">
        <f t="shared" si="13"/>
        <v/>
      </c>
    </row>
    <row r="840" spans="1:10">
      <c r="D840" s="238" t="s">
        <v>7531</v>
      </c>
      <c r="J840" s="238" t="str">
        <f t="shared" si="13"/>
        <v/>
      </c>
    </row>
    <row r="841" spans="1:10">
      <c r="D841" s="238" t="s">
        <v>7530</v>
      </c>
      <c r="J841" s="238" t="str">
        <f t="shared" si="13"/>
        <v/>
      </c>
    </row>
    <row r="842" spans="1:10">
      <c r="D842" s="238" t="s">
        <v>7529</v>
      </c>
      <c r="J842" s="238" t="str">
        <f t="shared" si="13"/>
        <v/>
      </c>
    </row>
    <row r="843" spans="1:10" ht="18.75">
      <c r="A843" s="240"/>
      <c r="B843" s="240" t="s">
        <v>7528</v>
      </c>
      <c r="C843" s="240"/>
      <c r="D843" s="240" t="s">
        <v>7527</v>
      </c>
      <c r="E843" s="240"/>
      <c r="F843" s="240"/>
      <c r="G843" s="240"/>
      <c r="H843" s="240"/>
      <c r="I843" s="240"/>
      <c r="J843" s="238" t="str">
        <f t="shared" si="13"/>
        <v/>
      </c>
    </row>
    <row r="844" spans="1:10">
      <c r="A844" s="238" t="s">
        <v>7526</v>
      </c>
      <c r="B844" s="238" t="s">
        <v>7525</v>
      </c>
      <c r="C844" s="238" t="s">
        <v>5212</v>
      </c>
      <c r="D844" s="238" t="s">
        <v>7524</v>
      </c>
      <c r="G844" s="238" t="s">
        <v>5197</v>
      </c>
      <c r="J844" s="238" t="str">
        <f t="shared" si="13"/>
        <v/>
      </c>
    </row>
    <row r="845" spans="1:10">
      <c r="D845" s="238" t="s">
        <v>7523</v>
      </c>
      <c r="J845" s="238" t="str">
        <f t="shared" si="13"/>
        <v/>
      </c>
    </row>
    <row r="846" spans="1:10">
      <c r="D846" s="238" t="s">
        <v>7522</v>
      </c>
      <c r="J846" s="238" t="str">
        <f t="shared" si="13"/>
        <v/>
      </c>
    </row>
    <row r="847" spans="1:10">
      <c r="D847" s="238" t="s">
        <v>7521</v>
      </c>
      <c r="J847" s="238" t="str">
        <f t="shared" si="13"/>
        <v/>
      </c>
    </row>
    <row r="848" spans="1:10">
      <c r="D848" s="238" t="s">
        <v>7520</v>
      </c>
      <c r="J848" s="238" t="str">
        <f t="shared" si="13"/>
        <v/>
      </c>
    </row>
    <row r="849" spans="1:10">
      <c r="A849" s="238" t="s">
        <v>7519</v>
      </c>
      <c r="B849" s="238" t="s">
        <v>7518</v>
      </c>
      <c r="C849" s="238" t="s">
        <v>6202</v>
      </c>
      <c r="D849" s="238" t="s">
        <v>7517</v>
      </c>
      <c r="G849" s="238" t="s">
        <v>5197</v>
      </c>
      <c r="J849" s="238" t="str">
        <f t="shared" si="13"/>
        <v/>
      </c>
    </row>
    <row r="850" spans="1:10">
      <c r="D850" s="238" t="s">
        <v>7516</v>
      </c>
      <c r="J850" s="238" t="str">
        <f t="shared" si="13"/>
        <v/>
      </c>
    </row>
    <row r="851" spans="1:10">
      <c r="D851" s="238" t="s">
        <v>7515</v>
      </c>
      <c r="J851" s="238" t="str">
        <f t="shared" si="13"/>
        <v/>
      </c>
    </row>
    <row r="852" spans="1:10">
      <c r="D852" s="238" t="s">
        <v>7514</v>
      </c>
      <c r="J852" s="238" t="str">
        <f t="shared" si="13"/>
        <v/>
      </c>
    </row>
    <row r="853" spans="1:10" ht="18.75">
      <c r="A853" s="240"/>
      <c r="B853" s="240" t="s">
        <v>7513</v>
      </c>
      <c r="C853" s="240"/>
      <c r="D853" s="240" t="s">
        <v>7512</v>
      </c>
      <c r="E853" s="240"/>
      <c r="F853" s="240"/>
      <c r="G853" s="240"/>
      <c r="H853" s="240"/>
      <c r="I853" s="240"/>
      <c r="J853" s="238" t="str">
        <f t="shared" si="13"/>
        <v/>
      </c>
    </row>
    <row r="854" spans="1:10">
      <c r="A854" s="238" t="s">
        <v>7511</v>
      </c>
      <c r="B854" s="238" t="s">
        <v>7510</v>
      </c>
      <c r="D854" s="238" t="s">
        <v>7509</v>
      </c>
      <c r="G854" s="238" t="s">
        <v>5197</v>
      </c>
      <c r="J854" s="238" t="str">
        <f t="shared" si="13"/>
        <v/>
      </c>
    </row>
    <row r="855" spans="1:10">
      <c r="A855" s="238" t="s">
        <v>7508</v>
      </c>
      <c r="B855" s="238" t="s">
        <v>7507</v>
      </c>
      <c r="C855" s="238" t="s">
        <v>6165</v>
      </c>
      <c r="D855" s="238" t="s">
        <v>7506</v>
      </c>
      <c r="G855" s="238" t="s">
        <v>5197</v>
      </c>
      <c r="J855" s="238" t="str">
        <f t="shared" si="13"/>
        <v/>
      </c>
    </row>
    <row r="856" spans="1:10">
      <c r="D856" s="238" t="s">
        <v>7505</v>
      </c>
      <c r="J856" s="238" t="str">
        <f t="shared" si="13"/>
        <v/>
      </c>
    </row>
    <row r="857" spans="1:10">
      <c r="A857" s="238" t="s">
        <v>5746</v>
      </c>
      <c r="B857" s="238" t="s">
        <v>7504</v>
      </c>
      <c r="C857" s="238" t="s">
        <v>6058</v>
      </c>
      <c r="D857" s="238" t="s">
        <v>7503</v>
      </c>
      <c r="G857" s="238" t="s">
        <v>5197</v>
      </c>
      <c r="J857" s="238" t="str">
        <f t="shared" si="13"/>
        <v/>
      </c>
    </row>
    <row r="858" spans="1:10">
      <c r="D858" s="238" t="s">
        <v>7502</v>
      </c>
      <c r="J858" s="238" t="str">
        <f t="shared" si="13"/>
        <v/>
      </c>
    </row>
    <row r="859" spans="1:10">
      <c r="D859" s="238" t="s">
        <v>7501</v>
      </c>
      <c r="J859" s="238" t="str">
        <f t="shared" si="13"/>
        <v/>
      </c>
    </row>
    <row r="860" spans="1:10">
      <c r="D860" s="238" t="s">
        <v>7500</v>
      </c>
      <c r="J860" s="238" t="str">
        <f t="shared" si="13"/>
        <v/>
      </c>
    </row>
    <row r="861" spans="1:10">
      <c r="D861" s="238" t="s">
        <v>7499</v>
      </c>
      <c r="J861" s="238" t="str">
        <f t="shared" si="13"/>
        <v/>
      </c>
    </row>
    <row r="862" spans="1:10">
      <c r="D862" s="238" t="s">
        <v>7498</v>
      </c>
      <c r="J862" s="238" t="str">
        <f t="shared" si="13"/>
        <v/>
      </c>
    </row>
    <row r="863" spans="1:10">
      <c r="A863" s="238" t="s">
        <v>5411</v>
      </c>
      <c r="B863" s="238" t="s">
        <v>7497</v>
      </c>
      <c r="C863" s="238" t="s">
        <v>5212</v>
      </c>
      <c r="D863" s="238" t="s">
        <v>7496</v>
      </c>
      <c r="G863" s="238" t="s">
        <v>5197</v>
      </c>
      <c r="J863" s="238" t="str">
        <f t="shared" si="13"/>
        <v/>
      </c>
    </row>
    <row r="864" spans="1:10">
      <c r="D864" s="238" t="s">
        <v>7495</v>
      </c>
      <c r="J864" s="238" t="str">
        <f t="shared" si="13"/>
        <v/>
      </c>
    </row>
    <row r="865" spans="1:10">
      <c r="D865" s="238" t="s">
        <v>7494</v>
      </c>
      <c r="J865" s="238" t="str">
        <f t="shared" si="13"/>
        <v/>
      </c>
    </row>
    <row r="866" spans="1:10" ht="18.75">
      <c r="A866" s="240"/>
      <c r="B866" s="240" t="s">
        <v>7493</v>
      </c>
      <c r="C866" s="240"/>
      <c r="D866" s="240" t="s">
        <v>7492</v>
      </c>
      <c r="E866" s="240"/>
      <c r="F866" s="240"/>
      <c r="G866" s="240"/>
      <c r="H866" s="240"/>
      <c r="I866" s="240"/>
      <c r="J866" s="238" t="str">
        <f t="shared" si="13"/>
        <v/>
      </c>
    </row>
    <row r="867" spans="1:10" ht="18.75">
      <c r="A867" s="240"/>
      <c r="B867" s="240" t="s">
        <v>7491</v>
      </c>
      <c r="C867" s="240"/>
      <c r="D867" s="240" t="s">
        <v>7490</v>
      </c>
      <c r="E867" s="240"/>
      <c r="F867" s="240"/>
      <c r="G867" s="240"/>
      <c r="H867" s="240"/>
      <c r="I867" s="240"/>
      <c r="J867" s="238" t="str">
        <f t="shared" si="13"/>
        <v/>
      </c>
    </row>
    <row r="868" spans="1:10" ht="18.75">
      <c r="A868" s="240"/>
      <c r="B868" s="240" t="s">
        <v>7489</v>
      </c>
      <c r="C868" s="240"/>
      <c r="D868" s="240" t="s">
        <v>7488</v>
      </c>
      <c r="E868" s="240"/>
      <c r="F868" s="240"/>
      <c r="G868" s="240"/>
      <c r="H868" s="240"/>
      <c r="I868" s="240"/>
      <c r="J868" s="238" t="str">
        <f t="shared" si="13"/>
        <v/>
      </c>
    </row>
    <row r="869" spans="1:10">
      <c r="D869" s="238" t="s">
        <v>7487</v>
      </c>
      <c r="J869" s="238" t="str">
        <f t="shared" si="13"/>
        <v/>
      </c>
    </row>
    <row r="870" spans="1:10">
      <c r="A870" s="238" t="s">
        <v>7486</v>
      </c>
      <c r="B870" s="238" t="s">
        <v>7485</v>
      </c>
      <c r="D870" s="238" t="s">
        <v>7484</v>
      </c>
      <c r="G870" s="238" t="s">
        <v>5197</v>
      </c>
      <c r="J870" s="238" t="str">
        <f t="shared" si="13"/>
        <v/>
      </c>
    </row>
    <row r="871" spans="1:10">
      <c r="A871" s="244" t="s">
        <v>7189</v>
      </c>
      <c r="B871" s="244" t="s">
        <v>7483</v>
      </c>
      <c r="C871" s="244"/>
      <c r="D871" s="238" t="s">
        <v>7482</v>
      </c>
      <c r="E871" s="245"/>
      <c r="F871" s="244" t="s">
        <v>7481</v>
      </c>
      <c r="G871" s="243" t="s">
        <v>5168</v>
      </c>
      <c r="J871" s="238" t="str">
        <f t="shared" si="13"/>
        <v/>
      </c>
    </row>
    <row r="872" spans="1:10" ht="18.75">
      <c r="A872" s="240"/>
      <c r="B872" s="240" t="s">
        <v>7480</v>
      </c>
      <c r="C872" s="240"/>
      <c r="D872" s="240" t="s">
        <v>7479</v>
      </c>
      <c r="E872" s="240"/>
      <c r="F872" s="240"/>
      <c r="G872" s="240"/>
      <c r="H872" s="240"/>
      <c r="I872" s="240"/>
      <c r="J872" s="238" t="str">
        <f t="shared" si="13"/>
        <v/>
      </c>
    </row>
    <row r="873" spans="1:10">
      <c r="A873" s="238" t="s">
        <v>7478</v>
      </c>
      <c r="B873" s="238" t="s">
        <v>7477</v>
      </c>
      <c r="D873" s="238" t="s">
        <v>7476</v>
      </c>
      <c r="G873" s="238" t="s">
        <v>5197</v>
      </c>
      <c r="J873" s="238" t="str">
        <f t="shared" si="13"/>
        <v/>
      </c>
    </row>
    <row r="874" spans="1:10">
      <c r="A874" s="244" t="s">
        <v>7475</v>
      </c>
      <c r="B874" s="244" t="s">
        <v>7474</v>
      </c>
      <c r="C874" s="244"/>
      <c r="D874" s="238" t="s">
        <v>7473</v>
      </c>
      <c r="E874" s="245"/>
      <c r="F874" s="244" t="s">
        <v>7472</v>
      </c>
      <c r="G874" s="243" t="s">
        <v>5168</v>
      </c>
      <c r="J874" s="238" t="str">
        <f t="shared" si="13"/>
        <v/>
      </c>
    </row>
    <row r="875" spans="1:10" ht="18.75">
      <c r="A875" s="240"/>
      <c r="B875" s="240" t="s">
        <v>7471</v>
      </c>
      <c r="C875" s="240"/>
      <c r="D875" s="240" t="s">
        <v>7470</v>
      </c>
      <c r="E875" s="240"/>
      <c r="F875" s="240"/>
      <c r="G875" s="240"/>
      <c r="H875" s="240"/>
      <c r="I875" s="240"/>
      <c r="J875" s="238" t="str">
        <f t="shared" si="13"/>
        <v/>
      </c>
    </row>
    <row r="876" spans="1:10">
      <c r="D876" s="238" t="s">
        <v>7469</v>
      </c>
      <c r="J876" s="238" t="str">
        <f t="shared" si="13"/>
        <v/>
      </c>
    </row>
    <row r="877" spans="1:10">
      <c r="D877" s="238" t="s">
        <v>7468</v>
      </c>
      <c r="J877" s="238" t="str">
        <f t="shared" si="13"/>
        <v/>
      </c>
    </row>
    <row r="878" spans="1:10">
      <c r="D878" s="238" t="s">
        <v>7467</v>
      </c>
      <c r="J878" s="238" t="str">
        <f t="shared" si="13"/>
        <v/>
      </c>
    </row>
    <row r="879" spans="1:10">
      <c r="D879" s="238" t="s">
        <v>7466</v>
      </c>
      <c r="J879" s="238" t="str">
        <f t="shared" si="13"/>
        <v/>
      </c>
    </row>
    <row r="880" spans="1:10">
      <c r="A880" s="238" t="s">
        <v>6228</v>
      </c>
      <c r="B880" s="238" t="s">
        <v>7465</v>
      </c>
      <c r="C880" s="238" t="s">
        <v>7464</v>
      </c>
      <c r="D880" s="238" t="s">
        <v>7463</v>
      </c>
      <c r="G880" s="238" t="s">
        <v>5197</v>
      </c>
      <c r="J880" s="238" t="str">
        <f t="shared" si="13"/>
        <v/>
      </c>
    </row>
    <row r="881" spans="1:10">
      <c r="D881" s="238" t="s">
        <v>7462</v>
      </c>
      <c r="J881" s="238" t="str">
        <f t="shared" si="13"/>
        <v/>
      </c>
    </row>
    <row r="882" spans="1:10">
      <c r="D882" s="238" t="s">
        <v>7461</v>
      </c>
      <c r="J882" s="238" t="str">
        <f t="shared" si="13"/>
        <v/>
      </c>
    </row>
    <row r="883" spans="1:10">
      <c r="A883" s="238" t="s">
        <v>7460</v>
      </c>
      <c r="B883" s="238" t="s">
        <v>7459</v>
      </c>
      <c r="D883" s="238" t="s">
        <v>7458</v>
      </c>
      <c r="G883" s="238" t="s">
        <v>5197</v>
      </c>
      <c r="J883" s="238" t="str">
        <f t="shared" si="13"/>
        <v/>
      </c>
    </row>
    <row r="884" spans="1:10">
      <c r="D884" s="238" t="s">
        <v>7457</v>
      </c>
      <c r="J884" s="238" t="str">
        <f t="shared" si="13"/>
        <v/>
      </c>
    </row>
    <row r="885" spans="1:10">
      <c r="D885" s="238" t="s">
        <v>7456</v>
      </c>
      <c r="J885" s="238" t="str">
        <f t="shared" si="13"/>
        <v/>
      </c>
    </row>
    <row r="886" spans="1:10">
      <c r="D886" s="238" t="s">
        <v>7455</v>
      </c>
      <c r="J886" s="238" t="str">
        <f t="shared" si="13"/>
        <v/>
      </c>
    </row>
    <row r="887" spans="1:10">
      <c r="D887" s="238" t="s">
        <v>7454</v>
      </c>
      <c r="J887" s="238" t="str">
        <f t="shared" si="13"/>
        <v/>
      </c>
    </row>
    <row r="888" spans="1:10">
      <c r="D888" s="238" t="s">
        <v>7453</v>
      </c>
      <c r="J888" s="238" t="str">
        <f t="shared" si="13"/>
        <v/>
      </c>
    </row>
    <row r="889" spans="1:10">
      <c r="D889" s="238" t="s">
        <v>7452</v>
      </c>
      <c r="J889" s="238" t="str">
        <f t="shared" si="13"/>
        <v/>
      </c>
    </row>
    <row r="890" spans="1:10">
      <c r="A890" s="238" t="s">
        <v>7451</v>
      </c>
      <c r="B890" s="238" t="s">
        <v>7450</v>
      </c>
      <c r="D890" s="238" t="s">
        <v>7449</v>
      </c>
      <c r="G890" s="238" t="s">
        <v>5197</v>
      </c>
      <c r="J890" s="238" t="str">
        <f t="shared" si="13"/>
        <v/>
      </c>
    </row>
    <row r="891" spans="1:10">
      <c r="D891" s="238" t="s">
        <v>7448</v>
      </c>
      <c r="J891" s="238" t="str">
        <f t="shared" si="13"/>
        <v/>
      </c>
    </row>
    <row r="892" spans="1:10">
      <c r="A892" s="238" t="s">
        <v>7447</v>
      </c>
      <c r="B892" s="238" t="s">
        <v>7446</v>
      </c>
      <c r="C892" s="238" t="s">
        <v>5212</v>
      </c>
      <c r="D892" s="238" t="s">
        <v>7445</v>
      </c>
      <c r="G892" s="238" t="s">
        <v>5197</v>
      </c>
      <c r="J892" s="238" t="str">
        <f t="shared" si="13"/>
        <v/>
      </c>
    </row>
    <row r="893" spans="1:10">
      <c r="D893" s="238" t="s">
        <v>7444</v>
      </c>
      <c r="J893" s="238" t="str">
        <f t="shared" si="13"/>
        <v/>
      </c>
    </row>
    <row r="894" spans="1:10">
      <c r="A894" s="238" t="s">
        <v>7443</v>
      </c>
      <c r="B894" s="238" t="s">
        <v>7442</v>
      </c>
      <c r="C894" s="238" t="s">
        <v>6058</v>
      </c>
      <c r="D894" s="238" t="s">
        <v>7441</v>
      </c>
      <c r="G894" s="238" t="s">
        <v>5197</v>
      </c>
      <c r="J894" s="238" t="str">
        <f t="shared" si="13"/>
        <v/>
      </c>
    </row>
    <row r="895" spans="1:10">
      <c r="A895" s="238" t="s">
        <v>7440</v>
      </c>
      <c r="B895" s="238" t="s">
        <v>7439</v>
      </c>
      <c r="D895" s="238" t="s">
        <v>7438</v>
      </c>
      <c r="G895" s="238" t="s">
        <v>5197</v>
      </c>
      <c r="J895" s="238" t="str">
        <f t="shared" si="13"/>
        <v/>
      </c>
    </row>
    <row r="896" spans="1:10">
      <c r="A896" s="238" t="s">
        <v>7437</v>
      </c>
      <c r="B896" s="238" t="s">
        <v>7436</v>
      </c>
      <c r="C896" s="238" t="s">
        <v>7435</v>
      </c>
      <c r="D896" s="238" t="s">
        <v>7434</v>
      </c>
      <c r="G896" s="238" t="s">
        <v>5197</v>
      </c>
      <c r="J896" s="238" t="str">
        <f t="shared" si="13"/>
        <v/>
      </c>
    </row>
    <row r="897" spans="1:10" ht="18.75">
      <c r="A897" s="240"/>
      <c r="B897" s="240" t="s">
        <v>7433</v>
      </c>
      <c r="C897" s="240"/>
      <c r="D897" s="240" t="s">
        <v>7432</v>
      </c>
      <c r="E897" s="240"/>
      <c r="F897" s="240"/>
      <c r="G897" s="240"/>
      <c r="H897" s="240"/>
      <c r="I897" s="240"/>
      <c r="J897" s="238" t="str">
        <f t="shared" si="13"/>
        <v/>
      </c>
    </row>
    <row r="898" spans="1:10">
      <c r="D898" s="238" t="s">
        <v>7431</v>
      </c>
      <c r="J898" s="238" t="str">
        <f t="shared" si="13"/>
        <v/>
      </c>
    </row>
    <row r="899" spans="1:10">
      <c r="D899" s="238" t="s">
        <v>7430</v>
      </c>
      <c r="J899" s="238" t="str">
        <f t="shared" ref="J899:J962" si="14">IF(D898=D899,"OK","")</f>
        <v/>
      </c>
    </row>
    <row r="900" spans="1:10">
      <c r="A900" s="238" t="s">
        <v>7429</v>
      </c>
      <c r="B900" s="238" t="s">
        <v>7428</v>
      </c>
      <c r="C900" s="238" t="s">
        <v>5212</v>
      </c>
      <c r="D900" s="238" t="s">
        <v>7427</v>
      </c>
      <c r="G900" s="238" t="s">
        <v>5197</v>
      </c>
      <c r="H900" s="239" t="s">
        <v>7175</v>
      </c>
      <c r="J900" s="238" t="str">
        <f t="shared" si="14"/>
        <v/>
      </c>
    </row>
    <row r="901" spans="1:10">
      <c r="D901" s="238" t="s">
        <v>7426</v>
      </c>
      <c r="J901" s="238" t="str">
        <f t="shared" si="14"/>
        <v/>
      </c>
    </row>
    <row r="902" spans="1:10">
      <c r="D902" s="238" t="s">
        <v>7425</v>
      </c>
      <c r="J902" s="238" t="str">
        <f t="shared" si="14"/>
        <v/>
      </c>
    </row>
    <row r="903" spans="1:10">
      <c r="D903" s="238" t="s">
        <v>7424</v>
      </c>
      <c r="J903" s="238" t="str">
        <f t="shared" si="14"/>
        <v/>
      </c>
    </row>
    <row r="904" spans="1:10">
      <c r="D904" s="238" t="s">
        <v>7423</v>
      </c>
      <c r="J904" s="238" t="str">
        <f t="shared" si="14"/>
        <v/>
      </c>
    </row>
    <row r="905" spans="1:10">
      <c r="A905" s="253" t="s">
        <v>7374</v>
      </c>
      <c r="B905" s="244" t="s">
        <v>7422</v>
      </c>
      <c r="C905" s="244"/>
      <c r="D905" s="238" t="s">
        <v>7421</v>
      </c>
      <c r="E905" s="245"/>
      <c r="F905" s="244" t="s">
        <v>7420</v>
      </c>
      <c r="G905" s="243" t="s">
        <v>5168</v>
      </c>
      <c r="H905" s="239" t="s">
        <v>7175</v>
      </c>
      <c r="J905" s="238" t="str">
        <f t="shared" si="14"/>
        <v/>
      </c>
    </row>
    <row r="906" spans="1:10" ht="18.75">
      <c r="A906" s="240"/>
      <c r="B906" s="240" t="s">
        <v>7419</v>
      </c>
      <c r="C906" s="240"/>
      <c r="D906" s="240" t="s">
        <v>7418</v>
      </c>
      <c r="E906" s="240"/>
      <c r="F906" s="240"/>
      <c r="G906" s="240"/>
      <c r="H906" s="240"/>
      <c r="I906" s="240"/>
      <c r="J906" s="238" t="str">
        <f t="shared" si="14"/>
        <v/>
      </c>
    </row>
    <row r="907" spans="1:10" ht="18.75">
      <c r="A907" s="240"/>
      <c r="B907" s="240" t="s">
        <v>7417</v>
      </c>
      <c r="C907" s="240"/>
      <c r="D907" s="240" t="s">
        <v>7416</v>
      </c>
      <c r="E907" s="240"/>
      <c r="F907" s="240"/>
      <c r="G907" s="240"/>
      <c r="H907" s="240"/>
      <c r="I907" s="240"/>
      <c r="J907" s="238" t="str">
        <f t="shared" si="14"/>
        <v/>
      </c>
    </row>
    <row r="908" spans="1:10" ht="18.75">
      <c r="A908" s="240"/>
      <c r="B908" s="240" t="s">
        <v>5342</v>
      </c>
      <c r="C908" s="240"/>
      <c r="D908" s="240" t="s">
        <v>7414</v>
      </c>
      <c r="E908" s="240"/>
      <c r="F908" s="240"/>
      <c r="G908" s="240"/>
      <c r="H908" s="240"/>
      <c r="I908" s="240"/>
      <c r="J908" s="238" t="str">
        <f t="shared" si="14"/>
        <v/>
      </c>
    </row>
    <row r="909" spans="1:10" ht="18.75">
      <c r="A909" s="240"/>
      <c r="B909" s="240" t="s">
        <v>7415</v>
      </c>
      <c r="C909" s="240"/>
      <c r="D909" s="240" t="s">
        <v>7414</v>
      </c>
      <c r="E909" s="240"/>
      <c r="F909" s="240"/>
      <c r="G909" s="240"/>
      <c r="H909" s="240"/>
      <c r="I909" s="240"/>
      <c r="J909" s="238" t="str">
        <f t="shared" si="14"/>
        <v>OK</v>
      </c>
    </row>
    <row r="910" spans="1:10" ht="18.75">
      <c r="A910" s="240"/>
      <c r="B910" s="240" t="s">
        <v>7415</v>
      </c>
      <c r="C910" s="240"/>
      <c r="D910" s="240" t="s">
        <v>7414</v>
      </c>
      <c r="E910" s="240"/>
      <c r="F910" s="240"/>
      <c r="G910" s="240"/>
      <c r="H910" s="240"/>
      <c r="I910" s="240"/>
      <c r="J910" s="238" t="str">
        <f t="shared" si="14"/>
        <v>OK</v>
      </c>
    </row>
    <row r="911" spans="1:10" ht="18.75">
      <c r="A911" s="240"/>
      <c r="B911" s="240" t="s">
        <v>7413</v>
      </c>
      <c r="C911" s="240"/>
      <c r="D911" s="240" t="s">
        <v>7412</v>
      </c>
      <c r="E911" s="240"/>
      <c r="F911" s="240"/>
      <c r="G911" s="240"/>
      <c r="H911" s="240"/>
      <c r="I911" s="240"/>
      <c r="J911" s="238" t="str">
        <f t="shared" si="14"/>
        <v/>
      </c>
    </row>
    <row r="912" spans="1:10">
      <c r="D912" s="238" t="s">
        <v>7411</v>
      </c>
      <c r="J912" s="238" t="str">
        <f t="shared" si="14"/>
        <v/>
      </c>
    </row>
    <row r="913" spans="1:10">
      <c r="A913" s="238" t="s">
        <v>7410</v>
      </c>
      <c r="B913" s="238" t="s">
        <v>7409</v>
      </c>
      <c r="D913" s="238" t="s">
        <v>7408</v>
      </c>
      <c r="G913" s="238" t="s">
        <v>5197</v>
      </c>
      <c r="H913" s="239" t="s">
        <v>7175</v>
      </c>
      <c r="J913" s="238" t="str">
        <f t="shared" si="14"/>
        <v/>
      </c>
    </row>
    <row r="914" spans="1:10" ht="18.75">
      <c r="A914" s="240"/>
      <c r="B914" s="240" t="s">
        <v>7407</v>
      </c>
      <c r="C914" s="240"/>
      <c r="D914" s="240" t="s">
        <v>7406</v>
      </c>
      <c r="E914" s="240"/>
      <c r="F914" s="240"/>
      <c r="G914" s="240"/>
      <c r="H914" s="240"/>
      <c r="I914" s="240"/>
      <c r="J914" s="238" t="str">
        <f t="shared" si="14"/>
        <v/>
      </c>
    </row>
    <row r="915" spans="1:10" ht="18.75">
      <c r="A915" s="240"/>
      <c r="B915" s="240" t="s">
        <v>7405</v>
      </c>
      <c r="C915" s="240"/>
      <c r="D915" s="240" t="s">
        <v>7404</v>
      </c>
      <c r="E915" s="240"/>
      <c r="F915" s="240"/>
      <c r="G915" s="240"/>
      <c r="H915" s="240"/>
      <c r="I915" s="240"/>
      <c r="J915" s="238" t="str">
        <f t="shared" si="14"/>
        <v/>
      </c>
    </row>
    <row r="916" spans="1:10">
      <c r="A916" s="238" t="s">
        <v>7403</v>
      </c>
      <c r="B916" s="238" t="s">
        <v>7402</v>
      </c>
      <c r="D916" s="238" t="s">
        <v>7401</v>
      </c>
      <c r="G916" s="238" t="s">
        <v>5197</v>
      </c>
      <c r="H916" s="239" t="s">
        <v>7175</v>
      </c>
      <c r="J916" s="238" t="str">
        <f t="shared" si="14"/>
        <v/>
      </c>
    </row>
    <row r="917" spans="1:10">
      <c r="A917" s="247" t="s">
        <v>7400</v>
      </c>
      <c r="B917" s="247" t="s">
        <v>7399</v>
      </c>
      <c r="C917" s="247"/>
      <c r="D917" s="238" t="s">
        <v>7398</v>
      </c>
      <c r="E917" s="248"/>
      <c r="F917" s="247" t="s">
        <v>7397</v>
      </c>
      <c r="G917" s="243" t="s">
        <v>5168</v>
      </c>
      <c r="H917" s="239" t="s">
        <v>7175</v>
      </c>
      <c r="J917" s="238" t="str">
        <f t="shared" si="14"/>
        <v>OK</v>
      </c>
    </row>
    <row r="918" spans="1:10">
      <c r="A918" s="244" t="s">
        <v>7396</v>
      </c>
      <c r="B918" s="244" t="s">
        <v>7395</v>
      </c>
      <c r="C918" s="244"/>
      <c r="D918" s="238" t="s">
        <v>7394</v>
      </c>
      <c r="E918" s="245"/>
      <c r="F918" s="244"/>
      <c r="G918" s="243" t="s">
        <v>5168</v>
      </c>
      <c r="H918" s="239" t="s">
        <v>7175</v>
      </c>
      <c r="J918" s="238" t="str">
        <f t="shared" si="14"/>
        <v/>
      </c>
    </row>
    <row r="919" spans="1:10">
      <c r="A919" s="238" t="s">
        <v>7393</v>
      </c>
      <c r="B919" s="238" t="s">
        <v>7392</v>
      </c>
      <c r="C919" s="238" t="s">
        <v>6304</v>
      </c>
      <c r="D919" s="238" t="s">
        <v>7391</v>
      </c>
      <c r="G919" s="238" t="s">
        <v>5197</v>
      </c>
      <c r="H919" s="239" t="s">
        <v>7175</v>
      </c>
      <c r="J919" s="238" t="str">
        <f t="shared" si="14"/>
        <v/>
      </c>
    </row>
    <row r="920" spans="1:10" ht="18.75">
      <c r="A920" s="240"/>
      <c r="B920" s="240" t="s">
        <v>7390</v>
      </c>
      <c r="C920" s="240"/>
      <c r="D920" s="240" t="s">
        <v>7389</v>
      </c>
      <c r="E920" s="240"/>
      <c r="F920" s="240"/>
      <c r="G920" s="240"/>
      <c r="H920" s="240"/>
      <c r="I920" s="240"/>
      <c r="J920" s="238" t="str">
        <f t="shared" si="14"/>
        <v/>
      </c>
    </row>
    <row r="921" spans="1:10">
      <c r="A921" s="238" t="s">
        <v>7388</v>
      </c>
      <c r="B921" s="238" t="s">
        <v>7387</v>
      </c>
      <c r="D921" s="238" t="s">
        <v>7386</v>
      </c>
      <c r="G921" s="238" t="s">
        <v>5197</v>
      </c>
      <c r="H921" s="239" t="s">
        <v>7175</v>
      </c>
      <c r="J921" s="238" t="str">
        <f t="shared" si="14"/>
        <v/>
      </c>
    </row>
    <row r="922" spans="1:10">
      <c r="A922" s="238" t="s">
        <v>5881</v>
      </c>
      <c r="B922" s="238" t="s">
        <v>7385</v>
      </c>
      <c r="D922" s="238" t="s">
        <v>7384</v>
      </c>
      <c r="G922" s="238" t="s">
        <v>5197</v>
      </c>
      <c r="H922" s="239" t="s">
        <v>7175</v>
      </c>
      <c r="J922" s="238" t="str">
        <f t="shared" si="14"/>
        <v/>
      </c>
    </row>
    <row r="923" spans="1:10">
      <c r="A923" s="238" t="s">
        <v>7383</v>
      </c>
      <c r="B923" s="238" t="s">
        <v>7382</v>
      </c>
      <c r="D923" s="238" t="s">
        <v>7381</v>
      </c>
      <c r="G923" s="238" t="s">
        <v>5197</v>
      </c>
      <c r="H923" s="239" t="s">
        <v>7175</v>
      </c>
      <c r="J923" s="238" t="str">
        <f t="shared" si="14"/>
        <v/>
      </c>
    </row>
    <row r="924" spans="1:10" ht="18.75">
      <c r="A924" s="240"/>
      <c r="B924" s="240" t="s">
        <v>7380</v>
      </c>
      <c r="C924" s="240"/>
      <c r="D924" s="240" t="s">
        <v>7379</v>
      </c>
      <c r="E924" s="240"/>
      <c r="F924" s="240"/>
      <c r="G924" s="240"/>
      <c r="H924" s="240"/>
      <c r="I924" s="240"/>
      <c r="J924" s="238" t="str">
        <f t="shared" si="14"/>
        <v/>
      </c>
    </row>
    <row r="925" spans="1:10">
      <c r="A925" s="238" t="s">
        <v>7378</v>
      </c>
      <c r="B925" s="238" t="s">
        <v>7377</v>
      </c>
      <c r="C925" s="238" t="s">
        <v>5199</v>
      </c>
      <c r="D925" s="238" t="s">
        <v>7376</v>
      </c>
      <c r="G925" s="238" t="s">
        <v>5197</v>
      </c>
      <c r="H925" s="239" t="s">
        <v>7175</v>
      </c>
      <c r="J925" s="238" t="str">
        <f t="shared" si="14"/>
        <v/>
      </c>
    </row>
    <row r="926" spans="1:10">
      <c r="D926" s="238" t="s">
        <v>7375</v>
      </c>
      <c r="J926" s="238" t="str">
        <f t="shared" si="14"/>
        <v/>
      </c>
    </row>
    <row r="927" spans="1:10">
      <c r="A927" s="253" t="s">
        <v>7374</v>
      </c>
      <c r="B927" s="244" t="s">
        <v>7373</v>
      </c>
      <c r="C927" s="244"/>
      <c r="D927" s="238" t="s">
        <v>7372</v>
      </c>
      <c r="E927" s="245"/>
      <c r="F927" s="244" t="s">
        <v>7371</v>
      </c>
      <c r="G927" s="243" t="s">
        <v>5168</v>
      </c>
      <c r="H927" s="239" t="s">
        <v>7175</v>
      </c>
      <c r="J927" s="238" t="str">
        <f t="shared" si="14"/>
        <v/>
      </c>
    </row>
    <row r="928" spans="1:10" ht="18.75">
      <c r="A928" s="240"/>
      <c r="B928" s="240" t="s">
        <v>7370</v>
      </c>
      <c r="C928" s="240"/>
      <c r="D928" s="240" t="s">
        <v>7369</v>
      </c>
      <c r="E928" s="240"/>
      <c r="F928" s="240"/>
      <c r="G928" s="240"/>
      <c r="H928" s="240"/>
      <c r="I928" s="240"/>
      <c r="J928" s="238" t="str">
        <f t="shared" si="14"/>
        <v/>
      </c>
    </row>
    <row r="929" spans="1:10" ht="18.75">
      <c r="A929" s="240"/>
      <c r="B929" s="240" t="s">
        <v>7368</v>
      </c>
      <c r="C929" s="240"/>
      <c r="D929" s="240" t="s">
        <v>7367</v>
      </c>
      <c r="E929" s="240"/>
      <c r="F929" s="240"/>
      <c r="G929" s="240"/>
      <c r="H929" s="240"/>
      <c r="I929" s="240"/>
      <c r="J929" s="238" t="str">
        <f t="shared" si="14"/>
        <v/>
      </c>
    </row>
    <row r="930" spans="1:10" ht="18.75">
      <c r="A930" s="240"/>
      <c r="B930" s="240" t="s">
        <v>7366</v>
      </c>
      <c r="C930" s="240"/>
      <c r="D930" s="240" t="s">
        <v>7365</v>
      </c>
      <c r="E930" s="240"/>
      <c r="F930" s="240"/>
      <c r="G930" s="240"/>
      <c r="H930" s="240"/>
      <c r="I930" s="240"/>
      <c r="J930" s="238" t="str">
        <f t="shared" si="14"/>
        <v/>
      </c>
    </row>
    <row r="931" spans="1:10">
      <c r="A931" s="244" t="s">
        <v>7364</v>
      </c>
      <c r="B931" s="244" t="s">
        <v>7363</v>
      </c>
      <c r="C931" s="244"/>
      <c r="D931" s="238" t="s">
        <v>7362</v>
      </c>
      <c r="E931" s="245"/>
      <c r="F931" s="244" t="s">
        <v>7361</v>
      </c>
      <c r="G931" s="243" t="s">
        <v>5168</v>
      </c>
      <c r="H931" s="239" t="s">
        <v>7175</v>
      </c>
      <c r="J931" s="238" t="str">
        <f t="shared" si="14"/>
        <v/>
      </c>
    </row>
    <row r="932" spans="1:10">
      <c r="A932" s="244" t="s">
        <v>7360</v>
      </c>
      <c r="B932" s="244" t="s">
        <v>7359</v>
      </c>
      <c r="C932" s="244"/>
      <c r="D932" s="238" t="s">
        <v>7358</v>
      </c>
      <c r="E932" s="245"/>
      <c r="F932" s="244" t="s">
        <v>7357</v>
      </c>
      <c r="G932" s="243" t="s">
        <v>5168</v>
      </c>
      <c r="H932" s="239" t="s">
        <v>7175</v>
      </c>
      <c r="J932" s="238" t="str">
        <f t="shared" si="14"/>
        <v/>
      </c>
    </row>
    <row r="933" spans="1:10" ht="18.75">
      <c r="A933" s="240"/>
      <c r="B933" s="240" t="s">
        <v>7356</v>
      </c>
      <c r="C933" s="240"/>
      <c r="D933" s="240" t="s">
        <v>7355</v>
      </c>
      <c r="E933" s="240"/>
      <c r="F933" s="240"/>
      <c r="G933" s="240"/>
      <c r="H933" s="240"/>
      <c r="I933" s="240"/>
      <c r="J933" s="238" t="str">
        <f t="shared" si="14"/>
        <v/>
      </c>
    </row>
    <row r="934" spans="1:10">
      <c r="A934" s="238" t="s">
        <v>7354</v>
      </c>
      <c r="B934" s="238" t="s">
        <v>7353</v>
      </c>
      <c r="D934" s="238" t="s">
        <v>7352</v>
      </c>
      <c r="G934" s="238" t="s">
        <v>5197</v>
      </c>
      <c r="H934" s="239" t="s">
        <v>7175</v>
      </c>
      <c r="J934" s="238" t="str">
        <f t="shared" si="14"/>
        <v/>
      </c>
    </row>
    <row r="935" spans="1:10" ht="18.75">
      <c r="A935" s="240"/>
      <c r="B935" s="240" t="s">
        <v>7351</v>
      </c>
      <c r="C935" s="240"/>
      <c r="D935" s="240" t="s">
        <v>7350</v>
      </c>
      <c r="E935" s="240"/>
      <c r="F935" s="240"/>
      <c r="G935" s="240"/>
      <c r="H935" s="240"/>
      <c r="I935" s="240"/>
      <c r="J935" s="238" t="str">
        <f t="shared" si="14"/>
        <v/>
      </c>
    </row>
    <row r="936" spans="1:10" ht="18.75">
      <c r="A936" s="240"/>
      <c r="B936" s="240" t="s">
        <v>7349</v>
      </c>
      <c r="C936" s="240"/>
      <c r="D936" s="240" t="s">
        <v>7348</v>
      </c>
      <c r="E936" s="240"/>
      <c r="F936" s="240"/>
      <c r="G936" s="240"/>
      <c r="H936" s="240"/>
      <c r="I936" s="240"/>
      <c r="J936" s="238" t="str">
        <f t="shared" si="14"/>
        <v/>
      </c>
    </row>
    <row r="937" spans="1:10">
      <c r="A937" s="246"/>
      <c r="B937" s="254"/>
      <c r="C937" s="254"/>
      <c r="D937" s="238" t="s">
        <v>7347</v>
      </c>
      <c r="F937" s="246"/>
      <c r="G937" s="246"/>
      <c r="H937" s="239" t="s">
        <v>7175</v>
      </c>
      <c r="J937" s="238" t="str">
        <f t="shared" si="14"/>
        <v/>
      </c>
    </row>
    <row r="938" spans="1:10">
      <c r="D938" s="238" t="s">
        <v>7346</v>
      </c>
      <c r="J938" s="238" t="str">
        <f t="shared" si="14"/>
        <v>OK</v>
      </c>
    </row>
    <row r="939" spans="1:10" ht="18.75">
      <c r="A939" s="240"/>
      <c r="B939" s="240" t="s">
        <v>7345</v>
      </c>
      <c r="C939" s="240"/>
      <c r="D939" s="240" t="s">
        <v>7344</v>
      </c>
      <c r="E939" s="240"/>
      <c r="F939" s="240"/>
      <c r="G939" s="240"/>
      <c r="H939" s="240"/>
      <c r="I939" s="240"/>
      <c r="J939" s="238" t="str">
        <f t="shared" si="14"/>
        <v/>
      </c>
    </row>
    <row r="940" spans="1:10">
      <c r="A940" s="244" t="s">
        <v>7343</v>
      </c>
      <c r="B940" s="244" t="s">
        <v>7342</v>
      </c>
      <c r="C940" s="244"/>
      <c r="D940" s="238" t="s">
        <v>7341</v>
      </c>
      <c r="E940" s="245"/>
      <c r="F940" s="244"/>
      <c r="G940" s="243" t="s">
        <v>5168</v>
      </c>
      <c r="H940" s="239" t="s">
        <v>7175</v>
      </c>
      <c r="J940" s="238" t="str">
        <f t="shared" si="14"/>
        <v/>
      </c>
    </row>
    <row r="941" spans="1:10">
      <c r="A941" s="238" t="s">
        <v>7340</v>
      </c>
      <c r="B941" s="238" t="s">
        <v>7339</v>
      </c>
      <c r="C941" s="238" t="s">
        <v>5379</v>
      </c>
      <c r="D941" s="238" t="s">
        <v>7338</v>
      </c>
      <c r="G941" s="238" t="s">
        <v>5197</v>
      </c>
      <c r="H941" s="239" t="s">
        <v>7175</v>
      </c>
      <c r="J941" s="238" t="str">
        <f t="shared" si="14"/>
        <v/>
      </c>
    </row>
    <row r="942" spans="1:10" ht="18.75">
      <c r="A942" s="240"/>
      <c r="B942" s="240" t="s">
        <v>7337</v>
      </c>
      <c r="C942" s="240"/>
      <c r="D942" s="240" t="s">
        <v>7336</v>
      </c>
      <c r="E942" s="240"/>
      <c r="F942" s="240"/>
      <c r="G942" s="240"/>
      <c r="H942" s="240"/>
      <c r="I942" s="240"/>
      <c r="J942" s="238" t="str">
        <f t="shared" si="14"/>
        <v/>
      </c>
    </row>
    <row r="943" spans="1:10">
      <c r="A943" s="244"/>
      <c r="B943" s="244" t="s">
        <v>7335</v>
      </c>
      <c r="C943" s="244"/>
      <c r="D943" s="238" t="s">
        <v>7334</v>
      </c>
      <c r="E943" s="245"/>
      <c r="F943" s="244" t="s">
        <v>7333</v>
      </c>
      <c r="G943" s="243" t="s">
        <v>5168</v>
      </c>
      <c r="H943" s="239" t="s">
        <v>7175</v>
      </c>
      <c r="J943" s="238" t="str">
        <f t="shared" si="14"/>
        <v/>
      </c>
    </row>
    <row r="944" spans="1:10">
      <c r="A944" s="247" t="s">
        <v>7332</v>
      </c>
      <c r="B944" s="247" t="s">
        <v>7331</v>
      </c>
      <c r="C944" s="247"/>
      <c r="D944" s="238" t="s">
        <v>7330</v>
      </c>
      <c r="E944" s="248"/>
      <c r="F944" s="247" t="s">
        <v>7329</v>
      </c>
      <c r="G944" s="243" t="s">
        <v>5168</v>
      </c>
      <c r="H944" s="239" t="s">
        <v>7175</v>
      </c>
      <c r="J944" s="238" t="str">
        <f t="shared" si="14"/>
        <v/>
      </c>
    </row>
    <row r="945" spans="1:10">
      <c r="D945" s="238" t="s">
        <v>7328</v>
      </c>
      <c r="J945" s="238" t="str">
        <f t="shared" si="14"/>
        <v>OK</v>
      </c>
    </row>
    <row r="946" spans="1:10">
      <c r="D946" s="238" t="s">
        <v>7328</v>
      </c>
      <c r="J946" s="238" t="str">
        <f t="shared" si="14"/>
        <v>OK</v>
      </c>
    </row>
    <row r="947" spans="1:10">
      <c r="A947" s="243" t="s">
        <v>5687</v>
      </c>
      <c r="B947" s="243" t="s">
        <v>7327</v>
      </c>
      <c r="C947" s="243"/>
      <c r="D947" s="252" t="s">
        <v>7326</v>
      </c>
      <c r="E947" s="257"/>
      <c r="F947" s="243"/>
      <c r="G947" s="243" t="s">
        <v>5168</v>
      </c>
      <c r="J947" s="238" t="str">
        <f t="shared" si="14"/>
        <v/>
      </c>
    </row>
    <row r="948" spans="1:10">
      <c r="A948" s="238" t="s">
        <v>7325</v>
      </c>
      <c r="B948" s="238" t="s">
        <v>7324</v>
      </c>
      <c r="C948" s="238" t="s">
        <v>7323</v>
      </c>
      <c r="D948" s="238" t="s">
        <v>7322</v>
      </c>
      <c r="G948" s="238" t="s">
        <v>5197</v>
      </c>
      <c r="J948" s="238" t="str">
        <f t="shared" si="14"/>
        <v/>
      </c>
    </row>
    <row r="949" spans="1:10" ht="18.75">
      <c r="A949" s="240"/>
      <c r="B949" s="240" t="s">
        <v>7321</v>
      </c>
      <c r="C949" s="240"/>
      <c r="D949" s="240" t="s">
        <v>7320</v>
      </c>
      <c r="E949" s="240"/>
      <c r="F949" s="240"/>
      <c r="G949" s="240"/>
      <c r="H949" s="240"/>
      <c r="I949" s="240"/>
      <c r="J949" s="238" t="str">
        <f t="shared" si="14"/>
        <v/>
      </c>
    </row>
    <row r="950" spans="1:10">
      <c r="D950" s="238" t="s">
        <v>7319</v>
      </c>
      <c r="J950" s="238" t="str">
        <f t="shared" si="14"/>
        <v/>
      </c>
    </row>
    <row r="951" spans="1:10">
      <c r="A951" s="238" t="s">
        <v>7318</v>
      </c>
      <c r="B951" s="238" t="s">
        <v>7317</v>
      </c>
      <c r="D951" s="238" t="s">
        <v>7316</v>
      </c>
      <c r="G951" s="238" t="s">
        <v>5197</v>
      </c>
      <c r="J951" s="238" t="str">
        <f t="shared" si="14"/>
        <v/>
      </c>
    </row>
    <row r="952" spans="1:10">
      <c r="A952" s="238" t="s">
        <v>6861</v>
      </c>
      <c r="B952" s="238" t="s">
        <v>7315</v>
      </c>
      <c r="D952" s="238" t="s">
        <v>7314</v>
      </c>
      <c r="G952" s="238" t="s">
        <v>5197</v>
      </c>
      <c r="J952" s="238" t="str">
        <f t="shared" si="14"/>
        <v/>
      </c>
    </row>
    <row r="953" spans="1:10">
      <c r="D953" s="238" t="s">
        <v>7313</v>
      </c>
      <c r="J953" s="238" t="str">
        <f t="shared" si="14"/>
        <v/>
      </c>
    </row>
    <row r="954" spans="1:10">
      <c r="D954" s="238" t="s">
        <v>7312</v>
      </c>
      <c r="J954" s="238" t="str">
        <f t="shared" si="14"/>
        <v/>
      </c>
    </row>
    <row r="955" spans="1:10">
      <c r="D955" s="238" t="s">
        <v>7311</v>
      </c>
      <c r="J955" s="238" t="str">
        <f t="shared" si="14"/>
        <v/>
      </c>
    </row>
    <row r="956" spans="1:10">
      <c r="A956" s="238" t="s">
        <v>7310</v>
      </c>
      <c r="B956" s="238" t="s">
        <v>7309</v>
      </c>
      <c r="C956" s="238" t="s">
        <v>6165</v>
      </c>
      <c r="D956" s="238" t="s">
        <v>7308</v>
      </c>
      <c r="G956" s="238" t="s">
        <v>5197</v>
      </c>
      <c r="J956" s="238" t="str">
        <f t="shared" si="14"/>
        <v/>
      </c>
    </row>
    <row r="957" spans="1:10">
      <c r="A957" s="238" t="s">
        <v>7307</v>
      </c>
      <c r="B957" s="238" t="s">
        <v>7306</v>
      </c>
      <c r="C957" s="238" t="s">
        <v>6908</v>
      </c>
      <c r="D957" s="238" t="s">
        <v>7305</v>
      </c>
      <c r="G957" s="238" t="s">
        <v>5197</v>
      </c>
      <c r="J957" s="238" t="str">
        <f t="shared" si="14"/>
        <v/>
      </c>
    </row>
    <row r="958" spans="1:10">
      <c r="A958" s="238" t="s">
        <v>7304</v>
      </c>
      <c r="B958" s="238" t="s">
        <v>7303</v>
      </c>
      <c r="C958" s="238" t="s">
        <v>5212</v>
      </c>
      <c r="D958" s="238" t="s">
        <v>7302</v>
      </c>
      <c r="G958" s="238" t="s">
        <v>5197</v>
      </c>
      <c r="J958" s="238" t="str">
        <f t="shared" si="14"/>
        <v/>
      </c>
    </row>
    <row r="959" spans="1:10">
      <c r="D959" s="238" t="s">
        <v>7301</v>
      </c>
      <c r="J959" s="238" t="str">
        <f t="shared" si="14"/>
        <v/>
      </c>
    </row>
    <row r="960" spans="1:10" ht="18.75">
      <c r="A960" s="240"/>
      <c r="B960" s="240" t="s">
        <v>7300</v>
      </c>
      <c r="C960" s="240"/>
      <c r="D960" s="240" t="s">
        <v>7299</v>
      </c>
      <c r="E960" s="240"/>
      <c r="F960" s="240"/>
      <c r="G960" s="240"/>
      <c r="H960" s="240"/>
      <c r="I960" s="240"/>
      <c r="J960" s="238" t="str">
        <f t="shared" si="14"/>
        <v/>
      </c>
    </row>
    <row r="961" spans="1:10">
      <c r="D961" s="238" t="s">
        <v>7298</v>
      </c>
      <c r="J961" s="238" t="str">
        <f t="shared" si="14"/>
        <v/>
      </c>
    </row>
    <row r="962" spans="1:10">
      <c r="D962" s="238" t="s">
        <v>7297</v>
      </c>
      <c r="J962" s="238" t="str">
        <f t="shared" si="14"/>
        <v/>
      </c>
    </row>
    <row r="963" spans="1:10" ht="18.75">
      <c r="A963" s="240"/>
      <c r="B963" s="240" t="s">
        <v>7296</v>
      </c>
      <c r="C963" s="240"/>
      <c r="D963" s="240" t="s">
        <v>7295</v>
      </c>
      <c r="E963" s="240"/>
      <c r="F963" s="240"/>
      <c r="G963" s="240"/>
      <c r="H963" s="240"/>
      <c r="I963" s="240"/>
      <c r="J963" s="238" t="str">
        <f t="shared" ref="J963:J1026" si="15">IF(D962=D963,"OK","")</f>
        <v/>
      </c>
    </row>
    <row r="964" spans="1:10">
      <c r="A964" s="238" t="s">
        <v>7294</v>
      </c>
      <c r="B964" s="238" t="s">
        <v>5857</v>
      </c>
      <c r="D964" s="238" t="s">
        <v>7293</v>
      </c>
      <c r="G964" s="238" t="s">
        <v>5197</v>
      </c>
      <c r="J964" s="238" t="str">
        <f t="shared" si="15"/>
        <v/>
      </c>
    </row>
    <row r="965" spans="1:10">
      <c r="D965" s="238" t="s">
        <v>7292</v>
      </c>
      <c r="J965" s="238" t="str">
        <f t="shared" si="15"/>
        <v/>
      </c>
    </row>
    <row r="966" spans="1:10">
      <c r="D966" s="238" t="s">
        <v>7291</v>
      </c>
      <c r="J966" s="238" t="str">
        <f t="shared" si="15"/>
        <v/>
      </c>
    </row>
    <row r="967" spans="1:10">
      <c r="D967" s="238" t="s">
        <v>7290</v>
      </c>
      <c r="J967" s="238" t="str">
        <f t="shared" si="15"/>
        <v/>
      </c>
    </row>
    <row r="968" spans="1:10">
      <c r="D968" s="238" t="s">
        <v>7289</v>
      </c>
      <c r="J968" s="238" t="str">
        <f t="shared" si="15"/>
        <v/>
      </c>
    </row>
    <row r="969" spans="1:10">
      <c r="A969" s="238" t="s">
        <v>7288</v>
      </c>
      <c r="B969" s="238" t="s">
        <v>7287</v>
      </c>
      <c r="C969" s="238" t="s">
        <v>7286</v>
      </c>
      <c r="D969" s="238" t="s">
        <v>7285</v>
      </c>
      <c r="G969" s="238" t="s">
        <v>5197</v>
      </c>
      <c r="J969" s="238" t="str">
        <f t="shared" si="15"/>
        <v/>
      </c>
    </row>
    <row r="970" spans="1:10">
      <c r="D970" s="238" t="s">
        <v>7284</v>
      </c>
      <c r="J970" s="238" t="str">
        <f t="shared" si="15"/>
        <v/>
      </c>
    </row>
    <row r="971" spans="1:10">
      <c r="D971" s="238" t="s">
        <v>7283</v>
      </c>
      <c r="J971" s="238" t="str">
        <f t="shared" si="15"/>
        <v/>
      </c>
    </row>
    <row r="972" spans="1:10">
      <c r="A972" s="238" t="s">
        <v>7282</v>
      </c>
      <c r="B972" s="238" t="s">
        <v>7281</v>
      </c>
      <c r="C972" s="238" t="s">
        <v>5322</v>
      </c>
      <c r="D972" s="238" t="s">
        <v>7280</v>
      </c>
      <c r="G972" s="238" t="s">
        <v>5197</v>
      </c>
      <c r="J972" s="238" t="str">
        <f t="shared" si="15"/>
        <v/>
      </c>
    </row>
    <row r="973" spans="1:10">
      <c r="D973" s="238" t="s">
        <v>7279</v>
      </c>
      <c r="J973" s="238" t="str">
        <f t="shared" si="15"/>
        <v/>
      </c>
    </row>
    <row r="974" spans="1:10">
      <c r="D974" s="238" t="s">
        <v>7278</v>
      </c>
      <c r="J974" s="238" t="str">
        <f t="shared" si="15"/>
        <v/>
      </c>
    </row>
    <row r="975" spans="1:10">
      <c r="D975" s="238" t="s">
        <v>7277</v>
      </c>
      <c r="J975" s="238" t="str">
        <f t="shared" si="15"/>
        <v/>
      </c>
    </row>
    <row r="976" spans="1:10">
      <c r="D976" s="238" t="s">
        <v>7276</v>
      </c>
      <c r="J976" s="238" t="str">
        <f t="shared" si="15"/>
        <v/>
      </c>
    </row>
    <row r="977" spans="1:10">
      <c r="D977" s="238" t="s">
        <v>7275</v>
      </c>
      <c r="J977" s="238" t="str">
        <f t="shared" si="15"/>
        <v/>
      </c>
    </row>
    <row r="978" spans="1:10">
      <c r="D978" s="238" t="s">
        <v>7274</v>
      </c>
      <c r="J978" s="238" t="str">
        <f t="shared" si="15"/>
        <v/>
      </c>
    </row>
    <row r="979" spans="1:10">
      <c r="D979" s="238" t="s">
        <v>7273</v>
      </c>
      <c r="J979" s="238" t="str">
        <f t="shared" si="15"/>
        <v/>
      </c>
    </row>
    <row r="980" spans="1:10" ht="18.75">
      <c r="A980" s="240"/>
      <c r="B980" s="240" t="s">
        <v>7272</v>
      </c>
      <c r="C980" s="240"/>
      <c r="D980" s="240" t="s">
        <v>7271</v>
      </c>
      <c r="E980" s="240"/>
      <c r="F980" s="240"/>
      <c r="G980" s="240"/>
      <c r="H980" s="240"/>
      <c r="I980" s="240"/>
      <c r="J980" s="238" t="str">
        <f t="shared" si="15"/>
        <v/>
      </c>
    </row>
    <row r="981" spans="1:10">
      <c r="A981" s="238" t="s">
        <v>6398</v>
      </c>
      <c r="B981" s="238" t="s">
        <v>7270</v>
      </c>
      <c r="C981" s="238" t="s">
        <v>5379</v>
      </c>
      <c r="D981" s="238" t="s">
        <v>7269</v>
      </c>
      <c r="G981" s="238" t="s">
        <v>5197</v>
      </c>
      <c r="J981" s="238" t="str">
        <f t="shared" si="15"/>
        <v/>
      </c>
    </row>
    <row r="982" spans="1:10" ht="18.75">
      <c r="A982" s="240"/>
      <c r="B982" s="240" t="s">
        <v>7268</v>
      </c>
      <c r="C982" s="240"/>
      <c r="D982" s="240" t="s">
        <v>7267</v>
      </c>
      <c r="E982" s="240"/>
      <c r="F982" s="240"/>
      <c r="G982" s="240"/>
      <c r="H982" s="240"/>
      <c r="I982" s="240"/>
      <c r="J982" s="238" t="str">
        <f t="shared" si="15"/>
        <v/>
      </c>
    </row>
    <row r="983" spans="1:10" ht="18.75">
      <c r="A983" s="240"/>
      <c r="B983" s="240" t="s">
        <v>7266</v>
      </c>
      <c r="C983" s="240"/>
      <c r="D983" s="240" t="s">
        <v>7265</v>
      </c>
      <c r="E983" s="240"/>
      <c r="F983" s="240"/>
      <c r="G983" s="240"/>
      <c r="H983" s="240"/>
      <c r="I983" s="240"/>
      <c r="J983" s="238" t="str">
        <f t="shared" si="15"/>
        <v/>
      </c>
    </row>
    <row r="984" spans="1:10">
      <c r="D984" s="238" t="s">
        <v>7264</v>
      </c>
      <c r="J984" s="238" t="str">
        <f t="shared" si="15"/>
        <v/>
      </c>
    </row>
    <row r="985" spans="1:10">
      <c r="D985" s="238" t="s">
        <v>7263</v>
      </c>
      <c r="J985" s="238" t="str">
        <f t="shared" si="15"/>
        <v/>
      </c>
    </row>
    <row r="986" spans="1:10">
      <c r="D986" s="238" t="s">
        <v>7262</v>
      </c>
      <c r="J986" s="238" t="str">
        <f t="shared" si="15"/>
        <v/>
      </c>
    </row>
    <row r="987" spans="1:10">
      <c r="D987" s="238" t="s">
        <v>7261</v>
      </c>
      <c r="J987" s="238" t="str">
        <f t="shared" si="15"/>
        <v/>
      </c>
    </row>
    <row r="988" spans="1:10">
      <c r="A988" s="238" t="s">
        <v>7260</v>
      </c>
      <c r="B988" s="238" t="s">
        <v>7259</v>
      </c>
      <c r="D988" s="238" t="s">
        <v>7258</v>
      </c>
      <c r="G988" s="238" t="s">
        <v>5197</v>
      </c>
      <c r="J988" s="238" t="str">
        <f t="shared" si="15"/>
        <v/>
      </c>
    </row>
    <row r="989" spans="1:10">
      <c r="D989" s="238" t="s">
        <v>7257</v>
      </c>
      <c r="J989" s="238" t="str">
        <f t="shared" si="15"/>
        <v/>
      </c>
    </row>
    <row r="990" spans="1:10">
      <c r="D990" s="238" t="s">
        <v>7256</v>
      </c>
      <c r="J990" s="238" t="str">
        <f t="shared" si="15"/>
        <v/>
      </c>
    </row>
    <row r="991" spans="1:10">
      <c r="A991" s="238" t="s">
        <v>7226</v>
      </c>
      <c r="B991" s="238" t="s">
        <v>7255</v>
      </c>
      <c r="D991" s="238" t="s">
        <v>7254</v>
      </c>
      <c r="G991" s="238" t="s">
        <v>5197</v>
      </c>
      <c r="J991" s="238" t="str">
        <f t="shared" si="15"/>
        <v/>
      </c>
    </row>
    <row r="992" spans="1:10">
      <c r="A992" s="238" t="s">
        <v>7253</v>
      </c>
      <c r="B992" s="238" t="s">
        <v>7252</v>
      </c>
      <c r="D992" s="238" t="s">
        <v>7251</v>
      </c>
      <c r="G992" s="238" t="s">
        <v>5197</v>
      </c>
      <c r="J992" s="238" t="str">
        <f t="shared" si="15"/>
        <v/>
      </c>
    </row>
    <row r="993" spans="1:10">
      <c r="D993" s="238" t="s">
        <v>7250</v>
      </c>
      <c r="J993" s="238" t="str">
        <f t="shared" si="15"/>
        <v/>
      </c>
    </row>
    <row r="994" spans="1:10">
      <c r="D994" s="238" t="s">
        <v>7249</v>
      </c>
      <c r="J994" s="238" t="str">
        <f t="shared" si="15"/>
        <v/>
      </c>
    </row>
    <row r="995" spans="1:10">
      <c r="D995" s="238" t="s">
        <v>7248</v>
      </c>
      <c r="J995" s="238" t="str">
        <f t="shared" si="15"/>
        <v/>
      </c>
    </row>
    <row r="996" spans="1:10">
      <c r="D996" s="238" t="s">
        <v>7247</v>
      </c>
      <c r="J996" s="238" t="str">
        <f t="shared" si="15"/>
        <v/>
      </c>
    </row>
    <row r="997" spans="1:10">
      <c r="D997" s="238" t="s">
        <v>7246</v>
      </c>
      <c r="J997" s="238" t="str">
        <f t="shared" si="15"/>
        <v/>
      </c>
    </row>
    <row r="998" spans="1:10">
      <c r="A998" s="244" t="s">
        <v>7245</v>
      </c>
      <c r="B998" s="244" t="s">
        <v>7244</v>
      </c>
      <c r="C998" s="244"/>
      <c r="D998" s="238" t="s">
        <v>7243</v>
      </c>
      <c r="E998" s="244"/>
      <c r="F998" s="247" t="s">
        <v>7242</v>
      </c>
      <c r="G998" s="243" t="s">
        <v>5168</v>
      </c>
      <c r="J998" s="238" t="str">
        <f t="shared" si="15"/>
        <v/>
      </c>
    </row>
    <row r="999" spans="1:10">
      <c r="D999" s="238" t="s">
        <v>7241</v>
      </c>
      <c r="J999" s="238" t="str">
        <f t="shared" si="15"/>
        <v/>
      </c>
    </row>
    <row r="1000" spans="1:10">
      <c r="D1000" s="238" t="s">
        <v>7240</v>
      </c>
      <c r="J1000" s="238" t="str">
        <f t="shared" si="15"/>
        <v/>
      </c>
    </row>
    <row r="1001" spans="1:10">
      <c r="A1001" s="238" t="s">
        <v>7239</v>
      </c>
      <c r="B1001" s="238" t="s">
        <v>7238</v>
      </c>
      <c r="C1001" s="238" t="s">
        <v>6165</v>
      </c>
      <c r="D1001" s="238" t="s">
        <v>7237</v>
      </c>
      <c r="G1001" s="238" t="s">
        <v>5197</v>
      </c>
      <c r="J1001" s="238" t="str">
        <f t="shared" si="15"/>
        <v/>
      </c>
    </row>
    <row r="1002" spans="1:10">
      <c r="D1002" s="238" t="s">
        <v>7236</v>
      </c>
      <c r="J1002" s="238" t="str">
        <f t="shared" si="15"/>
        <v/>
      </c>
    </row>
    <row r="1003" spans="1:10">
      <c r="D1003" s="238" t="s">
        <v>7235</v>
      </c>
      <c r="J1003" s="238" t="str">
        <f t="shared" si="15"/>
        <v/>
      </c>
    </row>
    <row r="1004" spans="1:10">
      <c r="D1004" s="238" t="s">
        <v>7234</v>
      </c>
      <c r="J1004" s="238" t="str">
        <f t="shared" si="15"/>
        <v/>
      </c>
    </row>
    <row r="1005" spans="1:10">
      <c r="D1005" s="238" t="s">
        <v>7233</v>
      </c>
      <c r="J1005" s="238" t="str">
        <f t="shared" si="15"/>
        <v/>
      </c>
    </row>
    <row r="1006" spans="1:10">
      <c r="D1006" s="238" t="s">
        <v>7232</v>
      </c>
      <c r="J1006" s="238" t="str">
        <f t="shared" si="15"/>
        <v/>
      </c>
    </row>
    <row r="1007" spans="1:10">
      <c r="D1007" s="238" t="s">
        <v>7231</v>
      </c>
      <c r="J1007" s="238" t="str">
        <f t="shared" si="15"/>
        <v/>
      </c>
    </row>
    <row r="1008" spans="1:10">
      <c r="A1008" s="238" t="s">
        <v>7230</v>
      </c>
      <c r="B1008" s="238" t="s">
        <v>7229</v>
      </c>
      <c r="C1008" s="238" t="s">
        <v>7228</v>
      </c>
      <c r="D1008" s="238" t="s">
        <v>7227</v>
      </c>
      <c r="G1008" s="238" t="s">
        <v>5197</v>
      </c>
      <c r="J1008" s="238" t="str">
        <f t="shared" si="15"/>
        <v/>
      </c>
    </row>
    <row r="1009" spans="1:10">
      <c r="A1009" s="238" t="s">
        <v>7226</v>
      </c>
      <c r="B1009" s="238" t="s">
        <v>7225</v>
      </c>
      <c r="D1009" s="238" t="s">
        <v>7224</v>
      </c>
      <c r="G1009" s="238" t="s">
        <v>5197</v>
      </c>
      <c r="J1009" s="238" t="str">
        <f t="shared" si="15"/>
        <v/>
      </c>
    </row>
    <row r="1010" spans="1:10">
      <c r="D1010" s="238" t="s">
        <v>7223</v>
      </c>
      <c r="J1010" s="238" t="str">
        <f t="shared" si="15"/>
        <v/>
      </c>
    </row>
    <row r="1011" spans="1:10">
      <c r="D1011" s="238" t="s">
        <v>7222</v>
      </c>
      <c r="J1011" s="238" t="str">
        <f t="shared" si="15"/>
        <v/>
      </c>
    </row>
    <row r="1012" spans="1:10">
      <c r="D1012" s="238" t="s">
        <v>7221</v>
      </c>
      <c r="J1012" s="238" t="str">
        <f t="shared" si="15"/>
        <v/>
      </c>
    </row>
    <row r="1013" spans="1:10">
      <c r="D1013" s="238" t="s">
        <v>7220</v>
      </c>
      <c r="J1013" s="238" t="str">
        <f t="shared" si="15"/>
        <v/>
      </c>
    </row>
    <row r="1014" spans="1:10">
      <c r="A1014" s="238" t="s">
        <v>7219</v>
      </c>
      <c r="B1014" s="238" t="s">
        <v>7218</v>
      </c>
      <c r="C1014" s="238" t="s">
        <v>7217</v>
      </c>
      <c r="D1014" s="238" t="s">
        <v>7216</v>
      </c>
      <c r="G1014" s="238" t="s">
        <v>5197</v>
      </c>
      <c r="J1014" s="238" t="str">
        <f t="shared" si="15"/>
        <v/>
      </c>
    </row>
    <row r="1015" spans="1:10">
      <c r="A1015" s="246"/>
      <c r="B1015" s="254"/>
      <c r="C1015" s="254"/>
      <c r="D1015" s="238" t="s">
        <v>7215</v>
      </c>
      <c r="F1015" s="246"/>
      <c r="G1015" s="246"/>
      <c r="J1015" s="238" t="str">
        <f t="shared" si="15"/>
        <v/>
      </c>
    </row>
    <row r="1016" spans="1:10">
      <c r="D1016" s="238" t="s">
        <v>7214</v>
      </c>
      <c r="J1016" s="238" t="str">
        <f t="shared" si="15"/>
        <v>OK</v>
      </c>
    </row>
    <row r="1017" spans="1:10">
      <c r="D1017" s="238" t="s">
        <v>7214</v>
      </c>
      <c r="J1017" s="238" t="str">
        <f t="shared" si="15"/>
        <v>OK</v>
      </c>
    </row>
    <row r="1018" spans="1:10">
      <c r="D1018" s="238" t="s">
        <v>7213</v>
      </c>
      <c r="J1018" s="238" t="str">
        <f t="shared" si="15"/>
        <v/>
      </c>
    </row>
    <row r="1019" spans="1:10">
      <c r="D1019" s="238" t="s">
        <v>7212</v>
      </c>
      <c r="J1019" s="238" t="str">
        <f t="shared" si="15"/>
        <v/>
      </c>
    </row>
    <row r="1020" spans="1:10">
      <c r="A1020" s="246"/>
      <c r="B1020" s="246"/>
      <c r="C1020" s="246"/>
      <c r="D1020" s="246" t="s">
        <v>7211</v>
      </c>
      <c r="E1020" s="246"/>
      <c r="F1020" s="246"/>
      <c r="G1020" s="246"/>
      <c r="J1020" s="238" t="str">
        <f t="shared" si="15"/>
        <v/>
      </c>
    </row>
    <row r="1021" spans="1:10">
      <c r="D1021" s="238" t="s">
        <v>7211</v>
      </c>
      <c r="J1021" s="238" t="str">
        <f t="shared" si="15"/>
        <v>OK</v>
      </c>
    </row>
    <row r="1022" spans="1:10">
      <c r="D1022" s="238" t="s">
        <v>7211</v>
      </c>
      <c r="J1022" s="238" t="str">
        <f t="shared" si="15"/>
        <v>OK</v>
      </c>
    </row>
    <row r="1023" spans="1:10">
      <c r="A1023" s="246"/>
      <c r="B1023" s="246"/>
      <c r="C1023" s="246"/>
      <c r="D1023" s="246" t="s">
        <v>7210</v>
      </c>
      <c r="E1023" s="246"/>
      <c r="F1023" s="246"/>
      <c r="G1023" s="246"/>
      <c r="J1023" s="238" t="str">
        <f t="shared" si="15"/>
        <v/>
      </c>
    </row>
    <row r="1024" spans="1:10">
      <c r="D1024" s="238" t="s">
        <v>7210</v>
      </c>
      <c r="J1024" s="238" t="str">
        <f t="shared" si="15"/>
        <v>OK</v>
      </c>
    </row>
    <row r="1025" spans="1:10">
      <c r="D1025" s="238" t="s">
        <v>7210</v>
      </c>
      <c r="J1025" s="238" t="str">
        <f t="shared" si="15"/>
        <v>OK</v>
      </c>
    </row>
    <row r="1026" spans="1:10">
      <c r="D1026" s="238" t="s">
        <v>7209</v>
      </c>
      <c r="J1026" s="238" t="str">
        <f t="shared" si="15"/>
        <v/>
      </c>
    </row>
    <row r="1027" spans="1:10">
      <c r="D1027" s="238" t="s">
        <v>7208</v>
      </c>
      <c r="J1027" s="238" t="str">
        <f t="shared" ref="J1027:J1090" si="16">IF(D1026=D1027,"OK","")</f>
        <v/>
      </c>
    </row>
    <row r="1028" spans="1:10">
      <c r="A1028" s="238" t="s">
        <v>7207</v>
      </c>
      <c r="B1028" s="238" t="s">
        <v>7206</v>
      </c>
      <c r="D1028" s="238" t="s">
        <v>7205</v>
      </c>
      <c r="G1028" s="238" t="s">
        <v>5197</v>
      </c>
      <c r="H1028" s="239" t="s">
        <v>7175</v>
      </c>
      <c r="J1028" s="238" t="str">
        <f t="shared" si="16"/>
        <v/>
      </c>
    </row>
    <row r="1029" spans="1:10" ht="18.75">
      <c r="A1029" s="240"/>
      <c r="B1029" s="240" t="s">
        <v>7204</v>
      </c>
      <c r="C1029" s="240"/>
      <c r="D1029" s="240" t="s">
        <v>7203</v>
      </c>
      <c r="E1029" s="240"/>
      <c r="F1029" s="240"/>
      <c r="G1029" s="240"/>
      <c r="H1029" s="240"/>
      <c r="I1029" s="240"/>
      <c r="J1029" s="238" t="str">
        <f t="shared" si="16"/>
        <v/>
      </c>
    </row>
    <row r="1030" spans="1:10">
      <c r="A1030" s="247" t="s">
        <v>7202</v>
      </c>
      <c r="B1030" s="247" t="s">
        <v>7201</v>
      </c>
      <c r="C1030" s="247"/>
      <c r="D1030" s="238" t="s">
        <v>7200</v>
      </c>
      <c r="E1030" s="248"/>
      <c r="F1030" s="247" t="s">
        <v>7199</v>
      </c>
      <c r="G1030" s="243" t="s">
        <v>5168</v>
      </c>
      <c r="H1030" s="239" t="s">
        <v>7175</v>
      </c>
      <c r="J1030" s="238" t="str">
        <f t="shared" si="16"/>
        <v/>
      </c>
    </row>
    <row r="1031" spans="1:10" ht="18.75">
      <c r="A1031" s="240"/>
      <c r="B1031" s="240" t="s">
        <v>7198</v>
      </c>
      <c r="C1031" s="240"/>
      <c r="D1031" s="240" t="s">
        <v>7197</v>
      </c>
      <c r="E1031" s="240"/>
      <c r="F1031" s="240"/>
      <c r="G1031" s="240"/>
      <c r="H1031" s="240"/>
      <c r="I1031" s="240"/>
      <c r="J1031" s="238" t="str">
        <f t="shared" si="16"/>
        <v>OK</v>
      </c>
    </row>
    <row r="1032" spans="1:10" ht="18.75">
      <c r="A1032" s="240"/>
      <c r="B1032" s="240" t="s">
        <v>7196</v>
      </c>
      <c r="C1032" s="240"/>
      <c r="D1032" s="240" t="s">
        <v>7195</v>
      </c>
      <c r="E1032" s="240"/>
      <c r="F1032" s="240"/>
      <c r="G1032" s="240"/>
      <c r="H1032" s="240"/>
      <c r="I1032" s="240"/>
      <c r="J1032" s="238" t="str">
        <f t="shared" si="16"/>
        <v/>
      </c>
    </row>
    <row r="1033" spans="1:10">
      <c r="D1033" s="238" t="s">
        <v>7194</v>
      </c>
      <c r="J1033" s="238" t="str">
        <f t="shared" si="16"/>
        <v/>
      </c>
    </row>
    <row r="1034" spans="1:10">
      <c r="D1034" s="238" t="s">
        <v>7193</v>
      </c>
      <c r="J1034" s="238" t="str">
        <f t="shared" si="16"/>
        <v/>
      </c>
    </row>
    <row r="1035" spans="1:10">
      <c r="D1035" s="238" t="s">
        <v>7192</v>
      </c>
      <c r="J1035" s="238" t="str">
        <f t="shared" si="16"/>
        <v/>
      </c>
    </row>
    <row r="1036" spans="1:10">
      <c r="D1036" s="238" t="s">
        <v>7191</v>
      </c>
      <c r="J1036" s="238" t="str">
        <f t="shared" si="16"/>
        <v/>
      </c>
    </row>
    <row r="1037" spans="1:10">
      <c r="D1037" s="238" t="s">
        <v>7190</v>
      </c>
      <c r="J1037" s="238" t="str">
        <f t="shared" si="16"/>
        <v/>
      </c>
    </row>
    <row r="1038" spans="1:10">
      <c r="A1038" s="244" t="s">
        <v>7189</v>
      </c>
      <c r="B1038" s="244" t="s">
        <v>7188</v>
      </c>
      <c r="C1038" s="244"/>
      <c r="D1038" s="238" t="s">
        <v>7187</v>
      </c>
      <c r="E1038" s="245"/>
      <c r="F1038" s="244" t="s">
        <v>7186</v>
      </c>
      <c r="G1038" s="243" t="s">
        <v>5168</v>
      </c>
      <c r="H1038" s="239" t="s">
        <v>7175</v>
      </c>
      <c r="J1038" s="238" t="str">
        <f t="shared" si="16"/>
        <v/>
      </c>
    </row>
    <row r="1039" spans="1:10">
      <c r="A1039" s="244" t="s">
        <v>5221</v>
      </c>
      <c r="B1039" s="244" t="s">
        <v>7185</v>
      </c>
      <c r="C1039" s="244"/>
      <c r="D1039" s="238" t="s">
        <v>7184</v>
      </c>
      <c r="E1039" s="245"/>
      <c r="F1039" s="244"/>
      <c r="G1039" s="243" t="s">
        <v>5168</v>
      </c>
      <c r="H1039" s="239" t="s">
        <v>7175</v>
      </c>
      <c r="J1039" s="238" t="str">
        <f t="shared" si="16"/>
        <v/>
      </c>
    </row>
    <row r="1040" spans="1:10">
      <c r="A1040" s="238" t="s">
        <v>7183</v>
      </c>
      <c r="B1040" s="238" t="s">
        <v>7182</v>
      </c>
      <c r="D1040" s="238" t="s">
        <v>7181</v>
      </c>
      <c r="G1040" s="238" t="s">
        <v>5197</v>
      </c>
      <c r="H1040" s="239" t="s">
        <v>7175</v>
      </c>
      <c r="J1040" s="238" t="str">
        <f t="shared" si="16"/>
        <v/>
      </c>
    </row>
    <row r="1041" spans="1:10">
      <c r="D1041" s="238" t="s">
        <v>7180</v>
      </c>
      <c r="J1041" s="238" t="str">
        <f t="shared" si="16"/>
        <v/>
      </c>
    </row>
    <row r="1042" spans="1:10">
      <c r="A1042" s="244" t="s">
        <v>7179</v>
      </c>
      <c r="B1042" s="244" t="s">
        <v>7178</v>
      </c>
      <c r="C1042" s="244"/>
      <c r="D1042" s="238" t="s">
        <v>7177</v>
      </c>
      <c r="E1042" s="245"/>
      <c r="F1042" s="244" t="s">
        <v>7176</v>
      </c>
      <c r="G1042" s="243" t="s">
        <v>5168</v>
      </c>
      <c r="H1042" s="239" t="s">
        <v>7175</v>
      </c>
      <c r="J1042" s="238" t="str">
        <f t="shared" si="16"/>
        <v/>
      </c>
    </row>
    <row r="1043" spans="1:10">
      <c r="A1043" s="238" t="s">
        <v>7174</v>
      </c>
      <c r="B1043" s="238" t="s">
        <v>7173</v>
      </c>
      <c r="D1043" s="238" t="s">
        <v>7172</v>
      </c>
      <c r="G1043" s="238" t="s">
        <v>5197</v>
      </c>
      <c r="J1043" s="238" t="str">
        <f t="shared" si="16"/>
        <v/>
      </c>
    </row>
    <row r="1044" spans="1:10">
      <c r="A1044" s="238" t="s">
        <v>7171</v>
      </c>
      <c r="B1044" s="238" t="s">
        <v>7170</v>
      </c>
      <c r="C1044" s="238" t="s">
        <v>5379</v>
      </c>
      <c r="D1044" s="238" t="s">
        <v>7169</v>
      </c>
      <c r="G1044" s="238" t="s">
        <v>5197</v>
      </c>
      <c r="J1044" s="238" t="str">
        <f t="shared" si="16"/>
        <v/>
      </c>
    </row>
    <row r="1045" spans="1:10">
      <c r="D1045" s="238" t="s">
        <v>7168</v>
      </c>
      <c r="J1045" s="238" t="str">
        <f t="shared" si="16"/>
        <v/>
      </c>
    </row>
    <row r="1046" spans="1:10">
      <c r="A1046" s="238" t="s">
        <v>7022</v>
      </c>
      <c r="B1046" s="238" t="s">
        <v>7167</v>
      </c>
      <c r="D1046" s="238" t="s">
        <v>7166</v>
      </c>
      <c r="G1046" s="238" t="s">
        <v>5197</v>
      </c>
      <c r="J1046" s="238" t="str">
        <f t="shared" si="16"/>
        <v/>
      </c>
    </row>
    <row r="1047" spans="1:10">
      <c r="D1047" s="238" t="s">
        <v>7165</v>
      </c>
      <c r="J1047" s="238" t="str">
        <f t="shared" si="16"/>
        <v/>
      </c>
    </row>
    <row r="1048" spans="1:10">
      <c r="A1048" s="238" t="s">
        <v>6906</v>
      </c>
      <c r="B1048" s="238" t="s">
        <v>5952</v>
      </c>
      <c r="D1048" s="238" t="s">
        <v>7164</v>
      </c>
      <c r="G1048" s="238" t="s">
        <v>5197</v>
      </c>
      <c r="J1048" s="238" t="str">
        <f t="shared" si="16"/>
        <v/>
      </c>
    </row>
    <row r="1049" spans="1:10">
      <c r="D1049" s="238" t="s">
        <v>7163</v>
      </c>
      <c r="J1049" s="238" t="str">
        <f t="shared" si="16"/>
        <v/>
      </c>
    </row>
    <row r="1050" spans="1:10">
      <c r="D1050" s="238" t="s">
        <v>7162</v>
      </c>
      <c r="J1050" s="238" t="str">
        <f t="shared" si="16"/>
        <v/>
      </c>
    </row>
    <row r="1051" spans="1:10">
      <c r="D1051" s="238" t="s">
        <v>7161</v>
      </c>
      <c r="J1051" s="238" t="str">
        <f t="shared" si="16"/>
        <v/>
      </c>
    </row>
    <row r="1052" spans="1:10">
      <c r="D1052" s="238" t="s">
        <v>7160</v>
      </c>
      <c r="J1052" s="238" t="str">
        <f t="shared" si="16"/>
        <v/>
      </c>
    </row>
    <row r="1053" spans="1:10">
      <c r="A1053" s="238" t="s">
        <v>7159</v>
      </c>
      <c r="B1053" s="238" t="s">
        <v>7158</v>
      </c>
      <c r="C1053" s="238" t="s">
        <v>6304</v>
      </c>
      <c r="D1053" s="238" t="s">
        <v>7157</v>
      </c>
      <c r="G1053" s="238" t="s">
        <v>5197</v>
      </c>
      <c r="J1053" s="238" t="str">
        <f t="shared" si="16"/>
        <v/>
      </c>
    </row>
    <row r="1054" spans="1:10">
      <c r="D1054" s="238" t="s">
        <v>7156</v>
      </c>
      <c r="J1054" s="238" t="str">
        <f t="shared" si="16"/>
        <v/>
      </c>
    </row>
    <row r="1055" spans="1:10">
      <c r="A1055" s="238" t="s">
        <v>7155</v>
      </c>
      <c r="B1055" s="238" t="s">
        <v>7154</v>
      </c>
      <c r="D1055" s="238" t="s">
        <v>7153</v>
      </c>
      <c r="G1055" s="238" t="s">
        <v>5197</v>
      </c>
      <c r="J1055" s="238" t="str">
        <f t="shared" si="16"/>
        <v/>
      </c>
    </row>
    <row r="1056" spans="1:10" ht="18.75">
      <c r="A1056" s="240"/>
      <c r="B1056" s="240" t="s">
        <v>7152</v>
      </c>
      <c r="C1056" s="240"/>
      <c r="D1056" s="240" t="s">
        <v>7151</v>
      </c>
      <c r="E1056" s="240"/>
      <c r="F1056" s="240"/>
      <c r="G1056" s="240"/>
      <c r="H1056" s="240"/>
      <c r="I1056" s="240"/>
      <c r="J1056" s="238" t="str">
        <f t="shared" si="16"/>
        <v/>
      </c>
    </row>
    <row r="1057" spans="1:10">
      <c r="A1057" s="238" t="s">
        <v>7150</v>
      </c>
      <c r="B1057" s="238" t="s">
        <v>5857</v>
      </c>
      <c r="D1057" s="238" t="s">
        <v>7149</v>
      </c>
      <c r="G1057" s="238" t="s">
        <v>5197</v>
      </c>
      <c r="J1057" s="238" t="str">
        <f t="shared" si="16"/>
        <v/>
      </c>
    </row>
    <row r="1058" spans="1:10">
      <c r="D1058" s="238" t="s">
        <v>7148</v>
      </c>
      <c r="J1058" s="238" t="str">
        <f t="shared" si="16"/>
        <v/>
      </c>
    </row>
    <row r="1059" spans="1:10">
      <c r="D1059" s="238" t="s">
        <v>7147</v>
      </c>
      <c r="J1059" s="238" t="str">
        <f t="shared" si="16"/>
        <v/>
      </c>
    </row>
    <row r="1060" spans="1:10">
      <c r="A1060" s="238" t="s">
        <v>7146</v>
      </c>
      <c r="B1060" s="238" t="s">
        <v>7145</v>
      </c>
      <c r="C1060" s="238" t="s">
        <v>7144</v>
      </c>
      <c r="D1060" s="238" t="s">
        <v>7143</v>
      </c>
      <c r="G1060" s="238" t="s">
        <v>5197</v>
      </c>
      <c r="J1060" s="238" t="str">
        <f t="shared" si="16"/>
        <v/>
      </c>
    </row>
    <row r="1061" spans="1:10">
      <c r="D1061" s="238" t="s">
        <v>7142</v>
      </c>
      <c r="J1061" s="238" t="str">
        <f t="shared" si="16"/>
        <v/>
      </c>
    </row>
    <row r="1062" spans="1:10">
      <c r="A1062" s="238" t="s">
        <v>6482</v>
      </c>
      <c r="B1062" s="238" t="s">
        <v>7141</v>
      </c>
      <c r="D1062" s="238" t="s">
        <v>7140</v>
      </c>
      <c r="G1062" s="238" t="s">
        <v>5197</v>
      </c>
      <c r="J1062" s="238" t="str">
        <f t="shared" si="16"/>
        <v/>
      </c>
    </row>
    <row r="1063" spans="1:10">
      <c r="D1063" s="238" t="s">
        <v>7139</v>
      </c>
      <c r="J1063" s="238" t="str">
        <f t="shared" si="16"/>
        <v/>
      </c>
    </row>
    <row r="1064" spans="1:10">
      <c r="D1064" s="238" t="s">
        <v>7138</v>
      </c>
      <c r="J1064" s="238" t="str">
        <f t="shared" si="16"/>
        <v/>
      </c>
    </row>
    <row r="1065" spans="1:10">
      <c r="D1065" s="238" t="s">
        <v>7137</v>
      </c>
      <c r="J1065" s="238" t="str">
        <f t="shared" si="16"/>
        <v/>
      </c>
    </row>
    <row r="1066" spans="1:10">
      <c r="D1066" s="238" t="s">
        <v>7136</v>
      </c>
      <c r="J1066" s="238" t="str">
        <f t="shared" si="16"/>
        <v/>
      </c>
    </row>
    <row r="1067" spans="1:10">
      <c r="A1067" s="238" t="s">
        <v>7135</v>
      </c>
      <c r="B1067" s="238" t="s">
        <v>7134</v>
      </c>
      <c r="D1067" s="238" t="s">
        <v>7133</v>
      </c>
      <c r="G1067" s="238" t="s">
        <v>5197</v>
      </c>
      <c r="J1067" s="238" t="str">
        <f t="shared" si="16"/>
        <v/>
      </c>
    </row>
    <row r="1068" spans="1:10">
      <c r="D1068" s="238" t="s">
        <v>7132</v>
      </c>
      <c r="J1068" s="238" t="str">
        <f t="shared" si="16"/>
        <v/>
      </c>
    </row>
    <row r="1069" spans="1:10">
      <c r="A1069" s="238" t="s">
        <v>7131</v>
      </c>
      <c r="B1069" s="238" t="s">
        <v>7130</v>
      </c>
      <c r="C1069" s="238" t="s">
        <v>5379</v>
      </c>
      <c r="D1069" s="238" t="s">
        <v>7129</v>
      </c>
      <c r="G1069" s="238" t="s">
        <v>5197</v>
      </c>
      <c r="J1069" s="238" t="str">
        <f t="shared" si="16"/>
        <v/>
      </c>
    </row>
    <row r="1070" spans="1:10">
      <c r="D1070" s="238" t="s">
        <v>7128</v>
      </c>
      <c r="J1070" s="238" t="str">
        <f t="shared" si="16"/>
        <v/>
      </c>
    </row>
    <row r="1071" spans="1:10">
      <c r="D1071" s="238" t="s">
        <v>7127</v>
      </c>
      <c r="J1071" s="238" t="str">
        <f t="shared" si="16"/>
        <v/>
      </c>
    </row>
    <row r="1072" spans="1:10">
      <c r="D1072" s="238" t="s">
        <v>7126</v>
      </c>
      <c r="J1072" s="238" t="str">
        <f t="shared" si="16"/>
        <v/>
      </c>
    </row>
    <row r="1073" spans="1:10">
      <c r="D1073" s="238" t="s">
        <v>7125</v>
      </c>
      <c r="J1073" s="238" t="str">
        <f t="shared" si="16"/>
        <v/>
      </c>
    </row>
    <row r="1074" spans="1:10">
      <c r="D1074" s="238" t="s">
        <v>7124</v>
      </c>
      <c r="J1074" s="238" t="str">
        <f t="shared" si="16"/>
        <v/>
      </c>
    </row>
    <row r="1075" spans="1:10">
      <c r="D1075" s="238" t="s">
        <v>7123</v>
      </c>
      <c r="J1075" s="238" t="str">
        <f t="shared" si="16"/>
        <v/>
      </c>
    </row>
    <row r="1076" spans="1:10">
      <c r="A1076" s="238" t="s">
        <v>7122</v>
      </c>
      <c r="B1076" s="238" t="s">
        <v>7121</v>
      </c>
      <c r="C1076" s="238" t="s">
        <v>7120</v>
      </c>
      <c r="D1076" s="238" t="s">
        <v>7119</v>
      </c>
      <c r="G1076" s="238" t="s">
        <v>5197</v>
      </c>
      <c r="J1076" s="238" t="str">
        <f t="shared" si="16"/>
        <v/>
      </c>
    </row>
    <row r="1077" spans="1:10">
      <c r="D1077" s="238" t="s">
        <v>7118</v>
      </c>
      <c r="J1077" s="238" t="str">
        <f t="shared" si="16"/>
        <v/>
      </c>
    </row>
    <row r="1078" spans="1:10">
      <c r="A1078" s="238" t="s">
        <v>7117</v>
      </c>
      <c r="B1078" s="238" t="s">
        <v>7116</v>
      </c>
      <c r="C1078" s="238" t="s">
        <v>7115</v>
      </c>
      <c r="D1078" s="238" t="s">
        <v>7114</v>
      </c>
      <c r="G1078" s="238" t="s">
        <v>5197</v>
      </c>
      <c r="J1078" s="238" t="str">
        <f t="shared" si="16"/>
        <v/>
      </c>
    </row>
    <row r="1079" spans="1:10">
      <c r="D1079" s="238" t="s">
        <v>7113</v>
      </c>
      <c r="J1079" s="238" t="str">
        <f t="shared" si="16"/>
        <v/>
      </c>
    </row>
    <row r="1080" spans="1:10">
      <c r="A1080" s="238" t="s">
        <v>7112</v>
      </c>
      <c r="B1080" s="238" t="s">
        <v>7111</v>
      </c>
      <c r="C1080" s="238" t="s">
        <v>7110</v>
      </c>
      <c r="D1080" s="238" t="s">
        <v>7109</v>
      </c>
      <c r="G1080" s="238" t="s">
        <v>5197</v>
      </c>
      <c r="J1080" s="238" t="str">
        <f t="shared" si="16"/>
        <v/>
      </c>
    </row>
    <row r="1081" spans="1:10">
      <c r="D1081" s="238" t="s">
        <v>7108</v>
      </c>
      <c r="J1081" s="238" t="str">
        <f t="shared" si="16"/>
        <v/>
      </c>
    </row>
    <row r="1082" spans="1:10">
      <c r="A1082" s="238" t="s">
        <v>7107</v>
      </c>
      <c r="B1082" s="238" t="s">
        <v>5857</v>
      </c>
      <c r="D1082" s="238" t="s">
        <v>7106</v>
      </c>
      <c r="G1082" s="238" t="s">
        <v>5197</v>
      </c>
      <c r="J1082" s="238" t="str">
        <f t="shared" si="16"/>
        <v/>
      </c>
    </row>
    <row r="1083" spans="1:10">
      <c r="D1083" s="238" t="s">
        <v>7105</v>
      </c>
      <c r="J1083" s="238" t="str">
        <f t="shared" si="16"/>
        <v/>
      </c>
    </row>
    <row r="1084" spans="1:10">
      <c r="A1084" s="238" t="s">
        <v>7104</v>
      </c>
      <c r="B1084" s="238" t="s">
        <v>7103</v>
      </c>
      <c r="C1084" s="238" t="s">
        <v>5212</v>
      </c>
      <c r="D1084" s="238" t="s">
        <v>7102</v>
      </c>
      <c r="G1084" s="238" t="s">
        <v>5197</v>
      </c>
      <c r="J1084" s="238" t="str">
        <f t="shared" si="16"/>
        <v/>
      </c>
    </row>
    <row r="1085" spans="1:10">
      <c r="D1085" s="238" t="s">
        <v>7101</v>
      </c>
      <c r="J1085" s="238" t="str">
        <f t="shared" si="16"/>
        <v/>
      </c>
    </row>
    <row r="1086" spans="1:10">
      <c r="D1086" s="238" t="s">
        <v>7100</v>
      </c>
      <c r="J1086" s="238" t="str">
        <f t="shared" si="16"/>
        <v/>
      </c>
    </row>
    <row r="1087" spans="1:10">
      <c r="D1087" s="238" t="s">
        <v>7099</v>
      </c>
      <c r="J1087" s="238" t="str">
        <f t="shared" si="16"/>
        <v/>
      </c>
    </row>
    <row r="1088" spans="1:10">
      <c r="A1088" s="238" t="s">
        <v>5256</v>
      </c>
      <c r="B1088" s="238" t="s">
        <v>7098</v>
      </c>
      <c r="D1088" s="238" t="s">
        <v>7097</v>
      </c>
      <c r="G1088" s="238" t="s">
        <v>5197</v>
      </c>
      <c r="J1088" s="238" t="str">
        <f t="shared" si="16"/>
        <v/>
      </c>
    </row>
    <row r="1089" spans="1:10">
      <c r="A1089" s="238" t="s">
        <v>7096</v>
      </c>
      <c r="B1089" s="238" t="s">
        <v>7095</v>
      </c>
      <c r="C1089" s="238" t="s">
        <v>7094</v>
      </c>
      <c r="D1089" s="238" t="s">
        <v>7093</v>
      </c>
      <c r="G1089" s="238" t="s">
        <v>5197</v>
      </c>
      <c r="J1089" s="238" t="str">
        <f t="shared" si="16"/>
        <v/>
      </c>
    </row>
    <row r="1090" spans="1:10">
      <c r="D1090" s="238" t="s">
        <v>7092</v>
      </c>
      <c r="J1090" s="238" t="str">
        <f t="shared" si="16"/>
        <v/>
      </c>
    </row>
    <row r="1091" spans="1:10">
      <c r="A1091" s="238" t="s">
        <v>7091</v>
      </c>
      <c r="B1091" s="238" t="s">
        <v>7090</v>
      </c>
      <c r="D1091" s="238" t="s">
        <v>7089</v>
      </c>
      <c r="G1091" s="238" t="s">
        <v>5197</v>
      </c>
      <c r="J1091" s="238" t="str">
        <f t="shared" ref="J1091:J1154" si="17">IF(D1090=D1091,"OK","")</f>
        <v/>
      </c>
    </row>
    <row r="1092" spans="1:10">
      <c r="A1092" s="238" t="s">
        <v>6096</v>
      </c>
      <c r="B1092" s="238" t="s">
        <v>7088</v>
      </c>
      <c r="C1092" s="238" t="s">
        <v>7087</v>
      </c>
      <c r="D1092" s="238" t="s">
        <v>7086</v>
      </c>
      <c r="G1092" s="238" t="s">
        <v>5197</v>
      </c>
      <c r="J1092" s="238" t="str">
        <f t="shared" si="17"/>
        <v/>
      </c>
    </row>
    <row r="1093" spans="1:10">
      <c r="D1093" s="238" t="s">
        <v>7085</v>
      </c>
      <c r="J1093" s="238" t="str">
        <f t="shared" si="17"/>
        <v/>
      </c>
    </row>
    <row r="1094" spans="1:10">
      <c r="D1094" s="238" t="s">
        <v>7084</v>
      </c>
      <c r="J1094" s="238" t="str">
        <f t="shared" si="17"/>
        <v/>
      </c>
    </row>
    <row r="1095" spans="1:10">
      <c r="A1095" s="244" t="s">
        <v>7083</v>
      </c>
      <c r="B1095" s="241"/>
      <c r="C1095" s="241"/>
      <c r="D1095" s="244" t="s">
        <v>7082</v>
      </c>
      <c r="E1095" s="244"/>
      <c r="F1095" s="241"/>
      <c r="G1095" s="243" t="s">
        <v>5168</v>
      </c>
      <c r="J1095" s="238" t="str">
        <f t="shared" si="17"/>
        <v/>
      </c>
    </row>
    <row r="1096" spans="1:10">
      <c r="D1096" s="238" t="s">
        <v>7081</v>
      </c>
      <c r="J1096" s="238" t="str">
        <f t="shared" si="17"/>
        <v/>
      </c>
    </row>
    <row r="1097" spans="1:10">
      <c r="D1097" s="238" t="s">
        <v>7080</v>
      </c>
      <c r="J1097" s="238" t="str">
        <f t="shared" si="17"/>
        <v/>
      </c>
    </row>
    <row r="1098" spans="1:10">
      <c r="D1098" s="238" t="s">
        <v>7079</v>
      </c>
      <c r="J1098" s="238" t="str">
        <f t="shared" si="17"/>
        <v/>
      </c>
    </row>
    <row r="1099" spans="1:10">
      <c r="D1099" s="238" t="s">
        <v>7078</v>
      </c>
      <c r="J1099" s="238" t="str">
        <f t="shared" si="17"/>
        <v/>
      </c>
    </row>
    <row r="1100" spans="1:10">
      <c r="A1100" s="238" t="s">
        <v>7077</v>
      </c>
      <c r="B1100" s="238" t="s">
        <v>7076</v>
      </c>
      <c r="D1100" s="238" t="s">
        <v>7075</v>
      </c>
      <c r="G1100" s="238" t="s">
        <v>5197</v>
      </c>
      <c r="J1100" s="238" t="str">
        <f t="shared" si="17"/>
        <v/>
      </c>
    </row>
    <row r="1101" spans="1:10">
      <c r="D1101" s="238" t="s">
        <v>7074</v>
      </c>
      <c r="J1101" s="238" t="str">
        <f t="shared" si="17"/>
        <v/>
      </c>
    </row>
    <row r="1102" spans="1:10">
      <c r="D1102" s="238" t="s">
        <v>7073</v>
      </c>
      <c r="J1102" s="238" t="str">
        <f t="shared" si="17"/>
        <v/>
      </c>
    </row>
    <row r="1103" spans="1:10">
      <c r="D1103" s="238" t="s">
        <v>7072</v>
      </c>
      <c r="J1103" s="238" t="str">
        <f t="shared" si="17"/>
        <v/>
      </c>
    </row>
    <row r="1104" spans="1:10">
      <c r="A1104" s="238" t="s">
        <v>7071</v>
      </c>
      <c r="B1104" s="238" t="s">
        <v>7070</v>
      </c>
      <c r="C1104" s="238" t="s">
        <v>6058</v>
      </c>
      <c r="D1104" s="238" t="s">
        <v>7069</v>
      </c>
      <c r="G1104" s="238" t="s">
        <v>5197</v>
      </c>
      <c r="J1104" s="238" t="str">
        <f t="shared" si="17"/>
        <v/>
      </c>
    </row>
    <row r="1105" spans="1:10">
      <c r="D1105" s="238" t="s">
        <v>7068</v>
      </c>
      <c r="J1105" s="238" t="str">
        <f t="shared" si="17"/>
        <v/>
      </c>
    </row>
    <row r="1106" spans="1:10">
      <c r="D1106" s="238" t="s">
        <v>7067</v>
      </c>
      <c r="J1106" s="238" t="str">
        <f t="shared" si="17"/>
        <v/>
      </c>
    </row>
    <row r="1107" spans="1:10" ht="18.75">
      <c r="A1107" s="240"/>
      <c r="B1107" s="240" t="s">
        <v>7066</v>
      </c>
      <c r="C1107" s="240"/>
      <c r="D1107" s="240" t="s">
        <v>7065</v>
      </c>
      <c r="E1107" s="240"/>
      <c r="F1107" s="240"/>
      <c r="G1107" s="240"/>
      <c r="H1107" s="240"/>
      <c r="I1107" s="240"/>
      <c r="J1107" s="238" t="str">
        <f t="shared" si="17"/>
        <v/>
      </c>
    </row>
    <row r="1108" spans="1:10">
      <c r="A1108" s="238" t="s">
        <v>7064</v>
      </c>
      <c r="B1108" s="238" t="s">
        <v>7063</v>
      </c>
      <c r="C1108" s="238" t="s">
        <v>5322</v>
      </c>
      <c r="D1108" s="238" t="s">
        <v>7062</v>
      </c>
      <c r="G1108" s="238" t="s">
        <v>5197</v>
      </c>
      <c r="J1108" s="238" t="str">
        <f t="shared" si="17"/>
        <v/>
      </c>
    </row>
    <row r="1109" spans="1:10">
      <c r="D1109" s="238" t="s">
        <v>7061</v>
      </c>
      <c r="J1109" s="238" t="str">
        <f t="shared" si="17"/>
        <v/>
      </c>
    </row>
    <row r="1110" spans="1:10">
      <c r="A1110" s="238" t="s">
        <v>7060</v>
      </c>
      <c r="B1110" s="238" t="s">
        <v>7059</v>
      </c>
      <c r="C1110" s="238" t="s">
        <v>7058</v>
      </c>
      <c r="D1110" s="238" t="s">
        <v>7057</v>
      </c>
      <c r="G1110" s="238" t="s">
        <v>5197</v>
      </c>
      <c r="J1110" s="238" t="str">
        <f t="shared" si="17"/>
        <v/>
      </c>
    </row>
    <row r="1111" spans="1:10">
      <c r="D1111" s="238" t="s">
        <v>7056</v>
      </c>
      <c r="J1111" s="238" t="str">
        <f t="shared" si="17"/>
        <v/>
      </c>
    </row>
    <row r="1112" spans="1:10">
      <c r="A1112" s="238" t="s">
        <v>6032</v>
      </c>
      <c r="B1112" s="238" t="s">
        <v>7055</v>
      </c>
      <c r="D1112" s="238" t="s">
        <v>7054</v>
      </c>
      <c r="G1112" s="238" t="s">
        <v>5197</v>
      </c>
      <c r="J1112" s="238" t="str">
        <f t="shared" si="17"/>
        <v/>
      </c>
    </row>
    <row r="1113" spans="1:10">
      <c r="D1113" s="238" t="s">
        <v>7053</v>
      </c>
      <c r="J1113" s="238" t="str">
        <f t="shared" si="17"/>
        <v/>
      </c>
    </row>
    <row r="1114" spans="1:10">
      <c r="D1114" s="238" t="s">
        <v>7052</v>
      </c>
      <c r="J1114" s="238" t="str">
        <f t="shared" si="17"/>
        <v/>
      </c>
    </row>
    <row r="1115" spans="1:10">
      <c r="D1115" s="238" t="s">
        <v>7050</v>
      </c>
      <c r="J1115" s="238" t="str">
        <f t="shared" si="17"/>
        <v/>
      </c>
    </row>
    <row r="1116" spans="1:10" ht="18.75">
      <c r="A1116" s="240"/>
      <c r="B1116" s="240" t="s">
        <v>7051</v>
      </c>
      <c r="C1116" s="240"/>
      <c r="D1116" s="240" t="s">
        <v>7050</v>
      </c>
      <c r="E1116" s="240"/>
      <c r="F1116" s="240"/>
      <c r="G1116" s="240"/>
      <c r="H1116" s="240"/>
      <c r="I1116" s="240"/>
      <c r="J1116" s="238" t="str">
        <f t="shared" si="17"/>
        <v>OK</v>
      </c>
    </row>
    <row r="1117" spans="1:10">
      <c r="D1117" s="238" t="s">
        <v>7049</v>
      </c>
      <c r="J1117" s="238" t="str">
        <f t="shared" si="17"/>
        <v/>
      </c>
    </row>
    <row r="1118" spans="1:10">
      <c r="D1118" s="238" t="s">
        <v>7048</v>
      </c>
      <c r="J1118" s="238" t="str">
        <f t="shared" si="17"/>
        <v/>
      </c>
    </row>
    <row r="1119" spans="1:10">
      <c r="D1119" s="238" t="s">
        <v>7047</v>
      </c>
      <c r="J1119" s="238" t="str">
        <f t="shared" si="17"/>
        <v/>
      </c>
    </row>
    <row r="1120" spans="1:10">
      <c r="A1120" s="238" t="s">
        <v>5889</v>
      </c>
      <c r="B1120" s="238" t="s">
        <v>7044</v>
      </c>
      <c r="C1120" s="238" t="s">
        <v>6165</v>
      </c>
      <c r="D1120" s="238" t="s">
        <v>7046</v>
      </c>
      <c r="G1120" s="238" t="s">
        <v>5197</v>
      </c>
      <c r="J1120" s="238" t="str">
        <f t="shared" si="17"/>
        <v/>
      </c>
    </row>
    <row r="1121" spans="1:10">
      <c r="A1121" s="238" t="s">
        <v>7045</v>
      </c>
      <c r="B1121" s="238" t="s">
        <v>7044</v>
      </c>
      <c r="D1121" s="238" t="s">
        <v>7043</v>
      </c>
      <c r="G1121" s="238" t="s">
        <v>5197</v>
      </c>
      <c r="J1121" s="238" t="str">
        <f t="shared" si="17"/>
        <v/>
      </c>
    </row>
    <row r="1122" spans="1:10">
      <c r="A1122" s="238" t="s">
        <v>6376</v>
      </c>
      <c r="B1122" s="238" t="s">
        <v>7042</v>
      </c>
      <c r="D1122" s="238" t="s">
        <v>7041</v>
      </c>
      <c r="G1122" s="238" t="s">
        <v>5197</v>
      </c>
      <c r="J1122" s="238" t="str">
        <f t="shared" si="17"/>
        <v/>
      </c>
    </row>
    <row r="1123" spans="1:10">
      <c r="A1123" s="238" t="s">
        <v>7040</v>
      </c>
      <c r="B1123" s="238" t="s">
        <v>7039</v>
      </c>
      <c r="C1123" s="238" t="s">
        <v>5212</v>
      </c>
      <c r="D1123" s="238" t="s">
        <v>7038</v>
      </c>
      <c r="G1123" s="238" t="s">
        <v>5197</v>
      </c>
      <c r="J1123" s="238" t="str">
        <f t="shared" si="17"/>
        <v/>
      </c>
    </row>
    <row r="1124" spans="1:10">
      <c r="D1124" s="238" t="s">
        <v>7037</v>
      </c>
      <c r="J1124" s="238" t="str">
        <f t="shared" si="17"/>
        <v/>
      </c>
    </row>
    <row r="1125" spans="1:10">
      <c r="D1125" s="238" t="s">
        <v>7036</v>
      </c>
      <c r="J1125" s="238" t="str">
        <f t="shared" si="17"/>
        <v/>
      </c>
    </row>
    <row r="1126" spans="1:10" ht="18.75">
      <c r="A1126" s="240"/>
      <c r="B1126" s="240" t="s">
        <v>7035</v>
      </c>
      <c r="C1126" s="240"/>
      <c r="D1126" s="240" t="s">
        <v>7034</v>
      </c>
      <c r="E1126" s="240"/>
      <c r="F1126" s="240"/>
      <c r="G1126" s="240"/>
      <c r="H1126" s="240"/>
      <c r="I1126" s="240"/>
      <c r="J1126" s="238" t="str">
        <f t="shared" si="17"/>
        <v/>
      </c>
    </row>
    <row r="1127" spans="1:10">
      <c r="A1127" s="238" t="s">
        <v>7033</v>
      </c>
      <c r="B1127" s="238" t="s">
        <v>7032</v>
      </c>
      <c r="D1127" s="238" t="s">
        <v>7031</v>
      </c>
      <c r="G1127" s="238" t="s">
        <v>5197</v>
      </c>
      <c r="J1127" s="238" t="str">
        <f t="shared" si="17"/>
        <v/>
      </c>
    </row>
    <row r="1128" spans="1:10">
      <c r="D1128" s="238" t="s">
        <v>7030</v>
      </c>
      <c r="J1128" s="238" t="str">
        <f t="shared" si="17"/>
        <v/>
      </c>
    </row>
    <row r="1129" spans="1:10">
      <c r="D1129" s="238" t="s">
        <v>7029</v>
      </c>
      <c r="J1129" s="238" t="str">
        <f t="shared" si="17"/>
        <v/>
      </c>
    </row>
    <row r="1130" spans="1:10">
      <c r="D1130" s="238" t="s">
        <v>7028</v>
      </c>
      <c r="J1130" s="238" t="str">
        <f t="shared" si="17"/>
        <v/>
      </c>
    </row>
    <row r="1131" spans="1:10">
      <c r="D1131" s="238" t="s">
        <v>7027</v>
      </c>
      <c r="J1131" s="238" t="str">
        <f t="shared" si="17"/>
        <v/>
      </c>
    </row>
    <row r="1132" spans="1:10">
      <c r="A1132" s="238" t="s">
        <v>7026</v>
      </c>
      <c r="B1132" s="238" t="s">
        <v>7025</v>
      </c>
      <c r="D1132" s="238" t="s">
        <v>7024</v>
      </c>
      <c r="G1132" s="238" t="s">
        <v>5197</v>
      </c>
      <c r="J1132" s="238" t="str">
        <f t="shared" si="17"/>
        <v/>
      </c>
    </row>
    <row r="1133" spans="1:10">
      <c r="D1133" s="238" t="s">
        <v>7023</v>
      </c>
      <c r="J1133" s="238" t="str">
        <f t="shared" si="17"/>
        <v/>
      </c>
    </row>
    <row r="1134" spans="1:10">
      <c r="A1134" s="238" t="s">
        <v>7022</v>
      </c>
      <c r="B1134" s="238" t="s">
        <v>5857</v>
      </c>
      <c r="D1134" s="238" t="s">
        <v>7021</v>
      </c>
      <c r="G1134" s="238" t="s">
        <v>5197</v>
      </c>
      <c r="J1134" s="238" t="str">
        <f t="shared" si="17"/>
        <v/>
      </c>
    </row>
    <row r="1135" spans="1:10">
      <c r="A1135" s="238" t="s">
        <v>7020</v>
      </c>
      <c r="B1135" s="238" t="s">
        <v>7019</v>
      </c>
      <c r="C1135" s="238" t="s">
        <v>5212</v>
      </c>
      <c r="D1135" s="238" t="s">
        <v>7018</v>
      </c>
      <c r="G1135" s="238" t="s">
        <v>5197</v>
      </c>
      <c r="J1135" s="238" t="str">
        <f t="shared" si="17"/>
        <v/>
      </c>
    </row>
    <row r="1136" spans="1:10">
      <c r="A1136" s="238" t="s">
        <v>7017</v>
      </c>
      <c r="B1136" s="238" t="s">
        <v>7016</v>
      </c>
      <c r="C1136" s="238" t="s">
        <v>5212</v>
      </c>
      <c r="D1136" s="238" t="s">
        <v>7015</v>
      </c>
      <c r="G1136" s="238" t="s">
        <v>5197</v>
      </c>
      <c r="J1136" s="238" t="str">
        <f t="shared" si="17"/>
        <v/>
      </c>
    </row>
    <row r="1137" spans="1:10">
      <c r="D1137" s="238" t="s">
        <v>7014</v>
      </c>
      <c r="J1137" s="238" t="str">
        <f t="shared" si="17"/>
        <v/>
      </c>
    </row>
    <row r="1138" spans="1:10">
      <c r="D1138" s="238" t="s">
        <v>7013</v>
      </c>
      <c r="J1138" s="238" t="str">
        <f t="shared" si="17"/>
        <v/>
      </c>
    </row>
    <row r="1139" spans="1:10">
      <c r="A1139" s="238" t="s">
        <v>6099</v>
      </c>
      <c r="B1139" s="238" t="s">
        <v>7012</v>
      </c>
      <c r="C1139" s="238" t="s">
        <v>7011</v>
      </c>
      <c r="D1139" s="238" t="s">
        <v>7010</v>
      </c>
      <c r="G1139" s="238" t="s">
        <v>5197</v>
      </c>
      <c r="J1139" s="238" t="str">
        <f t="shared" si="17"/>
        <v/>
      </c>
    </row>
    <row r="1140" spans="1:10">
      <c r="D1140" s="238" t="s">
        <v>7009</v>
      </c>
      <c r="J1140" s="238" t="str">
        <f t="shared" si="17"/>
        <v/>
      </c>
    </row>
    <row r="1141" spans="1:10">
      <c r="D1141" s="238" t="s">
        <v>7008</v>
      </c>
      <c r="J1141" s="238" t="str">
        <f t="shared" si="17"/>
        <v/>
      </c>
    </row>
    <row r="1142" spans="1:10" ht="18.75">
      <c r="A1142" s="240"/>
      <c r="B1142" s="240" t="s">
        <v>7007</v>
      </c>
      <c r="C1142" s="240"/>
      <c r="D1142" s="240" t="s">
        <v>7006</v>
      </c>
      <c r="E1142" s="240"/>
      <c r="F1142" s="240"/>
      <c r="G1142" s="240"/>
      <c r="H1142" s="240"/>
      <c r="I1142" s="240"/>
      <c r="J1142" s="238" t="str">
        <f t="shared" si="17"/>
        <v/>
      </c>
    </row>
    <row r="1143" spans="1:10" ht="18.75">
      <c r="A1143" s="240"/>
      <c r="B1143" s="240" t="s">
        <v>7005</v>
      </c>
      <c r="C1143" s="240"/>
      <c r="D1143" s="240" t="s">
        <v>7004</v>
      </c>
      <c r="E1143" s="240"/>
      <c r="F1143" s="240"/>
      <c r="G1143" s="240"/>
      <c r="H1143" s="240"/>
      <c r="I1143" s="240"/>
      <c r="J1143" s="238" t="str">
        <f t="shared" si="17"/>
        <v/>
      </c>
    </row>
    <row r="1144" spans="1:10">
      <c r="D1144" s="238" t="s">
        <v>7003</v>
      </c>
      <c r="J1144" s="238" t="str">
        <f t="shared" si="17"/>
        <v/>
      </c>
    </row>
    <row r="1145" spans="1:10">
      <c r="D1145" s="238" t="s">
        <v>7002</v>
      </c>
      <c r="J1145" s="238" t="str">
        <f t="shared" si="17"/>
        <v/>
      </c>
    </row>
    <row r="1146" spans="1:10">
      <c r="D1146" s="238" t="s">
        <v>7001</v>
      </c>
      <c r="J1146" s="238" t="str">
        <f t="shared" si="17"/>
        <v/>
      </c>
    </row>
    <row r="1147" spans="1:10">
      <c r="D1147" s="238" t="s">
        <v>7000</v>
      </c>
      <c r="J1147" s="238" t="str">
        <f t="shared" si="17"/>
        <v/>
      </c>
    </row>
    <row r="1148" spans="1:10">
      <c r="A1148" s="238" t="s">
        <v>6999</v>
      </c>
      <c r="B1148" s="238" t="s">
        <v>6998</v>
      </c>
      <c r="C1148" s="238" t="s">
        <v>5212</v>
      </c>
      <c r="D1148" s="238" t="s">
        <v>6997</v>
      </c>
      <c r="G1148" s="238" t="s">
        <v>5197</v>
      </c>
      <c r="J1148" s="238" t="str">
        <f t="shared" si="17"/>
        <v/>
      </c>
    </row>
    <row r="1149" spans="1:10">
      <c r="D1149" s="238" t="s">
        <v>6996</v>
      </c>
      <c r="J1149" s="238" t="str">
        <f t="shared" si="17"/>
        <v/>
      </c>
    </row>
    <row r="1150" spans="1:10" ht="18.75">
      <c r="A1150" s="240"/>
      <c r="B1150" s="240" t="s">
        <v>6995</v>
      </c>
      <c r="C1150" s="240"/>
      <c r="D1150" s="240" t="s">
        <v>6994</v>
      </c>
      <c r="E1150" s="240"/>
      <c r="F1150" s="240"/>
      <c r="G1150" s="240"/>
      <c r="H1150" s="240"/>
      <c r="I1150" s="240"/>
      <c r="J1150" s="238" t="str">
        <f t="shared" si="17"/>
        <v/>
      </c>
    </row>
    <row r="1151" spans="1:10">
      <c r="D1151" s="238" t="s">
        <v>6993</v>
      </c>
      <c r="J1151" s="238" t="str">
        <f t="shared" si="17"/>
        <v/>
      </c>
    </row>
    <row r="1152" spans="1:10">
      <c r="D1152" s="238" t="s">
        <v>6992</v>
      </c>
      <c r="J1152" s="238" t="str">
        <f t="shared" si="17"/>
        <v/>
      </c>
    </row>
    <row r="1153" spans="1:10">
      <c r="D1153" s="238" t="s">
        <v>6991</v>
      </c>
      <c r="J1153" s="238" t="str">
        <f t="shared" si="17"/>
        <v/>
      </c>
    </row>
    <row r="1154" spans="1:10">
      <c r="D1154" s="238" t="s">
        <v>6990</v>
      </c>
      <c r="J1154" s="238" t="str">
        <f t="shared" si="17"/>
        <v/>
      </c>
    </row>
    <row r="1155" spans="1:10">
      <c r="D1155" s="238" t="s">
        <v>6989</v>
      </c>
      <c r="J1155" s="238" t="str">
        <f t="shared" ref="J1155:J1218" si="18">IF(D1154=D1155,"OK","")</f>
        <v/>
      </c>
    </row>
    <row r="1156" spans="1:10">
      <c r="D1156" s="238" t="s">
        <v>6988</v>
      </c>
      <c r="J1156" s="238" t="str">
        <f t="shared" si="18"/>
        <v/>
      </c>
    </row>
    <row r="1157" spans="1:10">
      <c r="D1157" s="238" t="s">
        <v>6987</v>
      </c>
      <c r="J1157" s="238" t="str">
        <f t="shared" si="18"/>
        <v/>
      </c>
    </row>
    <row r="1158" spans="1:10" ht="18.75">
      <c r="A1158" s="240"/>
      <c r="B1158" s="240" t="s">
        <v>6986</v>
      </c>
      <c r="C1158" s="240"/>
      <c r="D1158" s="240" t="s">
        <v>6985</v>
      </c>
      <c r="E1158" s="240"/>
      <c r="F1158" s="240"/>
      <c r="G1158" s="240"/>
      <c r="H1158" s="240"/>
      <c r="I1158" s="240"/>
      <c r="J1158" s="238" t="str">
        <f t="shared" si="18"/>
        <v/>
      </c>
    </row>
    <row r="1159" spans="1:10">
      <c r="A1159" s="238" t="s">
        <v>6984</v>
      </c>
      <c r="B1159" s="238" t="s">
        <v>6983</v>
      </c>
      <c r="C1159" s="238" t="s">
        <v>6982</v>
      </c>
      <c r="D1159" s="238" t="s">
        <v>6981</v>
      </c>
      <c r="G1159" s="238" t="s">
        <v>5197</v>
      </c>
      <c r="J1159" s="238" t="str">
        <f t="shared" si="18"/>
        <v/>
      </c>
    </row>
    <row r="1160" spans="1:10">
      <c r="D1160" s="238" t="s">
        <v>6980</v>
      </c>
      <c r="J1160" s="238" t="str">
        <f t="shared" si="18"/>
        <v/>
      </c>
    </row>
    <row r="1161" spans="1:10">
      <c r="D1161" s="238" t="s">
        <v>6979</v>
      </c>
      <c r="J1161" s="238" t="str">
        <f t="shared" si="18"/>
        <v/>
      </c>
    </row>
    <row r="1162" spans="1:10">
      <c r="A1162" s="238" t="s">
        <v>6978</v>
      </c>
      <c r="B1162" s="238" t="s">
        <v>6977</v>
      </c>
      <c r="C1162" s="238" t="s">
        <v>6976</v>
      </c>
      <c r="D1162" s="238" t="s">
        <v>6975</v>
      </c>
      <c r="G1162" s="238" t="s">
        <v>5197</v>
      </c>
      <c r="J1162" s="238" t="str">
        <f t="shared" si="18"/>
        <v/>
      </c>
    </row>
    <row r="1163" spans="1:10">
      <c r="D1163" s="238" t="s">
        <v>6974</v>
      </c>
      <c r="J1163" s="238" t="str">
        <f t="shared" si="18"/>
        <v/>
      </c>
    </row>
    <row r="1164" spans="1:10">
      <c r="A1164" s="238" t="s">
        <v>6973</v>
      </c>
      <c r="B1164" s="238" t="s">
        <v>6972</v>
      </c>
      <c r="C1164" s="238" t="s">
        <v>6971</v>
      </c>
      <c r="D1164" s="238" t="s">
        <v>6970</v>
      </c>
      <c r="G1164" s="238" t="s">
        <v>5197</v>
      </c>
      <c r="J1164" s="238" t="str">
        <f t="shared" si="18"/>
        <v/>
      </c>
    </row>
    <row r="1165" spans="1:10">
      <c r="D1165" s="238" t="s">
        <v>6969</v>
      </c>
      <c r="J1165" s="238" t="str">
        <f t="shared" si="18"/>
        <v/>
      </c>
    </row>
    <row r="1166" spans="1:10">
      <c r="D1166" s="238" t="s">
        <v>6968</v>
      </c>
      <c r="J1166" s="238" t="str">
        <f t="shared" si="18"/>
        <v/>
      </c>
    </row>
    <row r="1167" spans="1:10">
      <c r="D1167" s="238" t="s">
        <v>6967</v>
      </c>
      <c r="J1167" s="238" t="str">
        <f t="shared" si="18"/>
        <v/>
      </c>
    </row>
    <row r="1168" spans="1:10">
      <c r="D1168" s="238" t="s">
        <v>6966</v>
      </c>
      <c r="J1168" s="238" t="str">
        <f t="shared" si="18"/>
        <v/>
      </c>
    </row>
    <row r="1169" spans="1:10">
      <c r="A1169" s="238" t="s">
        <v>6965</v>
      </c>
      <c r="B1169" s="238" t="s">
        <v>6964</v>
      </c>
      <c r="C1169" s="238" t="s">
        <v>5212</v>
      </c>
      <c r="D1169" s="238" t="s">
        <v>6963</v>
      </c>
      <c r="G1169" s="238" t="s">
        <v>5197</v>
      </c>
      <c r="J1169" s="238" t="str">
        <f t="shared" si="18"/>
        <v/>
      </c>
    </row>
    <row r="1170" spans="1:10">
      <c r="A1170" s="238" t="s">
        <v>6962</v>
      </c>
      <c r="B1170" s="238" t="s">
        <v>5857</v>
      </c>
      <c r="D1170" s="238" t="s">
        <v>6961</v>
      </c>
      <c r="G1170" s="238" t="s">
        <v>5197</v>
      </c>
      <c r="J1170" s="238" t="str">
        <f t="shared" si="18"/>
        <v/>
      </c>
    </row>
    <row r="1171" spans="1:10" ht="18.75">
      <c r="A1171" s="240"/>
      <c r="B1171" s="240" t="s">
        <v>6960</v>
      </c>
      <c r="C1171" s="240"/>
      <c r="D1171" s="240" t="s">
        <v>6959</v>
      </c>
      <c r="E1171" s="240"/>
      <c r="F1171" s="240"/>
      <c r="G1171" s="240"/>
      <c r="H1171" s="240"/>
      <c r="I1171" s="240"/>
      <c r="J1171" s="238" t="str">
        <f t="shared" si="18"/>
        <v/>
      </c>
    </row>
    <row r="1172" spans="1:10">
      <c r="D1172" s="238" t="s">
        <v>6958</v>
      </c>
      <c r="J1172" s="238" t="str">
        <f t="shared" si="18"/>
        <v/>
      </c>
    </row>
    <row r="1173" spans="1:10">
      <c r="D1173" s="238" t="s">
        <v>6957</v>
      </c>
      <c r="J1173" s="238" t="str">
        <f t="shared" si="18"/>
        <v/>
      </c>
    </row>
    <row r="1174" spans="1:10">
      <c r="A1174" s="238" t="s">
        <v>6956</v>
      </c>
      <c r="B1174" s="238" t="s">
        <v>6955</v>
      </c>
      <c r="D1174" s="238" t="s">
        <v>6954</v>
      </c>
      <c r="G1174" s="238" t="s">
        <v>5197</v>
      </c>
      <c r="J1174" s="238" t="str">
        <f t="shared" si="18"/>
        <v/>
      </c>
    </row>
    <row r="1175" spans="1:10">
      <c r="D1175" s="238" t="s">
        <v>6953</v>
      </c>
      <c r="J1175" s="238" t="str">
        <f t="shared" si="18"/>
        <v/>
      </c>
    </row>
    <row r="1176" spans="1:10">
      <c r="D1176" s="238" t="s">
        <v>6952</v>
      </c>
      <c r="J1176" s="238" t="str">
        <f t="shared" si="18"/>
        <v/>
      </c>
    </row>
    <row r="1177" spans="1:10">
      <c r="D1177" s="238" t="s">
        <v>6951</v>
      </c>
      <c r="J1177" s="238" t="str">
        <f t="shared" si="18"/>
        <v/>
      </c>
    </row>
    <row r="1178" spans="1:10">
      <c r="D1178" s="238" t="s">
        <v>6950</v>
      </c>
      <c r="J1178" s="238" t="str">
        <f t="shared" si="18"/>
        <v/>
      </c>
    </row>
    <row r="1179" spans="1:10" ht="18.75">
      <c r="A1179" s="240"/>
      <c r="B1179" s="240" t="s">
        <v>6949</v>
      </c>
      <c r="C1179" s="240"/>
      <c r="D1179" s="240" t="s">
        <v>6948</v>
      </c>
      <c r="E1179" s="240"/>
      <c r="F1179" s="240"/>
      <c r="G1179" s="240"/>
      <c r="H1179" s="240"/>
      <c r="I1179" s="240"/>
      <c r="J1179" s="238" t="str">
        <f t="shared" si="18"/>
        <v/>
      </c>
    </row>
    <row r="1180" spans="1:10">
      <c r="A1180" s="244" t="s">
        <v>6947</v>
      </c>
      <c r="B1180" s="244" t="s">
        <v>6946</v>
      </c>
      <c r="C1180" s="244"/>
      <c r="D1180" s="238" t="s">
        <v>6945</v>
      </c>
      <c r="E1180" s="245"/>
      <c r="F1180" s="244" t="s">
        <v>6944</v>
      </c>
      <c r="G1180" s="243" t="s">
        <v>5168</v>
      </c>
      <c r="J1180" s="238" t="str">
        <f t="shared" si="18"/>
        <v/>
      </c>
    </row>
    <row r="1181" spans="1:10" ht="18.75">
      <c r="A1181" s="240"/>
      <c r="B1181" s="240" t="s">
        <v>6943</v>
      </c>
      <c r="C1181" s="240"/>
      <c r="D1181" s="240" t="s">
        <v>6942</v>
      </c>
      <c r="E1181" s="240"/>
      <c r="F1181" s="240"/>
      <c r="G1181" s="240"/>
      <c r="H1181" s="240"/>
      <c r="I1181" s="240"/>
      <c r="J1181" s="238" t="str">
        <f t="shared" si="18"/>
        <v/>
      </c>
    </row>
    <row r="1182" spans="1:10">
      <c r="D1182" s="238" t="s">
        <v>6941</v>
      </c>
      <c r="J1182" s="238" t="str">
        <f t="shared" si="18"/>
        <v/>
      </c>
    </row>
    <row r="1183" spans="1:10">
      <c r="D1183" s="238" t="s">
        <v>6940</v>
      </c>
      <c r="J1183" s="238" t="str">
        <f t="shared" si="18"/>
        <v/>
      </c>
    </row>
    <row r="1184" spans="1:10">
      <c r="A1184" s="238" t="s">
        <v>6939</v>
      </c>
      <c r="B1184" s="238" t="s">
        <v>6938</v>
      </c>
      <c r="D1184" s="238" t="s">
        <v>6937</v>
      </c>
      <c r="G1184" s="238" t="s">
        <v>5197</v>
      </c>
      <c r="J1184" s="238" t="str">
        <f t="shared" si="18"/>
        <v/>
      </c>
    </row>
    <row r="1185" spans="1:10">
      <c r="D1185" s="238" t="s">
        <v>6936</v>
      </c>
      <c r="J1185" s="238" t="str">
        <f t="shared" si="18"/>
        <v/>
      </c>
    </row>
    <row r="1186" spans="1:10">
      <c r="D1186" s="238" t="s">
        <v>6935</v>
      </c>
      <c r="J1186" s="238" t="str">
        <f t="shared" si="18"/>
        <v/>
      </c>
    </row>
    <row r="1187" spans="1:10">
      <c r="D1187" s="238" t="s">
        <v>6934</v>
      </c>
      <c r="J1187" s="238" t="str">
        <f t="shared" si="18"/>
        <v/>
      </c>
    </row>
    <row r="1188" spans="1:10">
      <c r="D1188" s="238" t="s">
        <v>6933</v>
      </c>
      <c r="J1188" s="238" t="str">
        <f t="shared" si="18"/>
        <v/>
      </c>
    </row>
    <row r="1189" spans="1:10">
      <c r="D1189" s="238" t="s">
        <v>6932</v>
      </c>
      <c r="J1189" s="238" t="str">
        <f t="shared" si="18"/>
        <v/>
      </c>
    </row>
    <row r="1190" spans="1:10">
      <c r="D1190" s="238" t="s">
        <v>6931</v>
      </c>
      <c r="J1190" s="238" t="str">
        <f t="shared" si="18"/>
        <v/>
      </c>
    </row>
    <row r="1191" spans="1:10">
      <c r="A1191" s="238" t="s">
        <v>6930</v>
      </c>
      <c r="B1191" s="238" t="s">
        <v>6929</v>
      </c>
      <c r="D1191" s="238" t="s">
        <v>6928</v>
      </c>
      <c r="G1191" s="238" t="s">
        <v>5197</v>
      </c>
      <c r="J1191" s="238" t="str">
        <f t="shared" si="18"/>
        <v/>
      </c>
    </row>
    <row r="1192" spans="1:10">
      <c r="D1192" s="238" t="s">
        <v>6927</v>
      </c>
      <c r="J1192" s="238" t="str">
        <f t="shared" si="18"/>
        <v/>
      </c>
    </row>
    <row r="1193" spans="1:10">
      <c r="A1193" s="238" t="s">
        <v>6926</v>
      </c>
      <c r="B1193" s="238" t="s">
        <v>6925</v>
      </c>
      <c r="C1193" s="238" t="s">
        <v>6924</v>
      </c>
      <c r="D1193" s="238" t="s">
        <v>6923</v>
      </c>
      <c r="G1193" s="238" t="s">
        <v>5197</v>
      </c>
      <c r="J1193" s="238" t="str">
        <f t="shared" si="18"/>
        <v/>
      </c>
    </row>
    <row r="1194" spans="1:10">
      <c r="D1194" s="238" t="s">
        <v>6922</v>
      </c>
      <c r="J1194" s="238" t="str">
        <f t="shared" si="18"/>
        <v/>
      </c>
    </row>
    <row r="1195" spans="1:10">
      <c r="D1195" s="238" t="s">
        <v>6921</v>
      </c>
      <c r="J1195" s="238" t="str">
        <f t="shared" si="18"/>
        <v/>
      </c>
    </row>
    <row r="1196" spans="1:10">
      <c r="D1196" s="238" t="s">
        <v>6920</v>
      </c>
      <c r="J1196" s="238" t="str">
        <f t="shared" si="18"/>
        <v/>
      </c>
    </row>
    <row r="1197" spans="1:10">
      <c r="D1197" s="238" t="s">
        <v>6919</v>
      </c>
      <c r="J1197" s="238" t="str">
        <f t="shared" si="18"/>
        <v/>
      </c>
    </row>
    <row r="1198" spans="1:10">
      <c r="D1198" s="238" t="s">
        <v>6918</v>
      </c>
      <c r="J1198" s="238" t="str">
        <f t="shared" si="18"/>
        <v/>
      </c>
    </row>
    <row r="1199" spans="1:10">
      <c r="D1199" s="238" t="s">
        <v>6917</v>
      </c>
      <c r="J1199" s="238" t="str">
        <f t="shared" si="18"/>
        <v/>
      </c>
    </row>
    <row r="1200" spans="1:10">
      <c r="A1200" s="238" t="s">
        <v>6916</v>
      </c>
      <c r="B1200" s="238" t="s">
        <v>6915</v>
      </c>
      <c r="C1200" s="238" t="s">
        <v>5199</v>
      </c>
      <c r="D1200" s="238" t="s">
        <v>6914</v>
      </c>
      <c r="G1200" s="238" t="s">
        <v>5197</v>
      </c>
      <c r="J1200" s="238" t="str">
        <f t="shared" si="18"/>
        <v/>
      </c>
    </row>
    <row r="1201" spans="1:10">
      <c r="D1201" s="238" t="s">
        <v>6913</v>
      </c>
      <c r="J1201" s="238" t="str">
        <f t="shared" si="18"/>
        <v/>
      </c>
    </row>
    <row r="1202" spans="1:10">
      <c r="D1202" s="238" t="s">
        <v>6912</v>
      </c>
      <c r="J1202" s="238" t="str">
        <f t="shared" si="18"/>
        <v/>
      </c>
    </row>
    <row r="1203" spans="1:10">
      <c r="D1203" s="238" t="s">
        <v>6911</v>
      </c>
      <c r="J1203" s="238" t="str">
        <f t="shared" si="18"/>
        <v/>
      </c>
    </row>
    <row r="1204" spans="1:10">
      <c r="A1204" s="238" t="s">
        <v>6910</v>
      </c>
      <c r="B1204" s="238" t="s">
        <v>6909</v>
      </c>
      <c r="C1204" s="238" t="s">
        <v>6908</v>
      </c>
      <c r="D1204" s="238" t="s">
        <v>6907</v>
      </c>
      <c r="G1204" s="238" t="s">
        <v>5197</v>
      </c>
      <c r="J1204" s="238" t="str">
        <f t="shared" si="18"/>
        <v/>
      </c>
    </row>
    <row r="1205" spans="1:10">
      <c r="A1205" s="238" t="s">
        <v>6906</v>
      </c>
      <c r="B1205" s="238" t="s">
        <v>6905</v>
      </c>
      <c r="D1205" s="238" t="s">
        <v>6904</v>
      </c>
      <c r="G1205" s="238" t="s">
        <v>5197</v>
      </c>
      <c r="J1205" s="238" t="str">
        <f t="shared" si="18"/>
        <v/>
      </c>
    </row>
    <row r="1206" spans="1:10">
      <c r="D1206" s="238" t="s">
        <v>6903</v>
      </c>
      <c r="J1206" s="238" t="str">
        <f t="shared" si="18"/>
        <v/>
      </c>
    </row>
    <row r="1207" spans="1:10">
      <c r="A1207" s="238" t="s">
        <v>6902</v>
      </c>
      <c r="B1207" s="238" t="s">
        <v>6901</v>
      </c>
      <c r="D1207" s="238" t="s">
        <v>6900</v>
      </c>
      <c r="G1207" s="238" t="s">
        <v>5197</v>
      </c>
      <c r="J1207" s="238" t="str">
        <f t="shared" si="18"/>
        <v/>
      </c>
    </row>
    <row r="1208" spans="1:10">
      <c r="D1208" s="238" t="s">
        <v>6899</v>
      </c>
      <c r="J1208" s="238" t="str">
        <f t="shared" si="18"/>
        <v/>
      </c>
    </row>
    <row r="1209" spans="1:10">
      <c r="D1209" s="238" t="s">
        <v>6898</v>
      </c>
      <c r="J1209" s="238" t="str">
        <f t="shared" si="18"/>
        <v/>
      </c>
    </row>
    <row r="1210" spans="1:10">
      <c r="A1210" s="238" t="s">
        <v>6897</v>
      </c>
      <c r="B1210" s="238" t="s">
        <v>6896</v>
      </c>
      <c r="D1210" s="238" t="s">
        <v>6895</v>
      </c>
      <c r="G1210" s="238" t="s">
        <v>5197</v>
      </c>
      <c r="J1210" s="238" t="str">
        <f t="shared" si="18"/>
        <v/>
      </c>
    </row>
    <row r="1211" spans="1:10">
      <c r="D1211" s="238" t="s">
        <v>6894</v>
      </c>
      <c r="J1211" s="238" t="str">
        <f t="shared" si="18"/>
        <v/>
      </c>
    </row>
    <row r="1212" spans="1:10">
      <c r="D1212" s="238" t="s">
        <v>6893</v>
      </c>
      <c r="J1212" s="238" t="str">
        <f t="shared" si="18"/>
        <v/>
      </c>
    </row>
    <row r="1213" spans="1:10" ht="18.75">
      <c r="A1213" s="240"/>
      <c r="B1213" s="240" t="s">
        <v>5589</v>
      </c>
      <c r="C1213" s="240"/>
      <c r="D1213" s="240" t="s">
        <v>6892</v>
      </c>
      <c r="E1213" s="240"/>
      <c r="F1213" s="240"/>
      <c r="G1213" s="240"/>
      <c r="H1213" s="240"/>
      <c r="I1213" s="240"/>
      <c r="J1213" s="238" t="str">
        <f t="shared" si="18"/>
        <v/>
      </c>
    </row>
    <row r="1214" spans="1:10" ht="18.75">
      <c r="A1214" s="240"/>
      <c r="B1214" s="240" t="s">
        <v>6891</v>
      </c>
      <c r="C1214" s="240"/>
      <c r="D1214" s="240" t="s">
        <v>6890</v>
      </c>
      <c r="E1214" s="240"/>
      <c r="F1214" s="240"/>
      <c r="G1214" s="240"/>
      <c r="H1214" s="240"/>
      <c r="I1214" s="240"/>
      <c r="J1214" s="238" t="str">
        <f t="shared" si="18"/>
        <v/>
      </c>
    </row>
    <row r="1215" spans="1:10" ht="18.75">
      <c r="A1215" s="240"/>
      <c r="B1215" s="240" t="s">
        <v>6889</v>
      </c>
      <c r="C1215" s="240"/>
      <c r="D1215" s="240" t="s">
        <v>6888</v>
      </c>
      <c r="E1215" s="240"/>
      <c r="F1215" s="240"/>
      <c r="G1215" s="240"/>
      <c r="H1215" s="240"/>
      <c r="I1215" s="240"/>
      <c r="J1215" s="238" t="str">
        <f t="shared" si="18"/>
        <v/>
      </c>
    </row>
    <row r="1216" spans="1:10">
      <c r="A1216" s="238" t="s">
        <v>6887</v>
      </c>
      <c r="B1216" s="238" t="s">
        <v>6886</v>
      </c>
      <c r="D1216" s="238" t="s">
        <v>6884</v>
      </c>
      <c r="G1216" s="238" t="s">
        <v>5197</v>
      </c>
      <c r="J1216" s="238" t="str">
        <f t="shared" si="18"/>
        <v/>
      </c>
    </row>
    <row r="1217" spans="1:10" ht="18.75">
      <c r="A1217" s="240"/>
      <c r="B1217" s="240" t="s">
        <v>6885</v>
      </c>
      <c r="C1217" s="240"/>
      <c r="D1217" s="240" t="s">
        <v>6884</v>
      </c>
      <c r="E1217" s="240"/>
      <c r="F1217" s="240"/>
      <c r="G1217" s="240"/>
      <c r="H1217" s="240"/>
      <c r="I1217" s="240"/>
      <c r="J1217" s="238" t="str">
        <f t="shared" si="18"/>
        <v>OK</v>
      </c>
    </row>
    <row r="1218" spans="1:10" ht="18.75">
      <c r="A1218" s="240"/>
      <c r="B1218" s="240" t="s">
        <v>6883</v>
      </c>
      <c r="C1218" s="240"/>
      <c r="D1218" s="240" t="s">
        <v>6882</v>
      </c>
      <c r="E1218" s="240"/>
      <c r="F1218" s="240"/>
      <c r="G1218" s="240"/>
      <c r="H1218" s="240"/>
      <c r="I1218" s="240"/>
      <c r="J1218" s="238" t="str">
        <f t="shared" si="18"/>
        <v/>
      </c>
    </row>
    <row r="1219" spans="1:10" ht="18.75">
      <c r="A1219" s="240"/>
      <c r="B1219" s="240" t="s">
        <v>6881</v>
      </c>
      <c r="C1219" s="240"/>
      <c r="D1219" s="240" t="s">
        <v>6880</v>
      </c>
      <c r="E1219" s="240"/>
      <c r="F1219" s="240"/>
      <c r="G1219" s="240"/>
      <c r="H1219" s="240"/>
      <c r="I1219" s="240"/>
      <c r="J1219" s="238" t="str">
        <f t="shared" ref="J1219:J1282" si="19">IF(D1218=D1219,"OK","")</f>
        <v/>
      </c>
    </row>
    <row r="1220" spans="1:10">
      <c r="D1220" s="238" t="s">
        <v>6879</v>
      </c>
      <c r="J1220" s="238" t="str">
        <f t="shared" si="19"/>
        <v/>
      </c>
    </row>
    <row r="1221" spans="1:10">
      <c r="D1221" s="238" t="s">
        <v>6878</v>
      </c>
      <c r="J1221" s="238" t="str">
        <f t="shared" si="19"/>
        <v/>
      </c>
    </row>
    <row r="1222" spans="1:10">
      <c r="D1222" s="238" t="s">
        <v>6877</v>
      </c>
      <c r="J1222" s="238" t="str">
        <f t="shared" si="19"/>
        <v/>
      </c>
    </row>
    <row r="1223" spans="1:10" ht="18.75">
      <c r="A1223" s="240"/>
      <c r="B1223" s="240" t="s">
        <v>6876</v>
      </c>
      <c r="C1223" s="240"/>
      <c r="D1223" s="240" t="s">
        <v>6875</v>
      </c>
      <c r="E1223" s="240"/>
      <c r="F1223" s="240"/>
      <c r="G1223" s="240"/>
      <c r="H1223" s="240"/>
      <c r="I1223" s="240"/>
      <c r="J1223" s="238" t="str">
        <f t="shared" si="19"/>
        <v/>
      </c>
    </row>
    <row r="1224" spans="1:10">
      <c r="D1224" s="238" t="s">
        <v>6874</v>
      </c>
      <c r="J1224" s="238" t="str">
        <f t="shared" si="19"/>
        <v/>
      </c>
    </row>
    <row r="1225" spans="1:10" ht="18.75">
      <c r="A1225" s="240"/>
      <c r="B1225" s="240" t="s">
        <v>6873</v>
      </c>
      <c r="C1225" s="240"/>
      <c r="D1225" s="240" t="s">
        <v>6872</v>
      </c>
      <c r="E1225" s="240"/>
      <c r="F1225" s="240"/>
      <c r="G1225" s="240"/>
      <c r="H1225" s="240"/>
      <c r="I1225" s="240"/>
      <c r="J1225" s="238" t="str">
        <f t="shared" si="19"/>
        <v/>
      </c>
    </row>
    <row r="1226" spans="1:10">
      <c r="A1226" s="244" t="s">
        <v>6723</v>
      </c>
      <c r="B1226" s="244" t="s">
        <v>6871</v>
      </c>
      <c r="C1226" s="244"/>
      <c r="D1226" s="238" t="s">
        <v>6870</v>
      </c>
      <c r="E1226" s="245"/>
      <c r="F1226" s="244" t="s">
        <v>6869</v>
      </c>
      <c r="G1226" s="243" t="s">
        <v>5168</v>
      </c>
      <c r="J1226" s="238" t="str">
        <f t="shared" si="19"/>
        <v/>
      </c>
    </row>
    <row r="1227" spans="1:10">
      <c r="A1227" s="238" t="s">
        <v>6868</v>
      </c>
      <c r="B1227" s="238" t="s">
        <v>6867</v>
      </c>
      <c r="C1227" s="238" t="s">
        <v>5322</v>
      </c>
      <c r="D1227" s="238" t="s">
        <v>6866</v>
      </c>
      <c r="G1227" s="238" t="s">
        <v>5197</v>
      </c>
      <c r="J1227" s="238" t="str">
        <f t="shared" si="19"/>
        <v/>
      </c>
    </row>
    <row r="1228" spans="1:10">
      <c r="A1228" s="238" t="s">
        <v>6865</v>
      </c>
      <c r="B1228" s="238" t="s">
        <v>6864</v>
      </c>
      <c r="D1228" s="238" t="s">
        <v>6863</v>
      </c>
      <c r="G1228" s="238" t="s">
        <v>5197</v>
      </c>
      <c r="J1228" s="238" t="str">
        <f t="shared" si="19"/>
        <v/>
      </c>
    </row>
    <row r="1229" spans="1:10">
      <c r="D1229" s="238" t="s">
        <v>6862</v>
      </c>
      <c r="J1229" s="238" t="str">
        <f t="shared" si="19"/>
        <v/>
      </c>
    </row>
    <row r="1230" spans="1:10">
      <c r="A1230" s="238" t="s">
        <v>6861</v>
      </c>
      <c r="B1230" s="238" t="s">
        <v>5857</v>
      </c>
      <c r="D1230" s="238" t="s">
        <v>6860</v>
      </c>
      <c r="G1230" s="238" t="s">
        <v>5197</v>
      </c>
      <c r="J1230" s="238" t="str">
        <f t="shared" si="19"/>
        <v/>
      </c>
    </row>
    <row r="1231" spans="1:10">
      <c r="A1231" s="238" t="s">
        <v>6859</v>
      </c>
      <c r="B1231" s="238" t="s">
        <v>6858</v>
      </c>
      <c r="D1231" s="238" t="s">
        <v>6857</v>
      </c>
      <c r="G1231" s="238" t="s">
        <v>5197</v>
      </c>
      <c r="J1231" s="238" t="str">
        <f t="shared" si="19"/>
        <v/>
      </c>
    </row>
    <row r="1232" spans="1:10">
      <c r="A1232" s="238" t="s">
        <v>6856</v>
      </c>
      <c r="B1232" s="238" t="s">
        <v>5857</v>
      </c>
      <c r="D1232" s="238" t="s">
        <v>6855</v>
      </c>
      <c r="G1232" s="238" t="s">
        <v>5197</v>
      </c>
      <c r="J1232" s="238" t="str">
        <f t="shared" si="19"/>
        <v/>
      </c>
    </row>
    <row r="1233" spans="1:10">
      <c r="D1233" s="238" t="s">
        <v>6854</v>
      </c>
      <c r="J1233" s="238" t="str">
        <f t="shared" si="19"/>
        <v/>
      </c>
    </row>
    <row r="1234" spans="1:10">
      <c r="A1234" s="238" t="s">
        <v>6853</v>
      </c>
      <c r="B1234" s="238" t="s">
        <v>6852</v>
      </c>
      <c r="D1234" s="238" t="s">
        <v>6851</v>
      </c>
      <c r="G1234" s="238" t="s">
        <v>5197</v>
      </c>
      <c r="J1234" s="238" t="str">
        <f t="shared" si="19"/>
        <v/>
      </c>
    </row>
    <row r="1235" spans="1:10" ht="18.75">
      <c r="A1235" s="240"/>
      <c r="B1235" s="240" t="s">
        <v>6850</v>
      </c>
      <c r="C1235" s="240"/>
      <c r="D1235" s="240" t="s">
        <v>6849</v>
      </c>
      <c r="E1235" s="240"/>
      <c r="F1235" s="240"/>
      <c r="G1235" s="240"/>
      <c r="H1235" s="240"/>
      <c r="I1235" s="240"/>
      <c r="J1235" s="238" t="str">
        <f t="shared" si="19"/>
        <v/>
      </c>
    </row>
    <row r="1236" spans="1:10">
      <c r="D1236" s="238" t="s">
        <v>6848</v>
      </c>
      <c r="J1236" s="238" t="str">
        <f t="shared" si="19"/>
        <v/>
      </c>
    </row>
    <row r="1237" spans="1:10">
      <c r="D1237" s="238" t="s">
        <v>6847</v>
      </c>
      <c r="J1237" s="238" t="str">
        <f t="shared" si="19"/>
        <v/>
      </c>
    </row>
    <row r="1238" spans="1:10">
      <c r="D1238" s="238" t="s">
        <v>6846</v>
      </c>
      <c r="J1238" s="238" t="str">
        <f t="shared" si="19"/>
        <v/>
      </c>
    </row>
    <row r="1239" spans="1:10">
      <c r="A1239" s="238" t="s">
        <v>6845</v>
      </c>
      <c r="B1239" s="238" t="s">
        <v>6844</v>
      </c>
      <c r="D1239" s="238" t="s">
        <v>6843</v>
      </c>
      <c r="G1239" s="238" t="s">
        <v>5197</v>
      </c>
      <c r="J1239" s="238" t="str">
        <f t="shared" si="19"/>
        <v/>
      </c>
    </row>
    <row r="1240" spans="1:10">
      <c r="D1240" s="238" t="s">
        <v>6843</v>
      </c>
      <c r="J1240" s="238" t="str">
        <f t="shared" si="19"/>
        <v>OK</v>
      </c>
    </row>
    <row r="1241" spans="1:10">
      <c r="D1241" s="238" t="s">
        <v>6842</v>
      </c>
      <c r="J1241" s="238" t="str">
        <f t="shared" si="19"/>
        <v/>
      </c>
    </row>
    <row r="1242" spans="1:10">
      <c r="D1242" s="238" t="s">
        <v>6841</v>
      </c>
      <c r="J1242" s="238" t="str">
        <f t="shared" si="19"/>
        <v/>
      </c>
    </row>
    <row r="1243" spans="1:10">
      <c r="A1243" s="244" t="s">
        <v>6840</v>
      </c>
      <c r="B1243" s="241"/>
      <c r="C1243" s="241"/>
      <c r="D1243" s="244" t="s">
        <v>6839</v>
      </c>
      <c r="E1243" s="244"/>
      <c r="F1243" s="241"/>
      <c r="G1243" s="243" t="s">
        <v>5168</v>
      </c>
      <c r="J1243" s="238" t="str">
        <f t="shared" si="19"/>
        <v/>
      </c>
    </row>
    <row r="1244" spans="1:10">
      <c r="D1244" s="238" t="s">
        <v>6839</v>
      </c>
      <c r="J1244" s="238" t="str">
        <f t="shared" si="19"/>
        <v>OK</v>
      </c>
    </row>
    <row r="1245" spans="1:10">
      <c r="D1245" s="238" t="s">
        <v>6838</v>
      </c>
      <c r="J1245" s="238" t="str">
        <f t="shared" si="19"/>
        <v/>
      </c>
    </row>
    <row r="1246" spans="1:10">
      <c r="A1246" s="238" t="s">
        <v>6837</v>
      </c>
      <c r="B1246" s="238" t="s">
        <v>6836</v>
      </c>
      <c r="D1246" s="238" t="s">
        <v>6835</v>
      </c>
      <c r="G1246" s="238" t="s">
        <v>5197</v>
      </c>
      <c r="J1246" s="238" t="str">
        <f t="shared" si="19"/>
        <v/>
      </c>
    </row>
    <row r="1247" spans="1:10">
      <c r="A1247" s="238" t="s">
        <v>6834</v>
      </c>
      <c r="B1247" s="238" t="s">
        <v>6833</v>
      </c>
      <c r="D1247" s="238" t="s">
        <v>6832</v>
      </c>
      <c r="G1247" s="238" t="s">
        <v>5197</v>
      </c>
      <c r="J1247" s="238" t="str">
        <f t="shared" si="19"/>
        <v/>
      </c>
    </row>
    <row r="1248" spans="1:10">
      <c r="A1248" s="238" t="s">
        <v>6831</v>
      </c>
      <c r="B1248" s="238" t="s">
        <v>6830</v>
      </c>
      <c r="C1248" s="238" t="s">
        <v>6165</v>
      </c>
      <c r="D1248" s="238" t="s">
        <v>6829</v>
      </c>
      <c r="G1248" s="238" t="s">
        <v>5197</v>
      </c>
      <c r="J1248" s="238" t="str">
        <f t="shared" si="19"/>
        <v/>
      </c>
    </row>
    <row r="1249" spans="1:10">
      <c r="D1249" s="238" t="s">
        <v>6829</v>
      </c>
      <c r="J1249" s="238" t="str">
        <f t="shared" si="19"/>
        <v>OK</v>
      </c>
    </row>
    <row r="1250" spans="1:10">
      <c r="D1250" s="238" t="s">
        <v>6828</v>
      </c>
      <c r="J1250" s="238" t="str">
        <f t="shared" si="19"/>
        <v/>
      </c>
    </row>
    <row r="1251" spans="1:10">
      <c r="D1251" s="238" t="s">
        <v>6827</v>
      </c>
      <c r="J1251" s="238" t="str">
        <f t="shared" si="19"/>
        <v/>
      </c>
    </row>
    <row r="1252" spans="1:10">
      <c r="A1252" s="238" t="s">
        <v>6826</v>
      </c>
      <c r="B1252" s="238" t="s">
        <v>6825</v>
      </c>
      <c r="D1252" s="238" t="s">
        <v>6824</v>
      </c>
      <c r="G1252" s="238" t="s">
        <v>5197</v>
      </c>
      <c r="J1252" s="238" t="str">
        <f t="shared" si="19"/>
        <v/>
      </c>
    </row>
    <row r="1253" spans="1:10" ht="18.75">
      <c r="A1253" s="240"/>
      <c r="B1253" s="240" t="s">
        <v>6823</v>
      </c>
      <c r="C1253" s="240"/>
      <c r="D1253" s="240" t="s">
        <v>6822</v>
      </c>
      <c r="E1253" s="240"/>
      <c r="F1253" s="240"/>
      <c r="G1253" s="240"/>
      <c r="H1253" s="240"/>
      <c r="I1253" s="240"/>
      <c r="J1253" s="238" t="str">
        <f t="shared" si="19"/>
        <v/>
      </c>
    </row>
    <row r="1254" spans="1:10">
      <c r="A1254" s="238" t="s">
        <v>6821</v>
      </c>
      <c r="B1254" s="238" t="s">
        <v>6820</v>
      </c>
      <c r="D1254" s="238" t="s">
        <v>6819</v>
      </c>
      <c r="G1254" s="238" t="s">
        <v>5197</v>
      </c>
      <c r="J1254" s="238" t="str">
        <f t="shared" si="19"/>
        <v/>
      </c>
    </row>
    <row r="1255" spans="1:10">
      <c r="A1255" s="238" t="s">
        <v>6818</v>
      </c>
      <c r="B1255" s="238" t="s">
        <v>5857</v>
      </c>
      <c r="D1255" s="238" t="s">
        <v>6817</v>
      </c>
      <c r="G1255" s="238" t="s">
        <v>5197</v>
      </c>
      <c r="J1255" s="238" t="str">
        <f t="shared" si="19"/>
        <v/>
      </c>
    </row>
    <row r="1256" spans="1:10">
      <c r="D1256" s="238" t="s">
        <v>6816</v>
      </c>
      <c r="J1256" s="238" t="str">
        <f t="shared" si="19"/>
        <v/>
      </c>
    </row>
    <row r="1257" spans="1:10">
      <c r="D1257" s="238" t="s">
        <v>6815</v>
      </c>
      <c r="J1257" s="238" t="str">
        <f t="shared" si="19"/>
        <v/>
      </c>
    </row>
    <row r="1258" spans="1:10">
      <c r="D1258" s="238" t="s">
        <v>6814</v>
      </c>
      <c r="J1258" s="238" t="str">
        <f t="shared" si="19"/>
        <v/>
      </c>
    </row>
    <row r="1259" spans="1:10">
      <c r="A1259" s="241" t="s">
        <v>6813</v>
      </c>
      <c r="B1259" s="241"/>
      <c r="C1259" s="241"/>
      <c r="D1259" s="264" t="s">
        <v>6812</v>
      </c>
      <c r="E1259" s="264"/>
      <c r="F1259" s="241"/>
      <c r="G1259" s="243" t="s">
        <v>5168</v>
      </c>
      <c r="J1259" s="238" t="str">
        <f t="shared" si="19"/>
        <v/>
      </c>
    </row>
    <row r="1260" spans="1:10">
      <c r="A1260" s="238" t="s">
        <v>6811</v>
      </c>
      <c r="B1260" s="238" t="s">
        <v>6810</v>
      </c>
      <c r="D1260" s="238" t="s">
        <v>6809</v>
      </c>
      <c r="G1260" s="238" t="s">
        <v>5197</v>
      </c>
      <c r="J1260" s="238" t="str">
        <f t="shared" si="19"/>
        <v/>
      </c>
    </row>
    <row r="1261" spans="1:10">
      <c r="A1261" s="238" t="s">
        <v>6808</v>
      </c>
      <c r="B1261" s="238" t="s">
        <v>6807</v>
      </c>
      <c r="C1261" s="238" t="s">
        <v>5212</v>
      </c>
      <c r="D1261" s="238" t="s">
        <v>6806</v>
      </c>
      <c r="G1261" s="238" t="s">
        <v>5197</v>
      </c>
      <c r="J1261" s="238" t="str">
        <f t="shared" si="19"/>
        <v/>
      </c>
    </row>
    <row r="1262" spans="1:10">
      <c r="D1262" s="238" t="s">
        <v>6806</v>
      </c>
      <c r="J1262" s="238" t="str">
        <f t="shared" si="19"/>
        <v>OK</v>
      </c>
    </row>
    <row r="1263" spans="1:10">
      <c r="A1263" s="238" t="s">
        <v>6805</v>
      </c>
      <c r="B1263" s="238" t="s">
        <v>5857</v>
      </c>
      <c r="D1263" s="238" t="s">
        <v>6804</v>
      </c>
      <c r="G1263" s="238" t="s">
        <v>5197</v>
      </c>
      <c r="J1263" s="238" t="str">
        <f t="shared" si="19"/>
        <v/>
      </c>
    </row>
    <row r="1264" spans="1:10">
      <c r="D1264" s="238" t="s">
        <v>6803</v>
      </c>
      <c r="J1264" s="238" t="str">
        <f t="shared" si="19"/>
        <v/>
      </c>
    </row>
    <row r="1265" spans="1:10">
      <c r="A1265" s="238" t="s">
        <v>6159</v>
      </c>
      <c r="B1265" s="238" t="s">
        <v>5857</v>
      </c>
      <c r="D1265" s="238" t="s">
        <v>6802</v>
      </c>
      <c r="G1265" s="238" t="s">
        <v>5197</v>
      </c>
      <c r="J1265" s="238" t="str">
        <f t="shared" si="19"/>
        <v/>
      </c>
    </row>
    <row r="1266" spans="1:10">
      <c r="D1266" s="238" t="s">
        <v>6801</v>
      </c>
      <c r="J1266" s="238" t="str">
        <f t="shared" si="19"/>
        <v/>
      </c>
    </row>
    <row r="1267" spans="1:10">
      <c r="A1267" s="238" t="s">
        <v>6800</v>
      </c>
      <c r="B1267" s="238" t="s">
        <v>6799</v>
      </c>
      <c r="C1267" s="238" t="s">
        <v>6202</v>
      </c>
      <c r="D1267" s="238" t="s">
        <v>6798</v>
      </c>
      <c r="G1267" s="238" t="s">
        <v>5197</v>
      </c>
      <c r="J1267" s="238" t="str">
        <f t="shared" si="19"/>
        <v/>
      </c>
    </row>
    <row r="1268" spans="1:10">
      <c r="D1268" s="238" t="s">
        <v>6797</v>
      </c>
      <c r="J1268" s="238" t="str">
        <f t="shared" si="19"/>
        <v/>
      </c>
    </row>
    <row r="1269" spans="1:10">
      <c r="D1269" s="238" t="s">
        <v>6796</v>
      </c>
      <c r="J1269" s="238" t="str">
        <f t="shared" si="19"/>
        <v/>
      </c>
    </row>
    <row r="1270" spans="1:10">
      <c r="D1270" s="238" t="s">
        <v>6795</v>
      </c>
      <c r="J1270" s="238" t="str">
        <f t="shared" si="19"/>
        <v/>
      </c>
    </row>
    <row r="1271" spans="1:10" ht="18.75">
      <c r="A1271" s="240"/>
      <c r="B1271" s="240" t="s">
        <v>6794</v>
      </c>
      <c r="C1271" s="240"/>
      <c r="D1271" s="240" t="s">
        <v>6793</v>
      </c>
      <c r="E1271" s="240"/>
      <c r="F1271" s="240"/>
      <c r="G1271" s="240"/>
      <c r="H1271" s="240"/>
      <c r="I1271" s="240"/>
      <c r="J1271" s="238" t="str">
        <f t="shared" si="19"/>
        <v/>
      </c>
    </row>
    <row r="1272" spans="1:10">
      <c r="A1272" s="238" t="s">
        <v>6792</v>
      </c>
      <c r="B1272" s="238" t="s">
        <v>6791</v>
      </c>
      <c r="D1272" s="238" t="s">
        <v>6790</v>
      </c>
      <c r="G1272" s="238" t="s">
        <v>5197</v>
      </c>
      <c r="J1272" s="238" t="str">
        <f t="shared" si="19"/>
        <v/>
      </c>
    </row>
    <row r="1273" spans="1:10" ht="18.75">
      <c r="A1273" s="240"/>
      <c r="B1273" s="240" t="s">
        <v>6789</v>
      </c>
      <c r="C1273" s="240"/>
      <c r="D1273" s="240" t="s">
        <v>6788</v>
      </c>
      <c r="E1273" s="240"/>
      <c r="F1273" s="240"/>
      <c r="G1273" s="240"/>
      <c r="H1273" s="240"/>
      <c r="I1273" s="240"/>
      <c r="J1273" s="238" t="str">
        <f t="shared" si="19"/>
        <v/>
      </c>
    </row>
    <row r="1274" spans="1:10">
      <c r="A1274" s="238" t="s">
        <v>6787</v>
      </c>
      <c r="B1274" s="238" t="s">
        <v>6786</v>
      </c>
      <c r="D1274" s="238" t="s">
        <v>6784</v>
      </c>
      <c r="G1274" s="238" t="s">
        <v>5197</v>
      </c>
      <c r="J1274" s="238" t="str">
        <f t="shared" si="19"/>
        <v/>
      </c>
    </row>
    <row r="1275" spans="1:10">
      <c r="A1275" s="238" t="s">
        <v>6785</v>
      </c>
      <c r="B1275" s="238" t="s">
        <v>5857</v>
      </c>
      <c r="D1275" s="238" t="s">
        <v>6784</v>
      </c>
      <c r="G1275" s="238" t="s">
        <v>5197</v>
      </c>
      <c r="J1275" s="238" t="str">
        <f t="shared" si="19"/>
        <v>OK</v>
      </c>
    </row>
    <row r="1276" spans="1:10">
      <c r="D1276" s="238" t="s">
        <v>6784</v>
      </c>
      <c r="J1276" s="238" t="str">
        <f t="shared" si="19"/>
        <v>OK</v>
      </c>
    </row>
    <row r="1277" spans="1:10">
      <c r="A1277" s="247" t="s">
        <v>6783</v>
      </c>
      <c r="B1277" s="247" t="s">
        <v>6782</v>
      </c>
      <c r="C1277" s="247"/>
      <c r="D1277" s="238" t="s">
        <v>6781</v>
      </c>
      <c r="E1277" s="248"/>
      <c r="F1277" s="247" t="s">
        <v>6780</v>
      </c>
      <c r="G1277" s="243" t="s">
        <v>5168</v>
      </c>
      <c r="J1277" s="238" t="str">
        <f t="shared" si="19"/>
        <v/>
      </c>
    </row>
    <row r="1278" spans="1:10">
      <c r="D1278" s="238" t="s">
        <v>6779</v>
      </c>
      <c r="J1278" s="238" t="str">
        <f t="shared" si="19"/>
        <v/>
      </c>
    </row>
    <row r="1279" spans="1:10">
      <c r="D1279" s="238" t="s">
        <v>6778</v>
      </c>
      <c r="J1279" s="238" t="str">
        <f t="shared" si="19"/>
        <v/>
      </c>
    </row>
    <row r="1280" spans="1:10">
      <c r="D1280" s="238" t="s">
        <v>6777</v>
      </c>
      <c r="J1280" s="238" t="str">
        <f t="shared" si="19"/>
        <v/>
      </c>
    </row>
    <row r="1281" spans="1:10">
      <c r="D1281" s="238" t="s">
        <v>6776</v>
      </c>
      <c r="J1281" s="238" t="str">
        <f t="shared" si="19"/>
        <v/>
      </c>
    </row>
    <row r="1282" spans="1:10">
      <c r="A1282" s="238" t="s">
        <v>6775</v>
      </c>
      <c r="B1282" s="238" t="s">
        <v>6774</v>
      </c>
      <c r="C1282" s="238" t="s">
        <v>6773</v>
      </c>
      <c r="D1282" s="238" t="s">
        <v>6772</v>
      </c>
      <c r="G1282" s="238" t="s">
        <v>5197</v>
      </c>
      <c r="J1282" s="238" t="str">
        <f t="shared" si="19"/>
        <v/>
      </c>
    </row>
    <row r="1283" spans="1:10" ht="18.75">
      <c r="A1283" s="240"/>
      <c r="B1283" s="240" t="s">
        <v>6771</v>
      </c>
      <c r="C1283" s="240"/>
      <c r="D1283" s="240" t="s">
        <v>6770</v>
      </c>
      <c r="E1283" s="240"/>
      <c r="F1283" s="240"/>
      <c r="G1283" s="240"/>
      <c r="H1283" s="240"/>
      <c r="I1283" s="240"/>
      <c r="J1283" s="238" t="str">
        <f t="shared" ref="J1283:J1346" si="20">IF(D1282=D1283,"OK","")</f>
        <v/>
      </c>
    </row>
    <row r="1284" spans="1:10" ht="18.75">
      <c r="A1284" s="240"/>
      <c r="B1284" s="240" t="s">
        <v>6769</v>
      </c>
      <c r="C1284" s="240"/>
      <c r="D1284" s="240" t="s">
        <v>6768</v>
      </c>
      <c r="E1284" s="240"/>
      <c r="F1284" s="240"/>
      <c r="G1284" s="240"/>
      <c r="H1284" s="240"/>
      <c r="I1284" s="240"/>
      <c r="J1284" s="238" t="str">
        <f t="shared" si="20"/>
        <v/>
      </c>
    </row>
    <row r="1285" spans="1:10">
      <c r="A1285" s="244" t="s">
        <v>6767</v>
      </c>
      <c r="B1285" s="244" t="s">
        <v>6766</v>
      </c>
      <c r="C1285" s="244"/>
      <c r="D1285" s="238" t="s">
        <v>6765</v>
      </c>
      <c r="E1285" s="245"/>
      <c r="F1285" s="244" t="s">
        <v>6764</v>
      </c>
      <c r="G1285" s="243" t="s">
        <v>5168</v>
      </c>
      <c r="J1285" s="238" t="str">
        <f t="shared" si="20"/>
        <v/>
      </c>
    </row>
    <row r="1286" spans="1:10" ht="18.75">
      <c r="A1286" s="240"/>
      <c r="B1286" s="240" t="s">
        <v>6763</v>
      </c>
      <c r="C1286" s="240"/>
      <c r="D1286" s="240" t="s">
        <v>6762</v>
      </c>
      <c r="E1286" s="240"/>
      <c r="F1286" s="240"/>
      <c r="G1286" s="240"/>
      <c r="H1286" s="240"/>
      <c r="I1286" s="240"/>
      <c r="J1286" s="238" t="str">
        <f t="shared" si="20"/>
        <v/>
      </c>
    </row>
    <row r="1287" spans="1:10">
      <c r="A1287" s="238" t="s">
        <v>6761</v>
      </c>
      <c r="B1287" s="238" t="s">
        <v>6760</v>
      </c>
      <c r="C1287" s="238" t="s">
        <v>6058</v>
      </c>
      <c r="D1287" s="238" t="s">
        <v>6758</v>
      </c>
      <c r="G1287" s="238" t="s">
        <v>5197</v>
      </c>
      <c r="J1287" s="238" t="str">
        <f t="shared" si="20"/>
        <v/>
      </c>
    </row>
    <row r="1288" spans="1:10" ht="18.75">
      <c r="A1288" s="240"/>
      <c r="B1288" s="240" t="s">
        <v>6759</v>
      </c>
      <c r="C1288" s="240"/>
      <c r="D1288" s="240" t="s">
        <v>6758</v>
      </c>
      <c r="E1288" s="240"/>
      <c r="F1288" s="240"/>
      <c r="G1288" s="240"/>
      <c r="H1288" s="240"/>
      <c r="I1288" s="240"/>
      <c r="J1288" s="238" t="str">
        <f t="shared" si="20"/>
        <v>OK</v>
      </c>
    </row>
    <row r="1289" spans="1:10" ht="18.75">
      <c r="A1289" s="240"/>
      <c r="B1289" s="240" t="s">
        <v>6759</v>
      </c>
      <c r="C1289" s="240"/>
      <c r="D1289" s="240" t="s">
        <v>6758</v>
      </c>
      <c r="E1289" s="240"/>
      <c r="F1289" s="240"/>
      <c r="G1289" s="240"/>
      <c r="H1289" s="240"/>
      <c r="I1289" s="240"/>
      <c r="J1289" s="238" t="str">
        <f t="shared" si="20"/>
        <v>OK</v>
      </c>
    </row>
    <row r="1290" spans="1:10">
      <c r="D1290" s="238" t="s">
        <v>6757</v>
      </c>
      <c r="J1290" s="238" t="str">
        <f t="shared" si="20"/>
        <v/>
      </c>
    </row>
    <row r="1291" spans="1:10" ht="18.75">
      <c r="A1291" s="240"/>
      <c r="B1291" s="240" t="s">
        <v>6756</v>
      </c>
      <c r="C1291" s="240"/>
      <c r="D1291" s="240" t="s">
        <v>6755</v>
      </c>
      <c r="E1291" s="240"/>
      <c r="F1291" s="240"/>
      <c r="G1291" s="240"/>
      <c r="H1291" s="240"/>
      <c r="I1291" s="240"/>
      <c r="J1291" s="238" t="str">
        <f t="shared" si="20"/>
        <v/>
      </c>
    </row>
    <row r="1292" spans="1:10">
      <c r="A1292" s="244" t="s">
        <v>5221</v>
      </c>
      <c r="B1292" s="244" t="s">
        <v>6754</v>
      </c>
      <c r="C1292" s="244"/>
      <c r="D1292" s="238" t="s">
        <v>6753</v>
      </c>
      <c r="E1292" s="245"/>
      <c r="F1292" s="244"/>
      <c r="G1292" s="243" t="s">
        <v>5168</v>
      </c>
      <c r="J1292" s="238" t="str">
        <f t="shared" si="20"/>
        <v/>
      </c>
    </row>
    <row r="1293" spans="1:10">
      <c r="D1293" s="238" t="s">
        <v>6752</v>
      </c>
      <c r="J1293" s="238" t="str">
        <f t="shared" si="20"/>
        <v/>
      </c>
    </row>
    <row r="1294" spans="1:10">
      <c r="D1294" s="238" t="s">
        <v>6751</v>
      </c>
      <c r="J1294" s="238" t="str">
        <f t="shared" si="20"/>
        <v/>
      </c>
    </row>
    <row r="1295" spans="1:10">
      <c r="A1295" s="238" t="s">
        <v>6750</v>
      </c>
      <c r="B1295" s="238" t="s">
        <v>6749</v>
      </c>
      <c r="D1295" s="238" t="s">
        <v>6748</v>
      </c>
      <c r="G1295" s="238" t="s">
        <v>5197</v>
      </c>
      <c r="J1295" s="238" t="str">
        <f t="shared" si="20"/>
        <v/>
      </c>
    </row>
    <row r="1296" spans="1:10">
      <c r="D1296" s="238" t="s">
        <v>6747</v>
      </c>
      <c r="J1296" s="238" t="str">
        <f t="shared" si="20"/>
        <v/>
      </c>
    </row>
    <row r="1297" spans="1:10" ht="18.75">
      <c r="A1297" s="240"/>
      <c r="B1297" s="240" t="s">
        <v>6746</v>
      </c>
      <c r="C1297" s="240"/>
      <c r="D1297" s="240" t="s">
        <v>6745</v>
      </c>
      <c r="E1297" s="240"/>
      <c r="F1297" s="240"/>
      <c r="G1297" s="240"/>
      <c r="H1297" s="240"/>
      <c r="I1297" s="240"/>
      <c r="J1297" s="238" t="str">
        <f t="shared" si="20"/>
        <v/>
      </c>
    </row>
    <row r="1298" spans="1:10">
      <c r="D1298" s="238" t="s">
        <v>6744</v>
      </c>
      <c r="J1298" s="238" t="str">
        <f t="shared" si="20"/>
        <v/>
      </c>
    </row>
    <row r="1299" spans="1:10">
      <c r="D1299" s="238" t="s">
        <v>6743</v>
      </c>
      <c r="J1299" s="238" t="str">
        <f t="shared" si="20"/>
        <v/>
      </c>
    </row>
    <row r="1300" spans="1:10">
      <c r="D1300" s="238" t="s">
        <v>6742</v>
      </c>
      <c r="J1300" s="238" t="str">
        <f t="shared" si="20"/>
        <v/>
      </c>
    </row>
    <row r="1301" spans="1:10">
      <c r="D1301" s="238" t="s">
        <v>6741</v>
      </c>
      <c r="J1301" s="238" t="str">
        <f t="shared" si="20"/>
        <v/>
      </c>
    </row>
    <row r="1302" spans="1:10">
      <c r="D1302" s="238" t="s">
        <v>6740</v>
      </c>
      <c r="J1302" s="238" t="str">
        <f t="shared" si="20"/>
        <v/>
      </c>
    </row>
    <row r="1303" spans="1:10">
      <c r="D1303" s="238" t="s">
        <v>6739</v>
      </c>
      <c r="J1303" s="238" t="str">
        <f t="shared" si="20"/>
        <v/>
      </c>
    </row>
    <row r="1304" spans="1:10">
      <c r="A1304" s="238" t="s">
        <v>6738</v>
      </c>
      <c r="B1304" s="238" t="s">
        <v>6737</v>
      </c>
      <c r="D1304" s="238" t="s">
        <v>6736</v>
      </c>
      <c r="G1304" s="238" t="s">
        <v>5197</v>
      </c>
      <c r="J1304" s="238" t="str">
        <f t="shared" si="20"/>
        <v/>
      </c>
    </row>
    <row r="1305" spans="1:10">
      <c r="D1305" s="238" t="s">
        <v>6735</v>
      </c>
      <c r="J1305" s="238" t="str">
        <f t="shared" si="20"/>
        <v/>
      </c>
    </row>
    <row r="1306" spans="1:10">
      <c r="D1306" s="238" t="s">
        <v>6734</v>
      </c>
      <c r="J1306" s="238" t="str">
        <f t="shared" si="20"/>
        <v/>
      </c>
    </row>
    <row r="1307" spans="1:10">
      <c r="A1307" s="238" t="s">
        <v>6733</v>
      </c>
      <c r="B1307" s="238" t="s">
        <v>6732</v>
      </c>
      <c r="D1307" s="238" t="s">
        <v>6731</v>
      </c>
      <c r="G1307" s="238" t="s">
        <v>5197</v>
      </c>
      <c r="J1307" s="238" t="str">
        <f t="shared" si="20"/>
        <v/>
      </c>
    </row>
    <row r="1308" spans="1:10">
      <c r="A1308" s="238" t="s">
        <v>6730</v>
      </c>
      <c r="B1308" s="238" t="s">
        <v>6729</v>
      </c>
      <c r="C1308" s="238" t="s">
        <v>5575</v>
      </c>
      <c r="D1308" s="238" t="s">
        <v>6727</v>
      </c>
      <c r="G1308" s="238" t="s">
        <v>5197</v>
      </c>
      <c r="J1308" s="238" t="str">
        <f t="shared" si="20"/>
        <v/>
      </c>
    </row>
    <row r="1309" spans="1:10">
      <c r="D1309" s="238" t="s">
        <v>6727</v>
      </c>
      <c r="J1309" s="238" t="str">
        <f t="shared" si="20"/>
        <v>OK</v>
      </c>
    </row>
    <row r="1310" spans="1:10" ht="18.75">
      <c r="A1310" s="240"/>
      <c r="B1310" s="240" t="s">
        <v>6728</v>
      </c>
      <c r="C1310" s="240"/>
      <c r="D1310" s="240" t="s">
        <v>6727</v>
      </c>
      <c r="E1310" s="240"/>
      <c r="F1310" s="240"/>
      <c r="G1310" s="240"/>
      <c r="H1310" s="240"/>
      <c r="I1310" s="240"/>
      <c r="J1310" s="238" t="str">
        <f t="shared" si="20"/>
        <v>OK</v>
      </c>
    </row>
    <row r="1311" spans="1:10" ht="18.75">
      <c r="A1311" s="240"/>
      <c r="B1311" s="240" t="s">
        <v>6726</v>
      </c>
      <c r="C1311" s="240"/>
      <c r="D1311" s="240" t="s">
        <v>6725</v>
      </c>
      <c r="E1311" s="240"/>
      <c r="F1311" s="240"/>
      <c r="G1311" s="240"/>
      <c r="H1311" s="240"/>
      <c r="I1311" s="240"/>
      <c r="J1311" s="238" t="str">
        <f t="shared" si="20"/>
        <v/>
      </c>
    </row>
    <row r="1312" spans="1:10">
      <c r="D1312" s="238" t="s">
        <v>6724</v>
      </c>
      <c r="J1312" s="238" t="str">
        <f t="shared" si="20"/>
        <v/>
      </c>
    </row>
    <row r="1313" spans="1:10">
      <c r="A1313" s="244" t="s">
        <v>6723</v>
      </c>
      <c r="B1313" s="244" t="s">
        <v>6722</v>
      </c>
      <c r="C1313" s="244"/>
      <c r="D1313" s="238" t="s">
        <v>6721</v>
      </c>
      <c r="E1313" s="245"/>
      <c r="F1313" s="244" t="s">
        <v>6720</v>
      </c>
      <c r="G1313" s="243" t="s">
        <v>5168</v>
      </c>
      <c r="J1313" s="238" t="str">
        <f t="shared" si="20"/>
        <v/>
      </c>
    </row>
    <row r="1314" spans="1:10">
      <c r="D1314" s="238" t="s">
        <v>6719</v>
      </c>
      <c r="J1314" s="238" t="str">
        <f t="shared" si="20"/>
        <v>OK</v>
      </c>
    </row>
    <row r="1315" spans="1:10">
      <c r="D1315" s="238" t="s">
        <v>6719</v>
      </c>
      <c r="J1315" s="238" t="str">
        <f t="shared" si="20"/>
        <v>OK</v>
      </c>
    </row>
    <row r="1316" spans="1:10">
      <c r="D1316" s="238" t="s">
        <v>6718</v>
      </c>
      <c r="J1316" s="238" t="str">
        <f t="shared" si="20"/>
        <v/>
      </c>
    </row>
    <row r="1317" spans="1:10" ht="18.75">
      <c r="A1317" s="240"/>
      <c r="B1317" s="240" t="s">
        <v>6717</v>
      </c>
      <c r="C1317" s="240"/>
      <c r="D1317" s="240" t="s">
        <v>6716</v>
      </c>
      <c r="E1317" s="240"/>
      <c r="F1317" s="240"/>
      <c r="G1317" s="240"/>
      <c r="H1317" s="240"/>
      <c r="I1317" s="240"/>
      <c r="J1317" s="238" t="str">
        <f t="shared" si="20"/>
        <v/>
      </c>
    </row>
    <row r="1318" spans="1:10">
      <c r="D1318" s="238" t="s">
        <v>6715</v>
      </c>
      <c r="J1318" s="238" t="str">
        <f t="shared" si="20"/>
        <v/>
      </c>
    </row>
    <row r="1319" spans="1:10">
      <c r="D1319" s="238" t="s">
        <v>6714</v>
      </c>
      <c r="J1319" s="238" t="str">
        <f t="shared" si="20"/>
        <v/>
      </c>
    </row>
    <row r="1320" spans="1:10" ht="18.75">
      <c r="A1320" s="240"/>
      <c r="B1320" s="240" t="s">
        <v>6713</v>
      </c>
      <c r="C1320" s="240"/>
      <c r="D1320" s="240" t="s">
        <v>6712</v>
      </c>
      <c r="E1320" s="240"/>
      <c r="F1320" s="240"/>
      <c r="G1320" s="240"/>
      <c r="H1320" s="240"/>
      <c r="I1320" s="240"/>
      <c r="J1320" s="238" t="str">
        <f t="shared" si="20"/>
        <v/>
      </c>
    </row>
    <row r="1321" spans="1:10">
      <c r="D1321" s="238" t="s">
        <v>6711</v>
      </c>
      <c r="J1321" s="238" t="str">
        <f t="shared" si="20"/>
        <v/>
      </c>
    </row>
    <row r="1322" spans="1:10">
      <c r="A1322" s="238" t="s">
        <v>6710</v>
      </c>
      <c r="B1322" s="238" t="s">
        <v>6709</v>
      </c>
      <c r="C1322" s="238" t="s">
        <v>6304</v>
      </c>
      <c r="D1322" s="238" t="s">
        <v>6708</v>
      </c>
      <c r="G1322" s="238" t="s">
        <v>5197</v>
      </c>
      <c r="J1322" s="238" t="str">
        <f t="shared" si="20"/>
        <v/>
      </c>
    </row>
    <row r="1323" spans="1:10">
      <c r="D1323" s="238" t="s">
        <v>6707</v>
      </c>
      <c r="J1323" s="238" t="str">
        <f t="shared" si="20"/>
        <v/>
      </c>
    </row>
    <row r="1324" spans="1:10" ht="18.75">
      <c r="A1324" s="240"/>
      <c r="B1324" s="240" t="s">
        <v>6706</v>
      </c>
      <c r="C1324" s="240"/>
      <c r="D1324" s="240" t="s">
        <v>6705</v>
      </c>
      <c r="E1324" s="240"/>
      <c r="F1324" s="240"/>
      <c r="G1324" s="240"/>
      <c r="H1324" s="240"/>
      <c r="I1324" s="240"/>
      <c r="J1324" s="238" t="str">
        <f t="shared" si="20"/>
        <v/>
      </c>
    </row>
    <row r="1325" spans="1:10">
      <c r="A1325" s="238" t="s">
        <v>6704</v>
      </c>
      <c r="B1325" s="238" t="s">
        <v>6703</v>
      </c>
      <c r="D1325" s="238" t="s">
        <v>6702</v>
      </c>
      <c r="G1325" s="238" t="s">
        <v>5197</v>
      </c>
      <c r="J1325" s="238" t="str">
        <f t="shared" si="20"/>
        <v/>
      </c>
    </row>
    <row r="1326" spans="1:10">
      <c r="D1326" s="238" t="s">
        <v>6701</v>
      </c>
      <c r="J1326" s="238" t="str">
        <f t="shared" si="20"/>
        <v/>
      </c>
    </row>
    <row r="1327" spans="1:10">
      <c r="D1327" s="238" t="s">
        <v>6700</v>
      </c>
      <c r="J1327" s="238" t="str">
        <f t="shared" si="20"/>
        <v/>
      </c>
    </row>
    <row r="1328" spans="1:10">
      <c r="D1328" s="238" t="s">
        <v>6699</v>
      </c>
      <c r="J1328" s="238" t="str">
        <f t="shared" si="20"/>
        <v/>
      </c>
    </row>
    <row r="1329" spans="1:10">
      <c r="A1329" s="244" t="s">
        <v>6698</v>
      </c>
      <c r="B1329" s="244" t="s">
        <v>6697</v>
      </c>
      <c r="C1329" s="244"/>
      <c r="D1329" s="238" t="s">
        <v>6696</v>
      </c>
      <c r="E1329" s="245"/>
      <c r="F1329" s="244" t="s">
        <v>6695</v>
      </c>
      <c r="G1329" s="243" t="s">
        <v>5168</v>
      </c>
      <c r="J1329" s="238" t="str">
        <f t="shared" si="20"/>
        <v/>
      </c>
    </row>
    <row r="1330" spans="1:10">
      <c r="D1330" s="238" t="s">
        <v>6694</v>
      </c>
      <c r="J1330" s="238" t="str">
        <f t="shared" si="20"/>
        <v/>
      </c>
    </row>
    <row r="1331" spans="1:10">
      <c r="D1331" s="238" t="s">
        <v>6693</v>
      </c>
      <c r="J1331" s="238" t="str">
        <f t="shared" si="20"/>
        <v/>
      </c>
    </row>
    <row r="1332" spans="1:10">
      <c r="D1332" s="238" t="s">
        <v>6692</v>
      </c>
      <c r="J1332" s="238" t="str">
        <f t="shared" si="20"/>
        <v/>
      </c>
    </row>
    <row r="1333" spans="1:10">
      <c r="D1333" s="238" t="s">
        <v>6691</v>
      </c>
      <c r="J1333" s="238" t="str">
        <f t="shared" si="20"/>
        <v/>
      </c>
    </row>
    <row r="1334" spans="1:10">
      <c r="D1334" s="238" t="s">
        <v>6690</v>
      </c>
      <c r="J1334" s="238" t="str">
        <f t="shared" si="20"/>
        <v/>
      </c>
    </row>
    <row r="1335" spans="1:10">
      <c r="D1335" s="238" t="s">
        <v>6689</v>
      </c>
      <c r="J1335" s="238" t="str">
        <f t="shared" si="20"/>
        <v/>
      </c>
    </row>
    <row r="1336" spans="1:10" ht="18.75">
      <c r="A1336" s="240"/>
      <c r="B1336" s="240" t="s">
        <v>6688</v>
      </c>
      <c r="C1336" s="240"/>
      <c r="D1336" s="240" t="s">
        <v>6687</v>
      </c>
      <c r="E1336" s="240"/>
      <c r="F1336" s="240"/>
      <c r="G1336" s="240"/>
      <c r="H1336" s="240"/>
      <c r="I1336" s="240"/>
      <c r="J1336" s="238" t="str">
        <f t="shared" si="20"/>
        <v/>
      </c>
    </row>
    <row r="1337" spans="1:10">
      <c r="A1337" s="238" t="s">
        <v>6686</v>
      </c>
      <c r="B1337" s="238" t="s">
        <v>6685</v>
      </c>
      <c r="C1337" s="238" t="s">
        <v>6304</v>
      </c>
      <c r="D1337" s="238" t="s">
        <v>6684</v>
      </c>
      <c r="G1337" s="238" t="s">
        <v>5197</v>
      </c>
      <c r="J1337" s="238" t="str">
        <f t="shared" si="20"/>
        <v/>
      </c>
    </row>
    <row r="1338" spans="1:10">
      <c r="A1338" s="244" t="s">
        <v>6683</v>
      </c>
      <c r="B1338" s="244" t="s">
        <v>6682</v>
      </c>
      <c r="C1338" s="244"/>
      <c r="D1338" s="238" t="s">
        <v>6681</v>
      </c>
      <c r="E1338" s="245"/>
      <c r="F1338" s="244"/>
      <c r="G1338" s="243" t="s">
        <v>5168</v>
      </c>
      <c r="J1338" s="238" t="str">
        <f t="shared" si="20"/>
        <v>OK</v>
      </c>
    </row>
    <row r="1339" spans="1:10" ht="18.75">
      <c r="A1339" s="240"/>
      <c r="B1339" s="240" t="s">
        <v>6680</v>
      </c>
      <c r="C1339" s="240"/>
      <c r="D1339" s="240" t="s">
        <v>6679</v>
      </c>
      <c r="E1339" s="240"/>
      <c r="F1339" s="240"/>
      <c r="G1339" s="240"/>
      <c r="H1339" s="240"/>
      <c r="I1339" s="240"/>
      <c r="J1339" s="238" t="str">
        <f t="shared" si="20"/>
        <v/>
      </c>
    </row>
    <row r="1340" spans="1:10" ht="18.75">
      <c r="A1340" s="240"/>
      <c r="B1340" s="240" t="s">
        <v>6678</v>
      </c>
      <c r="C1340" s="240"/>
      <c r="D1340" s="240" t="s">
        <v>6677</v>
      </c>
      <c r="E1340" s="240"/>
      <c r="F1340" s="240"/>
      <c r="G1340" s="240"/>
      <c r="H1340" s="240"/>
      <c r="I1340" s="240"/>
      <c r="J1340" s="238" t="str">
        <f t="shared" si="20"/>
        <v/>
      </c>
    </row>
    <row r="1341" spans="1:10" ht="18.75">
      <c r="A1341" s="240"/>
      <c r="B1341" s="240" t="s">
        <v>6676</v>
      </c>
      <c r="C1341" s="240"/>
      <c r="D1341" s="240" t="s">
        <v>6675</v>
      </c>
      <c r="E1341" s="240"/>
      <c r="F1341" s="240"/>
      <c r="G1341" s="240"/>
      <c r="H1341" s="240"/>
      <c r="I1341" s="240"/>
      <c r="J1341" s="238" t="str">
        <f t="shared" si="20"/>
        <v/>
      </c>
    </row>
    <row r="1342" spans="1:10">
      <c r="D1342" s="238" t="s">
        <v>6674</v>
      </c>
      <c r="J1342" s="238" t="str">
        <f t="shared" si="20"/>
        <v/>
      </c>
    </row>
    <row r="1343" spans="1:10" ht="18.75">
      <c r="A1343" s="240"/>
      <c r="B1343" s="240" t="s">
        <v>6673</v>
      </c>
      <c r="C1343" s="240"/>
      <c r="D1343" s="240" t="s">
        <v>6672</v>
      </c>
      <c r="E1343" s="240"/>
      <c r="F1343" s="240"/>
      <c r="G1343" s="240"/>
      <c r="H1343" s="240"/>
      <c r="I1343" s="240"/>
      <c r="J1343" s="238" t="str">
        <f t="shared" si="20"/>
        <v/>
      </c>
    </row>
    <row r="1344" spans="1:10">
      <c r="D1344" s="238" t="s">
        <v>6671</v>
      </c>
      <c r="J1344" s="238" t="str">
        <f t="shared" si="20"/>
        <v/>
      </c>
    </row>
    <row r="1345" spans="1:10">
      <c r="A1345" s="244" t="s">
        <v>6670</v>
      </c>
      <c r="B1345" s="241"/>
      <c r="C1345" s="241"/>
      <c r="D1345" s="244" t="s">
        <v>6669</v>
      </c>
      <c r="E1345" s="244"/>
      <c r="F1345" s="241"/>
      <c r="G1345" s="243" t="s">
        <v>5168</v>
      </c>
      <c r="J1345" s="238" t="str">
        <f t="shared" si="20"/>
        <v/>
      </c>
    </row>
    <row r="1346" spans="1:10">
      <c r="D1346" s="238" t="s">
        <v>6668</v>
      </c>
      <c r="J1346" s="238" t="str">
        <f t="shared" si="20"/>
        <v/>
      </c>
    </row>
    <row r="1347" spans="1:10">
      <c r="A1347" s="238" t="s">
        <v>6666</v>
      </c>
      <c r="B1347" s="238" t="s">
        <v>6667</v>
      </c>
      <c r="D1347" s="238" t="s">
        <v>6663</v>
      </c>
      <c r="G1347" s="238" t="s">
        <v>5197</v>
      </c>
      <c r="J1347" s="238" t="str">
        <f t="shared" ref="J1347:J1410" si="21">IF(D1346=D1347,"OK","")</f>
        <v/>
      </c>
    </row>
    <row r="1348" spans="1:10">
      <c r="A1348" s="238" t="s">
        <v>6666</v>
      </c>
      <c r="B1348" s="238" t="s">
        <v>6665</v>
      </c>
      <c r="C1348" s="238" t="s">
        <v>6664</v>
      </c>
      <c r="D1348" s="238" t="s">
        <v>6663</v>
      </c>
      <c r="G1348" s="238" t="s">
        <v>5197</v>
      </c>
      <c r="J1348" s="238" t="str">
        <f t="shared" si="21"/>
        <v>OK</v>
      </c>
    </row>
    <row r="1349" spans="1:10" ht="18.75">
      <c r="A1349" s="240"/>
      <c r="B1349" s="240" t="s">
        <v>5342</v>
      </c>
      <c r="C1349" s="240"/>
      <c r="D1349" s="240" t="s">
        <v>6662</v>
      </c>
      <c r="E1349" s="240"/>
      <c r="F1349" s="240"/>
      <c r="G1349" s="240"/>
      <c r="H1349" s="240"/>
      <c r="I1349" s="240"/>
      <c r="J1349" s="238" t="str">
        <f t="shared" si="21"/>
        <v/>
      </c>
    </row>
    <row r="1350" spans="1:10">
      <c r="D1350" s="238" t="s">
        <v>6661</v>
      </c>
      <c r="J1350" s="238" t="str">
        <f t="shared" si="21"/>
        <v/>
      </c>
    </row>
    <row r="1351" spans="1:10">
      <c r="A1351" s="238" t="s">
        <v>6660</v>
      </c>
      <c r="B1351" s="238" t="s">
        <v>6659</v>
      </c>
      <c r="D1351" s="238" t="s">
        <v>6658</v>
      </c>
      <c r="G1351" s="238" t="s">
        <v>5197</v>
      </c>
      <c r="J1351" s="238" t="str">
        <f t="shared" si="21"/>
        <v/>
      </c>
    </row>
    <row r="1352" spans="1:10">
      <c r="D1352" s="238" t="s">
        <v>6657</v>
      </c>
      <c r="J1352" s="238" t="str">
        <f t="shared" si="21"/>
        <v/>
      </c>
    </row>
    <row r="1353" spans="1:10">
      <c r="A1353" s="238" t="s">
        <v>6656</v>
      </c>
      <c r="B1353" s="238" t="s">
        <v>6655</v>
      </c>
      <c r="D1353" s="238" t="s">
        <v>6654</v>
      </c>
      <c r="G1353" s="238" t="s">
        <v>5197</v>
      </c>
      <c r="J1353" s="238" t="str">
        <f t="shared" si="21"/>
        <v/>
      </c>
    </row>
    <row r="1354" spans="1:10">
      <c r="D1354" s="238" t="s">
        <v>6653</v>
      </c>
      <c r="J1354" s="238" t="str">
        <f t="shared" si="21"/>
        <v/>
      </c>
    </row>
    <row r="1355" spans="1:10">
      <c r="A1355" s="238" t="s">
        <v>6652</v>
      </c>
      <c r="B1355" s="238" t="s">
        <v>6651</v>
      </c>
      <c r="D1355" s="238" t="s">
        <v>6650</v>
      </c>
      <c r="G1355" s="238" t="s">
        <v>5197</v>
      </c>
      <c r="J1355" s="238" t="str">
        <f t="shared" si="21"/>
        <v/>
      </c>
    </row>
    <row r="1356" spans="1:10">
      <c r="A1356" s="238" t="s">
        <v>6649</v>
      </c>
      <c r="B1356" s="238" t="s">
        <v>6648</v>
      </c>
      <c r="C1356" s="238" t="s">
        <v>6647</v>
      </c>
      <c r="D1356" s="238" t="s">
        <v>6646</v>
      </c>
      <c r="G1356" s="238" t="s">
        <v>5197</v>
      </c>
      <c r="J1356" s="238" t="str">
        <f t="shared" si="21"/>
        <v/>
      </c>
    </row>
    <row r="1357" spans="1:10">
      <c r="D1357" s="238" t="s">
        <v>6645</v>
      </c>
      <c r="J1357" s="238" t="str">
        <f t="shared" si="21"/>
        <v/>
      </c>
    </row>
    <row r="1358" spans="1:10">
      <c r="D1358" s="238" t="s">
        <v>6644</v>
      </c>
      <c r="J1358" s="238" t="str">
        <f t="shared" si="21"/>
        <v/>
      </c>
    </row>
    <row r="1359" spans="1:10">
      <c r="D1359" s="238" t="s">
        <v>6643</v>
      </c>
      <c r="J1359" s="238" t="str">
        <f t="shared" si="21"/>
        <v/>
      </c>
    </row>
    <row r="1360" spans="1:10">
      <c r="D1360" s="238" t="s">
        <v>6642</v>
      </c>
      <c r="J1360" s="238" t="str">
        <f t="shared" si="21"/>
        <v/>
      </c>
    </row>
    <row r="1361" spans="1:10">
      <c r="D1361" s="238" t="s">
        <v>6641</v>
      </c>
      <c r="J1361" s="238" t="str">
        <f t="shared" si="21"/>
        <v/>
      </c>
    </row>
    <row r="1362" spans="1:10" ht="18.75">
      <c r="A1362" s="240"/>
      <c r="B1362" s="240" t="s">
        <v>6640</v>
      </c>
      <c r="C1362" s="240"/>
      <c r="D1362" s="240" t="s">
        <v>6639</v>
      </c>
      <c r="E1362" s="240"/>
      <c r="F1362" s="240"/>
      <c r="G1362" s="240"/>
      <c r="H1362" s="240"/>
      <c r="I1362" s="240"/>
      <c r="J1362" s="238" t="str">
        <f t="shared" si="21"/>
        <v/>
      </c>
    </row>
    <row r="1363" spans="1:10">
      <c r="A1363" s="238" t="s">
        <v>6638</v>
      </c>
      <c r="B1363" s="238" t="s">
        <v>6637</v>
      </c>
      <c r="C1363" s="238" t="s">
        <v>6304</v>
      </c>
      <c r="D1363" s="238" t="s">
        <v>6636</v>
      </c>
      <c r="G1363" s="238" t="s">
        <v>5197</v>
      </c>
      <c r="J1363" s="238" t="str">
        <f t="shared" si="21"/>
        <v/>
      </c>
    </row>
    <row r="1364" spans="1:10">
      <c r="D1364" s="238" t="s">
        <v>6635</v>
      </c>
      <c r="J1364" s="238" t="str">
        <f t="shared" si="21"/>
        <v/>
      </c>
    </row>
    <row r="1365" spans="1:10">
      <c r="D1365" s="238" t="s">
        <v>6635</v>
      </c>
      <c r="J1365" s="238" t="str">
        <f t="shared" si="21"/>
        <v>OK</v>
      </c>
    </row>
    <row r="1366" spans="1:10">
      <c r="A1366" s="238" t="s">
        <v>6634</v>
      </c>
      <c r="B1366" s="238" t="s">
        <v>6633</v>
      </c>
      <c r="D1366" s="238" t="s">
        <v>6632</v>
      </c>
      <c r="G1366" s="238" t="s">
        <v>5197</v>
      </c>
      <c r="J1366" s="238" t="str">
        <f t="shared" si="21"/>
        <v/>
      </c>
    </row>
    <row r="1367" spans="1:10">
      <c r="D1367" s="238" t="s">
        <v>6631</v>
      </c>
      <c r="J1367" s="238" t="str">
        <f t="shared" si="21"/>
        <v/>
      </c>
    </row>
    <row r="1368" spans="1:10">
      <c r="A1368" s="238" t="s">
        <v>6630</v>
      </c>
      <c r="B1368" s="238" t="s">
        <v>6629</v>
      </c>
      <c r="C1368" s="238" t="s">
        <v>5322</v>
      </c>
      <c r="D1368" s="238" t="s">
        <v>6628</v>
      </c>
      <c r="G1368" s="238" t="s">
        <v>5197</v>
      </c>
      <c r="J1368" s="238" t="str">
        <f t="shared" si="21"/>
        <v/>
      </c>
    </row>
    <row r="1369" spans="1:10">
      <c r="A1369" s="238" t="s">
        <v>6627</v>
      </c>
      <c r="B1369" s="238" t="s">
        <v>6626</v>
      </c>
      <c r="C1369" s="238" t="s">
        <v>6625</v>
      </c>
      <c r="D1369" s="238" t="s">
        <v>6624</v>
      </c>
      <c r="G1369" s="238" t="s">
        <v>5197</v>
      </c>
      <c r="J1369" s="238" t="str">
        <f t="shared" si="21"/>
        <v/>
      </c>
    </row>
    <row r="1370" spans="1:10">
      <c r="D1370" s="238" t="s">
        <v>6623</v>
      </c>
      <c r="J1370" s="238" t="str">
        <f t="shared" si="21"/>
        <v/>
      </c>
    </row>
    <row r="1371" spans="1:10" ht="18.75">
      <c r="A1371" s="240"/>
      <c r="B1371" s="240" t="s">
        <v>6622</v>
      </c>
      <c r="C1371" s="240"/>
      <c r="D1371" s="240" t="s">
        <v>6621</v>
      </c>
      <c r="E1371" s="240"/>
      <c r="F1371" s="240"/>
      <c r="G1371" s="240"/>
      <c r="H1371" s="240"/>
      <c r="I1371" s="240"/>
      <c r="J1371" s="238" t="str">
        <f t="shared" si="21"/>
        <v/>
      </c>
    </row>
    <row r="1372" spans="1:10" ht="18.75">
      <c r="A1372" s="240"/>
      <c r="B1372" s="240" t="s">
        <v>6620</v>
      </c>
      <c r="C1372" s="240"/>
      <c r="D1372" s="240" t="s">
        <v>6619</v>
      </c>
      <c r="E1372" s="240"/>
      <c r="F1372" s="240"/>
      <c r="G1372" s="240"/>
      <c r="H1372" s="240"/>
      <c r="I1372" s="240"/>
      <c r="J1372" s="238" t="str">
        <f t="shared" si="21"/>
        <v/>
      </c>
    </row>
    <row r="1373" spans="1:10">
      <c r="D1373" s="238" t="s">
        <v>6618</v>
      </c>
      <c r="J1373" s="238" t="str">
        <f t="shared" si="21"/>
        <v/>
      </c>
    </row>
    <row r="1374" spans="1:10">
      <c r="D1374" s="238" t="s">
        <v>6617</v>
      </c>
      <c r="J1374" s="238" t="str">
        <f t="shared" si="21"/>
        <v/>
      </c>
    </row>
    <row r="1375" spans="1:10">
      <c r="D1375" s="238" t="s">
        <v>6616</v>
      </c>
      <c r="J1375" s="238" t="str">
        <f t="shared" si="21"/>
        <v/>
      </c>
    </row>
    <row r="1376" spans="1:10">
      <c r="D1376" s="238" t="s">
        <v>6615</v>
      </c>
      <c r="J1376" s="238" t="str">
        <f t="shared" si="21"/>
        <v/>
      </c>
    </row>
    <row r="1377" spans="1:10">
      <c r="D1377" s="238" t="s">
        <v>6614</v>
      </c>
      <c r="J1377" s="238" t="str">
        <f t="shared" si="21"/>
        <v/>
      </c>
    </row>
    <row r="1378" spans="1:10">
      <c r="A1378" s="238" t="s">
        <v>6613</v>
      </c>
      <c r="B1378" s="238" t="s">
        <v>6612</v>
      </c>
      <c r="C1378" s="238" t="s">
        <v>5212</v>
      </c>
      <c r="D1378" s="238" t="s">
        <v>6611</v>
      </c>
      <c r="G1378" s="238" t="s">
        <v>5197</v>
      </c>
      <c r="J1378" s="238" t="str">
        <f t="shared" si="21"/>
        <v/>
      </c>
    </row>
    <row r="1379" spans="1:10">
      <c r="A1379" s="247" t="s">
        <v>6610</v>
      </c>
      <c r="B1379" s="247" t="s">
        <v>6609</v>
      </c>
      <c r="C1379" s="247"/>
      <c r="D1379" s="238" t="s">
        <v>6608</v>
      </c>
      <c r="E1379" s="248"/>
      <c r="F1379" s="247" t="s">
        <v>6607</v>
      </c>
      <c r="G1379" s="243" t="s">
        <v>5168</v>
      </c>
      <c r="J1379" s="238" t="str">
        <f t="shared" si="21"/>
        <v/>
      </c>
    </row>
    <row r="1380" spans="1:10">
      <c r="D1380" s="238" t="s">
        <v>6606</v>
      </c>
      <c r="J1380" s="238" t="str">
        <f t="shared" si="21"/>
        <v/>
      </c>
    </row>
    <row r="1381" spans="1:10">
      <c r="D1381" s="238" t="s">
        <v>6605</v>
      </c>
      <c r="J1381" s="238" t="str">
        <f t="shared" si="21"/>
        <v/>
      </c>
    </row>
    <row r="1382" spans="1:10">
      <c r="D1382" s="238" t="s">
        <v>6604</v>
      </c>
      <c r="J1382" s="238" t="str">
        <f t="shared" si="21"/>
        <v/>
      </c>
    </row>
    <row r="1383" spans="1:10">
      <c r="D1383" s="238" t="s">
        <v>6603</v>
      </c>
      <c r="J1383" s="238" t="str">
        <f t="shared" si="21"/>
        <v/>
      </c>
    </row>
    <row r="1384" spans="1:10">
      <c r="A1384" s="246"/>
      <c r="B1384" s="246"/>
      <c r="C1384" s="246"/>
      <c r="D1384" s="246" t="s">
        <v>6602</v>
      </c>
      <c r="E1384" s="246"/>
      <c r="F1384" s="246"/>
      <c r="G1384" s="246"/>
      <c r="J1384" s="238" t="str">
        <f t="shared" si="21"/>
        <v/>
      </c>
    </row>
    <row r="1385" spans="1:10">
      <c r="D1385" s="238" t="s">
        <v>6602</v>
      </c>
      <c r="J1385" s="238" t="str">
        <f t="shared" si="21"/>
        <v>OK</v>
      </c>
    </row>
    <row r="1386" spans="1:10">
      <c r="D1386" s="238" t="s">
        <v>6602</v>
      </c>
      <c r="J1386" s="238" t="str">
        <f t="shared" si="21"/>
        <v>OK</v>
      </c>
    </row>
    <row r="1387" spans="1:10">
      <c r="D1387" s="238" t="s">
        <v>6601</v>
      </c>
      <c r="J1387" s="238" t="str">
        <f t="shared" si="21"/>
        <v/>
      </c>
    </row>
    <row r="1388" spans="1:10">
      <c r="D1388" s="238" t="s">
        <v>6600</v>
      </c>
      <c r="J1388" s="238" t="str">
        <f t="shared" si="21"/>
        <v/>
      </c>
    </row>
    <row r="1389" spans="1:10">
      <c r="D1389" s="238" t="s">
        <v>6599</v>
      </c>
      <c r="J1389" s="238" t="str">
        <f t="shared" si="21"/>
        <v/>
      </c>
    </row>
    <row r="1390" spans="1:10">
      <c r="D1390" s="238" t="s">
        <v>6598</v>
      </c>
      <c r="J1390" s="238" t="str">
        <f t="shared" si="21"/>
        <v/>
      </c>
    </row>
    <row r="1391" spans="1:10">
      <c r="A1391" s="238" t="s">
        <v>6597</v>
      </c>
      <c r="B1391" s="238" t="s">
        <v>6596</v>
      </c>
      <c r="C1391" s="238" t="s">
        <v>5322</v>
      </c>
      <c r="D1391" s="238" t="s">
        <v>6595</v>
      </c>
      <c r="G1391" s="238" t="s">
        <v>5197</v>
      </c>
      <c r="J1391" s="238" t="str">
        <f t="shared" si="21"/>
        <v/>
      </c>
    </row>
    <row r="1392" spans="1:10">
      <c r="A1392" s="238" t="s">
        <v>6594</v>
      </c>
      <c r="B1392" s="238" t="s">
        <v>6593</v>
      </c>
      <c r="D1392" s="238" t="s">
        <v>6592</v>
      </c>
      <c r="G1392" s="238" t="s">
        <v>5197</v>
      </c>
      <c r="J1392" s="238" t="str">
        <f t="shared" si="21"/>
        <v/>
      </c>
    </row>
    <row r="1393" spans="1:10">
      <c r="D1393" s="238" t="s">
        <v>6591</v>
      </c>
      <c r="J1393" s="238" t="str">
        <f t="shared" si="21"/>
        <v/>
      </c>
    </row>
    <row r="1394" spans="1:10">
      <c r="D1394" s="238" t="s">
        <v>6590</v>
      </c>
      <c r="J1394" s="238" t="str">
        <f t="shared" si="21"/>
        <v/>
      </c>
    </row>
    <row r="1395" spans="1:10">
      <c r="D1395" s="238" t="s">
        <v>6589</v>
      </c>
      <c r="J1395" s="238" t="str">
        <f t="shared" si="21"/>
        <v/>
      </c>
    </row>
    <row r="1396" spans="1:10">
      <c r="D1396" s="238" t="s">
        <v>6588</v>
      </c>
      <c r="J1396" s="238" t="str">
        <f t="shared" si="21"/>
        <v/>
      </c>
    </row>
    <row r="1397" spans="1:10">
      <c r="D1397" s="238" t="s">
        <v>6587</v>
      </c>
      <c r="J1397" s="238" t="str">
        <f t="shared" si="21"/>
        <v/>
      </c>
    </row>
    <row r="1398" spans="1:10">
      <c r="D1398" s="238" t="s">
        <v>6586</v>
      </c>
      <c r="J1398" s="238" t="str">
        <f t="shared" si="21"/>
        <v/>
      </c>
    </row>
    <row r="1399" spans="1:10">
      <c r="A1399" s="238" t="s">
        <v>6585</v>
      </c>
      <c r="B1399" s="238" t="s">
        <v>6584</v>
      </c>
      <c r="D1399" s="238" t="s">
        <v>6583</v>
      </c>
      <c r="G1399" s="238" t="s">
        <v>5197</v>
      </c>
      <c r="J1399" s="238" t="str">
        <f t="shared" si="21"/>
        <v/>
      </c>
    </row>
    <row r="1400" spans="1:10">
      <c r="D1400" s="238" t="s">
        <v>6582</v>
      </c>
      <c r="J1400" s="238" t="str">
        <f t="shared" si="21"/>
        <v/>
      </c>
    </row>
    <row r="1401" spans="1:10">
      <c r="A1401" s="238" t="s">
        <v>6581</v>
      </c>
      <c r="B1401" s="238" t="s">
        <v>6580</v>
      </c>
      <c r="D1401" s="238" t="s">
        <v>6579</v>
      </c>
      <c r="G1401" s="238" t="s">
        <v>5197</v>
      </c>
      <c r="J1401" s="238" t="str">
        <f t="shared" si="21"/>
        <v/>
      </c>
    </row>
    <row r="1402" spans="1:10">
      <c r="D1402" s="238" t="s">
        <v>6579</v>
      </c>
      <c r="J1402" s="238" t="str">
        <f t="shared" si="21"/>
        <v>OK</v>
      </c>
    </row>
    <row r="1403" spans="1:10">
      <c r="D1403" s="238" t="s">
        <v>6578</v>
      </c>
      <c r="J1403" s="238" t="str">
        <f t="shared" si="21"/>
        <v/>
      </c>
    </row>
    <row r="1404" spans="1:10">
      <c r="A1404" s="238" t="s">
        <v>6577</v>
      </c>
      <c r="B1404" s="238" t="s">
        <v>5857</v>
      </c>
      <c r="D1404" s="238" t="s">
        <v>6576</v>
      </c>
      <c r="G1404" s="238" t="s">
        <v>5197</v>
      </c>
      <c r="J1404" s="238" t="str">
        <f t="shared" si="21"/>
        <v/>
      </c>
    </row>
    <row r="1405" spans="1:10">
      <c r="D1405" s="238" t="s">
        <v>6575</v>
      </c>
      <c r="J1405" s="238" t="str">
        <f t="shared" si="21"/>
        <v/>
      </c>
    </row>
    <row r="1406" spans="1:10">
      <c r="D1406" s="238" t="s">
        <v>6574</v>
      </c>
      <c r="J1406" s="238" t="str">
        <f t="shared" si="21"/>
        <v/>
      </c>
    </row>
    <row r="1407" spans="1:10">
      <c r="D1407" s="238" t="s">
        <v>6573</v>
      </c>
      <c r="J1407" s="238" t="str">
        <f t="shared" si="21"/>
        <v/>
      </c>
    </row>
    <row r="1408" spans="1:10">
      <c r="D1408" s="238" t="s">
        <v>6572</v>
      </c>
      <c r="J1408" s="238" t="str">
        <f t="shared" si="21"/>
        <v/>
      </c>
    </row>
    <row r="1409" spans="1:10">
      <c r="D1409" s="238" t="s">
        <v>6571</v>
      </c>
      <c r="J1409" s="238" t="str">
        <f t="shared" si="21"/>
        <v/>
      </c>
    </row>
    <row r="1410" spans="1:10">
      <c r="D1410" s="238" t="s">
        <v>6570</v>
      </c>
      <c r="J1410" s="238" t="str">
        <f t="shared" si="21"/>
        <v/>
      </c>
    </row>
    <row r="1411" spans="1:10">
      <c r="D1411" s="238" t="s">
        <v>6569</v>
      </c>
      <c r="J1411" s="238" t="str">
        <f t="shared" ref="J1411:J1474" si="22">IF(D1410=D1411,"OK","")</f>
        <v/>
      </c>
    </row>
    <row r="1412" spans="1:10">
      <c r="A1412" s="238" t="s">
        <v>6568</v>
      </c>
      <c r="B1412" s="238" t="s">
        <v>5857</v>
      </c>
      <c r="D1412" s="238" t="s">
        <v>6567</v>
      </c>
      <c r="G1412" s="238" t="s">
        <v>5197</v>
      </c>
      <c r="J1412" s="238" t="str">
        <f t="shared" si="22"/>
        <v/>
      </c>
    </row>
    <row r="1413" spans="1:10">
      <c r="D1413" s="238" t="s">
        <v>6566</v>
      </c>
      <c r="J1413" s="238" t="str">
        <f t="shared" si="22"/>
        <v/>
      </c>
    </row>
    <row r="1414" spans="1:10">
      <c r="A1414" s="238" t="s">
        <v>6565</v>
      </c>
      <c r="B1414" s="238" t="s">
        <v>6564</v>
      </c>
      <c r="C1414" s="238" t="s">
        <v>5212</v>
      </c>
      <c r="D1414" s="238" t="s">
        <v>6563</v>
      </c>
      <c r="G1414" s="238" t="s">
        <v>5197</v>
      </c>
      <c r="J1414" s="238" t="str">
        <f t="shared" si="22"/>
        <v/>
      </c>
    </row>
    <row r="1415" spans="1:10">
      <c r="D1415" s="238" t="s">
        <v>6562</v>
      </c>
      <c r="J1415" s="238" t="str">
        <f t="shared" si="22"/>
        <v/>
      </c>
    </row>
    <row r="1416" spans="1:10">
      <c r="D1416" s="238" t="s">
        <v>6561</v>
      </c>
      <c r="J1416" s="238" t="str">
        <f t="shared" si="22"/>
        <v/>
      </c>
    </row>
    <row r="1417" spans="1:10">
      <c r="A1417" s="238" t="s">
        <v>6560</v>
      </c>
      <c r="B1417" s="238" t="s">
        <v>6559</v>
      </c>
      <c r="D1417" s="238" t="s">
        <v>6558</v>
      </c>
      <c r="G1417" s="238" t="s">
        <v>5197</v>
      </c>
      <c r="J1417" s="238" t="str">
        <f t="shared" si="22"/>
        <v/>
      </c>
    </row>
    <row r="1418" spans="1:10">
      <c r="D1418" s="238" t="s">
        <v>6557</v>
      </c>
      <c r="J1418" s="238" t="str">
        <f t="shared" si="22"/>
        <v/>
      </c>
    </row>
    <row r="1419" spans="1:10">
      <c r="D1419" s="238" t="s">
        <v>6556</v>
      </c>
      <c r="J1419" s="238" t="str">
        <f t="shared" si="22"/>
        <v/>
      </c>
    </row>
    <row r="1420" spans="1:10">
      <c r="D1420" s="238" t="s">
        <v>6555</v>
      </c>
      <c r="J1420" s="238" t="str">
        <f t="shared" si="22"/>
        <v/>
      </c>
    </row>
    <row r="1421" spans="1:10">
      <c r="D1421" s="238" t="s">
        <v>6554</v>
      </c>
      <c r="J1421" s="238" t="str">
        <f t="shared" si="22"/>
        <v/>
      </c>
    </row>
    <row r="1422" spans="1:10">
      <c r="D1422" s="238" t="s">
        <v>6553</v>
      </c>
      <c r="J1422" s="238" t="str">
        <f t="shared" si="22"/>
        <v/>
      </c>
    </row>
    <row r="1423" spans="1:10">
      <c r="D1423" s="238" t="s">
        <v>6552</v>
      </c>
      <c r="J1423" s="238" t="str">
        <f t="shared" si="22"/>
        <v/>
      </c>
    </row>
    <row r="1424" spans="1:10">
      <c r="D1424" s="238" t="s">
        <v>6551</v>
      </c>
      <c r="J1424" s="238" t="str">
        <f t="shared" si="22"/>
        <v/>
      </c>
    </row>
    <row r="1425" spans="1:10">
      <c r="D1425" s="238" t="s">
        <v>6550</v>
      </c>
      <c r="J1425" s="238" t="str">
        <f t="shared" si="22"/>
        <v/>
      </c>
    </row>
    <row r="1426" spans="1:10">
      <c r="D1426" s="238" t="s">
        <v>6549</v>
      </c>
      <c r="J1426" s="238" t="str">
        <f t="shared" si="22"/>
        <v/>
      </c>
    </row>
    <row r="1427" spans="1:10">
      <c r="D1427" s="238" t="s">
        <v>6548</v>
      </c>
      <c r="J1427" s="238" t="str">
        <f t="shared" si="22"/>
        <v/>
      </c>
    </row>
    <row r="1428" spans="1:10">
      <c r="D1428" s="238" t="s">
        <v>6547</v>
      </c>
      <c r="J1428" s="238" t="str">
        <f t="shared" si="22"/>
        <v/>
      </c>
    </row>
    <row r="1429" spans="1:10">
      <c r="D1429" s="238" t="s">
        <v>6546</v>
      </c>
      <c r="J1429" s="238" t="str">
        <f t="shared" si="22"/>
        <v/>
      </c>
    </row>
    <row r="1430" spans="1:10">
      <c r="A1430" s="238" t="s">
        <v>6545</v>
      </c>
      <c r="B1430" s="238" t="s">
        <v>6544</v>
      </c>
      <c r="D1430" s="238" t="s">
        <v>6543</v>
      </c>
      <c r="G1430" s="238" t="s">
        <v>5197</v>
      </c>
      <c r="J1430" s="238" t="str">
        <f t="shared" si="22"/>
        <v/>
      </c>
    </row>
    <row r="1431" spans="1:10">
      <c r="A1431" s="238" t="s">
        <v>6542</v>
      </c>
      <c r="B1431" s="238" t="s">
        <v>6541</v>
      </c>
      <c r="C1431" s="238" t="s">
        <v>6304</v>
      </c>
      <c r="D1431" s="238" t="s">
        <v>6540</v>
      </c>
      <c r="G1431" s="238" t="s">
        <v>5197</v>
      </c>
      <c r="J1431" s="238" t="str">
        <f t="shared" si="22"/>
        <v/>
      </c>
    </row>
    <row r="1432" spans="1:10">
      <c r="D1432" s="238" t="s">
        <v>6539</v>
      </c>
      <c r="J1432" s="238" t="str">
        <f t="shared" si="22"/>
        <v/>
      </c>
    </row>
    <row r="1433" spans="1:10">
      <c r="A1433" s="238" t="s">
        <v>6538</v>
      </c>
      <c r="B1433" s="238" t="s">
        <v>6537</v>
      </c>
      <c r="D1433" s="238" t="s">
        <v>6536</v>
      </c>
      <c r="G1433" s="238" t="s">
        <v>5197</v>
      </c>
      <c r="J1433" s="238" t="str">
        <f t="shared" si="22"/>
        <v/>
      </c>
    </row>
    <row r="1434" spans="1:10" ht="18.75">
      <c r="A1434" s="240"/>
      <c r="B1434" s="240" t="s">
        <v>6535</v>
      </c>
      <c r="C1434" s="240"/>
      <c r="D1434" s="240" t="s">
        <v>6534</v>
      </c>
      <c r="E1434" s="240"/>
      <c r="F1434" s="240"/>
      <c r="G1434" s="240"/>
      <c r="H1434" s="240"/>
      <c r="I1434" s="240"/>
      <c r="J1434" s="238" t="str">
        <f t="shared" si="22"/>
        <v/>
      </c>
    </row>
    <row r="1435" spans="1:10">
      <c r="D1435" s="238" t="s">
        <v>6533</v>
      </c>
      <c r="J1435" s="238" t="str">
        <f t="shared" si="22"/>
        <v/>
      </c>
    </row>
    <row r="1436" spans="1:10">
      <c r="A1436" s="238" t="s">
        <v>6532</v>
      </c>
      <c r="B1436" s="238" t="s">
        <v>6531</v>
      </c>
      <c r="C1436" s="238" t="s">
        <v>6530</v>
      </c>
      <c r="D1436" s="238" t="s">
        <v>6529</v>
      </c>
      <c r="G1436" s="238" t="s">
        <v>5197</v>
      </c>
      <c r="J1436" s="238" t="str">
        <f t="shared" si="22"/>
        <v/>
      </c>
    </row>
    <row r="1437" spans="1:10">
      <c r="D1437" s="238" t="s">
        <v>6528</v>
      </c>
      <c r="J1437" s="238" t="str">
        <f t="shared" si="22"/>
        <v/>
      </c>
    </row>
    <row r="1438" spans="1:10">
      <c r="A1438" s="238" t="s">
        <v>6527</v>
      </c>
      <c r="B1438" s="238" t="s">
        <v>6526</v>
      </c>
      <c r="D1438" s="238" t="s">
        <v>6525</v>
      </c>
      <c r="G1438" s="238" t="s">
        <v>5197</v>
      </c>
      <c r="J1438" s="238" t="str">
        <f t="shared" si="22"/>
        <v/>
      </c>
    </row>
    <row r="1439" spans="1:10">
      <c r="A1439" s="244" t="s">
        <v>6524</v>
      </c>
      <c r="B1439" s="241"/>
      <c r="C1439" s="241"/>
      <c r="D1439" s="244" t="s">
        <v>6523</v>
      </c>
      <c r="E1439" s="244"/>
      <c r="F1439" s="241"/>
      <c r="G1439" s="243" t="s">
        <v>5168</v>
      </c>
      <c r="J1439" s="238" t="str">
        <f t="shared" si="22"/>
        <v/>
      </c>
    </row>
    <row r="1440" spans="1:10">
      <c r="D1440" s="238" t="s">
        <v>6523</v>
      </c>
      <c r="J1440" s="238" t="str">
        <f t="shared" si="22"/>
        <v>OK</v>
      </c>
    </row>
    <row r="1441" spans="1:10">
      <c r="D1441" s="238" t="s">
        <v>6522</v>
      </c>
      <c r="J1441" s="238" t="str">
        <f t="shared" si="22"/>
        <v/>
      </c>
    </row>
    <row r="1442" spans="1:10">
      <c r="D1442" s="238" t="s">
        <v>6521</v>
      </c>
      <c r="J1442" s="238" t="str">
        <f t="shared" si="22"/>
        <v/>
      </c>
    </row>
    <row r="1443" spans="1:10">
      <c r="D1443" s="238" t="s">
        <v>6520</v>
      </c>
      <c r="J1443" s="238" t="str">
        <f t="shared" si="22"/>
        <v/>
      </c>
    </row>
    <row r="1444" spans="1:10">
      <c r="D1444" s="238" t="s">
        <v>6519</v>
      </c>
      <c r="J1444" s="238" t="str">
        <f t="shared" si="22"/>
        <v/>
      </c>
    </row>
    <row r="1445" spans="1:10">
      <c r="D1445" s="238" t="s">
        <v>6518</v>
      </c>
      <c r="J1445" s="238" t="str">
        <f t="shared" si="22"/>
        <v/>
      </c>
    </row>
    <row r="1446" spans="1:10">
      <c r="A1446" s="244" t="s">
        <v>6517</v>
      </c>
      <c r="B1446" s="244" t="s">
        <v>6516</v>
      </c>
      <c r="C1446" s="244"/>
      <c r="D1446" s="238" t="s">
        <v>6515</v>
      </c>
      <c r="E1446" s="245"/>
      <c r="F1446" s="244" t="s">
        <v>6514</v>
      </c>
      <c r="G1446" s="243" t="s">
        <v>5168</v>
      </c>
      <c r="J1446" s="238" t="str">
        <f t="shared" si="22"/>
        <v/>
      </c>
    </row>
    <row r="1447" spans="1:10">
      <c r="D1447" s="238" t="s">
        <v>6513</v>
      </c>
      <c r="J1447" s="238" t="str">
        <f t="shared" si="22"/>
        <v>OK</v>
      </c>
    </row>
    <row r="1448" spans="1:10">
      <c r="D1448" s="238" t="s">
        <v>6512</v>
      </c>
      <c r="J1448" s="238" t="str">
        <f t="shared" si="22"/>
        <v/>
      </c>
    </row>
    <row r="1449" spans="1:10">
      <c r="D1449" s="238" t="s">
        <v>6511</v>
      </c>
      <c r="J1449" s="238" t="str">
        <f t="shared" si="22"/>
        <v/>
      </c>
    </row>
    <row r="1450" spans="1:10">
      <c r="D1450" s="238" t="s">
        <v>6510</v>
      </c>
      <c r="J1450" s="238" t="str">
        <f t="shared" si="22"/>
        <v/>
      </c>
    </row>
    <row r="1451" spans="1:10">
      <c r="D1451" s="238" t="s">
        <v>6509</v>
      </c>
      <c r="J1451" s="238" t="str">
        <f t="shared" si="22"/>
        <v/>
      </c>
    </row>
    <row r="1452" spans="1:10">
      <c r="A1452" s="238" t="s">
        <v>6508</v>
      </c>
      <c r="B1452" s="238" t="s">
        <v>6507</v>
      </c>
      <c r="D1452" s="238" t="s">
        <v>6506</v>
      </c>
      <c r="G1452" s="238" t="s">
        <v>5197</v>
      </c>
      <c r="J1452" s="238" t="str">
        <f t="shared" si="22"/>
        <v/>
      </c>
    </row>
    <row r="1453" spans="1:10">
      <c r="D1453" s="238" t="s">
        <v>6505</v>
      </c>
      <c r="J1453" s="238" t="str">
        <f t="shared" si="22"/>
        <v/>
      </c>
    </row>
    <row r="1454" spans="1:10">
      <c r="D1454" s="238" t="s">
        <v>6504</v>
      </c>
      <c r="J1454" s="238" t="str">
        <f t="shared" si="22"/>
        <v/>
      </c>
    </row>
    <row r="1455" spans="1:10">
      <c r="D1455" s="238" t="s">
        <v>6503</v>
      </c>
      <c r="J1455" s="238" t="str">
        <f t="shared" si="22"/>
        <v/>
      </c>
    </row>
    <row r="1456" spans="1:10">
      <c r="D1456" s="238" t="s">
        <v>6502</v>
      </c>
      <c r="J1456" s="238" t="str">
        <f t="shared" si="22"/>
        <v/>
      </c>
    </row>
    <row r="1457" spans="1:10">
      <c r="D1457" s="238" t="s">
        <v>6501</v>
      </c>
      <c r="J1457" s="238" t="str">
        <f t="shared" si="22"/>
        <v/>
      </c>
    </row>
    <row r="1458" spans="1:10">
      <c r="D1458" s="238" t="s">
        <v>6500</v>
      </c>
      <c r="J1458" s="238" t="str">
        <f t="shared" si="22"/>
        <v/>
      </c>
    </row>
    <row r="1459" spans="1:10">
      <c r="D1459" s="238" t="s">
        <v>6499</v>
      </c>
      <c r="J1459" s="238" t="str">
        <f t="shared" si="22"/>
        <v/>
      </c>
    </row>
    <row r="1460" spans="1:10">
      <c r="D1460" s="238" t="s">
        <v>6498</v>
      </c>
      <c r="J1460" s="238" t="str">
        <f t="shared" si="22"/>
        <v/>
      </c>
    </row>
    <row r="1461" spans="1:10">
      <c r="A1461" s="238" t="s">
        <v>6497</v>
      </c>
      <c r="B1461" s="238" t="s">
        <v>6496</v>
      </c>
      <c r="D1461" s="238" t="s">
        <v>6495</v>
      </c>
      <c r="G1461" s="238" t="s">
        <v>5197</v>
      </c>
      <c r="J1461" s="238" t="str">
        <f t="shared" si="22"/>
        <v/>
      </c>
    </row>
    <row r="1462" spans="1:10">
      <c r="D1462" s="238" t="s">
        <v>6494</v>
      </c>
      <c r="J1462" s="238" t="str">
        <f t="shared" si="22"/>
        <v/>
      </c>
    </row>
    <row r="1463" spans="1:10">
      <c r="A1463" s="238" t="s">
        <v>6493</v>
      </c>
      <c r="B1463" s="238" t="s">
        <v>6492</v>
      </c>
      <c r="D1463" s="238" t="s">
        <v>6491</v>
      </c>
      <c r="G1463" s="238" t="s">
        <v>5197</v>
      </c>
      <c r="J1463" s="238" t="str">
        <f t="shared" si="22"/>
        <v/>
      </c>
    </row>
    <row r="1464" spans="1:10">
      <c r="A1464" s="238" t="s">
        <v>6490</v>
      </c>
      <c r="B1464" s="238" t="s">
        <v>6489</v>
      </c>
      <c r="D1464" s="238" t="s">
        <v>6488</v>
      </c>
      <c r="G1464" s="238" t="s">
        <v>5197</v>
      </c>
      <c r="J1464" s="238" t="str">
        <f t="shared" si="22"/>
        <v/>
      </c>
    </row>
    <row r="1465" spans="1:10">
      <c r="A1465" s="238" t="s">
        <v>6487</v>
      </c>
      <c r="B1465" s="238" t="s">
        <v>6486</v>
      </c>
      <c r="C1465" s="238" t="s">
        <v>6269</v>
      </c>
      <c r="D1465" s="238" t="s">
        <v>6485</v>
      </c>
      <c r="G1465" s="238" t="s">
        <v>5197</v>
      </c>
      <c r="J1465" s="238" t="str">
        <f t="shared" si="22"/>
        <v/>
      </c>
    </row>
    <row r="1466" spans="1:10">
      <c r="A1466" s="238" t="s">
        <v>6484</v>
      </c>
      <c r="B1466" s="238" t="s">
        <v>5857</v>
      </c>
      <c r="D1466" s="238" t="s">
        <v>6483</v>
      </c>
      <c r="G1466" s="238" t="s">
        <v>5197</v>
      </c>
      <c r="J1466" s="238" t="str">
        <f t="shared" si="22"/>
        <v/>
      </c>
    </row>
    <row r="1467" spans="1:10">
      <c r="A1467" s="238" t="s">
        <v>6482</v>
      </c>
      <c r="B1467" s="238" t="s">
        <v>5857</v>
      </c>
      <c r="D1467" s="238" t="s">
        <v>6481</v>
      </c>
      <c r="G1467" s="238" t="s">
        <v>5197</v>
      </c>
      <c r="J1467" s="238" t="str">
        <f t="shared" si="22"/>
        <v/>
      </c>
    </row>
    <row r="1468" spans="1:10">
      <c r="D1468" s="238" t="s">
        <v>6480</v>
      </c>
      <c r="J1468" s="238" t="str">
        <f t="shared" si="22"/>
        <v/>
      </c>
    </row>
    <row r="1469" spans="1:10">
      <c r="D1469" s="238" t="s">
        <v>6479</v>
      </c>
      <c r="J1469" s="238" t="str">
        <f t="shared" si="22"/>
        <v/>
      </c>
    </row>
    <row r="1470" spans="1:10">
      <c r="D1470" s="238" t="s">
        <v>6478</v>
      </c>
      <c r="J1470" s="238" t="str">
        <f t="shared" si="22"/>
        <v/>
      </c>
    </row>
    <row r="1471" spans="1:10">
      <c r="A1471" s="238" t="s">
        <v>6477</v>
      </c>
      <c r="B1471" s="238" t="s">
        <v>6423</v>
      </c>
      <c r="D1471" s="238" t="s">
        <v>6476</v>
      </c>
      <c r="G1471" s="238" t="s">
        <v>5197</v>
      </c>
      <c r="J1471" s="238" t="str">
        <f t="shared" si="22"/>
        <v/>
      </c>
    </row>
    <row r="1472" spans="1:10">
      <c r="D1472" s="238" t="s">
        <v>6476</v>
      </c>
      <c r="J1472" s="238" t="str">
        <f t="shared" si="22"/>
        <v>OK</v>
      </c>
    </row>
    <row r="1473" spans="1:10">
      <c r="D1473" s="238" t="s">
        <v>6475</v>
      </c>
      <c r="J1473" s="238" t="str">
        <f t="shared" si="22"/>
        <v/>
      </c>
    </row>
    <row r="1474" spans="1:10">
      <c r="D1474" s="238" t="s">
        <v>6474</v>
      </c>
      <c r="J1474" s="238" t="str">
        <f t="shared" si="22"/>
        <v/>
      </c>
    </row>
    <row r="1475" spans="1:10">
      <c r="D1475" s="238" t="s">
        <v>6473</v>
      </c>
      <c r="J1475" s="238" t="str">
        <f t="shared" ref="J1475:J1538" si="23">IF(D1474=D1475,"OK","")</f>
        <v/>
      </c>
    </row>
    <row r="1476" spans="1:10">
      <c r="D1476" s="238" t="s">
        <v>6472</v>
      </c>
      <c r="J1476" s="238" t="str">
        <f t="shared" si="23"/>
        <v/>
      </c>
    </row>
    <row r="1477" spans="1:10">
      <c r="A1477" s="238" t="s">
        <v>6471</v>
      </c>
      <c r="B1477" s="238" t="s">
        <v>6470</v>
      </c>
      <c r="C1477" s="238" t="s">
        <v>6304</v>
      </c>
      <c r="D1477" s="238" t="s">
        <v>6469</v>
      </c>
      <c r="G1477" s="238" t="s">
        <v>5197</v>
      </c>
      <c r="J1477" s="238" t="str">
        <f t="shared" si="23"/>
        <v/>
      </c>
    </row>
    <row r="1478" spans="1:10">
      <c r="D1478" s="238" t="s">
        <v>6468</v>
      </c>
      <c r="J1478" s="238" t="str">
        <f t="shared" si="23"/>
        <v/>
      </c>
    </row>
    <row r="1479" spans="1:10">
      <c r="D1479" s="238" t="s">
        <v>6467</v>
      </c>
      <c r="J1479" s="238" t="str">
        <f t="shared" si="23"/>
        <v/>
      </c>
    </row>
    <row r="1480" spans="1:10">
      <c r="A1480" s="238" t="s">
        <v>6466</v>
      </c>
      <c r="B1480" s="238" t="s">
        <v>6465</v>
      </c>
      <c r="D1480" s="238" t="s">
        <v>6464</v>
      </c>
      <c r="G1480" s="238" t="s">
        <v>5197</v>
      </c>
      <c r="J1480" s="238" t="str">
        <f t="shared" si="23"/>
        <v/>
      </c>
    </row>
    <row r="1481" spans="1:10">
      <c r="D1481" s="238" t="s">
        <v>6464</v>
      </c>
      <c r="J1481" s="238" t="str">
        <f t="shared" si="23"/>
        <v>OK</v>
      </c>
    </row>
    <row r="1482" spans="1:10">
      <c r="A1482" s="238" t="s">
        <v>6463</v>
      </c>
      <c r="B1482" s="238" t="s">
        <v>6462</v>
      </c>
      <c r="D1482" s="238" t="s">
        <v>6461</v>
      </c>
      <c r="G1482" s="238" t="s">
        <v>5197</v>
      </c>
      <c r="J1482" s="238" t="str">
        <f t="shared" si="23"/>
        <v/>
      </c>
    </row>
    <row r="1483" spans="1:10">
      <c r="A1483" s="238" t="s">
        <v>6460</v>
      </c>
      <c r="B1483" s="238" t="s">
        <v>6459</v>
      </c>
      <c r="C1483" s="238" t="s">
        <v>6458</v>
      </c>
      <c r="D1483" s="238" t="s">
        <v>6457</v>
      </c>
      <c r="G1483" s="238" t="s">
        <v>5197</v>
      </c>
      <c r="J1483" s="238" t="str">
        <f t="shared" si="23"/>
        <v/>
      </c>
    </row>
    <row r="1484" spans="1:10">
      <c r="A1484" s="244" t="s">
        <v>6456</v>
      </c>
      <c r="B1484" s="244" t="s">
        <v>6455</v>
      </c>
      <c r="C1484" s="244"/>
      <c r="D1484" s="245" t="s">
        <v>6454</v>
      </c>
      <c r="E1484" s="245"/>
      <c r="F1484" s="244" t="s">
        <v>6453</v>
      </c>
      <c r="G1484" s="243" t="s">
        <v>5168</v>
      </c>
      <c r="J1484" s="238" t="str">
        <f t="shared" si="23"/>
        <v/>
      </c>
    </row>
    <row r="1485" spans="1:10">
      <c r="A1485" s="238" t="s">
        <v>6452</v>
      </c>
      <c r="B1485" s="238" t="s">
        <v>6451</v>
      </c>
      <c r="D1485" s="238" t="s">
        <v>6450</v>
      </c>
      <c r="G1485" s="238" t="s">
        <v>5197</v>
      </c>
      <c r="J1485" s="238" t="str">
        <f t="shared" si="23"/>
        <v/>
      </c>
    </row>
    <row r="1486" spans="1:10">
      <c r="A1486" s="238" t="s">
        <v>6368</v>
      </c>
      <c r="B1486" s="238" t="s">
        <v>6449</v>
      </c>
      <c r="D1486" s="238" t="s">
        <v>6448</v>
      </c>
      <c r="G1486" s="238" t="s">
        <v>5197</v>
      </c>
      <c r="J1486" s="238" t="str">
        <f t="shared" si="23"/>
        <v/>
      </c>
    </row>
    <row r="1487" spans="1:10">
      <c r="D1487" s="238" t="s">
        <v>6447</v>
      </c>
      <c r="J1487" s="238" t="str">
        <f t="shared" si="23"/>
        <v/>
      </c>
    </row>
    <row r="1488" spans="1:10">
      <c r="D1488" s="238" t="s">
        <v>6446</v>
      </c>
      <c r="J1488" s="238" t="str">
        <f t="shared" si="23"/>
        <v/>
      </c>
    </row>
    <row r="1489" spans="1:10">
      <c r="D1489" s="238" t="s">
        <v>6445</v>
      </c>
      <c r="J1489" s="238" t="str">
        <f t="shared" si="23"/>
        <v/>
      </c>
    </row>
    <row r="1490" spans="1:10">
      <c r="D1490" s="238" t="s">
        <v>6444</v>
      </c>
      <c r="J1490" s="238" t="str">
        <f t="shared" si="23"/>
        <v/>
      </c>
    </row>
    <row r="1491" spans="1:10">
      <c r="D1491" s="238" t="s">
        <v>6443</v>
      </c>
      <c r="J1491" s="238" t="str">
        <f t="shared" si="23"/>
        <v/>
      </c>
    </row>
    <row r="1492" spans="1:10">
      <c r="D1492" s="238" t="s">
        <v>6442</v>
      </c>
      <c r="J1492" s="238" t="str">
        <f t="shared" si="23"/>
        <v/>
      </c>
    </row>
    <row r="1493" spans="1:10">
      <c r="D1493" s="238" t="s">
        <v>6441</v>
      </c>
      <c r="J1493" s="238" t="str">
        <f t="shared" si="23"/>
        <v/>
      </c>
    </row>
    <row r="1494" spans="1:10">
      <c r="D1494" s="238" t="s">
        <v>6440</v>
      </c>
      <c r="J1494" s="238" t="str">
        <f t="shared" si="23"/>
        <v/>
      </c>
    </row>
    <row r="1495" spans="1:10">
      <c r="A1495" s="238" t="s">
        <v>6439</v>
      </c>
      <c r="B1495" s="238" t="s">
        <v>6438</v>
      </c>
      <c r="C1495" s="238" t="s">
        <v>5212</v>
      </c>
      <c r="D1495" s="238" t="s">
        <v>6437</v>
      </c>
      <c r="G1495" s="238" t="s">
        <v>5197</v>
      </c>
      <c r="J1495" s="238" t="str">
        <f t="shared" si="23"/>
        <v/>
      </c>
    </row>
    <row r="1496" spans="1:10">
      <c r="A1496" s="238" t="s">
        <v>6436</v>
      </c>
      <c r="B1496" s="238" t="s">
        <v>6435</v>
      </c>
      <c r="D1496" s="238" t="s">
        <v>6434</v>
      </c>
      <c r="G1496" s="238" t="s">
        <v>5197</v>
      </c>
      <c r="J1496" s="238" t="str">
        <f t="shared" si="23"/>
        <v/>
      </c>
    </row>
    <row r="1497" spans="1:10">
      <c r="A1497" s="238" t="s">
        <v>6433</v>
      </c>
      <c r="B1497" s="238" t="s">
        <v>6432</v>
      </c>
      <c r="C1497" s="238" t="s">
        <v>6304</v>
      </c>
      <c r="D1497" s="238" t="s">
        <v>6431</v>
      </c>
      <c r="G1497" s="238" t="s">
        <v>5197</v>
      </c>
      <c r="J1497" s="238" t="str">
        <f t="shared" si="23"/>
        <v/>
      </c>
    </row>
    <row r="1498" spans="1:10">
      <c r="D1498" s="238" t="s">
        <v>6430</v>
      </c>
      <c r="J1498" s="238" t="str">
        <f t="shared" si="23"/>
        <v/>
      </c>
    </row>
    <row r="1499" spans="1:10">
      <c r="D1499" s="238" t="s">
        <v>6429</v>
      </c>
      <c r="J1499" s="238" t="str">
        <f t="shared" si="23"/>
        <v/>
      </c>
    </row>
    <row r="1500" spans="1:10">
      <c r="A1500" s="238" t="s">
        <v>6428</v>
      </c>
      <c r="B1500" s="238" t="s">
        <v>5857</v>
      </c>
      <c r="D1500" s="238" t="s">
        <v>6427</v>
      </c>
      <c r="G1500" s="238" t="s">
        <v>5197</v>
      </c>
      <c r="J1500" s="238" t="str">
        <f t="shared" si="23"/>
        <v/>
      </c>
    </row>
    <row r="1501" spans="1:10">
      <c r="D1501" s="238" t="s">
        <v>6426</v>
      </c>
      <c r="J1501" s="238" t="str">
        <f t="shared" si="23"/>
        <v/>
      </c>
    </row>
    <row r="1502" spans="1:10">
      <c r="D1502" s="238" t="s">
        <v>6425</v>
      </c>
      <c r="J1502" s="238" t="str">
        <f t="shared" si="23"/>
        <v/>
      </c>
    </row>
    <row r="1503" spans="1:10">
      <c r="A1503" s="238" t="s">
        <v>6424</v>
      </c>
      <c r="B1503" s="238" t="s">
        <v>6423</v>
      </c>
      <c r="D1503" s="238" t="s">
        <v>6422</v>
      </c>
      <c r="G1503" s="238" t="s">
        <v>5197</v>
      </c>
      <c r="J1503" s="238" t="str">
        <f t="shared" si="23"/>
        <v/>
      </c>
    </row>
    <row r="1504" spans="1:10">
      <c r="A1504" s="238" t="s">
        <v>6421</v>
      </c>
      <c r="B1504" s="238" t="s">
        <v>6420</v>
      </c>
      <c r="D1504" s="238" t="s">
        <v>6419</v>
      </c>
      <c r="G1504" s="238" t="s">
        <v>5197</v>
      </c>
      <c r="J1504" s="238" t="str">
        <f t="shared" si="23"/>
        <v/>
      </c>
    </row>
    <row r="1505" spans="1:10" ht="18.75">
      <c r="A1505" s="240"/>
      <c r="B1505" s="240" t="s">
        <v>6418</v>
      </c>
      <c r="C1505" s="240"/>
      <c r="D1505" s="240" t="s">
        <v>6417</v>
      </c>
      <c r="E1505" s="240"/>
      <c r="F1505" s="240"/>
      <c r="G1505" s="240"/>
      <c r="H1505" s="240"/>
      <c r="I1505" s="240"/>
      <c r="J1505" s="238" t="str">
        <f t="shared" si="23"/>
        <v/>
      </c>
    </row>
    <row r="1506" spans="1:10">
      <c r="D1506" s="238" t="s">
        <v>6416</v>
      </c>
      <c r="J1506" s="238" t="str">
        <f t="shared" si="23"/>
        <v/>
      </c>
    </row>
    <row r="1507" spans="1:10">
      <c r="A1507" s="238" t="s">
        <v>6415</v>
      </c>
      <c r="B1507" s="238" t="s">
        <v>6414</v>
      </c>
      <c r="C1507" s="238" t="s">
        <v>5575</v>
      </c>
      <c r="D1507" s="238" t="s">
        <v>6413</v>
      </c>
      <c r="G1507" s="238" t="s">
        <v>5197</v>
      </c>
      <c r="H1507" s="267"/>
      <c r="I1507" s="246"/>
      <c r="J1507" s="238" t="str">
        <f t="shared" si="23"/>
        <v/>
      </c>
    </row>
    <row r="1508" spans="1:10" ht="18.75">
      <c r="A1508" s="240"/>
      <c r="B1508" s="240" t="s">
        <v>6412</v>
      </c>
      <c r="C1508" s="240"/>
      <c r="D1508" s="240" t="s">
        <v>6411</v>
      </c>
      <c r="E1508" s="240"/>
      <c r="F1508" s="240"/>
      <c r="G1508" s="240"/>
      <c r="H1508" s="240"/>
      <c r="I1508" s="240"/>
      <c r="J1508" s="238" t="str">
        <f t="shared" si="23"/>
        <v/>
      </c>
    </row>
    <row r="1509" spans="1:10">
      <c r="A1509" s="238" t="s">
        <v>6410</v>
      </c>
      <c r="B1509" s="238" t="s">
        <v>6409</v>
      </c>
      <c r="C1509" s="238" t="s">
        <v>5212</v>
      </c>
      <c r="D1509" s="238" t="s">
        <v>6408</v>
      </c>
      <c r="G1509" s="238" t="s">
        <v>5197</v>
      </c>
      <c r="H1509" s="267"/>
      <c r="I1509" s="246"/>
      <c r="J1509" s="238" t="str">
        <f t="shared" si="23"/>
        <v/>
      </c>
    </row>
    <row r="1510" spans="1:10">
      <c r="D1510" s="238" t="s">
        <v>6407</v>
      </c>
      <c r="J1510" s="238" t="str">
        <f t="shared" si="23"/>
        <v/>
      </c>
    </row>
    <row r="1511" spans="1:10">
      <c r="D1511" s="238" t="s">
        <v>6406</v>
      </c>
      <c r="J1511" s="238" t="str">
        <f t="shared" si="23"/>
        <v/>
      </c>
    </row>
    <row r="1512" spans="1:10">
      <c r="D1512" s="238" t="s">
        <v>6405</v>
      </c>
      <c r="J1512" s="238" t="str">
        <f t="shared" si="23"/>
        <v/>
      </c>
    </row>
    <row r="1513" spans="1:10">
      <c r="D1513" s="238" t="s">
        <v>6404</v>
      </c>
      <c r="J1513" s="238" t="str">
        <f t="shared" si="23"/>
        <v/>
      </c>
    </row>
    <row r="1514" spans="1:10">
      <c r="A1514" s="238" t="s">
        <v>6403</v>
      </c>
      <c r="B1514" s="238" t="s">
        <v>6402</v>
      </c>
      <c r="C1514" s="238" t="s">
        <v>6058</v>
      </c>
      <c r="D1514" s="238" t="s">
        <v>6401</v>
      </c>
      <c r="G1514" s="238" t="s">
        <v>5197</v>
      </c>
      <c r="H1514" s="267"/>
      <c r="I1514" s="246"/>
      <c r="J1514" s="238" t="str">
        <f t="shared" si="23"/>
        <v/>
      </c>
    </row>
    <row r="1515" spans="1:10">
      <c r="D1515" s="238" t="s">
        <v>6400</v>
      </c>
      <c r="J1515" s="238" t="str">
        <f t="shared" si="23"/>
        <v/>
      </c>
    </row>
    <row r="1516" spans="1:10">
      <c r="D1516" s="238" t="s">
        <v>6399</v>
      </c>
      <c r="J1516" s="238" t="str">
        <f t="shared" si="23"/>
        <v/>
      </c>
    </row>
    <row r="1517" spans="1:10">
      <c r="A1517" s="238" t="s">
        <v>6398</v>
      </c>
      <c r="B1517" s="238" t="s">
        <v>6397</v>
      </c>
      <c r="C1517" s="238" t="s">
        <v>6058</v>
      </c>
      <c r="D1517" s="238" t="s">
        <v>6396</v>
      </c>
      <c r="G1517" s="238" t="s">
        <v>5197</v>
      </c>
      <c r="H1517" s="267"/>
      <c r="I1517" s="246"/>
      <c r="J1517" s="238" t="str">
        <f t="shared" si="23"/>
        <v/>
      </c>
    </row>
    <row r="1518" spans="1:10">
      <c r="A1518" s="238" t="s">
        <v>6107</v>
      </c>
      <c r="B1518" s="238" t="s">
        <v>6395</v>
      </c>
      <c r="D1518" s="238" t="s">
        <v>6394</v>
      </c>
      <c r="G1518" s="238" t="s">
        <v>5197</v>
      </c>
      <c r="H1518" s="267"/>
      <c r="I1518" s="246"/>
      <c r="J1518" s="238" t="str">
        <f t="shared" si="23"/>
        <v/>
      </c>
    </row>
    <row r="1519" spans="1:10">
      <c r="A1519" s="238" t="s">
        <v>6393</v>
      </c>
      <c r="B1519" s="238" t="s">
        <v>6392</v>
      </c>
      <c r="C1519" s="238" t="s">
        <v>6391</v>
      </c>
      <c r="D1519" s="238" t="s">
        <v>6390</v>
      </c>
      <c r="G1519" s="238" t="s">
        <v>5197</v>
      </c>
      <c r="H1519" s="267"/>
      <c r="I1519" s="246"/>
      <c r="J1519" s="238" t="str">
        <f t="shared" si="23"/>
        <v/>
      </c>
    </row>
    <row r="1520" spans="1:10">
      <c r="D1520" s="238" t="s">
        <v>6389</v>
      </c>
      <c r="J1520" s="238" t="str">
        <f t="shared" si="23"/>
        <v/>
      </c>
    </row>
    <row r="1521" spans="1:10">
      <c r="A1521" s="244" t="s">
        <v>6385</v>
      </c>
      <c r="B1521" s="241"/>
      <c r="C1521" s="241"/>
      <c r="D1521" s="244" t="s">
        <v>6387</v>
      </c>
      <c r="E1521" s="244"/>
      <c r="F1521" s="241"/>
      <c r="G1521" s="243" t="s">
        <v>5168</v>
      </c>
      <c r="H1521" s="267"/>
      <c r="I1521" s="246"/>
      <c r="J1521" s="238" t="str">
        <f t="shared" si="23"/>
        <v/>
      </c>
    </row>
    <row r="1522" spans="1:10" ht="18.75">
      <c r="A1522" s="240"/>
      <c r="B1522" s="240" t="s">
        <v>6388</v>
      </c>
      <c r="C1522" s="240"/>
      <c r="D1522" s="240" t="s">
        <v>6387</v>
      </c>
      <c r="E1522" s="240"/>
      <c r="F1522" s="240"/>
      <c r="G1522" s="240"/>
      <c r="H1522" s="240"/>
      <c r="I1522" s="240"/>
      <c r="J1522" s="238" t="str">
        <f t="shared" si="23"/>
        <v>OK</v>
      </c>
    </row>
    <row r="1523" spans="1:10">
      <c r="D1523" s="238" t="s">
        <v>6386</v>
      </c>
      <c r="J1523" s="238" t="str">
        <f t="shared" si="23"/>
        <v/>
      </c>
    </row>
    <row r="1524" spans="1:10" ht="18.75">
      <c r="A1524" s="240"/>
      <c r="B1524" s="240" t="s">
        <v>6385</v>
      </c>
      <c r="C1524" s="240"/>
      <c r="D1524" s="240" t="s">
        <v>6384</v>
      </c>
      <c r="E1524" s="240"/>
      <c r="F1524" s="240"/>
      <c r="G1524" s="240"/>
      <c r="H1524" s="240"/>
      <c r="I1524" s="240"/>
      <c r="J1524" s="238" t="str">
        <f t="shared" si="23"/>
        <v/>
      </c>
    </row>
    <row r="1525" spans="1:10" ht="18.75">
      <c r="A1525" s="240"/>
      <c r="B1525" s="240" t="s">
        <v>6383</v>
      </c>
      <c r="C1525" s="240"/>
      <c r="D1525" s="240" t="s">
        <v>6382</v>
      </c>
      <c r="E1525" s="240"/>
      <c r="F1525" s="240"/>
      <c r="G1525" s="240"/>
      <c r="H1525" s="240"/>
      <c r="I1525" s="240"/>
      <c r="J1525" s="238" t="str">
        <f t="shared" si="23"/>
        <v/>
      </c>
    </row>
    <row r="1526" spans="1:10">
      <c r="D1526" s="238" t="s">
        <v>6381</v>
      </c>
      <c r="J1526" s="238" t="str">
        <f t="shared" si="23"/>
        <v/>
      </c>
    </row>
    <row r="1527" spans="1:10">
      <c r="D1527" s="238" t="s">
        <v>6380</v>
      </c>
      <c r="J1527" s="238" t="str">
        <f t="shared" si="23"/>
        <v/>
      </c>
    </row>
    <row r="1528" spans="1:10">
      <c r="D1528" s="238" t="s">
        <v>6379</v>
      </c>
      <c r="J1528" s="238" t="str">
        <f t="shared" si="23"/>
        <v/>
      </c>
    </row>
    <row r="1529" spans="1:10">
      <c r="A1529" s="238" t="s">
        <v>6378</v>
      </c>
      <c r="B1529" s="238" t="s">
        <v>5857</v>
      </c>
      <c r="D1529" s="238" t="s">
        <v>6377</v>
      </c>
      <c r="G1529" s="238" t="s">
        <v>5197</v>
      </c>
      <c r="H1529" s="267"/>
      <c r="I1529" s="246"/>
      <c r="J1529" s="238" t="str">
        <f t="shared" si="23"/>
        <v/>
      </c>
    </row>
    <row r="1530" spans="1:10">
      <c r="A1530" s="238" t="s">
        <v>6376</v>
      </c>
      <c r="B1530" s="238" t="s">
        <v>6375</v>
      </c>
      <c r="D1530" s="238" t="s">
        <v>6374</v>
      </c>
      <c r="G1530" s="238" t="s">
        <v>5197</v>
      </c>
      <c r="H1530" s="267"/>
      <c r="I1530" s="246"/>
      <c r="J1530" s="238" t="str">
        <f t="shared" si="23"/>
        <v/>
      </c>
    </row>
    <row r="1531" spans="1:10">
      <c r="D1531" s="238" t="s">
        <v>6374</v>
      </c>
      <c r="J1531" s="238" t="str">
        <f t="shared" si="23"/>
        <v>OK</v>
      </c>
    </row>
    <row r="1532" spans="1:10">
      <c r="D1532" s="238" t="s">
        <v>6373</v>
      </c>
      <c r="J1532" s="238" t="str">
        <f t="shared" si="23"/>
        <v/>
      </c>
    </row>
    <row r="1533" spans="1:10">
      <c r="D1533" s="238" t="s">
        <v>6372</v>
      </c>
      <c r="J1533" s="238" t="str">
        <f t="shared" si="23"/>
        <v/>
      </c>
    </row>
    <row r="1534" spans="1:10">
      <c r="A1534" s="238" t="s">
        <v>6371</v>
      </c>
      <c r="B1534" s="238" t="s">
        <v>6370</v>
      </c>
      <c r="C1534" s="238" t="s">
        <v>6369</v>
      </c>
      <c r="D1534" s="238" t="s">
        <v>6366</v>
      </c>
      <c r="G1534" s="238" t="s">
        <v>5197</v>
      </c>
      <c r="H1534" s="267"/>
      <c r="I1534" s="246"/>
      <c r="J1534" s="238" t="str">
        <f t="shared" si="23"/>
        <v/>
      </c>
    </row>
    <row r="1535" spans="1:10">
      <c r="A1535" s="238" t="s">
        <v>6368</v>
      </c>
      <c r="B1535" s="238" t="s">
        <v>6367</v>
      </c>
      <c r="D1535" s="238" t="s">
        <v>6366</v>
      </c>
      <c r="G1535" s="238" t="s">
        <v>5197</v>
      </c>
      <c r="H1535" s="267"/>
      <c r="I1535" s="246"/>
      <c r="J1535" s="238" t="str">
        <f t="shared" si="23"/>
        <v>OK</v>
      </c>
    </row>
    <row r="1536" spans="1:10">
      <c r="D1536" s="238" t="s">
        <v>6365</v>
      </c>
      <c r="J1536" s="238" t="str">
        <f t="shared" si="23"/>
        <v/>
      </c>
    </row>
    <row r="1537" spans="1:10">
      <c r="A1537" s="244" t="s">
        <v>6364</v>
      </c>
      <c r="B1537" s="244" t="s">
        <v>6363</v>
      </c>
      <c r="C1537" s="244"/>
      <c r="D1537" s="238" t="s">
        <v>6362</v>
      </c>
      <c r="E1537" s="245"/>
      <c r="F1537" s="244" t="s">
        <v>6361</v>
      </c>
      <c r="G1537" s="243" t="s">
        <v>5168</v>
      </c>
      <c r="H1537" s="267"/>
      <c r="I1537" s="246"/>
      <c r="J1537" s="238" t="str">
        <f t="shared" si="23"/>
        <v/>
      </c>
    </row>
    <row r="1538" spans="1:10">
      <c r="A1538" s="244" t="s">
        <v>6360</v>
      </c>
      <c r="B1538" s="241"/>
      <c r="C1538" s="241"/>
      <c r="D1538" s="244" t="s">
        <v>6359</v>
      </c>
      <c r="E1538" s="244"/>
      <c r="F1538" s="241"/>
      <c r="G1538" s="243" t="s">
        <v>5168</v>
      </c>
      <c r="H1538" s="267"/>
      <c r="I1538" s="246"/>
      <c r="J1538" s="238" t="str">
        <f t="shared" si="23"/>
        <v/>
      </c>
    </row>
    <row r="1539" spans="1:10">
      <c r="D1539" s="238" t="s">
        <v>6358</v>
      </c>
      <c r="J1539" s="238" t="str">
        <f t="shared" ref="J1539:J1602" si="24">IF(D1538=D1539,"OK","")</f>
        <v/>
      </c>
    </row>
    <row r="1540" spans="1:10">
      <c r="D1540" s="238" t="s">
        <v>6357</v>
      </c>
      <c r="J1540" s="238" t="str">
        <f t="shared" si="24"/>
        <v/>
      </c>
    </row>
    <row r="1541" spans="1:10">
      <c r="D1541" s="238" t="s">
        <v>6356</v>
      </c>
      <c r="J1541" s="238" t="str">
        <f t="shared" si="24"/>
        <v/>
      </c>
    </row>
    <row r="1542" spans="1:10">
      <c r="A1542" s="244" t="s">
        <v>6355</v>
      </c>
      <c r="B1542" s="241"/>
      <c r="C1542" s="241"/>
      <c r="D1542" s="244" t="s">
        <v>6354</v>
      </c>
      <c r="E1542" s="244"/>
      <c r="F1542" s="241"/>
      <c r="G1542" s="243" t="s">
        <v>5168</v>
      </c>
      <c r="H1542" s="267"/>
      <c r="I1542" s="246"/>
      <c r="J1542" s="238" t="str">
        <f t="shared" si="24"/>
        <v/>
      </c>
    </row>
    <row r="1543" spans="1:10">
      <c r="D1543" s="238" t="s">
        <v>6353</v>
      </c>
      <c r="J1543" s="238" t="str">
        <f t="shared" si="24"/>
        <v/>
      </c>
    </row>
    <row r="1544" spans="1:10">
      <c r="A1544" s="238" t="s">
        <v>6352</v>
      </c>
      <c r="B1544" s="238" t="s">
        <v>6351</v>
      </c>
      <c r="D1544" s="238" t="s">
        <v>6350</v>
      </c>
      <c r="G1544" s="238" t="s">
        <v>5197</v>
      </c>
      <c r="H1544" s="267"/>
      <c r="I1544" s="246"/>
      <c r="J1544" s="238" t="str">
        <f t="shared" si="24"/>
        <v/>
      </c>
    </row>
    <row r="1545" spans="1:10">
      <c r="D1545" s="238" t="s">
        <v>6349</v>
      </c>
      <c r="J1545" s="238" t="str">
        <f t="shared" si="24"/>
        <v/>
      </c>
    </row>
    <row r="1546" spans="1:10">
      <c r="A1546" s="238" t="s">
        <v>6348</v>
      </c>
      <c r="B1546" s="238" t="s">
        <v>6347</v>
      </c>
      <c r="D1546" s="238" t="s">
        <v>6346</v>
      </c>
      <c r="G1546" s="238" t="s">
        <v>5197</v>
      </c>
      <c r="H1546" s="267"/>
      <c r="I1546" s="246"/>
      <c r="J1546" s="238" t="str">
        <f t="shared" si="24"/>
        <v/>
      </c>
    </row>
    <row r="1547" spans="1:10">
      <c r="A1547" s="238" t="s">
        <v>6345</v>
      </c>
      <c r="B1547" s="238" t="s">
        <v>6344</v>
      </c>
      <c r="C1547" s="238" t="s">
        <v>5212</v>
      </c>
      <c r="D1547" s="238" t="s">
        <v>6343</v>
      </c>
      <c r="G1547" s="238" t="s">
        <v>5197</v>
      </c>
      <c r="H1547" s="267"/>
      <c r="I1547" s="246"/>
      <c r="J1547" s="238" t="str">
        <f t="shared" si="24"/>
        <v/>
      </c>
    </row>
    <row r="1548" spans="1:10">
      <c r="D1548" s="238" t="s">
        <v>6342</v>
      </c>
      <c r="J1548" s="238" t="str">
        <f t="shared" si="24"/>
        <v/>
      </c>
    </row>
    <row r="1549" spans="1:10">
      <c r="D1549" s="238" t="s">
        <v>6341</v>
      </c>
      <c r="J1549" s="238" t="str">
        <f t="shared" si="24"/>
        <v/>
      </c>
    </row>
    <row r="1550" spans="1:10">
      <c r="D1550" s="238" t="s">
        <v>6340</v>
      </c>
      <c r="J1550" s="238" t="str">
        <f t="shared" si="24"/>
        <v/>
      </c>
    </row>
    <row r="1551" spans="1:10">
      <c r="D1551" s="238" t="s">
        <v>6339</v>
      </c>
      <c r="J1551" s="238" t="str">
        <f t="shared" si="24"/>
        <v/>
      </c>
    </row>
    <row r="1552" spans="1:10">
      <c r="D1552" s="238" t="s">
        <v>6338</v>
      </c>
      <c r="J1552" s="238" t="str">
        <f t="shared" si="24"/>
        <v/>
      </c>
    </row>
    <row r="1553" spans="1:10">
      <c r="D1553" s="238" t="s">
        <v>6337</v>
      </c>
      <c r="J1553" s="238" t="str">
        <f t="shared" si="24"/>
        <v/>
      </c>
    </row>
    <row r="1554" spans="1:10">
      <c r="D1554" s="238" t="s">
        <v>6336</v>
      </c>
      <c r="J1554" s="238" t="str">
        <f t="shared" si="24"/>
        <v/>
      </c>
    </row>
    <row r="1555" spans="1:10">
      <c r="D1555" s="238" t="s">
        <v>6335</v>
      </c>
      <c r="J1555" s="238" t="str">
        <f t="shared" si="24"/>
        <v/>
      </c>
    </row>
    <row r="1556" spans="1:10">
      <c r="A1556" s="238" t="s">
        <v>5417</v>
      </c>
      <c r="B1556" s="238" t="s">
        <v>6334</v>
      </c>
      <c r="D1556" s="238" t="s">
        <v>6333</v>
      </c>
      <c r="G1556" s="238" t="s">
        <v>5197</v>
      </c>
      <c r="H1556" s="267"/>
      <c r="I1556" s="246"/>
      <c r="J1556" s="238" t="str">
        <f t="shared" si="24"/>
        <v/>
      </c>
    </row>
    <row r="1557" spans="1:10">
      <c r="D1557" s="238" t="s">
        <v>6332</v>
      </c>
      <c r="J1557" s="238" t="str">
        <f t="shared" si="24"/>
        <v/>
      </c>
    </row>
    <row r="1558" spans="1:10">
      <c r="D1558" s="238" t="s">
        <v>6331</v>
      </c>
      <c r="J1558" s="238" t="str">
        <f t="shared" si="24"/>
        <v/>
      </c>
    </row>
    <row r="1559" spans="1:10">
      <c r="D1559" s="238" t="s">
        <v>6330</v>
      </c>
      <c r="J1559" s="238" t="str">
        <f t="shared" si="24"/>
        <v/>
      </c>
    </row>
    <row r="1560" spans="1:10">
      <c r="D1560" s="238" t="s">
        <v>6329</v>
      </c>
      <c r="J1560" s="238" t="str">
        <f t="shared" si="24"/>
        <v/>
      </c>
    </row>
    <row r="1561" spans="1:10">
      <c r="D1561" s="238" t="s">
        <v>6328</v>
      </c>
      <c r="J1561" s="238" t="str">
        <f t="shared" si="24"/>
        <v/>
      </c>
    </row>
    <row r="1562" spans="1:10">
      <c r="D1562" s="238" t="s">
        <v>6327</v>
      </c>
      <c r="J1562" s="238" t="str">
        <f t="shared" si="24"/>
        <v/>
      </c>
    </row>
    <row r="1563" spans="1:10">
      <c r="D1563" s="238" t="s">
        <v>6326</v>
      </c>
      <c r="J1563" s="238" t="str">
        <f t="shared" si="24"/>
        <v/>
      </c>
    </row>
    <row r="1564" spans="1:10">
      <c r="D1564" s="238" t="s">
        <v>6325</v>
      </c>
      <c r="J1564" s="238" t="str">
        <f t="shared" si="24"/>
        <v/>
      </c>
    </row>
    <row r="1565" spans="1:10">
      <c r="A1565" s="238" t="s">
        <v>6324</v>
      </c>
      <c r="B1565" s="238" t="s">
        <v>6323</v>
      </c>
      <c r="C1565" s="238" t="s">
        <v>5212</v>
      </c>
      <c r="D1565" s="238" t="s">
        <v>6322</v>
      </c>
      <c r="G1565" s="238" t="s">
        <v>5197</v>
      </c>
      <c r="H1565" s="267"/>
      <c r="I1565" s="246"/>
      <c r="J1565" s="238" t="str">
        <f t="shared" si="24"/>
        <v/>
      </c>
    </row>
    <row r="1566" spans="1:10">
      <c r="D1566" s="238" t="s">
        <v>6321</v>
      </c>
      <c r="J1566" s="238" t="str">
        <f t="shared" si="24"/>
        <v/>
      </c>
    </row>
    <row r="1567" spans="1:10">
      <c r="A1567" s="238" t="s">
        <v>6320</v>
      </c>
      <c r="B1567" s="238" t="s">
        <v>6319</v>
      </c>
      <c r="C1567" s="238" t="s">
        <v>6284</v>
      </c>
      <c r="D1567" s="238" t="s">
        <v>6318</v>
      </c>
      <c r="G1567" s="238" t="s">
        <v>5197</v>
      </c>
      <c r="H1567" s="267"/>
      <c r="I1567" s="246"/>
      <c r="J1567" s="238" t="str">
        <f t="shared" si="24"/>
        <v/>
      </c>
    </row>
    <row r="1568" spans="1:10">
      <c r="D1568" s="238" t="s">
        <v>6317</v>
      </c>
      <c r="J1568" s="238" t="str">
        <f t="shared" si="24"/>
        <v/>
      </c>
    </row>
    <row r="1569" spans="1:10">
      <c r="D1569" s="238" t="s">
        <v>6316</v>
      </c>
      <c r="J1569" s="238" t="str">
        <f t="shared" si="24"/>
        <v/>
      </c>
    </row>
    <row r="1570" spans="1:10">
      <c r="A1570" s="244" t="s">
        <v>6312</v>
      </c>
      <c r="B1570" s="241"/>
      <c r="C1570" s="241"/>
      <c r="D1570" s="244" t="s">
        <v>6314</v>
      </c>
      <c r="E1570" s="244"/>
      <c r="F1570" s="241"/>
      <c r="G1570" s="243" t="s">
        <v>5168</v>
      </c>
      <c r="H1570" s="267"/>
      <c r="I1570" s="246"/>
      <c r="J1570" s="238" t="str">
        <f t="shared" si="24"/>
        <v/>
      </c>
    </row>
    <row r="1571" spans="1:10">
      <c r="A1571" s="244" t="s">
        <v>6315</v>
      </c>
      <c r="B1571" s="241"/>
      <c r="C1571" s="241"/>
      <c r="D1571" s="244" t="s">
        <v>6314</v>
      </c>
      <c r="E1571" s="269" t="s">
        <v>6313</v>
      </c>
      <c r="F1571" s="241"/>
      <c r="G1571" s="243" t="s">
        <v>5168</v>
      </c>
      <c r="H1571" s="267"/>
      <c r="I1571" s="246"/>
      <c r="J1571" s="238" t="str">
        <f t="shared" si="24"/>
        <v>OK</v>
      </c>
    </row>
    <row r="1572" spans="1:10" ht="18.75">
      <c r="A1572" s="240"/>
      <c r="B1572" s="240" t="s">
        <v>6312</v>
      </c>
      <c r="C1572" s="240"/>
      <c r="D1572" s="240" t="s">
        <v>6311</v>
      </c>
      <c r="E1572" s="240"/>
      <c r="F1572" s="240"/>
      <c r="G1572" s="240"/>
      <c r="H1572" s="240"/>
      <c r="I1572" s="240"/>
      <c r="J1572" s="238" t="str">
        <f t="shared" si="24"/>
        <v/>
      </c>
    </row>
    <row r="1573" spans="1:10">
      <c r="D1573" s="238" t="s">
        <v>6310</v>
      </c>
      <c r="J1573" s="238" t="str">
        <f t="shared" si="24"/>
        <v/>
      </c>
    </row>
    <row r="1574" spans="1:10">
      <c r="A1574" s="244" t="s">
        <v>6309</v>
      </c>
      <c r="B1574" s="241"/>
      <c r="C1574" s="241"/>
      <c r="D1574" s="244" t="s">
        <v>6308</v>
      </c>
      <c r="E1574" s="244"/>
      <c r="F1574" s="241"/>
      <c r="G1574" s="243" t="s">
        <v>5168</v>
      </c>
      <c r="H1574" s="267"/>
      <c r="I1574" s="246"/>
      <c r="J1574" s="238" t="str">
        <f t="shared" si="24"/>
        <v/>
      </c>
    </row>
    <row r="1575" spans="1:10">
      <c r="D1575" s="238" t="s">
        <v>6307</v>
      </c>
      <c r="J1575" s="238" t="str">
        <f t="shared" si="24"/>
        <v/>
      </c>
    </row>
    <row r="1576" spans="1:10">
      <c r="A1576" s="238" t="s">
        <v>6306</v>
      </c>
      <c r="B1576" s="238" t="s">
        <v>6305</v>
      </c>
      <c r="C1576" s="238" t="s">
        <v>6304</v>
      </c>
      <c r="D1576" s="238" t="s">
        <v>6303</v>
      </c>
      <c r="G1576" s="238" t="s">
        <v>5197</v>
      </c>
      <c r="H1576" s="267"/>
      <c r="I1576" s="246"/>
      <c r="J1576" s="238" t="str">
        <f t="shared" si="24"/>
        <v/>
      </c>
    </row>
    <row r="1577" spans="1:10">
      <c r="D1577" s="238" t="s">
        <v>6302</v>
      </c>
      <c r="J1577" s="238" t="str">
        <f t="shared" si="24"/>
        <v/>
      </c>
    </row>
    <row r="1578" spans="1:10">
      <c r="D1578" s="238" t="s">
        <v>6301</v>
      </c>
      <c r="J1578" s="238" t="str">
        <f t="shared" si="24"/>
        <v/>
      </c>
    </row>
    <row r="1579" spans="1:10">
      <c r="D1579" s="238" t="s">
        <v>6300</v>
      </c>
      <c r="J1579" s="238" t="str">
        <f t="shared" si="24"/>
        <v/>
      </c>
    </row>
    <row r="1580" spans="1:10">
      <c r="D1580" s="238" t="s">
        <v>6299</v>
      </c>
      <c r="J1580" s="238" t="str">
        <f t="shared" si="24"/>
        <v/>
      </c>
    </row>
    <row r="1581" spans="1:10">
      <c r="D1581" s="238" t="s">
        <v>6298</v>
      </c>
      <c r="J1581" s="238" t="str">
        <f t="shared" si="24"/>
        <v/>
      </c>
    </row>
    <row r="1582" spans="1:10">
      <c r="D1582" s="238" t="s">
        <v>6297</v>
      </c>
      <c r="J1582" s="238" t="str">
        <f t="shared" si="24"/>
        <v/>
      </c>
    </row>
    <row r="1583" spans="1:10">
      <c r="D1583" s="238" t="s">
        <v>6296</v>
      </c>
      <c r="J1583" s="238" t="str">
        <f t="shared" si="24"/>
        <v/>
      </c>
    </row>
    <row r="1584" spans="1:10">
      <c r="D1584" s="238" t="s">
        <v>6295</v>
      </c>
      <c r="J1584" s="238" t="str">
        <f t="shared" si="24"/>
        <v/>
      </c>
    </row>
    <row r="1585" spans="1:10">
      <c r="A1585" s="238" t="s">
        <v>6294</v>
      </c>
      <c r="B1585" s="238" t="s">
        <v>6293</v>
      </c>
      <c r="D1585" s="238" t="s">
        <v>6292</v>
      </c>
      <c r="G1585" s="238" t="s">
        <v>5197</v>
      </c>
      <c r="H1585" s="267"/>
      <c r="I1585" s="246"/>
      <c r="J1585" s="238" t="str">
        <f t="shared" si="24"/>
        <v/>
      </c>
    </row>
    <row r="1586" spans="1:10">
      <c r="D1586" s="238" t="s">
        <v>6291</v>
      </c>
      <c r="J1586" s="238" t="str">
        <f t="shared" si="24"/>
        <v/>
      </c>
    </row>
    <row r="1587" spans="1:10">
      <c r="D1587" s="238" t="s">
        <v>6290</v>
      </c>
      <c r="J1587" s="238" t="str">
        <f t="shared" si="24"/>
        <v/>
      </c>
    </row>
    <row r="1588" spans="1:10">
      <c r="D1588" s="238" t="s">
        <v>6289</v>
      </c>
      <c r="J1588" s="238" t="str">
        <f t="shared" si="24"/>
        <v/>
      </c>
    </row>
    <row r="1589" spans="1:10">
      <c r="D1589" s="238" t="s">
        <v>6288</v>
      </c>
      <c r="J1589" s="238" t="str">
        <f t="shared" si="24"/>
        <v/>
      </c>
    </row>
    <row r="1590" spans="1:10">
      <c r="D1590" s="238" t="s">
        <v>6287</v>
      </c>
      <c r="J1590" s="238" t="str">
        <f t="shared" si="24"/>
        <v/>
      </c>
    </row>
    <row r="1591" spans="1:10">
      <c r="A1591" s="238" t="s">
        <v>6286</v>
      </c>
      <c r="B1591" s="238" t="s">
        <v>6285</v>
      </c>
      <c r="C1591" s="238" t="s">
        <v>6284</v>
      </c>
      <c r="D1591" s="238" t="s">
        <v>6283</v>
      </c>
      <c r="G1591" s="238" t="s">
        <v>5197</v>
      </c>
      <c r="H1591" s="267"/>
      <c r="I1591" s="246"/>
      <c r="J1591" s="238" t="str">
        <f t="shared" si="24"/>
        <v/>
      </c>
    </row>
    <row r="1592" spans="1:10">
      <c r="D1592" s="238" t="s">
        <v>6282</v>
      </c>
      <c r="J1592" s="238" t="str">
        <f t="shared" si="24"/>
        <v/>
      </c>
    </row>
    <row r="1593" spans="1:10">
      <c r="D1593" s="238" t="s">
        <v>6281</v>
      </c>
      <c r="J1593" s="238" t="str">
        <f t="shared" si="24"/>
        <v/>
      </c>
    </row>
    <row r="1594" spans="1:10">
      <c r="D1594" s="238" t="s">
        <v>6280</v>
      </c>
      <c r="J1594" s="238" t="str">
        <f t="shared" si="24"/>
        <v/>
      </c>
    </row>
    <row r="1595" spans="1:10">
      <c r="D1595" s="238" t="s">
        <v>6279</v>
      </c>
      <c r="J1595" s="238" t="str">
        <f t="shared" si="24"/>
        <v/>
      </c>
    </row>
    <row r="1596" spans="1:10">
      <c r="A1596" s="238" t="s">
        <v>6278</v>
      </c>
      <c r="B1596" s="238" t="s">
        <v>6277</v>
      </c>
      <c r="C1596" s="238" t="s">
        <v>5212</v>
      </c>
      <c r="D1596" s="238" t="s">
        <v>6276</v>
      </c>
      <c r="G1596" s="238" t="s">
        <v>5197</v>
      </c>
      <c r="H1596" s="267"/>
      <c r="I1596" s="246"/>
      <c r="J1596" s="238" t="str">
        <f t="shared" si="24"/>
        <v/>
      </c>
    </row>
    <row r="1597" spans="1:10">
      <c r="D1597" s="238" t="s">
        <v>6275</v>
      </c>
      <c r="J1597" s="238" t="str">
        <f t="shared" si="24"/>
        <v/>
      </c>
    </row>
    <row r="1598" spans="1:10">
      <c r="D1598" s="238" t="s">
        <v>6274</v>
      </c>
      <c r="J1598" s="238" t="str">
        <f t="shared" si="24"/>
        <v/>
      </c>
    </row>
    <row r="1599" spans="1:10">
      <c r="A1599" s="238" t="s">
        <v>6273</v>
      </c>
      <c r="B1599" s="238" t="s">
        <v>5857</v>
      </c>
      <c r="D1599" s="238" t="s">
        <v>6272</v>
      </c>
      <c r="G1599" s="238" t="s">
        <v>5197</v>
      </c>
      <c r="H1599" s="267"/>
      <c r="I1599" s="246"/>
      <c r="J1599" s="238" t="str">
        <f t="shared" si="24"/>
        <v/>
      </c>
    </row>
    <row r="1600" spans="1:10">
      <c r="A1600" s="238" t="s">
        <v>6271</v>
      </c>
      <c r="B1600" s="238" t="s">
        <v>6270</v>
      </c>
      <c r="C1600" s="238" t="s">
        <v>6269</v>
      </c>
      <c r="D1600" s="238" t="s">
        <v>6268</v>
      </c>
      <c r="G1600" s="238" t="s">
        <v>5197</v>
      </c>
      <c r="H1600" s="267"/>
      <c r="I1600" s="246"/>
      <c r="J1600" s="238" t="str">
        <f t="shared" si="24"/>
        <v/>
      </c>
    </row>
    <row r="1601" spans="1:10">
      <c r="D1601" s="238" t="s">
        <v>6267</v>
      </c>
      <c r="J1601" s="238" t="str">
        <f t="shared" si="24"/>
        <v/>
      </c>
    </row>
    <row r="1602" spans="1:10">
      <c r="A1602" s="238" t="s">
        <v>6266</v>
      </c>
      <c r="B1602" s="238" t="s">
        <v>6265</v>
      </c>
      <c r="C1602" s="238" t="s">
        <v>6165</v>
      </c>
      <c r="D1602" s="238" t="s">
        <v>6264</v>
      </c>
      <c r="G1602" s="238" t="s">
        <v>5197</v>
      </c>
      <c r="H1602" s="267"/>
      <c r="I1602" s="246"/>
      <c r="J1602" s="238" t="str">
        <f t="shared" si="24"/>
        <v/>
      </c>
    </row>
    <row r="1603" spans="1:10">
      <c r="D1603" s="238" t="s">
        <v>6262</v>
      </c>
      <c r="J1603" s="238" t="str">
        <f t="shared" ref="J1603:J1666" si="25">IF(D1602=D1603,"OK","")</f>
        <v/>
      </c>
    </row>
    <row r="1604" spans="1:10" ht="18.75">
      <c r="A1604" s="240"/>
      <c r="B1604" s="240" t="s">
        <v>6263</v>
      </c>
      <c r="C1604" s="240"/>
      <c r="D1604" s="240" t="s">
        <v>6262</v>
      </c>
      <c r="E1604" s="240"/>
      <c r="F1604" s="240"/>
      <c r="G1604" s="240"/>
      <c r="H1604" s="240"/>
      <c r="I1604" s="240"/>
      <c r="J1604" s="238" t="str">
        <f t="shared" si="25"/>
        <v>OK</v>
      </c>
    </row>
    <row r="1605" spans="1:10">
      <c r="D1605" s="238" t="s">
        <v>6261</v>
      </c>
      <c r="J1605" s="238" t="str">
        <f t="shared" si="25"/>
        <v/>
      </c>
    </row>
    <row r="1606" spans="1:10">
      <c r="D1606" s="238" t="s">
        <v>6260</v>
      </c>
      <c r="J1606" s="238" t="str">
        <f t="shared" si="25"/>
        <v/>
      </c>
    </row>
    <row r="1607" spans="1:10" ht="18.75">
      <c r="A1607" s="240"/>
      <c r="B1607" s="240" t="s">
        <v>6259</v>
      </c>
      <c r="C1607" s="240"/>
      <c r="D1607" s="240" t="s">
        <v>6258</v>
      </c>
      <c r="E1607" s="240"/>
      <c r="F1607" s="240"/>
      <c r="G1607" s="240"/>
      <c r="H1607" s="240"/>
      <c r="I1607" s="240"/>
      <c r="J1607" s="238" t="str">
        <f t="shared" si="25"/>
        <v/>
      </c>
    </row>
    <row r="1608" spans="1:10">
      <c r="A1608" s="238" t="s">
        <v>6257</v>
      </c>
      <c r="B1608" s="238" t="s">
        <v>5857</v>
      </c>
      <c r="D1608" s="238" t="s">
        <v>6256</v>
      </c>
      <c r="G1608" s="238" t="s">
        <v>5197</v>
      </c>
      <c r="H1608" s="267"/>
      <c r="I1608" s="246"/>
      <c r="J1608" s="238" t="str">
        <f t="shared" si="25"/>
        <v/>
      </c>
    </row>
    <row r="1609" spans="1:10">
      <c r="D1609" s="238" t="s">
        <v>6255</v>
      </c>
      <c r="J1609" s="238" t="str">
        <f t="shared" si="25"/>
        <v/>
      </c>
    </row>
    <row r="1610" spans="1:10">
      <c r="D1610" s="238" t="s">
        <v>6254</v>
      </c>
      <c r="J1610" s="238" t="str">
        <f t="shared" si="25"/>
        <v/>
      </c>
    </row>
    <row r="1611" spans="1:10">
      <c r="D1611" s="238" t="s">
        <v>6253</v>
      </c>
      <c r="J1611" s="238" t="str">
        <f t="shared" si="25"/>
        <v/>
      </c>
    </row>
    <row r="1612" spans="1:10">
      <c r="D1612" s="238" t="s">
        <v>6252</v>
      </c>
      <c r="J1612" s="238" t="str">
        <f t="shared" si="25"/>
        <v/>
      </c>
    </row>
    <row r="1613" spans="1:10">
      <c r="D1613" s="238" t="s">
        <v>6251</v>
      </c>
      <c r="J1613" s="238" t="str">
        <f t="shared" si="25"/>
        <v/>
      </c>
    </row>
    <row r="1614" spans="1:10">
      <c r="D1614" s="238" t="s">
        <v>6250</v>
      </c>
      <c r="J1614" s="238" t="str">
        <f t="shared" si="25"/>
        <v/>
      </c>
    </row>
    <row r="1615" spans="1:10">
      <c r="D1615" s="238" t="s">
        <v>6249</v>
      </c>
      <c r="J1615" s="238" t="str">
        <f t="shared" si="25"/>
        <v/>
      </c>
    </row>
    <row r="1616" spans="1:10">
      <c r="A1616" s="238" t="s">
        <v>6248</v>
      </c>
      <c r="B1616" s="238" t="s">
        <v>5857</v>
      </c>
      <c r="D1616" s="238" t="s">
        <v>6247</v>
      </c>
      <c r="G1616" s="238" t="s">
        <v>5197</v>
      </c>
      <c r="H1616" s="267"/>
      <c r="I1616" s="246"/>
      <c r="J1616" s="238" t="str">
        <f t="shared" si="25"/>
        <v/>
      </c>
    </row>
    <row r="1617" spans="1:10">
      <c r="D1617" s="238" t="s">
        <v>6246</v>
      </c>
      <c r="J1617" s="238" t="str">
        <f t="shared" si="25"/>
        <v/>
      </c>
    </row>
    <row r="1618" spans="1:10">
      <c r="D1618" s="238" t="s">
        <v>6245</v>
      </c>
      <c r="J1618" s="238" t="str">
        <f t="shared" si="25"/>
        <v/>
      </c>
    </row>
    <row r="1619" spans="1:10">
      <c r="D1619" s="238" t="s">
        <v>6244</v>
      </c>
      <c r="J1619" s="238" t="str">
        <f t="shared" si="25"/>
        <v/>
      </c>
    </row>
    <row r="1620" spans="1:10">
      <c r="D1620" s="238" t="s">
        <v>6243</v>
      </c>
      <c r="J1620" s="238" t="str">
        <f t="shared" si="25"/>
        <v/>
      </c>
    </row>
    <row r="1621" spans="1:10">
      <c r="A1621" s="241" t="s">
        <v>6242</v>
      </c>
      <c r="B1621" s="241"/>
      <c r="C1621" s="241"/>
      <c r="D1621" s="264" t="s">
        <v>6241</v>
      </c>
      <c r="E1621" s="264"/>
      <c r="F1621" s="241"/>
      <c r="G1621" s="243" t="s">
        <v>5168</v>
      </c>
      <c r="H1621" s="267"/>
      <c r="I1621" s="246"/>
      <c r="J1621" s="238" t="str">
        <f t="shared" si="25"/>
        <v/>
      </c>
    </row>
    <row r="1622" spans="1:10">
      <c r="D1622" s="238" t="s">
        <v>6240</v>
      </c>
      <c r="J1622" s="238" t="str">
        <f t="shared" si="25"/>
        <v/>
      </c>
    </row>
    <row r="1623" spans="1:10">
      <c r="A1623" s="238" t="s">
        <v>6239</v>
      </c>
      <c r="B1623" s="238" t="s">
        <v>6238</v>
      </c>
      <c r="D1623" s="238" t="s">
        <v>6237</v>
      </c>
      <c r="F1623" s="238" t="s">
        <v>6236</v>
      </c>
      <c r="G1623" s="238" t="s">
        <v>5197</v>
      </c>
      <c r="H1623" s="267"/>
      <c r="I1623" s="246"/>
      <c r="J1623" s="238" t="str">
        <f t="shared" si="25"/>
        <v/>
      </c>
    </row>
    <row r="1624" spans="1:10">
      <c r="D1624" s="238" t="s">
        <v>6235</v>
      </c>
      <c r="J1624" s="238" t="str">
        <f t="shared" si="25"/>
        <v/>
      </c>
    </row>
    <row r="1625" spans="1:10">
      <c r="D1625" s="238" t="s">
        <v>6234</v>
      </c>
      <c r="J1625" s="238" t="str">
        <f t="shared" si="25"/>
        <v/>
      </c>
    </row>
    <row r="1626" spans="1:10">
      <c r="D1626" s="238" t="s">
        <v>6233</v>
      </c>
      <c r="J1626" s="238" t="str">
        <f t="shared" si="25"/>
        <v/>
      </c>
    </row>
    <row r="1627" spans="1:10">
      <c r="D1627" s="238" t="s">
        <v>6232</v>
      </c>
      <c r="J1627" s="238" t="str">
        <f t="shared" si="25"/>
        <v/>
      </c>
    </row>
    <row r="1628" spans="1:10">
      <c r="A1628" s="238" t="s">
        <v>6231</v>
      </c>
      <c r="B1628" s="238" t="s">
        <v>6230</v>
      </c>
      <c r="C1628" s="238" t="s">
        <v>6058</v>
      </c>
      <c r="D1628" s="238" t="s">
        <v>6229</v>
      </c>
      <c r="G1628" s="238" t="s">
        <v>5197</v>
      </c>
      <c r="H1628" s="267"/>
      <c r="I1628" s="246"/>
      <c r="J1628" s="238" t="str">
        <f t="shared" si="25"/>
        <v/>
      </c>
    </row>
    <row r="1629" spans="1:10">
      <c r="A1629" s="238" t="s">
        <v>6228</v>
      </c>
      <c r="B1629" s="238" t="s">
        <v>6227</v>
      </c>
      <c r="C1629" s="238" t="s">
        <v>6226</v>
      </c>
      <c r="D1629" s="238" t="s">
        <v>6225</v>
      </c>
      <c r="G1629" s="238" t="s">
        <v>5197</v>
      </c>
      <c r="H1629" s="267"/>
      <c r="I1629" s="246"/>
      <c r="J1629" s="238" t="str">
        <f t="shared" si="25"/>
        <v/>
      </c>
    </row>
    <row r="1630" spans="1:10">
      <c r="A1630" s="246"/>
      <c r="B1630" s="268"/>
      <c r="C1630" s="268"/>
      <c r="D1630" s="238" t="s">
        <v>6224</v>
      </c>
      <c r="F1630" s="246"/>
      <c r="G1630" s="246"/>
      <c r="H1630" s="267"/>
      <c r="I1630" s="246"/>
      <c r="J1630" s="238" t="str">
        <f t="shared" si="25"/>
        <v/>
      </c>
    </row>
    <row r="1631" spans="1:10">
      <c r="D1631" s="238" t="s">
        <v>6222</v>
      </c>
      <c r="J1631" s="238" t="str">
        <f t="shared" si="25"/>
        <v>OK</v>
      </c>
    </row>
    <row r="1632" spans="1:10" ht="18.75">
      <c r="A1632" s="240"/>
      <c r="B1632" s="240" t="s">
        <v>6223</v>
      </c>
      <c r="C1632" s="240"/>
      <c r="D1632" s="240" t="s">
        <v>6222</v>
      </c>
      <c r="E1632" s="240"/>
      <c r="F1632" s="240"/>
      <c r="G1632" s="240"/>
      <c r="H1632" s="240"/>
      <c r="I1632" s="240"/>
      <c r="J1632" s="238" t="str">
        <f t="shared" si="25"/>
        <v>OK</v>
      </c>
    </row>
    <row r="1633" spans="1:10">
      <c r="D1633" s="238" t="s">
        <v>6221</v>
      </c>
      <c r="J1633" s="238" t="str">
        <f t="shared" si="25"/>
        <v/>
      </c>
    </row>
    <row r="1634" spans="1:10">
      <c r="D1634" s="238" t="s">
        <v>6220</v>
      </c>
      <c r="J1634" s="238" t="str">
        <f t="shared" si="25"/>
        <v/>
      </c>
    </row>
    <row r="1635" spans="1:10" ht="18.75">
      <c r="A1635" s="240"/>
      <c r="B1635" s="240" t="s">
        <v>6219</v>
      </c>
      <c r="C1635" s="240"/>
      <c r="D1635" s="240" t="s">
        <v>6218</v>
      </c>
      <c r="E1635" s="240"/>
      <c r="F1635" s="240"/>
      <c r="G1635" s="240"/>
      <c r="H1635" s="240"/>
      <c r="I1635" s="240"/>
      <c r="J1635" s="238" t="str">
        <f t="shared" si="25"/>
        <v/>
      </c>
    </row>
    <row r="1636" spans="1:10">
      <c r="A1636" s="246"/>
      <c r="B1636" s="263"/>
      <c r="C1636" s="263"/>
      <c r="D1636" s="238" t="s">
        <v>6217</v>
      </c>
      <c r="F1636" s="246"/>
      <c r="G1636" s="246"/>
      <c r="H1636" s="267"/>
      <c r="I1636" s="246"/>
      <c r="J1636" s="238" t="str">
        <f t="shared" si="25"/>
        <v/>
      </c>
    </row>
    <row r="1637" spans="1:10">
      <c r="D1637" s="238" t="s">
        <v>6215</v>
      </c>
      <c r="J1637" s="238" t="str">
        <f t="shared" si="25"/>
        <v>OK</v>
      </c>
    </row>
    <row r="1638" spans="1:10" ht="18.75">
      <c r="A1638" s="240"/>
      <c r="B1638" s="240" t="s">
        <v>6216</v>
      </c>
      <c r="C1638" s="240"/>
      <c r="D1638" s="240" t="s">
        <v>6215</v>
      </c>
      <c r="E1638" s="240"/>
      <c r="F1638" s="240"/>
      <c r="G1638" s="240"/>
      <c r="H1638" s="240"/>
      <c r="I1638" s="240"/>
      <c r="J1638" s="238" t="str">
        <f t="shared" si="25"/>
        <v>OK</v>
      </c>
    </row>
    <row r="1639" spans="1:10">
      <c r="D1639" s="238" t="s">
        <v>6214</v>
      </c>
      <c r="J1639" s="238" t="str">
        <f t="shared" si="25"/>
        <v/>
      </c>
    </row>
    <row r="1640" spans="1:10">
      <c r="A1640" s="246"/>
      <c r="B1640" s="246"/>
      <c r="C1640" s="246"/>
      <c r="D1640" s="246" t="s">
        <v>6213</v>
      </c>
      <c r="E1640" s="246"/>
      <c r="F1640" s="246"/>
      <c r="G1640" s="246"/>
      <c r="H1640" s="267"/>
      <c r="I1640" s="246"/>
      <c r="J1640" s="238" t="str">
        <f t="shared" si="25"/>
        <v/>
      </c>
    </row>
    <row r="1641" spans="1:10" ht="18.75">
      <c r="A1641" s="240"/>
      <c r="B1641" s="240" t="s">
        <v>6212</v>
      </c>
      <c r="C1641" s="240"/>
      <c r="D1641" s="240" t="s">
        <v>6211</v>
      </c>
      <c r="E1641" s="240"/>
      <c r="F1641" s="240"/>
      <c r="G1641" s="240"/>
      <c r="H1641" s="240"/>
      <c r="I1641" s="240"/>
      <c r="J1641" s="238" t="str">
        <f t="shared" si="25"/>
        <v/>
      </c>
    </row>
    <row r="1642" spans="1:10">
      <c r="D1642" s="238" t="s">
        <v>6210</v>
      </c>
      <c r="J1642" s="238" t="str">
        <f t="shared" si="25"/>
        <v/>
      </c>
    </row>
    <row r="1643" spans="1:10">
      <c r="A1643" s="246"/>
      <c r="B1643" s="263"/>
      <c r="C1643" s="263"/>
      <c r="D1643" s="238" t="s">
        <v>6209</v>
      </c>
      <c r="F1643" s="246"/>
      <c r="G1643" s="246"/>
      <c r="H1643" s="267"/>
      <c r="I1643" s="246"/>
      <c r="J1643" s="238" t="str">
        <f t="shared" si="25"/>
        <v/>
      </c>
    </row>
    <row r="1644" spans="1:10">
      <c r="D1644" s="238" t="s">
        <v>6208</v>
      </c>
      <c r="J1644" s="238" t="str">
        <f t="shared" si="25"/>
        <v>OK</v>
      </c>
    </row>
    <row r="1645" spans="1:10">
      <c r="A1645" s="238" t="s">
        <v>6207</v>
      </c>
      <c r="B1645" s="238" t="s">
        <v>6206</v>
      </c>
      <c r="D1645" s="238" t="s">
        <v>6205</v>
      </c>
      <c r="G1645" s="238" t="s">
        <v>5197</v>
      </c>
      <c r="H1645" s="267"/>
      <c r="I1645" s="246"/>
      <c r="J1645" s="238" t="str">
        <f t="shared" si="25"/>
        <v/>
      </c>
    </row>
    <row r="1646" spans="1:10">
      <c r="D1646" s="238" t="s">
        <v>6205</v>
      </c>
      <c r="J1646" s="238" t="str">
        <f t="shared" si="25"/>
        <v>OK</v>
      </c>
    </row>
    <row r="1647" spans="1:10">
      <c r="A1647" s="238" t="s">
        <v>6204</v>
      </c>
      <c r="B1647" s="238" t="s">
        <v>6203</v>
      </c>
      <c r="C1647" s="238" t="s">
        <v>6202</v>
      </c>
      <c r="D1647" s="238" t="s">
        <v>6201</v>
      </c>
      <c r="G1647" s="238" t="s">
        <v>5197</v>
      </c>
      <c r="H1647" s="267"/>
      <c r="I1647" s="246"/>
      <c r="J1647" s="238" t="str">
        <f t="shared" si="25"/>
        <v/>
      </c>
    </row>
    <row r="1648" spans="1:10">
      <c r="A1648" s="238" t="s">
        <v>6200</v>
      </c>
      <c r="B1648" s="238" t="s">
        <v>6199</v>
      </c>
      <c r="C1648" s="238" t="s">
        <v>5379</v>
      </c>
      <c r="D1648" s="238" t="s">
        <v>6198</v>
      </c>
      <c r="G1648" s="238" t="s">
        <v>5197</v>
      </c>
      <c r="H1648" s="267"/>
      <c r="I1648" s="246"/>
      <c r="J1648" s="238" t="str">
        <f t="shared" si="25"/>
        <v/>
      </c>
    </row>
    <row r="1649" spans="1:10">
      <c r="D1649" s="238" t="s">
        <v>6197</v>
      </c>
      <c r="J1649" s="238" t="str">
        <f t="shared" si="25"/>
        <v/>
      </c>
    </row>
    <row r="1650" spans="1:10">
      <c r="D1650" s="238" t="s">
        <v>6196</v>
      </c>
      <c r="J1650" s="238" t="str">
        <f t="shared" si="25"/>
        <v/>
      </c>
    </row>
    <row r="1651" spans="1:10">
      <c r="D1651" s="238" t="s">
        <v>6195</v>
      </c>
      <c r="J1651" s="238" t="str">
        <f t="shared" si="25"/>
        <v/>
      </c>
    </row>
    <row r="1652" spans="1:10">
      <c r="D1652" s="238" t="s">
        <v>6194</v>
      </c>
      <c r="J1652" s="238" t="str">
        <f t="shared" si="25"/>
        <v/>
      </c>
    </row>
    <row r="1653" spans="1:10">
      <c r="D1653" s="238" t="s">
        <v>6193</v>
      </c>
      <c r="J1653" s="238" t="str">
        <f t="shared" si="25"/>
        <v/>
      </c>
    </row>
    <row r="1654" spans="1:10">
      <c r="A1654" s="244" t="s">
        <v>6192</v>
      </c>
      <c r="B1654" s="241"/>
      <c r="C1654" s="241"/>
      <c r="D1654" s="244" t="s">
        <v>6191</v>
      </c>
      <c r="E1654" s="244"/>
      <c r="F1654" s="241"/>
      <c r="G1654" s="243" t="s">
        <v>5168</v>
      </c>
      <c r="H1654" s="267"/>
      <c r="I1654" s="246"/>
      <c r="J1654" s="238" t="str">
        <f t="shared" si="25"/>
        <v/>
      </c>
    </row>
    <row r="1655" spans="1:10">
      <c r="A1655" s="243" t="s">
        <v>5687</v>
      </c>
      <c r="B1655" s="243" t="s">
        <v>6190</v>
      </c>
      <c r="C1655" s="243"/>
      <c r="D1655" s="252" t="s">
        <v>6189</v>
      </c>
      <c r="E1655" s="252" t="s">
        <v>6188</v>
      </c>
      <c r="F1655" s="243"/>
      <c r="G1655" s="243" t="s">
        <v>5168</v>
      </c>
      <c r="H1655" s="266"/>
      <c r="I1655" s="243"/>
      <c r="J1655" s="238" t="str">
        <f t="shared" si="25"/>
        <v/>
      </c>
    </row>
    <row r="1656" spans="1:10">
      <c r="D1656" s="238" t="s">
        <v>6187</v>
      </c>
      <c r="J1656" s="238" t="str">
        <f t="shared" si="25"/>
        <v/>
      </c>
    </row>
    <row r="1657" spans="1:10">
      <c r="D1657" s="238" t="s">
        <v>6186</v>
      </c>
      <c r="J1657" s="238" t="str">
        <f t="shared" si="25"/>
        <v/>
      </c>
    </row>
    <row r="1658" spans="1:10">
      <c r="A1658" s="244" t="s">
        <v>6185</v>
      </c>
      <c r="B1658" s="244" t="s">
        <v>6184</v>
      </c>
      <c r="C1658" s="244"/>
      <c r="D1658" s="238" t="s">
        <v>6183</v>
      </c>
      <c r="E1658" s="245"/>
      <c r="F1658" s="244" t="s">
        <v>6182</v>
      </c>
      <c r="G1658" s="243" t="s">
        <v>5168</v>
      </c>
      <c r="H1658" s="266"/>
      <c r="I1658" s="243"/>
      <c r="J1658" s="238" t="str">
        <f t="shared" si="25"/>
        <v/>
      </c>
    </row>
    <row r="1659" spans="1:10" ht="18.75">
      <c r="A1659" s="240"/>
      <c r="B1659" s="240" t="s">
        <v>6181</v>
      </c>
      <c r="C1659" s="240"/>
      <c r="D1659" s="240" t="s">
        <v>6180</v>
      </c>
      <c r="E1659" s="240"/>
      <c r="F1659" s="240"/>
      <c r="G1659" s="240"/>
      <c r="H1659" s="240"/>
      <c r="I1659" s="240"/>
      <c r="J1659" s="238" t="str">
        <f t="shared" si="25"/>
        <v/>
      </c>
    </row>
    <row r="1660" spans="1:10">
      <c r="A1660" s="244" t="s">
        <v>6179</v>
      </c>
      <c r="B1660" s="244" t="s">
        <v>6178</v>
      </c>
      <c r="C1660" s="244"/>
      <c r="D1660" s="238" t="s">
        <v>6177</v>
      </c>
      <c r="E1660" s="245"/>
      <c r="F1660" s="244" t="s">
        <v>6176</v>
      </c>
      <c r="G1660" s="243" t="s">
        <v>5168</v>
      </c>
      <c r="H1660" s="266"/>
      <c r="I1660" s="243"/>
      <c r="J1660" s="238" t="str">
        <f t="shared" si="25"/>
        <v/>
      </c>
    </row>
    <row r="1661" spans="1:10">
      <c r="D1661" s="238" t="s">
        <v>6175</v>
      </c>
      <c r="J1661" s="238" t="str">
        <f t="shared" si="25"/>
        <v/>
      </c>
    </row>
    <row r="1662" spans="1:10">
      <c r="D1662" s="238" t="s">
        <v>6174</v>
      </c>
      <c r="J1662" s="238" t="str">
        <f t="shared" si="25"/>
        <v/>
      </c>
    </row>
    <row r="1663" spans="1:10">
      <c r="A1663" s="238" t="s">
        <v>5306</v>
      </c>
      <c r="B1663" s="238" t="s">
        <v>6173</v>
      </c>
      <c r="C1663" s="238" t="s">
        <v>5379</v>
      </c>
      <c r="D1663" s="238" t="s">
        <v>6172</v>
      </c>
      <c r="G1663" s="238" t="s">
        <v>5197</v>
      </c>
      <c r="H1663" s="266"/>
      <c r="I1663" s="243"/>
      <c r="J1663" s="238" t="str">
        <f t="shared" si="25"/>
        <v/>
      </c>
    </row>
    <row r="1664" spans="1:10">
      <c r="D1664" s="238" t="s">
        <v>6171</v>
      </c>
      <c r="J1664" s="238" t="str">
        <f t="shared" si="25"/>
        <v/>
      </c>
    </row>
    <row r="1665" spans="1:10">
      <c r="D1665" s="238" t="s">
        <v>6170</v>
      </c>
      <c r="J1665" s="238" t="str">
        <f t="shared" si="25"/>
        <v/>
      </c>
    </row>
    <row r="1666" spans="1:10">
      <c r="D1666" s="238" t="s">
        <v>6169</v>
      </c>
      <c r="J1666" s="238" t="str">
        <f t="shared" si="25"/>
        <v/>
      </c>
    </row>
    <row r="1667" spans="1:10">
      <c r="A1667" s="238" t="s">
        <v>6167</v>
      </c>
      <c r="B1667" s="238" t="s">
        <v>6166</v>
      </c>
      <c r="C1667" s="238" t="s">
        <v>6168</v>
      </c>
      <c r="D1667" s="238" t="s">
        <v>6164</v>
      </c>
      <c r="G1667" s="238" t="s">
        <v>5197</v>
      </c>
      <c r="H1667" s="266"/>
      <c r="I1667" s="243"/>
      <c r="J1667" s="238" t="str">
        <f t="shared" ref="J1667:J1730" si="26">IF(D1666=D1667,"OK","")</f>
        <v/>
      </c>
    </row>
    <row r="1668" spans="1:10">
      <c r="A1668" s="238" t="s">
        <v>6167</v>
      </c>
      <c r="B1668" s="238" t="s">
        <v>6166</v>
      </c>
      <c r="C1668" s="238" t="s">
        <v>6165</v>
      </c>
      <c r="D1668" s="238" t="s">
        <v>6164</v>
      </c>
      <c r="G1668" s="238" t="s">
        <v>5197</v>
      </c>
      <c r="H1668" s="242"/>
      <c r="I1668" s="244"/>
      <c r="J1668" s="238" t="str">
        <f t="shared" si="26"/>
        <v>OK</v>
      </c>
    </row>
    <row r="1669" spans="1:10">
      <c r="D1669" s="238" t="s">
        <v>6163</v>
      </c>
      <c r="J1669" s="238" t="str">
        <f t="shared" si="26"/>
        <v/>
      </c>
    </row>
    <row r="1670" spans="1:10">
      <c r="D1670" s="238" t="s">
        <v>6162</v>
      </c>
      <c r="J1670" s="238" t="str">
        <f t="shared" si="26"/>
        <v/>
      </c>
    </row>
    <row r="1671" spans="1:10" ht="18.75">
      <c r="A1671" s="240"/>
      <c r="B1671" s="240" t="s">
        <v>6161</v>
      </c>
      <c r="C1671" s="240"/>
      <c r="D1671" s="240" t="s">
        <v>6160</v>
      </c>
      <c r="E1671" s="240"/>
      <c r="F1671" s="240"/>
      <c r="G1671" s="240"/>
      <c r="H1671" s="240"/>
      <c r="I1671" s="240"/>
      <c r="J1671" s="238" t="str">
        <f t="shared" si="26"/>
        <v/>
      </c>
    </row>
    <row r="1672" spans="1:10">
      <c r="A1672" s="238" t="s">
        <v>6159</v>
      </c>
      <c r="B1672" s="238" t="s">
        <v>6158</v>
      </c>
      <c r="D1672" s="238" t="s">
        <v>6157</v>
      </c>
      <c r="G1672" s="238" t="s">
        <v>5197</v>
      </c>
      <c r="H1672" s="242"/>
      <c r="I1672" s="244"/>
      <c r="J1672" s="238" t="str">
        <f t="shared" si="26"/>
        <v/>
      </c>
    </row>
    <row r="1673" spans="1:10">
      <c r="D1673" s="238" t="s">
        <v>6156</v>
      </c>
      <c r="J1673" s="238" t="str">
        <f t="shared" si="26"/>
        <v/>
      </c>
    </row>
    <row r="1674" spans="1:10">
      <c r="D1674" s="238" t="s">
        <v>6155</v>
      </c>
      <c r="J1674" s="238" t="str">
        <f t="shared" si="26"/>
        <v/>
      </c>
    </row>
    <row r="1675" spans="1:10">
      <c r="A1675" s="244" t="s">
        <v>6154</v>
      </c>
      <c r="B1675" s="241"/>
      <c r="C1675" s="241"/>
      <c r="D1675" s="244" t="s">
        <v>6153</v>
      </c>
      <c r="E1675" s="244"/>
      <c r="F1675" s="241"/>
      <c r="G1675" s="243" t="s">
        <v>5168</v>
      </c>
      <c r="H1675" s="242"/>
      <c r="I1675" s="244"/>
      <c r="J1675" s="238" t="str">
        <f t="shared" si="26"/>
        <v/>
      </c>
    </row>
    <row r="1676" spans="1:10">
      <c r="A1676" s="238" t="s">
        <v>6152</v>
      </c>
      <c r="B1676" s="238" t="s">
        <v>6151</v>
      </c>
      <c r="C1676" s="238" t="s">
        <v>6150</v>
      </c>
      <c r="D1676" s="238" t="s">
        <v>6149</v>
      </c>
      <c r="G1676" s="238" t="s">
        <v>5197</v>
      </c>
      <c r="H1676" s="242"/>
      <c r="I1676" s="244"/>
      <c r="J1676" s="238" t="str">
        <f t="shared" si="26"/>
        <v/>
      </c>
    </row>
    <row r="1677" spans="1:10">
      <c r="A1677" s="238" t="s">
        <v>6148</v>
      </c>
      <c r="B1677" s="238" t="s">
        <v>5857</v>
      </c>
      <c r="D1677" s="238" t="s">
        <v>6147</v>
      </c>
      <c r="G1677" s="238" t="s">
        <v>5197</v>
      </c>
      <c r="H1677" s="242"/>
      <c r="I1677" s="244"/>
      <c r="J1677" s="238" t="str">
        <f t="shared" si="26"/>
        <v/>
      </c>
    </row>
    <row r="1678" spans="1:10">
      <c r="D1678" s="238" t="s">
        <v>6146</v>
      </c>
      <c r="J1678" s="238" t="str">
        <f t="shared" si="26"/>
        <v/>
      </c>
    </row>
    <row r="1679" spans="1:10">
      <c r="D1679" s="238" t="s">
        <v>6145</v>
      </c>
      <c r="J1679" s="238" t="str">
        <f t="shared" si="26"/>
        <v/>
      </c>
    </row>
    <row r="1680" spans="1:10">
      <c r="A1680" s="244" t="s">
        <v>6144</v>
      </c>
      <c r="B1680" s="244" t="s">
        <v>6143</v>
      </c>
      <c r="C1680" s="244"/>
      <c r="D1680" s="238" t="s">
        <v>6142</v>
      </c>
      <c r="E1680" s="245"/>
      <c r="F1680" s="244"/>
      <c r="G1680" s="243" t="s">
        <v>5168</v>
      </c>
      <c r="H1680" s="242"/>
      <c r="I1680" s="244"/>
      <c r="J1680" s="238" t="str">
        <f t="shared" si="26"/>
        <v/>
      </c>
    </row>
    <row r="1681" spans="1:10">
      <c r="D1681" s="238" t="s">
        <v>6141</v>
      </c>
      <c r="J1681" s="238" t="str">
        <f t="shared" si="26"/>
        <v/>
      </c>
    </row>
    <row r="1682" spans="1:10">
      <c r="A1682" s="238" t="s">
        <v>6140</v>
      </c>
      <c r="B1682" s="238" t="s">
        <v>6139</v>
      </c>
      <c r="D1682" s="238" t="s">
        <v>6138</v>
      </c>
      <c r="G1682" s="238" t="s">
        <v>5197</v>
      </c>
      <c r="H1682" s="242"/>
      <c r="I1682" s="244"/>
      <c r="J1682" s="238" t="str">
        <f t="shared" si="26"/>
        <v/>
      </c>
    </row>
    <row r="1683" spans="1:10">
      <c r="D1683" s="238" t="s">
        <v>6137</v>
      </c>
      <c r="J1683" s="238" t="str">
        <f t="shared" si="26"/>
        <v/>
      </c>
    </row>
    <row r="1684" spans="1:10">
      <c r="D1684" s="238" t="s">
        <v>6136</v>
      </c>
      <c r="J1684" s="238" t="str">
        <f t="shared" si="26"/>
        <v/>
      </c>
    </row>
    <row r="1685" spans="1:10">
      <c r="A1685" s="253" t="s">
        <v>6135</v>
      </c>
      <c r="B1685" s="244" t="s">
        <v>6134</v>
      </c>
      <c r="C1685" s="244"/>
      <c r="D1685" s="238" t="s">
        <v>6133</v>
      </c>
      <c r="E1685" s="245"/>
      <c r="F1685" s="244" t="s">
        <v>6132</v>
      </c>
      <c r="G1685" s="243" t="s">
        <v>5168</v>
      </c>
      <c r="H1685" s="242"/>
      <c r="I1685" s="244"/>
      <c r="J1685" s="238" t="str">
        <f t="shared" si="26"/>
        <v/>
      </c>
    </row>
    <row r="1686" spans="1:10">
      <c r="D1686" s="238" t="s">
        <v>6131</v>
      </c>
      <c r="J1686" s="238" t="str">
        <f t="shared" si="26"/>
        <v/>
      </c>
    </row>
    <row r="1687" spans="1:10">
      <c r="D1687" s="238" t="s">
        <v>6130</v>
      </c>
      <c r="J1687" s="238" t="str">
        <f t="shared" si="26"/>
        <v/>
      </c>
    </row>
    <row r="1688" spans="1:10">
      <c r="D1688" s="238" t="s">
        <v>6129</v>
      </c>
      <c r="J1688" s="238" t="str">
        <f t="shared" si="26"/>
        <v/>
      </c>
    </row>
    <row r="1689" spans="1:10">
      <c r="D1689" s="238" t="s">
        <v>6128</v>
      </c>
      <c r="J1689" s="238" t="str">
        <f t="shared" si="26"/>
        <v/>
      </c>
    </row>
    <row r="1690" spans="1:10">
      <c r="D1690" s="238" t="s">
        <v>6127</v>
      </c>
      <c r="J1690" s="238" t="str">
        <f t="shared" si="26"/>
        <v/>
      </c>
    </row>
    <row r="1691" spans="1:10">
      <c r="A1691" s="241" t="s">
        <v>6126</v>
      </c>
      <c r="B1691" s="265" t="s">
        <v>6125</v>
      </c>
      <c r="C1691" s="265"/>
      <c r="D1691" s="264" t="s">
        <v>6124</v>
      </c>
      <c r="E1691" s="264"/>
      <c r="F1691" s="241"/>
      <c r="G1691" s="243" t="s">
        <v>5168</v>
      </c>
      <c r="H1691" s="242"/>
      <c r="I1691" s="244"/>
      <c r="J1691" s="238" t="str">
        <f t="shared" si="26"/>
        <v/>
      </c>
    </row>
    <row r="1692" spans="1:10" ht="18.75">
      <c r="A1692" s="253" t="s">
        <v>6123</v>
      </c>
      <c r="B1692" s="244" t="s">
        <v>6122</v>
      </c>
      <c r="C1692" s="244"/>
      <c r="D1692" s="240" t="s">
        <v>6121</v>
      </c>
      <c r="E1692" s="252"/>
      <c r="F1692" s="244" t="s">
        <v>6120</v>
      </c>
      <c r="G1692" s="243" t="s">
        <v>5168</v>
      </c>
      <c r="H1692" s="239" t="s">
        <v>5625</v>
      </c>
      <c r="J1692" s="238" t="str">
        <f t="shared" si="26"/>
        <v/>
      </c>
    </row>
    <row r="1693" spans="1:10">
      <c r="A1693" s="253" t="s">
        <v>6123</v>
      </c>
      <c r="B1693" s="244" t="s">
        <v>6122</v>
      </c>
      <c r="C1693" s="244"/>
      <c r="D1693" s="256" t="s">
        <v>6121</v>
      </c>
      <c r="E1693" s="252"/>
      <c r="F1693" s="244" t="s">
        <v>6120</v>
      </c>
      <c r="G1693" s="243" t="s">
        <v>5168</v>
      </c>
      <c r="H1693" s="242"/>
      <c r="I1693" s="244"/>
      <c r="J1693" s="238" t="str">
        <f t="shared" si="26"/>
        <v>OK</v>
      </c>
    </row>
    <row r="1694" spans="1:10">
      <c r="A1694" s="238" t="s">
        <v>6119</v>
      </c>
      <c r="B1694" s="238" t="s">
        <v>6118</v>
      </c>
      <c r="D1694" s="238" t="s">
        <v>6117</v>
      </c>
      <c r="G1694" s="238" t="s">
        <v>5197</v>
      </c>
      <c r="H1694" s="242"/>
      <c r="I1694" s="244"/>
      <c r="J1694" s="238" t="str">
        <f t="shared" si="26"/>
        <v/>
      </c>
    </row>
    <row r="1695" spans="1:10">
      <c r="A1695" s="238" t="s">
        <v>6116</v>
      </c>
      <c r="B1695" s="238" t="s">
        <v>6115</v>
      </c>
      <c r="D1695" s="238" t="s">
        <v>6114</v>
      </c>
      <c r="G1695" s="238" t="s">
        <v>5197</v>
      </c>
      <c r="H1695" s="242"/>
      <c r="I1695" s="244"/>
      <c r="J1695" s="238" t="str">
        <f t="shared" si="26"/>
        <v/>
      </c>
    </row>
    <row r="1696" spans="1:10">
      <c r="A1696" s="238" t="s">
        <v>6113</v>
      </c>
      <c r="B1696" s="238" t="s">
        <v>6112</v>
      </c>
      <c r="C1696" s="238" t="s">
        <v>6111</v>
      </c>
      <c r="D1696" s="238" t="s">
        <v>6110</v>
      </c>
      <c r="G1696" s="238" t="s">
        <v>5197</v>
      </c>
      <c r="H1696" s="242"/>
      <c r="I1696" s="244"/>
      <c r="J1696" s="238" t="str">
        <f t="shared" si="26"/>
        <v/>
      </c>
    </row>
    <row r="1697" spans="1:10">
      <c r="D1697" s="238" t="s">
        <v>6109</v>
      </c>
      <c r="J1697" s="238" t="str">
        <f t="shared" si="26"/>
        <v/>
      </c>
    </row>
    <row r="1698" spans="1:10">
      <c r="D1698" s="238" t="s">
        <v>6108</v>
      </c>
      <c r="J1698" s="238" t="str">
        <f t="shared" si="26"/>
        <v/>
      </c>
    </row>
    <row r="1699" spans="1:10">
      <c r="A1699" s="238" t="s">
        <v>6107</v>
      </c>
      <c r="B1699" s="238" t="s">
        <v>6106</v>
      </c>
      <c r="D1699" s="238" t="s">
        <v>6105</v>
      </c>
      <c r="G1699" s="238" t="s">
        <v>5197</v>
      </c>
      <c r="H1699" s="242"/>
      <c r="I1699" s="244"/>
      <c r="J1699" s="238" t="str">
        <f t="shared" si="26"/>
        <v/>
      </c>
    </row>
    <row r="1700" spans="1:10">
      <c r="D1700" s="238" t="s">
        <v>6104</v>
      </c>
      <c r="J1700" s="238" t="str">
        <f t="shared" si="26"/>
        <v/>
      </c>
    </row>
    <row r="1701" spans="1:10">
      <c r="D1701" s="238" t="s">
        <v>6103</v>
      </c>
      <c r="J1701" s="238" t="str">
        <f t="shared" si="26"/>
        <v/>
      </c>
    </row>
    <row r="1702" spans="1:10">
      <c r="A1702" s="238" t="s">
        <v>6102</v>
      </c>
      <c r="B1702" s="238" t="s">
        <v>6101</v>
      </c>
      <c r="C1702" s="238" t="s">
        <v>5322</v>
      </c>
      <c r="D1702" s="238" t="s">
        <v>6100</v>
      </c>
      <c r="G1702" s="238" t="s">
        <v>5197</v>
      </c>
      <c r="H1702" s="242"/>
      <c r="I1702" s="244"/>
      <c r="J1702" s="238" t="str">
        <f t="shared" si="26"/>
        <v/>
      </c>
    </row>
    <row r="1703" spans="1:10">
      <c r="A1703" s="238" t="s">
        <v>6099</v>
      </c>
      <c r="B1703" s="238" t="s">
        <v>6098</v>
      </c>
      <c r="D1703" s="238" t="s">
        <v>6097</v>
      </c>
      <c r="G1703" s="238" t="s">
        <v>5197</v>
      </c>
      <c r="H1703" s="242"/>
      <c r="I1703" s="244"/>
      <c r="J1703" s="238" t="str">
        <f t="shared" si="26"/>
        <v/>
      </c>
    </row>
    <row r="1704" spans="1:10">
      <c r="A1704" s="238" t="s">
        <v>6096</v>
      </c>
      <c r="B1704" s="238" t="s">
        <v>6095</v>
      </c>
      <c r="D1704" s="238" t="s">
        <v>6094</v>
      </c>
      <c r="G1704" s="238" t="s">
        <v>5197</v>
      </c>
      <c r="H1704" s="242"/>
      <c r="I1704" s="244"/>
      <c r="J1704" s="238" t="str">
        <f t="shared" si="26"/>
        <v/>
      </c>
    </row>
    <row r="1705" spans="1:10">
      <c r="D1705" s="238" t="s">
        <v>6093</v>
      </c>
      <c r="J1705" s="238" t="str">
        <f t="shared" si="26"/>
        <v/>
      </c>
    </row>
    <row r="1706" spans="1:10">
      <c r="A1706" s="238" t="s">
        <v>6092</v>
      </c>
      <c r="B1706" s="238" t="s">
        <v>6091</v>
      </c>
      <c r="C1706" s="238" t="s">
        <v>6090</v>
      </c>
      <c r="D1706" s="238" t="s">
        <v>6089</v>
      </c>
      <c r="G1706" s="238" t="s">
        <v>5197</v>
      </c>
      <c r="H1706" s="242"/>
      <c r="I1706" s="244"/>
      <c r="J1706" s="238" t="str">
        <f t="shared" si="26"/>
        <v/>
      </c>
    </row>
    <row r="1707" spans="1:10">
      <c r="A1707" s="238" t="s">
        <v>6088</v>
      </c>
      <c r="B1707" s="238" t="s">
        <v>5857</v>
      </c>
      <c r="D1707" s="238" t="s">
        <v>6087</v>
      </c>
      <c r="G1707" s="238" t="s">
        <v>5197</v>
      </c>
      <c r="H1707" s="242"/>
      <c r="I1707" s="244"/>
      <c r="J1707" s="238" t="str">
        <f t="shared" si="26"/>
        <v/>
      </c>
    </row>
    <row r="1708" spans="1:10">
      <c r="A1708" s="244" t="s">
        <v>6086</v>
      </c>
      <c r="B1708" s="244" t="s">
        <v>6085</v>
      </c>
      <c r="C1708" s="244"/>
      <c r="D1708" s="238" t="s">
        <v>6084</v>
      </c>
      <c r="E1708" s="245"/>
      <c r="F1708" s="244" t="s">
        <v>6083</v>
      </c>
      <c r="G1708" s="243" t="s">
        <v>5168</v>
      </c>
      <c r="H1708" s="242"/>
      <c r="I1708" s="244"/>
      <c r="J1708" s="238" t="str">
        <f t="shared" si="26"/>
        <v/>
      </c>
    </row>
    <row r="1709" spans="1:10">
      <c r="D1709" s="238" t="s">
        <v>6082</v>
      </c>
      <c r="J1709" s="238" t="str">
        <f t="shared" si="26"/>
        <v/>
      </c>
    </row>
    <row r="1710" spans="1:10">
      <c r="D1710" s="238" t="s">
        <v>6081</v>
      </c>
      <c r="J1710" s="238" t="str">
        <f t="shared" si="26"/>
        <v/>
      </c>
    </row>
    <row r="1711" spans="1:10">
      <c r="D1711" s="238" t="s">
        <v>6080</v>
      </c>
      <c r="J1711" s="238" t="str">
        <f t="shared" si="26"/>
        <v/>
      </c>
    </row>
    <row r="1712" spans="1:10">
      <c r="D1712" s="238" t="s">
        <v>6079</v>
      </c>
      <c r="J1712" s="238" t="str">
        <f t="shared" si="26"/>
        <v/>
      </c>
    </row>
    <row r="1713" spans="1:10">
      <c r="D1713" s="238" t="s">
        <v>6078</v>
      </c>
      <c r="J1713" s="238" t="str">
        <f t="shared" si="26"/>
        <v/>
      </c>
    </row>
    <row r="1714" spans="1:10">
      <c r="D1714" s="238" t="s">
        <v>6077</v>
      </c>
      <c r="J1714" s="238" t="str">
        <f t="shared" si="26"/>
        <v/>
      </c>
    </row>
    <row r="1715" spans="1:10">
      <c r="A1715" s="238" t="s">
        <v>6076</v>
      </c>
      <c r="B1715" s="238" t="s">
        <v>6075</v>
      </c>
      <c r="C1715" s="238" t="s">
        <v>5379</v>
      </c>
      <c r="D1715" s="238" t="s">
        <v>6074</v>
      </c>
      <c r="G1715" s="238" t="s">
        <v>5197</v>
      </c>
      <c r="H1715" s="242"/>
      <c r="I1715" s="244"/>
      <c r="J1715" s="238" t="str">
        <f t="shared" si="26"/>
        <v/>
      </c>
    </row>
    <row r="1716" spans="1:10">
      <c r="D1716" s="238" t="s">
        <v>6073</v>
      </c>
      <c r="J1716" s="238" t="str">
        <f t="shared" si="26"/>
        <v/>
      </c>
    </row>
    <row r="1717" spans="1:10">
      <c r="D1717" s="238" t="s">
        <v>6072</v>
      </c>
      <c r="J1717" s="238" t="str">
        <f t="shared" si="26"/>
        <v/>
      </c>
    </row>
    <row r="1718" spans="1:10" ht="18.75">
      <c r="A1718" s="240"/>
      <c r="B1718" s="240" t="s">
        <v>6071</v>
      </c>
      <c r="C1718" s="240"/>
      <c r="D1718" s="240" t="s">
        <v>6070</v>
      </c>
      <c r="E1718" s="240"/>
      <c r="F1718" s="240"/>
      <c r="G1718" s="240"/>
      <c r="H1718" s="240"/>
      <c r="I1718" s="240"/>
      <c r="J1718" s="238" t="str">
        <f t="shared" si="26"/>
        <v/>
      </c>
    </row>
    <row r="1719" spans="1:10">
      <c r="D1719" s="238" t="s">
        <v>6069</v>
      </c>
      <c r="J1719" s="238" t="str">
        <f t="shared" si="26"/>
        <v/>
      </c>
    </row>
    <row r="1720" spans="1:10">
      <c r="A1720" s="246"/>
      <c r="B1720" s="254"/>
      <c r="C1720" s="263"/>
      <c r="D1720" s="238" t="s">
        <v>6068</v>
      </c>
      <c r="F1720" s="246"/>
      <c r="G1720" s="246"/>
      <c r="H1720" s="242"/>
      <c r="I1720" s="244"/>
      <c r="J1720" s="238" t="str">
        <f t="shared" si="26"/>
        <v/>
      </c>
    </row>
    <row r="1721" spans="1:10">
      <c r="A1721" s="246"/>
      <c r="B1721" s="246"/>
      <c r="C1721" s="246"/>
      <c r="D1721" s="246" t="s">
        <v>6067</v>
      </c>
      <c r="E1721" s="246"/>
      <c r="F1721" s="246"/>
      <c r="G1721" s="246"/>
      <c r="H1721" s="242"/>
      <c r="I1721" s="244"/>
      <c r="J1721" s="238" t="str">
        <f t="shared" si="26"/>
        <v>OK</v>
      </c>
    </row>
    <row r="1722" spans="1:10">
      <c r="D1722" s="238" t="s">
        <v>6067</v>
      </c>
      <c r="J1722" s="238" t="str">
        <f t="shared" si="26"/>
        <v>OK</v>
      </c>
    </row>
    <row r="1723" spans="1:10">
      <c r="D1723" s="238" t="s">
        <v>6067</v>
      </c>
      <c r="J1723" s="238" t="str">
        <f t="shared" si="26"/>
        <v>OK</v>
      </c>
    </row>
    <row r="1724" spans="1:10">
      <c r="A1724" s="238" t="s">
        <v>6066</v>
      </c>
      <c r="B1724" s="238" t="s">
        <v>6065</v>
      </c>
      <c r="D1724" s="238" t="s">
        <v>6064</v>
      </c>
      <c r="G1724" s="238" t="s">
        <v>5197</v>
      </c>
      <c r="H1724" s="242"/>
      <c r="I1724" s="244"/>
      <c r="J1724" s="238" t="str">
        <f t="shared" si="26"/>
        <v/>
      </c>
    </row>
    <row r="1725" spans="1:10">
      <c r="D1725" s="238" t="s">
        <v>6064</v>
      </c>
      <c r="J1725" s="238" t="str">
        <f t="shared" si="26"/>
        <v>OK</v>
      </c>
    </row>
    <row r="1726" spans="1:10">
      <c r="D1726" s="238" t="s">
        <v>6063</v>
      </c>
      <c r="J1726" s="238" t="str">
        <f t="shared" si="26"/>
        <v/>
      </c>
    </row>
    <row r="1727" spans="1:10">
      <c r="D1727" s="238" t="s">
        <v>6062</v>
      </c>
      <c r="J1727" s="238" t="str">
        <f t="shared" si="26"/>
        <v/>
      </c>
    </row>
    <row r="1728" spans="1:10">
      <c r="D1728" s="238" t="s">
        <v>6061</v>
      </c>
      <c r="J1728" s="238" t="str">
        <f t="shared" si="26"/>
        <v/>
      </c>
    </row>
    <row r="1729" spans="1:10">
      <c r="A1729" s="238" t="s">
        <v>6060</v>
      </c>
      <c r="B1729" s="238" t="s">
        <v>6059</v>
      </c>
      <c r="C1729" s="238" t="s">
        <v>6058</v>
      </c>
      <c r="D1729" s="238" t="s">
        <v>6057</v>
      </c>
      <c r="G1729" s="238" t="s">
        <v>5197</v>
      </c>
      <c r="H1729" s="242"/>
      <c r="I1729" s="244"/>
      <c r="J1729" s="238" t="str">
        <f t="shared" si="26"/>
        <v/>
      </c>
    </row>
    <row r="1730" spans="1:10">
      <c r="D1730" s="238" t="s">
        <v>6056</v>
      </c>
      <c r="J1730" s="238" t="str">
        <f t="shared" si="26"/>
        <v/>
      </c>
    </row>
    <row r="1731" spans="1:10">
      <c r="D1731" s="238" t="s">
        <v>6055</v>
      </c>
      <c r="J1731" s="238" t="str">
        <f t="shared" ref="J1731:J1794" si="27">IF(D1730=D1731,"OK","")</f>
        <v/>
      </c>
    </row>
    <row r="1732" spans="1:10">
      <c r="D1732" s="238" t="s">
        <v>6054</v>
      </c>
      <c r="J1732" s="238" t="str">
        <f t="shared" si="27"/>
        <v/>
      </c>
    </row>
    <row r="1733" spans="1:10">
      <c r="D1733" s="238" t="s">
        <v>6053</v>
      </c>
      <c r="J1733" s="238" t="str">
        <f t="shared" si="27"/>
        <v/>
      </c>
    </row>
    <row r="1734" spans="1:10">
      <c r="D1734" s="238" t="s">
        <v>6052</v>
      </c>
      <c r="J1734" s="238" t="str">
        <f t="shared" si="27"/>
        <v/>
      </c>
    </row>
    <row r="1735" spans="1:10">
      <c r="D1735" s="238" t="s">
        <v>6051</v>
      </c>
      <c r="J1735" s="238" t="str">
        <f t="shared" si="27"/>
        <v/>
      </c>
    </row>
    <row r="1736" spans="1:10">
      <c r="A1736" s="238" t="s">
        <v>6050</v>
      </c>
      <c r="B1736" s="238" t="s">
        <v>6049</v>
      </c>
      <c r="C1736" s="238" t="s">
        <v>6048</v>
      </c>
      <c r="D1736" s="238" t="s">
        <v>6047</v>
      </c>
      <c r="G1736" s="238" t="s">
        <v>5197</v>
      </c>
      <c r="H1736" s="242"/>
      <c r="I1736" s="244"/>
      <c r="J1736" s="238" t="str">
        <f t="shared" si="27"/>
        <v/>
      </c>
    </row>
    <row r="1737" spans="1:10">
      <c r="D1737" s="238" t="s">
        <v>6046</v>
      </c>
      <c r="J1737" s="238" t="str">
        <f t="shared" si="27"/>
        <v/>
      </c>
    </row>
    <row r="1738" spans="1:10">
      <c r="A1738" s="238" t="s">
        <v>6045</v>
      </c>
      <c r="B1738" s="238" t="s">
        <v>6044</v>
      </c>
      <c r="D1738" s="238" t="s">
        <v>6043</v>
      </c>
      <c r="G1738" s="238" t="s">
        <v>5197</v>
      </c>
      <c r="H1738" s="242"/>
      <c r="I1738" s="244"/>
      <c r="J1738" s="238" t="str">
        <f t="shared" si="27"/>
        <v/>
      </c>
    </row>
    <row r="1739" spans="1:10">
      <c r="D1739" s="238" t="s">
        <v>6042</v>
      </c>
      <c r="J1739" s="238" t="str">
        <f t="shared" si="27"/>
        <v/>
      </c>
    </row>
    <row r="1740" spans="1:10">
      <c r="D1740" s="238" t="s">
        <v>6041</v>
      </c>
      <c r="J1740" s="238" t="str">
        <f t="shared" si="27"/>
        <v/>
      </c>
    </row>
    <row r="1741" spans="1:10">
      <c r="D1741" s="238" t="s">
        <v>6040</v>
      </c>
      <c r="J1741" s="238" t="str">
        <f t="shared" si="27"/>
        <v/>
      </c>
    </row>
    <row r="1742" spans="1:10">
      <c r="D1742" s="238" t="s">
        <v>6039</v>
      </c>
      <c r="J1742" s="238" t="str">
        <f t="shared" si="27"/>
        <v/>
      </c>
    </row>
    <row r="1743" spans="1:10">
      <c r="D1743" s="238" t="s">
        <v>6038</v>
      </c>
      <c r="J1743" s="238" t="str">
        <f t="shared" si="27"/>
        <v/>
      </c>
    </row>
    <row r="1744" spans="1:10" ht="18.75">
      <c r="A1744" s="240"/>
      <c r="B1744" s="240" t="s">
        <v>6037</v>
      </c>
      <c r="C1744" s="240"/>
      <c r="D1744" s="240" t="s">
        <v>6036</v>
      </c>
      <c r="E1744" s="240"/>
      <c r="F1744" s="240"/>
      <c r="G1744" s="240"/>
      <c r="H1744" s="240"/>
      <c r="I1744" s="240"/>
      <c r="J1744" s="238" t="str">
        <f t="shared" si="27"/>
        <v/>
      </c>
    </row>
    <row r="1745" spans="1:10">
      <c r="A1745" s="247" t="s">
        <v>6035</v>
      </c>
      <c r="B1745" s="247" t="s">
        <v>6034</v>
      </c>
      <c r="C1745" s="247"/>
      <c r="D1745" s="256" t="s">
        <v>6033</v>
      </c>
      <c r="E1745" s="248"/>
      <c r="F1745" s="248"/>
      <c r="G1745" s="243" t="s">
        <v>5168</v>
      </c>
      <c r="H1745" s="242"/>
      <c r="I1745" s="244"/>
      <c r="J1745" s="238" t="str">
        <f t="shared" si="27"/>
        <v/>
      </c>
    </row>
    <row r="1746" spans="1:10">
      <c r="A1746" s="238" t="s">
        <v>6032</v>
      </c>
      <c r="B1746" s="238" t="s">
        <v>6031</v>
      </c>
      <c r="D1746" s="238" t="s">
        <v>6030</v>
      </c>
      <c r="G1746" s="238" t="s">
        <v>5197</v>
      </c>
      <c r="H1746" s="242"/>
      <c r="I1746" s="244"/>
      <c r="J1746" s="238" t="str">
        <f t="shared" si="27"/>
        <v/>
      </c>
    </row>
    <row r="1747" spans="1:10">
      <c r="D1747" s="238" t="s">
        <v>6029</v>
      </c>
      <c r="J1747" s="238" t="str">
        <f t="shared" si="27"/>
        <v/>
      </c>
    </row>
    <row r="1748" spans="1:10" ht="18.75">
      <c r="A1748" s="240"/>
      <c r="B1748" s="240" t="s">
        <v>6028</v>
      </c>
      <c r="C1748" s="240"/>
      <c r="D1748" s="240" t="s">
        <v>6027</v>
      </c>
      <c r="E1748" s="240"/>
      <c r="F1748" s="240"/>
      <c r="G1748" s="240"/>
      <c r="H1748" s="240"/>
      <c r="I1748" s="240"/>
      <c r="J1748" s="238" t="str">
        <f t="shared" si="27"/>
        <v/>
      </c>
    </row>
    <row r="1749" spans="1:10">
      <c r="D1749" s="238" t="s">
        <v>6026</v>
      </c>
      <c r="J1749" s="238" t="str">
        <f t="shared" si="27"/>
        <v/>
      </c>
    </row>
    <row r="1750" spans="1:10">
      <c r="A1750" s="238" t="s">
        <v>6025</v>
      </c>
      <c r="B1750" s="238" t="s">
        <v>6024</v>
      </c>
      <c r="C1750" s="238" t="s">
        <v>6023</v>
      </c>
      <c r="D1750" s="238" t="s">
        <v>6022</v>
      </c>
      <c r="F1750" s="238" t="s">
        <v>6021</v>
      </c>
      <c r="G1750" s="238" t="s">
        <v>5197</v>
      </c>
      <c r="H1750" s="242"/>
      <c r="I1750" s="244"/>
      <c r="J1750" s="238" t="str">
        <f t="shared" si="27"/>
        <v/>
      </c>
    </row>
    <row r="1751" spans="1:10">
      <c r="A1751" s="262" t="s">
        <v>5687</v>
      </c>
      <c r="B1751" s="262" t="s">
        <v>6020</v>
      </c>
      <c r="C1751" s="262"/>
      <c r="D1751" s="261" t="s">
        <v>6019</v>
      </c>
      <c r="E1751" s="257"/>
      <c r="F1751" s="243"/>
      <c r="G1751" s="243" t="s">
        <v>5168</v>
      </c>
      <c r="H1751" s="242"/>
      <c r="I1751" s="244"/>
      <c r="J1751" s="238" t="str">
        <f t="shared" si="27"/>
        <v/>
      </c>
    </row>
    <row r="1752" spans="1:10">
      <c r="D1752" s="238" t="s">
        <v>6018</v>
      </c>
      <c r="J1752" s="238" t="str">
        <f t="shared" si="27"/>
        <v/>
      </c>
    </row>
    <row r="1753" spans="1:10">
      <c r="D1753" s="238" t="s">
        <v>6017</v>
      </c>
      <c r="J1753" s="238" t="str">
        <f t="shared" si="27"/>
        <v/>
      </c>
    </row>
    <row r="1754" spans="1:10">
      <c r="A1754" s="238" t="s">
        <v>5989</v>
      </c>
      <c r="B1754" s="238" t="s">
        <v>6016</v>
      </c>
      <c r="C1754" s="238" t="s">
        <v>6015</v>
      </c>
      <c r="D1754" s="238" t="s">
        <v>6014</v>
      </c>
      <c r="G1754" s="238" t="s">
        <v>5197</v>
      </c>
      <c r="H1754" s="242"/>
      <c r="I1754" s="244"/>
      <c r="J1754" s="238" t="str">
        <f t="shared" si="27"/>
        <v/>
      </c>
    </row>
    <row r="1755" spans="1:10">
      <c r="D1755" s="238" t="s">
        <v>6013</v>
      </c>
      <c r="J1755" s="238" t="str">
        <f t="shared" si="27"/>
        <v/>
      </c>
    </row>
    <row r="1756" spans="1:10">
      <c r="D1756" s="238" t="s">
        <v>6012</v>
      </c>
      <c r="J1756" s="238" t="str">
        <f t="shared" si="27"/>
        <v/>
      </c>
    </row>
    <row r="1757" spans="1:10">
      <c r="D1757" s="238" t="s">
        <v>6011</v>
      </c>
      <c r="J1757" s="238" t="str">
        <f t="shared" si="27"/>
        <v/>
      </c>
    </row>
    <row r="1758" spans="1:10">
      <c r="D1758" s="238" t="s">
        <v>6010</v>
      </c>
      <c r="J1758" s="238" t="str">
        <f t="shared" si="27"/>
        <v/>
      </c>
    </row>
    <row r="1759" spans="1:10">
      <c r="D1759" s="238" t="s">
        <v>6009</v>
      </c>
      <c r="J1759" s="238" t="str">
        <f t="shared" si="27"/>
        <v/>
      </c>
    </row>
    <row r="1760" spans="1:10">
      <c r="A1760" s="244" t="s">
        <v>6008</v>
      </c>
      <c r="B1760" s="244" t="s">
        <v>6007</v>
      </c>
      <c r="C1760" s="244"/>
      <c r="D1760" s="238" t="s">
        <v>6006</v>
      </c>
      <c r="E1760" s="245"/>
      <c r="F1760" s="244" t="s">
        <v>6005</v>
      </c>
      <c r="G1760" s="243" t="s">
        <v>5168</v>
      </c>
      <c r="H1760" s="242"/>
      <c r="I1760" s="244"/>
      <c r="J1760" s="238" t="str">
        <f t="shared" si="27"/>
        <v/>
      </c>
    </row>
    <row r="1761" spans="1:10" ht="18.75">
      <c r="A1761" s="240"/>
      <c r="B1761" s="240" t="s">
        <v>6004</v>
      </c>
      <c r="C1761" s="240"/>
      <c r="D1761" s="240" t="s">
        <v>6003</v>
      </c>
      <c r="E1761" s="240"/>
      <c r="F1761" s="240"/>
      <c r="G1761" s="240"/>
      <c r="H1761" s="240"/>
      <c r="I1761" s="240"/>
      <c r="J1761" s="238" t="str">
        <f t="shared" si="27"/>
        <v/>
      </c>
    </row>
    <row r="1762" spans="1:10">
      <c r="A1762" s="238" t="s">
        <v>6002</v>
      </c>
      <c r="B1762" s="238" t="s">
        <v>6001</v>
      </c>
      <c r="D1762" s="238" t="s">
        <v>6000</v>
      </c>
      <c r="G1762" s="238" t="s">
        <v>5197</v>
      </c>
      <c r="H1762" s="242"/>
      <c r="I1762" s="244"/>
      <c r="J1762" s="238" t="str">
        <f t="shared" si="27"/>
        <v/>
      </c>
    </row>
    <row r="1763" spans="1:10">
      <c r="D1763" s="238" t="s">
        <v>5999</v>
      </c>
      <c r="J1763" s="238" t="str">
        <f t="shared" si="27"/>
        <v/>
      </c>
    </row>
    <row r="1764" spans="1:10" ht="18.75">
      <c r="A1764" s="240"/>
      <c r="B1764" s="240" t="s">
        <v>5998</v>
      </c>
      <c r="C1764" s="240"/>
      <c r="D1764" s="240" t="s">
        <v>5997</v>
      </c>
      <c r="E1764" s="240"/>
      <c r="F1764" s="240"/>
      <c r="G1764" s="240"/>
      <c r="H1764" s="240"/>
      <c r="I1764" s="240"/>
      <c r="J1764" s="238" t="str">
        <f t="shared" si="27"/>
        <v/>
      </c>
    </row>
    <row r="1765" spans="1:10">
      <c r="D1765" s="238" t="s">
        <v>5996</v>
      </c>
      <c r="J1765" s="238" t="str">
        <f t="shared" si="27"/>
        <v/>
      </c>
    </row>
    <row r="1766" spans="1:10">
      <c r="D1766" s="238" t="s">
        <v>5995</v>
      </c>
      <c r="J1766" s="238" t="str">
        <f t="shared" si="27"/>
        <v/>
      </c>
    </row>
    <row r="1767" spans="1:10">
      <c r="D1767" s="238" t="s">
        <v>5994</v>
      </c>
      <c r="J1767" s="238" t="str">
        <f t="shared" si="27"/>
        <v/>
      </c>
    </row>
    <row r="1768" spans="1:10">
      <c r="D1768" s="238" t="s">
        <v>5993</v>
      </c>
      <c r="J1768" s="238" t="str">
        <f t="shared" si="27"/>
        <v/>
      </c>
    </row>
    <row r="1769" spans="1:10">
      <c r="A1769" s="238" t="s">
        <v>5992</v>
      </c>
      <c r="B1769" s="238" t="s">
        <v>5991</v>
      </c>
      <c r="C1769" s="238" t="s">
        <v>5212</v>
      </c>
      <c r="D1769" s="238" t="s">
        <v>5990</v>
      </c>
      <c r="G1769" s="238" t="s">
        <v>5197</v>
      </c>
      <c r="H1769" s="242"/>
      <c r="I1769" s="244"/>
      <c r="J1769" s="238" t="str">
        <f t="shared" si="27"/>
        <v/>
      </c>
    </row>
    <row r="1770" spans="1:10">
      <c r="A1770" s="238" t="s">
        <v>5989</v>
      </c>
      <c r="B1770" s="238" t="s">
        <v>5988</v>
      </c>
      <c r="C1770" s="238" t="s">
        <v>5987</v>
      </c>
      <c r="D1770" s="238" t="s">
        <v>5986</v>
      </c>
      <c r="G1770" s="238" t="s">
        <v>5197</v>
      </c>
      <c r="H1770" s="242"/>
      <c r="I1770" s="244"/>
      <c r="J1770" s="238" t="str">
        <f t="shared" si="27"/>
        <v/>
      </c>
    </row>
    <row r="1771" spans="1:10">
      <c r="D1771" s="238" t="s">
        <v>5985</v>
      </c>
      <c r="J1771" s="238" t="str">
        <f t="shared" si="27"/>
        <v/>
      </c>
    </row>
    <row r="1772" spans="1:10">
      <c r="A1772" s="238" t="s">
        <v>5984</v>
      </c>
      <c r="B1772" s="238" t="s">
        <v>5983</v>
      </c>
      <c r="C1772" s="238" t="s">
        <v>5379</v>
      </c>
      <c r="D1772" s="238" t="s">
        <v>5980</v>
      </c>
      <c r="G1772" s="238" t="s">
        <v>5197</v>
      </c>
      <c r="H1772" s="242"/>
      <c r="I1772" s="244"/>
      <c r="J1772" s="238" t="str">
        <f t="shared" si="27"/>
        <v/>
      </c>
    </row>
    <row r="1773" spans="1:10">
      <c r="A1773" s="238" t="s">
        <v>5982</v>
      </c>
      <c r="B1773" s="238" t="s">
        <v>5981</v>
      </c>
      <c r="C1773" s="238" t="s">
        <v>5212</v>
      </c>
      <c r="D1773" s="238" t="s">
        <v>5980</v>
      </c>
      <c r="G1773" s="238" t="s">
        <v>5197</v>
      </c>
      <c r="H1773" s="242"/>
      <c r="I1773" s="244"/>
      <c r="J1773" s="238" t="str">
        <f t="shared" si="27"/>
        <v>OK</v>
      </c>
    </row>
    <row r="1774" spans="1:10" ht="18.75">
      <c r="A1774" s="240"/>
      <c r="B1774" s="240" t="s">
        <v>5979</v>
      </c>
      <c r="C1774" s="240"/>
      <c r="D1774" s="240" t="s">
        <v>5978</v>
      </c>
      <c r="E1774" s="240"/>
      <c r="F1774" s="240"/>
      <c r="G1774" s="240"/>
      <c r="H1774" s="240"/>
      <c r="I1774" s="240"/>
      <c r="J1774" s="238" t="str">
        <f t="shared" si="27"/>
        <v/>
      </c>
    </row>
    <row r="1775" spans="1:10">
      <c r="A1775" s="244" t="s">
        <v>5977</v>
      </c>
      <c r="B1775" s="244"/>
      <c r="C1775" s="244"/>
      <c r="D1775" s="238" t="s">
        <v>5976</v>
      </c>
      <c r="E1775" s="245"/>
      <c r="F1775" s="244" t="s">
        <v>5975</v>
      </c>
      <c r="G1775" s="243" t="s">
        <v>5168</v>
      </c>
      <c r="H1775" s="242"/>
      <c r="I1775" s="244"/>
      <c r="J1775" s="238" t="str">
        <f t="shared" si="27"/>
        <v/>
      </c>
    </row>
    <row r="1776" spans="1:10">
      <c r="A1776" s="238" t="s">
        <v>5974</v>
      </c>
      <c r="B1776" s="238" t="s">
        <v>5973</v>
      </c>
      <c r="D1776" s="238" t="s">
        <v>5972</v>
      </c>
      <c r="G1776" s="238" t="s">
        <v>5197</v>
      </c>
      <c r="H1776" s="242"/>
      <c r="I1776" s="244"/>
      <c r="J1776" s="238" t="str">
        <f t="shared" si="27"/>
        <v/>
      </c>
    </row>
    <row r="1777" spans="1:10">
      <c r="D1777" s="238" t="s">
        <v>5971</v>
      </c>
      <c r="J1777" s="238" t="str">
        <f t="shared" si="27"/>
        <v/>
      </c>
    </row>
    <row r="1778" spans="1:10">
      <c r="D1778" s="238" t="s">
        <v>5970</v>
      </c>
      <c r="J1778" s="238" t="str">
        <f t="shared" si="27"/>
        <v/>
      </c>
    </row>
    <row r="1779" spans="1:10">
      <c r="D1779" s="238" t="s">
        <v>5969</v>
      </c>
      <c r="J1779" s="238" t="str">
        <f t="shared" si="27"/>
        <v/>
      </c>
    </row>
    <row r="1780" spans="1:10">
      <c r="A1780" s="238" t="s">
        <v>5968</v>
      </c>
      <c r="B1780" s="238" t="s">
        <v>5967</v>
      </c>
      <c r="D1780" s="238" t="s">
        <v>5966</v>
      </c>
      <c r="G1780" s="238" t="s">
        <v>5197</v>
      </c>
      <c r="H1780" s="242"/>
      <c r="I1780" s="244"/>
      <c r="J1780" s="238" t="str">
        <f t="shared" si="27"/>
        <v/>
      </c>
    </row>
    <row r="1781" spans="1:10">
      <c r="D1781" s="238" t="s">
        <v>5965</v>
      </c>
      <c r="J1781" s="238" t="str">
        <f t="shared" si="27"/>
        <v/>
      </c>
    </row>
    <row r="1782" spans="1:10">
      <c r="A1782" s="241" t="s">
        <v>5964</v>
      </c>
      <c r="B1782" s="241" t="s">
        <v>5963</v>
      </c>
      <c r="C1782" s="241"/>
      <c r="D1782" s="260" t="s">
        <v>5962</v>
      </c>
      <c r="E1782" s="260"/>
      <c r="F1782" s="241"/>
      <c r="G1782" s="243" t="s">
        <v>5168</v>
      </c>
      <c r="H1782" s="242"/>
      <c r="I1782" s="244"/>
      <c r="J1782" s="238" t="str">
        <f t="shared" si="27"/>
        <v/>
      </c>
    </row>
    <row r="1783" spans="1:10">
      <c r="D1783" s="238" t="s">
        <v>5961</v>
      </c>
      <c r="J1783" s="238" t="str">
        <f t="shared" si="27"/>
        <v/>
      </c>
    </row>
    <row r="1784" spans="1:10">
      <c r="D1784" s="238" t="s">
        <v>5960</v>
      </c>
      <c r="J1784" s="238" t="str">
        <f t="shared" si="27"/>
        <v/>
      </c>
    </row>
    <row r="1785" spans="1:10">
      <c r="D1785" s="238" t="s">
        <v>5959</v>
      </c>
      <c r="J1785" s="238" t="str">
        <f t="shared" si="27"/>
        <v/>
      </c>
    </row>
    <row r="1786" spans="1:10">
      <c r="A1786" s="244" t="s">
        <v>5958</v>
      </c>
      <c r="B1786" s="244" t="s">
        <v>5957</v>
      </c>
      <c r="C1786" s="244"/>
      <c r="D1786" s="238" t="s">
        <v>5956</v>
      </c>
      <c r="E1786" s="245"/>
      <c r="F1786" s="244" t="s">
        <v>5955</v>
      </c>
      <c r="G1786" s="243" t="s">
        <v>5168</v>
      </c>
      <c r="H1786" s="251"/>
      <c r="I1786" s="248"/>
      <c r="J1786" s="238" t="str">
        <f t="shared" si="27"/>
        <v/>
      </c>
    </row>
    <row r="1787" spans="1:10">
      <c r="D1787" s="238" t="s">
        <v>5954</v>
      </c>
      <c r="J1787" s="238" t="str">
        <f t="shared" si="27"/>
        <v/>
      </c>
    </row>
    <row r="1788" spans="1:10">
      <c r="D1788" s="238" t="s">
        <v>5953</v>
      </c>
      <c r="J1788" s="238" t="str">
        <f t="shared" si="27"/>
        <v/>
      </c>
    </row>
    <row r="1789" spans="1:10" ht="18.75">
      <c r="A1789" s="240"/>
      <c r="B1789" s="240" t="s">
        <v>5952</v>
      </c>
      <c r="C1789" s="240"/>
      <c r="D1789" s="240" t="s">
        <v>5951</v>
      </c>
      <c r="E1789" s="240"/>
      <c r="F1789" s="240"/>
      <c r="G1789" s="240"/>
      <c r="H1789" s="240"/>
      <c r="I1789" s="240"/>
      <c r="J1789" s="238" t="str">
        <f t="shared" si="27"/>
        <v/>
      </c>
    </row>
    <row r="1790" spans="1:10">
      <c r="A1790" s="238" t="s">
        <v>5950</v>
      </c>
      <c r="B1790" s="238" t="s">
        <v>5949</v>
      </c>
      <c r="D1790" s="238" t="s">
        <v>5948</v>
      </c>
      <c r="G1790" s="238" t="s">
        <v>5197</v>
      </c>
      <c r="H1790" s="251"/>
      <c r="I1790" s="248"/>
      <c r="J1790" s="238" t="str">
        <f t="shared" si="27"/>
        <v/>
      </c>
    </row>
    <row r="1791" spans="1:10">
      <c r="D1791" s="238" t="s">
        <v>5947</v>
      </c>
      <c r="J1791" s="238" t="str">
        <f t="shared" si="27"/>
        <v/>
      </c>
    </row>
    <row r="1792" spans="1:10">
      <c r="D1792" s="238" t="s">
        <v>5946</v>
      </c>
      <c r="J1792" s="238" t="str">
        <f t="shared" si="27"/>
        <v/>
      </c>
    </row>
    <row r="1793" spans="1:10">
      <c r="D1793" s="238" t="s">
        <v>5945</v>
      </c>
      <c r="J1793" s="238" t="str">
        <f t="shared" si="27"/>
        <v/>
      </c>
    </row>
    <row r="1794" spans="1:10">
      <c r="D1794" s="238" t="s">
        <v>5944</v>
      </c>
      <c r="J1794" s="238" t="str">
        <f t="shared" si="27"/>
        <v/>
      </c>
    </row>
    <row r="1795" spans="1:10">
      <c r="A1795" s="238" t="s">
        <v>5943</v>
      </c>
      <c r="B1795" s="238" t="s">
        <v>5942</v>
      </c>
      <c r="C1795" s="238" t="s">
        <v>5322</v>
      </c>
      <c r="D1795" s="238" t="s">
        <v>5941</v>
      </c>
      <c r="G1795" s="238" t="s">
        <v>5197</v>
      </c>
      <c r="H1795" s="251"/>
      <c r="I1795" s="248"/>
      <c r="J1795" s="238" t="str">
        <f t="shared" ref="J1795:J1858" si="28">IF(D1794=D1795,"OK","")</f>
        <v/>
      </c>
    </row>
    <row r="1796" spans="1:10">
      <c r="D1796" s="238" t="s">
        <v>5940</v>
      </c>
      <c r="J1796" s="238" t="str">
        <f t="shared" si="28"/>
        <v/>
      </c>
    </row>
    <row r="1797" spans="1:10">
      <c r="D1797" s="238" t="s">
        <v>5939</v>
      </c>
      <c r="J1797" s="238" t="str">
        <f t="shared" si="28"/>
        <v/>
      </c>
    </row>
    <row r="1798" spans="1:10">
      <c r="D1798" s="238" t="s">
        <v>5938</v>
      </c>
      <c r="J1798" s="238" t="str">
        <f t="shared" si="28"/>
        <v/>
      </c>
    </row>
    <row r="1799" spans="1:10">
      <c r="D1799" s="238" t="s">
        <v>5937</v>
      </c>
      <c r="J1799" s="238" t="str">
        <f t="shared" si="28"/>
        <v/>
      </c>
    </row>
    <row r="1800" spans="1:10">
      <c r="D1800" s="238" t="s">
        <v>5936</v>
      </c>
      <c r="J1800" s="238" t="str">
        <f t="shared" si="28"/>
        <v/>
      </c>
    </row>
    <row r="1801" spans="1:10">
      <c r="D1801" s="238" t="s">
        <v>5935</v>
      </c>
      <c r="J1801" s="238" t="str">
        <f t="shared" si="28"/>
        <v/>
      </c>
    </row>
    <row r="1802" spans="1:10">
      <c r="A1802" s="238" t="s">
        <v>5934</v>
      </c>
      <c r="B1802" s="238" t="s">
        <v>5933</v>
      </c>
      <c r="D1802" s="238" t="s">
        <v>5932</v>
      </c>
      <c r="G1802" s="238" t="s">
        <v>5197</v>
      </c>
      <c r="H1802" s="242"/>
      <c r="I1802" s="244"/>
      <c r="J1802" s="238" t="str">
        <f t="shared" si="28"/>
        <v/>
      </c>
    </row>
    <row r="1803" spans="1:10">
      <c r="D1803" s="238" t="s">
        <v>5931</v>
      </c>
      <c r="J1803" s="238" t="str">
        <f t="shared" si="28"/>
        <v/>
      </c>
    </row>
    <row r="1804" spans="1:10">
      <c r="D1804" s="238" t="s">
        <v>5930</v>
      </c>
      <c r="J1804" s="238" t="str">
        <f t="shared" si="28"/>
        <v/>
      </c>
    </row>
    <row r="1805" spans="1:10">
      <c r="D1805" s="238" t="s">
        <v>5929</v>
      </c>
      <c r="J1805" s="238" t="str">
        <f t="shared" si="28"/>
        <v/>
      </c>
    </row>
    <row r="1806" spans="1:10">
      <c r="A1806" s="238" t="s">
        <v>5928</v>
      </c>
      <c r="B1806" s="238" t="s">
        <v>5857</v>
      </c>
      <c r="D1806" s="238" t="s">
        <v>5927</v>
      </c>
      <c r="G1806" s="238" t="s">
        <v>5197</v>
      </c>
      <c r="H1806" s="242"/>
      <c r="I1806" s="244"/>
      <c r="J1806" s="238" t="str">
        <f t="shared" si="28"/>
        <v/>
      </c>
    </row>
    <row r="1807" spans="1:10" ht="18.75">
      <c r="A1807" s="240"/>
      <c r="B1807" s="240" t="s">
        <v>5926</v>
      </c>
      <c r="C1807" s="240"/>
      <c r="D1807" s="259" t="s">
        <v>5925</v>
      </c>
      <c r="E1807" s="240"/>
      <c r="F1807" s="240"/>
      <c r="G1807" s="240"/>
      <c r="H1807" s="240"/>
      <c r="I1807" s="240"/>
      <c r="J1807" s="238" t="str">
        <f t="shared" si="28"/>
        <v/>
      </c>
    </row>
    <row r="1808" spans="1:10">
      <c r="D1808" s="238" t="s">
        <v>5924</v>
      </c>
      <c r="J1808" s="238" t="str">
        <f t="shared" si="28"/>
        <v/>
      </c>
    </row>
    <row r="1809" spans="1:10">
      <c r="D1809" s="238" t="s">
        <v>5923</v>
      </c>
      <c r="J1809" s="238" t="str">
        <f t="shared" si="28"/>
        <v/>
      </c>
    </row>
    <row r="1810" spans="1:10">
      <c r="A1810" s="238" t="s">
        <v>5922</v>
      </c>
      <c r="B1810" s="238" t="s">
        <v>5921</v>
      </c>
      <c r="D1810" s="238" t="s">
        <v>5920</v>
      </c>
      <c r="G1810" s="238" t="s">
        <v>5197</v>
      </c>
      <c r="H1810" s="242"/>
      <c r="I1810" s="244"/>
      <c r="J1810" s="238" t="str">
        <f t="shared" si="28"/>
        <v/>
      </c>
    </row>
    <row r="1811" spans="1:10">
      <c r="A1811" s="238" t="s">
        <v>5919</v>
      </c>
      <c r="B1811" s="238" t="s">
        <v>5918</v>
      </c>
      <c r="C1811" s="238" t="s">
        <v>5917</v>
      </c>
      <c r="D1811" s="238" t="s">
        <v>5916</v>
      </c>
      <c r="G1811" s="238" t="s">
        <v>5197</v>
      </c>
      <c r="H1811" s="242"/>
      <c r="I1811" s="244"/>
      <c r="J1811" s="238" t="str">
        <f t="shared" si="28"/>
        <v/>
      </c>
    </row>
    <row r="1812" spans="1:10">
      <c r="D1812" s="238" t="s">
        <v>5915</v>
      </c>
      <c r="J1812" s="238" t="str">
        <f t="shared" si="28"/>
        <v/>
      </c>
    </row>
    <row r="1813" spans="1:10">
      <c r="A1813" s="238" t="s">
        <v>5914</v>
      </c>
      <c r="B1813" s="238" t="s">
        <v>5913</v>
      </c>
      <c r="D1813" s="238" t="s">
        <v>5912</v>
      </c>
      <c r="G1813" s="238" t="s">
        <v>5197</v>
      </c>
      <c r="H1813" s="242"/>
      <c r="I1813" s="244"/>
      <c r="J1813" s="238" t="str">
        <f t="shared" si="28"/>
        <v/>
      </c>
    </row>
    <row r="1814" spans="1:10">
      <c r="D1814" s="238" t="s">
        <v>5911</v>
      </c>
      <c r="J1814" s="238" t="str">
        <f t="shared" si="28"/>
        <v/>
      </c>
    </row>
    <row r="1815" spans="1:10">
      <c r="D1815" s="238" t="s">
        <v>5910</v>
      </c>
      <c r="J1815" s="238" t="str">
        <f t="shared" si="28"/>
        <v/>
      </c>
    </row>
    <row r="1816" spans="1:10">
      <c r="D1816" s="238" t="s">
        <v>5909</v>
      </c>
      <c r="J1816" s="238" t="str">
        <f t="shared" si="28"/>
        <v/>
      </c>
    </row>
    <row r="1817" spans="1:10">
      <c r="D1817" s="238" t="s">
        <v>5908</v>
      </c>
      <c r="J1817" s="238" t="str">
        <f t="shared" si="28"/>
        <v/>
      </c>
    </row>
    <row r="1818" spans="1:10">
      <c r="D1818" s="238" t="s">
        <v>5907</v>
      </c>
      <c r="J1818" s="238" t="str">
        <f t="shared" si="28"/>
        <v/>
      </c>
    </row>
    <row r="1819" spans="1:10">
      <c r="A1819" s="238" t="s">
        <v>5906</v>
      </c>
      <c r="B1819" s="238" t="s">
        <v>5905</v>
      </c>
      <c r="D1819" s="238" t="s">
        <v>5904</v>
      </c>
      <c r="G1819" s="238" t="s">
        <v>5197</v>
      </c>
      <c r="H1819" s="242"/>
      <c r="I1819" s="244"/>
      <c r="J1819" s="238" t="str">
        <f t="shared" si="28"/>
        <v/>
      </c>
    </row>
    <row r="1820" spans="1:10">
      <c r="D1820" s="238" t="s">
        <v>5903</v>
      </c>
      <c r="J1820" s="238" t="str">
        <f t="shared" si="28"/>
        <v/>
      </c>
    </row>
    <row r="1821" spans="1:10">
      <c r="D1821" s="238" t="s">
        <v>5902</v>
      </c>
      <c r="J1821" s="238" t="str">
        <f t="shared" si="28"/>
        <v/>
      </c>
    </row>
    <row r="1822" spans="1:10">
      <c r="D1822" s="238" t="s">
        <v>5901</v>
      </c>
      <c r="J1822" s="238" t="str">
        <f t="shared" si="28"/>
        <v/>
      </c>
    </row>
    <row r="1823" spans="1:10">
      <c r="D1823" s="238" t="s">
        <v>5900</v>
      </c>
      <c r="J1823" s="238" t="str">
        <f t="shared" si="28"/>
        <v/>
      </c>
    </row>
    <row r="1824" spans="1:10">
      <c r="D1824" s="238" t="s">
        <v>5899</v>
      </c>
      <c r="J1824" s="238" t="str">
        <f t="shared" si="28"/>
        <v/>
      </c>
    </row>
    <row r="1825" spans="1:10">
      <c r="D1825" s="238" t="s">
        <v>5898</v>
      </c>
      <c r="J1825" s="238" t="str">
        <f t="shared" si="28"/>
        <v/>
      </c>
    </row>
    <row r="1826" spans="1:10">
      <c r="D1826" s="238" t="s">
        <v>5897</v>
      </c>
      <c r="J1826" s="238" t="str">
        <f t="shared" si="28"/>
        <v/>
      </c>
    </row>
    <row r="1827" spans="1:10">
      <c r="D1827" s="238" t="s">
        <v>5896</v>
      </c>
      <c r="J1827" s="238" t="str">
        <f t="shared" si="28"/>
        <v/>
      </c>
    </row>
    <row r="1828" spans="1:10">
      <c r="D1828" s="238" t="s">
        <v>5895</v>
      </c>
      <c r="J1828" s="238" t="str">
        <f t="shared" si="28"/>
        <v/>
      </c>
    </row>
    <row r="1829" spans="1:10">
      <c r="D1829" s="238" t="s">
        <v>5894</v>
      </c>
      <c r="J1829" s="238" t="str">
        <f t="shared" si="28"/>
        <v/>
      </c>
    </row>
    <row r="1830" spans="1:10">
      <c r="A1830" s="238" t="s">
        <v>5893</v>
      </c>
      <c r="B1830" s="238" t="s">
        <v>5892</v>
      </c>
      <c r="C1830" s="238" t="s">
        <v>5891</v>
      </c>
      <c r="D1830" s="238" t="s">
        <v>5890</v>
      </c>
      <c r="G1830" s="238" t="s">
        <v>5197</v>
      </c>
      <c r="H1830" s="242"/>
      <c r="I1830" s="244"/>
      <c r="J1830" s="238" t="str">
        <f t="shared" si="28"/>
        <v/>
      </c>
    </row>
    <row r="1831" spans="1:10">
      <c r="A1831" s="238" t="s">
        <v>5889</v>
      </c>
      <c r="B1831" s="238" t="s">
        <v>5888</v>
      </c>
      <c r="D1831" s="238" t="s">
        <v>5887</v>
      </c>
      <c r="G1831" s="238" t="s">
        <v>5197</v>
      </c>
      <c r="H1831" s="242"/>
      <c r="I1831" s="244"/>
      <c r="J1831" s="238" t="str">
        <f t="shared" si="28"/>
        <v/>
      </c>
    </row>
    <row r="1832" spans="1:10">
      <c r="A1832" s="238" t="s">
        <v>5886</v>
      </c>
      <c r="B1832" s="238" t="s">
        <v>5885</v>
      </c>
      <c r="D1832" s="238" t="s">
        <v>5884</v>
      </c>
      <c r="G1832" s="238" t="s">
        <v>5197</v>
      </c>
      <c r="H1832" s="242"/>
      <c r="I1832" s="244"/>
      <c r="J1832" s="238" t="str">
        <f t="shared" si="28"/>
        <v/>
      </c>
    </row>
    <row r="1833" spans="1:10">
      <c r="D1833" s="238" t="s">
        <v>5883</v>
      </c>
      <c r="J1833" s="238" t="str">
        <f t="shared" si="28"/>
        <v/>
      </c>
    </row>
    <row r="1834" spans="1:10">
      <c r="D1834" s="238" t="s">
        <v>5882</v>
      </c>
      <c r="J1834" s="238" t="str">
        <f t="shared" si="28"/>
        <v/>
      </c>
    </row>
    <row r="1835" spans="1:10">
      <c r="A1835" s="238" t="s">
        <v>5881</v>
      </c>
      <c r="B1835" s="238" t="s">
        <v>5880</v>
      </c>
      <c r="C1835" s="238" t="s">
        <v>5212</v>
      </c>
      <c r="D1835" s="238" t="s">
        <v>5879</v>
      </c>
      <c r="G1835" s="238" t="s">
        <v>5197</v>
      </c>
      <c r="H1835" s="242"/>
      <c r="I1835" s="244"/>
      <c r="J1835" s="238" t="str">
        <f t="shared" si="28"/>
        <v/>
      </c>
    </row>
    <row r="1836" spans="1:10">
      <c r="D1836" s="238" t="s">
        <v>5878</v>
      </c>
      <c r="J1836" s="238" t="str">
        <f t="shared" si="28"/>
        <v/>
      </c>
    </row>
    <row r="1837" spans="1:10" ht="18.75">
      <c r="A1837" s="244" t="s">
        <v>5877</v>
      </c>
      <c r="B1837" s="244" t="s">
        <v>5876</v>
      </c>
      <c r="C1837" s="244"/>
      <c r="D1837" s="240" t="s">
        <v>5875</v>
      </c>
      <c r="E1837" s="252" t="s">
        <v>5874</v>
      </c>
      <c r="F1837" s="244" t="s">
        <v>5873</v>
      </c>
      <c r="G1837" s="243" t="s">
        <v>5168</v>
      </c>
      <c r="J1837" s="238" t="str">
        <f t="shared" si="28"/>
        <v/>
      </c>
    </row>
    <row r="1838" spans="1:10" ht="18.75">
      <c r="A1838" s="240"/>
      <c r="B1838" s="240" t="s">
        <v>5872</v>
      </c>
      <c r="C1838" s="240"/>
      <c r="D1838" s="240" t="s">
        <v>5871</v>
      </c>
      <c r="E1838" s="240"/>
      <c r="F1838" s="240"/>
      <c r="G1838" s="240"/>
      <c r="H1838" s="240"/>
      <c r="I1838" s="240"/>
      <c r="J1838" s="238" t="str">
        <f t="shared" si="28"/>
        <v/>
      </c>
    </row>
    <row r="1839" spans="1:10">
      <c r="A1839" s="238" t="s">
        <v>5870</v>
      </c>
      <c r="B1839" s="238" t="s">
        <v>5869</v>
      </c>
      <c r="C1839" s="238" t="s">
        <v>5212</v>
      </c>
      <c r="D1839" s="238" t="s">
        <v>5868</v>
      </c>
      <c r="G1839" s="238" t="s">
        <v>5197</v>
      </c>
      <c r="H1839" s="242"/>
      <c r="I1839" s="244"/>
      <c r="J1839" s="238" t="str">
        <f t="shared" si="28"/>
        <v/>
      </c>
    </row>
    <row r="1840" spans="1:10">
      <c r="D1840" s="238" t="s">
        <v>5867</v>
      </c>
      <c r="J1840" s="238" t="str">
        <f t="shared" si="28"/>
        <v/>
      </c>
    </row>
    <row r="1841" spans="1:10">
      <c r="D1841" s="238" t="s">
        <v>5866</v>
      </c>
      <c r="J1841" s="238" t="str">
        <f t="shared" si="28"/>
        <v/>
      </c>
    </row>
    <row r="1842" spans="1:10">
      <c r="D1842" s="238" t="s">
        <v>5865</v>
      </c>
      <c r="J1842" s="238" t="str">
        <f t="shared" si="28"/>
        <v/>
      </c>
    </row>
    <row r="1843" spans="1:10">
      <c r="D1843" s="238" t="s">
        <v>5864</v>
      </c>
      <c r="J1843" s="238" t="str">
        <f t="shared" si="28"/>
        <v/>
      </c>
    </row>
    <row r="1844" spans="1:10">
      <c r="A1844" s="238" t="s">
        <v>5863</v>
      </c>
      <c r="B1844" s="238" t="s">
        <v>5862</v>
      </c>
      <c r="D1844" s="238" t="s">
        <v>5861</v>
      </c>
      <c r="G1844" s="238" t="s">
        <v>5197</v>
      </c>
      <c r="H1844" s="242"/>
      <c r="I1844" s="244"/>
      <c r="J1844" s="238" t="str">
        <f t="shared" si="28"/>
        <v/>
      </c>
    </row>
    <row r="1845" spans="1:10" ht="18.75">
      <c r="A1845" s="240"/>
      <c r="B1845" s="240" t="s">
        <v>5860</v>
      </c>
      <c r="C1845" s="240"/>
      <c r="D1845" s="240" t="s">
        <v>5859</v>
      </c>
      <c r="E1845" s="240"/>
      <c r="F1845" s="240"/>
      <c r="G1845" s="240"/>
      <c r="H1845" s="240"/>
      <c r="I1845" s="240"/>
      <c r="J1845" s="238" t="str">
        <f t="shared" si="28"/>
        <v/>
      </c>
    </row>
    <row r="1846" spans="1:10">
      <c r="A1846" s="238" t="s">
        <v>5858</v>
      </c>
      <c r="B1846" s="238" t="s">
        <v>5857</v>
      </c>
      <c r="D1846" s="238" t="s">
        <v>5856</v>
      </c>
      <c r="G1846" s="238" t="s">
        <v>5197</v>
      </c>
      <c r="H1846" s="242"/>
      <c r="I1846" s="244"/>
      <c r="J1846" s="238" t="str">
        <f t="shared" si="28"/>
        <v/>
      </c>
    </row>
    <row r="1847" spans="1:10">
      <c r="D1847" s="238" t="s">
        <v>5855</v>
      </c>
      <c r="J1847" s="238" t="str">
        <f t="shared" si="28"/>
        <v/>
      </c>
    </row>
    <row r="1848" spans="1:10">
      <c r="D1848" s="238" t="s">
        <v>5854</v>
      </c>
      <c r="J1848" s="238" t="str">
        <f t="shared" si="28"/>
        <v/>
      </c>
    </row>
    <row r="1849" spans="1:10">
      <c r="D1849" s="238" t="s">
        <v>5853</v>
      </c>
      <c r="J1849" s="238" t="str">
        <f t="shared" si="28"/>
        <v/>
      </c>
    </row>
    <row r="1850" spans="1:10">
      <c r="A1850" s="238" t="s">
        <v>5852</v>
      </c>
      <c r="B1850" s="238" t="s">
        <v>5851</v>
      </c>
      <c r="C1850" s="238" t="s">
        <v>5379</v>
      </c>
      <c r="D1850" s="238" t="s">
        <v>5850</v>
      </c>
      <c r="G1850" s="238" t="s">
        <v>5197</v>
      </c>
      <c r="H1850" s="242"/>
      <c r="I1850" s="244"/>
      <c r="J1850" s="238" t="str">
        <f t="shared" si="28"/>
        <v/>
      </c>
    </row>
    <row r="1851" spans="1:10">
      <c r="D1851" s="238" t="s">
        <v>5849</v>
      </c>
      <c r="J1851" s="238" t="str">
        <f t="shared" si="28"/>
        <v/>
      </c>
    </row>
    <row r="1852" spans="1:10">
      <c r="A1852" s="238" t="s">
        <v>5848</v>
      </c>
      <c r="B1852" s="238" t="s">
        <v>5847</v>
      </c>
      <c r="D1852" s="238" t="s">
        <v>5846</v>
      </c>
      <c r="G1852" s="238" t="s">
        <v>5197</v>
      </c>
      <c r="H1852" s="242"/>
      <c r="I1852" s="244"/>
      <c r="J1852" s="238" t="str">
        <f t="shared" si="28"/>
        <v/>
      </c>
    </row>
    <row r="1853" spans="1:10">
      <c r="A1853" s="244" t="s">
        <v>5845</v>
      </c>
      <c r="B1853" s="241"/>
      <c r="C1853" s="241"/>
      <c r="D1853" s="244" t="s">
        <v>5845</v>
      </c>
      <c r="E1853" s="244"/>
      <c r="F1853" s="241"/>
      <c r="G1853" s="243" t="s">
        <v>5168</v>
      </c>
      <c r="H1853" s="242"/>
      <c r="I1853" s="244"/>
      <c r="J1853" s="238" t="str">
        <f t="shared" si="28"/>
        <v/>
      </c>
    </row>
    <row r="1854" spans="1:10">
      <c r="D1854" s="238" t="s">
        <v>5844</v>
      </c>
      <c r="J1854" s="238" t="str">
        <f t="shared" si="28"/>
        <v/>
      </c>
    </row>
    <row r="1855" spans="1:10">
      <c r="A1855" s="238" t="s">
        <v>5843</v>
      </c>
      <c r="B1855" s="238" t="s">
        <v>5842</v>
      </c>
      <c r="C1855" s="238" t="s">
        <v>5575</v>
      </c>
      <c r="D1855" s="238" t="s">
        <v>5841</v>
      </c>
      <c r="G1855" s="238" t="s">
        <v>5197</v>
      </c>
      <c r="H1855" s="242"/>
      <c r="I1855" s="244"/>
      <c r="J1855" s="238" t="str">
        <f t="shared" si="28"/>
        <v/>
      </c>
    </row>
    <row r="1856" spans="1:10">
      <c r="D1856" s="238" t="s">
        <v>5840</v>
      </c>
      <c r="J1856" s="238" t="str">
        <f t="shared" si="28"/>
        <v/>
      </c>
    </row>
    <row r="1857" spans="1:10">
      <c r="D1857" s="238" t="s">
        <v>5839</v>
      </c>
      <c r="J1857" s="238" t="str">
        <f t="shared" si="28"/>
        <v/>
      </c>
    </row>
    <row r="1858" spans="1:10">
      <c r="D1858" s="238" t="s">
        <v>5838</v>
      </c>
      <c r="J1858" s="238" t="str">
        <f t="shared" si="28"/>
        <v/>
      </c>
    </row>
    <row r="1859" spans="1:10">
      <c r="A1859" s="238" t="s">
        <v>5837</v>
      </c>
      <c r="B1859" s="238" t="s">
        <v>5836</v>
      </c>
      <c r="C1859" s="238" t="s">
        <v>5212</v>
      </c>
      <c r="D1859" s="238" t="s">
        <v>5835</v>
      </c>
      <c r="G1859" s="238" t="s">
        <v>5197</v>
      </c>
      <c r="H1859" s="242"/>
      <c r="I1859" s="244"/>
      <c r="J1859" s="238" t="str">
        <f t="shared" ref="J1859:J1922" si="29">IF(D1858=D1859,"OK","")</f>
        <v/>
      </c>
    </row>
    <row r="1860" spans="1:10" ht="18.75">
      <c r="A1860" s="240"/>
      <c r="B1860" s="240" t="s">
        <v>5834</v>
      </c>
      <c r="C1860" s="240"/>
      <c r="D1860" s="240" t="s">
        <v>5833</v>
      </c>
      <c r="E1860" s="240"/>
      <c r="F1860" s="240"/>
      <c r="G1860" s="240"/>
      <c r="H1860" s="240"/>
      <c r="I1860" s="240"/>
      <c r="J1860" s="238" t="str">
        <f t="shared" si="29"/>
        <v/>
      </c>
    </row>
    <row r="1861" spans="1:10" ht="18.75">
      <c r="A1861" s="240"/>
      <c r="B1861" s="240" t="s">
        <v>5832</v>
      </c>
      <c r="C1861" s="240"/>
      <c r="D1861" s="240" t="s">
        <v>5831</v>
      </c>
      <c r="E1861" s="240"/>
      <c r="F1861" s="240"/>
      <c r="G1861" s="240"/>
      <c r="H1861" s="240"/>
      <c r="I1861" s="240"/>
      <c r="J1861" s="238" t="str">
        <f t="shared" si="29"/>
        <v/>
      </c>
    </row>
    <row r="1862" spans="1:10">
      <c r="D1862" s="238" t="s">
        <v>5830</v>
      </c>
      <c r="J1862" s="238" t="str">
        <f t="shared" si="29"/>
        <v/>
      </c>
    </row>
    <row r="1863" spans="1:10">
      <c r="D1863" s="238" t="s">
        <v>5829</v>
      </c>
      <c r="J1863" s="238" t="str">
        <f t="shared" si="29"/>
        <v/>
      </c>
    </row>
    <row r="1864" spans="1:10">
      <c r="D1864" s="238" t="s">
        <v>5828</v>
      </c>
      <c r="J1864" s="238" t="str">
        <f t="shared" si="29"/>
        <v/>
      </c>
    </row>
    <row r="1865" spans="1:10">
      <c r="D1865" s="238" t="s">
        <v>5827</v>
      </c>
      <c r="J1865" s="238" t="str">
        <f t="shared" si="29"/>
        <v/>
      </c>
    </row>
    <row r="1866" spans="1:10" ht="18.75">
      <c r="A1866" s="240"/>
      <c r="B1866" s="240" t="s">
        <v>5826</v>
      </c>
      <c r="C1866" s="240"/>
      <c r="D1866" s="240" t="s">
        <v>5825</v>
      </c>
      <c r="E1866" s="240"/>
      <c r="F1866" s="240"/>
      <c r="G1866" s="240"/>
      <c r="H1866" s="240"/>
      <c r="I1866" s="240"/>
      <c r="J1866" s="238" t="str">
        <f t="shared" si="29"/>
        <v/>
      </c>
    </row>
    <row r="1867" spans="1:10">
      <c r="D1867" s="238" t="s">
        <v>5824</v>
      </c>
      <c r="J1867" s="238" t="str">
        <f t="shared" si="29"/>
        <v/>
      </c>
    </row>
    <row r="1868" spans="1:10">
      <c r="A1868" s="238" t="s">
        <v>5823</v>
      </c>
      <c r="B1868" s="238" t="s">
        <v>5822</v>
      </c>
      <c r="D1868" s="238" t="s">
        <v>5821</v>
      </c>
      <c r="G1868" s="238" t="s">
        <v>5197</v>
      </c>
      <c r="H1868" s="242"/>
      <c r="I1868" s="244"/>
      <c r="J1868" s="238" t="str">
        <f t="shared" si="29"/>
        <v/>
      </c>
    </row>
    <row r="1869" spans="1:10">
      <c r="D1869" s="238" t="s">
        <v>5820</v>
      </c>
      <c r="J1869" s="238" t="str">
        <f t="shared" si="29"/>
        <v/>
      </c>
    </row>
    <row r="1870" spans="1:10">
      <c r="D1870" s="238" t="s">
        <v>5819</v>
      </c>
      <c r="J1870" s="238" t="str">
        <f t="shared" si="29"/>
        <v/>
      </c>
    </row>
    <row r="1871" spans="1:10">
      <c r="D1871" s="238" t="s">
        <v>5818</v>
      </c>
      <c r="J1871" s="238" t="str">
        <f t="shared" si="29"/>
        <v/>
      </c>
    </row>
    <row r="1872" spans="1:10">
      <c r="D1872" s="238" t="s">
        <v>5817</v>
      </c>
      <c r="J1872" s="238" t="str">
        <f t="shared" si="29"/>
        <v/>
      </c>
    </row>
    <row r="1873" spans="1:10">
      <c r="D1873" s="238" t="s">
        <v>5816</v>
      </c>
      <c r="J1873" s="238" t="str">
        <f t="shared" si="29"/>
        <v/>
      </c>
    </row>
    <row r="1874" spans="1:10">
      <c r="D1874" s="238" t="s">
        <v>5815</v>
      </c>
      <c r="J1874" s="238" t="str">
        <f t="shared" si="29"/>
        <v/>
      </c>
    </row>
    <row r="1875" spans="1:10">
      <c r="D1875" s="238" t="s">
        <v>5814</v>
      </c>
      <c r="J1875" s="238" t="str">
        <f t="shared" si="29"/>
        <v/>
      </c>
    </row>
    <row r="1876" spans="1:10">
      <c r="A1876" s="238" t="s">
        <v>5813</v>
      </c>
      <c r="B1876" s="238" t="s">
        <v>5812</v>
      </c>
      <c r="C1876" s="238" t="s">
        <v>5212</v>
      </c>
      <c r="D1876" s="238" t="s">
        <v>5811</v>
      </c>
      <c r="G1876" s="238" t="s">
        <v>5197</v>
      </c>
      <c r="H1876" s="242"/>
      <c r="I1876" s="244"/>
      <c r="J1876" s="238" t="str">
        <f t="shared" si="29"/>
        <v/>
      </c>
    </row>
    <row r="1877" spans="1:10">
      <c r="D1877" s="238" t="s">
        <v>5810</v>
      </c>
      <c r="J1877" s="238" t="str">
        <f t="shared" si="29"/>
        <v/>
      </c>
    </row>
    <row r="1878" spans="1:10">
      <c r="A1878" s="244" t="s">
        <v>5234</v>
      </c>
      <c r="B1878" s="244" t="s">
        <v>5809</v>
      </c>
      <c r="C1878" s="244"/>
      <c r="D1878" s="238" t="s">
        <v>5808</v>
      </c>
      <c r="E1878" s="245"/>
      <c r="F1878" s="244"/>
      <c r="G1878" s="243" t="s">
        <v>5168</v>
      </c>
      <c r="H1878" s="242"/>
      <c r="I1878" s="244"/>
      <c r="J1878" s="238" t="str">
        <f t="shared" si="29"/>
        <v/>
      </c>
    </row>
    <row r="1879" spans="1:10">
      <c r="A1879" s="244" t="s">
        <v>5807</v>
      </c>
      <c r="B1879" s="241"/>
      <c r="C1879" s="241"/>
      <c r="D1879" s="244" t="s">
        <v>5806</v>
      </c>
      <c r="E1879" s="244"/>
      <c r="F1879" s="241"/>
      <c r="G1879" s="243" t="s">
        <v>5168</v>
      </c>
      <c r="H1879" s="242"/>
      <c r="I1879" s="244"/>
      <c r="J1879" s="238" t="str">
        <f t="shared" si="29"/>
        <v/>
      </c>
    </row>
    <row r="1880" spans="1:10">
      <c r="D1880" s="238" t="s">
        <v>5805</v>
      </c>
      <c r="J1880" s="238" t="str">
        <f t="shared" si="29"/>
        <v/>
      </c>
    </row>
    <row r="1881" spans="1:10">
      <c r="A1881" s="238" t="s">
        <v>5224</v>
      </c>
      <c r="B1881" s="238" t="s">
        <v>5804</v>
      </c>
      <c r="C1881" s="238" t="s">
        <v>5212</v>
      </c>
      <c r="D1881" s="238" t="s">
        <v>5803</v>
      </c>
      <c r="G1881" s="238" t="s">
        <v>5197</v>
      </c>
      <c r="H1881" s="242"/>
      <c r="I1881" s="244"/>
      <c r="J1881" s="238" t="str">
        <f t="shared" si="29"/>
        <v/>
      </c>
    </row>
    <row r="1882" spans="1:10" ht="18.75">
      <c r="A1882" s="240"/>
      <c r="B1882" s="240" t="s">
        <v>5802</v>
      </c>
      <c r="C1882" s="240"/>
      <c r="D1882" s="240" t="s">
        <v>5801</v>
      </c>
      <c r="E1882" s="240"/>
      <c r="F1882" s="240"/>
      <c r="G1882" s="240"/>
      <c r="H1882" s="240"/>
      <c r="I1882" s="240"/>
      <c r="J1882" s="238" t="str">
        <f t="shared" si="29"/>
        <v/>
      </c>
    </row>
    <row r="1883" spans="1:10">
      <c r="A1883" s="238" t="s">
        <v>5800</v>
      </c>
      <c r="B1883" s="238" t="s">
        <v>5799</v>
      </c>
      <c r="D1883" s="238" t="s">
        <v>5798</v>
      </c>
      <c r="G1883" s="238" t="s">
        <v>5197</v>
      </c>
      <c r="H1883" s="242"/>
      <c r="I1883" s="244"/>
      <c r="J1883" s="238" t="str">
        <f t="shared" si="29"/>
        <v/>
      </c>
    </row>
    <row r="1884" spans="1:10">
      <c r="D1884" s="238" t="s">
        <v>5797</v>
      </c>
      <c r="J1884" s="238" t="str">
        <f t="shared" si="29"/>
        <v/>
      </c>
    </row>
    <row r="1885" spans="1:10" ht="18.75">
      <c r="A1885" s="240"/>
      <c r="B1885" s="240" t="s">
        <v>5796</v>
      </c>
      <c r="C1885" s="240"/>
      <c r="D1885" s="240" t="s">
        <v>5795</v>
      </c>
      <c r="E1885" s="240"/>
      <c r="F1885" s="240"/>
      <c r="G1885" s="240"/>
      <c r="H1885" s="240"/>
      <c r="I1885" s="240"/>
      <c r="J1885" s="238" t="str">
        <f t="shared" si="29"/>
        <v/>
      </c>
    </row>
    <row r="1886" spans="1:10">
      <c r="D1886" s="238" t="s">
        <v>5794</v>
      </c>
      <c r="J1886" s="238" t="str">
        <f t="shared" si="29"/>
        <v/>
      </c>
    </row>
    <row r="1887" spans="1:10" ht="18.75">
      <c r="A1887" s="240"/>
      <c r="B1887" s="240" t="s">
        <v>5793</v>
      </c>
      <c r="C1887" s="240"/>
      <c r="D1887" s="240" t="s">
        <v>5792</v>
      </c>
      <c r="E1887" s="240"/>
      <c r="F1887" s="240"/>
      <c r="G1887" s="240"/>
      <c r="H1887" s="240"/>
      <c r="I1887" s="240"/>
      <c r="J1887" s="238" t="str">
        <f t="shared" si="29"/>
        <v/>
      </c>
    </row>
    <row r="1888" spans="1:10">
      <c r="A1888" s="244" t="s">
        <v>5791</v>
      </c>
      <c r="B1888" s="244" t="s">
        <v>5790</v>
      </c>
      <c r="C1888" s="244"/>
      <c r="D1888" s="238" t="s">
        <v>5789</v>
      </c>
      <c r="E1888" s="245"/>
      <c r="F1888" s="244" t="s">
        <v>5788</v>
      </c>
      <c r="G1888" s="243" t="s">
        <v>5168</v>
      </c>
      <c r="H1888" s="242"/>
      <c r="I1888" s="244"/>
      <c r="J1888" s="238" t="str">
        <f t="shared" si="29"/>
        <v/>
      </c>
    </row>
    <row r="1889" spans="1:10">
      <c r="A1889" s="258" t="s">
        <v>5787</v>
      </c>
      <c r="B1889" s="247" t="s">
        <v>5786</v>
      </c>
      <c r="C1889" s="247"/>
      <c r="D1889" s="238" t="s">
        <v>5785</v>
      </c>
      <c r="E1889" s="248"/>
      <c r="F1889" s="247" t="s">
        <v>5784</v>
      </c>
      <c r="G1889" s="243" t="s">
        <v>5168</v>
      </c>
      <c r="H1889" s="242"/>
      <c r="I1889" s="244"/>
      <c r="J1889" s="238" t="str">
        <f t="shared" si="29"/>
        <v/>
      </c>
    </row>
    <row r="1890" spans="1:10">
      <c r="D1890" s="238" t="s">
        <v>5783</v>
      </c>
      <c r="J1890" s="238" t="str">
        <f t="shared" si="29"/>
        <v/>
      </c>
    </row>
    <row r="1891" spans="1:10">
      <c r="D1891" s="238" t="s">
        <v>5782</v>
      </c>
      <c r="J1891" s="238" t="str">
        <f t="shared" si="29"/>
        <v/>
      </c>
    </row>
    <row r="1892" spans="1:10">
      <c r="D1892" s="238" t="s">
        <v>5781</v>
      </c>
      <c r="J1892" s="238" t="str">
        <f t="shared" si="29"/>
        <v/>
      </c>
    </row>
    <row r="1893" spans="1:10">
      <c r="A1893" s="238" t="s">
        <v>5780</v>
      </c>
      <c r="B1893" s="238" t="s">
        <v>5779</v>
      </c>
      <c r="D1893" s="238" t="s">
        <v>5778</v>
      </c>
      <c r="G1893" s="238" t="s">
        <v>5197</v>
      </c>
      <c r="H1893" s="242"/>
      <c r="I1893" s="244"/>
      <c r="J1893" s="238" t="str">
        <f t="shared" si="29"/>
        <v/>
      </c>
    </row>
    <row r="1894" spans="1:10">
      <c r="A1894" s="244" t="s">
        <v>5777</v>
      </c>
      <c r="B1894" s="244" t="s">
        <v>5776</v>
      </c>
      <c r="C1894" s="244"/>
      <c r="D1894" s="238" t="s">
        <v>5775</v>
      </c>
      <c r="E1894" s="245"/>
      <c r="F1894" s="244" t="s">
        <v>5774</v>
      </c>
      <c r="G1894" s="243" t="s">
        <v>5168</v>
      </c>
      <c r="H1894" s="242"/>
      <c r="I1894" s="244"/>
      <c r="J1894" s="238" t="str">
        <f t="shared" si="29"/>
        <v/>
      </c>
    </row>
    <row r="1895" spans="1:10">
      <c r="D1895" s="238" t="s">
        <v>5773</v>
      </c>
      <c r="J1895" s="238" t="str">
        <f t="shared" si="29"/>
        <v/>
      </c>
    </row>
    <row r="1896" spans="1:10">
      <c r="D1896" s="238" t="s">
        <v>5772</v>
      </c>
      <c r="J1896" s="238" t="str">
        <f t="shared" si="29"/>
        <v/>
      </c>
    </row>
    <row r="1897" spans="1:10">
      <c r="A1897" s="238" t="s">
        <v>5771</v>
      </c>
      <c r="B1897" s="238" t="s">
        <v>5770</v>
      </c>
      <c r="C1897" s="238" t="s">
        <v>5769</v>
      </c>
      <c r="D1897" s="238" t="s">
        <v>5768</v>
      </c>
      <c r="G1897" s="238" t="s">
        <v>5197</v>
      </c>
      <c r="H1897" s="242"/>
      <c r="I1897" s="244"/>
      <c r="J1897" s="238" t="str">
        <f t="shared" si="29"/>
        <v/>
      </c>
    </row>
    <row r="1898" spans="1:10">
      <c r="D1898" s="238" t="s">
        <v>5767</v>
      </c>
      <c r="J1898" s="238" t="str">
        <f t="shared" si="29"/>
        <v/>
      </c>
    </row>
    <row r="1899" spans="1:10">
      <c r="D1899" s="238" t="s">
        <v>5766</v>
      </c>
      <c r="J1899" s="238" t="str">
        <f t="shared" si="29"/>
        <v/>
      </c>
    </row>
    <row r="1900" spans="1:10">
      <c r="D1900" s="238" t="s">
        <v>5765</v>
      </c>
      <c r="J1900" s="238" t="str">
        <f t="shared" si="29"/>
        <v/>
      </c>
    </row>
    <row r="1901" spans="1:10">
      <c r="A1901" s="244" t="s">
        <v>5764</v>
      </c>
      <c r="B1901" s="241"/>
      <c r="C1901" s="241"/>
      <c r="D1901" s="244" t="s">
        <v>5763</v>
      </c>
      <c r="E1901" s="244"/>
      <c r="F1901" s="241"/>
      <c r="G1901" s="243" t="s">
        <v>5168</v>
      </c>
      <c r="H1901" s="242"/>
      <c r="I1901" s="244"/>
      <c r="J1901" s="238" t="str">
        <f t="shared" si="29"/>
        <v/>
      </c>
    </row>
    <row r="1902" spans="1:10">
      <c r="A1902" s="244" t="s">
        <v>5763</v>
      </c>
      <c r="B1902" s="241"/>
      <c r="C1902" s="241"/>
      <c r="D1902" s="244" t="s">
        <v>5763</v>
      </c>
      <c r="E1902" s="244"/>
      <c r="F1902" s="241"/>
      <c r="G1902" s="243" t="s">
        <v>5168</v>
      </c>
      <c r="H1902" s="242"/>
      <c r="I1902" s="244"/>
      <c r="J1902" s="238" t="str">
        <f t="shared" si="29"/>
        <v>OK</v>
      </c>
    </row>
    <row r="1903" spans="1:10">
      <c r="D1903" s="238" t="s">
        <v>5762</v>
      </c>
      <c r="J1903" s="238" t="str">
        <f t="shared" si="29"/>
        <v/>
      </c>
    </row>
    <row r="1904" spans="1:10">
      <c r="A1904" s="238" t="s">
        <v>5761</v>
      </c>
      <c r="B1904" s="238" t="s">
        <v>5760</v>
      </c>
      <c r="D1904" s="238" t="s">
        <v>5138</v>
      </c>
      <c r="G1904" s="238" t="s">
        <v>5197</v>
      </c>
      <c r="H1904" s="242"/>
      <c r="I1904" s="244"/>
      <c r="J1904" s="238" t="str">
        <f t="shared" si="29"/>
        <v/>
      </c>
    </row>
    <row r="1905" spans="1:10">
      <c r="A1905" s="244" t="s">
        <v>5759</v>
      </c>
      <c r="B1905" s="244" t="s">
        <v>5758</v>
      </c>
      <c r="C1905" s="244"/>
      <c r="D1905" s="238" t="s">
        <v>5757</v>
      </c>
      <c r="E1905" s="245"/>
      <c r="F1905" s="244"/>
      <c r="G1905" s="243" t="s">
        <v>5168</v>
      </c>
      <c r="H1905" s="242"/>
      <c r="I1905" s="244"/>
      <c r="J1905" s="238" t="str">
        <f t="shared" si="29"/>
        <v>OK</v>
      </c>
    </row>
    <row r="1906" spans="1:10">
      <c r="D1906" s="238" t="s">
        <v>5756</v>
      </c>
      <c r="J1906" s="238" t="str">
        <f t="shared" si="29"/>
        <v/>
      </c>
    </row>
    <row r="1907" spans="1:10">
      <c r="D1907" s="238" t="s">
        <v>5755</v>
      </c>
      <c r="J1907" s="238" t="str">
        <f t="shared" si="29"/>
        <v/>
      </c>
    </row>
    <row r="1908" spans="1:10">
      <c r="A1908" s="238" t="s">
        <v>5754</v>
      </c>
      <c r="B1908" s="238" t="s">
        <v>5753</v>
      </c>
      <c r="C1908" s="238" t="s">
        <v>5752</v>
      </c>
      <c r="D1908" s="238" t="s">
        <v>5751</v>
      </c>
      <c r="G1908" s="238" t="s">
        <v>5197</v>
      </c>
      <c r="H1908" s="242"/>
      <c r="I1908" s="244"/>
      <c r="J1908" s="238" t="str">
        <f t="shared" si="29"/>
        <v/>
      </c>
    </row>
    <row r="1909" spans="1:10">
      <c r="A1909" s="238" t="s">
        <v>5750</v>
      </c>
      <c r="B1909" s="238" t="s">
        <v>5749</v>
      </c>
      <c r="D1909" s="238" t="s">
        <v>5748</v>
      </c>
      <c r="G1909" s="238" t="s">
        <v>5197</v>
      </c>
      <c r="H1909" s="242"/>
      <c r="I1909" s="244"/>
      <c r="J1909" s="238" t="str">
        <f t="shared" si="29"/>
        <v/>
      </c>
    </row>
    <row r="1910" spans="1:10">
      <c r="D1910" s="238" t="s">
        <v>5747</v>
      </c>
      <c r="J1910" s="238" t="str">
        <f t="shared" si="29"/>
        <v/>
      </c>
    </row>
    <row r="1911" spans="1:10">
      <c r="A1911" s="238" t="s">
        <v>5746</v>
      </c>
      <c r="B1911" s="238" t="s">
        <v>5745</v>
      </c>
      <c r="D1911" s="238" t="s">
        <v>5744</v>
      </c>
      <c r="G1911" s="238" t="s">
        <v>5197</v>
      </c>
      <c r="H1911" s="242"/>
      <c r="I1911" s="244"/>
      <c r="J1911" s="238" t="str">
        <f t="shared" si="29"/>
        <v/>
      </c>
    </row>
    <row r="1912" spans="1:10">
      <c r="D1912" s="238" t="s">
        <v>5743</v>
      </c>
      <c r="J1912" s="238" t="str">
        <f t="shared" si="29"/>
        <v/>
      </c>
    </row>
    <row r="1913" spans="1:10">
      <c r="D1913" s="238" t="s">
        <v>5742</v>
      </c>
      <c r="J1913" s="238" t="str">
        <f t="shared" si="29"/>
        <v/>
      </c>
    </row>
    <row r="1914" spans="1:10">
      <c r="D1914" s="238" t="s">
        <v>5741</v>
      </c>
      <c r="J1914" s="238" t="str">
        <f t="shared" si="29"/>
        <v/>
      </c>
    </row>
    <row r="1915" spans="1:10">
      <c r="A1915" s="238" t="s">
        <v>5740</v>
      </c>
      <c r="B1915" s="238" t="s">
        <v>5739</v>
      </c>
      <c r="D1915" s="238" t="s">
        <v>5738</v>
      </c>
      <c r="G1915" s="238" t="s">
        <v>5197</v>
      </c>
      <c r="H1915" s="242"/>
      <c r="I1915" s="244"/>
      <c r="J1915" s="238" t="str">
        <f t="shared" si="29"/>
        <v/>
      </c>
    </row>
    <row r="1916" spans="1:10">
      <c r="D1916" s="238" t="s">
        <v>5737</v>
      </c>
      <c r="J1916" s="238" t="str">
        <f t="shared" si="29"/>
        <v/>
      </c>
    </row>
    <row r="1917" spans="1:10">
      <c r="D1917" s="238" t="s">
        <v>5736</v>
      </c>
      <c r="J1917" s="238" t="str">
        <f t="shared" si="29"/>
        <v/>
      </c>
    </row>
    <row r="1918" spans="1:10">
      <c r="A1918" s="238" t="s">
        <v>5735</v>
      </c>
      <c r="B1918" s="238" t="s">
        <v>5734</v>
      </c>
      <c r="D1918" s="238" t="s">
        <v>5733</v>
      </c>
      <c r="G1918" s="238" t="s">
        <v>5197</v>
      </c>
      <c r="H1918" s="242"/>
      <c r="I1918" s="244"/>
      <c r="J1918" s="238" t="str">
        <f t="shared" si="29"/>
        <v/>
      </c>
    </row>
    <row r="1919" spans="1:10">
      <c r="D1919" s="238" t="s">
        <v>5732</v>
      </c>
      <c r="J1919" s="238" t="str">
        <f t="shared" si="29"/>
        <v/>
      </c>
    </row>
    <row r="1920" spans="1:10">
      <c r="A1920" s="238" t="s">
        <v>5731</v>
      </c>
      <c r="B1920" s="238" t="s">
        <v>5730</v>
      </c>
      <c r="C1920" s="238" t="s">
        <v>5322</v>
      </c>
      <c r="D1920" s="238" t="s">
        <v>5729</v>
      </c>
      <c r="G1920" s="238" t="s">
        <v>5197</v>
      </c>
      <c r="H1920" s="242"/>
      <c r="I1920" s="244"/>
      <c r="J1920" s="238" t="str">
        <f t="shared" si="29"/>
        <v/>
      </c>
    </row>
    <row r="1921" spans="1:10">
      <c r="D1921" s="238" t="s">
        <v>5728</v>
      </c>
      <c r="J1921" s="238" t="str">
        <f t="shared" si="29"/>
        <v/>
      </c>
    </row>
    <row r="1922" spans="1:10">
      <c r="A1922" s="244" t="s">
        <v>5727</v>
      </c>
      <c r="B1922" s="241"/>
      <c r="C1922" s="241"/>
      <c r="D1922" s="244" t="s">
        <v>5726</v>
      </c>
      <c r="E1922" s="244"/>
      <c r="F1922" s="241"/>
      <c r="G1922" s="243" t="s">
        <v>5168</v>
      </c>
      <c r="H1922" s="242"/>
      <c r="I1922" s="244"/>
      <c r="J1922" s="238" t="str">
        <f t="shared" si="29"/>
        <v/>
      </c>
    </row>
    <row r="1923" spans="1:10">
      <c r="D1923" s="238" t="s">
        <v>5726</v>
      </c>
      <c r="J1923" s="238" t="str">
        <f t="shared" ref="J1923:J1986" si="30">IF(D1922=D1923,"OK","")</f>
        <v>OK</v>
      </c>
    </row>
    <row r="1924" spans="1:10">
      <c r="D1924" s="238" t="s">
        <v>5725</v>
      </c>
      <c r="J1924" s="238" t="str">
        <f t="shared" si="30"/>
        <v/>
      </c>
    </row>
    <row r="1925" spans="1:10">
      <c r="D1925" s="238" t="s">
        <v>5724</v>
      </c>
      <c r="J1925" s="238" t="str">
        <f t="shared" si="30"/>
        <v/>
      </c>
    </row>
    <row r="1926" spans="1:10">
      <c r="D1926" s="238" t="s">
        <v>5723</v>
      </c>
      <c r="J1926" s="238" t="str">
        <f t="shared" si="30"/>
        <v/>
      </c>
    </row>
    <row r="1927" spans="1:10">
      <c r="D1927" s="238" t="s">
        <v>5722</v>
      </c>
      <c r="J1927" s="238" t="str">
        <f t="shared" si="30"/>
        <v/>
      </c>
    </row>
    <row r="1928" spans="1:10">
      <c r="D1928" s="238" t="s">
        <v>5721</v>
      </c>
      <c r="J1928" s="238" t="str">
        <f t="shared" si="30"/>
        <v/>
      </c>
    </row>
    <row r="1929" spans="1:10">
      <c r="D1929" s="238" t="s">
        <v>5720</v>
      </c>
      <c r="J1929" s="238" t="str">
        <f t="shared" si="30"/>
        <v/>
      </c>
    </row>
    <row r="1930" spans="1:10">
      <c r="A1930" s="238" t="s">
        <v>5719</v>
      </c>
      <c r="B1930" s="238" t="s">
        <v>5718</v>
      </c>
      <c r="C1930" s="238" t="s">
        <v>5322</v>
      </c>
      <c r="D1930" s="238" t="s">
        <v>5717</v>
      </c>
      <c r="G1930" s="238" t="s">
        <v>5197</v>
      </c>
      <c r="H1930" s="242"/>
      <c r="I1930" s="244"/>
      <c r="J1930" s="238" t="str">
        <f t="shared" si="30"/>
        <v/>
      </c>
    </row>
    <row r="1931" spans="1:10">
      <c r="D1931" s="238" t="s">
        <v>5717</v>
      </c>
      <c r="J1931" s="238" t="str">
        <f t="shared" si="30"/>
        <v>OK</v>
      </c>
    </row>
    <row r="1932" spans="1:10">
      <c r="D1932" s="238" t="s">
        <v>5716</v>
      </c>
      <c r="J1932" s="238" t="str">
        <f t="shared" si="30"/>
        <v/>
      </c>
    </row>
    <row r="1933" spans="1:10">
      <c r="D1933" s="238" t="s">
        <v>5715</v>
      </c>
      <c r="J1933" s="238" t="str">
        <f t="shared" si="30"/>
        <v/>
      </c>
    </row>
    <row r="1934" spans="1:10">
      <c r="A1934" s="238" t="s">
        <v>5714</v>
      </c>
      <c r="B1934" s="238" t="s">
        <v>5713</v>
      </c>
      <c r="D1934" s="238" t="s">
        <v>5712</v>
      </c>
      <c r="G1934" s="238" t="s">
        <v>5197</v>
      </c>
      <c r="H1934" s="242"/>
      <c r="I1934" s="244"/>
      <c r="J1934" s="238" t="str">
        <f t="shared" si="30"/>
        <v/>
      </c>
    </row>
    <row r="1935" spans="1:10">
      <c r="D1935" s="238" t="s">
        <v>5711</v>
      </c>
      <c r="J1935" s="238" t="str">
        <f t="shared" si="30"/>
        <v/>
      </c>
    </row>
    <row r="1936" spans="1:10">
      <c r="D1936" s="238" t="s">
        <v>5710</v>
      </c>
      <c r="J1936" s="238" t="str">
        <f t="shared" si="30"/>
        <v/>
      </c>
    </row>
    <row r="1937" spans="1:10">
      <c r="D1937" s="238" t="s">
        <v>5709</v>
      </c>
      <c r="J1937" s="238" t="str">
        <f t="shared" si="30"/>
        <v/>
      </c>
    </row>
    <row r="1938" spans="1:10">
      <c r="A1938" s="238" t="s">
        <v>5708</v>
      </c>
      <c r="B1938" s="238" t="s">
        <v>5707</v>
      </c>
      <c r="D1938" s="238" t="s">
        <v>5706</v>
      </c>
      <c r="G1938" s="238" t="s">
        <v>5197</v>
      </c>
      <c r="H1938" s="242"/>
      <c r="I1938" s="244"/>
      <c r="J1938" s="238" t="str">
        <f t="shared" si="30"/>
        <v/>
      </c>
    </row>
    <row r="1939" spans="1:10">
      <c r="A1939" s="238" t="s">
        <v>5705</v>
      </c>
      <c r="B1939" s="238" t="s">
        <v>5704</v>
      </c>
      <c r="C1939" s="238" t="s">
        <v>5212</v>
      </c>
      <c r="D1939" s="238" t="s">
        <v>5703</v>
      </c>
      <c r="G1939" s="238" t="s">
        <v>5197</v>
      </c>
      <c r="H1939" s="242"/>
      <c r="I1939" s="244"/>
      <c r="J1939" s="238" t="str">
        <f t="shared" si="30"/>
        <v/>
      </c>
    </row>
    <row r="1940" spans="1:10">
      <c r="D1940" s="238" t="s">
        <v>5702</v>
      </c>
      <c r="J1940" s="238" t="str">
        <f t="shared" si="30"/>
        <v/>
      </c>
    </row>
    <row r="1941" spans="1:10">
      <c r="D1941" s="238" t="s">
        <v>5701</v>
      </c>
      <c r="J1941" s="238" t="str">
        <f t="shared" si="30"/>
        <v/>
      </c>
    </row>
    <row r="1942" spans="1:10">
      <c r="D1942" s="238" t="s">
        <v>5700</v>
      </c>
      <c r="J1942" s="238" t="str">
        <f t="shared" si="30"/>
        <v/>
      </c>
    </row>
    <row r="1943" spans="1:10">
      <c r="D1943" s="238" t="s">
        <v>5699</v>
      </c>
      <c r="J1943" s="238" t="str">
        <f t="shared" si="30"/>
        <v/>
      </c>
    </row>
    <row r="1944" spans="1:10">
      <c r="D1944" s="238" t="s">
        <v>5698</v>
      </c>
      <c r="J1944" s="238" t="str">
        <f t="shared" si="30"/>
        <v/>
      </c>
    </row>
    <row r="1945" spans="1:10">
      <c r="A1945" s="238" t="s">
        <v>5697</v>
      </c>
      <c r="B1945" s="238" t="s">
        <v>5696</v>
      </c>
      <c r="D1945" s="238" t="s">
        <v>5695</v>
      </c>
      <c r="G1945" s="238" t="s">
        <v>5197</v>
      </c>
      <c r="H1945" s="242"/>
      <c r="I1945" s="244"/>
      <c r="J1945" s="238" t="str">
        <f t="shared" si="30"/>
        <v/>
      </c>
    </row>
    <row r="1946" spans="1:10" ht="18.75">
      <c r="A1946" s="240"/>
      <c r="B1946" s="240" t="s">
        <v>5694</v>
      </c>
      <c r="C1946" s="240"/>
      <c r="D1946" s="240" t="s">
        <v>5693</v>
      </c>
      <c r="E1946" s="240"/>
      <c r="F1946" s="240"/>
      <c r="G1946" s="240"/>
      <c r="H1946" s="240"/>
      <c r="I1946" s="240"/>
      <c r="J1946" s="238" t="str">
        <f t="shared" si="30"/>
        <v/>
      </c>
    </row>
    <row r="1947" spans="1:10">
      <c r="D1947" s="238" t="s">
        <v>5692</v>
      </c>
      <c r="J1947" s="238" t="str">
        <f t="shared" si="30"/>
        <v/>
      </c>
    </row>
    <row r="1948" spans="1:10">
      <c r="D1948" s="238" t="s">
        <v>5691</v>
      </c>
      <c r="J1948" s="238" t="str">
        <f t="shared" si="30"/>
        <v/>
      </c>
    </row>
    <row r="1949" spans="1:10">
      <c r="D1949" s="238" t="s">
        <v>5690</v>
      </c>
      <c r="J1949" s="238" t="str">
        <f t="shared" si="30"/>
        <v/>
      </c>
    </row>
    <row r="1950" spans="1:10">
      <c r="D1950" s="238" t="s">
        <v>5689</v>
      </c>
      <c r="J1950" s="238" t="str">
        <f t="shared" si="30"/>
        <v/>
      </c>
    </row>
    <row r="1951" spans="1:10">
      <c r="D1951" s="238" t="s">
        <v>5688</v>
      </c>
      <c r="J1951" s="238" t="str">
        <f t="shared" si="30"/>
        <v/>
      </c>
    </row>
    <row r="1952" spans="1:10">
      <c r="A1952" s="243" t="s">
        <v>5687</v>
      </c>
      <c r="B1952" s="243" t="s">
        <v>5686</v>
      </c>
      <c r="C1952" s="243"/>
      <c r="D1952" s="252" t="s">
        <v>5685</v>
      </c>
      <c r="E1952" s="257"/>
      <c r="F1952" s="243"/>
      <c r="G1952" s="243" t="s">
        <v>5168</v>
      </c>
      <c r="H1952" s="242"/>
      <c r="I1952" s="244"/>
      <c r="J1952" s="238" t="str">
        <f t="shared" si="30"/>
        <v/>
      </c>
    </row>
    <row r="1953" spans="1:10">
      <c r="A1953" s="238" t="s">
        <v>5684</v>
      </c>
      <c r="B1953" s="238" t="s">
        <v>5683</v>
      </c>
      <c r="D1953" s="238" t="s">
        <v>5682</v>
      </c>
      <c r="G1953" s="238" t="s">
        <v>5197</v>
      </c>
      <c r="H1953" s="242"/>
      <c r="I1953" s="244"/>
      <c r="J1953" s="238" t="str">
        <f t="shared" si="30"/>
        <v/>
      </c>
    </row>
    <row r="1954" spans="1:10">
      <c r="D1954" s="238" t="s">
        <v>5681</v>
      </c>
      <c r="J1954" s="238" t="str">
        <f t="shared" si="30"/>
        <v/>
      </c>
    </row>
    <row r="1955" spans="1:10">
      <c r="D1955" s="238" t="s">
        <v>5680</v>
      </c>
      <c r="J1955" s="238" t="str">
        <f t="shared" si="30"/>
        <v/>
      </c>
    </row>
    <row r="1956" spans="1:10">
      <c r="D1956" s="238" t="s">
        <v>5679</v>
      </c>
      <c r="J1956" s="238" t="str">
        <f t="shared" si="30"/>
        <v/>
      </c>
    </row>
    <row r="1957" spans="1:10">
      <c r="A1957" s="238" t="s">
        <v>5678</v>
      </c>
      <c r="B1957" s="238" t="s">
        <v>5677</v>
      </c>
      <c r="D1957" s="238" t="s">
        <v>5676</v>
      </c>
      <c r="G1957" s="238" t="s">
        <v>5197</v>
      </c>
      <c r="H1957" s="242"/>
      <c r="I1957" s="244"/>
      <c r="J1957" s="238" t="str">
        <f t="shared" si="30"/>
        <v/>
      </c>
    </row>
    <row r="1958" spans="1:10">
      <c r="D1958" s="238" t="s">
        <v>5675</v>
      </c>
      <c r="J1958" s="238" t="str">
        <f t="shared" si="30"/>
        <v/>
      </c>
    </row>
    <row r="1959" spans="1:10">
      <c r="D1959" s="238" t="s">
        <v>5674</v>
      </c>
      <c r="J1959" s="238" t="str">
        <f t="shared" si="30"/>
        <v/>
      </c>
    </row>
    <row r="1960" spans="1:10">
      <c r="D1960" s="238" t="s">
        <v>5673</v>
      </c>
      <c r="J1960" s="238" t="str">
        <f t="shared" si="30"/>
        <v/>
      </c>
    </row>
    <row r="1961" spans="1:10">
      <c r="A1961" s="238" t="s">
        <v>5672</v>
      </c>
      <c r="B1961" s="238" t="s">
        <v>5671</v>
      </c>
      <c r="C1961" s="238" t="s">
        <v>5322</v>
      </c>
      <c r="D1961" s="238" t="s">
        <v>5670</v>
      </c>
      <c r="G1961" s="238" t="s">
        <v>5197</v>
      </c>
      <c r="H1961" s="242"/>
      <c r="I1961" s="244"/>
      <c r="J1961" s="238" t="str">
        <f t="shared" si="30"/>
        <v/>
      </c>
    </row>
    <row r="1962" spans="1:10">
      <c r="D1962" s="238" t="s">
        <v>5669</v>
      </c>
      <c r="J1962" s="238" t="str">
        <f t="shared" si="30"/>
        <v/>
      </c>
    </row>
    <row r="1963" spans="1:10">
      <c r="D1963" s="238" t="s">
        <v>5668</v>
      </c>
      <c r="J1963" s="238" t="str">
        <f t="shared" si="30"/>
        <v/>
      </c>
    </row>
    <row r="1964" spans="1:10">
      <c r="D1964" s="238" t="s">
        <v>5667</v>
      </c>
      <c r="J1964" s="238" t="str">
        <f t="shared" si="30"/>
        <v/>
      </c>
    </row>
    <row r="1965" spans="1:10">
      <c r="D1965" s="238" t="s">
        <v>5666</v>
      </c>
      <c r="J1965" s="238" t="str">
        <f t="shared" si="30"/>
        <v/>
      </c>
    </row>
    <row r="1966" spans="1:10">
      <c r="A1966" s="238" t="s">
        <v>5665</v>
      </c>
      <c r="B1966" s="238" t="s">
        <v>5664</v>
      </c>
      <c r="C1966" s="238" t="s">
        <v>5212</v>
      </c>
      <c r="D1966" s="238" t="s">
        <v>5663</v>
      </c>
      <c r="G1966" s="238" t="s">
        <v>5197</v>
      </c>
      <c r="H1966" s="242"/>
      <c r="I1966" s="244"/>
      <c r="J1966" s="238" t="str">
        <f t="shared" si="30"/>
        <v/>
      </c>
    </row>
    <row r="1967" spans="1:10">
      <c r="A1967" s="238" t="s">
        <v>5662</v>
      </c>
      <c r="B1967" s="238" t="s">
        <v>5661</v>
      </c>
      <c r="C1967" s="238" t="s">
        <v>5199</v>
      </c>
      <c r="D1967" s="238" t="s">
        <v>5660</v>
      </c>
      <c r="G1967" s="238" t="s">
        <v>5197</v>
      </c>
      <c r="H1967" s="242"/>
      <c r="I1967" s="244"/>
      <c r="J1967" s="238" t="str">
        <f t="shared" si="30"/>
        <v/>
      </c>
    </row>
    <row r="1968" spans="1:10">
      <c r="D1968" s="238" t="s">
        <v>5659</v>
      </c>
      <c r="J1968" s="238" t="str">
        <f t="shared" si="30"/>
        <v/>
      </c>
    </row>
    <row r="1969" spans="1:10">
      <c r="D1969" s="238" t="s">
        <v>5658</v>
      </c>
      <c r="J1969" s="238" t="str">
        <f t="shared" si="30"/>
        <v/>
      </c>
    </row>
    <row r="1970" spans="1:10">
      <c r="D1970" s="238" t="s">
        <v>5657</v>
      </c>
      <c r="J1970" s="238" t="str">
        <f t="shared" si="30"/>
        <v/>
      </c>
    </row>
    <row r="1971" spans="1:10">
      <c r="D1971" s="238" t="s">
        <v>5656</v>
      </c>
      <c r="J1971" s="238" t="str">
        <f t="shared" si="30"/>
        <v/>
      </c>
    </row>
    <row r="1972" spans="1:10">
      <c r="A1972" s="244" t="s">
        <v>5655</v>
      </c>
      <c r="B1972" s="244" t="s">
        <v>5654</v>
      </c>
      <c r="C1972" s="244"/>
      <c r="D1972" s="238" t="s">
        <v>5653</v>
      </c>
      <c r="E1972" s="245"/>
      <c r="F1972" s="244"/>
      <c r="G1972" s="243" t="s">
        <v>5168</v>
      </c>
      <c r="H1972" s="242"/>
      <c r="I1972" s="244"/>
      <c r="J1972" s="238" t="str">
        <f t="shared" si="30"/>
        <v/>
      </c>
    </row>
    <row r="1973" spans="1:10">
      <c r="D1973" s="238" t="s">
        <v>5652</v>
      </c>
      <c r="J1973" s="238" t="str">
        <f t="shared" si="30"/>
        <v/>
      </c>
    </row>
    <row r="1974" spans="1:10">
      <c r="D1974" s="238" t="s">
        <v>5651</v>
      </c>
      <c r="J1974" s="238" t="str">
        <f t="shared" si="30"/>
        <v/>
      </c>
    </row>
    <row r="1975" spans="1:10">
      <c r="A1975" s="246"/>
      <c r="B1975" s="246"/>
      <c r="C1975" s="246"/>
      <c r="D1975" s="246" t="s">
        <v>5650</v>
      </c>
      <c r="E1975" s="246"/>
      <c r="F1975" s="246"/>
      <c r="G1975" s="246"/>
      <c r="H1975" s="242"/>
      <c r="I1975" s="244"/>
      <c r="J1975" s="238" t="str">
        <f t="shared" si="30"/>
        <v/>
      </c>
    </row>
    <row r="1976" spans="1:10">
      <c r="D1976" s="238" t="s">
        <v>5650</v>
      </c>
      <c r="J1976" s="238" t="str">
        <f t="shared" si="30"/>
        <v>OK</v>
      </c>
    </row>
    <row r="1977" spans="1:10">
      <c r="D1977" s="238" t="s">
        <v>5650</v>
      </c>
      <c r="J1977" s="238" t="str">
        <f t="shared" si="30"/>
        <v>OK</v>
      </c>
    </row>
    <row r="1978" spans="1:10">
      <c r="D1978" s="238" t="s">
        <v>5649</v>
      </c>
      <c r="J1978" s="238" t="str">
        <f t="shared" si="30"/>
        <v/>
      </c>
    </row>
    <row r="1979" spans="1:10">
      <c r="A1979" s="238" t="s">
        <v>5648</v>
      </c>
      <c r="B1979" s="238" t="s">
        <v>5647</v>
      </c>
      <c r="C1979" s="238" t="s">
        <v>5212</v>
      </c>
      <c r="D1979" s="238" t="s">
        <v>5646</v>
      </c>
      <c r="G1979" s="238" t="s">
        <v>5197</v>
      </c>
      <c r="H1979" s="242"/>
      <c r="I1979" s="244"/>
      <c r="J1979" s="238" t="str">
        <f t="shared" si="30"/>
        <v/>
      </c>
    </row>
    <row r="1980" spans="1:10">
      <c r="A1980" s="253" t="s">
        <v>5317</v>
      </c>
      <c r="B1980" s="244" t="s">
        <v>5645</v>
      </c>
      <c r="C1980" s="244"/>
      <c r="D1980" s="238" t="s">
        <v>5644</v>
      </c>
      <c r="E1980" s="245"/>
      <c r="F1980" s="244" t="s">
        <v>5643</v>
      </c>
      <c r="G1980" s="243" t="s">
        <v>5168</v>
      </c>
      <c r="H1980" s="242" t="s">
        <v>5167</v>
      </c>
      <c r="I1980" s="244"/>
      <c r="J1980" s="238" t="str">
        <f t="shared" si="30"/>
        <v>OK</v>
      </c>
    </row>
    <row r="1981" spans="1:10">
      <c r="D1981" s="238" t="s">
        <v>5642</v>
      </c>
      <c r="J1981" s="238" t="str">
        <f t="shared" si="30"/>
        <v/>
      </c>
    </row>
    <row r="1982" spans="1:10">
      <c r="D1982" s="238" t="s">
        <v>5641</v>
      </c>
      <c r="J1982" s="238" t="str">
        <f t="shared" si="30"/>
        <v/>
      </c>
    </row>
    <row r="1983" spans="1:10">
      <c r="A1983" s="238" t="s">
        <v>5640</v>
      </c>
      <c r="B1983" s="238" t="s">
        <v>5639</v>
      </c>
      <c r="D1983" s="238" t="s">
        <v>5638</v>
      </c>
      <c r="G1983" s="238" t="s">
        <v>5197</v>
      </c>
      <c r="H1983" s="242"/>
      <c r="I1983" s="244"/>
      <c r="J1983" s="238" t="str">
        <f t="shared" si="30"/>
        <v/>
      </c>
    </row>
    <row r="1984" spans="1:10">
      <c r="A1984" s="238" t="s">
        <v>5637</v>
      </c>
      <c r="B1984" s="238" t="s">
        <v>5636</v>
      </c>
      <c r="C1984" s="238" t="s">
        <v>5199</v>
      </c>
      <c r="D1984" s="238" t="s">
        <v>5635</v>
      </c>
      <c r="G1984" s="238" t="s">
        <v>5197</v>
      </c>
      <c r="H1984" s="242"/>
      <c r="I1984" s="244"/>
      <c r="J1984" s="238" t="str">
        <f t="shared" si="30"/>
        <v/>
      </c>
    </row>
    <row r="1985" spans="1:10">
      <c r="D1985" s="238" t="s">
        <v>5634</v>
      </c>
      <c r="J1985" s="238" t="str">
        <f t="shared" si="30"/>
        <v/>
      </c>
    </row>
    <row r="1986" spans="1:10">
      <c r="D1986" s="238" t="s">
        <v>5633</v>
      </c>
      <c r="J1986" s="238" t="str">
        <f t="shared" si="30"/>
        <v/>
      </c>
    </row>
    <row r="1987" spans="1:10">
      <c r="D1987" s="238" t="s">
        <v>5632</v>
      </c>
      <c r="J1987" s="238" t="str">
        <f t="shared" ref="J1987:J2050" si="31">IF(D1986=D1987,"OK","")</f>
        <v/>
      </c>
    </row>
    <row r="1988" spans="1:10">
      <c r="D1988" s="238" t="s">
        <v>5631</v>
      </c>
      <c r="J1988" s="238" t="str">
        <f t="shared" si="31"/>
        <v/>
      </c>
    </row>
    <row r="1989" spans="1:10">
      <c r="D1989" s="238" t="s">
        <v>5630</v>
      </c>
      <c r="J1989" s="238" t="str">
        <f t="shared" si="31"/>
        <v/>
      </c>
    </row>
    <row r="1990" spans="1:10">
      <c r="D1990" s="238" t="s">
        <v>5629</v>
      </c>
      <c r="J1990" s="238" t="str">
        <f t="shared" si="31"/>
        <v/>
      </c>
    </row>
    <row r="1991" spans="1:10">
      <c r="D1991" s="238" t="s">
        <v>5628</v>
      </c>
      <c r="J1991" s="238" t="str">
        <f t="shared" si="31"/>
        <v/>
      </c>
    </row>
    <row r="1992" spans="1:10">
      <c r="D1992" s="238" t="s">
        <v>5627</v>
      </c>
      <c r="J1992" s="238" t="str">
        <f t="shared" si="31"/>
        <v/>
      </c>
    </row>
    <row r="1993" spans="1:10" ht="18.75">
      <c r="A1993" s="244" t="s">
        <v>5624</v>
      </c>
      <c r="B1993" s="244" t="s">
        <v>5623</v>
      </c>
      <c r="C1993" s="244"/>
      <c r="D1993" s="240" t="s">
        <v>5622</v>
      </c>
      <c r="E1993" s="245"/>
      <c r="F1993" s="244" t="s">
        <v>5626</v>
      </c>
      <c r="G1993" s="243" t="s">
        <v>5168</v>
      </c>
      <c r="H1993" s="239" t="s">
        <v>5625</v>
      </c>
      <c r="J1993" s="238" t="str">
        <f t="shared" si="31"/>
        <v/>
      </c>
    </row>
    <row r="1994" spans="1:10">
      <c r="A1994" s="244" t="s">
        <v>5624</v>
      </c>
      <c r="B1994" s="244" t="s">
        <v>5623</v>
      </c>
      <c r="C1994" s="244"/>
      <c r="D1994" s="256" t="s">
        <v>5622</v>
      </c>
      <c r="E1994" s="245"/>
      <c r="F1994" s="244" t="s">
        <v>5621</v>
      </c>
      <c r="G1994" s="243" t="s">
        <v>5168</v>
      </c>
      <c r="H1994" s="242" t="s">
        <v>5167</v>
      </c>
      <c r="I1994" s="244"/>
      <c r="J1994" s="238" t="str">
        <f t="shared" si="31"/>
        <v>OK</v>
      </c>
    </row>
    <row r="1995" spans="1:10" ht="18.75">
      <c r="A1995" s="240"/>
      <c r="B1995" s="240" t="s">
        <v>5620</v>
      </c>
      <c r="C1995" s="240"/>
      <c r="D1995" s="240" t="s">
        <v>5619</v>
      </c>
      <c r="E1995" s="240"/>
      <c r="F1995" s="240"/>
      <c r="G1995" s="240"/>
      <c r="H1995" s="240"/>
      <c r="I1995" s="240"/>
      <c r="J1995" s="238" t="str">
        <f t="shared" si="31"/>
        <v>OK</v>
      </c>
    </row>
    <row r="1996" spans="1:10">
      <c r="A1996" s="238" t="s">
        <v>5618</v>
      </c>
      <c r="B1996" s="238" t="s">
        <v>5617</v>
      </c>
      <c r="C1996" s="238" t="s">
        <v>5379</v>
      </c>
      <c r="D1996" s="238" t="s">
        <v>5616</v>
      </c>
      <c r="G1996" s="238" t="s">
        <v>5197</v>
      </c>
      <c r="H1996" s="242" t="s">
        <v>5167</v>
      </c>
      <c r="I1996" s="244"/>
      <c r="J1996" s="238" t="str">
        <f t="shared" si="31"/>
        <v/>
      </c>
    </row>
    <row r="1997" spans="1:10" ht="18.75">
      <c r="A1997" s="240"/>
      <c r="B1997" s="240" t="s">
        <v>5617</v>
      </c>
      <c r="C1997" s="240"/>
      <c r="D1997" s="240" t="s">
        <v>5616</v>
      </c>
      <c r="E1997" s="240"/>
      <c r="F1997" s="240"/>
      <c r="G1997" s="240"/>
      <c r="H1997" s="240"/>
      <c r="I1997" s="240"/>
      <c r="J1997" s="238" t="str">
        <f t="shared" si="31"/>
        <v>OK</v>
      </c>
    </row>
    <row r="1998" spans="1:10">
      <c r="D1998" s="238" t="s">
        <v>5615</v>
      </c>
      <c r="J1998" s="238" t="str">
        <f t="shared" si="31"/>
        <v/>
      </c>
    </row>
    <row r="1999" spans="1:10" ht="18.75">
      <c r="A1999" s="240"/>
      <c r="B1999" s="240" t="s">
        <v>5614</v>
      </c>
      <c r="C1999" s="240"/>
      <c r="D1999" s="240" t="s">
        <v>5613</v>
      </c>
      <c r="E1999" s="240"/>
      <c r="F1999" s="240"/>
      <c r="G1999" s="240"/>
      <c r="H1999" s="240"/>
      <c r="I1999" s="240"/>
      <c r="J1999" s="238" t="str">
        <f t="shared" si="31"/>
        <v/>
      </c>
    </row>
    <row r="2000" spans="1:10" ht="18.75">
      <c r="A2000" s="240"/>
      <c r="B2000" s="240" t="s">
        <v>5612</v>
      </c>
      <c r="C2000" s="240"/>
      <c r="D2000" s="240" t="s">
        <v>5611</v>
      </c>
      <c r="E2000" s="240"/>
      <c r="F2000" s="240"/>
      <c r="G2000" s="240"/>
      <c r="H2000" s="240"/>
      <c r="I2000" s="240"/>
      <c r="J2000" s="238" t="str">
        <f t="shared" si="31"/>
        <v/>
      </c>
    </row>
    <row r="2001" spans="1:10">
      <c r="D2001" s="238" t="s">
        <v>5610</v>
      </c>
      <c r="J2001" s="238" t="str">
        <f t="shared" si="31"/>
        <v/>
      </c>
    </row>
    <row r="2002" spans="1:10" ht="18.75">
      <c r="A2002" s="240"/>
      <c r="B2002" s="240" t="s">
        <v>5609</v>
      </c>
      <c r="C2002" s="240"/>
      <c r="D2002" s="240" t="s">
        <v>5608</v>
      </c>
      <c r="E2002" s="240"/>
      <c r="F2002" s="240"/>
      <c r="G2002" s="240"/>
      <c r="H2002" s="240"/>
      <c r="I2002" s="240"/>
      <c r="J2002" s="238" t="str">
        <f t="shared" si="31"/>
        <v/>
      </c>
    </row>
    <row r="2003" spans="1:10">
      <c r="D2003" s="238" t="s">
        <v>5607</v>
      </c>
      <c r="J2003" s="238" t="str">
        <f t="shared" si="31"/>
        <v/>
      </c>
    </row>
    <row r="2004" spans="1:10">
      <c r="A2004" s="244" t="s">
        <v>5606</v>
      </c>
      <c r="B2004" s="244" t="s">
        <v>5605</v>
      </c>
      <c r="C2004" s="244"/>
      <c r="D2004" s="238" t="s">
        <v>5604</v>
      </c>
      <c r="E2004" s="245"/>
      <c r="F2004" s="244"/>
      <c r="G2004" s="243" t="s">
        <v>5168</v>
      </c>
      <c r="H2004" s="242" t="s">
        <v>5167</v>
      </c>
      <c r="I2004" s="244"/>
      <c r="J2004" s="238" t="str">
        <f t="shared" si="31"/>
        <v/>
      </c>
    </row>
    <row r="2005" spans="1:10" ht="18.75">
      <c r="A2005" s="240"/>
      <c r="B2005" s="240" t="s">
        <v>5603</v>
      </c>
      <c r="C2005" s="240"/>
      <c r="D2005" s="240" t="s">
        <v>5602</v>
      </c>
      <c r="E2005" s="240"/>
      <c r="F2005" s="240"/>
      <c r="G2005" s="240"/>
      <c r="H2005" s="240"/>
      <c r="I2005" s="240"/>
      <c r="J2005" s="238" t="str">
        <f t="shared" si="31"/>
        <v/>
      </c>
    </row>
    <row r="2006" spans="1:10">
      <c r="A2006" s="238" t="s">
        <v>5601</v>
      </c>
      <c r="B2006" s="238" t="s">
        <v>5600</v>
      </c>
      <c r="C2006" s="238" t="s">
        <v>5575</v>
      </c>
      <c r="D2006" s="238" t="s">
        <v>5599</v>
      </c>
      <c r="G2006" s="238" t="s">
        <v>5197</v>
      </c>
      <c r="H2006" s="242" t="s">
        <v>5167</v>
      </c>
      <c r="I2006" s="244"/>
      <c r="J2006" s="238" t="str">
        <f t="shared" si="31"/>
        <v/>
      </c>
    </row>
    <row r="2007" spans="1:10" ht="18.75">
      <c r="A2007" s="240"/>
      <c r="B2007" s="240" t="s">
        <v>5598</v>
      </c>
      <c r="C2007" s="240"/>
      <c r="D2007" s="240" t="s">
        <v>5597</v>
      </c>
      <c r="E2007" s="240"/>
      <c r="F2007" s="240"/>
      <c r="G2007" s="240"/>
      <c r="H2007" s="240"/>
      <c r="I2007" s="240"/>
      <c r="J2007" s="238" t="str">
        <f t="shared" si="31"/>
        <v/>
      </c>
    </row>
    <row r="2008" spans="1:10" ht="18.75">
      <c r="A2008" s="240"/>
      <c r="B2008" s="240" t="s">
        <v>5596</v>
      </c>
      <c r="C2008" s="240"/>
      <c r="D2008" s="240" t="s">
        <v>5595</v>
      </c>
      <c r="E2008" s="240"/>
      <c r="F2008" s="240"/>
      <c r="G2008" s="240"/>
      <c r="H2008" s="240"/>
      <c r="I2008" s="240"/>
      <c r="J2008" s="238" t="str">
        <f t="shared" si="31"/>
        <v/>
      </c>
    </row>
    <row r="2009" spans="1:10" ht="18.75">
      <c r="A2009" s="240"/>
      <c r="B2009" s="240" t="s">
        <v>5594</v>
      </c>
      <c r="C2009" s="240"/>
      <c r="D2009" s="240" t="s">
        <v>5593</v>
      </c>
      <c r="E2009" s="240"/>
      <c r="F2009" s="240"/>
      <c r="G2009" s="240"/>
      <c r="H2009" s="240"/>
      <c r="I2009" s="240"/>
      <c r="J2009" s="238" t="str">
        <f t="shared" si="31"/>
        <v/>
      </c>
    </row>
    <row r="2010" spans="1:10" ht="18.75">
      <c r="A2010" s="240"/>
      <c r="B2010" s="240" t="s">
        <v>5592</v>
      </c>
      <c r="C2010" s="240"/>
      <c r="D2010" s="240" t="s">
        <v>5591</v>
      </c>
      <c r="E2010" s="240"/>
      <c r="F2010" s="240"/>
      <c r="G2010" s="240"/>
      <c r="H2010" s="240"/>
      <c r="I2010" s="240"/>
      <c r="J2010" s="238" t="str">
        <f t="shared" si="31"/>
        <v/>
      </c>
    </row>
    <row r="2011" spans="1:10">
      <c r="A2011" s="246"/>
      <c r="B2011" s="254"/>
      <c r="C2011" s="254"/>
      <c r="D2011" s="238" t="s">
        <v>5590</v>
      </c>
      <c r="F2011" s="246"/>
      <c r="G2011" s="246"/>
      <c r="H2011" s="242" t="s">
        <v>5167</v>
      </c>
      <c r="I2011" s="244"/>
      <c r="J2011" s="238" t="str">
        <f t="shared" si="31"/>
        <v/>
      </c>
    </row>
    <row r="2012" spans="1:10">
      <c r="D2012" s="238" t="s">
        <v>5588</v>
      </c>
      <c r="J2012" s="238" t="str">
        <f t="shared" si="31"/>
        <v>OK</v>
      </c>
    </row>
    <row r="2013" spans="1:10" ht="18.75">
      <c r="A2013" s="240"/>
      <c r="B2013" s="240" t="s">
        <v>5589</v>
      </c>
      <c r="C2013" s="240"/>
      <c r="D2013" s="240" t="s">
        <v>5588</v>
      </c>
      <c r="E2013" s="240"/>
      <c r="F2013" s="240"/>
      <c r="G2013" s="240"/>
      <c r="H2013" s="240"/>
      <c r="I2013" s="240"/>
      <c r="J2013" s="238" t="str">
        <f t="shared" si="31"/>
        <v>OK</v>
      </c>
    </row>
    <row r="2014" spans="1:10">
      <c r="A2014" s="238" t="s">
        <v>5587</v>
      </c>
      <c r="B2014" s="238" t="s">
        <v>5586</v>
      </c>
      <c r="D2014" s="238" t="s">
        <v>5585</v>
      </c>
      <c r="G2014" s="238" t="s">
        <v>5197</v>
      </c>
      <c r="H2014" s="242" t="s">
        <v>5167</v>
      </c>
      <c r="I2014" s="244"/>
      <c r="J2014" s="238" t="str">
        <f t="shared" si="31"/>
        <v/>
      </c>
    </row>
    <row r="2015" spans="1:10">
      <c r="A2015" s="238" t="s">
        <v>5584</v>
      </c>
      <c r="B2015" s="238" t="s">
        <v>5583</v>
      </c>
      <c r="D2015" s="238" t="s">
        <v>5582</v>
      </c>
      <c r="G2015" s="238" t="s">
        <v>5197</v>
      </c>
      <c r="H2015" s="242" t="s">
        <v>5167</v>
      </c>
      <c r="I2015" s="244"/>
      <c r="J2015" s="238" t="str">
        <f t="shared" si="31"/>
        <v/>
      </c>
    </row>
    <row r="2016" spans="1:10" ht="18.75">
      <c r="A2016" s="240"/>
      <c r="B2016" s="240" t="s">
        <v>5581</v>
      </c>
      <c r="C2016" s="240"/>
      <c r="D2016" s="240" t="s">
        <v>5580</v>
      </c>
      <c r="E2016" s="240"/>
      <c r="F2016" s="240"/>
      <c r="G2016" s="240"/>
      <c r="H2016" s="240"/>
      <c r="I2016" s="240"/>
      <c r="J2016" s="238" t="str">
        <f t="shared" si="31"/>
        <v/>
      </c>
    </row>
    <row r="2017" spans="1:10" ht="18.75">
      <c r="A2017" s="240"/>
      <c r="B2017" s="240" t="s">
        <v>5579</v>
      </c>
      <c r="C2017" s="240"/>
      <c r="D2017" s="240" t="s">
        <v>5578</v>
      </c>
      <c r="E2017" s="240"/>
      <c r="F2017" s="240"/>
      <c r="G2017" s="240"/>
      <c r="H2017" s="240"/>
      <c r="I2017" s="240"/>
      <c r="J2017" s="238" t="str">
        <f t="shared" si="31"/>
        <v/>
      </c>
    </row>
    <row r="2018" spans="1:10">
      <c r="A2018" s="238" t="s">
        <v>5577</v>
      </c>
      <c r="B2018" s="238" t="s">
        <v>5576</v>
      </c>
      <c r="C2018" s="238" t="s">
        <v>5575</v>
      </c>
      <c r="D2018" s="238" t="s">
        <v>5574</v>
      </c>
      <c r="G2018" s="238" t="s">
        <v>5197</v>
      </c>
      <c r="H2018" s="242" t="s">
        <v>5167</v>
      </c>
      <c r="I2018" s="244"/>
      <c r="J2018" s="238" t="str">
        <f t="shared" si="31"/>
        <v/>
      </c>
    </row>
    <row r="2019" spans="1:10">
      <c r="A2019" s="238" t="s">
        <v>5573</v>
      </c>
      <c r="B2019" s="238" t="s">
        <v>5572</v>
      </c>
      <c r="C2019" s="238" t="s">
        <v>5342</v>
      </c>
      <c r="D2019" s="238" t="s">
        <v>5571</v>
      </c>
      <c r="G2019" s="238" t="s">
        <v>5197</v>
      </c>
      <c r="H2019" s="242" t="s">
        <v>5167</v>
      </c>
      <c r="I2019" s="244"/>
      <c r="J2019" s="238" t="str">
        <f t="shared" si="31"/>
        <v/>
      </c>
    </row>
    <row r="2020" spans="1:10">
      <c r="D2020" s="238" t="s">
        <v>5570</v>
      </c>
      <c r="J2020" s="238" t="str">
        <f t="shared" si="31"/>
        <v/>
      </c>
    </row>
    <row r="2021" spans="1:10">
      <c r="D2021" s="238" t="s">
        <v>5569</v>
      </c>
      <c r="J2021" s="238" t="str">
        <f t="shared" si="31"/>
        <v/>
      </c>
    </row>
    <row r="2022" spans="1:10">
      <c r="D2022" s="238" t="s">
        <v>5568</v>
      </c>
      <c r="J2022" s="238" t="str">
        <f t="shared" si="31"/>
        <v/>
      </c>
    </row>
    <row r="2023" spans="1:10">
      <c r="D2023" s="238" t="s">
        <v>5567</v>
      </c>
      <c r="J2023" s="238" t="str">
        <f t="shared" si="31"/>
        <v/>
      </c>
    </row>
    <row r="2024" spans="1:10" ht="18.75">
      <c r="A2024" s="240"/>
      <c r="B2024" s="240" t="s">
        <v>5566</v>
      </c>
      <c r="C2024" s="240"/>
      <c r="D2024" s="240" t="s">
        <v>5565</v>
      </c>
      <c r="E2024" s="240"/>
      <c r="F2024" s="240"/>
      <c r="G2024" s="240"/>
      <c r="H2024" s="240"/>
      <c r="I2024" s="240"/>
      <c r="J2024" s="238" t="str">
        <f t="shared" si="31"/>
        <v/>
      </c>
    </row>
    <row r="2025" spans="1:10">
      <c r="D2025" s="238" t="s">
        <v>5564</v>
      </c>
      <c r="J2025" s="238" t="str">
        <f t="shared" si="31"/>
        <v/>
      </c>
    </row>
    <row r="2026" spans="1:10">
      <c r="D2026" s="238" t="s">
        <v>5563</v>
      </c>
      <c r="J2026" s="238" t="str">
        <f t="shared" si="31"/>
        <v/>
      </c>
    </row>
    <row r="2027" spans="1:10">
      <c r="D2027" s="238" t="s">
        <v>5562</v>
      </c>
      <c r="J2027" s="238" t="str">
        <f t="shared" si="31"/>
        <v/>
      </c>
    </row>
    <row r="2028" spans="1:10" ht="18.75">
      <c r="A2028" s="240"/>
      <c r="B2028" s="240" t="s">
        <v>5561</v>
      </c>
      <c r="C2028" s="240"/>
      <c r="D2028" s="240" t="s">
        <v>5560</v>
      </c>
      <c r="E2028" s="240"/>
      <c r="F2028" s="240"/>
      <c r="G2028" s="240"/>
      <c r="H2028" s="240"/>
      <c r="I2028" s="240"/>
      <c r="J2028" s="238" t="str">
        <f t="shared" si="31"/>
        <v/>
      </c>
    </row>
    <row r="2029" spans="1:10">
      <c r="D2029" s="238" t="s">
        <v>5559</v>
      </c>
      <c r="J2029" s="238" t="str">
        <f t="shared" si="31"/>
        <v/>
      </c>
    </row>
    <row r="2030" spans="1:10" ht="18.75">
      <c r="A2030" s="240"/>
      <c r="B2030" s="240" t="s">
        <v>5558</v>
      </c>
      <c r="C2030" s="240"/>
      <c r="D2030" s="240" t="s">
        <v>5557</v>
      </c>
      <c r="E2030" s="240"/>
      <c r="F2030" s="240"/>
      <c r="G2030" s="240"/>
      <c r="H2030" s="240"/>
      <c r="I2030" s="240"/>
      <c r="J2030" s="238" t="str">
        <f t="shared" si="31"/>
        <v/>
      </c>
    </row>
    <row r="2031" spans="1:10" ht="18.75">
      <c r="A2031" s="240"/>
      <c r="B2031" s="240" t="s">
        <v>5556</v>
      </c>
      <c r="C2031" s="240"/>
      <c r="D2031" s="240" t="s">
        <v>5555</v>
      </c>
      <c r="E2031" s="240"/>
      <c r="F2031" s="240"/>
      <c r="G2031" s="240"/>
      <c r="H2031" s="240"/>
      <c r="I2031" s="240"/>
      <c r="J2031" s="238" t="str">
        <f t="shared" si="31"/>
        <v/>
      </c>
    </row>
    <row r="2032" spans="1:10">
      <c r="A2032" s="238" t="s">
        <v>5554</v>
      </c>
      <c r="B2032" s="238" t="s">
        <v>5553</v>
      </c>
      <c r="D2032" s="238" t="s">
        <v>5552</v>
      </c>
      <c r="G2032" s="238" t="s">
        <v>5197</v>
      </c>
      <c r="H2032" s="242"/>
      <c r="I2032" s="244"/>
      <c r="J2032" s="238" t="str">
        <f t="shared" si="31"/>
        <v/>
      </c>
    </row>
    <row r="2033" spans="1:10">
      <c r="A2033" s="238" t="s">
        <v>5551</v>
      </c>
      <c r="B2033" s="238" t="s">
        <v>5550</v>
      </c>
      <c r="C2033" s="238" t="s">
        <v>5212</v>
      </c>
      <c r="D2033" s="238" t="s">
        <v>5549</v>
      </c>
      <c r="G2033" s="238" t="s">
        <v>5197</v>
      </c>
      <c r="H2033" s="242"/>
      <c r="I2033" s="244"/>
      <c r="J2033" s="238" t="str">
        <f t="shared" si="31"/>
        <v/>
      </c>
    </row>
    <row r="2034" spans="1:10" ht="18.75">
      <c r="A2034" s="240"/>
      <c r="B2034" s="240" t="s">
        <v>5548</v>
      </c>
      <c r="C2034" s="240"/>
      <c r="D2034" s="240" t="s">
        <v>5547</v>
      </c>
      <c r="E2034" s="240"/>
      <c r="F2034" s="240"/>
      <c r="G2034" s="240"/>
      <c r="H2034" s="240"/>
      <c r="I2034" s="240"/>
      <c r="J2034" s="238" t="str">
        <f t="shared" si="31"/>
        <v/>
      </c>
    </row>
    <row r="2035" spans="1:10">
      <c r="D2035" s="238" t="s">
        <v>5546</v>
      </c>
      <c r="J2035" s="238" t="str">
        <f t="shared" si="31"/>
        <v/>
      </c>
    </row>
    <row r="2036" spans="1:10" ht="18.75">
      <c r="A2036" s="240"/>
      <c r="B2036" s="240" t="s">
        <v>5545</v>
      </c>
      <c r="C2036" s="240"/>
      <c r="D2036" s="240" t="s">
        <v>5544</v>
      </c>
      <c r="E2036" s="240"/>
      <c r="F2036" s="240"/>
      <c r="G2036" s="240"/>
      <c r="H2036" s="240"/>
      <c r="I2036" s="240"/>
      <c r="J2036" s="238" t="str">
        <f t="shared" si="31"/>
        <v/>
      </c>
    </row>
    <row r="2037" spans="1:10" ht="18.75">
      <c r="A2037" s="240"/>
      <c r="B2037" s="240" t="s">
        <v>5543</v>
      </c>
      <c r="C2037" s="240"/>
      <c r="D2037" s="240" t="s">
        <v>5542</v>
      </c>
      <c r="E2037" s="240"/>
      <c r="F2037" s="240"/>
      <c r="G2037" s="240"/>
      <c r="H2037" s="240"/>
      <c r="I2037" s="240"/>
      <c r="J2037" s="238" t="str">
        <f t="shared" si="31"/>
        <v/>
      </c>
    </row>
    <row r="2038" spans="1:10">
      <c r="A2038" s="246"/>
      <c r="B2038" s="254"/>
      <c r="C2038" s="254"/>
      <c r="D2038" s="238" t="s">
        <v>5541</v>
      </c>
      <c r="F2038" s="246"/>
      <c r="G2038" s="246"/>
      <c r="H2038" s="242" t="s">
        <v>5167</v>
      </c>
      <c r="I2038" s="244"/>
      <c r="J2038" s="238" t="str">
        <f t="shared" si="31"/>
        <v/>
      </c>
    </row>
    <row r="2039" spans="1:10">
      <c r="D2039" s="238" t="s">
        <v>5540</v>
      </c>
      <c r="J2039" s="238" t="str">
        <f t="shared" si="31"/>
        <v>OK</v>
      </c>
    </row>
    <row r="2040" spans="1:10">
      <c r="D2040" s="238" t="s">
        <v>5540</v>
      </c>
      <c r="J2040" s="238" t="str">
        <f t="shared" si="31"/>
        <v>OK</v>
      </c>
    </row>
    <row r="2041" spans="1:10" ht="18.75">
      <c r="A2041" s="240"/>
      <c r="B2041" s="240" t="s">
        <v>5539</v>
      </c>
      <c r="C2041" s="240"/>
      <c r="D2041" s="240" t="s">
        <v>5538</v>
      </c>
      <c r="E2041" s="240"/>
      <c r="F2041" s="240"/>
      <c r="G2041" s="240"/>
      <c r="H2041" s="240"/>
      <c r="I2041" s="240"/>
      <c r="J2041" s="238" t="str">
        <f t="shared" si="31"/>
        <v/>
      </c>
    </row>
    <row r="2042" spans="1:10" ht="18.75">
      <c r="A2042" s="240"/>
      <c r="B2042" s="240" t="s">
        <v>5537</v>
      </c>
      <c r="C2042" s="240"/>
      <c r="D2042" s="240" t="s">
        <v>5536</v>
      </c>
      <c r="E2042" s="240"/>
      <c r="F2042" s="240"/>
      <c r="G2042" s="240"/>
      <c r="H2042" s="240"/>
      <c r="I2042" s="240"/>
      <c r="J2042" s="238" t="str">
        <f t="shared" si="31"/>
        <v/>
      </c>
    </row>
    <row r="2043" spans="1:10">
      <c r="A2043" s="238" t="s">
        <v>5535</v>
      </c>
      <c r="B2043" s="238" t="s">
        <v>5534</v>
      </c>
      <c r="D2043" s="238" t="s">
        <v>5528</v>
      </c>
      <c r="G2043" s="238" t="s">
        <v>5197</v>
      </c>
      <c r="H2043" s="242" t="s">
        <v>5167</v>
      </c>
      <c r="I2043" s="244"/>
      <c r="J2043" s="238" t="str">
        <f t="shared" si="31"/>
        <v/>
      </c>
    </row>
    <row r="2044" spans="1:10">
      <c r="A2044" s="253" t="s">
        <v>5533</v>
      </c>
      <c r="B2044" s="244" t="s">
        <v>5532</v>
      </c>
      <c r="C2044" s="244"/>
      <c r="D2044" s="238" t="s">
        <v>5531</v>
      </c>
      <c r="E2044" s="245"/>
      <c r="F2044" s="244" t="s">
        <v>5530</v>
      </c>
      <c r="G2044" s="243" t="s">
        <v>5168</v>
      </c>
      <c r="H2044" s="242" t="s">
        <v>5167</v>
      </c>
      <c r="I2044" s="244"/>
      <c r="J2044" s="238" t="str">
        <f t="shared" si="31"/>
        <v>OK</v>
      </c>
    </row>
    <row r="2045" spans="1:10" ht="18.75">
      <c r="A2045" s="240"/>
      <c r="B2045" s="240" t="s">
        <v>5529</v>
      </c>
      <c r="C2045" s="240"/>
      <c r="D2045" s="240" t="s">
        <v>5528</v>
      </c>
      <c r="E2045" s="240"/>
      <c r="F2045" s="240"/>
      <c r="G2045" s="240"/>
      <c r="H2045" s="240"/>
      <c r="I2045" s="240"/>
      <c r="J2045" s="238" t="str">
        <f t="shared" si="31"/>
        <v>OK</v>
      </c>
    </row>
    <row r="2046" spans="1:10" ht="18.75">
      <c r="A2046" s="240"/>
      <c r="B2046" s="240" t="s">
        <v>5527</v>
      </c>
      <c r="C2046" s="240"/>
      <c r="D2046" s="240" t="s">
        <v>5526</v>
      </c>
      <c r="E2046" s="240"/>
      <c r="F2046" s="240"/>
      <c r="G2046" s="240"/>
      <c r="H2046" s="240"/>
      <c r="I2046" s="240"/>
      <c r="J2046" s="238" t="str">
        <f t="shared" si="31"/>
        <v/>
      </c>
    </row>
    <row r="2047" spans="1:10">
      <c r="D2047" s="238" t="s">
        <v>5525</v>
      </c>
      <c r="J2047" s="238" t="str">
        <f t="shared" si="31"/>
        <v/>
      </c>
    </row>
    <row r="2048" spans="1:10" ht="18.75">
      <c r="A2048" s="240"/>
      <c r="B2048" s="240" t="s">
        <v>5524</v>
      </c>
      <c r="C2048" s="240"/>
      <c r="D2048" s="240" t="s">
        <v>5523</v>
      </c>
      <c r="E2048" s="240"/>
      <c r="F2048" s="240"/>
      <c r="G2048" s="240"/>
      <c r="H2048" s="240"/>
      <c r="I2048" s="240"/>
      <c r="J2048" s="238" t="str">
        <f t="shared" si="31"/>
        <v/>
      </c>
    </row>
    <row r="2049" spans="1:10">
      <c r="A2049" s="253" t="s">
        <v>5522</v>
      </c>
      <c r="B2049" s="244" t="s">
        <v>5521</v>
      </c>
      <c r="C2049" s="244"/>
      <c r="D2049" s="238" t="s">
        <v>5520</v>
      </c>
      <c r="E2049" s="245"/>
      <c r="F2049" s="244" t="s">
        <v>5519</v>
      </c>
      <c r="G2049" s="243" t="s">
        <v>5168</v>
      </c>
      <c r="H2049" s="242" t="s">
        <v>5167</v>
      </c>
      <c r="I2049" s="244"/>
      <c r="J2049" s="238" t="str">
        <f t="shared" si="31"/>
        <v/>
      </c>
    </row>
    <row r="2050" spans="1:10" ht="18.75">
      <c r="A2050" s="240"/>
      <c r="B2050" s="240" t="s">
        <v>5518</v>
      </c>
      <c r="C2050" s="240"/>
      <c r="D2050" s="240" t="s">
        <v>5517</v>
      </c>
      <c r="E2050" s="240"/>
      <c r="F2050" s="240"/>
      <c r="G2050" s="240"/>
      <c r="H2050" s="240"/>
      <c r="I2050" s="240"/>
      <c r="J2050" s="238" t="str">
        <f t="shared" si="31"/>
        <v/>
      </c>
    </row>
    <row r="2051" spans="1:10">
      <c r="A2051" s="238" t="s">
        <v>5516</v>
      </c>
      <c r="B2051" s="238" t="s">
        <v>5515</v>
      </c>
      <c r="C2051" s="238" t="s">
        <v>5212</v>
      </c>
      <c r="D2051" s="238" t="s">
        <v>5514</v>
      </c>
      <c r="G2051" s="238" t="s">
        <v>5197</v>
      </c>
      <c r="H2051" s="242" t="s">
        <v>5167</v>
      </c>
      <c r="I2051" s="244"/>
      <c r="J2051" s="238" t="str">
        <f t="shared" ref="J2051:J2114" si="32">IF(D2050=D2051,"OK","")</f>
        <v/>
      </c>
    </row>
    <row r="2052" spans="1:10" ht="18.75">
      <c r="A2052" s="240"/>
      <c r="B2052" s="240" t="s">
        <v>5513</v>
      </c>
      <c r="C2052" s="240"/>
      <c r="D2052" s="240" t="s">
        <v>5512</v>
      </c>
      <c r="E2052" s="240"/>
      <c r="F2052" s="240"/>
      <c r="G2052" s="240"/>
      <c r="H2052" s="240"/>
      <c r="I2052" s="240"/>
      <c r="J2052" s="238" t="str">
        <f t="shared" si="32"/>
        <v/>
      </c>
    </row>
    <row r="2053" spans="1:10">
      <c r="D2053" s="238" t="s">
        <v>5511</v>
      </c>
      <c r="J2053" s="238" t="str">
        <f t="shared" si="32"/>
        <v/>
      </c>
    </row>
    <row r="2054" spans="1:10" ht="18.75">
      <c r="A2054" s="240"/>
      <c r="B2054" s="240" t="s">
        <v>5510</v>
      </c>
      <c r="C2054" s="240"/>
      <c r="D2054" s="240" t="s">
        <v>5509</v>
      </c>
      <c r="E2054" s="240"/>
      <c r="F2054" s="240"/>
      <c r="G2054" s="240"/>
      <c r="H2054" s="240"/>
      <c r="I2054" s="240"/>
      <c r="J2054" s="238" t="str">
        <f t="shared" si="32"/>
        <v/>
      </c>
    </row>
    <row r="2055" spans="1:10">
      <c r="A2055" s="238" t="s">
        <v>5508</v>
      </c>
      <c r="B2055" s="238" t="s">
        <v>5507</v>
      </c>
      <c r="C2055" s="238" t="s">
        <v>5506</v>
      </c>
      <c r="D2055" s="238" t="s">
        <v>5503</v>
      </c>
      <c r="G2055" s="238" t="s">
        <v>5197</v>
      </c>
      <c r="H2055" s="242" t="s">
        <v>5167</v>
      </c>
      <c r="I2055" s="244"/>
      <c r="J2055" s="238" t="str">
        <f t="shared" si="32"/>
        <v/>
      </c>
    </row>
    <row r="2056" spans="1:10">
      <c r="A2056" s="244" t="s">
        <v>5505</v>
      </c>
      <c r="B2056" s="244" t="s">
        <v>5504</v>
      </c>
      <c r="C2056" s="244"/>
      <c r="D2056" s="238" t="s">
        <v>5503</v>
      </c>
      <c r="E2056" s="245"/>
      <c r="F2056" s="244" t="s">
        <v>5502</v>
      </c>
      <c r="G2056" s="243" t="s">
        <v>5168</v>
      </c>
      <c r="H2056" s="242" t="s">
        <v>5167</v>
      </c>
      <c r="I2056" s="244"/>
      <c r="J2056" s="238" t="str">
        <f t="shared" si="32"/>
        <v>OK</v>
      </c>
    </row>
    <row r="2057" spans="1:10">
      <c r="D2057" s="238" t="s">
        <v>5501</v>
      </c>
      <c r="J2057" s="238" t="str">
        <f t="shared" si="32"/>
        <v/>
      </c>
    </row>
    <row r="2058" spans="1:10">
      <c r="D2058" s="238" t="s">
        <v>5500</v>
      </c>
      <c r="J2058" s="238" t="str">
        <f t="shared" si="32"/>
        <v/>
      </c>
    </row>
    <row r="2059" spans="1:10">
      <c r="A2059" s="238" t="s">
        <v>5499</v>
      </c>
      <c r="B2059" s="238" t="s">
        <v>5498</v>
      </c>
      <c r="C2059" s="238" t="s">
        <v>5199</v>
      </c>
      <c r="D2059" s="238" t="s">
        <v>5497</v>
      </c>
      <c r="G2059" s="238" t="s">
        <v>5197</v>
      </c>
      <c r="H2059" s="242" t="s">
        <v>5167</v>
      </c>
      <c r="I2059" s="244"/>
      <c r="J2059" s="238" t="str">
        <f t="shared" si="32"/>
        <v/>
      </c>
    </row>
    <row r="2060" spans="1:10">
      <c r="A2060" s="244" t="s">
        <v>5496</v>
      </c>
      <c r="B2060" s="244" t="s">
        <v>5495</v>
      </c>
      <c r="C2060" s="244"/>
      <c r="D2060" s="238" t="s">
        <v>5494</v>
      </c>
      <c r="E2060" s="245"/>
      <c r="F2060" s="244" t="s">
        <v>5493</v>
      </c>
      <c r="G2060" s="243" t="s">
        <v>5168</v>
      </c>
      <c r="H2060" s="242" t="s">
        <v>5167</v>
      </c>
      <c r="I2060" s="244"/>
      <c r="J2060" s="238" t="str">
        <f t="shared" si="32"/>
        <v/>
      </c>
    </row>
    <row r="2061" spans="1:10">
      <c r="D2061" s="238" t="s">
        <v>5492</v>
      </c>
      <c r="J2061" s="238" t="str">
        <f t="shared" si="32"/>
        <v/>
      </c>
    </row>
    <row r="2062" spans="1:10" ht="18.75">
      <c r="A2062" s="240"/>
      <c r="B2062" s="240" t="s">
        <v>5491</v>
      </c>
      <c r="C2062" s="240"/>
      <c r="D2062" s="240" t="s">
        <v>5490</v>
      </c>
      <c r="E2062" s="240"/>
      <c r="F2062" s="240"/>
      <c r="G2062" s="240"/>
      <c r="H2062" s="240"/>
      <c r="I2062" s="240"/>
      <c r="J2062" s="238" t="str">
        <f t="shared" si="32"/>
        <v/>
      </c>
    </row>
    <row r="2063" spans="1:10">
      <c r="A2063" s="238" t="s">
        <v>5489</v>
      </c>
      <c r="B2063" s="238" t="s">
        <v>5488</v>
      </c>
      <c r="D2063" s="238" t="s">
        <v>5487</v>
      </c>
      <c r="G2063" s="238" t="s">
        <v>5197</v>
      </c>
      <c r="H2063" s="242"/>
      <c r="I2063" s="244"/>
      <c r="J2063" s="238" t="str">
        <f t="shared" si="32"/>
        <v/>
      </c>
    </row>
    <row r="2064" spans="1:10">
      <c r="D2064" s="238" t="s">
        <v>5486</v>
      </c>
      <c r="J2064" s="238" t="str">
        <f t="shared" si="32"/>
        <v/>
      </c>
    </row>
    <row r="2065" spans="1:10">
      <c r="A2065" s="244" t="s">
        <v>5485</v>
      </c>
      <c r="B2065" s="244" t="s">
        <v>5484</v>
      </c>
      <c r="C2065" s="244"/>
      <c r="D2065" s="245" t="s">
        <v>5483</v>
      </c>
      <c r="E2065" s="245"/>
      <c r="F2065" s="244" t="s">
        <v>5482</v>
      </c>
      <c r="G2065" s="243" t="s">
        <v>5168</v>
      </c>
      <c r="H2065" s="242"/>
      <c r="I2065" s="244"/>
      <c r="J2065" s="238" t="str">
        <f t="shared" si="32"/>
        <v/>
      </c>
    </row>
    <row r="2066" spans="1:10">
      <c r="D2066" s="238" t="s">
        <v>5481</v>
      </c>
      <c r="J2066" s="238" t="str">
        <f t="shared" si="32"/>
        <v/>
      </c>
    </row>
    <row r="2067" spans="1:10">
      <c r="D2067" s="238" t="s">
        <v>5480</v>
      </c>
      <c r="J2067" s="238" t="str">
        <f t="shared" si="32"/>
        <v/>
      </c>
    </row>
    <row r="2068" spans="1:10">
      <c r="A2068" s="244" t="s">
        <v>5479</v>
      </c>
      <c r="B2068" s="244" t="s">
        <v>5478</v>
      </c>
      <c r="C2068" s="244"/>
      <c r="D2068" s="255" t="s">
        <v>5477</v>
      </c>
      <c r="E2068" s="255"/>
      <c r="F2068" s="241"/>
      <c r="G2068" s="243" t="s">
        <v>5168</v>
      </c>
      <c r="H2068" s="242"/>
      <c r="I2068" s="244"/>
      <c r="J2068" s="238" t="str">
        <f t="shared" si="32"/>
        <v/>
      </c>
    </row>
    <row r="2069" spans="1:10">
      <c r="D2069" s="238" t="s">
        <v>5476</v>
      </c>
      <c r="J2069" s="238" t="str">
        <f t="shared" si="32"/>
        <v/>
      </c>
    </row>
    <row r="2070" spans="1:10">
      <c r="D2070" s="238" t="s">
        <v>5475</v>
      </c>
      <c r="J2070" s="238" t="str">
        <f t="shared" si="32"/>
        <v/>
      </c>
    </row>
    <row r="2071" spans="1:10">
      <c r="D2071" s="238" t="s">
        <v>5474</v>
      </c>
      <c r="J2071" s="238" t="str">
        <f t="shared" si="32"/>
        <v/>
      </c>
    </row>
    <row r="2072" spans="1:10">
      <c r="D2072" s="238" t="s">
        <v>5473</v>
      </c>
      <c r="J2072" s="238" t="str">
        <f t="shared" si="32"/>
        <v/>
      </c>
    </row>
    <row r="2073" spans="1:10">
      <c r="D2073" s="238" t="s">
        <v>5472</v>
      </c>
      <c r="J2073" s="238" t="str">
        <f t="shared" si="32"/>
        <v/>
      </c>
    </row>
    <row r="2074" spans="1:10">
      <c r="D2074" s="238" t="s">
        <v>5471</v>
      </c>
      <c r="J2074" s="238" t="str">
        <f t="shared" si="32"/>
        <v/>
      </c>
    </row>
    <row r="2075" spans="1:10">
      <c r="D2075" s="238" t="s">
        <v>5470</v>
      </c>
      <c r="J2075" s="238" t="str">
        <f t="shared" si="32"/>
        <v/>
      </c>
    </row>
    <row r="2076" spans="1:10">
      <c r="D2076" s="238" t="s">
        <v>5469</v>
      </c>
      <c r="J2076" s="238" t="str">
        <f t="shared" si="32"/>
        <v/>
      </c>
    </row>
    <row r="2077" spans="1:10">
      <c r="A2077" s="238" t="s">
        <v>5468</v>
      </c>
      <c r="B2077" s="238" t="s">
        <v>5467</v>
      </c>
      <c r="C2077" s="238" t="s">
        <v>5466</v>
      </c>
      <c r="D2077" s="238" t="s">
        <v>5465</v>
      </c>
      <c r="G2077" s="238" t="s">
        <v>5197</v>
      </c>
      <c r="H2077" s="242"/>
      <c r="I2077" s="244"/>
      <c r="J2077" s="238" t="str">
        <f t="shared" si="32"/>
        <v/>
      </c>
    </row>
    <row r="2078" spans="1:10" ht="18.75">
      <c r="A2078" s="240"/>
      <c r="B2078" s="240" t="s">
        <v>5464</v>
      </c>
      <c r="C2078" s="240"/>
      <c r="D2078" s="240" t="s">
        <v>5463</v>
      </c>
      <c r="E2078" s="240"/>
      <c r="F2078" s="240"/>
      <c r="G2078" s="240"/>
      <c r="H2078" s="240"/>
      <c r="I2078" s="240"/>
      <c r="J2078" s="238" t="str">
        <f t="shared" si="32"/>
        <v/>
      </c>
    </row>
    <row r="2079" spans="1:10">
      <c r="A2079" s="238" t="s">
        <v>5462</v>
      </c>
      <c r="B2079" s="238" t="s">
        <v>5461</v>
      </c>
      <c r="D2079" s="238" t="s">
        <v>5460</v>
      </c>
      <c r="G2079" s="238" t="s">
        <v>5197</v>
      </c>
      <c r="H2079" s="242"/>
      <c r="I2079" s="244"/>
      <c r="J2079" s="238" t="str">
        <f t="shared" si="32"/>
        <v/>
      </c>
    </row>
    <row r="2080" spans="1:10">
      <c r="D2080" s="238" t="s">
        <v>5459</v>
      </c>
      <c r="J2080" s="238" t="str">
        <f t="shared" si="32"/>
        <v/>
      </c>
    </row>
    <row r="2081" spans="1:10">
      <c r="A2081" s="238" t="s">
        <v>5458</v>
      </c>
      <c r="B2081" s="238" t="s">
        <v>5457</v>
      </c>
      <c r="D2081" s="238" t="s">
        <v>5456</v>
      </c>
      <c r="G2081" s="238" t="s">
        <v>5197</v>
      </c>
      <c r="H2081" s="242"/>
      <c r="I2081" s="244"/>
      <c r="J2081" s="238" t="str">
        <f t="shared" si="32"/>
        <v/>
      </c>
    </row>
    <row r="2082" spans="1:10">
      <c r="A2082" s="238" t="s">
        <v>5455</v>
      </c>
      <c r="B2082" s="238" t="s">
        <v>5454</v>
      </c>
      <c r="D2082" s="238" t="s">
        <v>5453</v>
      </c>
      <c r="G2082" s="238" t="s">
        <v>5197</v>
      </c>
      <c r="H2082" s="242"/>
      <c r="I2082" s="244"/>
      <c r="J2082" s="238" t="str">
        <f t="shared" si="32"/>
        <v/>
      </c>
    </row>
    <row r="2083" spans="1:10" ht="18.75">
      <c r="A2083" s="240"/>
      <c r="B2083" s="240" t="s">
        <v>5452</v>
      </c>
      <c r="C2083" s="240"/>
      <c r="D2083" s="240" t="s">
        <v>5451</v>
      </c>
      <c r="E2083" s="240"/>
      <c r="F2083" s="240"/>
      <c r="G2083" s="240"/>
      <c r="H2083" s="240"/>
      <c r="I2083" s="240"/>
      <c r="J2083" s="238" t="str">
        <f t="shared" si="32"/>
        <v/>
      </c>
    </row>
    <row r="2084" spans="1:10">
      <c r="D2084" s="238" t="s">
        <v>5450</v>
      </c>
      <c r="J2084" s="238" t="str">
        <f t="shared" si="32"/>
        <v/>
      </c>
    </row>
    <row r="2085" spans="1:10">
      <c r="A2085" s="238" t="s">
        <v>5449</v>
      </c>
      <c r="B2085" s="238" t="s">
        <v>5448</v>
      </c>
      <c r="D2085" s="238" t="s">
        <v>5447</v>
      </c>
      <c r="G2085" s="238" t="s">
        <v>5197</v>
      </c>
      <c r="H2085" s="242"/>
      <c r="I2085" s="244"/>
      <c r="J2085" s="238" t="str">
        <f t="shared" si="32"/>
        <v/>
      </c>
    </row>
    <row r="2086" spans="1:10">
      <c r="D2086" s="238" t="s">
        <v>5446</v>
      </c>
      <c r="J2086" s="238" t="str">
        <f t="shared" si="32"/>
        <v/>
      </c>
    </row>
    <row r="2087" spans="1:10">
      <c r="D2087" s="238" t="s">
        <v>5445</v>
      </c>
      <c r="J2087" s="238" t="str">
        <f t="shared" si="32"/>
        <v/>
      </c>
    </row>
    <row r="2088" spans="1:10">
      <c r="D2088" s="238" t="s">
        <v>5444</v>
      </c>
      <c r="J2088" s="238" t="str">
        <f t="shared" si="32"/>
        <v/>
      </c>
    </row>
    <row r="2089" spans="1:10">
      <c r="D2089" s="238" t="s">
        <v>5443</v>
      </c>
      <c r="J2089" s="238" t="str">
        <f t="shared" si="32"/>
        <v/>
      </c>
    </row>
    <row r="2090" spans="1:10">
      <c r="D2090" s="238" t="s">
        <v>5442</v>
      </c>
      <c r="J2090" s="238" t="str">
        <f t="shared" si="32"/>
        <v/>
      </c>
    </row>
    <row r="2091" spans="1:10">
      <c r="D2091" s="238" t="s">
        <v>5441</v>
      </c>
      <c r="J2091" s="238" t="str">
        <f t="shared" si="32"/>
        <v/>
      </c>
    </row>
    <row r="2092" spans="1:10">
      <c r="D2092" s="238" t="s">
        <v>5440</v>
      </c>
      <c r="J2092" s="238" t="str">
        <f t="shared" si="32"/>
        <v/>
      </c>
    </row>
    <row r="2093" spans="1:10">
      <c r="D2093" s="238" t="s">
        <v>5439</v>
      </c>
      <c r="J2093" s="238" t="str">
        <f t="shared" si="32"/>
        <v/>
      </c>
    </row>
    <row r="2094" spans="1:10">
      <c r="D2094" s="238" t="s">
        <v>5438</v>
      </c>
      <c r="J2094" s="238" t="str">
        <f t="shared" si="32"/>
        <v/>
      </c>
    </row>
    <row r="2095" spans="1:10">
      <c r="D2095" s="238" t="s">
        <v>5437</v>
      </c>
      <c r="J2095" s="238" t="str">
        <f t="shared" si="32"/>
        <v/>
      </c>
    </row>
    <row r="2096" spans="1:10">
      <c r="A2096" s="244" t="s">
        <v>5436</v>
      </c>
      <c r="B2096" s="244" t="s">
        <v>5435</v>
      </c>
      <c r="C2096" s="244"/>
      <c r="D2096" s="238" t="s">
        <v>5434</v>
      </c>
      <c r="E2096" s="245"/>
      <c r="F2096" s="244"/>
      <c r="G2096" s="243" t="s">
        <v>5168</v>
      </c>
      <c r="H2096" s="242"/>
      <c r="I2096" s="244"/>
      <c r="J2096" s="238" t="str">
        <f t="shared" si="32"/>
        <v/>
      </c>
    </row>
    <row r="2097" spans="1:10">
      <c r="A2097" s="238" t="s">
        <v>5433</v>
      </c>
      <c r="B2097" s="238" t="s">
        <v>5432</v>
      </c>
      <c r="D2097" s="238" t="s">
        <v>5431</v>
      </c>
      <c r="G2097" s="238" t="s">
        <v>5197</v>
      </c>
      <c r="H2097" s="242"/>
      <c r="I2097" s="244"/>
      <c r="J2097" s="238" t="str">
        <f t="shared" si="32"/>
        <v/>
      </c>
    </row>
    <row r="2098" spans="1:10" ht="18.75">
      <c r="A2098" s="240"/>
      <c r="B2098" s="240" t="s">
        <v>5430</v>
      </c>
      <c r="C2098" s="240"/>
      <c r="D2098" s="240" t="s">
        <v>5429</v>
      </c>
      <c r="E2098" s="240"/>
      <c r="F2098" s="240"/>
      <c r="G2098" s="240"/>
      <c r="H2098" s="240"/>
      <c r="I2098" s="240"/>
      <c r="J2098" s="238" t="str">
        <f t="shared" si="32"/>
        <v/>
      </c>
    </row>
    <row r="2099" spans="1:10">
      <c r="D2099" s="238" t="s">
        <v>5428</v>
      </c>
      <c r="J2099" s="238" t="str">
        <f t="shared" si="32"/>
        <v/>
      </c>
    </row>
    <row r="2100" spans="1:10">
      <c r="D2100" s="238" t="s">
        <v>5427</v>
      </c>
      <c r="J2100" s="238" t="str">
        <f t="shared" si="32"/>
        <v/>
      </c>
    </row>
    <row r="2101" spans="1:10">
      <c r="A2101" s="238" t="s">
        <v>5426</v>
      </c>
      <c r="B2101" s="238" t="s">
        <v>5425</v>
      </c>
      <c r="C2101" s="238" t="s">
        <v>5212</v>
      </c>
      <c r="D2101" s="238" t="s">
        <v>5424</v>
      </c>
      <c r="G2101" s="238" t="s">
        <v>5197</v>
      </c>
      <c r="H2101" s="242"/>
      <c r="I2101" s="244"/>
      <c r="J2101" s="238" t="str">
        <f t="shared" si="32"/>
        <v/>
      </c>
    </row>
    <row r="2102" spans="1:10">
      <c r="D2102" s="238" t="s">
        <v>5423</v>
      </c>
      <c r="J2102" s="238" t="str">
        <f t="shared" si="32"/>
        <v/>
      </c>
    </row>
    <row r="2103" spans="1:10">
      <c r="D2103" s="238" t="s">
        <v>5422</v>
      </c>
      <c r="J2103" s="238" t="str">
        <f t="shared" si="32"/>
        <v/>
      </c>
    </row>
    <row r="2104" spans="1:10">
      <c r="D2104" s="238" t="s">
        <v>5421</v>
      </c>
      <c r="J2104" s="238" t="str">
        <f t="shared" si="32"/>
        <v/>
      </c>
    </row>
    <row r="2105" spans="1:10">
      <c r="D2105" s="238" t="s">
        <v>5420</v>
      </c>
      <c r="J2105" s="238" t="str">
        <f t="shared" si="32"/>
        <v/>
      </c>
    </row>
    <row r="2106" spans="1:10">
      <c r="D2106" s="238" t="s">
        <v>5419</v>
      </c>
      <c r="J2106" s="238" t="str">
        <f t="shared" si="32"/>
        <v/>
      </c>
    </row>
    <row r="2107" spans="1:10">
      <c r="D2107" s="238" t="s">
        <v>5418</v>
      </c>
      <c r="J2107" s="238" t="str">
        <f t="shared" si="32"/>
        <v/>
      </c>
    </row>
    <row r="2108" spans="1:10">
      <c r="A2108" s="238" t="s">
        <v>5417</v>
      </c>
      <c r="B2108" s="238" t="s">
        <v>5416</v>
      </c>
      <c r="C2108" s="238" t="s">
        <v>5415</v>
      </c>
      <c r="D2108" s="238" t="s">
        <v>5414</v>
      </c>
      <c r="G2108" s="238" t="s">
        <v>5197</v>
      </c>
      <c r="H2108" s="242"/>
      <c r="I2108" s="244"/>
      <c r="J2108" s="238" t="str">
        <f t="shared" si="32"/>
        <v/>
      </c>
    </row>
    <row r="2109" spans="1:10">
      <c r="D2109" s="238" t="s">
        <v>5413</v>
      </c>
      <c r="J2109" s="238" t="str">
        <f t="shared" si="32"/>
        <v/>
      </c>
    </row>
    <row r="2110" spans="1:10">
      <c r="D2110" s="238" t="s">
        <v>5412</v>
      </c>
      <c r="J2110" s="238" t="str">
        <f t="shared" si="32"/>
        <v/>
      </c>
    </row>
    <row r="2111" spans="1:10">
      <c r="A2111" s="238" t="s">
        <v>5411</v>
      </c>
      <c r="B2111" s="238" t="s">
        <v>5410</v>
      </c>
      <c r="D2111" s="238" t="s">
        <v>5409</v>
      </c>
      <c r="G2111" s="238" t="s">
        <v>5197</v>
      </c>
      <c r="H2111" s="242"/>
      <c r="I2111" s="244"/>
      <c r="J2111" s="238" t="str">
        <f t="shared" si="32"/>
        <v/>
      </c>
    </row>
    <row r="2112" spans="1:10">
      <c r="A2112" s="238" t="s">
        <v>5408</v>
      </c>
      <c r="B2112" s="238" t="s">
        <v>5407</v>
      </c>
      <c r="C2112" s="238" t="s">
        <v>5212</v>
      </c>
      <c r="D2112" s="238" t="s">
        <v>5406</v>
      </c>
      <c r="G2112" s="238" t="s">
        <v>5197</v>
      </c>
      <c r="H2112" s="242"/>
      <c r="I2112" s="244"/>
      <c r="J2112" s="238" t="str">
        <f t="shared" si="32"/>
        <v/>
      </c>
    </row>
    <row r="2113" spans="1:10">
      <c r="A2113" s="238" t="s">
        <v>5405</v>
      </c>
      <c r="B2113" s="238" t="s">
        <v>5404</v>
      </c>
      <c r="C2113" s="238" t="s">
        <v>5403</v>
      </c>
      <c r="D2113" s="238" t="s">
        <v>5402</v>
      </c>
      <c r="G2113" s="238" t="s">
        <v>5197</v>
      </c>
      <c r="H2113" s="242"/>
      <c r="I2113" s="244"/>
      <c r="J2113" s="238" t="str">
        <f t="shared" si="32"/>
        <v/>
      </c>
    </row>
    <row r="2114" spans="1:10">
      <c r="D2114" s="238" t="s">
        <v>5401</v>
      </c>
      <c r="J2114" s="238" t="str">
        <f t="shared" si="32"/>
        <v/>
      </c>
    </row>
    <row r="2115" spans="1:10" ht="18.75">
      <c r="A2115" s="240"/>
      <c r="B2115" s="240" t="s">
        <v>5400</v>
      </c>
      <c r="C2115" s="240"/>
      <c r="D2115" s="240" t="s">
        <v>5399</v>
      </c>
      <c r="E2115" s="240"/>
      <c r="F2115" s="240"/>
      <c r="G2115" s="240"/>
      <c r="H2115" s="240"/>
      <c r="I2115" s="240"/>
      <c r="J2115" s="238" t="str">
        <f t="shared" ref="J2115:J2178" si="33">IF(D2114=D2115,"OK","")</f>
        <v/>
      </c>
    </row>
    <row r="2116" spans="1:10" ht="18.75">
      <c r="A2116" s="240"/>
      <c r="B2116" s="240" t="s">
        <v>5398</v>
      </c>
      <c r="C2116" s="240"/>
      <c r="D2116" s="240" t="s">
        <v>5397</v>
      </c>
      <c r="E2116" s="240"/>
      <c r="F2116" s="240"/>
      <c r="G2116" s="240"/>
      <c r="H2116" s="240"/>
      <c r="I2116" s="240"/>
      <c r="J2116" s="238" t="str">
        <f t="shared" si="33"/>
        <v/>
      </c>
    </row>
    <row r="2117" spans="1:10" ht="18.75">
      <c r="A2117" s="240"/>
      <c r="B2117" s="240" t="s">
        <v>5396</v>
      </c>
      <c r="C2117" s="240"/>
      <c r="D2117" s="240" t="s">
        <v>5395</v>
      </c>
      <c r="E2117" s="240"/>
      <c r="F2117" s="240"/>
      <c r="G2117" s="240"/>
      <c r="H2117" s="240"/>
      <c r="I2117" s="240"/>
      <c r="J2117" s="238" t="str">
        <f t="shared" si="33"/>
        <v/>
      </c>
    </row>
    <row r="2118" spans="1:10" s="240" customFormat="1" ht="18.75">
      <c r="A2118" s="238"/>
      <c r="B2118" s="238"/>
      <c r="C2118" s="238"/>
      <c r="D2118" s="238" t="s">
        <v>5394</v>
      </c>
      <c r="E2118" s="238"/>
      <c r="F2118" s="238"/>
      <c r="G2118" s="238"/>
      <c r="H2118" s="239"/>
      <c r="I2118" s="238"/>
      <c r="J2118" s="238" t="str">
        <f t="shared" si="33"/>
        <v/>
      </c>
    </row>
    <row r="2119" spans="1:10" s="240" customFormat="1" ht="18.75">
      <c r="A2119" s="238"/>
      <c r="B2119" s="238"/>
      <c r="C2119" s="238"/>
      <c r="D2119" s="238" t="s">
        <v>5393</v>
      </c>
      <c r="E2119" s="238"/>
      <c r="F2119" s="238"/>
      <c r="G2119" s="238"/>
      <c r="H2119" s="239"/>
      <c r="I2119" s="238"/>
      <c r="J2119" s="238" t="str">
        <f t="shared" si="33"/>
        <v/>
      </c>
    </row>
    <row r="2120" spans="1:10" s="240" customFormat="1" ht="18.75">
      <c r="A2120" s="238" t="s">
        <v>5392</v>
      </c>
      <c r="B2120" s="238" t="s">
        <v>5391</v>
      </c>
      <c r="C2120" s="238" t="s">
        <v>5379</v>
      </c>
      <c r="D2120" s="238" t="s">
        <v>5390</v>
      </c>
      <c r="E2120" s="238"/>
      <c r="F2120" s="238"/>
      <c r="G2120" s="238" t="s">
        <v>5197</v>
      </c>
      <c r="H2120" s="242"/>
      <c r="I2120" s="244"/>
      <c r="J2120" s="238" t="str">
        <f t="shared" si="33"/>
        <v/>
      </c>
    </row>
    <row r="2121" spans="1:10" s="240" customFormat="1" ht="18.75">
      <c r="A2121" s="238"/>
      <c r="B2121" s="238"/>
      <c r="C2121" s="238"/>
      <c r="D2121" s="238" t="s">
        <v>5389</v>
      </c>
      <c r="E2121" s="238"/>
      <c r="F2121" s="238"/>
      <c r="G2121" s="238"/>
      <c r="H2121" s="239"/>
      <c r="I2121" s="238"/>
      <c r="J2121" s="238" t="str">
        <f t="shared" si="33"/>
        <v/>
      </c>
    </row>
    <row r="2122" spans="1:10" s="240" customFormat="1" ht="18.75">
      <c r="B2122" s="240" t="s">
        <v>5342</v>
      </c>
      <c r="D2122" s="240" t="s">
        <v>5388</v>
      </c>
      <c r="J2122" s="238" t="str">
        <f t="shared" si="33"/>
        <v/>
      </c>
    </row>
    <row r="2123" spans="1:10" s="240" customFormat="1" ht="18.75">
      <c r="B2123" s="240" t="s">
        <v>5387</v>
      </c>
      <c r="D2123" s="240" t="s">
        <v>5386</v>
      </c>
      <c r="J2123" s="238" t="str">
        <f t="shared" si="33"/>
        <v/>
      </c>
    </row>
    <row r="2124" spans="1:10" s="240" customFormat="1" ht="18.75">
      <c r="A2124" s="238" t="s">
        <v>5385</v>
      </c>
      <c r="B2124" s="238" t="s">
        <v>5384</v>
      </c>
      <c r="C2124" s="238" t="s">
        <v>5212</v>
      </c>
      <c r="D2124" s="238" t="s">
        <v>5383</v>
      </c>
      <c r="E2124" s="238"/>
      <c r="F2124" s="238"/>
      <c r="G2124" s="238" t="s">
        <v>5197</v>
      </c>
      <c r="H2124" s="242"/>
      <c r="I2124" s="244"/>
      <c r="J2124" s="238" t="str">
        <f t="shared" si="33"/>
        <v/>
      </c>
    </row>
    <row r="2125" spans="1:10" s="240" customFormat="1" ht="18.75">
      <c r="A2125" s="238"/>
      <c r="B2125" s="238"/>
      <c r="C2125" s="238"/>
      <c r="D2125" s="238" t="s">
        <v>5382</v>
      </c>
      <c r="E2125" s="238"/>
      <c r="F2125" s="238"/>
      <c r="G2125" s="238"/>
      <c r="H2125" s="239"/>
      <c r="I2125" s="238"/>
      <c r="J2125" s="238" t="str">
        <f t="shared" si="33"/>
        <v/>
      </c>
    </row>
    <row r="2126" spans="1:10" s="240" customFormat="1" ht="18.75">
      <c r="A2126" s="238" t="s">
        <v>5381</v>
      </c>
      <c r="B2126" s="238" t="s">
        <v>5380</v>
      </c>
      <c r="C2126" s="238" t="s">
        <v>5379</v>
      </c>
      <c r="D2126" s="238" t="s">
        <v>5378</v>
      </c>
      <c r="E2126" s="238"/>
      <c r="F2126" s="238"/>
      <c r="G2126" s="238" t="s">
        <v>5197</v>
      </c>
      <c r="H2126" s="242"/>
      <c r="I2126" s="244"/>
      <c r="J2126" s="238" t="str">
        <f t="shared" si="33"/>
        <v/>
      </c>
    </row>
    <row r="2127" spans="1:10" s="240" customFormat="1" ht="18.75">
      <c r="A2127" s="238"/>
      <c r="B2127" s="238"/>
      <c r="C2127" s="238"/>
      <c r="D2127" s="238" t="s">
        <v>5377</v>
      </c>
      <c r="E2127" s="238"/>
      <c r="F2127" s="238"/>
      <c r="G2127" s="238"/>
      <c r="H2127" s="239"/>
      <c r="I2127" s="238"/>
      <c r="J2127" s="238" t="str">
        <f t="shared" si="33"/>
        <v/>
      </c>
    </row>
    <row r="2128" spans="1:10" s="240" customFormat="1" ht="18.75">
      <c r="A2128" s="238"/>
      <c r="B2128" s="238"/>
      <c r="C2128" s="238"/>
      <c r="D2128" s="238" t="s">
        <v>5376</v>
      </c>
      <c r="E2128" s="238"/>
      <c r="F2128" s="238"/>
      <c r="G2128" s="238"/>
      <c r="H2128" s="239"/>
      <c r="I2128" s="238"/>
      <c r="J2128" s="238" t="str">
        <f t="shared" si="33"/>
        <v/>
      </c>
    </row>
    <row r="2129" spans="1:10" s="240" customFormat="1" ht="18.75">
      <c r="A2129" s="238" t="s">
        <v>5375</v>
      </c>
      <c r="B2129" s="238" t="s">
        <v>5374</v>
      </c>
      <c r="C2129" s="238"/>
      <c r="D2129" s="238" t="s">
        <v>5373</v>
      </c>
      <c r="E2129" s="238"/>
      <c r="F2129" s="238"/>
      <c r="G2129" s="238" t="s">
        <v>5197</v>
      </c>
      <c r="H2129" s="242"/>
      <c r="I2129" s="244"/>
      <c r="J2129" s="238" t="str">
        <f t="shared" si="33"/>
        <v/>
      </c>
    </row>
    <row r="2130" spans="1:10" s="240" customFormat="1" ht="18.75">
      <c r="A2130" s="238"/>
      <c r="B2130" s="238"/>
      <c r="C2130" s="238"/>
      <c r="D2130" s="238" t="s">
        <v>5372</v>
      </c>
      <c r="E2130" s="238"/>
      <c r="F2130" s="238"/>
      <c r="G2130" s="238"/>
      <c r="H2130" s="239"/>
      <c r="I2130" s="238"/>
      <c r="J2130" s="238" t="str">
        <f t="shared" si="33"/>
        <v/>
      </c>
    </row>
    <row r="2131" spans="1:10" s="240" customFormat="1" ht="18.75">
      <c r="A2131" s="238" t="s">
        <v>5306</v>
      </c>
      <c r="B2131" s="238" t="s">
        <v>5371</v>
      </c>
      <c r="C2131" s="238" t="s">
        <v>5370</v>
      </c>
      <c r="D2131" s="238" t="s">
        <v>5368</v>
      </c>
      <c r="E2131" s="238"/>
      <c r="F2131" s="238"/>
      <c r="G2131" s="238" t="s">
        <v>5197</v>
      </c>
      <c r="H2131" s="242"/>
      <c r="I2131" s="244"/>
      <c r="J2131" s="238" t="str">
        <f t="shared" si="33"/>
        <v/>
      </c>
    </row>
    <row r="2132" spans="1:10" s="240" customFormat="1" ht="18.75">
      <c r="B2132" s="240" t="s">
        <v>5369</v>
      </c>
      <c r="D2132" s="240" t="s">
        <v>5368</v>
      </c>
      <c r="J2132" s="238" t="str">
        <f t="shared" si="33"/>
        <v>OK</v>
      </c>
    </row>
    <row r="2133" spans="1:10" s="240" customFormat="1" ht="18.75">
      <c r="A2133" s="238"/>
      <c r="B2133" s="238"/>
      <c r="C2133" s="238"/>
      <c r="D2133" s="238" t="s">
        <v>5367</v>
      </c>
      <c r="E2133" s="238"/>
      <c r="F2133" s="238"/>
      <c r="G2133" s="238"/>
      <c r="H2133" s="239"/>
      <c r="I2133" s="238"/>
      <c r="J2133" s="238" t="str">
        <f t="shared" si="33"/>
        <v/>
      </c>
    </row>
    <row r="2134" spans="1:10" s="240" customFormat="1" ht="18.75">
      <c r="A2134" s="238"/>
      <c r="B2134" s="238"/>
      <c r="C2134" s="238"/>
      <c r="D2134" s="238" t="s">
        <v>5366</v>
      </c>
      <c r="E2134" s="238"/>
      <c r="F2134" s="238"/>
      <c r="G2134" s="238"/>
      <c r="H2134" s="239"/>
      <c r="I2134" s="238"/>
      <c r="J2134" s="238" t="str">
        <f t="shared" si="33"/>
        <v/>
      </c>
    </row>
    <row r="2135" spans="1:10" s="240" customFormat="1" ht="18.75">
      <c r="B2135" s="240" t="s">
        <v>5365</v>
      </c>
      <c r="D2135" s="240" t="s">
        <v>5364</v>
      </c>
      <c r="J2135" s="238" t="str">
        <f t="shared" si="33"/>
        <v/>
      </c>
    </row>
    <row r="2136" spans="1:10" s="240" customFormat="1" ht="18.75">
      <c r="A2136" s="238" t="s">
        <v>5363</v>
      </c>
      <c r="B2136" s="238" t="s">
        <v>5362</v>
      </c>
      <c r="C2136" s="238"/>
      <c r="D2136" s="238" t="s">
        <v>5361</v>
      </c>
      <c r="E2136" s="238"/>
      <c r="F2136" s="238"/>
      <c r="G2136" s="238" t="s">
        <v>5197</v>
      </c>
      <c r="H2136" s="242"/>
      <c r="I2136" s="244"/>
      <c r="J2136" s="238" t="str">
        <f t="shared" si="33"/>
        <v/>
      </c>
    </row>
    <row r="2137" spans="1:10" s="240" customFormat="1" ht="18.75">
      <c r="B2137" s="240" t="s">
        <v>5360</v>
      </c>
      <c r="D2137" s="240" t="s">
        <v>5359</v>
      </c>
      <c r="J2137" s="238" t="str">
        <f t="shared" si="33"/>
        <v/>
      </c>
    </row>
    <row r="2138" spans="1:10" s="240" customFormat="1" ht="18.75">
      <c r="A2138" s="238" t="s">
        <v>5358</v>
      </c>
      <c r="B2138" s="238" t="s">
        <v>5357</v>
      </c>
      <c r="C2138" s="238"/>
      <c r="D2138" s="238" t="s">
        <v>5356</v>
      </c>
      <c r="E2138" s="238"/>
      <c r="F2138" s="238"/>
      <c r="G2138" s="238" t="s">
        <v>5197</v>
      </c>
      <c r="H2138" s="242"/>
      <c r="I2138" s="244"/>
      <c r="J2138" s="238" t="str">
        <f t="shared" si="33"/>
        <v/>
      </c>
    </row>
    <row r="2139" spans="1:10" s="240" customFormat="1" ht="18.75">
      <c r="A2139" s="238"/>
      <c r="B2139" s="238"/>
      <c r="C2139" s="238"/>
      <c r="D2139" s="238" t="s">
        <v>5355</v>
      </c>
      <c r="E2139" s="238"/>
      <c r="F2139" s="238"/>
      <c r="G2139" s="238"/>
      <c r="H2139" s="239"/>
      <c r="I2139" s="238"/>
      <c r="J2139" s="238" t="str">
        <f t="shared" si="33"/>
        <v/>
      </c>
    </row>
    <row r="2140" spans="1:10" s="240" customFormat="1" ht="18.75">
      <c r="A2140" s="238"/>
      <c r="B2140" s="238"/>
      <c r="C2140" s="238"/>
      <c r="D2140" s="238" t="s">
        <v>5354</v>
      </c>
      <c r="E2140" s="238"/>
      <c r="F2140" s="238"/>
      <c r="G2140" s="238"/>
      <c r="H2140" s="239"/>
      <c r="I2140" s="238"/>
      <c r="J2140" s="238" t="str">
        <f t="shared" si="33"/>
        <v/>
      </c>
    </row>
    <row r="2141" spans="1:10" s="240" customFormat="1" ht="18.75">
      <c r="A2141" s="238"/>
      <c r="B2141" s="238"/>
      <c r="C2141" s="238"/>
      <c r="D2141" s="238" t="s">
        <v>5353</v>
      </c>
      <c r="E2141" s="238"/>
      <c r="F2141" s="238"/>
      <c r="G2141" s="238"/>
      <c r="H2141" s="239"/>
      <c r="I2141" s="238"/>
      <c r="J2141" s="238" t="str">
        <f t="shared" si="33"/>
        <v/>
      </c>
    </row>
    <row r="2142" spans="1:10" s="240" customFormat="1" ht="18.75">
      <c r="A2142" s="238"/>
      <c r="B2142" s="238"/>
      <c r="C2142" s="238"/>
      <c r="D2142" s="238" t="s">
        <v>5352</v>
      </c>
      <c r="E2142" s="238"/>
      <c r="F2142" s="238"/>
      <c r="G2142" s="238"/>
      <c r="H2142" s="239"/>
      <c r="I2142" s="238"/>
      <c r="J2142" s="238" t="str">
        <f t="shared" si="33"/>
        <v/>
      </c>
    </row>
    <row r="2143" spans="1:10" s="240" customFormat="1" ht="18.75">
      <c r="A2143" s="238"/>
      <c r="B2143" s="238"/>
      <c r="C2143" s="238"/>
      <c r="D2143" s="238" t="s">
        <v>5351</v>
      </c>
      <c r="E2143" s="238"/>
      <c r="F2143" s="238"/>
      <c r="G2143" s="238"/>
      <c r="H2143" s="239"/>
      <c r="I2143" s="238"/>
      <c r="J2143" s="238" t="str">
        <f t="shared" si="33"/>
        <v/>
      </c>
    </row>
    <row r="2144" spans="1:10" s="240" customFormat="1" ht="18.75">
      <c r="A2144" s="246"/>
      <c r="B2144" s="254"/>
      <c r="C2144" s="254"/>
      <c r="D2144" s="238" t="s">
        <v>5350</v>
      </c>
      <c r="E2144" s="238"/>
      <c r="F2144" s="246"/>
      <c r="G2144" s="246"/>
      <c r="H2144" s="242"/>
      <c r="I2144" s="244"/>
      <c r="J2144" s="238" t="str">
        <f t="shared" si="33"/>
        <v/>
      </c>
    </row>
    <row r="2145" spans="1:10" s="240" customFormat="1" ht="18.75">
      <c r="A2145" s="238"/>
      <c r="B2145" s="238"/>
      <c r="C2145" s="238"/>
      <c r="D2145" s="238" t="s">
        <v>5349</v>
      </c>
      <c r="E2145" s="238"/>
      <c r="F2145" s="238"/>
      <c r="G2145" s="238"/>
      <c r="H2145" s="239"/>
      <c r="I2145" s="238"/>
      <c r="J2145" s="238" t="str">
        <f t="shared" si="33"/>
        <v>OK</v>
      </c>
    </row>
    <row r="2146" spans="1:10" s="240" customFormat="1" ht="18.75">
      <c r="A2146" s="238"/>
      <c r="B2146" s="238"/>
      <c r="C2146" s="238"/>
      <c r="D2146" s="238" t="s">
        <v>5349</v>
      </c>
      <c r="E2146" s="238"/>
      <c r="F2146" s="238"/>
      <c r="G2146" s="238"/>
      <c r="H2146" s="239"/>
      <c r="I2146" s="238"/>
      <c r="J2146" s="238" t="str">
        <f t="shared" si="33"/>
        <v>OK</v>
      </c>
    </row>
    <row r="2147" spans="1:10" s="240" customFormat="1" ht="18.75">
      <c r="A2147" s="238"/>
      <c r="B2147" s="238"/>
      <c r="C2147" s="238"/>
      <c r="D2147" s="238" t="s">
        <v>5348</v>
      </c>
      <c r="E2147" s="238"/>
      <c r="F2147" s="238"/>
      <c r="G2147" s="238"/>
      <c r="H2147" s="239"/>
      <c r="I2147" s="238"/>
      <c r="J2147" s="238" t="str">
        <f t="shared" si="33"/>
        <v/>
      </c>
    </row>
    <row r="2148" spans="1:10" s="240" customFormat="1" ht="18.75">
      <c r="A2148" s="238" t="s">
        <v>5347</v>
      </c>
      <c r="B2148" s="238" t="s">
        <v>5346</v>
      </c>
      <c r="C2148" s="238" t="s">
        <v>5212</v>
      </c>
      <c r="D2148" s="238" t="s">
        <v>5345</v>
      </c>
      <c r="E2148" s="238"/>
      <c r="F2148" s="238"/>
      <c r="G2148" s="238" t="s">
        <v>5197</v>
      </c>
      <c r="H2148" s="242"/>
      <c r="I2148" s="244"/>
      <c r="J2148" s="238" t="str">
        <f t="shared" si="33"/>
        <v/>
      </c>
    </row>
    <row r="2149" spans="1:10" s="240" customFormat="1" ht="18.75">
      <c r="A2149" s="238"/>
      <c r="B2149" s="238"/>
      <c r="C2149" s="238"/>
      <c r="D2149" s="238" t="s">
        <v>5344</v>
      </c>
      <c r="E2149" s="238"/>
      <c r="F2149" s="238"/>
      <c r="G2149" s="238"/>
      <c r="H2149" s="239"/>
      <c r="I2149" s="238"/>
      <c r="J2149" s="238" t="str">
        <f t="shared" si="33"/>
        <v/>
      </c>
    </row>
    <row r="2150" spans="1:10" s="240" customFormat="1" ht="18.75">
      <c r="A2150" s="238"/>
      <c r="B2150" s="238"/>
      <c r="C2150" s="238"/>
      <c r="D2150" s="238" t="s">
        <v>5343</v>
      </c>
      <c r="E2150" s="238"/>
      <c r="F2150" s="238"/>
      <c r="G2150" s="238"/>
      <c r="H2150" s="239"/>
      <c r="I2150" s="238"/>
      <c r="J2150" s="238" t="str">
        <f t="shared" si="33"/>
        <v/>
      </c>
    </row>
    <row r="2151" spans="1:10" s="240" customFormat="1" ht="18.75">
      <c r="B2151" s="240" t="s">
        <v>5342</v>
      </c>
      <c r="D2151" s="240" t="s">
        <v>5341</v>
      </c>
      <c r="J2151" s="238" t="str">
        <f t="shared" si="33"/>
        <v/>
      </c>
    </row>
    <row r="2152" spans="1:10" s="240" customFormat="1" ht="18.75">
      <c r="A2152" s="238"/>
      <c r="B2152" s="238"/>
      <c r="C2152" s="238"/>
      <c r="D2152" s="238" t="s">
        <v>5340</v>
      </c>
      <c r="E2152" s="238"/>
      <c r="F2152" s="238"/>
      <c r="G2152" s="238"/>
      <c r="H2152" s="239"/>
      <c r="I2152" s="238"/>
      <c r="J2152" s="238" t="str">
        <f t="shared" si="33"/>
        <v/>
      </c>
    </row>
    <row r="2153" spans="1:10" s="240" customFormat="1" ht="18.75">
      <c r="A2153" s="238" t="s">
        <v>5339</v>
      </c>
      <c r="B2153" s="238" t="s">
        <v>5338</v>
      </c>
      <c r="C2153" s="238" t="s">
        <v>5337</v>
      </c>
      <c r="D2153" s="238" t="s">
        <v>5336</v>
      </c>
      <c r="E2153" s="238"/>
      <c r="F2153" s="238"/>
      <c r="G2153" s="238" t="s">
        <v>5197</v>
      </c>
      <c r="H2153" s="242"/>
      <c r="I2153" s="244"/>
      <c r="J2153" s="238" t="str">
        <f t="shared" si="33"/>
        <v/>
      </c>
    </row>
    <row r="2154" spans="1:10" s="240" customFormat="1" ht="18.75">
      <c r="A2154" s="238"/>
      <c r="B2154" s="238"/>
      <c r="C2154" s="238"/>
      <c r="D2154" s="238" t="s">
        <v>5335</v>
      </c>
      <c r="E2154" s="238"/>
      <c r="F2154" s="238"/>
      <c r="G2154" s="238"/>
      <c r="H2154" s="239"/>
      <c r="I2154" s="238"/>
      <c r="J2154" s="238" t="str">
        <f t="shared" si="33"/>
        <v/>
      </c>
    </row>
    <row r="2155" spans="1:10" s="240" customFormat="1" ht="18.75">
      <c r="A2155" s="238"/>
      <c r="B2155" s="238"/>
      <c r="C2155" s="238"/>
      <c r="D2155" s="238" t="s">
        <v>5334</v>
      </c>
      <c r="E2155" s="238"/>
      <c r="F2155" s="238"/>
      <c r="G2155" s="238"/>
      <c r="H2155" s="239"/>
      <c r="I2155" s="238"/>
      <c r="J2155" s="238" t="str">
        <f t="shared" si="33"/>
        <v/>
      </c>
    </row>
    <row r="2156" spans="1:10" s="240" customFormat="1" ht="18.75">
      <c r="A2156" s="238" t="s">
        <v>5333</v>
      </c>
      <c r="B2156" s="238" t="s">
        <v>5332</v>
      </c>
      <c r="C2156" s="238"/>
      <c r="D2156" s="238" t="s">
        <v>5331</v>
      </c>
      <c r="E2156" s="238"/>
      <c r="F2156" s="238"/>
      <c r="G2156" s="238" t="s">
        <v>5197</v>
      </c>
      <c r="H2156" s="242"/>
      <c r="I2156" s="244"/>
      <c r="J2156" s="238" t="str">
        <f t="shared" si="33"/>
        <v/>
      </c>
    </row>
    <row r="2157" spans="1:10" s="240" customFormat="1" ht="18.75">
      <c r="A2157" s="238"/>
      <c r="B2157" s="238"/>
      <c r="C2157" s="238"/>
      <c r="D2157" s="238" t="s">
        <v>5330</v>
      </c>
      <c r="E2157" s="238"/>
      <c r="F2157" s="238"/>
      <c r="G2157" s="238"/>
      <c r="H2157" s="239"/>
      <c r="I2157" s="238"/>
      <c r="J2157" s="238" t="str">
        <f t="shared" si="33"/>
        <v/>
      </c>
    </row>
    <row r="2158" spans="1:10" s="240" customFormat="1" ht="18.75">
      <c r="A2158" s="238"/>
      <c r="B2158" s="238"/>
      <c r="C2158" s="238"/>
      <c r="D2158" s="238" t="s">
        <v>5329</v>
      </c>
      <c r="E2158" s="238"/>
      <c r="F2158" s="238"/>
      <c r="G2158" s="238"/>
      <c r="H2158" s="239"/>
      <c r="I2158" s="238"/>
      <c r="J2158" s="238" t="str">
        <f t="shared" si="33"/>
        <v/>
      </c>
    </row>
    <row r="2159" spans="1:10" s="240" customFormat="1" ht="18.75">
      <c r="A2159" s="238"/>
      <c r="B2159" s="238"/>
      <c r="C2159" s="238"/>
      <c r="D2159" s="238" t="s">
        <v>5328</v>
      </c>
      <c r="E2159" s="238"/>
      <c r="F2159" s="238"/>
      <c r="G2159" s="238"/>
      <c r="H2159" s="239"/>
      <c r="I2159" s="238"/>
      <c r="J2159" s="238" t="str">
        <f t="shared" si="33"/>
        <v/>
      </c>
    </row>
    <row r="2160" spans="1:10" s="240" customFormat="1" ht="18.75">
      <c r="A2160" s="238"/>
      <c r="B2160" s="238"/>
      <c r="C2160" s="238"/>
      <c r="D2160" s="238" t="s">
        <v>5327</v>
      </c>
      <c r="E2160" s="238"/>
      <c r="F2160" s="238"/>
      <c r="G2160" s="238"/>
      <c r="H2160" s="239"/>
      <c r="I2160" s="238"/>
      <c r="J2160" s="238" t="str">
        <f t="shared" si="33"/>
        <v/>
      </c>
    </row>
    <row r="2161" spans="1:10" s="240" customFormat="1" ht="18.75">
      <c r="A2161" s="238"/>
      <c r="B2161" s="238"/>
      <c r="C2161" s="238"/>
      <c r="D2161" s="238" t="s">
        <v>5326</v>
      </c>
      <c r="E2161" s="238"/>
      <c r="F2161" s="238"/>
      <c r="G2161" s="238"/>
      <c r="H2161" s="239"/>
      <c r="I2161" s="238"/>
      <c r="J2161" s="238" t="str">
        <f t="shared" si="33"/>
        <v/>
      </c>
    </row>
    <row r="2162" spans="1:10" s="240" customFormat="1" ht="18.75">
      <c r="A2162" s="238"/>
      <c r="B2162" s="238"/>
      <c r="C2162" s="238"/>
      <c r="D2162" s="238" t="s">
        <v>5325</v>
      </c>
      <c r="E2162" s="238"/>
      <c r="F2162" s="238"/>
      <c r="G2162" s="238"/>
      <c r="H2162" s="239"/>
      <c r="I2162" s="238"/>
      <c r="J2162" s="238" t="str">
        <f t="shared" si="33"/>
        <v/>
      </c>
    </row>
    <row r="2163" spans="1:10" s="240" customFormat="1" ht="18.75">
      <c r="A2163" s="238" t="s">
        <v>5324</v>
      </c>
      <c r="B2163" s="238" t="s">
        <v>5323</v>
      </c>
      <c r="C2163" s="238" t="s">
        <v>5322</v>
      </c>
      <c r="D2163" s="238" t="s">
        <v>5321</v>
      </c>
      <c r="E2163" s="238"/>
      <c r="F2163" s="238"/>
      <c r="G2163" s="238" t="s">
        <v>5197</v>
      </c>
      <c r="H2163" s="242"/>
      <c r="I2163" s="244"/>
      <c r="J2163" s="238" t="str">
        <f t="shared" si="33"/>
        <v/>
      </c>
    </row>
    <row r="2164" spans="1:10" s="240" customFormat="1" ht="18.75">
      <c r="A2164" s="238" t="s">
        <v>5320</v>
      </c>
      <c r="B2164" s="238" t="s">
        <v>5319</v>
      </c>
      <c r="C2164" s="238"/>
      <c r="D2164" s="238" t="s">
        <v>5318</v>
      </c>
      <c r="E2164" s="238"/>
      <c r="F2164" s="238"/>
      <c r="G2164" s="238" t="s">
        <v>5197</v>
      </c>
      <c r="H2164" s="242"/>
      <c r="I2164" s="244"/>
      <c r="J2164" s="238" t="str">
        <f t="shared" si="33"/>
        <v/>
      </c>
    </row>
    <row r="2165" spans="1:10" s="240" customFormat="1" ht="18.75">
      <c r="A2165" s="253" t="s">
        <v>5317</v>
      </c>
      <c r="B2165" s="244" t="s">
        <v>5316</v>
      </c>
      <c r="C2165" s="244"/>
      <c r="D2165" s="252" t="s">
        <v>5315</v>
      </c>
      <c r="E2165" s="245"/>
      <c r="F2165" s="244"/>
      <c r="G2165" s="243" t="s">
        <v>5168</v>
      </c>
      <c r="H2165" s="251"/>
      <c r="I2165" s="248"/>
      <c r="J2165" s="238" t="str">
        <f t="shared" si="33"/>
        <v/>
      </c>
    </row>
    <row r="2166" spans="1:10" s="240" customFormat="1" ht="18.75">
      <c r="A2166" s="238"/>
      <c r="B2166" s="238"/>
      <c r="C2166" s="238"/>
      <c r="D2166" s="238" t="s">
        <v>5314</v>
      </c>
      <c r="E2166" s="238"/>
      <c r="F2166" s="238"/>
      <c r="G2166" s="238"/>
      <c r="H2166" s="239"/>
      <c r="I2166" s="238"/>
      <c r="J2166" s="238" t="str">
        <f t="shared" si="33"/>
        <v/>
      </c>
    </row>
    <row r="2167" spans="1:10" s="240" customFormat="1" ht="18.75">
      <c r="A2167" s="238"/>
      <c r="B2167" s="238"/>
      <c r="C2167" s="238"/>
      <c r="D2167" s="238" t="s">
        <v>5313</v>
      </c>
      <c r="E2167" s="238"/>
      <c r="F2167" s="238"/>
      <c r="G2167" s="238"/>
      <c r="H2167" s="239"/>
      <c r="I2167" s="238"/>
      <c r="J2167" s="238" t="str">
        <f t="shared" si="33"/>
        <v/>
      </c>
    </row>
    <row r="2168" spans="1:10" s="240" customFormat="1" ht="18.75">
      <c r="A2168" s="238"/>
      <c r="B2168" s="238"/>
      <c r="C2168" s="238"/>
      <c r="D2168" s="238" t="s">
        <v>5312</v>
      </c>
      <c r="E2168" s="238"/>
      <c r="F2168" s="238"/>
      <c r="G2168" s="238"/>
      <c r="H2168" s="239"/>
      <c r="I2168" s="238"/>
      <c r="J2168" s="238" t="str">
        <f t="shared" si="33"/>
        <v/>
      </c>
    </row>
    <row r="2169" spans="1:10" s="240" customFormat="1" ht="18.75">
      <c r="A2169" s="238"/>
      <c r="B2169" s="238"/>
      <c r="C2169" s="238"/>
      <c r="D2169" s="238" t="s">
        <v>5311</v>
      </c>
      <c r="E2169" s="238"/>
      <c r="F2169" s="238"/>
      <c r="G2169" s="238"/>
      <c r="H2169" s="239"/>
      <c r="I2169" s="238"/>
      <c r="J2169" s="238" t="str">
        <f t="shared" si="33"/>
        <v/>
      </c>
    </row>
    <row r="2170" spans="1:10" s="240" customFormat="1" ht="18.75">
      <c r="A2170" s="244" t="s">
        <v>5310</v>
      </c>
      <c r="B2170" s="244" t="s">
        <v>5309</v>
      </c>
      <c r="C2170" s="244"/>
      <c r="D2170" s="250" t="s">
        <v>5308</v>
      </c>
      <c r="E2170" s="245"/>
      <c r="F2170" s="244" t="s">
        <v>5307</v>
      </c>
      <c r="G2170" s="243" t="s">
        <v>5168</v>
      </c>
      <c r="H2170" s="242" t="s">
        <v>5167</v>
      </c>
      <c r="I2170" s="241"/>
      <c r="J2170" s="238" t="str">
        <f t="shared" si="33"/>
        <v/>
      </c>
    </row>
    <row r="2171" spans="1:10" s="240" customFormat="1" ht="18.75">
      <c r="A2171" s="238" t="s">
        <v>5306</v>
      </c>
      <c r="B2171" s="238" t="s">
        <v>5305</v>
      </c>
      <c r="C2171" s="238" t="s">
        <v>5304</v>
      </c>
      <c r="D2171" s="238" t="s">
        <v>5303</v>
      </c>
      <c r="E2171" s="238"/>
      <c r="F2171" s="238"/>
      <c r="G2171" s="238" t="s">
        <v>5197</v>
      </c>
      <c r="H2171" s="242" t="s">
        <v>5167</v>
      </c>
      <c r="I2171" s="241"/>
      <c r="J2171" s="238" t="str">
        <f t="shared" si="33"/>
        <v/>
      </c>
    </row>
    <row r="2172" spans="1:10" s="240" customFormat="1" ht="18.75">
      <c r="A2172" s="238" t="s">
        <v>5302</v>
      </c>
      <c r="B2172" s="238" t="s">
        <v>5301</v>
      </c>
      <c r="C2172" s="238" t="s">
        <v>5212</v>
      </c>
      <c r="D2172" s="238" t="s">
        <v>5300</v>
      </c>
      <c r="E2172" s="238"/>
      <c r="F2172" s="238"/>
      <c r="G2172" s="238" t="s">
        <v>5197</v>
      </c>
      <c r="H2172" s="242" t="s">
        <v>5167</v>
      </c>
      <c r="I2172" s="241"/>
      <c r="J2172" s="238" t="str">
        <f t="shared" si="33"/>
        <v/>
      </c>
    </row>
    <row r="2173" spans="1:10" s="240" customFormat="1" ht="18.75">
      <c r="B2173" s="240" t="s">
        <v>5299</v>
      </c>
      <c r="D2173" s="240" t="s">
        <v>5298</v>
      </c>
      <c r="J2173" s="238" t="str">
        <f t="shared" si="33"/>
        <v/>
      </c>
    </row>
    <row r="2174" spans="1:10" s="240" customFormat="1" ht="18.75">
      <c r="A2174" s="238" t="s">
        <v>5297</v>
      </c>
      <c r="B2174" s="238" t="s">
        <v>5296</v>
      </c>
      <c r="C2174" s="238"/>
      <c r="D2174" s="238" t="s">
        <v>5295</v>
      </c>
      <c r="E2174" s="238"/>
      <c r="F2174" s="238"/>
      <c r="G2174" s="238" t="s">
        <v>5197</v>
      </c>
      <c r="H2174" s="242" t="s">
        <v>5167</v>
      </c>
      <c r="I2174" s="241"/>
      <c r="J2174" s="238" t="str">
        <f t="shared" si="33"/>
        <v/>
      </c>
    </row>
    <row r="2175" spans="1:10" s="240" customFormat="1" ht="18.75">
      <c r="A2175" s="238"/>
      <c r="B2175" s="238"/>
      <c r="C2175" s="238"/>
      <c r="D2175" s="238" t="s">
        <v>5294</v>
      </c>
      <c r="E2175" s="238"/>
      <c r="F2175" s="238"/>
      <c r="G2175" s="238"/>
      <c r="H2175" s="239"/>
      <c r="I2175" s="238"/>
      <c r="J2175" s="238" t="str">
        <f t="shared" si="33"/>
        <v/>
      </c>
    </row>
    <row r="2176" spans="1:10" s="240" customFormat="1" ht="18.75">
      <c r="A2176" s="244" t="s">
        <v>5293</v>
      </c>
      <c r="B2176" s="244" t="s">
        <v>5292</v>
      </c>
      <c r="C2176" s="244"/>
      <c r="D2176" s="238" t="s">
        <v>5291</v>
      </c>
      <c r="E2176" s="238" t="s">
        <v>5290</v>
      </c>
      <c r="F2176" s="244" t="s">
        <v>5289</v>
      </c>
      <c r="G2176" s="243" t="s">
        <v>5168</v>
      </c>
      <c r="H2176" s="242" t="s">
        <v>5167</v>
      </c>
      <c r="I2176" s="241"/>
      <c r="J2176" s="238" t="str">
        <f t="shared" si="33"/>
        <v/>
      </c>
    </row>
    <row r="2177" spans="1:10" s="240" customFormat="1" ht="18.75">
      <c r="B2177" s="240" t="s">
        <v>5288</v>
      </c>
      <c r="D2177" s="249" t="s">
        <v>5286</v>
      </c>
      <c r="J2177" s="238" t="str">
        <f t="shared" si="33"/>
        <v>OK</v>
      </c>
    </row>
    <row r="2178" spans="1:10" s="240" customFormat="1" ht="18.75">
      <c r="B2178" s="240" t="s">
        <v>5287</v>
      </c>
      <c r="D2178" s="249" t="s">
        <v>5286</v>
      </c>
      <c r="J2178" s="238" t="str">
        <f t="shared" si="33"/>
        <v>OK</v>
      </c>
    </row>
    <row r="2179" spans="1:10" s="240" customFormat="1" ht="18.75">
      <c r="A2179" s="238" t="s">
        <v>5285</v>
      </c>
      <c r="B2179" s="238" t="s">
        <v>5284</v>
      </c>
      <c r="C2179" s="238"/>
      <c r="D2179" s="238" t="s">
        <v>5283</v>
      </c>
      <c r="E2179" s="238"/>
      <c r="F2179" s="238"/>
      <c r="G2179" s="238" t="s">
        <v>5197</v>
      </c>
      <c r="H2179" s="242" t="s">
        <v>5167</v>
      </c>
      <c r="I2179" s="241"/>
      <c r="J2179" s="238" t="str">
        <f t="shared" ref="J2179:J2233" si="34">IF(D2178=D2179,"OK","")</f>
        <v/>
      </c>
    </row>
    <row r="2180" spans="1:10" s="240" customFormat="1" ht="18.75">
      <c r="B2180" s="240" t="s">
        <v>5282</v>
      </c>
      <c r="D2180" s="240" t="s">
        <v>5281</v>
      </c>
      <c r="J2180" s="238" t="str">
        <f t="shared" si="34"/>
        <v/>
      </c>
    </row>
    <row r="2181" spans="1:10" s="240" customFormat="1" ht="18.75">
      <c r="B2181" s="240" t="s">
        <v>5280</v>
      </c>
      <c r="D2181" s="240" t="s">
        <v>5279</v>
      </c>
      <c r="J2181" s="238" t="str">
        <f t="shared" si="34"/>
        <v/>
      </c>
    </row>
    <row r="2182" spans="1:10" s="240" customFormat="1" ht="18.75">
      <c r="A2182" s="238"/>
      <c r="B2182" s="238"/>
      <c r="C2182" s="238"/>
      <c r="D2182" s="238" t="s">
        <v>5278</v>
      </c>
      <c r="E2182" s="238"/>
      <c r="F2182" s="238"/>
      <c r="G2182" s="238"/>
      <c r="H2182" s="239"/>
      <c r="I2182" s="238"/>
      <c r="J2182" s="238" t="str">
        <f t="shared" si="34"/>
        <v/>
      </c>
    </row>
    <row r="2183" spans="1:10" s="240" customFormat="1" ht="18.75">
      <c r="A2183" s="238"/>
      <c r="B2183" s="238"/>
      <c r="C2183" s="238"/>
      <c r="D2183" s="238" t="s">
        <v>5277</v>
      </c>
      <c r="E2183" s="238"/>
      <c r="F2183" s="238"/>
      <c r="G2183" s="238"/>
      <c r="H2183" s="239"/>
      <c r="I2183" s="238"/>
      <c r="J2183" s="238" t="str">
        <f t="shared" si="34"/>
        <v/>
      </c>
    </row>
    <row r="2184" spans="1:10" s="240" customFormat="1" ht="18.75">
      <c r="A2184" s="238"/>
      <c r="B2184" s="238"/>
      <c r="C2184" s="238"/>
      <c r="D2184" s="238" t="s">
        <v>5276</v>
      </c>
      <c r="E2184" s="238"/>
      <c r="F2184" s="238"/>
      <c r="G2184" s="238"/>
      <c r="H2184" s="239"/>
      <c r="I2184" s="238"/>
      <c r="J2184" s="238" t="str">
        <f t="shared" si="34"/>
        <v/>
      </c>
    </row>
    <row r="2185" spans="1:10" s="240" customFormat="1" ht="18.75">
      <c r="A2185" s="238" t="s">
        <v>5275</v>
      </c>
      <c r="B2185" s="238" t="s">
        <v>5274</v>
      </c>
      <c r="C2185" s="238"/>
      <c r="D2185" s="238" t="s">
        <v>5273</v>
      </c>
      <c r="E2185" s="238"/>
      <c r="F2185" s="238"/>
      <c r="G2185" s="238" t="s">
        <v>5197</v>
      </c>
      <c r="H2185" s="242" t="s">
        <v>5167</v>
      </c>
      <c r="I2185" s="241"/>
      <c r="J2185" s="238" t="str">
        <f t="shared" si="34"/>
        <v/>
      </c>
    </row>
    <row r="2186" spans="1:10" s="240" customFormat="1" ht="18.75">
      <c r="B2186" s="240" t="s">
        <v>5272</v>
      </c>
      <c r="D2186" s="240" t="s">
        <v>5271</v>
      </c>
      <c r="J2186" s="238" t="str">
        <f t="shared" si="34"/>
        <v/>
      </c>
    </row>
    <row r="2187" spans="1:10" s="240" customFormat="1" ht="18.75">
      <c r="A2187" s="238" t="s">
        <v>5270</v>
      </c>
      <c r="B2187" s="238" t="s">
        <v>5269</v>
      </c>
      <c r="C2187" s="238"/>
      <c r="D2187" s="238" t="s">
        <v>5268</v>
      </c>
      <c r="E2187" s="238"/>
      <c r="F2187" s="238"/>
      <c r="G2187" s="238" t="s">
        <v>5197</v>
      </c>
      <c r="H2187" s="242" t="s">
        <v>5167</v>
      </c>
      <c r="I2187" s="241"/>
      <c r="J2187" s="238" t="str">
        <f t="shared" si="34"/>
        <v/>
      </c>
    </row>
    <row r="2188" spans="1:10" s="240" customFormat="1" ht="18.75">
      <c r="B2188" s="240" t="s">
        <v>5267</v>
      </c>
      <c r="D2188" s="240" t="s">
        <v>5266</v>
      </c>
      <c r="J2188" s="238" t="str">
        <f t="shared" si="34"/>
        <v/>
      </c>
    </row>
    <row r="2189" spans="1:10" s="240" customFormat="1" ht="18.75">
      <c r="B2189" s="240" t="s">
        <v>5265</v>
      </c>
      <c r="D2189" s="240" t="s">
        <v>5264</v>
      </c>
      <c r="J2189" s="238" t="str">
        <f t="shared" si="34"/>
        <v/>
      </c>
    </row>
    <row r="2190" spans="1:10" s="240" customFormat="1" ht="18.75">
      <c r="B2190" s="240" t="s">
        <v>5263</v>
      </c>
      <c r="D2190" s="240" t="s">
        <v>5262</v>
      </c>
      <c r="J2190" s="238" t="str">
        <f t="shared" si="34"/>
        <v/>
      </c>
    </row>
    <row r="2191" spans="1:10" s="240" customFormat="1" ht="18.75">
      <c r="A2191" s="238"/>
      <c r="B2191" s="238"/>
      <c r="C2191" s="238"/>
      <c r="D2191" s="238" t="s">
        <v>5261</v>
      </c>
      <c r="E2191" s="238"/>
      <c r="F2191" s="238"/>
      <c r="G2191" s="238"/>
      <c r="H2191" s="239"/>
      <c r="I2191" s="238"/>
      <c r="J2191" s="238" t="str">
        <f t="shared" si="34"/>
        <v/>
      </c>
    </row>
    <row r="2192" spans="1:10" s="240" customFormat="1" ht="18.75">
      <c r="A2192" s="238"/>
      <c r="B2192" s="238"/>
      <c r="C2192" s="238"/>
      <c r="D2192" s="238" t="s">
        <v>5260</v>
      </c>
      <c r="E2192" s="238"/>
      <c r="F2192" s="238"/>
      <c r="G2192" s="238"/>
      <c r="H2192" s="239"/>
      <c r="I2192" s="238"/>
      <c r="J2192" s="238" t="str">
        <f t="shared" si="34"/>
        <v/>
      </c>
    </row>
    <row r="2193" spans="1:10" s="240" customFormat="1" ht="18.75">
      <c r="A2193" s="238"/>
      <c r="B2193" s="238"/>
      <c r="C2193" s="238"/>
      <c r="D2193" s="238" t="s">
        <v>5259</v>
      </c>
      <c r="E2193" s="238"/>
      <c r="F2193" s="238"/>
      <c r="G2193" s="238"/>
      <c r="H2193" s="239"/>
      <c r="I2193" s="238"/>
      <c r="J2193" s="238" t="str">
        <f t="shared" si="34"/>
        <v/>
      </c>
    </row>
    <row r="2194" spans="1:10" s="240" customFormat="1" ht="18.75">
      <c r="A2194" s="238"/>
      <c r="B2194" s="238"/>
      <c r="C2194" s="238"/>
      <c r="D2194" s="238" t="s">
        <v>5258</v>
      </c>
      <c r="E2194" s="238"/>
      <c r="F2194" s="238"/>
      <c r="G2194" s="238"/>
      <c r="H2194" s="239"/>
      <c r="I2194" s="238"/>
      <c r="J2194" s="238" t="str">
        <f t="shared" si="34"/>
        <v/>
      </c>
    </row>
    <row r="2195" spans="1:10" s="240" customFormat="1" ht="18.75">
      <c r="A2195" s="238"/>
      <c r="B2195" s="238"/>
      <c r="C2195" s="238"/>
      <c r="D2195" s="238" t="s">
        <v>5257</v>
      </c>
      <c r="E2195" s="238"/>
      <c r="F2195" s="238"/>
      <c r="G2195" s="238"/>
      <c r="H2195" s="239"/>
      <c r="I2195" s="238"/>
      <c r="J2195" s="238" t="str">
        <f t="shared" si="34"/>
        <v/>
      </c>
    </row>
    <row r="2196" spans="1:10" s="240" customFormat="1" ht="18.75">
      <c r="A2196" s="238" t="s">
        <v>5256</v>
      </c>
      <c r="B2196" s="238" t="s">
        <v>5255</v>
      </c>
      <c r="C2196" s="238"/>
      <c r="D2196" s="238" t="s">
        <v>5254</v>
      </c>
      <c r="E2196" s="238"/>
      <c r="F2196" s="238"/>
      <c r="G2196" s="238" t="s">
        <v>5197</v>
      </c>
      <c r="H2196" s="242" t="s">
        <v>5167</v>
      </c>
      <c r="I2196" s="241"/>
      <c r="J2196" s="238" t="str">
        <f t="shared" si="34"/>
        <v/>
      </c>
    </row>
    <row r="2197" spans="1:10" s="240" customFormat="1" ht="18.75">
      <c r="A2197" s="238"/>
      <c r="B2197" s="238"/>
      <c r="C2197" s="238"/>
      <c r="D2197" s="238" t="s">
        <v>5253</v>
      </c>
      <c r="E2197" s="238"/>
      <c r="F2197" s="238"/>
      <c r="G2197" s="238"/>
      <c r="H2197" s="239"/>
      <c r="I2197" s="238"/>
      <c r="J2197" s="238" t="str">
        <f t="shared" si="34"/>
        <v/>
      </c>
    </row>
    <row r="2198" spans="1:10" s="240" customFormat="1" ht="18.75">
      <c r="A2198" s="238"/>
      <c r="B2198" s="238"/>
      <c r="C2198" s="238"/>
      <c r="D2198" s="238" t="s">
        <v>5252</v>
      </c>
      <c r="E2198" s="238"/>
      <c r="F2198" s="238"/>
      <c r="G2198" s="238"/>
      <c r="H2198" s="239"/>
      <c r="I2198" s="238"/>
      <c r="J2198" s="238" t="str">
        <f t="shared" si="34"/>
        <v/>
      </c>
    </row>
    <row r="2199" spans="1:10" s="240" customFormat="1" ht="18.75">
      <c r="A2199" s="238" t="s">
        <v>5249</v>
      </c>
      <c r="B2199" s="238" t="s">
        <v>5251</v>
      </c>
      <c r="C2199" s="238"/>
      <c r="D2199" s="238" t="s">
        <v>5250</v>
      </c>
      <c r="E2199" s="238"/>
      <c r="F2199" s="238"/>
      <c r="G2199" s="238" t="s">
        <v>5197</v>
      </c>
      <c r="H2199" s="242" t="s">
        <v>5167</v>
      </c>
      <c r="I2199" s="241"/>
      <c r="J2199" s="238" t="str">
        <f t="shared" si="34"/>
        <v/>
      </c>
    </row>
    <row r="2200" spans="1:10" s="240" customFormat="1" ht="18.75">
      <c r="A2200" s="247" t="s">
        <v>5249</v>
      </c>
      <c r="B2200" s="247" t="s">
        <v>5248</v>
      </c>
      <c r="C2200" s="247"/>
      <c r="D2200" s="238" t="s">
        <v>5247</v>
      </c>
      <c r="E2200" s="248"/>
      <c r="F2200" s="247" t="s">
        <v>5246</v>
      </c>
      <c r="G2200" s="243" t="s">
        <v>5168</v>
      </c>
      <c r="H2200" s="242" t="s">
        <v>5167</v>
      </c>
      <c r="I2200" s="241"/>
      <c r="J2200" s="238" t="str">
        <f t="shared" si="34"/>
        <v>OK</v>
      </c>
    </row>
    <row r="2201" spans="1:10" s="240" customFormat="1" ht="18.75">
      <c r="A2201" s="238"/>
      <c r="B2201" s="238"/>
      <c r="C2201" s="238"/>
      <c r="D2201" s="238" t="s">
        <v>5245</v>
      </c>
      <c r="E2201" s="238"/>
      <c r="F2201" s="238"/>
      <c r="G2201" s="238"/>
      <c r="H2201" s="239"/>
      <c r="I2201" s="238"/>
      <c r="J2201" s="238" t="str">
        <f t="shared" si="34"/>
        <v/>
      </c>
    </row>
    <row r="2202" spans="1:10" s="240" customFormat="1" ht="18.75">
      <c r="A2202" s="238"/>
      <c r="B2202" s="238"/>
      <c r="C2202" s="238"/>
      <c r="D2202" s="238" t="s">
        <v>5244</v>
      </c>
      <c r="E2202" s="238"/>
      <c r="F2202" s="238"/>
      <c r="G2202" s="238"/>
      <c r="H2202" s="239"/>
      <c r="I2202" s="238"/>
      <c r="J2202" s="238" t="str">
        <f t="shared" si="34"/>
        <v/>
      </c>
    </row>
    <row r="2203" spans="1:10" s="240" customFormat="1" ht="18.75">
      <c r="A2203" s="238" t="s">
        <v>5243</v>
      </c>
      <c r="B2203" s="238" t="s">
        <v>5242</v>
      </c>
      <c r="C2203" s="238" t="s">
        <v>5212</v>
      </c>
      <c r="D2203" s="238" t="s">
        <v>5241</v>
      </c>
      <c r="E2203" s="238"/>
      <c r="F2203" s="238"/>
      <c r="G2203" s="238" t="s">
        <v>5197</v>
      </c>
      <c r="H2203" s="242" t="s">
        <v>5167</v>
      </c>
      <c r="I2203" s="241"/>
      <c r="J2203" s="238" t="str">
        <f t="shared" si="34"/>
        <v/>
      </c>
    </row>
    <row r="2204" spans="1:10" s="240" customFormat="1" ht="18.75">
      <c r="A2204" s="244" t="s">
        <v>5240</v>
      </c>
      <c r="B2204" s="244" t="s">
        <v>5239</v>
      </c>
      <c r="C2204" s="244"/>
      <c r="D2204" s="238" t="s">
        <v>5238</v>
      </c>
      <c r="E2204" s="245"/>
      <c r="F2204" s="241" t="s">
        <v>5237</v>
      </c>
      <c r="G2204" s="243" t="s">
        <v>5168</v>
      </c>
      <c r="H2204" s="242" t="s">
        <v>5167</v>
      </c>
      <c r="I2204" s="241"/>
      <c r="J2204" s="238" t="str">
        <f t="shared" si="34"/>
        <v/>
      </c>
    </row>
    <row r="2205" spans="1:10" s="240" customFormat="1" ht="18.75">
      <c r="B2205" s="240" t="s">
        <v>5236</v>
      </c>
      <c r="D2205" s="240" t="s">
        <v>5235</v>
      </c>
      <c r="J2205" s="238" t="str">
        <f t="shared" si="34"/>
        <v/>
      </c>
    </row>
    <row r="2206" spans="1:10" s="240" customFormat="1" ht="18.75">
      <c r="A2206" s="244" t="s">
        <v>5234</v>
      </c>
      <c r="B2206" s="244" t="s">
        <v>5233</v>
      </c>
      <c r="C2206" s="244"/>
      <c r="D2206" s="238" t="s">
        <v>5232</v>
      </c>
      <c r="E2206" s="245"/>
      <c r="F2206" s="241"/>
      <c r="G2206" s="243" t="s">
        <v>5168</v>
      </c>
      <c r="H2206" s="242" t="s">
        <v>5196</v>
      </c>
      <c r="I2206" s="241"/>
      <c r="J2206" s="238" t="str">
        <f t="shared" si="34"/>
        <v/>
      </c>
    </row>
    <row r="2207" spans="1:10" s="240" customFormat="1" ht="18.75">
      <c r="B2207" s="240" t="s">
        <v>5231</v>
      </c>
      <c r="D2207" s="240" t="s">
        <v>5230</v>
      </c>
      <c r="J2207" s="238" t="str">
        <f t="shared" si="34"/>
        <v/>
      </c>
    </row>
    <row r="2208" spans="1:10" s="240" customFormat="1" ht="18.75">
      <c r="A2208" s="238"/>
      <c r="B2208" s="238"/>
      <c r="C2208" s="238"/>
      <c r="D2208" s="238" t="s">
        <v>5229</v>
      </c>
      <c r="E2208" s="238"/>
      <c r="F2208" s="238"/>
      <c r="G2208" s="238"/>
      <c r="H2208" s="239"/>
      <c r="I2208" s="238"/>
      <c r="J2208" s="238" t="str">
        <f t="shared" si="34"/>
        <v/>
      </c>
    </row>
    <row r="2209" spans="1:10" s="240" customFormat="1" ht="18.75">
      <c r="A2209" s="238"/>
      <c r="B2209" s="238"/>
      <c r="C2209" s="238"/>
      <c r="D2209" s="238" t="s">
        <v>5228</v>
      </c>
      <c r="E2209" s="238"/>
      <c r="F2209" s="238"/>
      <c r="G2209" s="238"/>
      <c r="H2209" s="239"/>
      <c r="I2209" s="238"/>
      <c r="J2209" s="238" t="str">
        <f t="shared" si="34"/>
        <v/>
      </c>
    </row>
    <row r="2210" spans="1:10" s="240" customFormat="1" ht="18.75">
      <c r="A2210" s="244" t="s">
        <v>5227</v>
      </c>
      <c r="B2210" s="244" t="s">
        <v>5226</v>
      </c>
      <c r="C2210" s="244"/>
      <c r="D2210" s="238" t="s">
        <v>5225</v>
      </c>
      <c r="E2210" s="245"/>
      <c r="F2210" s="244"/>
      <c r="G2210" s="243" t="s">
        <v>5168</v>
      </c>
      <c r="H2210" s="242" t="s">
        <v>5196</v>
      </c>
      <c r="I2210" s="241"/>
      <c r="J2210" s="238" t="str">
        <f t="shared" si="34"/>
        <v/>
      </c>
    </row>
    <row r="2211" spans="1:10" s="240" customFormat="1" ht="18.75">
      <c r="A2211" s="238" t="s">
        <v>5224</v>
      </c>
      <c r="B2211" s="238" t="s">
        <v>5223</v>
      </c>
      <c r="C2211" s="238" t="s">
        <v>5199</v>
      </c>
      <c r="D2211" s="238" t="s">
        <v>5222</v>
      </c>
      <c r="E2211" s="238"/>
      <c r="F2211" s="238"/>
      <c r="G2211" s="238" t="s">
        <v>5197</v>
      </c>
      <c r="H2211" s="242" t="s">
        <v>5167</v>
      </c>
      <c r="I2211" s="241"/>
      <c r="J2211" s="238" t="str">
        <f t="shared" si="34"/>
        <v/>
      </c>
    </row>
    <row r="2212" spans="1:10" s="240" customFormat="1" ht="18.75">
      <c r="A2212" s="244" t="s">
        <v>5221</v>
      </c>
      <c r="B2212" s="244" t="s">
        <v>5220</v>
      </c>
      <c r="C2212" s="244"/>
      <c r="D2212" s="238" t="s">
        <v>5219</v>
      </c>
      <c r="E2212" s="245"/>
      <c r="F2212" s="244"/>
      <c r="G2212" s="243" t="s">
        <v>5168</v>
      </c>
      <c r="H2212" s="242" t="s">
        <v>5167</v>
      </c>
      <c r="I2212" s="241"/>
      <c r="J2212" s="238" t="str">
        <f t="shared" si="34"/>
        <v/>
      </c>
    </row>
    <row r="2213" spans="1:10" s="240" customFormat="1" ht="18.75">
      <c r="A2213" s="244" t="s">
        <v>5218</v>
      </c>
      <c r="B2213" s="244" t="s">
        <v>5217</v>
      </c>
      <c r="C2213" s="244"/>
      <c r="D2213" s="238" t="s">
        <v>5216</v>
      </c>
      <c r="E2213" s="245"/>
      <c r="F2213" s="244" t="s">
        <v>5215</v>
      </c>
      <c r="G2213" s="243" t="s">
        <v>5168</v>
      </c>
      <c r="H2213" s="242" t="s">
        <v>5167</v>
      </c>
      <c r="I2213" s="241"/>
      <c r="J2213" s="238" t="str">
        <f t="shared" si="34"/>
        <v/>
      </c>
    </row>
    <row r="2214" spans="1:10" s="240" customFormat="1" ht="18.75">
      <c r="A2214" s="238" t="s">
        <v>5214</v>
      </c>
      <c r="B2214" s="238" t="s">
        <v>5213</v>
      </c>
      <c r="C2214" s="238" t="s">
        <v>5212</v>
      </c>
      <c r="D2214" s="238" t="s">
        <v>5211</v>
      </c>
      <c r="E2214" s="238"/>
      <c r="F2214" s="238"/>
      <c r="G2214" s="238" t="s">
        <v>5197</v>
      </c>
      <c r="H2214" s="242" t="s">
        <v>5167</v>
      </c>
      <c r="I2214" s="241"/>
      <c r="J2214" s="238" t="str">
        <f t="shared" si="34"/>
        <v/>
      </c>
    </row>
    <row r="2215" spans="1:10" s="240" customFormat="1" ht="18.75">
      <c r="A2215" s="244" t="s">
        <v>5210</v>
      </c>
      <c r="B2215" s="244" t="s">
        <v>5209</v>
      </c>
      <c r="C2215" s="244"/>
      <c r="D2215" s="238" t="s">
        <v>5208</v>
      </c>
      <c r="E2215" s="245"/>
      <c r="F2215" s="244" t="s">
        <v>5207</v>
      </c>
      <c r="G2215" s="243" t="s">
        <v>5168</v>
      </c>
      <c r="H2215" s="242" t="s">
        <v>5167</v>
      </c>
      <c r="I2215" s="241"/>
      <c r="J2215" s="238" t="str">
        <f t="shared" si="34"/>
        <v/>
      </c>
    </row>
    <row r="2216" spans="1:10" s="240" customFormat="1" ht="18.75">
      <c r="A2216" s="244" t="s">
        <v>5206</v>
      </c>
      <c r="B2216" s="244" t="s">
        <v>5205</v>
      </c>
      <c r="C2216" s="244"/>
      <c r="D2216" s="238" t="s">
        <v>5204</v>
      </c>
      <c r="E2216" s="245"/>
      <c r="F2216" s="244"/>
      <c r="G2216" s="243" t="s">
        <v>5168</v>
      </c>
      <c r="H2216" s="242" t="s">
        <v>5167</v>
      </c>
      <c r="I2216" s="241"/>
      <c r="J2216" s="238" t="str">
        <f t="shared" si="34"/>
        <v/>
      </c>
    </row>
    <row r="2217" spans="1:10" s="240" customFormat="1" ht="18.75">
      <c r="B2217" s="240" t="s">
        <v>5203</v>
      </c>
      <c r="D2217" s="240" t="s">
        <v>5202</v>
      </c>
      <c r="J2217" s="238" t="str">
        <f t="shared" si="34"/>
        <v/>
      </c>
    </row>
    <row r="2218" spans="1:10" s="240" customFormat="1" ht="18.75">
      <c r="A2218" s="238" t="s">
        <v>5201</v>
      </c>
      <c r="B2218" s="238" t="s">
        <v>5200</v>
      </c>
      <c r="C2218" s="238" t="s">
        <v>5199</v>
      </c>
      <c r="D2218" s="238" t="s">
        <v>5198</v>
      </c>
      <c r="E2218" s="238"/>
      <c r="F2218" s="238"/>
      <c r="G2218" s="238" t="s">
        <v>5197</v>
      </c>
      <c r="H2218" s="242" t="s">
        <v>5196</v>
      </c>
      <c r="I2218" s="241"/>
      <c r="J2218" s="238" t="str">
        <f t="shared" si="34"/>
        <v/>
      </c>
    </row>
    <row r="2219" spans="1:10" s="240" customFormat="1" ht="18.75">
      <c r="A2219" s="238"/>
      <c r="B2219" s="238"/>
      <c r="C2219" s="238"/>
      <c r="D2219" s="238" t="s">
        <v>5195</v>
      </c>
      <c r="E2219" s="238"/>
      <c r="F2219" s="238"/>
      <c r="G2219" s="238"/>
      <c r="H2219" s="239"/>
      <c r="I2219" s="238"/>
      <c r="J2219" s="238" t="str">
        <f t="shared" si="34"/>
        <v/>
      </c>
    </row>
    <row r="2220" spans="1:10" s="240" customFormat="1" ht="18.75">
      <c r="A2220" s="238"/>
      <c r="B2220" s="238"/>
      <c r="C2220" s="238"/>
      <c r="D2220" s="238" t="s">
        <v>5194</v>
      </c>
      <c r="E2220" s="238"/>
      <c r="F2220" s="238"/>
      <c r="G2220" s="238"/>
      <c r="H2220" s="239"/>
      <c r="I2220" s="238"/>
      <c r="J2220" s="238" t="str">
        <f t="shared" si="34"/>
        <v/>
      </c>
    </row>
    <row r="2221" spans="1:10" s="240" customFormat="1" ht="18.75">
      <c r="B2221" s="240" t="s">
        <v>5193</v>
      </c>
      <c r="D2221" s="240" t="s">
        <v>5192</v>
      </c>
      <c r="J2221" s="238" t="str">
        <f t="shared" si="34"/>
        <v/>
      </c>
    </row>
    <row r="2222" spans="1:10" s="240" customFormat="1" ht="18.75">
      <c r="A2222" s="238"/>
      <c r="B2222" s="238"/>
      <c r="C2222" s="238"/>
      <c r="D2222" s="238" t="s">
        <v>5191</v>
      </c>
      <c r="E2222" s="238"/>
      <c r="F2222" s="238"/>
      <c r="G2222" s="238"/>
      <c r="H2222" s="239"/>
      <c r="I2222" s="238"/>
      <c r="J2222" s="238" t="str">
        <f t="shared" si="34"/>
        <v/>
      </c>
    </row>
    <row r="2223" spans="1:10" s="240" customFormat="1" ht="18.75">
      <c r="A2223" s="244" t="s">
        <v>5190</v>
      </c>
      <c r="B2223" s="244" t="s">
        <v>5189</v>
      </c>
      <c r="C2223" s="244"/>
      <c r="D2223" s="238" t="s">
        <v>5188</v>
      </c>
      <c r="E2223" s="245"/>
      <c r="F2223" s="244" t="s">
        <v>5187</v>
      </c>
      <c r="G2223" s="243" t="s">
        <v>5168</v>
      </c>
      <c r="H2223" s="242" t="s">
        <v>5167</v>
      </c>
      <c r="I2223" s="241"/>
      <c r="J2223" s="238" t="str">
        <f t="shared" si="34"/>
        <v/>
      </c>
    </row>
    <row r="2224" spans="1:10" s="240" customFormat="1" ht="18.75">
      <c r="B2224" s="240" t="s">
        <v>5186</v>
      </c>
      <c r="D2224" s="240" t="s">
        <v>5185</v>
      </c>
      <c r="J2224" s="238" t="str">
        <f t="shared" si="34"/>
        <v/>
      </c>
    </row>
    <row r="2225" spans="1:10" s="240" customFormat="1" ht="18.75">
      <c r="A2225" s="244" t="s">
        <v>5184</v>
      </c>
      <c r="B2225" s="244" t="s">
        <v>5183</v>
      </c>
      <c r="C2225" s="244"/>
      <c r="D2225" s="238" t="s">
        <v>5182</v>
      </c>
      <c r="E2225" s="245"/>
      <c r="F2225" s="244"/>
      <c r="G2225" s="243" t="s">
        <v>5168</v>
      </c>
      <c r="H2225" s="242" t="s">
        <v>5167</v>
      </c>
      <c r="I2225" s="241"/>
      <c r="J2225" s="238" t="str">
        <f t="shared" si="34"/>
        <v/>
      </c>
    </row>
    <row r="2226" spans="1:10" s="240" customFormat="1" ht="18.75">
      <c r="A2226" s="246"/>
      <c r="B2226" s="246"/>
      <c r="C2226" s="246"/>
      <c r="D2226" s="238" t="s">
        <v>5181</v>
      </c>
      <c r="E2226" s="246"/>
      <c r="F2226" s="246"/>
      <c r="G2226" s="246"/>
      <c r="H2226" s="242" t="s">
        <v>5167</v>
      </c>
      <c r="I2226" s="241"/>
      <c r="J2226" s="238" t="str">
        <f t="shared" si="34"/>
        <v/>
      </c>
    </row>
    <row r="2227" spans="1:10" s="240" customFormat="1" ht="18.75">
      <c r="A2227" s="238"/>
      <c r="B2227" s="238"/>
      <c r="C2227" s="238"/>
      <c r="D2227" s="238" t="s">
        <v>5180</v>
      </c>
      <c r="E2227" s="238"/>
      <c r="F2227" s="238"/>
      <c r="G2227" s="238"/>
      <c r="H2227" s="239"/>
      <c r="I2227" s="238"/>
      <c r="J2227" s="238" t="str">
        <f t="shared" si="34"/>
        <v>OK</v>
      </c>
    </row>
    <row r="2228" spans="1:10" s="240" customFormat="1" ht="18.75">
      <c r="A2228" s="238"/>
      <c r="B2228" s="238"/>
      <c r="C2228" s="238"/>
      <c r="D2228" s="238" t="s">
        <v>5180</v>
      </c>
      <c r="E2228" s="238"/>
      <c r="F2228" s="238"/>
      <c r="G2228" s="238"/>
      <c r="H2228" s="239"/>
      <c r="I2228" s="238"/>
      <c r="J2228" s="238" t="str">
        <f t="shared" si="34"/>
        <v>OK</v>
      </c>
    </row>
    <row r="2229" spans="1:10" s="240" customFormat="1" ht="18.75">
      <c r="A2229" s="244" t="s">
        <v>5179</v>
      </c>
      <c r="B2229" s="244" t="s">
        <v>5178</v>
      </c>
      <c r="C2229" s="244"/>
      <c r="D2229" s="238" t="s">
        <v>5177</v>
      </c>
      <c r="E2229" s="245"/>
      <c r="F2229" s="244" t="s">
        <v>5176</v>
      </c>
      <c r="G2229" s="243" t="s">
        <v>5168</v>
      </c>
      <c r="H2229" s="242" t="s">
        <v>5167</v>
      </c>
      <c r="I2229" s="241"/>
      <c r="J2229" s="238" t="str">
        <f t="shared" si="34"/>
        <v/>
      </c>
    </row>
    <row r="2230" spans="1:10" s="240" customFormat="1" ht="18.75">
      <c r="A2230" s="244" t="s">
        <v>5175</v>
      </c>
      <c r="B2230" s="244" t="s">
        <v>5174</v>
      </c>
      <c r="C2230" s="244"/>
      <c r="D2230" s="238" t="s">
        <v>5173</v>
      </c>
      <c r="E2230" s="245"/>
      <c r="F2230" s="244"/>
      <c r="G2230" s="243" t="s">
        <v>5168</v>
      </c>
      <c r="H2230" s="242" t="s">
        <v>5167</v>
      </c>
      <c r="I2230" s="241"/>
      <c r="J2230" s="238" t="str">
        <f t="shared" si="34"/>
        <v/>
      </c>
    </row>
    <row r="2231" spans="1:10" s="240" customFormat="1" ht="18.75">
      <c r="A2231" s="238"/>
      <c r="B2231" s="238"/>
      <c r="C2231" s="238"/>
      <c r="D2231" s="238" t="s">
        <v>5172</v>
      </c>
      <c r="E2231" s="238"/>
      <c r="F2231" s="238"/>
      <c r="G2231" s="238"/>
      <c r="H2231" s="239"/>
      <c r="I2231" s="238"/>
      <c r="J2231" s="238" t="str">
        <f t="shared" si="34"/>
        <v/>
      </c>
    </row>
    <row r="2232" spans="1:10" s="240" customFormat="1" ht="18.75">
      <c r="A2232" s="244" t="s">
        <v>5171</v>
      </c>
      <c r="B2232" s="244" t="s">
        <v>5170</v>
      </c>
      <c r="C2232" s="244"/>
      <c r="D2232" s="238" t="s">
        <v>5169</v>
      </c>
      <c r="E2232" s="245"/>
      <c r="F2232" s="244"/>
      <c r="G2232" s="243" t="s">
        <v>5168</v>
      </c>
      <c r="H2232" s="242" t="s">
        <v>5167</v>
      </c>
      <c r="I2232" s="241"/>
      <c r="J2232" s="238" t="str">
        <f t="shared" si="34"/>
        <v/>
      </c>
    </row>
    <row r="2233" spans="1:10" s="240" customFormat="1" ht="18.75">
      <c r="A2233" s="238"/>
      <c r="B2233" s="238"/>
      <c r="C2233" s="238"/>
      <c r="D2233" s="238" t="s">
        <v>5166</v>
      </c>
      <c r="E2233" s="238"/>
      <c r="F2233" s="238"/>
      <c r="G2233" s="238"/>
      <c r="H2233" s="239"/>
      <c r="I2233" s="238"/>
      <c r="J2233" s="238" t="str">
        <f t="shared" si="34"/>
        <v/>
      </c>
    </row>
    <row r="2234" spans="1:10" s="240" customFormat="1" ht="18.75">
      <c r="B2234" s="240" t="s">
        <v>5165</v>
      </c>
      <c r="D2234" s="240" t="s">
        <v>5164</v>
      </c>
    </row>
    <row r="2235" spans="1:10" s="240" customFormat="1" ht="18.75">
      <c r="B2235" s="240" t="s">
        <v>5163</v>
      </c>
      <c r="D2235" s="240" t="s">
        <v>5162</v>
      </c>
    </row>
    <row r="2236" spans="1:10" s="240" customFormat="1" ht="18.75">
      <c r="B2236" s="240" t="s">
        <v>5161</v>
      </c>
      <c r="D2236" s="240" t="s">
        <v>5160</v>
      </c>
    </row>
    <row r="2237" spans="1:10" s="240" customFormat="1" ht="18.75">
      <c r="B2237" s="240" t="s">
        <v>5159</v>
      </c>
      <c r="D2237" s="240" t="s">
        <v>5158</v>
      </c>
    </row>
    <row r="2238" spans="1:10" s="240" customFormat="1" ht="18.75">
      <c r="B2238" s="240" t="s">
        <v>5157</v>
      </c>
      <c r="D2238" s="240" t="s">
        <v>5156</v>
      </c>
    </row>
    <row r="2239" spans="1:10" s="240" customFormat="1" ht="18.75">
      <c r="B2239" s="240" t="s">
        <v>5155</v>
      </c>
      <c r="D2239" s="240" t="s">
        <v>5154</v>
      </c>
    </row>
    <row r="2240" spans="1:10" s="240" customFormat="1" ht="18.75">
      <c r="B2240" s="240" t="s">
        <v>5153</v>
      </c>
      <c r="D2240" s="240" t="s">
        <v>5152</v>
      </c>
    </row>
    <row r="2241" spans="2:4" s="240" customFormat="1" ht="18.75">
      <c r="B2241" s="240" t="s">
        <v>5151</v>
      </c>
      <c r="D2241" s="240" t="s">
        <v>5150</v>
      </c>
    </row>
    <row r="2242" spans="2:4" s="240" customFormat="1" ht="18.75">
      <c r="B2242" s="240" t="s">
        <v>5149</v>
      </c>
      <c r="D2242" s="240" t="s">
        <v>5148</v>
      </c>
    </row>
    <row r="2243" spans="2:4" s="240" customFormat="1" ht="18.75">
      <c r="B2243" s="240" t="s">
        <v>5147</v>
      </c>
      <c r="D2243" s="240" t="s">
        <v>5146</v>
      </c>
    </row>
    <row r="2244" spans="2:4" s="240" customFormat="1" ht="18.75">
      <c r="B2244" s="240" t="s">
        <v>5145</v>
      </c>
      <c r="D2244" s="240" t="s">
        <v>5144</v>
      </c>
    </row>
    <row r="2245" spans="2:4" s="240" customFormat="1" ht="18.75">
      <c r="B2245" s="240" t="s">
        <v>5143</v>
      </c>
      <c r="D2245" s="240" t="s">
        <v>5142</v>
      </c>
    </row>
    <row r="2246" spans="2:4" s="240" customFormat="1" ht="18.75">
      <c r="B2246" s="240" t="s">
        <v>5141</v>
      </c>
      <c r="D2246" s="240" t="s">
        <v>5140</v>
      </c>
    </row>
    <row r="2247" spans="2:4" s="240" customFormat="1" ht="18.75">
      <c r="B2247" s="240" t="s">
        <v>5139</v>
      </c>
      <c r="D2247" s="240" t="s">
        <v>5138</v>
      </c>
    </row>
    <row r="2248" spans="2:4" s="240" customFormat="1" ht="18.75">
      <c r="B2248" s="240" t="s">
        <v>5137</v>
      </c>
      <c r="D2248" s="240" t="s">
        <v>5136</v>
      </c>
    </row>
    <row r="2249" spans="2:4" s="240" customFormat="1" ht="18.75">
      <c r="B2249" s="240" t="s">
        <v>5135</v>
      </c>
      <c r="D2249" s="240" t="s">
        <v>5134</v>
      </c>
    </row>
    <row r="2250" spans="2:4" s="240" customFormat="1" ht="18.75">
      <c r="B2250" s="240" t="s">
        <v>5133</v>
      </c>
      <c r="D2250" s="240" t="s">
        <v>5132</v>
      </c>
    </row>
    <row r="2251" spans="2:4" s="240" customFormat="1" ht="18.75">
      <c r="B2251" s="240" t="s">
        <v>5131</v>
      </c>
      <c r="D2251" s="240" t="s">
        <v>5130</v>
      </c>
    </row>
    <row r="2252" spans="2:4" s="240" customFormat="1" ht="18.75">
      <c r="B2252" s="240" t="s">
        <v>5129</v>
      </c>
      <c r="D2252" s="240" t="s">
        <v>5128</v>
      </c>
    </row>
    <row r="2253" spans="2:4" s="240" customFormat="1" ht="18.75">
      <c r="B2253" s="240" t="s">
        <v>5127</v>
      </c>
      <c r="D2253" s="240" t="s">
        <v>5126</v>
      </c>
    </row>
    <row r="2254" spans="2:4" s="240" customFormat="1" ht="18.75">
      <c r="B2254" s="240" t="s">
        <v>5125</v>
      </c>
      <c r="D2254" s="240" t="s">
        <v>5124</v>
      </c>
    </row>
    <row r="2255" spans="2:4" s="240" customFormat="1" ht="18.75">
      <c r="B2255" s="240" t="s">
        <v>5123</v>
      </c>
      <c r="D2255" s="240" t="s">
        <v>5122</v>
      </c>
    </row>
    <row r="2256" spans="2:4" s="240" customFormat="1" ht="18.75">
      <c r="B2256" s="240" t="s">
        <v>5121</v>
      </c>
      <c r="D2256" s="240" t="s">
        <v>5120</v>
      </c>
    </row>
    <row r="2257" spans="2:4" s="240" customFormat="1" ht="18.75">
      <c r="B2257" s="240" t="s">
        <v>5119</v>
      </c>
      <c r="D2257" s="240" t="s">
        <v>5118</v>
      </c>
    </row>
    <row r="2258" spans="2:4" s="240" customFormat="1" ht="18.75">
      <c r="B2258" s="240" t="s">
        <v>5117</v>
      </c>
      <c r="D2258" s="240" t="s">
        <v>5116</v>
      </c>
    </row>
    <row r="2259" spans="2:4" s="240" customFormat="1" ht="18.75">
      <c r="B2259" s="240" t="s">
        <v>5115</v>
      </c>
      <c r="D2259" s="240" t="s">
        <v>5114</v>
      </c>
    </row>
    <row r="2260" spans="2:4" s="240" customFormat="1" ht="18.75">
      <c r="B2260" s="240" t="s">
        <v>5113</v>
      </c>
      <c r="D2260" s="240" t="s">
        <v>5112</v>
      </c>
    </row>
    <row r="2261" spans="2:4" s="240" customFormat="1" ht="18.75">
      <c r="B2261" s="240" t="s">
        <v>5111</v>
      </c>
      <c r="D2261" s="240" t="s">
        <v>5110</v>
      </c>
    </row>
    <row r="2262" spans="2:4" s="240" customFormat="1" ht="18.75">
      <c r="B2262" s="240" t="s">
        <v>5109</v>
      </c>
      <c r="D2262" s="240" t="s">
        <v>5108</v>
      </c>
    </row>
    <row r="2263" spans="2:4" s="240" customFormat="1" ht="18.75">
      <c r="B2263" s="240" t="s">
        <v>5107</v>
      </c>
      <c r="D2263" s="240" t="s">
        <v>5106</v>
      </c>
    </row>
  </sheetData>
  <autoFilter ref="A1:I2234" xr:uid="{13CFA5B6-431C-44E5-A201-430C0D978E34}">
    <sortState xmlns:xlrd2="http://schemas.microsoft.com/office/spreadsheetml/2017/richdata2" ref="A2:I2234">
      <sortCondition ref="D1:D2234"/>
    </sortState>
  </autoFilter>
  <phoneticPr fontId="66"/>
  <hyperlinks>
    <hyperlink ref="H1724" r:id="rId1" display="leekahyou@genshinn.com このメールアドレスに変更しました。5/15日深谷" xr:uid="{38364F0F-7F33-4B11-BC9E-401AE969EE6E}"/>
    <hyperlink ref="E2165" r:id="rId2" display="yotsuki@chinasoft-tokyo.co.jp" xr:uid="{9F45F642-CB27-4795-A00E-75966DB44EB8}"/>
    <hyperlink ref="E432" r:id="rId3" display="guanlei@ten-ji.co.jp" xr:uid="{7FA1BEFD-5215-482C-B6DD-125BD6584F97}"/>
    <hyperlink ref="E287" r:id="rId4" display="eigyo-nakamine@kksoft.co.jp" xr:uid="{F2AF3DD5-9693-4A79-B813-962ED94EDCB7}"/>
    <hyperlink ref="E1745" r:id="rId5" display="sun_l@amistrong.com" xr:uid="{8EFAC96F-FBA3-4A43-9DD6-0BF1B6CE325C}"/>
    <hyperlink ref="E1994" r:id="rId6" display="wang.chenxuan@jp.highwayns.com" xr:uid="{0CEA6AA1-E03E-4918-9D43-6374BA670F37}"/>
    <hyperlink ref="E663" r:id="rId7" display="jiangxiaolin@ten-ji.co.jp" xr:uid="{B117590D-FD3D-4DEA-B457-00718356AACE}"/>
    <hyperlink ref="F1655" r:id="rId8" display="sales@ten-ji.co.jp" xr:uid="{82AABBF5-BA8C-4CF0-A16B-83B1A8646DC5}"/>
    <hyperlink ref="E1952" r:id="rId9" display="tsuasyusai@ten-ji.co.jp" xr:uid="{6DD1F632-FB12-4DC5-8BC5-B66E3658EDE7}"/>
    <hyperlink ref="E84" r:id="rId10" display="baolan@ten-ji.co.jp" xr:uid="{88D3C113-A04C-4478-8093-7D6730B43B53}"/>
    <hyperlink ref="E947" r:id="rId11" display="luobing@ten-ji.co.jp" xr:uid="{FC55AA63-EF5A-4571-8F06-A39FFF28DB95}"/>
    <hyperlink ref="E1655" r:id="rId12" display="shihong@ten-ji.co.jp" xr:uid="{DF9E7564-0619-4459-AEC1-87F65C708CAF}"/>
    <hyperlink ref="E2170" r:id="rId13" display="yu.genen@msn.com" xr:uid="{3B4682AC-E26E-44FC-A441-4378786F2D17}"/>
    <hyperlink ref="E414" r:id="rId14" display="go@cmc-a.co.jp" xr:uid="{DE772EC6-C4C3-4AE6-9EA4-019A52E5E29B}"/>
    <hyperlink ref="E1693" r:id="rId15" display="shou.ss@info-max.jp" xr:uid="{EC278AF2-09A0-4225-BB45-B3DB8AC4827C}"/>
    <hyperlink ref="E2204" r:id="rId16" display="y-xu@ips-consult.info" xr:uid="{51CDD7BB-A005-4CE7-B886-2010C2A38DC0}"/>
    <hyperlink ref="E2232" r:id="rId17" display="zhengyu@microcreate.co.jp" xr:uid="{ED423AB6-1B10-4D8D-A96E-834C6999DEDC}"/>
    <hyperlink ref="F2176" r:id="rId18" display="mailto:eigyou@triosys.co.jp" xr:uid="{98F97586-A825-45F3-8840-AB4DED15467C}"/>
    <hyperlink ref="E2176" r:id="rId19" display="yuant@triosys.co.jp" xr:uid="{1D20A5E1-3481-4E6D-B360-5AA3F2AC1425}"/>
    <hyperlink ref="E1837" r:id="rId20" xr:uid="{301E6D3C-FEED-47F9-AB76-88ECBCD47144}"/>
    <hyperlink ref="F1782" r:id="rId21" display="t.ito@bright-g.jp" xr:uid="{F5DEEEC7-D2ED-44E6-A9EA-C93148A9777B}"/>
    <hyperlink ref="F343" r:id="rId22" display="el_ses@earthlink.co.jp" xr:uid="{75BEE9AB-80C1-47FB-99BB-9F1E1D61E0A7}"/>
    <hyperlink ref="F1691" r:id="rId23" display="shota_i@earthlink.co.jp" xr:uid="{92EF6D52-65D9-4967-8073-B5FF512956AC}"/>
    <hyperlink ref="F212" r:id="rId24" display="eigyo@crane-i.co.jp" xr:uid="{DA7D81CD-3648-4AA4-A9AE-2360806C47F6}"/>
    <hyperlink ref="F2068" r:id="rId25" display="y.kobayashi@crane-i.co.jp" xr:uid="{EC515B2D-1370-420D-9FCA-CE82FEF7DEE2}"/>
    <hyperlink ref="F1259" r:id="rId26" display="partner@sakya.jp" xr:uid="{4E070F9A-3C6F-40DC-BA87-252C454793DC}"/>
    <hyperlink ref="F1621" r:id="rId27" display="ses@se-project.co.jp" xr:uid="{499330B3-7F5A-4299-9C1A-9FA376E9244D}"/>
    <hyperlink ref="E125" r:id="rId28" xr:uid="{5E755CEE-D09B-4B8C-9D0D-FF605E35CC41}"/>
    <hyperlink ref="D127" r:id="rId29" xr:uid="{6F9D5036-5106-4563-A7DB-9376923D56C8}"/>
    <hyperlink ref="D128" r:id="rId30" xr:uid="{D844A6F9-DAAA-48DB-B08F-F2C5A6D5F89E}"/>
    <hyperlink ref="D135" r:id="rId31" xr:uid="{2E5E69DD-D1D8-4556-9FEA-D73CF2858BA1}"/>
    <hyperlink ref="D141" r:id="rId32" xr:uid="{B84AF3EA-03D8-46F0-BAB6-59B117DED6D8}"/>
    <hyperlink ref="D159" r:id="rId33" xr:uid="{12F23996-A54C-424D-A62C-420936AEF7C5}"/>
    <hyperlink ref="D161" r:id="rId34" xr:uid="{A2A29840-9507-4D83-B145-679E826EDEAA}"/>
    <hyperlink ref="D171" r:id="rId35" xr:uid="{0D4A7383-F71B-4EC5-993C-4AA2098FBF64}"/>
    <hyperlink ref="D176" r:id="rId36" xr:uid="{C18B3C6C-2348-4358-A9CF-1DA3CBF37FC7}"/>
    <hyperlink ref="D177" r:id="rId37" xr:uid="{296BA1A0-C4A4-4434-9F80-594B5634925E}"/>
    <hyperlink ref="D183" r:id="rId38" xr:uid="{1F3A9FCA-9AEA-4FA8-B622-3D6AF8340476}"/>
    <hyperlink ref="D312" r:id="rId39" xr:uid="{654CCAEB-9791-495F-AEF4-555C462EBEE2}"/>
    <hyperlink ref="D393" r:id="rId40" xr:uid="{EB1ED227-5492-4093-ADF7-DA61646643FB}"/>
    <hyperlink ref="D416" r:id="rId41" xr:uid="{7421E4B8-FEF0-4B78-B932-C3ACEFEFF693}"/>
    <hyperlink ref="D421" r:id="rId42" xr:uid="{4C415CF1-7BC4-4157-BFA7-C8F8E293ACFF}"/>
    <hyperlink ref="D431" r:id="rId43" xr:uid="{F81BB13E-5875-4821-8AE2-CD77DF3ED6AD}"/>
    <hyperlink ref="D467" r:id="rId44" xr:uid="{3678C0EB-5EEB-42DC-86B7-BF0BC4273037}"/>
    <hyperlink ref="D469" r:id="rId45" xr:uid="{25E88906-7D95-45AB-BFA4-A7AC9C1BE1D4}"/>
    <hyperlink ref="D489" r:id="rId46" xr:uid="{BC2FDE81-DB3A-4486-8D64-863BD47597A0}"/>
    <hyperlink ref="D555" r:id="rId47" xr:uid="{8B3DB721-93A9-43DD-B227-19743050E92C}"/>
    <hyperlink ref="D589" r:id="rId48" xr:uid="{9662A8DE-5FE4-4E7E-847E-F5BFBC6E524C}"/>
    <hyperlink ref="D598" r:id="rId49" xr:uid="{4E708150-1CC7-4C81-A8DE-9B89B40CF65F}"/>
    <hyperlink ref="D1807" r:id="rId50" xr:uid="{9B653AF8-593A-4D49-8AD9-60A224E7CC11}"/>
    <hyperlink ref="D2178" r:id="rId51" xr:uid="{69EFE8F2-62BF-4E78-9701-E393EF81156E}"/>
    <hyperlink ref="D2177" r:id="rId52" xr:uid="{F06FDDBA-791C-4872-926B-04D43B87AE12}"/>
  </hyperlinks>
  <pageMargins left="0.7" right="0.7" top="0.75" bottom="0.75" header="0.3" footer="0.3"/>
  <pageSetup paperSize="9" orientation="portrait" horizontalDpi="1200" verticalDpi="1200" r:id="rId5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2402" workbookViewId="0">
      <selection activeCell="A11" sqref="A11"/>
    </sheetView>
  </sheetViews>
  <sheetFormatPr defaultRowHeight="18.75"/>
  <cols>
    <col min="1" max="1" width="26.5" customWidth="1"/>
    <col min="2" max="2" width="13.625" customWidth="1"/>
    <col min="3" max="3" width="24.25" customWidth="1"/>
  </cols>
  <sheetData>
    <row r="1" spans="1:1">
      <c r="A1" s="88" t="s">
        <v>4014</v>
      </c>
    </row>
    <row r="3" spans="1:1">
      <c r="A3" s="88" t="s">
        <v>4015</v>
      </c>
    </row>
    <row r="5" spans="1:1">
      <c r="A5" s="88" t="s">
        <v>4016</v>
      </c>
    </row>
    <row r="7" spans="1:1">
      <c r="A7" s="88" t="s">
        <v>4017</v>
      </c>
    </row>
    <row r="9" spans="1:1">
      <c r="A9" s="88" t="s">
        <v>4018</v>
      </c>
    </row>
    <row r="11" spans="1:1">
      <c r="A11" s="88" t="s">
        <v>4019</v>
      </c>
    </row>
    <row r="13" spans="1:1">
      <c r="A13" s="88" t="s">
        <v>4020</v>
      </c>
    </row>
    <row r="15" spans="1:1">
      <c r="A15" s="88" t="s">
        <v>4021</v>
      </c>
    </row>
    <row r="17" spans="1:1">
      <c r="A17" s="88" t="s">
        <v>4022</v>
      </c>
    </row>
    <row r="19" spans="1:1">
      <c r="A19" s="88" t="s">
        <v>4023</v>
      </c>
    </row>
    <row r="21" spans="1:1">
      <c r="A21" s="88"/>
    </row>
    <row r="23" spans="1:1">
      <c r="A23" s="88" t="s">
        <v>4024</v>
      </c>
    </row>
    <row r="25" spans="1:1">
      <c r="A25" s="88" t="s">
        <v>4025</v>
      </c>
    </row>
    <row r="27" spans="1:1">
      <c r="A27" s="93" t="s">
        <v>4026</v>
      </c>
    </row>
    <row r="29" spans="1:1">
      <c r="A29" s="88"/>
    </row>
    <row r="31" spans="1:1">
      <c r="A31" s="88" t="s">
        <v>4027</v>
      </c>
    </row>
    <row r="33" spans="1:1">
      <c r="A33" s="88" t="s">
        <v>4028</v>
      </c>
    </row>
    <row r="35" spans="1:1">
      <c r="A35" s="88" t="s">
        <v>4029</v>
      </c>
    </row>
    <row r="37" spans="1:1">
      <c r="A37" s="88" t="s">
        <v>4030</v>
      </c>
    </row>
    <row r="39" spans="1:1">
      <c r="A39" s="88" t="s">
        <v>4031</v>
      </c>
    </row>
    <row r="41" spans="1:1">
      <c r="A41" s="88" t="s">
        <v>4032</v>
      </c>
    </row>
    <row r="43" spans="1:1">
      <c r="A43" s="88" t="s">
        <v>4033</v>
      </c>
    </row>
    <row r="45" spans="1:1">
      <c r="A45" s="88" t="s">
        <v>4034</v>
      </c>
    </row>
    <row r="47" spans="1:1">
      <c r="A47" s="88" t="s">
        <v>4035</v>
      </c>
    </row>
    <row r="49" spans="1:1">
      <c r="A49" s="88" t="s">
        <v>4036</v>
      </c>
    </row>
    <row r="51" spans="1:1">
      <c r="A51" s="88" t="s">
        <v>4037</v>
      </c>
    </row>
    <row r="53" spans="1:1">
      <c r="A53" s="88" t="s">
        <v>4038</v>
      </c>
    </row>
    <row r="55" spans="1:1">
      <c r="A55" s="88" t="s">
        <v>4039</v>
      </c>
    </row>
    <row r="57" spans="1:1">
      <c r="A57" s="88" t="s">
        <v>4040</v>
      </c>
    </row>
    <row r="59" spans="1:1">
      <c r="A59" s="88" t="s">
        <v>4041</v>
      </c>
    </row>
    <row r="61" spans="1:1">
      <c r="A61" s="88" t="s">
        <v>4042</v>
      </c>
    </row>
    <row r="63" spans="1:1">
      <c r="A63" s="88" t="s">
        <v>4043</v>
      </c>
    </row>
    <row r="65" spans="1:1">
      <c r="A65" s="88" t="s">
        <v>4044</v>
      </c>
    </row>
    <row r="67" spans="1:1">
      <c r="A67" s="88" t="s">
        <v>4045</v>
      </c>
    </row>
    <row r="69" spans="1:1">
      <c r="A69" s="88" t="s">
        <v>4046</v>
      </c>
    </row>
    <row r="71" spans="1:1">
      <c r="A71" s="88" t="s">
        <v>4047</v>
      </c>
    </row>
    <row r="73" spans="1:1">
      <c r="A73" s="93" t="s">
        <v>4048</v>
      </c>
    </row>
    <row r="75" spans="1:1">
      <c r="A75" s="88" t="s">
        <v>4049</v>
      </c>
    </row>
    <row r="77" spans="1:1">
      <c r="A77" s="88" t="s">
        <v>4050</v>
      </c>
    </row>
    <row r="79" spans="1:1">
      <c r="A79" s="88" t="s">
        <v>4051</v>
      </c>
    </row>
    <row r="81" spans="1:1">
      <c r="A81" s="88" t="s">
        <v>4052</v>
      </c>
    </row>
    <row r="83" spans="1:1">
      <c r="A83" s="88" t="s">
        <v>4053</v>
      </c>
    </row>
    <row r="85" spans="1:1">
      <c r="A85" s="88" t="s">
        <v>4054</v>
      </c>
    </row>
    <row r="87" spans="1:1">
      <c r="A87" s="88" t="s">
        <v>4055</v>
      </c>
    </row>
    <row r="89" spans="1:1">
      <c r="A89" s="88" t="s">
        <v>4056</v>
      </c>
    </row>
    <row r="91" spans="1:1">
      <c r="A91" s="88" t="s">
        <v>4057</v>
      </c>
    </row>
    <row r="93" spans="1:1">
      <c r="A93" s="93" t="s">
        <v>4058</v>
      </c>
    </row>
    <row r="95" spans="1:1">
      <c r="A95" s="88" t="s">
        <v>4059</v>
      </c>
    </row>
    <row r="97" spans="1:1">
      <c r="A97" s="88" t="s">
        <v>4060</v>
      </c>
    </row>
    <row r="99" spans="1:1">
      <c r="A99" s="88" t="s">
        <v>4061</v>
      </c>
    </row>
    <row r="101" spans="1:1">
      <c r="A101" s="88" t="s">
        <v>4062</v>
      </c>
    </row>
    <row r="103" spans="1:1">
      <c r="A103" s="88" t="s">
        <v>4063</v>
      </c>
    </row>
    <row r="105" spans="1:1">
      <c r="A105" s="93" t="s">
        <v>4064</v>
      </c>
    </row>
    <row r="107" spans="1:1">
      <c r="A107" s="88" t="s">
        <v>4065</v>
      </c>
    </row>
    <row r="109" spans="1:1">
      <c r="A109" s="88" t="s">
        <v>4066</v>
      </c>
    </row>
    <row r="111" spans="1:1">
      <c r="A111" s="88" t="s">
        <v>4067</v>
      </c>
    </row>
    <row r="113" spans="1:1">
      <c r="A113" s="88" t="s">
        <v>4068</v>
      </c>
    </row>
    <row r="115" spans="1:1">
      <c r="A115" s="88" t="s">
        <v>4069</v>
      </c>
    </row>
    <row r="117" spans="1:1">
      <c r="A117" s="93" t="s">
        <v>4070</v>
      </c>
    </row>
    <row r="119" spans="1:1">
      <c r="A119" s="88" t="s">
        <v>4071</v>
      </c>
    </row>
    <row r="121" spans="1:1">
      <c r="A121" s="88" t="s">
        <v>4072</v>
      </c>
    </row>
    <row r="123" spans="1:1">
      <c r="A123" s="88" t="s">
        <v>4073</v>
      </c>
    </row>
    <row r="125" spans="1:1">
      <c r="A125" s="88" t="s">
        <v>4074</v>
      </c>
    </row>
    <row r="127" spans="1:1">
      <c r="A127" s="88" t="s">
        <v>4019</v>
      </c>
    </row>
    <row r="129" spans="1:1">
      <c r="A129" s="88" t="s">
        <v>4075</v>
      </c>
    </row>
    <row r="131" spans="1:1">
      <c r="A131" s="88" t="s">
        <v>4076</v>
      </c>
    </row>
    <row r="133" spans="1:1">
      <c r="A133" s="88" t="s">
        <v>4077</v>
      </c>
    </row>
    <row r="135" spans="1:1">
      <c r="A135" s="88" t="s">
        <v>4078</v>
      </c>
    </row>
    <row r="137" spans="1:1">
      <c r="A137" s="88"/>
    </row>
    <row r="139" spans="1:1">
      <c r="A139" s="88"/>
    </row>
    <row r="141" spans="1:1">
      <c r="A141" s="88" t="s">
        <v>4079</v>
      </c>
    </row>
    <row r="142" spans="1:1">
      <c r="A142" s="88" t="s">
        <v>1895</v>
      </c>
    </row>
    <row r="143" spans="1:1">
      <c r="A143" s="88" t="s">
        <v>1267</v>
      </c>
    </row>
    <row r="144" spans="1:1">
      <c r="A144" s="88" t="s">
        <v>4080</v>
      </c>
    </row>
    <row r="145" spans="1:1">
      <c r="A145" s="88" t="s">
        <v>4081</v>
      </c>
    </row>
    <row r="146" spans="1:1">
      <c r="A146" s="88" t="s">
        <v>4082</v>
      </c>
    </row>
    <row r="147" spans="1:1">
      <c r="A147" s="88" t="s">
        <v>4083</v>
      </c>
    </row>
    <row r="149" spans="1:1">
      <c r="A149" s="88" t="s">
        <v>4084</v>
      </c>
    </row>
    <row r="150" spans="1:1">
      <c r="A150" s="88" t="s">
        <v>1699</v>
      </c>
    </row>
    <row r="151" spans="1:1">
      <c r="A151" s="88" t="s">
        <v>4085</v>
      </c>
    </row>
    <row r="152" spans="1:1">
      <c r="A152" s="88" t="s">
        <v>1263</v>
      </c>
    </row>
    <row r="153" spans="1:1">
      <c r="A153" s="88" t="s">
        <v>4086</v>
      </c>
    </row>
    <row r="154" spans="1:1">
      <c r="A154" s="88" t="s">
        <v>4087</v>
      </c>
    </row>
    <row r="155" spans="1:1">
      <c r="A155" s="88" t="s">
        <v>4088</v>
      </c>
    </row>
    <row r="156" spans="1:1">
      <c r="A156" s="88" t="s">
        <v>4089</v>
      </c>
    </row>
    <row r="157" spans="1:1">
      <c r="A157" s="88" t="s">
        <v>4090</v>
      </c>
    </row>
    <row r="159" spans="1:1">
      <c r="A159" s="88" t="s">
        <v>4091</v>
      </c>
    </row>
    <row r="160" spans="1:1">
      <c r="A160" s="88" t="s">
        <v>4092</v>
      </c>
    </row>
    <row r="161" spans="1:1">
      <c r="A161" s="88" t="s">
        <v>4093</v>
      </c>
    </row>
    <row r="162" spans="1:1">
      <c r="A162" s="88" t="s">
        <v>4094</v>
      </c>
    </row>
    <row r="163" spans="1:1">
      <c r="A163" s="88" t="s">
        <v>4095</v>
      </c>
    </row>
    <row r="164" spans="1:1">
      <c r="A164" s="88" t="s">
        <v>4096</v>
      </c>
    </row>
    <row r="165" spans="1:1">
      <c r="A165" s="88" t="s">
        <v>4097</v>
      </c>
    </row>
    <row r="167" spans="1:1">
      <c r="A167" s="88" t="s">
        <v>4098</v>
      </c>
    </row>
    <row r="168" spans="1:1">
      <c r="A168" s="88" t="s">
        <v>4099</v>
      </c>
    </row>
    <row r="169" spans="1:1">
      <c r="A169" s="88" t="s">
        <v>4100</v>
      </c>
    </row>
    <row r="170" spans="1:1">
      <c r="A170" s="88" t="s">
        <v>4101</v>
      </c>
    </row>
    <row r="171" spans="1:1">
      <c r="A171" s="88" t="s">
        <v>4102</v>
      </c>
    </row>
    <row r="172" spans="1:1">
      <c r="A172" s="88" t="s">
        <v>4103</v>
      </c>
    </row>
    <row r="173" spans="1:1">
      <c r="A173" s="93" t="s">
        <v>4104</v>
      </c>
    </row>
    <row r="175" spans="1:1">
      <c r="A175" s="88" t="s">
        <v>4105</v>
      </c>
    </row>
    <row r="176" spans="1:1">
      <c r="A176" s="88" t="s">
        <v>4092</v>
      </c>
    </row>
    <row r="177" spans="1:1">
      <c r="A177" s="88" t="s">
        <v>4106</v>
      </c>
    </row>
    <row r="178" spans="1:1">
      <c r="A178" s="88" t="s">
        <v>4094</v>
      </c>
    </row>
    <row r="179" spans="1:1">
      <c r="A179" s="88" t="s">
        <v>4107</v>
      </c>
    </row>
    <row r="180" spans="1:1">
      <c r="A180" s="88" t="s">
        <v>4108</v>
      </c>
    </row>
    <row r="181" spans="1:1">
      <c r="A181" s="88" t="s">
        <v>4109</v>
      </c>
    </row>
    <row r="183" spans="1:1">
      <c r="A183" s="88" t="s">
        <v>4110</v>
      </c>
    </row>
    <row r="184" spans="1:1">
      <c r="A184" s="88" t="s">
        <v>4092</v>
      </c>
    </row>
    <row r="185" spans="1:1">
      <c r="A185" s="88" t="s">
        <v>4111</v>
      </c>
    </row>
    <row r="186" spans="1:1">
      <c r="A186" s="88" t="s">
        <v>4112</v>
      </c>
    </row>
    <row r="187" spans="1:1">
      <c r="A187" s="88" t="s">
        <v>4113</v>
      </c>
    </row>
    <row r="188" spans="1:1">
      <c r="A188" s="88" t="s">
        <v>4114</v>
      </c>
    </row>
    <row r="189" spans="1:1">
      <c r="A189" s="88" t="s">
        <v>4115</v>
      </c>
    </row>
    <row r="191" spans="1:1">
      <c r="A191" s="88" t="s">
        <v>4116</v>
      </c>
    </row>
    <row r="192" spans="1:1">
      <c r="A192" s="88" t="s">
        <v>4099</v>
      </c>
    </row>
    <row r="193" spans="1:1">
      <c r="A193" s="88" t="s">
        <v>4117</v>
      </c>
    </row>
    <row r="194" spans="1:1">
      <c r="A194" s="88" t="s">
        <v>4118</v>
      </c>
    </row>
    <row r="195" spans="1:1">
      <c r="A195" s="88" t="s">
        <v>4119</v>
      </c>
    </row>
    <row r="196" spans="1:1">
      <c r="A196" s="88" t="s">
        <v>4120</v>
      </c>
    </row>
    <row r="197" spans="1:1">
      <c r="A197" s="88" t="s">
        <v>4121</v>
      </c>
    </row>
    <row r="199" spans="1:1">
      <c r="A199" s="88" t="s">
        <v>4122</v>
      </c>
    </row>
    <row r="200" spans="1:1">
      <c r="A200" s="88" t="s">
        <v>4123</v>
      </c>
    </row>
    <row r="201" spans="1:1">
      <c r="A201" s="88" t="s">
        <v>4124</v>
      </c>
    </row>
    <row r="202" spans="1:1">
      <c r="A202" s="88" t="s">
        <v>4125</v>
      </c>
    </row>
    <row r="203" spans="1:1">
      <c r="A203" s="88" t="s">
        <v>4126</v>
      </c>
    </row>
    <row r="204" spans="1:1">
      <c r="A204" s="88" t="s">
        <v>4127</v>
      </c>
    </row>
    <row r="206" spans="1:1">
      <c r="A206" s="88" t="s">
        <v>4128</v>
      </c>
    </row>
    <row r="207" spans="1:1">
      <c r="A207" s="88" t="s">
        <v>4123</v>
      </c>
    </row>
    <row r="208" spans="1:1">
      <c r="A208" s="88" t="s">
        <v>4129</v>
      </c>
    </row>
    <row r="209" spans="1:1">
      <c r="A209" s="88" t="s">
        <v>4130</v>
      </c>
    </row>
    <row r="210" spans="1:1">
      <c r="A210" s="88" t="s">
        <v>4131</v>
      </c>
    </row>
    <row r="211" spans="1:1">
      <c r="A211" s="88" t="s">
        <v>4132</v>
      </c>
    </row>
    <row r="213" spans="1:1">
      <c r="A213" s="88" t="s">
        <v>4133</v>
      </c>
    </row>
    <row r="214" spans="1:1">
      <c r="A214" s="88" t="s">
        <v>4123</v>
      </c>
    </row>
    <row r="215" spans="1:1">
      <c r="A215" s="88" t="s">
        <v>4124</v>
      </c>
    </row>
    <row r="216" spans="1:1">
      <c r="A216" s="88" t="s">
        <v>4134</v>
      </c>
    </row>
    <row r="217" spans="1:1">
      <c r="A217" s="88" t="s">
        <v>4135</v>
      </c>
    </row>
    <row r="218" spans="1:1">
      <c r="A218" s="88" t="s">
        <v>4136</v>
      </c>
    </row>
    <row r="220" spans="1:1">
      <c r="A220" s="88" t="s">
        <v>4137</v>
      </c>
    </row>
    <row r="221" spans="1:1">
      <c r="A221" s="88" t="s">
        <v>4099</v>
      </c>
    </row>
    <row r="222" spans="1:1">
      <c r="A222" s="88" t="s">
        <v>4093</v>
      </c>
    </row>
    <row r="223" spans="1:1">
      <c r="A223" s="88" t="s">
        <v>4129</v>
      </c>
    </row>
    <row r="224" spans="1:1">
      <c r="A224" s="88" t="s">
        <v>4138</v>
      </c>
    </row>
    <row r="225" spans="1:1">
      <c r="A225" s="88" t="s">
        <v>4139</v>
      </c>
    </row>
    <row r="226" spans="1:1">
      <c r="A226" s="88" t="s">
        <v>4140</v>
      </c>
    </row>
    <row r="228" spans="1:1">
      <c r="A228" s="88" t="s">
        <v>4141</v>
      </c>
    </row>
    <row r="229" spans="1:1">
      <c r="A229" s="88" t="s">
        <v>4142</v>
      </c>
    </row>
    <row r="230" spans="1:1">
      <c r="A230" s="88" t="s">
        <v>4129</v>
      </c>
    </row>
    <row r="231" spans="1:1">
      <c r="A231" s="88" t="s">
        <v>4143</v>
      </c>
    </row>
    <row r="232" spans="1:1">
      <c r="A232" s="88" t="s">
        <v>4144</v>
      </c>
    </row>
    <row r="233" spans="1:1">
      <c r="A233" s="88" t="s">
        <v>4145</v>
      </c>
    </row>
    <row r="235" spans="1:1">
      <c r="A235" s="88" t="s">
        <v>4146</v>
      </c>
    </row>
    <row r="236" spans="1:1">
      <c r="A236" s="88" t="s">
        <v>4147</v>
      </c>
    </row>
    <row r="237" spans="1:1">
      <c r="A237" s="88" t="s">
        <v>4148</v>
      </c>
    </row>
    <row r="238" spans="1:1">
      <c r="A238" s="88" t="s">
        <v>4149</v>
      </c>
    </row>
    <row r="239" spans="1:1">
      <c r="A239" s="88" t="s">
        <v>4150</v>
      </c>
    </row>
    <row r="240" spans="1:1">
      <c r="A240" s="88" t="s">
        <v>4151</v>
      </c>
    </row>
    <row r="242" spans="1:1">
      <c r="A242" s="88" t="s">
        <v>4152</v>
      </c>
    </row>
    <row r="243" spans="1:1">
      <c r="A243" s="88" t="s">
        <v>4099</v>
      </c>
    </row>
    <row r="244" spans="1:1">
      <c r="A244" s="88" t="s">
        <v>4153</v>
      </c>
    </row>
    <row r="245" spans="1:1">
      <c r="A245" s="88" t="s">
        <v>4154</v>
      </c>
    </row>
    <row r="246" spans="1:1">
      <c r="A246" s="88" t="s">
        <v>4155</v>
      </c>
    </row>
    <row r="247" spans="1:1">
      <c r="A247" s="88" t="s">
        <v>4156</v>
      </c>
    </row>
    <row r="248" spans="1:1">
      <c r="A248" s="88" t="s">
        <v>4157</v>
      </c>
    </row>
    <row r="250" spans="1:1">
      <c r="A250" s="88" t="s">
        <v>4158</v>
      </c>
    </row>
    <row r="251" spans="1:1">
      <c r="A251" s="88" t="s">
        <v>4099</v>
      </c>
    </row>
    <row r="252" spans="1:1">
      <c r="A252" s="88" t="s">
        <v>4159</v>
      </c>
    </row>
    <row r="253" spans="1:1">
      <c r="A253" s="88" t="s">
        <v>4160</v>
      </c>
    </row>
    <row r="254" spans="1:1">
      <c r="A254" s="88" t="s">
        <v>4161</v>
      </c>
    </row>
    <row r="255" spans="1:1">
      <c r="A255" s="88" t="s">
        <v>4162</v>
      </c>
    </row>
    <row r="256" spans="1:1">
      <c r="A256" s="88" t="s">
        <v>4163</v>
      </c>
    </row>
    <row r="258" spans="1:1">
      <c r="A258" s="88" t="s">
        <v>4164</v>
      </c>
    </row>
    <row r="259" spans="1:1">
      <c r="A259" s="88" t="s">
        <v>4165</v>
      </c>
    </row>
    <row r="260" spans="1:1">
      <c r="A260" s="88" t="s">
        <v>4166</v>
      </c>
    </row>
    <row r="261" spans="1:1">
      <c r="A261" s="88" t="s">
        <v>4167</v>
      </c>
    </row>
    <row r="262" spans="1:1">
      <c r="A262" s="88" t="s">
        <v>4168</v>
      </c>
    </row>
    <row r="264" spans="1:1">
      <c r="A264" s="88" t="s">
        <v>4169</v>
      </c>
    </row>
    <row r="265" spans="1:1">
      <c r="A265" s="88" t="s">
        <v>4092</v>
      </c>
    </row>
    <row r="266" spans="1:1">
      <c r="A266" s="88" t="s">
        <v>4170</v>
      </c>
    </row>
    <row r="267" spans="1:1">
      <c r="A267" s="88" t="s">
        <v>4094</v>
      </c>
    </row>
    <row r="268" spans="1:1">
      <c r="A268" s="88" t="s">
        <v>4171</v>
      </c>
    </row>
    <row r="269" spans="1:1">
      <c r="A269" s="88" t="s">
        <v>4172</v>
      </c>
    </row>
    <row r="271" spans="1:1">
      <c r="A271" s="88" t="s">
        <v>4173</v>
      </c>
    </row>
    <row r="272" spans="1:1">
      <c r="A272" s="88" t="s">
        <v>4092</v>
      </c>
    </row>
    <row r="273" spans="1:1">
      <c r="A273" s="88" t="s">
        <v>4174</v>
      </c>
    </row>
    <row r="274" spans="1:1">
      <c r="A274" s="88" t="s">
        <v>4175</v>
      </c>
    </row>
    <row r="275" spans="1:1">
      <c r="A275" s="88" t="s">
        <v>4176</v>
      </c>
    </row>
    <row r="276" spans="1:1">
      <c r="A276" s="88" t="s">
        <v>4177</v>
      </c>
    </row>
    <row r="277" spans="1:1">
      <c r="A277" s="88" t="s">
        <v>4178</v>
      </c>
    </row>
    <row r="279" spans="1:1">
      <c r="A279" s="88" t="s">
        <v>4179</v>
      </c>
    </row>
    <row r="280" spans="1:1">
      <c r="A280" s="88" t="s">
        <v>4092</v>
      </c>
    </row>
    <row r="281" spans="1:1">
      <c r="A281" s="88" t="s">
        <v>4180</v>
      </c>
    </row>
    <row r="282" spans="1:1">
      <c r="A282" s="88" t="s">
        <v>4181</v>
      </c>
    </row>
    <row r="283" spans="1:1">
      <c r="A283" s="88" t="s">
        <v>4182</v>
      </c>
    </row>
    <row r="284" spans="1:1">
      <c r="A284" s="88" t="s">
        <v>4183</v>
      </c>
    </row>
    <row r="285" spans="1:1">
      <c r="A285" s="88" t="s">
        <v>4184</v>
      </c>
    </row>
    <row r="287" spans="1:1">
      <c r="A287" s="88" t="s">
        <v>4185</v>
      </c>
    </row>
    <row r="288" spans="1:1">
      <c r="A288" s="88" t="s">
        <v>4092</v>
      </c>
    </row>
    <row r="289" spans="1:1">
      <c r="A289" s="88" t="s">
        <v>4186</v>
      </c>
    </row>
    <row r="290" spans="1:1">
      <c r="A290" s="88" t="s">
        <v>4187</v>
      </c>
    </row>
    <row r="291" spans="1:1">
      <c r="A291" s="88" t="s">
        <v>4188</v>
      </c>
    </row>
    <row r="292" spans="1:1">
      <c r="A292" s="88" t="s">
        <v>4189</v>
      </c>
    </row>
    <row r="293" spans="1:1">
      <c r="A293" s="88" t="s">
        <v>4190</v>
      </c>
    </row>
    <row r="295" spans="1:1">
      <c r="A295" s="88" t="s">
        <v>4191</v>
      </c>
    </row>
    <row r="296" spans="1:1">
      <c r="A296" s="88" t="s">
        <v>4092</v>
      </c>
    </row>
    <row r="297" spans="1:1">
      <c r="A297" s="88" t="s">
        <v>4192</v>
      </c>
    </row>
    <row r="298" spans="1:1">
      <c r="A298" s="88" t="s">
        <v>4094</v>
      </c>
    </row>
    <row r="299" spans="1:1">
      <c r="A299" s="88" t="s">
        <v>4193</v>
      </c>
    </row>
    <row r="300" spans="1:1">
      <c r="A300" s="88" t="s">
        <v>4194</v>
      </c>
    </row>
    <row r="302" spans="1:1">
      <c r="A302" s="88" t="s">
        <v>4195</v>
      </c>
    </row>
    <row r="303" spans="1:1">
      <c r="A303" s="88" t="s">
        <v>4092</v>
      </c>
    </row>
    <row r="304" spans="1:1">
      <c r="A304" s="88" t="s">
        <v>4196</v>
      </c>
    </row>
    <row r="305" spans="1:1">
      <c r="A305" s="88" t="s">
        <v>4160</v>
      </c>
    </row>
    <row r="306" spans="1:1">
      <c r="A306" s="88" t="s">
        <v>4197</v>
      </c>
    </row>
    <row r="307" spans="1:1">
      <c r="A307" s="88" t="s">
        <v>4198</v>
      </c>
    </row>
    <row r="308" spans="1:1">
      <c r="A308" s="88" t="s">
        <v>4199</v>
      </c>
    </row>
    <row r="310" spans="1:1">
      <c r="A310" s="88" t="s">
        <v>4200</v>
      </c>
    </row>
    <row r="311" spans="1:1">
      <c r="A311" s="88" t="s">
        <v>4099</v>
      </c>
    </row>
    <row r="312" spans="1:1">
      <c r="A312" s="88" t="s">
        <v>4201</v>
      </c>
    </row>
    <row r="313" spans="1:1">
      <c r="A313" s="88" t="s">
        <v>4202</v>
      </c>
    </row>
    <row r="314" spans="1:1">
      <c r="A314" s="88" t="s">
        <v>4203</v>
      </c>
    </row>
    <row r="315" spans="1:1">
      <c r="A315" s="88" t="s">
        <v>4204</v>
      </c>
    </row>
    <row r="317" spans="1:1">
      <c r="A317" s="88" t="s">
        <v>4205</v>
      </c>
    </row>
    <row r="318" spans="1:1">
      <c r="A318" s="88" t="s">
        <v>4201</v>
      </c>
    </row>
    <row r="319" spans="1:1">
      <c r="A319" s="88" t="s">
        <v>4206</v>
      </c>
    </row>
    <row r="320" spans="1:1">
      <c r="A320" s="88" t="s">
        <v>4203</v>
      </c>
    </row>
    <row r="321" spans="1:1">
      <c r="A321" s="88" t="s">
        <v>4207</v>
      </c>
    </row>
    <row r="323" spans="1:1">
      <c r="A323" s="88" t="s">
        <v>4208</v>
      </c>
    </row>
    <row r="324" spans="1:1">
      <c r="A324" s="88" t="s">
        <v>4201</v>
      </c>
    </row>
    <row r="325" spans="1:1">
      <c r="A325" s="88" t="s">
        <v>4209</v>
      </c>
    </row>
    <row r="326" spans="1:1">
      <c r="A326" s="88" t="s">
        <v>4203</v>
      </c>
    </row>
    <row r="327" spans="1:1">
      <c r="A327" s="88" t="s">
        <v>4210</v>
      </c>
    </row>
    <row r="329" spans="1:1">
      <c r="A329" s="88" t="s">
        <v>4211</v>
      </c>
    </row>
    <row r="330" spans="1:1">
      <c r="A330" s="88" t="s">
        <v>4212</v>
      </c>
    </row>
    <row r="331" spans="1:1">
      <c r="A331" s="88" t="s">
        <v>4213</v>
      </c>
    </row>
    <row r="332" spans="1:1">
      <c r="A332" s="88" t="s">
        <v>4214</v>
      </c>
    </row>
    <row r="333" spans="1:1">
      <c r="A333" s="88" t="s">
        <v>4215</v>
      </c>
    </row>
    <row r="334" spans="1:1">
      <c r="A334" s="88" t="s">
        <v>4216</v>
      </c>
    </row>
    <row r="336" spans="1:1">
      <c r="A336" s="88" t="s">
        <v>4217</v>
      </c>
    </row>
    <row r="337" spans="1:1">
      <c r="A337" s="88" t="s">
        <v>4218</v>
      </c>
    </row>
    <row r="338" spans="1:1">
      <c r="A338" s="88" t="s">
        <v>4094</v>
      </c>
    </row>
    <row r="339" spans="1:1">
      <c r="A339" s="88" t="s">
        <v>4219</v>
      </c>
    </row>
    <row r="340" spans="1:1">
      <c r="A340" s="88" t="s">
        <v>4220</v>
      </c>
    </row>
    <row r="341" spans="1:1">
      <c r="A341" s="88" t="s">
        <v>4221</v>
      </c>
    </row>
    <row r="343" spans="1:1">
      <c r="A343" s="88" t="s">
        <v>4222</v>
      </c>
    </row>
    <row r="344" spans="1:1">
      <c r="A344" s="88" t="s">
        <v>4223</v>
      </c>
    </row>
    <row r="345" spans="1:1">
      <c r="A345" s="88" t="s">
        <v>4224</v>
      </c>
    </row>
    <row r="347" spans="1:1">
      <c r="A347" s="88" t="s">
        <v>4225</v>
      </c>
    </row>
    <row r="348" spans="1:1">
      <c r="A348" s="88" t="s">
        <v>4196</v>
      </c>
    </row>
    <row r="349" spans="1:1">
      <c r="A349" s="88" t="s">
        <v>4226</v>
      </c>
    </row>
    <row r="351" spans="1:1">
      <c r="A351" s="88" t="s">
        <v>4227</v>
      </c>
    </row>
    <row r="352" spans="1:1">
      <c r="A352" s="88" t="s">
        <v>4170</v>
      </c>
    </row>
    <row r="353" spans="1:1">
      <c r="A353" s="88" t="s">
        <v>4228</v>
      </c>
    </row>
    <row r="355" spans="1:1">
      <c r="A355" s="88" t="s">
        <v>4229</v>
      </c>
    </row>
    <row r="356" spans="1:1">
      <c r="A356" s="88" t="s">
        <v>4230</v>
      </c>
    </row>
    <row r="357" spans="1:1">
      <c r="A357" s="88" t="s">
        <v>4231</v>
      </c>
    </row>
    <row r="358" spans="1:1">
      <c r="A358" s="88" t="s">
        <v>4232</v>
      </c>
    </row>
    <row r="359" spans="1:1">
      <c r="A359" s="88" t="s">
        <v>4233</v>
      </c>
    </row>
    <row r="361" spans="1:1">
      <c r="A361" s="88" t="s">
        <v>4234</v>
      </c>
    </row>
    <row r="362" spans="1:1">
      <c r="A362" s="88" t="s">
        <v>4235</v>
      </c>
    </row>
    <row r="363" spans="1:1">
      <c r="A363" s="88" t="s">
        <v>4175</v>
      </c>
    </row>
    <row r="364" spans="1:1">
      <c r="A364" s="88" t="s">
        <v>4236</v>
      </c>
    </row>
    <row r="365" spans="1:1">
      <c r="A365" s="88" t="s">
        <v>4237</v>
      </c>
    </row>
    <row r="366" spans="1:1">
      <c r="A366" s="88" t="s">
        <v>4190</v>
      </c>
    </row>
    <row r="368" spans="1:1">
      <c r="A368" s="88" t="s">
        <v>4238</v>
      </c>
    </row>
    <row r="369" spans="1:1">
      <c r="A369" s="88" t="s">
        <v>4239</v>
      </c>
    </row>
    <row r="370" spans="1:1">
      <c r="A370" s="88" t="s">
        <v>4240</v>
      </c>
    </row>
    <row r="371" spans="1:1">
      <c r="A371" s="88" t="s">
        <v>4241</v>
      </c>
    </row>
    <row r="372" spans="1:1">
      <c r="A372" s="88" t="s">
        <v>4242</v>
      </c>
    </row>
    <row r="373" spans="1:1">
      <c r="A373" s="88" t="s">
        <v>4243</v>
      </c>
    </row>
    <row r="375" spans="1:1">
      <c r="A375" s="88" t="s">
        <v>4244</v>
      </c>
    </row>
    <row r="376" spans="1:1">
      <c r="A376" s="88" t="s">
        <v>4245</v>
      </c>
    </row>
    <row r="377" spans="1:1">
      <c r="A377" s="88" t="s">
        <v>4246</v>
      </c>
    </row>
    <row r="378" spans="1:1">
      <c r="A378" s="88" t="s">
        <v>4247</v>
      </c>
    </row>
    <row r="379" spans="1:1">
      <c r="A379" s="88" t="s">
        <v>4248</v>
      </c>
    </row>
    <row r="380" spans="1:1">
      <c r="A380" s="88" t="s">
        <v>4249</v>
      </c>
    </row>
    <row r="382" spans="1:1">
      <c r="A382" s="88" t="s">
        <v>4250</v>
      </c>
    </row>
    <row r="383" spans="1:1">
      <c r="A383" s="88" t="s">
        <v>4251</v>
      </c>
    </row>
    <row r="384" spans="1:1">
      <c r="A384" s="88" t="s">
        <v>4252</v>
      </c>
    </row>
    <row r="385" spans="1:1">
      <c r="A385" s="88" t="s">
        <v>4231</v>
      </c>
    </row>
    <row r="386" spans="1:1">
      <c r="A386" s="88" t="s">
        <v>4253</v>
      </c>
    </row>
    <row r="387" spans="1:1">
      <c r="A387" s="88" t="s">
        <v>4254</v>
      </c>
    </row>
    <row r="388" spans="1:1">
      <c r="A388" s="88" t="s">
        <v>4255</v>
      </c>
    </row>
    <row r="389" spans="1:1">
      <c r="A389" s="88" t="s">
        <v>4256</v>
      </c>
    </row>
    <row r="391" spans="1:1">
      <c r="A391" s="88" t="s">
        <v>4257</v>
      </c>
    </row>
    <row r="392" spans="1:1">
      <c r="A392" s="88" t="s">
        <v>4092</v>
      </c>
    </row>
    <row r="393" spans="1:1">
      <c r="A393" s="88" t="s">
        <v>4258</v>
      </c>
    </row>
    <row r="394" spans="1:1">
      <c r="A394" s="88" t="s">
        <v>4231</v>
      </c>
    </row>
    <row r="395" spans="1:1">
      <c r="A395" s="88" t="s">
        <v>4253</v>
      </c>
    </row>
    <row r="396" spans="1:1">
      <c r="A396" s="88" t="s">
        <v>4259</v>
      </c>
    </row>
    <row r="397" spans="1:1">
      <c r="A397" s="88" t="s">
        <v>4260</v>
      </c>
    </row>
    <row r="398" spans="1:1">
      <c r="A398" s="88" t="s">
        <v>4261</v>
      </c>
    </row>
    <row r="400" spans="1:1">
      <c r="A400" s="88" t="s">
        <v>4262</v>
      </c>
    </row>
    <row r="401" spans="1:1">
      <c r="A401" s="88" t="s">
        <v>4263</v>
      </c>
    </row>
    <row r="402" spans="1:1">
      <c r="A402" s="88" t="s">
        <v>4231</v>
      </c>
    </row>
    <row r="403" spans="1:1">
      <c r="A403" s="88" t="s">
        <v>4264</v>
      </c>
    </row>
    <row r="404" spans="1:1">
      <c r="A404" s="88" t="s">
        <v>4265</v>
      </c>
    </row>
    <row r="405" spans="1:1">
      <c r="A405" s="88" t="s">
        <v>4266</v>
      </c>
    </row>
    <row r="407" spans="1:1">
      <c r="A407" s="88" t="s">
        <v>4267</v>
      </c>
    </row>
    <row r="408" spans="1:1">
      <c r="A408" s="88" t="s">
        <v>4268</v>
      </c>
    </row>
    <row r="409" spans="1:1">
      <c r="A409" s="88" t="s">
        <v>4094</v>
      </c>
    </row>
    <row r="410" spans="1:1">
      <c r="A410" s="88" t="s">
        <v>4269</v>
      </c>
    </row>
    <row r="411" spans="1:1">
      <c r="A411" s="88" t="s">
        <v>4270</v>
      </c>
    </row>
    <row r="412" spans="1:1">
      <c r="A412" s="88" t="s">
        <v>4271</v>
      </c>
    </row>
    <row r="414" spans="1:1">
      <c r="A414" s="88" t="s">
        <v>4272</v>
      </c>
    </row>
    <row r="415" spans="1:1">
      <c r="A415" s="88" t="s">
        <v>4251</v>
      </c>
    </row>
    <row r="416" spans="1:1">
      <c r="A416" s="88" t="s">
        <v>4273</v>
      </c>
    </row>
    <row r="417" spans="1:1">
      <c r="A417" s="88" t="s">
        <v>4181</v>
      </c>
    </row>
    <row r="418" spans="1:1">
      <c r="A418" s="88" t="s">
        <v>4253</v>
      </c>
    </row>
    <row r="419" spans="1:1">
      <c r="A419" s="88" t="s">
        <v>4274</v>
      </c>
    </row>
    <row r="420" spans="1:1">
      <c r="A420" s="88" t="s">
        <v>4275</v>
      </c>
    </row>
    <row r="422" spans="1:1">
      <c r="A422" s="88" t="s">
        <v>4276</v>
      </c>
    </row>
    <row r="423" spans="1:1">
      <c r="A423" s="88" t="s">
        <v>4277</v>
      </c>
    </row>
    <row r="424" spans="1:1">
      <c r="A424" s="88" t="s">
        <v>4278</v>
      </c>
    </row>
    <row r="425" spans="1:1">
      <c r="A425" s="88" t="s">
        <v>4279</v>
      </c>
    </row>
    <row r="426" spans="1:1">
      <c r="A426" s="88" t="s">
        <v>4280</v>
      </c>
    </row>
    <row r="428" spans="1:1">
      <c r="A428" s="88"/>
    </row>
    <row r="430" spans="1:1">
      <c r="A430" s="88" t="s">
        <v>4281</v>
      </c>
    </row>
    <row r="431" spans="1:1">
      <c r="A431" s="88" t="s">
        <v>4282</v>
      </c>
    </row>
    <row r="432" spans="1:1">
      <c r="A432" s="88" t="s">
        <v>4283</v>
      </c>
    </row>
    <row r="433" spans="1:1">
      <c r="A433" s="88" t="s">
        <v>4284</v>
      </c>
    </row>
    <row r="435" spans="1:1">
      <c r="A435" s="88" t="s">
        <v>4285</v>
      </c>
    </row>
    <row r="436" spans="1:1">
      <c r="A436" s="88" t="s">
        <v>4286</v>
      </c>
    </row>
    <row r="437" spans="1:1">
      <c r="A437" s="88" t="s">
        <v>4287</v>
      </c>
    </row>
    <row r="438" spans="1:1">
      <c r="A438" s="88" t="s">
        <v>4288</v>
      </c>
    </row>
    <row r="439" spans="1:1">
      <c r="A439" s="88" t="s">
        <v>4289</v>
      </c>
    </row>
    <row r="441" spans="1:1">
      <c r="A441" s="88" t="s">
        <v>4290</v>
      </c>
    </row>
    <row r="442" spans="1:1">
      <c r="A442" s="88" t="s">
        <v>4291</v>
      </c>
    </row>
    <row r="443" spans="1:1">
      <c r="A443" s="88" t="s">
        <v>4292</v>
      </c>
    </row>
    <row r="444" spans="1:1">
      <c r="A444" s="88" t="s">
        <v>4293</v>
      </c>
    </row>
    <row r="445" spans="1:1">
      <c r="A445" s="88" t="s">
        <v>4294</v>
      </c>
    </row>
    <row r="448" spans="1:1">
      <c r="A448" s="88" t="s">
        <v>4295</v>
      </c>
    </row>
    <row r="449" spans="1:1">
      <c r="A449" s="88" t="s">
        <v>4235</v>
      </c>
    </row>
    <row r="450" spans="1:1">
      <c r="A450" s="88" t="s">
        <v>4296</v>
      </c>
    </row>
    <row r="451" spans="1:1">
      <c r="A451" s="88" t="s">
        <v>4297</v>
      </c>
    </row>
    <row r="452" spans="1:1">
      <c r="A452" s="88" t="s">
        <v>4298</v>
      </c>
    </row>
    <row r="454" spans="1:1">
      <c r="A454" s="88" t="s">
        <v>4299</v>
      </c>
    </row>
    <row r="455" spans="1:1">
      <c r="A455" s="88" t="s">
        <v>4300</v>
      </c>
    </row>
    <row r="456" spans="1:1">
      <c r="A456" s="88" t="s">
        <v>4301</v>
      </c>
    </row>
    <row r="457" spans="1:1">
      <c r="A457" s="88" t="s">
        <v>4302</v>
      </c>
    </row>
    <row r="459" spans="1:1">
      <c r="A459" s="88" t="s">
        <v>4303</v>
      </c>
    </row>
    <row r="460" spans="1:1">
      <c r="A460" s="88" t="s">
        <v>4304</v>
      </c>
    </row>
    <row r="461" spans="1:1">
      <c r="A461" s="88" t="s">
        <v>4305</v>
      </c>
    </row>
    <row r="462" spans="1:1">
      <c r="A462" s="88" t="s">
        <v>4306</v>
      </c>
    </row>
    <row r="464" spans="1:1">
      <c r="A464" s="88" t="s">
        <v>4307</v>
      </c>
    </row>
    <row r="465" spans="1:1">
      <c r="A465" s="88" t="s">
        <v>4308</v>
      </c>
    </row>
    <row r="466" spans="1:1">
      <c r="A466" s="88" t="s">
        <v>4309</v>
      </c>
    </row>
    <row r="467" spans="1:1">
      <c r="A467" s="88" t="s">
        <v>4310</v>
      </c>
    </row>
    <row r="468" spans="1:1">
      <c r="A468" s="88" t="s">
        <v>4311</v>
      </c>
    </row>
    <row r="470" spans="1:1">
      <c r="A470" s="88" t="s">
        <v>4312</v>
      </c>
    </row>
    <row r="471" spans="1:1">
      <c r="A471" s="88" t="s">
        <v>4313</v>
      </c>
    </row>
    <row r="472" spans="1:1">
      <c r="A472" s="88" t="s">
        <v>4314</v>
      </c>
    </row>
    <row r="473" spans="1:1">
      <c r="A473" s="88" t="s">
        <v>4315</v>
      </c>
    </row>
    <row r="474" spans="1:1">
      <c r="A474" s="88" t="s">
        <v>4316</v>
      </c>
    </row>
    <row r="476" spans="1:1">
      <c r="A476" s="88" t="s">
        <v>4317</v>
      </c>
    </row>
    <row r="477" spans="1:1">
      <c r="A477" s="88" t="s">
        <v>4318</v>
      </c>
    </row>
    <row r="478" spans="1:1">
      <c r="A478" s="88" t="s">
        <v>4319</v>
      </c>
    </row>
    <row r="479" spans="1:1">
      <c r="A479" s="88" t="s">
        <v>4320</v>
      </c>
    </row>
    <row r="481" spans="1:1">
      <c r="A481" s="88" t="s">
        <v>4321</v>
      </c>
    </row>
    <row r="482" spans="1:1">
      <c r="A482" s="88" t="s">
        <v>4322</v>
      </c>
    </row>
    <row r="483" spans="1:1">
      <c r="A483" s="88" t="s">
        <v>4323</v>
      </c>
    </row>
    <row r="484" spans="1:1">
      <c r="A484" s="88" t="s">
        <v>4324</v>
      </c>
    </row>
    <row r="485" spans="1:1">
      <c r="A485" s="88" t="s">
        <v>4325</v>
      </c>
    </row>
    <row r="487" spans="1:1">
      <c r="A487" s="88" t="s">
        <v>4326</v>
      </c>
    </row>
    <row r="488" spans="1:1">
      <c r="A488" s="88" t="s">
        <v>4327</v>
      </c>
    </row>
    <row r="489" spans="1:1">
      <c r="A489" s="88" t="s">
        <v>4328</v>
      </c>
    </row>
    <row r="490" spans="1:1">
      <c r="A490" s="88" t="s">
        <v>4329</v>
      </c>
    </row>
    <row r="491" spans="1:1">
      <c r="A491" s="88" t="s">
        <v>4330</v>
      </c>
    </row>
    <row r="493" spans="1:1">
      <c r="A493" s="88" t="s">
        <v>4331</v>
      </c>
    </row>
    <row r="494" spans="1:1">
      <c r="A494" s="88" t="s">
        <v>4332</v>
      </c>
    </row>
    <row r="495" spans="1:1">
      <c r="A495" s="88" t="s">
        <v>4333</v>
      </c>
    </row>
    <row r="496" spans="1:1">
      <c r="A496" s="88" t="s">
        <v>4334</v>
      </c>
    </row>
    <row r="497" spans="1:1">
      <c r="A497" s="88" t="s">
        <v>4335</v>
      </c>
    </row>
    <row r="499" spans="1:1">
      <c r="A499" s="88" t="s">
        <v>4336</v>
      </c>
    </row>
    <row r="500" spans="1:1">
      <c r="A500" s="88" t="s">
        <v>4337</v>
      </c>
    </row>
    <row r="501" spans="1:1">
      <c r="A501" s="88" t="s">
        <v>4338</v>
      </c>
    </row>
    <row r="502" spans="1:1">
      <c r="A502" s="88" t="s">
        <v>4339</v>
      </c>
    </row>
    <row r="504" spans="1:1">
      <c r="A504" s="88" t="s">
        <v>4340</v>
      </c>
    </row>
    <row r="505" spans="1:1">
      <c r="A505" s="88" t="s">
        <v>4196</v>
      </c>
    </row>
    <row r="506" spans="1:1">
      <c r="A506" s="88" t="s">
        <v>4341</v>
      </c>
    </row>
    <row r="507" spans="1:1">
      <c r="A507" s="88" t="s">
        <v>4342</v>
      </c>
    </row>
    <row r="508" spans="1:1">
      <c r="A508" s="88" t="s">
        <v>4343</v>
      </c>
    </row>
    <row r="510" spans="1:1">
      <c r="A510" s="88" t="s">
        <v>4344</v>
      </c>
    </row>
    <row r="511" spans="1:1">
      <c r="A511" s="88" t="s">
        <v>4345</v>
      </c>
    </row>
    <row r="512" spans="1:1">
      <c r="A512" s="88" t="s">
        <v>4346</v>
      </c>
    </row>
    <row r="513" spans="1:1">
      <c r="A513" s="88" t="s">
        <v>4347</v>
      </c>
    </row>
    <row r="514" spans="1:1">
      <c r="A514" s="88" t="s">
        <v>4348</v>
      </c>
    </row>
    <row r="516" spans="1:1">
      <c r="A516" s="88" t="s">
        <v>4349</v>
      </c>
    </row>
    <row r="517" spans="1:1">
      <c r="A517" s="88" t="s">
        <v>4350</v>
      </c>
    </row>
    <row r="518" spans="1:1">
      <c r="A518" s="88" t="s">
        <v>4181</v>
      </c>
    </row>
    <row r="519" spans="1:1">
      <c r="A519" s="88" t="s">
        <v>4351</v>
      </c>
    </row>
    <row r="520" spans="1:1">
      <c r="A520" s="88" t="s">
        <v>4352</v>
      </c>
    </row>
    <row r="521" spans="1:1">
      <c r="A521" s="88" t="s">
        <v>4353</v>
      </c>
    </row>
    <row r="523" spans="1:1">
      <c r="A523" s="88" t="s">
        <v>4354</v>
      </c>
    </row>
    <row r="524" spans="1:1">
      <c r="A524" s="88" t="s">
        <v>4355</v>
      </c>
    </row>
    <row r="525" spans="1:1">
      <c r="A525" s="88" t="s">
        <v>4356</v>
      </c>
    </row>
    <row r="526" spans="1:1">
      <c r="A526" s="88" t="s">
        <v>4357</v>
      </c>
    </row>
    <row r="528" spans="1:1">
      <c r="A528" s="88" t="s">
        <v>4358</v>
      </c>
    </row>
    <row r="529" spans="1:1">
      <c r="A529" s="88" t="s">
        <v>4359</v>
      </c>
    </row>
    <row r="530" spans="1:1">
      <c r="A530" s="88" t="s">
        <v>4360</v>
      </c>
    </row>
    <row r="531" spans="1:1">
      <c r="A531" s="88" t="s">
        <v>4361</v>
      </c>
    </row>
    <row r="532" spans="1:1">
      <c r="A532" s="88" t="s">
        <v>4362</v>
      </c>
    </row>
    <row r="534" spans="1:1">
      <c r="A534" s="88" t="s">
        <v>4363</v>
      </c>
    </row>
    <row r="535" spans="1:1">
      <c r="A535" s="88" t="s">
        <v>4364</v>
      </c>
    </row>
    <row r="536" spans="1:1">
      <c r="A536" s="88" t="s">
        <v>4365</v>
      </c>
    </row>
    <row r="537" spans="1:1">
      <c r="A537" s="88" t="s">
        <v>4366</v>
      </c>
    </row>
    <row r="538" spans="1:1">
      <c r="A538" s="88" t="s">
        <v>4367</v>
      </c>
    </row>
    <row r="539" spans="1:1">
      <c r="A539" s="88" t="s">
        <v>4368</v>
      </c>
    </row>
    <row r="541" spans="1:1">
      <c r="A541" s="88" t="s">
        <v>4369</v>
      </c>
    </row>
    <row r="542" spans="1:1">
      <c r="A542" s="88" t="s">
        <v>4370</v>
      </c>
    </row>
    <row r="543" spans="1:1">
      <c r="A543" s="88" t="s">
        <v>4371</v>
      </c>
    </row>
    <row r="544" spans="1:1">
      <c r="A544" s="88" t="s">
        <v>4372</v>
      </c>
    </row>
    <row r="545" spans="1:1">
      <c r="A545" s="88" t="s">
        <v>4373</v>
      </c>
    </row>
    <row r="546" spans="1:1">
      <c r="A546" s="88" t="s">
        <v>4374</v>
      </c>
    </row>
    <row r="548" spans="1:1">
      <c r="A548" s="88" t="s">
        <v>4375</v>
      </c>
    </row>
    <row r="549" spans="1:1">
      <c r="A549" s="88" t="s">
        <v>4376</v>
      </c>
    </row>
    <row r="550" spans="1:1">
      <c r="A550" s="88" t="s">
        <v>4129</v>
      </c>
    </row>
    <row r="551" spans="1:1">
      <c r="A551" s="88" t="s">
        <v>4377</v>
      </c>
    </row>
    <row r="552" spans="1:1">
      <c r="A552" s="88" t="s">
        <v>4378</v>
      </c>
    </row>
    <row r="553" spans="1:1">
      <c r="A553" s="88" t="s">
        <v>4379</v>
      </c>
    </row>
    <row r="555" spans="1:1">
      <c r="A555" s="88" t="s">
        <v>4380</v>
      </c>
    </row>
    <row r="556" spans="1:1">
      <c r="A556" s="88" t="s">
        <v>4142</v>
      </c>
    </row>
    <row r="557" spans="1:1">
      <c r="A557" s="88" t="s">
        <v>4381</v>
      </c>
    </row>
    <row r="558" spans="1:1">
      <c r="A558" s="88" t="s">
        <v>4382</v>
      </c>
    </row>
    <row r="559" spans="1:1">
      <c r="A559" s="88" t="s">
        <v>4383</v>
      </c>
    </row>
    <row r="560" spans="1:1">
      <c r="A560" s="88" t="s">
        <v>4384</v>
      </c>
    </row>
    <row r="562" spans="1:1">
      <c r="A562" s="88" t="s">
        <v>4385</v>
      </c>
    </row>
    <row r="563" spans="1:1">
      <c r="A563" s="88" t="s">
        <v>4142</v>
      </c>
    </row>
    <row r="564" spans="1:1">
      <c r="A564" s="88" t="s">
        <v>4386</v>
      </c>
    </row>
    <row r="565" spans="1:1">
      <c r="A565" s="88" t="s">
        <v>4387</v>
      </c>
    </row>
    <row r="566" spans="1:1">
      <c r="A566" s="88" t="s">
        <v>4388</v>
      </c>
    </row>
    <row r="567" spans="1:1">
      <c r="A567" s="88" t="s">
        <v>4389</v>
      </c>
    </row>
    <row r="569" spans="1:1">
      <c r="A569" s="88" t="s">
        <v>4390</v>
      </c>
    </row>
    <row r="570" spans="1:1">
      <c r="A570" s="88" t="s">
        <v>4142</v>
      </c>
    </row>
    <row r="571" spans="1:1">
      <c r="A571" s="88" t="s">
        <v>4391</v>
      </c>
    </row>
    <row r="572" spans="1:1">
      <c r="A572" s="88" t="s">
        <v>4392</v>
      </c>
    </row>
    <row r="573" spans="1:1">
      <c r="A573" s="88" t="s">
        <v>4393</v>
      </c>
    </row>
    <row r="574" spans="1:1">
      <c r="A574" s="88" t="s">
        <v>4394</v>
      </c>
    </row>
    <row r="576" spans="1:1">
      <c r="A576" s="88" t="s">
        <v>4395</v>
      </c>
    </row>
    <row r="577" spans="1:1">
      <c r="A577" s="88" t="s">
        <v>4142</v>
      </c>
    </row>
    <row r="578" spans="1:1">
      <c r="A578" s="88" t="s">
        <v>4129</v>
      </c>
    </row>
    <row r="579" spans="1:1">
      <c r="A579" s="88" t="s">
        <v>4396</v>
      </c>
    </row>
    <row r="580" spans="1:1">
      <c r="A580" s="88" t="s">
        <v>4397</v>
      </c>
    </row>
    <row r="581" spans="1:1">
      <c r="A581" s="88" t="s">
        <v>4398</v>
      </c>
    </row>
    <row r="583" spans="1:1">
      <c r="A583" s="88" t="s">
        <v>4399</v>
      </c>
    </row>
    <row r="584" spans="1:1">
      <c r="A584" s="88" t="s">
        <v>4142</v>
      </c>
    </row>
    <row r="585" spans="1:1">
      <c r="A585" s="88" t="s">
        <v>4400</v>
      </c>
    </row>
    <row r="586" spans="1:1">
      <c r="A586" s="88" t="s">
        <v>4401</v>
      </c>
    </row>
    <row r="587" spans="1:1">
      <c r="A587" s="88" t="s">
        <v>4402</v>
      </c>
    </row>
    <row r="588" spans="1:1">
      <c r="A588" s="88" t="s">
        <v>4403</v>
      </c>
    </row>
    <row r="590" spans="1:1">
      <c r="A590" s="88" t="s">
        <v>4404</v>
      </c>
    </row>
    <row r="591" spans="1:1">
      <c r="A591" s="88" t="s">
        <v>4142</v>
      </c>
    </row>
    <row r="592" spans="1:1">
      <c r="A592" s="88" t="s">
        <v>4175</v>
      </c>
    </row>
    <row r="593" spans="1:1">
      <c r="A593" s="88" t="s">
        <v>4405</v>
      </c>
    </row>
    <row r="594" spans="1:1">
      <c r="A594" s="88" t="s">
        <v>4406</v>
      </c>
    </row>
    <row r="596" spans="1:1">
      <c r="A596" s="88" t="s">
        <v>4407</v>
      </c>
    </row>
    <row r="597" spans="1:1">
      <c r="A597" s="88" t="s">
        <v>4093</v>
      </c>
    </row>
    <row r="598" spans="1:1">
      <c r="A598" s="88" t="s">
        <v>4408</v>
      </c>
    </row>
    <row r="599" spans="1:1">
      <c r="A599" s="88" t="s">
        <v>4095</v>
      </c>
    </row>
    <row r="600" spans="1:1">
      <c r="A600" s="88" t="s">
        <v>4409</v>
      </c>
    </row>
    <row r="602" spans="1:1">
      <c r="A602" s="88" t="s">
        <v>4410</v>
      </c>
    </row>
    <row r="603" spans="1:1">
      <c r="A603" s="88" t="s">
        <v>4411</v>
      </c>
    </row>
    <row r="604" spans="1:1">
      <c r="A604" s="88" t="s">
        <v>4412</v>
      </c>
    </row>
    <row r="605" spans="1:1">
      <c r="A605" s="88" t="s">
        <v>4413</v>
      </c>
    </row>
    <row r="606" spans="1:1">
      <c r="A606" s="88" t="s">
        <v>4414</v>
      </c>
    </row>
    <row r="607" spans="1:1">
      <c r="A607" s="88" t="s">
        <v>4415</v>
      </c>
    </row>
    <row r="609" spans="1:1">
      <c r="A609" s="88" t="s">
        <v>4416</v>
      </c>
    </row>
    <row r="610" spans="1:1">
      <c r="A610" s="88" t="s">
        <v>4411</v>
      </c>
    </row>
    <row r="611" spans="1:1">
      <c r="A611" s="88" t="s">
        <v>4417</v>
      </c>
    </row>
    <row r="612" spans="1:1">
      <c r="A612" s="88" t="s">
        <v>4418</v>
      </c>
    </row>
    <row r="613" spans="1:1">
      <c r="A613" s="88" t="s">
        <v>4419</v>
      </c>
    </row>
    <row r="614" spans="1:1">
      <c r="A614" s="88" t="s">
        <v>4420</v>
      </c>
    </row>
    <row r="616" spans="1:1">
      <c r="A616" s="88" t="s">
        <v>4421</v>
      </c>
    </row>
    <row r="617" spans="1:1">
      <c r="A617" s="88" t="s">
        <v>4300</v>
      </c>
    </row>
    <row r="618" spans="1:1">
      <c r="A618" s="88" t="s">
        <v>4422</v>
      </c>
    </row>
    <row r="619" spans="1:1">
      <c r="A619" s="88" t="s">
        <v>4423</v>
      </c>
    </row>
    <row r="620" spans="1:1">
      <c r="A620" s="88" t="s">
        <v>4424</v>
      </c>
    </row>
    <row r="622" spans="1:1">
      <c r="A622" s="88" t="s">
        <v>4425</v>
      </c>
    </row>
    <row r="623" spans="1:1">
      <c r="A623" s="88" t="s">
        <v>4426</v>
      </c>
    </row>
    <row r="624" spans="1:1">
      <c r="A624" s="88" t="s">
        <v>4427</v>
      </c>
    </row>
    <row r="625" spans="1:1">
      <c r="A625" s="88" t="s">
        <v>4428</v>
      </c>
    </row>
    <row r="626" spans="1:1">
      <c r="A626" s="88" t="s">
        <v>4429</v>
      </c>
    </row>
    <row r="627" spans="1:1">
      <c r="A627" s="88" t="s">
        <v>4430</v>
      </c>
    </row>
    <row r="629" spans="1:1">
      <c r="A629" s="205" t="s">
        <v>4431</v>
      </c>
    </row>
    <row r="630" spans="1:1">
      <c r="A630" s="205" t="s">
        <v>4251</v>
      </c>
    </row>
    <row r="631" spans="1:1">
      <c r="A631" s="205" t="s">
        <v>4432</v>
      </c>
    </row>
    <row r="632" spans="1:1">
      <c r="A632" s="205" t="s">
        <v>4181</v>
      </c>
    </row>
    <row r="633" spans="1:1">
      <c r="A633" s="205" t="s">
        <v>4253</v>
      </c>
    </row>
    <row r="634" spans="1:1">
      <c r="A634" s="205" t="s">
        <v>4433</v>
      </c>
    </row>
    <row r="635" spans="1:1">
      <c r="A635" s="205" t="s">
        <v>4434</v>
      </c>
    </row>
    <row r="636" spans="1:1">
      <c r="A636" s="205" t="s">
        <v>4435</v>
      </c>
    </row>
    <row r="638" spans="1:1">
      <c r="A638" s="88"/>
    </row>
    <row r="639" spans="1:1">
      <c r="A639" s="88"/>
    </row>
    <row r="640" spans="1:1">
      <c r="A640" s="88" t="s">
        <v>4179</v>
      </c>
    </row>
    <row r="641" spans="1:1">
      <c r="A641" s="88" t="s">
        <v>4180</v>
      </c>
    </row>
    <row r="642" spans="1:1">
      <c r="A642" s="88" t="s">
        <v>4181</v>
      </c>
    </row>
    <row r="643" spans="1:1">
      <c r="A643" s="88" t="s">
        <v>4436</v>
      </c>
    </row>
    <row r="644" spans="1:1">
      <c r="A644" s="88" t="s">
        <v>4183</v>
      </c>
    </row>
    <row r="645" spans="1:1">
      <c r="A645" s="88" t="s">
        <v>4184</v>
      </c>
    </row>
    <row r="646" spans="1:1">
      <c r="A646" s="88" t="s">
        <v>4437</v>
      </c>
    </row>
    <row r="647" spans="1:1">
      <c r="A647" s="88" t="s">
        <v>4438</v>
      </c>
    </row>
    <row r="648" spans="1:1">
      <c r="A648" s="88" t="s">
        <v>4427</v>
      </c>
    </row>
    <row r="649" spans="1:1">
      <c r="A649" s="88" t="s">
        <v>4439</v>
      </c>
    </row>
    <row r="650" spans="1:1">
      <c r="A650" s="88" t="s">
        <v>4440</v>
      </c>
    </row>
    <row r="651" spans="1:1">
      <c r="A651" s="88" t="s">
        <v>4441</v>
      </c>
    </row>
    <row r="652" spans="1:1">
      <c r="A652" s="88" t="s">
        <v>4442</v>
      </c>
    </row>
    <row r="653" spans="1:1">
      <c r="A653" s="88" t="s">
        <v>4443</v>
      </c>
    </row>
    <row r="654" spans="1:1">
      <c r="A654" s="88" t="s">
        <v>4444</v>
      </c>
    </row>
    <row r="655" spans="1:1">
      <c r="A655" s="88" t="s">
        <v>4445</v>
      </c>
    </row>
    <row r="656" spans="1:1">
      <c r="A656" s="88" t="s">
        <v>4446</v>
      </c>
    </row>
    <row r="657" spans="1:1">
      <c r="A657" s="88" t="s">
        <v>4447</v>
      </c>
    </row>
    <row r="658" spans="1:1">
      <c r="A658" s="88" t="s">
        <v>4448</v>
      </c>
    </row>
    <row r="659" spans="1:1">
      <c r="A659" s="88" t="s">
        <v>4449</v>
      </c>
    </row>
    <row r="660" spans="1:1">
      <c r="A660" s="88" t="s">
        <v>4450</v>
      </c>
    </row>
    <row r="661" spans="1:1">
      <c r="A661" s="88" t="s">
        <v>4451</v>
      </c>
    </row>
    <row r="662" spans="1:1">
      <c r="A662" s="88" t="s">
        <v>4452</v>
      </c>
    </row>
    <row r="663" spans="1:1">
      <c r="A663" s="88" t="s">
        <v>4453</v>
      </c>
    </row>
    <row r="664" spans="1:1">
      <c r="A664" s="88" t="s">
        <v>4454</v>
      </c>
    </row>
    <row r="665" spans="1:1">
      <c r="A665" s="88" t="s">
        <v>4449</v>
      </c>
    </row>
    <row r="666" spans="1:1">
      <c r="A666" s="88" t="s">
        <v>4455</v>
      </c>
    </row>
    <row r="667" spans="1:1">
      <c r="A667" s="88" t="s">
        <v>4456</v>
      </c>
    </row>
    <row r="668" spans="1:1">
      <c r="A668" s="88" t="s">
        <v>4457</v>
      </c>
    </row>
    <row r="669" spans="1:1">
      <c r="A669" s="88" t="s">
        <v>4458</v>
      </c>
    </row>
    <row r="671" spans="1:1">
      <c r="A671" s="88" t="s">
        <v>4459</v>
      </c>
    </row>
    <row r="672" spans="1:1">
      <c r="A672" s="88" t="s">
        <v>4460</v>
      </c>
    </row>
    <row r="673" spans="1:1">
      <c r="A673" s="88" t="s">
        <v>4181</v>
      </c>
    </row>
    <row r="674" spans="1:1">
      <c r="A674" s="88" t="s">
        <v>4461</v>
      </c>
    </row>
    <row r="675" spans="1:1">
      <c r="A675" s="88" t="s">
        <v>4462</v>
      </c>
    </row>
    <row r="676" spans="1:1">
      <c r="A676" s="88" t="s">
        <v>4411</v>
      </c>
    </row>
    <row r="677" spans="1:1">
      <c r="A677" s="88" t="s">
        <v>4094</v>
      </c>
    </row>
    <row r="678" spans="1:1">
      <c r="A678" s="88" t="s">
        <v>4428</v>
      </c>
    </row>
    <row r="679" spans="1:1">
      <c r="A679" s="88" t="s">
        <v>4463</v>
      </c>
    </row>
    <row r="680" spans="1:1">
      <c r="A680" s="88" t="s">
        <v>4464</v>
      </c>
    </row>
    <row r="681" spans="1:1">
      <c r="A681" s="88" t="s">
        <v>4465</v>
      </c>
    </row>
    <row r="682" spans="1:1">
      <c r="A682" s="88" t="s">
        <v>4466</v>
      </c>
    </row>
    <row r="683" spans="1:1">
      <c r="A683" s="88" t="s">
        <v>4094</v>
      </c>
    </row>
    <row r="684" spans="1:1">
      <c r="A684" s="88" t="s">
        <v>4467</v>
      </c>
    </row>
    <row r="685" spans="1:1">
      <c r="A685" s="88" t="s">
        <v>4468</v>
      </c>
    </row>
    <row r="686" spans="1:1">
      <c r="A686" s="88" t="s">
        <v>4469</v>
      </c>
    </row>
    <row r="687" spans="1:1">
      <c r="A687" s="88" t="s">
        <v>4470</v>
      </c>
    </row>
    <row r="688" spans="1:1">
      <c r="A688" s="88" t="s">
        <v>4471</v>
      </c>
    </row>
    <row r="689" spans="1:1">
      <c r="A689" s="88" t="s">
        <v>4472</v>
      </c>
    </row>
    <row r="690" spans="1:1">
      <c r="A690" s="88" t="s">
        <v>4473</v>
      </c>
    </row>
    <row r="691" spans="1:1">
      <c r="A691" s="88" t="s">
        <v>4474</v>
      </c>
    </row>
    <row r="692" spans="1:1">
      <c r="A692" s="88" t="s">
        <v>4475</v>
      </c>
    </row>
    <row r="693" spans="1:1">
      <c r="A693" s="88" t="s">
        <v>4476</v>
      </c>
    </row>
    <row r="694" spans="1:1">
      <c r="A694" s="88" t="s">
        <v>4477</v>
      </c>
    </row>
    <row r="695" spans="1:1">
      <c r="A695" s="88" t="s">
        <v>4478</v>
      </c>
    </row>
    <row r="696" spans="1:1">
      <c r="A696" s="88" t="s">
        <v>4479</v>
      </c>
    </row>
    <row r="697" spans="1:1">
      <c r="A697" s="88" t="s">
        <v>4480</v>
      </c>
    </row>
    <row r="698" spans="1:1">
      <c r="A698" s="88" t="s">
        <v>4481</v>
      </c>
    </row>
    <row r="699" spans="1:1">
      <c r="A699" s="88" t="s">
        <v>4482</v>
      </c>
    </row>
    <row r="700" spans="1:1">
      <c r="A700" s="88" t="s">
        <v>4483</v>
      </c>
    </row>
    <row r="701" spans="1:1">
      <c r="A701" s="88" t="s">
        <v>4231</v>
      </c>
    </row>
    <row r="702" spans="1:1">
      <c r="A702" s="88" t="s">
        <v>4484</v>
      </c>
    </row>
    <row r="703" spans="1:1">
      <c r="A703" s="88" t="s">
        <v>4485</v>
      </c>
    </row>
    <row r="704" spans="1:1">
      <c r="A704" s="88" t="s">
        <v>4486</v>
      </c>
    </row>
    <row r="705" spans="1:1">
      <c r="A705" s="88" t="s">
        <v>4487</v>
      </c>
    </row>
    <row r="706" spans="1:1">
      <c r="A706" s="88" t="s">
        <v>4488</v>
      </c>
    </row>
    <row r="707" spans="1:1">
      <c r="A707" s="88" t="s">
        <v>4175</v>
      </c>
    </row>
    <row r="708" spans="1:1">
      <c r="A708" s="88" t="s">
        <v>4489</v>
      </c>
    </row>
    <row r="709" spans="1:1">
      <c r="A709" s="88" t="s">
        <v>4490</v>
      </c>
    </row>
    <row r="710" spans="1:1">
      <c r="A710" s="88" t="s">
        <v>4491</v>
      </c>
    </row>
    <row r="711" spans="1:1">
      <c r="A711" s="88" t="s">
        <v>4492</v>
      </c>
    </row>
    <row r="712" spans="1:1">
      <c r="A712" s="88" t="s">
        <v>4094</v>
      </c>
    </row>
    <row r="713" spans="1:1">
      <c r="A713" s="88" t="s">
        <v>4493</v>
      </c>
    </row>
    <row r="714" spans="1:1">
      <c r="A714" s="88" t="s">
        <v>4494</v>
      </c>
    </row>
    <row r="715" spans="1:1">
      <c r="A715" s="88" t="s">
        <v>4495</v>
      </c>
    </row>
    <row r="716" spans="1:1">
      <c r="A716" s="88" t="s">
        <v>4496</v>
      </c>
    </row>
    <row r="717" spans="1:1">
      <c r="A717" s="88" t="s">
        <v>4497</v>
      </c>
    </row>
    <row r="718" spans="1:1">
      <c r="A718" s="88" t="s">
        <v>4498</v>
      </c>
    </row>
    <row r="719" spans="1:1">
      <c r="A719" s="88" t="s">
        <v>4499</v>
      </c>
    </row>
    <row r="720" spans="1:1">
      <c r="A720" s="88" t="s">
        <v>4500</v>
      </c>
    </row>
    <row r="721" spans="1:1">
      <c r="A721" s="88" t="s">
        <v>4501</v>
      </c>
    </row>
    <row r="722" spans="1:1">
      <c r="A722" s="88" t="s">
        <v>4443</v>
      </c>
    </row>
    <row r="723" spans="1:1">
      <c r="A723" s="88" t="s">
        <v>4175</v>
      </c>
    </row>
    <row r="724" spans="1:1">
      <c r="A724" s="88" t="s">
        <v>4502</v>
      </c>
    </row>
    <row r="725" spans="1:1">
      <c r="A725" s="88" t="s">
        <v>4503</v>
      </c>
    </row>
    <row r="726" spans="1:1">
      <c r="A726" s="88" t="s">
        <v>4504</v>
      </c>
    </row>
    <row r="727" spans="1:1">
      <c r="A727" s="88" t="s">
        <v>4505</v>
      </c>
    </row>
    <row r="728" spans="1:1">
      <c r="A728" s="88" t="s">
        <v>4443</v>
      </c>
    </row>
    <row r="729" spans="1:1">
      <c r="A729" s="88" t="s">
        <v>4181</v>
      </c>
    </row>
    <row r="730" spans="1:1">
      <c r="A730" s="88" t="s">
        <v>4506</v>
      </c>
    </row>
    <row r="731" spans="1:1">
      <c r="A731" s="88" t="s">
        <v>4507</v>
      </c>
    </row>
    <row r="732" spans="1:1">
      <c r="A732" s="88" t="s">
        <v>4508</v>
      </c>
    </row>
    <row r="733" spans="1:1">
      <c r="A733" s="88" t="s">
        <v>4509</v>
      </c>
    </row>
    <row r="734" spans="1:1">
      <c r="A734" s="88" t="s">
        <v>4196</v>
      </c>
    </row>
    <row r="735" spans="1:1">
      <c r="A735" s="88" t="s">
        <v>4341</v>
      </c>
    </row>
    <row r="736" spans="1:1">
      <c r="A736" s="88" t="s">
        <v>4510</v>
      </c>
    </row>
    <row r="737" spans="1:1">
      <c r="A737" s="88" t="s">
        <v>4511</v>
      </c>
    </row>
    <row r="738" spans="1:1">
      <c r="A738" s="88" t="s">
        <v>4512</v>
      </c>
    </row>
    <row r="739" spans="1:1">
      <c r="A739" s="88" t="s">
        <v>4513</v>
      </c>
    </row>
    <row r="740" spans="1:1">
      <c r="A740" s="88" t="s">
        <v>4514</v>
      </c>
    </row>
    <row r="741" spans="1:1">
      <c r="A741" s="88" t="s">
        <v>4181</v>
      </c>
    </row>
    <row r="742" spans="1:1">
      <c r="A742" s="88" t="s">
        <v>4515</v>
      </c>
    </row>
    <row r="743" spans="1:1">
      <c r="A743" s="88" t="s">
        <v>4516</v>
      </c>
    </row>
    <row r="744" spans="1:1">
      <c r="A744" s="88" t="s">
        <v>4517</v>
      </c>
    </row>
    <row r="745" spans="1:1">
      <c r="A745" s="88" t="s">
        <v>4518</v>
      </c>
    </row>
    <row r="746" spans="1:1">
      <c r="A746" s="88" t="s">
        <v>4519</v>
      </c>
    </row>
    <row r="747" spans="1:1">
      <c r="A747" s="88" t="s">
        <v>4371</v>
      </c>
    </row>
    <row r="748" spans="1:1">
      <c r="A748" s="88" t="s">
        <v>4520</v>
      </c>
    </row>
    <row r="749" spans="1:1">
      <c r="A749" s="88" t="s">
        <v>4521</v>
      </c>
    </row>
    <row r="750" spans="1:1">
      <c r="A750" s="88" t="s">
        <v>4522</v>
      </c>
    </row>
    <row r="751" spans="1:1">
      <c r="A751" s="88" t="s">
        <v>4523</v>
      </c>
    </row>
    <row r="752" spans="1:1">
      <c r="A752" s="88" t="s">
        <v>4477</v>
      </c>
    </row>
    <row r="753" spans="1:1">
      <c r="A753" s="88" t="s">
        <v>4524</v>
      </c>
    </row>
    <row r="754" spans="1:1">
      <c r="A754" s="88" t="s">
        <v>4525</v>
      </c>
    </row>
    <row r="755" spans="1:1">
      <c r="A755" s="88" t="s">
        <v>4526</v>
      </c>
    </row>
    <row r="756" spans="1:1">
      <c r="A756" s="88" t="s">
        <v>4527</v>
      </c>
    </row>
    <row r="757" spans="1:1">
      <c r="A757" s="88" t="s">
        <v>4528</v>
      </c>
    </row>
    <row r="758" spans="1:1">
      <c r="A758" s="88" t="s">
        <v>4092</v>
      </c>
    </row>
    <row r="759" spans="1:1">
      <c r="A759" s="88" t="s">
        <v>4093</v>
      </c>
    </row>
    <row r="760" spans="1:1">
      <c r="A760" s="88" t="s">
        <v>4408</v>
      </c>
    </row>
    <row r="761" spans="1:1">
      <c r="A761" s="88" t="s">
        <v>4095</v>
      </c>
    </row>
    <row r="762" spans="1:1">
      <c r="A762" s="88" t="s">
        <v>4529</v>
      </c>
    </row>
    <row r="763" spans="1:1">
      <c r="A763" s="88" t="s">
        <v>4530</v>
      </c>
    </row>
    <row r="764" spans="1:1">
      <c r="A764" s="88" t="s">
        <v>4531</v>
      </c>
    </row>
    <row r="765" spans="1:1">
      <c r="A765" s="88" t="s">
        <v>4532</v>
      </c>
    </row>
    <row r="766" spans="1:1">
      <c r="A766" s="88" t="s">
        <v>4533</v>
      </c>
    </row>
    <row r="767" spans="1:1">
      <c r="A767" s="88" t="s">
        <v>4534</v>
      </c>
    </row>
    <row r="768" spans="1:1">
      <c r="A768" s="88" t="s">
        <v>4535</v>
      </c>
    </row>
    <row r="769" spans="1:1">
      <c r="A769" s="88" t="s">
        <v>4536</v>
      </c>
    </row>
    <row r="770" spans="1:1">
      <c r="A770" s="88" t="s">
        <v>4537</v>
      </c>
    </row>
    <row r="771" spans="1:1">
      <c r="A771" s="88" t="s">
        <v>4538</v>
      </c>
    </row>
    <row r="772" spans="1:1">
      <c r="A772" s="88" t="s">
        <v>4539</v>
      </c>
    </row>
    <row r="773" spans="1:1">
      <c r="A773" s="88" t="s">
        <v>4540</v>
      </c>
    </row>
    <row r="774" spans="1:1">
      <c r="A774" s="88" t="s">
        <v>4541</v>
      </c>
    </row>
    <row r="775" spans="1:1">
      <c r="A775" s="88" t="s">
        <v>4542</v>
      </c>
    </row>
    <row r="776" spans="1:1">
      <c r="A776" s="88" t="s">
        <v>4543</v>
      </c>
    </row>
    <row r="777" spans="1:1">
      <c r="A777" s="88" t="s">
        <v>4355</v>
      </c>
    </row>
    <row r="778" spans="1:1">
      <c r="A778" s="88" t="s">
        <v>4544</v>
      </c>
    </row>
    <row r="779" spans="1:1">
      <c r="A779" s="88" t="s">
        <v>4545</v>
      </c>
    </row>
    <row r="780" spans="1:1">
      <c r="A780" s="88" t="s">
        <v>4546</v>
      </c>
    </row>
    <row r="781" spans="1:1">
      <c r="A781" s="88" t="s">
        <v>4547</v>
      </c>
    </row>
    <row r="782" spans="1:1">
      <c r="A782" s="88" t="s">
        <v>4548</v>
      </c>
    </row>
    <row r="783" spans="1:1">
      <c r="A783" s="88" t="s">
        <v>4549</v>
      </c>
    </row>
    <row r="784" spans="1:1">
      <c r="A784" s="88" t="s">
        <v>4231</v>
      </c>
    </row>
    <row r="785" spans="1:1">
      <c r="A785" s="88" t="s">
        <v>4550</v>
      </c>
    </row>
    <row r="786" spans="1:1">
      <c r="A786" s="88" t="s">
        <v>4551</v>
      </c>
    </row>
    <row r="787" spans="1:1">
      <c r="A787" s="88" t="s">
        <v>4552</v>
      </c>
    </row>
    <row r="788" spans="1:1">
      <c r="A788" s="88" t="s">
        <v>4553</v>
      </c>
    </row>
    <row r="789" spans="1:1">
      <c r="A789" s="88" t="s">
        <v>4101</v>
      </c>
    </row>
    <row r="790" spans="1:1">
      <c r="A790" s="88" t="s">
        <v>4554</v>
      </c>
    </row>
    <row r="791" spans="1:1">
      <c r="A791" s="88" t="s">
        <v>4555</v>
      </c>
    </row>
    <row r="792" spans="1:1">
      <c r="A792" s="88" t="s">
        <v>4556</v>
      </c>
    </row>
    <row r="793" spans="1:1">
      <c r="A793" s="88" t="s">
        <v>4290</v>
      </c>
    </row>
    <row r="794" spans="1:1">
      <c r="A794" s="88" t="s">
        <v>4557</v>
      </c>
    </row>
    <row r="795" spans="1:1">
      <c r="A795" s="88" t="s">
        <v>4094</v>
      </c>
    </row>
    <row r="796" spans="1:1">
      <c r="A796" s="88" t="s">
        <v>4558</v>
      </c>
    </row>
    <row r="797" spans="1:1">
      <c r="A797" s="88" t="s">
        <v>4293</v>
      </c>
    </row>
    <row r="798" spans="1:1">
      <c r="A798" s="88" t="s">
        <v>4294</v>
      </c>
    </row>
    <row r="799" spans="1:1">
      <c r="A799" s="88" t="s">
        <v>4559</v>
      </c>
    </row>
    <row r="800" spans="1:1">
      <c r="A800" s="88" t="s">
        <v>4099</v>
      </c>
    </row>
    <row r="801" spans="1:1">
      <c r="A801" s="88" t="s">
        <v>4560</v>
      </c>
    </row>
    <row r="802" spans="1:1">
      <c r="A802" s="88" t="s">
        <v>4561</v>
      </c>
    </row>
    <row r="803" spans="1:1">
      <c r="A803" s="88" t="s">
        <v>4562</v>
      </c>
    </row>
    <row r="804" spans="1:1">
      <c r="A804" s="88" t="s">
        <v>4563</v>
      </c>
    </row>
    <row r="805" spans="1:1">
      <c r="A805" s="88" t="s">
        <v>4564</v>
      </c>
    </row>
    <row r="806" spans="1:1">
      <c r="A806" s="88" t="s">
        <v>4092</v>
      </c>
    </row>
    <row r="807" spans="1:1">
      <c r="A807" s="88" t="s">
        <v>4565</v>
      </c>
    </row>
    <row r="808" spans="1:1">
      <c r="A808" s="88" t="s">
        <v>4566</v>
      </c>
    </row>
    <row r="809" spans="1:1">
      <c r="A809" s="88" t="s">
        <v>4567</v>
      </c>
    </row>
    <row r="810" spans="1:1">
      <c r="A810" s="88" t="s">
        <v>4568</v>
      </c>
    </row>
    <row r="811" spans="1:1">
      <c r="A811" s="88" t="s">
        <v>4569</v>
      </c>
    </row>
    <row r="812" spans="1:1">
      <c r="A812" s="88" t="s">
        <v>4570</v>
      </c>
    </row>
    <row r="813" spans="1:1">
      <c r="A813" s="88" t="s">
        <v>4092</v>
      </c>
    </row>
    <row r="814" spans="1:1">
      <c r="A814" s="88" t="s">
        <v>4571</v>
      </c>
    </row>
    <row r="815" spans="1:1">
      <c r="A815" s="88" t="s">
        <v>4572</v>
      </c>
    </row>
    <row r="816" spans="1:1">
      <c r="A816" s="88" t="s">
        <v>4573</v>
      </c>
    </row>
    <row r="817" spans="1:1">
      <c r="A817" s="88" t="s">
        <v>4574</v>
      </c>
    </row>
    <row r="818" spans="1:1">
      <c r="A818" s="88" t="s">
        <v>4575</v>
      </c>
    </row>
    <row r="819" spans="1:1">
      <c r="A819" s="88" t="s">
        <v>4576</v>
      </c>
    </row>
    <row r="820" spans="1:1">
      <c r="A820" s="88" t="s">
        <v>4092</v>
      </c>
    </row>
    <row r="821" spans="1:1">
      <c r="A821" s="88" t="s">
        <v>4577</v>
      </c>
    </row>
    <row r="822" spans="1:1">
      <c r="A822" s="88" t="s">
        <v>4578</v>
      </c>
    </row>
    <row r="823" spans="1:1">
      <c r="A823" s="88" t="s">
        <v>4579</v>
      </c>
    </row>
    <row r="824" spans="1:1">
      <c r="A824" s="88" t="s">
        <v>4580</v>
      </c>
    </row>
    <row r="825" spans="1:1">
      <c r="A825" s="88" t="s">
        <v>4581</v>
      </c>
    </row>
    <row r="826" spans="1:1">
      <c r="A826" s="88" t="s">
        <v>4092</v>
      </c>
    </row>
    <row r="827" spans="1:1">
      <c r="A827" s="88" t="s">
        <v>4582</v>
      </c>
    </row>
    <row r="828" spans="1:1">
      <c r="A828" s="88" t="s">
        <v>4583</v>
      </c>
    </row>
    <row r="829" spans="1:1">
      <c r="A829" s="88" t="s">
        <v>4584</v>
      </c>
    </row>
    <row r="830" spans="1:1">
      <c r="A830" s="88" t="s">
        <v>4585</v>
      </c>
    </row>
    <row r="831" spans="1:1">
      <c r="A831" s="88" t="s">
        <v>4586</v>
      </c>
    </row>
    <row r="832" spans="1:1">
      <c r="A832" s="88" t="s">
        <v>4587</v>
      </c>
    </row>
    <row r="833" spans="1:1">
      <c r="A833" s="88" t="s">
        <v>4092</v>
      </c>
    </row>
    <row r="834" spans="1:1">
      <c r="A834" s="88" t="s">
        <v>4588</v>
      </c>
    </row>
    <row r="835" spans="1:1">
      <c r="A835" s="88" t="s">
        <v>4589</v>
      </c>
    </row>
    <row r="836" spans="1:1">
      <c r="A836" s="88" t="s">
        <v>4590</v>
      </c>
    </row>
    <row r="837" spans="1:1">
      <c r="A837" s="88" t="s">
        <v>4591</v>
      </c>
    </row>
    <row r="838" spans="1:1">
      <c r="A838" s="88" t="s">
        <v>4592</v>
      </c>
    </row>
    <row r="839" spans="1:1">
      <c r="A839" s="88" t="s">
        <v>4173</v>
      </c>
    </row>
    <row r="840" spans="1:1">
      <c r="A840" s="88" t="s">
        <v>4092</v>
      </c>
    </row>
    <row r="841" spans="1:1">
      <c r="A841" s="88" t="s">
        <v>4593</v>
      </c>
    </row>
    <row r="842" spans="1:1">
      <c r="A842" s="88" t="s">
        <v>4175</v>
      </c>
    </row>
    <row r="843" spans="1:1">
      <c r="A843" s="88" t="s">
        <v>4594</v>
      </c>
    </row>
    <row r="844" spans="1:1">
      <c r="A844" s="88" t="s">
        <v>4177</v>
      </c>
    </row>
    <row r="845" spans="1:1">
      <c r="A845" s="88" t="s">
        <v>4178</v>
      </c>
    </row>
    <row r="846" spans="1:1">
      <c r="A846" s="88" t="s">
        <v>4595</v>
      </c>
    </row>
    <row r="847" spans="1:1">
      <c r="A847" s="88" t="s">
        <v>4092</v>
      </c>
    </row>
    <row r="848" spans="1:1">
      <c r="A848" s="88" t="s">
        <v>4596</v>
      </c>
    </row>
    <row r="849" spans="1:1">
      <c r="A849" s="88" t="s">
        <v>4129</v>
      </c>
    </row>
    <row r="850" spans="1:1">
      <c r="A850" s="88" t="s">
        <v>4597</v>
      </c>
    </row>
    <row r="851" spans="1:1">
      <c r="A851" s="88" t="s">
        <v>4598</v>
      </c>
    </row>
    <row r="852" spans="1:1">
      <c r="A852" s="88" t="s">
        <v>4599</v>
      </c>
    </row>
    <row r="853" spans="1:1">
      <c r="A853" s="88" t="s">
        <v>4600</v>
      </c>
    </row>
    <row r="854" spans="1:1">
      <c r="A854" s="88" t="s">
        <v>4092</v>
      </c>
    </row>
    <row r="855" spans="1:1">
      <c r="A855" s="88" t="s">
        <v>4601</v>
      </c>
    </row>
    <row r="856" spans="1:1">
      <c r="A856" s="88" t="s">
        <v>4602</v>
      </c>
    </row>
    <row r="857" spans="1:1">
      <c r="A857" s="88" t="s">
        <v>4603</v>
      </c>
    </row>
    <row r="858" spans="1:1">
      <c r="A858" s="88" t="s">
        <v>4604</v>
      </c>
    </row>
    <row r="859" spans="1:1">
      <c r="A859" s="88" t="s">
        <v>4605</v>
      </c>
    </row>
    <row r="860" spans="1:1">
      <c r="A860" s="88" t="s">
        <v>4092</v>
      </c>
    </row>
    <row r="861" spans="1:1">
      <c r="A861" s="88" t="s">
        <v>4606</v>
      </c>
    </row>
    <row r="862" spans="1:1">
      <c r="A862" s="88" t="s">
        <v>4175</v>
      </c>
    </row>
    <row r="863" spans="1:1">
      <c r="A863" s="88" t="s">
        <v>4607</v>
      </c>
    </row>
    <row r="864" spans="1:1">
      <c r="A864" s="88" t="s">
        <v>4608</v>
      </c>
    </row>
    <row r="865" spans="1:1">
      <c r="A865" s="88" t="s">
        <v>4609</v>
      </c>
    </row>
    <row r="866" spans="1:1">
      <c r="A866" s="88" t="s">
        <v>4610</v>
      </c>
    </row>
    <row r="867" spans="1:1">
      <c r="A867" s="88" t="s">
        <v>4092</v>
      </c>
    </row>
    <row r="868" spans="1:1">
      <c r="A868" s="88" t="s">
        <v>4611</v>
      </c>
    </row>
    <row r="869" spans="1:1">
      <c r="A869" s="88" t="s">
        <v>4478</v>
      </c>
    </row>
    <row r="870" spans="1:1">
      <c r="A870" s="88" t="s">
        <v>4612</v>
      </c>
    </row>
    <row r="871" spans="1:1">
      <c r="A871" s="88" t="s">
        <v>4613</v>
      </c>
    </row>
    <row r="872" spans="1:1">
      <c r="A872" s="88" t="s">
        <v>4614</v>
      </c>
    </row>
    <row r="873" spans="1:1">
      <c r="A873" s="88" t="s">
        <v>4615</v>
      </c>
    </row>
    <row r="874" spans="1:1">
      <c r="A874" s="88" t="s">
        <v>4092</v>
      </c>
    </row>
    <row r="875" spans="1:1">
      <c r="A875" s="88" t="s">
        <v>4611</v>
      </c>
    </row>
    <row r="876" spans="1:1">
      <c r="A876" s="88" t="s">
        <v>4478</v>
      </c>
    </row>
    <row r="877" spans="1:1">
      <c r="A877" s="88" t="s">
        <v>4612</v>
      </c>
    </row>
    <row r="878" spans="1:1">
      <c r="A878" s="88" t="s">
        <v>4616</v>
      </c>
    </row>
    <row r="879" spans="1:1">
      <c r="A879" s="88" t="s">
        <v>4617</v>
      </c>
    </row>
    <row r="880" spans="1:1">
      <c r="A880" s="88" t="s">
        <v>4618</v>
      </c>
    </row>
    <row r="881" spans="1:1">
      <c r="A881" s="88" t="s">
        <v>4092</v>
      </c>
    </row>
    <row r="882" spans="1:1">
      <c r="A882" s="88" t="s">
        <v>4619</v>
      </c>
    </row>
    <row r="883" spans="1:1">
      <c r="A883" s="88" t="s">
        <v>4620</v>
      </c>
    </row>
    <row r="884" spans="1:1">
      <c r="A884" s="88" t="s">
        <v>4621</v>
      </c>
    </row>
    <row r="885" spans="1:1">
      <c r="A885" s="88" t="s">
        <v>4622</v>
      </c>
    </row>
    <row r="886" spans="1:1">
      <c r="A886" s="88" t="s">
        <v>4623</v>
      </c>
    </row>
    <row r="887" spans="1:1">
      <c r="A887" s="88" t="s">
        <v>4092</v>
      </c>
    </row>
    <row r="888" spans="1:1">
      <c r="A888" s="88" t="s">
        <v>4624</v>
      </c>
    </row>
    <row r="889" spans="1:1">
      <c r="A889" s="88" t="s">
        <v>4094</v>
      </c>
    </row>
    <row r="890" spans="1:1">
      <c r="A890" s="88" t="s">
        <v>4625</v>
      </c>
    </row>
    <row r="891" spans="1:1">
      <c r="A891" s="88" t="s">
        <v>4626</v>
      </c>
    </row>
    <row r="892" spans="1:1">
      <c r="A892" s="88" t="s">
        <v>4627</v>
      </c>
    </row>
    <row r="893" spans="1:1">
      <c r="A893" s="88" t="s">
        <v>4628</v>
      </c>
    </row>
    <row r="894" spans="1:1">
      <c r="A894" s="88" t="s">
        <v>4092</v>
      </c>
    </row>
    <row r="895" spans="1:1">
      <c r="A895" s="88" t="s">
        <v>4629</v>
      </c>
    </row>
    <row r="896" spans="1:1">
      <c r="A896" s="88" t="s">
        <v>4094</v>
      </c>
    </row>
    <row r="897" spans="1:1">
      <c r="A897" s="88" t="s">
        <v>4630</v>
      </c>
    </row>
    <row r="898" spans="1:1">
      <c r="A898" s="88" t="s">
        <v>4631</v>
      </c>
    </row>
    <row r="899" spans="1:1">
      <c r="A899" s="88" t="s">
        <v>4632</v>
      </c>
    </row>
    <row r="900" spans="1:1">
      <c r="A900" s="88" t="s">
        <v>4633</v>
      </c>
    </row>
    <row r="901" spans="1:1">
      <c r="A901" s="88" t="s">
        <v>4092</v>
      </c>
    </row>
    <row r="902" spans="1:1">
      <c r="A902" s="88" t="s">
        <v>4634</v>
      </c>
    </row>
    <row r="903" spans="1:1">
      <c r="A903" s="88" t="s">
        <v>4175</v>
      </c>
    </row>
    <row r="904" spans="1:1">
      <c r="A904" s="88" t="s">
        <v>4635</v>
      </c>
    </row>
    <row r="905" spans="1:1">
      <c r="A905" s="88" t="s">
        <v>4636</v>
      </c>
    </row>
    <row r="906" spans="1:1">
      <c r="A906" s="88" t="s">
        <v>4637</v>
      </c>
    </row>
    <row r="907" spans="1:1">
      <c r="A907" s="88" t="s">
        <v>4638</v>
      </c>
    </row>
    <row r="908" spans="1:1">
      <c r="A908" s="88" t="s">
        <v>4092</v>
      </c>
    </row>
    <row r="909" spans="1:1">
      <c r="A909" s="88" t="s">
        <v>4639</v>
      </c>
    </row>
    <row r="910" spans="1:1">
      <c r="A910" s="88" t="s">
        <v>4640</v>
      </c>
    </row>
    <row r="911" spans="1:1">
      <c r="A911" s="88" t="s">
        <v>4641</v>
      </c>
    </row>
    <row r="912" spans="1:1">
      <c r="A912" s="88" t="s">
        <v>4642</v>
      </c>
    </row>
    <row r="913" spans="1:1">
      <c r="A913" s="88" t="s">
        <v>4643</v>
      </c>
    </row>
    <row r="914" spans="1:1">
      <c r="A914" s="88" t="s">
        <v>4644</v>
      </c>
    </row>
    <row r="915" spans="1:1">
      <c r="A915" s="88" t="s">
        <v>4092</v>
      </c>
    </row>
    <row r="916" spans="1:1">
      <c r="A916" s="88" t="s">
        <v>4123</v>
      </c>
    </row>
    <row r="917" spans="1:1">
      <c r="A917" s="88" t="s">
        <v>4124</v>
      </c>
    </row>
    <row r="918" spans="1:1">
      <c r="A918" s="88" t="s">
        <v>4645</v>
      </c>
    </row>
    <row r="919" spans="1:1">
      <c r="A919" s="88" t="s">
        <v>4646</v>
      </c>
    </row>
    <row r="920" spans="1:1">
      <c r="A920" s="88" t="s">
        <v>4647</v>
      </c>
    </row>
    <row r="921" spans="1:1">
      <c r="A921" s="88" t="s">
        <v>4648</v>
      </c>
    </row>
    <row r="922" spans="1:1">
      <c r="A922" s="88" t="s">
        <v>4092</v>
      </c>
    </row>
    <row r="923" spans="1:1">
      <c r="A923" s="88" t="s">
        <v>4649</v>
      </c>
    </row>
    <row r="924" spans="1:1">
      <c r="A924" s="88" t="s">
        <v>4175</v>
      </c>
    </row>
    <row r="925" spans="1:1">
      <c r="A925" s="88" t="s">
        <v>4650</v>
      </c>
    </row>
    <row r="926" spans="1:1">
      <c r="A926" s="88" t="s">
        <v>4651</v>
      </c>
    </row>
    <row r="927" spans="1:1">
      <c r="A927" s="88" t="s">
        <v>4652</v>
      </c>
    </row>
    <row r="928" spans="1:1">
      <c r="A928" s="88" t="s">
        <v>4653</v>
      </c>
    </row>
    <row r="929" spans="1:1">
      <c r="A929" s="88" t="s">
        <v>4092</v>
      </c>
    </row>
    <row r="930" spans="1:1">
      <c r="A930" s="88" t="s">
        <v>4654</v>
      </c>
    </row>
    <row r="931" spans="1:1">
      <c r="A931" s="88" t="s">
        <v>4655</v>
      </c>
    </row>
    <row r="932" spans="1:1">
      <c r="A932" s="88" t="s">
        <v>4656</v>
      </c>
    </row>
    <row r="933" spans="1:1">
      <c r="A933" s="88" t="s">
        <v>4657</v>
      </c>
    </row>
    <row r="934" spans="1:1">
      <c r="A934" s="88" t="s">
        <v>4658</v>
      </c>
    </row>
    <row r="935" spans="1:1">
      <c r="A935" s="88" t="s">
        <v>4659</v>
      </c>
    </row>
    <row r="936" spans="1:1">
      <c r="A936" s="88" t="s">
        <v>4092</v>
      </c>
    </row>
    <row r="937" spans="1:1">
      <c r="A937" s="88" t="s">
        <v>4660</v>
      </c>
    </row>
    <row r="938" spans="1:1">
      <c r="A938" s="88" t="s">
        <v>4181</v>
      </c>
    </row>
    <row r="939" spans="1:1">
      <c r="A939" s="88" t="s">
        <v>4661</v>
      </c>
    </row>
    <row r="940" spans="1:1">
      <c r="A940" s="88" t="s">
        <v>4662</v>
      </c>
    </row>
    <row r="941" spans="1:1">
      <c r="A941" s="88" t="s">
        <v>4663</v>
      </c>
    </row>
    <row r="942" spans="1:1">
      <c r="A942" s="88" t="s">
        <v>4092</v>
      </c>
    </row>
    <row r="943" spans="1:1">
      <c r="A943" s="88" t="s">
        <v>4664</v>
      </c>
    </row>
    <row r="944" spans="1:1">
      <c r="A944" s="88" t="s">
        <v>4371</v>
      </c>
    </row>
    <row r="945" spans="1:1">
      <c r="A945" s="88" t="s">
        <v>4665</v>
      </c>
    </row>
    <row r="946" spans="1:1">
      <c r="A946" s="88" t="s">
        <v>4666</v>
      </c>
    </row>
    <row r="947" spans="1:1">
      <c r="A947" s="88" t="s">
        <v>4667</v>
      </c>
    </row>
    <row r="948" spans="1:1">
      <c r="A948" s="88" t="s">
        <v>4092</v>
      </c>
    </row>
    <row r="949" spans="1:1">
      <c r="A949" s="88" t="s">
        <v>4668</v>
      </c>
    </row>
    <row r="950" spans="1:1">
      <c r="A950" s="88" t="s">
        <v>4371</v>
      </c>
    </row>
    <row r="951" spans="1:1">
      <c r="A951" s="88" t="s">
        <v>4669</v>
      </c>
    </row>
    <row r="952" spans="1:1">
      <c r="A952" s="88" t="s">
        <v>4670</v>
      </c>
    </row>
    <row r="953" spans="1:1">
      <c r="A953" s="88" t="s">
        <v>4671</v>
      </c>
    </row>
    <row r="954" spans="1:1">
      <c r="A954" s="88" t="s">
        <v>4672</v>
      </c>
    </row>
    <row r="955" spans="1:1">
      <c r="A955" s="88" t="s">
        <v>4092</v>
      </c>
    </row>
    <row r="956" spans="1:1">
      <c r="A956" s="88" t="s">
        <v>4673</v>
      </c>
    </row>
    <row r="957" spans="1:1">
      <c r="A957" s="88" t="s">
        <v>4674</v>
      </c>
    </row>
    <row r="958" spans="1:1">
      <c r="A958" s="88" t="s">
        <v>4675</v>
      </c>
    </row>
    <row r="959" spans="1:1">
      <c r="A959" s="88" t="s">
        <v>4676</v>
      </c>
    </row>
    <row r="960" spans="1:1">
      <c r="A960" s="88" t="s">
        <v>4099</v>
      </c>
    </row>
    <row r="961" spans="1:1">
      <c r="A961" s="88" t="s">
        <v>4673</v>
      </c>
    </row>
    <row r="962" spans="1:1">
      <c r="A962" s="88" t="s">
        <v>4129</v>
      </c>
    </row>
    <row r="963" spans="1:1">
      <c r="A963" s="88" t="s">
        <v>4677</v>
      </c>
    </row>
    <row r="964" spans="1:1">
      <c r="A964" s="88" t="s">
        <v>4678</v>
      </c>
    </row>
    <row r="965" spans="1:1">
      <c r="A965" s="88" t="s">
        <v>4679</v>
      </c>
    </row>
    <row r="966" spans="1:1">
      <c r="A966" s="88" t="s">
        <v>4169</v>
      </c>
    </row>
    <row r="967" spans="1:1">
      <c r="A967" s="88" t="s">
        <v>4092</v>
      </c>
    </row>
    <row r="968" spans="1:1">
      <c r="A968" s="88" t="s">
        <v>4170</v>
      </c>
    </row>
    <row r="969" spans="1:1">
      <c r="A969" s="88" t="s">
        <v>4094</v>
      </c>
    </row>
    <row r="970" spans="1:1">
      <c r="A970" s="88" t="s">
        <v>4171</v>
      </c>
    </row>
    <row r="971" spans="1:1">
      <c r="A971" s="88" t="s">
        <v>4172</v>
      </c>
    </row>
    <row r="972" spans="1:1">
      <c r="A972" s="88" t="s">
        <v>4110</v>
      </c>
    </row>
    <row r="973" spans="1:1">
      <c r="A973" s="88" t="s">
        <v>4092</v>
      </c>
    </row>
    <row r="974" spans="1:1">
      <c r="A974" s="88" t="s">
        <v>4111</v>
      </c>
    </row>
    <row r="975" spans="1:1">
      <c r="A975" s="88" t="s">
        <v>4112</v>
      </c>
    </row>
    <row r="976" spans="1:1">
      <c r="A976" s="88" t="s">
        <v>4113</v>
      </c>
    </row>
    <row r="977" spans="1:1">
      <c r="A977" s="88" t="s">
        <v>4114</v>
      </c>
    </row>
    <row r="978" spans="1:1">
      <c r="A978" s="88" t="s">
        <v>4115</v>
      </c>
    </row>
    <row r="979" spans="1:1">
      <c r="A979" s="88" t="s">
        <v>4158</v>
      </c>
    </row>
    <row r="980" spans="1:1">
      <c r="A980" s="88" t="s">
        <v>4099</v>
      </c>
    </row>
    <row r="981" spans="1:1">
      <c r="A981" s="88" t="s">
        <v>4159</v>
      </c>
    </row>
    <row r="982" spans="1:1">
      <c r="A982" s="88" t="s">
        <v>4160</v>
      </c>
    </row>
    <row r="983" spans="1:1">
      <c r="A983" s="88" t="s">
        <v>4161</v>
      </c>
    </row>
    <row r="984" spans="1:1">
      <c r="A984" s="88" t="s">
        <v>4162</v>
      </c>
    </row>
    <row r="985" spans="1:1">
      <c r="A985" s="88" t="s">
        <v>4163</v>
      </c>
    </row>
    <row r="986" spans="1:1">
      <c r="A986" s="88" t="s">
        <v>4105</v>
      </c>
    </row>
    <row r="987" spans="1:1">
      <c r="A987" s="88" t="s">
        <v>4092</v>
      </c>
    </row>
    <row r="988" spans="1:1">
      <c r="A988" s="88" t="s">
        <v>4106</v>
      </c>
    </row>
    <row r="989" spans="1:1">
      <c r="A989" s="88" t="s">
        <v>4094</v>
      </c>
    </row>
    <row r="990" spans="1:1">
      <c r="A990" s="88" t="s">
        <v>4107</v>
      </c>
    </row>
    <row r="991" spans="1:1">
      <c r="A991" s="88" t="s">
        <v>4108</v>
      </c>
    </row>
    <row r="992" spans="1:1">
      <c r="A992" s="88" t="s">
        <v>4109</v>
      </c>
    </row>
    <row r="993" spans="1:1">
      <c r="A993" s="88"/>
    </row>
    <row r="994" spans="1:1">
      <c r="A994" s="88"/>
    </row>
    <row r="995" spans="1:1">
      <c r="A995" s="88"/>
    </row>
    <row r="996" spans="1:1">
      <c r="A996" s="88" t="s">
        <v>4116</v>
      </c>
    </row>
    <row r="997" spans="1:1">
      <c r="A997" s="88" t="s">
        <v>4099</v>
      </c>
    </row>
    <row r="998" spans="1:1">
      <c r="A998" s="88" t="s">
        <v>4117</v>
      </c>
    </row>
    <row r="999" spans="1:1">
      <c r="A999" s="88" t="s">
        <v>4118</v>
      </c>
    </row>
    <row r="1000" spans="1:1">
      <c r="A1000" s="88" t="s">
        <v>4119</v>
      </c>
    </row>
    <row r="1001" spans="1:1">
      <c r="A1001" s="88" t="s">
        <v>4120</v>
      </c>
    </row>
    <row r="1002" spans="1:1">
      <c r="A1002" s="93" t="s">
        <v>4121</v>
      </c>
    </row>
    <row r="1003" spans="1:1">
      <c r="A1003" s="88" t="s">
        <v>4122</v>
      </c>
    </row>
    <row r="1004" spans="1:1">
      <c r="A1004" s="88" t="s">
        <v>4123</v>
      </c>
    </row>
    <row r="1005" spans="1:1">
      <c r="A1005" s="88" t="s">
        <v>4124</v>
      </c>
    </row>
    <row r="1006" spans="1:1">
      <c r="A1006" s="88" t="s">
        <v>4125</v>
      </c>
    </row>
    <row r="1007" spans="1:1">
      <c r="A1007" s="88" t="s">
        <v>4126</v>
      </c>
    </row>
    <row r="1008" spans="1:1">
      <c r="A1008" s="93" t="s">
        <v>4127</v>
      </c>
    </row>
    <row r="1009" spans="1:1">
      <c r="A1009" s="88" t="s">
        <v>4128</v>
      </c>
    </row>
    <row r="1010" spans="1:1">
      <c r="A1010" s="88" t="s">
        <v>4123</v>
      </c>
    </row>
    <row r="1011" spans="1:1">
      <c r="A1011" s="88" t="s">
        <v>4129</v>
      </c>
    </row>
    <row r="1012" spans="1:1">
      <c r="A1012" s="88" t="s">
        <v>4130</v>
      </c>
    </row>
    <row r="1013" spans="1:1">
      <c r="A1013" s="88" t="s">
        <v>4131</v>
      </c>
    </row>
    <row r="1014" spans="1:1">
      <c r="A1014" s="93" t="s">
        <v>4132</v>
      </c>
    </row>
    <row r="1015" spans="1:1">
      <c r="A1015" s="88" t="s">
        <v>4133</v>
      </c>
    </row>
    <row r="1016" spans="1:1">
      <c r="A1016" s="88" t="s">
        <v>4123</v>
      </c>
    </row>
    <row r="1017" spans="1:1">
      <c r="A1017" s="88" t="s">
        <v>4124</v>
      </c>
    </row>
    <row r="1018" spans="1:1">
      <c r="A1018" s="88" t="s">
        <v>4134</v>
      </c>
    </row>
    <row r="1019" spans="1:1">
      <c r="A1019" s="88" t="s">
        <v>4135</v>
      </c>
    </row>
    <row r="1020" spans="1:1">
      <c r="A1020" s="93" t="s">
        <v>4136</v>
      </c>
    </row>
    <row r="1021" spans="1:1">
      <c r="A1021" s="88" t="s">
        <v>4137</v>
      </c>
    </row>
    <row r="1022" spans="1:1">
      <c r="A1022" s="88" t="s">
        <v>4099</v>
      </c>
    </row>
    <row r="1023" spans="1:1">
      <c r="A1023" s="88" t="s">
        <v>4093</v>
      </c>
    </row>
    <row r="1024" spans="1:1">
      <c r="A1024" s="88" t="s">
        <v>4129</v>
      </c>
    </row>
    <row r="1025" spans="1:1">
      <c r="A1025" s="88" t="s">
        <v>4138</v>
      </c>
    </row>
    <row r="1026" spans="1:1">
      <c r="A1026" s="88" t="s">
        <v>4139</v>
      </c>
    </row>
    <row r="1027" spans="1:1">
      <c r="A1027" s="93" t="s">
        <v>4140</v>
      </c>
    </row>
    <row r="1028" spans="1:1">
      <c r="A1028" s="88" t="s">
        <v>4141</v>
      </c>
    </row>
    <row r="1029" spans="1:1">
      <c r="A1029" s="88" t="s">
        <v>4142</v>
      </c>
    </row>
    <row r="1030" spans="1:1">
      <c r="A1030" s="88" t="s">
        <v>4129</v>
      </c>
    </row>
    <row r="1031" spans="1:1">
      <c r="A1031" s="88" t="s">
        <v>4143</v>
      </c>
    </row>
    <row r="1032" spans="1:1">
      <c r="A1032" s="88" t="s">
        <v>4144</v>
      </c>
    </row>
    <row r="1033" spans="1:1">
      <c r="A1033" s="93" t="s">
        <v>4145</v>
      </c>
    </row>
    <row r="1034" spans="1:1">
      <c r="A1034" s="88" t="s">
        <v>4146</v>
      </c>
    </row>
    <row r="1035" spans="1:1">
      <c r="A1035" s="88" t="s">
        <v>4147</v>
      </c>
    </row>
    <row r="1036" spans="1:1">
      <c r="A1036" s="88" t="s">
        <v>4148</v>
      </c>
    </row>
    <row r="1037" spans="1:1">
      <c r="A1037" s="88" t="s">
        <v>4149</v>
      </c>
    </row>
    <row r="1038" spans="1:1">
      <c r="A1038" s="88" t="s">
        <v>4150</v>
      </c>
    </row>
    <row r="1039" spans="1:1">
      <c r="A1039" s="93" t="s">
        <v>4151</v>
      </c>
    </row>
    <row r="1040" spans="1:1">
      <c r="A1040" s="88" t="s">
        <v>4152</v>
      </c>
    </row>
    <row r="1041" spans="1:1">
      <c r="A1041" s="88" t="s">
        <v>4099</v>
      </c>
    </row>
    <row r="1042" spans="1:1">
      <c r="A1042" s="88" t="s">
        <v>4153</v>
      </c>
    </row>
    <row r="1043" spans="1:1">
      <c r="A1043" s="88" t="s">
        <v>4154</v>
      </c>
    </row>
    <row r="1044" spans="1:1">
      <c r="A1044" s="88" t="s">
        <v>4155</v>
      </c>
    </row>
    <row r="1045" spans="1:1">
      <c r="A1045" s="88" t="s">
        <v>4156</v>
      </c>
    </row>
    <row r="1046" spans="1:1">
      <c r="A1046" s="93" t="s">
        <v>4157</v>
      </c>
    </row>
    <row r="1047" spans="1:1">
      <c r="A1047" s="88" t="s">
        <v>4158</v>
      </c>
    </row>
    <row r="1048" spans="1:1">
      <c r="A1048" s="88" t="s">
        <v>4099</v>
      </c>
    </row>
    <row r="1049" spans="1:1">
      <c r="A1049" s="88" t="s">
        <v>4159</v>
      </c>
    </row>
    <row r="1050" spans="1:1">
      <c r="A1050" s="88" t="s">
        <v>4160</v>
      </c>
    </row>
    <row r="1051" spans="1:1">
      <c r="A1051" s="88" t="s">
        <v>4161</v>
      </c>
    </row>
    <row r="1052" spans="1:1">
      <c r="A1052" s="88" t="s">
        <v>4162</v>
      </c>
    </row>
    <row r="1053" spans="1:1">
      <c r="A1053" s="93" t="s">
        <v>4163</v>
      </c>
    </row>
    <row r="1054" spans="1:1">
      <c r="A1054" s="88" t="s">
        <v>4164</v>
      </c>
    </row>
    <row r="1055" spans="1:1">
      <c r="A1055" s="88" t="s">
        <v>4165</v>
      </c>
    </row>
    <row r="1056" spans="1:1">
      <c r="A1056" s="88" t="s">
        <v>4166</v>
      </c>
    </row>
    <row r="1057" spans="1:1">
      <c r="A1057" s="88" t="s">
        <v>4167</v>
      </c>
    </row>
    <row r="1058" spans="1:1">
      <c r="A1058" s="93" t="s">
        <v>4168</v>
      </c>
    </row>
    <row r="1059" spans="1:1">
      <c r="A1059" s="88" t="s">
        <v>4169</v>
      </c>
    </row>
    <row r="1060" spans="1:1">
      <c r="A1060" s="88" t="s">
        <v>4092</v>
      </c>
    </row>
    <row r="1061" spans="1:1">
      <c r="A1061" s="88" t="s">
        <v>4170</v>
      </c>
    </row>
    <row r="1062" spans="1:1">
      <c r="A1062" s="88" t="s">
        <v>4094</v>
      </c>
    </row>
    <row r="1063" spans="1:1">
      <c r="A1063" s="88" t="s">
        <v>4171</v>
      </c>
    </row>
    <row r="1064" spans="1:1">
      <c r="A1064" s="93" t="s">
        <v>4172</v>
      </c>
    </row>
    <row r="1065" spans="1:1">
      <c r="A1065" s="88" t="s">
        <v>4173</v>
      </c>
    </row>
    <row r="1066" spans="1:1">
      <c r="A1066" s="88" t="s">
        <v>4092</v>
      </c>
    </row>
    <row r="1067" spans="1:1">
      <c r="A1067" s="88" t="s">
        <v>4174</v>
      </c>
    </row>
    <row r="1068" spans="1:1">
      <c r="A1068" s="88" t="s">
        <v>4175</v>
      </c>
    </row>
    <row r="1069" spans="1:1">
      <c r="A1069" s="88" t="s">
        <v>4176</v>
      </c>
    </row>
    <row r="1070" spans="1:1">
      <c r="A1070" s="88" t="s">
        <v>4177</v>
      </c>
    </row>
    <row r="1071" spans="1:1">
      <c r="A1071" s="93" t="s">
        <v>4178</v>
      </c>
    </row>
    <row r="1072" spans="1:1">
      <c r="A1072" s="88" t="s">
        <v>4179</v>
      </c>
    </row>
    <row r="1073" spans="1:1">
      <c r="A1073" s="88" t="s">
        <v>4092</v>
      </c>
    </row>
    <row r="1074" spans="1:1">
      <c r="A1074" s="88" t="s">
        <v>4180</v>
      </c>
    </row>
    <row r="1075" spans="1:1">
      <c r="A1075" s="88" t="s">
        <v>4181</v>
      </c>
    </row>
    <row r="1076" spans="1:1">
      <c r="A1076" s="88" t="s">
        <v>4182</v>
      </c>
    </row>
    <row r="1077" spans="1:1">
      <c r="A1077" s="88" t="s">
        <v>4183</v>
      </c>
    </row>
    <row r="1078" spans="1:1">
      <c r="A1078" s="93" t="s">
        <v>4184</v>
      </c>
    </row>
    <row r="1079" spans="1:1">
      <c r="A1079" s="88" t="s">
        <v>4185</v>
      </c>
    </row>
    <row r="1080" spans="1:1">
      <c r="A1080" s="88" t="s">
        <v>4092</v>
      </c>
    </row>
    <row r="1081" spans="1:1">
      <c r="A1081" s="88" t="s">
        <v>4186</v>
      </c>
    </row>
    <row r="1082" spans="1:1">
      <c r="A1082" s="88" t="s">
        <v>4187</v>
      </c>
    </row>
    <row r="1083" spans="1:1">
      <c r="A1083" s="88" t="s">
        <v>4188</v>
      </c>
    </row>
    <row r="1084" spans="1:1">
      <c r="A1084" s="88" t="s">
        <v>4189</v>
      </c>
    </row>
    <row r="1085" spans="1:1">
      <c r="A1085" s="93" t="s">
        <v>4190</v>
      </c>
    </row>
    <row r="1086" spans="1:1">
      <c r="A1086" s="88" t="s">
        <v>4680</v>
      </c>
    </row>
    <row r="1087" spans="1:1">
      <c r="A1087" s="88" t="s">
        <v>4092</v>
      </c>
    </row>
    <row r="1088" spans="1:1">
      <c r="A1088" s="88" t="s">
        <v>4681</v>
      </c>
    </row>
    <row r="1089" spans="1:1">
      <c r="A1089" s="88" t="s">
        <v>4427</v>
      </c>
    </row>
    <row r="1090" spans="1:1">
      <c r="A1090" s="88" t="s">
        <v>4682</v>
      </c>
    </row>
    <row r="1091" spans="1:1">
      <c r="A1091" s="93" t="s">
        <v>4683</v>
      </c>
    </row>
    <row r="1092" spans="1:1">
      <c r="A1092" s="88" t="s">
        <v>4191</v>
      </c>
    </row>
    <row r="1093" spans="1:1">
      <c r="A1093" s="88" t="s">
        <v>4092</v>
      </c>
    </row>
    <row r="1094" spans="1:1">
      <c r="A1094" s="88" t="s">
        <v>4192</v>
      </c>
    </row>
    <row r="1095" spans="1:1">
      <c r="A1095" s="88" t="s">
        <v>4094</v>
      </c>
    </row>
    <row r="1096" spans="1:1">
      <c r="A1096" s="88" t="s">
        <v>4193</v>
      </c>
    </row>
    <row r="1097" spans="1:1">
      <c r="A1097" s="93" t="s">
        <v>4194</v>
      </c>
    </row>
    <row r="1098" spans="1:1">
      <c r="A1098" s="88" t="s">
        <v>4195</v>
      </c>
    </row>
    <row r="1099" spans="1:1">
      <c r="A1099" s="88" t="s">
        <v>4092</v>
      </c>
    </row>
    <row r="1100" spans="1:1">
      <c r="A1100" s="88" t="s">
        <v>4196</v>
      </c>
    </row>
    <row r="1101" spans="1:1">
      <c r="A1101" s="88" t="s">
        <v>4160</v>
      </c>
    </row>
    <row r="1102" spans="1:1">
      <c r="A1102" s="88" t="s">
        <v>4197</v>
      </c>
    </row>
    <row r="1103" spans="1:1">
      <c r="A1103" s="88" t="s">
        <v>4198</v>
      </c>
    </row>
    <row r="1104" spans="1:1">
      <c r="A1104" s="93" t="s">
        <v>4199</v>
      </c>
    </row>
    <row r="1105" spans="1:1">
      <c r="A1105" s="88" t="s">
        <v>4200</v>
      </c>
    </row>
    <row r="1106" spans="1:1">
      <c r="A1106" s="88" t="s">
        <v>4099</v>
      </c>
    </row>
    <row r="1107" spans="1:1">
      <c r="A1107" s="88" t="s">
        <v>4201</v>
      </c>
    </row>
    <row r="1108" spans="1:1">
      <c r="A1108" s="88" t="s">
        <v>4202</v>
      </c>
    </row>
    <row r="1109" spans="1:1">
      <c r="A1109" s="88" t="s">
        <v>4203</v>
      </c>
    </row>
    <row r="1110" spans="1:1">
      <c r="A1110" s="93" t="s">
        <v>4204</v>
      </c>
    </row>
    <row r="1111" spans="1:1">
      <c r="A1111" s="88" t="s">
        <v>4205</v>
      </c>
    </row>
    <row r="1112" spans="1:1">
      <c r="A1112" s="88" t="s">
        <v>4201</v>
      </c>
    </row>
    <row r="1113" spans="1:1">
      <c r="A1113" s="88" t="s">
        <v>4206</v>
      </c>
    </row>
    <row r="1114" spans="1:1">
      <c r="A1114" s="88" t="s">
        <v>4203</v>
      </c>
    </row>
    <row r="1115" spans="1:1">
      <c r="A1115" s="93" t="s">
        <v>4207</v>
      </c>
    </row>
    <row r="1116" spans="1:1">
      <c r="A1116" s="88" t="s">
        <v>4208</v>
      </c>
    </row>
    <row r="1117" spans="1:1">
      <c r="A1117" s="88" t="s">
        <v>4201</v>
      </c>
    </row>
    <row r="1118" spans="1:1">
      <c r="A1118" s="88" t="s">
        <v>4209</v>
      </c>
    </row>
    <row r="1119" spans="1:1">
      <c r="A1119" s="88" t="s">
        <v>4203</v>
      </c>
    </row>
    <row r="1120" spans="1:1">
      <c r="A1120" s="93" t="s">
        <v>4210</v>
      </c>
    </row>
    <row r="1121" spans="1:1">
      <c r="A1121" s="88" t="s">
        <v>4211</v>
      </c>
    </row>
    <row r="1122" spans="1:1">
      <c r="A1122" s="88" t="s">
        <v>4212</v>
      </c>
    </row>
    <row r="1123" spans="1:1">
      <c r="A1123" s="88" t="s">
        <v>4213</v>
      </c>
    </row>
    <row r="1124" spans="1:1">
      <c r="A1124" s="88" t="s">
        <v>4214</v>
      </c>
    </row>
    <row r="1125" spans="1:1">
      <c r="A1125" s="88" t="s">
        <v>4215</v>
      </c>
    </row>
    <row r="1126" spans="1:1">
      <c r="A1126" s="93" t="s">
        <v>4216</v>
      </c>
    </row>
    <row r="1127" spans="1:1">
      <c r="A1127" s="88" t="s">
        <v>4217</v>
      </c>
    </row>
    <row r="1128" spans="1:1">
      <c r="A1128" s="88" t="s">
        <v>4218</v>
      </c>
    </row>
    <row r="1129" spans="1:1">
      <c r="A1129" s="88" t="s">
        <v>4094</v>
      </c>
    </row>
    <row r="1130" spans="1:1">
      <c r="A1130" s="88" t="s">
        <v>4219</v>
      </c>
    </row>
    <row r="1131" spans="1:1">
      <c r="A1131" s="88" t="s">
        <v>4220</v>
      </c>
    </row>
    <row r="1132" spans="1:1">
      <c r="A1132" s="93" t="s">
        <v>4221</v>
      </c>
    </row>
    <row r="1133" spans="1:1">
      <c r="A1133" s="88" t="s">
        <v>4222</v>
      </c>
    </row>
    <row r="1134" spans="1:1">
      <c r="A1134" s="88" t="s">
        <v>4223</v>
      </c>
    </row>
    <row r="1135" spans="1:1">
      <c r="A1135" s="88" t="s">
        <v>4224</v>
      </c>
    </row>
    <row r="1136" spans="1:1">
      <c r="A1136" s="88" t="s">
        <v>4421</v>
      </c>
    </row>
    <row r="1137" spans="1:1">
      <c r="A1137" s="88" t="s">
        <v>4300</v>
      </c>
    </row>
    <row r="1138" spans="1:1">
      <c r="A1138" s="88" t="s">
        <v>4422</v>
      </c>
    </row>
    <row r="1139" spans="1:1">
      <c r="A1139" s="88" t="s">
        <v>4423</v>
      </c>
    </row>
    <row r="1140" spans="1:1">
      <c r="A1140" s="93" t="s">
        <v>4424</v>
      </c>
    </row>
    <row r="1141" spans="1:1">
      <c r="A1141" s="88" t="s">
        <v>4425</v>
      </c>
    </row>
    <row r="1142" spans="1:1">
      <c r="A1142" s="88" t="s">
        <v>4426</v>
      </c>
    </row>
    <row r="1143" spans="1:1">
      <c r="A1143" s="88" t="s">
        <v>4427</v>
      </c>
    </row>
    <row r="1144" spans="1:1">
      <c r="A1144" s="88" t="s">
        <v>4428</v>
      </c>
    </row>
    <row r="1145" spans="1:1">
      <c r="A1145" s="88" t="s">
        <v>4429</v>
      </c>
    </row>
    <row r="1146" spans="1:1">
      <c r="A1146" s="93" t="s">
        <v>4430</v>
      </c>
    </row>
    <row r="1147" spans="1:1">
      <c r="A1147" s="88" t="s">
        <v>4431</v>
      </c>
    </row>
    <row r="1148" spans="1:1">
      <c r="A1148" s="88" t="s">
        <v>4251</v>
      </c>
    </row>
    <row r="1149" spans="1:1">
      <c r="A1149" s="88" t="s">
        <v>4432</v>
      </c>
    </row>
    <row r="1150" spans="1:1">
      <c r="A1150" s="88" t="s">
        <v>4181</v>
      </c>
    </row>
    <row r="1151" spans="1:1">
      <c r="A1151" s="88" t="s">
        <v>4253</v>
      </c>
    </row>
    <row r="1152" spans="1:1">
      <c r="A1152" s="88" t="s">
        <v>4433</v>
      </c>
    </row>
    <row r="1153" spans="1:1">
      <c r="A1153" s="88" t="s">
        <v>4434</v>
      </c>
    </row>
    <row r="1154" spans="1:1">
      <c r="A1154" s="93" t="s">
        <v>4435</v>
      </c>
    </row>
    <row r="1155" spans="1:1">
      <c r="A1155" s="88" t="s">
        <v>4179</v>
      </c>
    </row>
    <row r="1156" spans="1:1">
      <c r="A1156" s="88" t="s">
        <v>4180</v>
      </c>
    </row>
    <row r="1157" spans="1:1">
      <c r="A1157" s="88" t="s">
        <v>4181</v>
      </c>
    </row>
    <row r="1158" spans="1:1">
      <c r="A1158" s="88" t="s">
        <v>4436</v>
      </c>
    </row>
    <row r="1159" spans="1:1">
      <c r="A1159" s="88" t="s">
        <v>4183</v>
      </c>
    </row>
    <row r="1160" spans="1:1">
      <c r="A1160" s="93" t="s">
        <v>4184</v>
      </c>
    </row>
    <row r="1161" spans="1:1">
      <c r="A1161" s="88" t="s">
        <v>4437</v>
      </c>
    </row>
    <row r="1162" spans="1:1">
      <c r="A1162" s="88" t="s">
        <v>4438</v>
      </c>
    </row>
    <row r="1163" spans="1:1">
      <c r="A1163" s="88" t="s">
        <v>4427</v>
      </c>
    </row>
    <row r="1164" spans="1:1">
      <c r="A1164" s="88" t="s">
        <v>4439</v>
      </c>
    </row>
    <row r="1165" spans="1:1">
      <c r="A1165" s="88" t="s">
        <v>4440</v>
      </c>
    </row>
    <row r="1166" spans="1:1">
      <c r="A1166" s="93" t="s">
        <v>4441</v>
      </c>
    </row>
    <row r="1167" spans="1:1">
      <c r="A1167" s="88" t="s">
        <v>4442</v>
      </c>
    </row>
    <row r="1168" spans="1:1">
      <c r="A1168" s="88" t="s">
        <v>4443</v>
      </c>
    </row>
    <row r="1169" spans="1:1">
      <c r="A1169" s="88" t="s">
        <v>4444</v>
      </c>
    </row>
    <row r="1170" spans="1:1">
      <c r="A1170" s="88" t="s">
        <v>4445</v>
      </c>
    </row>
    <row r="1171" spans="1:1">
      <c r="A1171" s="88" t="s">
        <v>4446</v>
      </c>
    </row>
    <row r="1172" spans="1:1">
      <c r="A1172" s="93" t="s">
        <v>4447</v>
      </c>
    </row>
    <row r="1173" spans="1:1">
      <c r="A1173" s="88" t="s">
        <v>4448</v>
      </c>
    </row>
    <row r="1174" spans="1:1">
      <c r="A1174" s="88" t="s">
        <v>4449</v>
      </c>
    </row>
    <row r="1175" spans="1:1">
      <c r="A1175" s="88" t="s">
        <v>4450</v>
      </c>
    </row>
    <row r="1176" spans="1:1">
      <c r="A1176" s="88" t="s">
        <v>4451</v>
      </c>
    </row>
    <row r="1177" spans="1:1">
      <c r="A1177" s="88" t="s">
        <v>4452</v>
      </c>
    </row>
    <row r="1178" spans="1:1">
      <c r="A1178" s="93" t="s">
        <v>4453</v>
      </c>
    </row>
    <row r="1179" spans="1:1">
      <c r="A1179" s="88" t="s">
        <v>4454</v>
      </c>
    </row>
    <row r="1180" spans="1:1">
      <c r="A1180" s="88" t="s">
        <v>4449</v>
      </c>
    </row>
    <row r="1181" spans="1:1">
      <c r="A1181" s="88" t="s">
        <v>4455</v>
      </c>
    </row>
    <row r="1182" spans="1:1">
      <c r="A1182" s="88" t="s">
        <v>4456</v>
      </c>
    </row>
    <row r="1183" spans="1:1">
      <c r="A1183" s="88" t="s">
        <v>4457</v>
      </c>
    </row>
    <row r="1184" spans="1:1">
      <c r="A1184" s="93" t="s">
        <v>4458</v>
      </c>
    </row>
    <row r="1186" spans="1:1">
      <c r="A1186" s="88" t="s">
        <v>4459</v>
      </c>
    </row>
    <row r="1187" spans="1:1">
      <c r="A1187" s="88" t="s">
        <v>4460</v>
      </c>
    </row>
    <row r="1188" spans="1:1">
      <c r="A1188" s="88" t="s">
        <v>4181</v>
      </c>
    </row>
    <row r="1189" spans="1:1">
      <c r="A1189" s="88" t="s">
        <v>4461</v>
      </c>
    </row>
    <row r="1190" spans="1:1">
      <c r="A1190" s="88" t="s">
        <v>4462</v>
      </c>
    </row>
    <row r="1191" spans="1:1">
      <c r="A1191" s="88" t="s">
        <v>4411</v>
      </c>
    </row>
    <row r="1192" spans="1:1">
      <c r="A1192" s="88" t="s">
        <v>4094</v>
      </c>
    </row>
    <row r="1193" spans="1:1">
      <c r="A1193" s="88" t="s">
        <v>4428</v>
      </c>
    </row>
    <row r="1194" spans="1:1">
      <c r="A1194" s="88" t="s">
        <v>4463</v>
      </c>
    </row>
    <row r="1195" spans="1:1">
      <c r="A1195" s="93" t="s">
        <v>4464</v>
      </c>
    </row>
    <row r="1196" spans="1:1">
      <c r="A1196" s="88" t="s">
        <v>4465</v>
      </c>
    </row>
    <row r="1197" spans="1:1">
      <c r="A1197" s="88" t="s">
        <v>4466</v>
      </c>
    </row>
    <row r="1198" spans="1:1">
      <c r="A1198" s="88" t="s">
        <v>4094</v>
      </c>
    </row>
    <row r="1199" spans="1:1">
      <c r="A1199" s="88" t="s">
        <v>4467</v>
      </c>
    </row>
    <row r="1200" spans="1:1">
      <c r="A1200" s="88" t="s">
        <v>4468</v>
      </c>
    </row>
    <row r="1201" spans="1:1">
      <c r="A1201" s="93" t="s">
        <v>4469</v>
      </c>
    </row>
    <row r="1202" spans="1:1">
      <c r="A1202" s="88" t="s">
        <v>4470</v>
      </c>
    </row>
    <row r="1203" spans="1:1">
      <c r="A1203" s="88" t="s">
        <v>4471</v>
      </c>
    </row>
    <row r="1204" spans="1:1">
      <c r="A1204" s="88" t="s">
        <v>4472</v>
      </c>
    </row>
    <row r="1205" spans="1:1">
      <c r="A1205" s="88" t="s">
        <v>4473</v>
      </c>
    </row>
    <row r="1206" spans="1:1">
      <c r="A1206" s="88" t="s">
        <v>4474</v>
      </c>
    </row>
    <row r="1207" spans="1:1">
      <c r="A1207" s="93" t="s">
        <v>4475</v>
      </c>
    </row>
    <row r="1208" spans="1:1">
      <c r="A1208" s="88" t="s">
        <v>4476</v>
      </c>
    </row>
    <row r="1209" spans="1:1">
      <c r="A1209" s="88" t="s">
        <v>4477</v>
      </c>
    </row>
    <row r="1210" spans="1:1">
      <c r="A1210" s="88" t="s">
        <v>4478</v>
      </c>
    </row>
    <row r="1211" spans="1:1">
      <c r="A1211" s="88" t="s">
        <v>4479</v>
      </c>
    </row>
    <row r="1212" spans="1:1">
      <c r="A1212" s="88" t="s">
        <v>4480</v>
      </c>
    </row>
    <row r="1213" spans="1:1">
      <c r="A1213" s="93" t="s">
        <v>4481</v>
      </c>
    </row>
    <row r="1214" spans="1:1">
      <c r="A1214" s="88" t="s">
        <v>4482</v>
      </c>
    </row>
    <row r="1215" spans="1:1">
      <c r="A1215" s="88" t="s">
        <v>4483</v>
      </c>
    </row>
    <row r="1216" spans="1:1">
      <c r="A1216" s="88" t="s">
        <v>4231</v>
      </c>
    </row>
    <row r="1217" spans="1:1">
      <c r="A1217" s="88" t="s">
        <v>4484</v>
      </c>
    </row>
    <row r="1218" spans="1:1">
      <c r="A1218" s="88" t="s">
        <v>4485</v>
      </c>
    </row>
    <row r="1219" spans="1:1">
      <c r="A1219" s="93" t="s">
        <v>4486</v>
      </c>
    </row>
    <row r="1220" spans="1:1">
      <c r="A1220" s="88" t="s">
        <v>4487</v>
      </c>
    </row>
    <row r="1221" spans="1:1">
      <c r="A1221" s="88" t="s">
        <v>4488</v>
      </c>
    </row>
    <row r="1222" spans="1:1">
      <c r="A1222" s="88" t="s">
        <v>4175</v>
      </c>
    </row>
    <row r="1223" spans="1:1">
      <c r="A1223" s="88" t="s">
        <v>4489</v>
      </c>
    </row>
    <row r="1224" spans="1:1">
      <c r="A1224" s="93" t="s">
        <v>4490</v>
      </c>
    </row>
    <row r="1225" spans="1:1">
      <c r="A1225" s="88" t="s">
        <v>4491</v>
      </c>
    </row>
    <row r="1226" spans="1:1">
      <c r="A1226" s="88" t="s">
        <v>4492</v>
      </c>
    </row>
    <row r="1227" spans="1:1">
      <c r="A1227" s="88" t="s">
        <v>4094</v>
      </c>
    </row>
    <row r="1228" spans="1:1">
      <c r="A1228" s="88" t="s">
        <v>4493</v>
      </c>
    </row>
    <row r="1229" spans="1:1">
      <c r="A1229" s="93" t="s">
        <v>4494</v>
      </c>
    </row>
    <row r="1230" spans="1:1">
      <c r="A1230" s="88" t="s">
        <v>4495</v>
      </c>
    </row>
    <row r="1231" spans="1:1">
      <c r="A1231" s="88" t="s">
        <v>4496</v>
      </c>
    </row>
    <row r="1232" spans="1:1">
      <c r="A1232" s="88" t="s">
        <v>4497</v>
      </c>
    </row>
    <row r="1233" spans="1:1">
      <c r="A1233" s="88" t="s">
        <v>4498</v>
      </c>
    </row>
    <row r="1234" spans="1:1">
      <c r="A1234" s="88" t="s">
        <v>4499</v>
      </c>
    </row>
    <row r="1235" spans="1:1">
      <c r="A1235" s="93" t="s">
        <v>4500</v>
      </c>
    </row>
    <row r="1236" spans="1:1">
      <c r="A1236" s="88" t="s">
        <v>4501</v>
      </c>
    </row>
    <row r="1237" spans="1:1">
      <c r="A1237" s="88" t="s">
        <v>4443</v>
      </c>
    </row>
    <row r="1238" spans="1:1">
      <c r="A1238" s="88" t="s">
        <v>4175</v>
      </c>
    </row>
    <row r="1239" spans="1:1">
      <c r="A1239" s="88" t="s">
        <v>4502</v>
      </c>
    </row>
    <row r="1240" spans="1:1">
      <c r="A1240" s="88" t="s">
        <v>4503</v>
      </c>
    </row>
    <row r="1241" spans="1:1">
      <c r="A1241" s="93" t="s">
        <v>4504</v>
      </c>
    </row>
    <row r="1242" spans="1:1">
      <c r="A1242" s="88" t="s">
        <v>4505</v>
      </c>
    </row>
    <row r="1243" spans="1:1">
      <c r="A1243" s="88" t="s">
        <v>4443</v>
      </c>
    </row>
    <row r="1244" spans="1:1">
      <c r="A1244" s="88" t="s">
        <v>4181</v>
      </c>
    </row>
    <row r="1245" spans="1:1">
      <c r="A1245" s="88" t="s">
        <v>4506</v>
      </c>
    </row>
    <row r="1246" spans="1:1">
      <c r="A1246" s="88" t="s">
        <v>4507</v>
      </c>
    </row>
    <row r="1247" spans="1:1">
      <c r="A1247" s="93" t="s">
        <v>4508</v>
      </c>
    </row>
    <row r="1248" spans="1:1">
      <c r="A1248" s="88" t="s">
        <v>4509</v>
      </c>
    </row>
    <row r="1249" spans="1:1">
      <c r="A1249" s="88" t="s">
        <v>4196</v>
      </c>
    </row>
    <row r="1250" spans="1:1">
      <c r="A1250" s="88" t="s">
        <v>4341</v>
      </c>
    </row>
    <row r="1251" spans="1:1">
      <c r="A1251" s="88" t="s">
        <v>4510</v>
      </c>
    </row>
    <row r="1252" spans="1:1">
      <c r="A1252" s="88" t="s">
        <v>4511</v>
      </c>
    </row>
    <row r="1253" spans="1:1">
      <c r="A1253" s="93" t="s">
        <v>4512</v>
      </c>
    </row>
    <row r="1254" spans="1:1">
      <c r="A1254" s="88" t="s">
        <v>4513</v>
      </c>
    </row>
    <row r="1255" spans="1:1">
      <c r="A1255" s="88" t="s">
        <v>4514</v>
      </c>
    </row>
    <row r="1256" spans="1:1">
      <c r="A1256" s="88" t="s">
        <v>4181</v>
      </c>
    </row>
    <row r="1257" spans="1:1">
      <c r="A1257" s="88" t="s">
        <v>4515</v>
      </c>
    </row>
    <row r="1258" spans="1:1">
      <c r="A1258" s="88" t="s">
        <v>4516</v>
      </c>
    </row>
    <row r="1259" spans="1:1">
      <c r="A1259" s="93" t="s">
        <v>4517</v>
      </c>
    </row>
    <row r="1260" spans="1:1">
      <c r="A1260" s="88" t="s">
        <v>4518</v>
      </c>
    </row>
    <row r="1261" spans="1:1">
      <c r="A1261" s="88" t="s">
        <v>4519</v>
      </c>
    </row>
    <row r="1262" spans="1:1">
      <c r="A1262" s="88" t="s">
        <v>4371</v>
      </c>
    </row>
    <row r="1263" spans="1:1">
      <c r="A1263" s="88" t="s">
        <v>4520</v>
      </c>
    </row>
    <row r="1264" spans="1:1">
      <c r="A1264" s="88" t="s">
        <v>4521</v>
      </c>
    </row>
    <row r="1265" spans="1:1">
      <c r="A1265" s="93" t="s">
        <v>4522</v>
      </c>
    </row>
    <row r="1266" spans="1:1">
      <c r="A1266" s="88" t="s">
        <v>4523</v>
      </c>
    </row>
    <row r="1267" spans="1:1">
      <c r="A1267" s="88" t="s">
        <v>4477</v>
      </c>
    </row>
    <row r="1268" spans="1:1">
      <c r="A1268" s="88" t="s">
        <v>4524</v>
      </c>
    </row>
    <row r="1269" spans="1:1">
      <c r="A1269" s="88" t="s">
        <v>4525</v>
      </c>
    </row>
    <row r="1270" spans="1:1">
      <c r="A1270" s="88" t="s">
        <v>4526</v>
      </c>
    </row>
    <row r="1271" spans="1:1">
      <c r="A1271" s="93" t="s">
        <v>4684</v>
      </c>
    </row>
    <row r="1272" spans="1:1">
      <c r="A1272" s="93" t="s">
        <v>4527</v>
      </c>
    </row>
    <row r="1273" spans="1:1">
      <c r="A1273" s="88" t="s">
        <v>4528</v>
      </c>
    </row>
    <row r="1274" spans="1:1">
      <c r="A1274" s="88" t="s">
        <v>4092</v>
      </c>
    </row>
    <row r="1275" spans="1:1">
      <c r="A1275" s="88" t="s">
        <v>4093</v>
      </c>
    </row>
    <row r="1276" spans="1:1">
      <c r="A1276" s="88" t="s">
        <v>4408</v>
      </c>
    </row>
    <row r="1277" spans="1:1">
      <c r="A1277" s="88" t="s">
        <v>4095</v>
      </c>
    </row>
    <row r="1278" spans="1:1">
      <c r="A1278" s="88" t="s">
        <v>4529</v>
      </c>
    </row>
    <row r="1279" spans="1:1">
      <c r="A1279" s="93" t="s">
        <v>4530</v>
      </c>
    </row>
    <row r="1280" spans="1:1">
      <c r="A1280" s="88" t="s">
        <v>4531</v>
      </c>
    </row>
    <row r="1281" spans="1:1">
      <c r="A1281" s="88" t="s">
        <v>4532</v>
      </c>
    </row>
    <row r="1282" spans="1:1">
      <c r="A1282" s="88" t="s">
        <v>4533</v>
      </c>
    </row>
    <row r="1283" spans="1:1">
      <c r="A1283" s="88" t="s">
        <v>4534</v>
      </c>
    </row>
    <row r="1284" spans="1:1">
      <c r="A1284" s="88" t="s">
        <v>4535</v>
      </c>
    </row>
    <row r="1285" spans="1:1">
      <c r="A1285" s="93" t="s">
        <v>4536</v>
      </c>
    </row>
    <row r="1286" spans="1:1">
      <c r="A1286" s="88" t="s">
        <v>4537</v>
      </c>
    </row>
    <row r="1287" spans="1:1">
      <c r="A1287" s="88" t="s">
        <v>4538</v>
      </c>
    </row>
    <row r="1288" spans="1:1">
      <c r="A1288" s="88" t="s">
        <v>4539</v>
      </c>
    </row>
    <row r="1289" spans="1:1">
      <c r="A1289" s="88" t="s">
        <v>4540</v>
      </c>
    </row>
    <row r="1290" spans="1:1">
      <c r="A1290" s="88" t="s">
        <v>4541</v>
      </c>
    </row>
    <row r="1291" spans="1:1">
      <c r="A1291" s="93" t="s">
        <v>4542</v>
      </c>
    </row>
    <row r="1292" spans="1:1">
      <c r="A1292" s="88" t="s">
        <v>4543</v>
      </c>
    </row>
    <row r="1293" spans="1:1">
      <c r="A1293" s="88" t="s">
        <v>4355</v>
      </c>
    </row>
    <row r="1294" spans="1:1">
      <c r="A1294" s="88" t="s">
        <v>4544</v>
      </c>
    </row>
    <row r="1295" spans="1:1">
      <c r="A1295" s="88" t="s">
        <v>4545</v>
      </c>
    </row>
    <row r="1296" spans="1:1">
      <c r="A1296" s="88" t="s">
        <v>4546</v>
      </c>
    </row>
    <row r="1297" spans="1:1">
      <c r="A1297" s="93" t="s">
        <v>4547</v>
      </c>
    </row>
    <row r="1298" spans="1:1">
      <c r="A1298" s="88" t="s">
        <v>4548</v>
      </c>
    </row>
    <row r="1299" spans="1:1">
      <c r="A1299" s="88" t="s">
        <v>4549</v>
      </c>
    </row>
    <row r="1300" spans="1:1">
      <c r="A1300" s="88" t="s">
        <v>4231</v>
      </c>
    </row>
    <row r="1301" spans="1:1">
      <c r="A1301" s="88" t="s">
        <v>4550</v>
      </c>
    </row>
    <row r="1302" spans="1:1">
      <c r="A1302" s="93" t="s">
        <v>4551</v>
      </c>
    </row>
    <row r="1303" spans="1:1">
      <c r="A1303" s="88" t="s">
        <v>4552</v>
      </c>
    </row>
    <row r="1304" spans="1:1">
      <c r="A1304" s="88" t="s">
        <v>4553</v>
      </c>
    </row>
    <row r="1305" spans="1:1">
      <c r="A1305" s="88" t="s">
        <v>4101</v>
      </c>
    </row>
    <row r="1306" spans="1:1">
      <c r="A1306" s="88" t="s">
        <v>4554</v>
      </c>
    </row>
    <row r="1307" spans="1:1">
      <c r="A1307" s="88" t="s">
        <v>4555</v>
      </c>
    </row>
    <row r="1308" spans="1:1">
      <c r="A1308" s="93" t="s">
        <v>4556</v>
      </c>
    </row>
    <row r="1309" spans="1:1">
      <c r="A1309" s="88" t="s">
        <v>4290</v>
      </c>
    </row>
    <row r="1310" spans="1:1">
      <c r="A1310" s="88" t="s">
        <v>4557</v>
      </c>
    </row>
    <row r="1311" spans="1:1">
      <c r="A1311" s="88" t="s">
        <v>4094</v>
      </c>
    </row>
    <row r="1312" spans="1:1">
      <c r="A1312" s="88" t="s">
        <v>4558</v>
      </c>
    </row>
    <row r="1313" spans="1:1">
      <c r="A1313" s="88" t="s">
        <v>4293</v>
      </c>
    </row>
    <row r="1314" spans="1:1">
      <c r="A1314" s="93" t="s">
        <v>4294</v>
      </c>
    </row>
    <row r="1315" spans="1:1">
      <c r="A1315" s="88" t="s">
        <v>4680</v>
      </c>
    </row>
    <row r="1316" spans="1:1">
      <c r="A1316" s="88" t="s">
        <v>4092</v>
      </c>
    </row>
    <row r="1317" spans="1:1">
      <c r="A1317" s="88" t="s">
        <v>4681</v>
      </c>
    </row>
    <row r="1318" spans="1:1">
      <c r="A1318" s="88" t="s">
        <v>4427</v>
      </c>
    </row>
    <row r="1319" spans="1:1">
      <c r="A1319" s="88" t="s">
        <v>4682</v>
      </c>
    </row>
    <row r="1320" spans="1:1">
      <c r="A1320" s="93" t="s">
        <v>4683</v>
      </c>
    </row>
    <row r="1321" spans="1:1">
      <c r="A1321" s="88" t="s">
        <v>4559</v>
      </c>
    </row>
    <row r="1322" spans="1:1">
      <c r="A1322" s="88" t="s">
        <v>4099</v>
      </c>
    </row>
    <row r="1323" spans="1:1">
      <c r="A1323" s="88" t="s">
        <v>4560</v>
      </c>
    </row>
    <row r="1324" spans="1:1">
      <c r="A1324" s="88" t="s">
        <v>4561</v>
      </c>
    </row>
    <row r="1325" spans="1:1">
      <c r="A1325" s="88" t="s">
        <v>4562</v>
      </c>
    </row>
    <row r="1326" spans="1:1">
      <c r="A1326" s="93" t="s">
        <v>4563</v>
      </c>
    </row>
    <row r="1327" spans="1:1">
      <c r="A1327" s="88" t="s">
        <v>4564</v>
      </c>
    </row>
    <row r="1328" spans="1:1">
      <c r="A1328" s="88" t="s">
        <v>4092</v>
      </c>
    </row>
    <row r="1329" spans="1:1">
      <c r="A1329" s="88" t="s">
        <v>4565</v>
      </c>
    </row>
    <row r="1330" spans="1:1">
      <c r="A1330" s="88" t="s">
        <v>4566</v>
      </c>
    </row>
    <row r="1331" spans="1:1">
      <c r="A1331" s="88" t="s">
        <v>4567</v>
      </c>
    </row>
    <row r="1332" spans="1:1">
      <c r="A1332" s="88" t="s">
        <v>4568</v>
      </c>
    </row>
    <row r="1333" spans="1:1">
      <c r="A1333" s="93" t="s">
        <v>4569</v>
      </c>
    </row>
    <row r="1334" spans="1:1">
      <c r="A1334" s="88" t="s">
        <v>4570</v>
      </c>
    </row>
    <row r="1335" spans="1:1">
      <c r="A1335" s="88" t="s">
        <v>4092</v>
      </c>
    </row>
    <row r="1336" spans="1:1">
      <c r="A1336" s="88" t="s">
        <v>4571</v>
      </c>
    </row>
    <row r="1337" spans="1:1">
      <c r="A1337" s="88" t="s">
        <v>4572</v>
      </c>
    </row>
    <row r="1338" spans="1:1">
      <c r="A1338" s="88" t="s">
        <v>4573</v>
      </c>
    </row>
    <row r="1339" spans="1:1">
      <c r="A1339" s="88" t="s">
        <v>4574</v>
      </c>
    </row>
    <row r="1340" spans="1:1">
      <c r="A1340" s="93" t="s">
        <v>4575</v>
      </c>
    </row>
    <row r="1341" spans="1:1">
      <c r="A1341" s="88" t="s">
        <v>4576</v>
      </c>
    </row>
    <row r="1342" spans="1:1">
      <c r="A1342" s="88" t="s">
        <v>4092</v>
      </c>
    </row>
    <row r="1343" spans="1:1">
      <c r="A1343" s="88" t="s">
        <v>4577</v>
      </c>
    </row>
    <row r="1344" spans="1:1">
      <c r="A1344" s="88" t="s">
        <v>4578</v>
      </c>
    </row>
    <row r="1345" spans="1:1">
      <c r="A1345" s="88" t="s">
        <v>4579</v>
      </c>
    </row>
    <row r="1346" spans="1:1">
      <c r="A1346" s="93" t="s">
        <v>4580</v>
      </c>
    </row>
    <row r="1347" spans="1:1">
      <c r="A1347" s="88" t="s">
        <v>4581</v>
      </c>
    </row>
    <row r="1348" spans="1:1">
      <c r="A1348" s="88" t="s">
        <v>4092</v>
      </c>
    </row>
    <row r="1349" spans="1:1">
      <c r="A1349" s="88" t="s">
        <v>4582</v>
      </c>
    </row>
    <row r="1350" spans="1:1">
      <c r="A1350" s="88" t="s">
        <v>4583</v>
      </c>
    </row>
    <row r="1351" spans="1:1">
      <c r="A1351" s="88" t="s">
        <v>4584</v>
      </c>
    </row>
    <row r="1352" spans="1:1">
      <c r="A1352" s="88" t="s">
        <v>4585</v>
      </c>
    </row>
    <row r="1353" spans="1:1">
      <c r="A1353" s="93" t="s">
        <v>4586</v>
      </c>
    </row>
    <row r="1354" spans="1:1">
      <c r="A1354" s="88" t="s">
        <v>4587</v>
      </c>
    </row>
    <row r="1355" spans="1:1">
      <c r="A1355" s="88" t="s">
        <v>4092</v>
      </c>
    </row>
    <row r="1356" spans="1:1">
      <c r="A1356" s="88" t="s">
        <v>4588</v>
      </c>
    </row>
    <row r="1357" spans="1:1">
      <c r="A1357" s="88" t="s">
        <v>4589</v>
      </c>
    </row>
    <row r="1358" spans="1:1">
      <c r="A1358" s="88" t="s">
        <v>4590</v>
      </c>
    </row>
    <row r="1359" spans="1:1">
      <c r="A1359" s="88" t="s">
        <v>4591</v>
      </c>
    </row>
    <row r="1360" spans="1:1">
      <c r="A1360" s="93" t="s">
        <v>4592</v>
      </c>
    </row>
    <row r="1361" spans="1:1">
      <c r="A1361" s="88" t="s">
        <v>4173</v>
      </c>
    </row>
    <row r="1362" spans="1:1">
      <c r="A1362" s="88" t="s">
        <v>4092</v>
      </c>
    </row>
    <row r="1363" spans="1:1">
      <c r="A1363" s="88" t="s">
        <v>4593</v>
      </c>
    </row>
    <row r="1364" spans="1:1">
      <c r="A1364" s="88" t="s">
        <v>4175</v>
      </c>
    </row>
    <row r="1365" spans="1:1">
      <c r="A1365" s="88" t="s">
        <v>4594</v>
      </c>
    </row>
    <row r="1366" spans="1:1">
      <c r="A1366" s="88" t="s">
        <v>4177</v>
      </c>
    </row>
    <row r="1367" spans="1:1">
      <c r="A1367" s="93" t="s">
        <v>4178</v>
      </c>
    </row>
    <row r="1368" spans="1:1">
      <c r="A1368" s="88" t="s">
        <v>4595</v>
      </c>
    </row>
    <row r="1369" spans="1:1">
      <c r="A1369" s="88" t="s">
        <v>4092</v>
      </c>
    </row>
    <row r="1370" spans="1:1">
      <c r="A1370" s="88" t="s">
        <v>4596</v>
      </c>
    </row>
    <row r="1371" spans="1:1">
      <c r="A1371" s="88" t="s">
        <v>4129</v>
      </c>
    </row>
    <row r="1372" spans="1:1">
      <c r="A1372" s="88" t="s">
        <v>4597</v>
      </c>
    </row>
    <row r="1373" spans="1:1">
      <c r="A1373" s="88" t="s">
        <v>4598</v>
      </c>
    </row>
    <row r="1374" spans="1:1">
      <c r="A1374" s="93" t="s">
        <v>4599</v>
      </c>
    </row>
    <row r="1375" spans="1:1">
      <c r="A1375" s="88" t="s">
        <v>4600</v>
      </c>
    </row>
    <row r="1376" spans="1:1">
      <c r="A1376" s="88" t="s">
        <v>4092</v>
      </c>
    </row>
    <row r="1377" spans="1:1">
      <c r="A1377" s="88" t="s">
        <v>4601</v>
      </c>
    </row>
    <row r="1378" spans="1:1">
      <c r="A1378" s="88" t="s">
        <v>4602</v>
      </c>
    </row>
    <row r="1379" spans="1:1">
      <c r="A1379" s="88" t="s">
        <v>4603</v>
      </c>
    </row>
    <row r="1380" spans="1:1">
      <c r="A1380" s="93" t="s">
        <v>4604</v>
      </c>
    </row>
    <row r="1381" spans="1:1">
      <c r="A1381" s="88" t="s">
        <v>4680</v>
      </c>
    </row>
    <row r="1382" spans="1:1">
      <c r="A1382" s="88" t="s">
        <v>4092</v>
      </c>
    </row>
    <row r="1383" spans="1:1">
      <c r="A1383" s="88" t="s">
        <v>4681</v>
      </c>
    </row>
    <row r="1384" spans="1:1">
      <c r="A1384" s="88" t="s">
        <v>4427</v>
      </c>
    </row>
    <row r="1385" spans="1:1">
      <c r="A1385" s="88" t="s">
        <v>4682</v>
      </c>
    </row>
    <row r="1386" spans="1:1">
      <c r="A1386" s="93" t="s">
        <v>4683</v>
      </c>
    </row>
    <row r="1387" spans="1:1">
      <c r="A1387" s="88" t="s">
        <v>4605</v>
      </c>
    </row>
    <row r="1388" spans="1:1">
      <c r="A1388" s="88" t="s">
        <v>4092</v>
      </c>
    </row>
    <row r="1389" spans="1:1">
      <c r="A1389" s="88" t="s">
        <v>4606</v>
      </c>
    </row>
    <row r="1390" spans="1:1">
      <c r="A1390" s="88" t="s">
        <v>4175</v>
      </c>
    </row>
    <row r="1391" spans="1:1">
      <c r="A1391" s="88" t="s">
        <v>4607</v>
      </c>
    </row>
    <row r="1392" spans="1:1">
      <c r="A1392" s="88" t="s">
        <v>4608</v>
      </c>
    </row>
    <row r="1393" spans="1:1">
      <c r="A1393" s="93" t="s">
        <v>4609</v>
      </c>
    </row>
    <row r="1394" spans="1:1">
      <c r="A1394" s="88" t="s">
        <v>4610</v>
      </c>
    </row>
    <row r="1395" spans="1:1">
      <c r="A1395" s="88" t="s">
        <v>4092</v>
      </c>
    </row>
    <row r="1396" spans="1:1">
      <c r="A1396" s="88" t="s">
        <v>4611</v>
      </c>
    </row>
    <row r="1397" spans="1:1">
      <c r="A1397" s="88" t="s">
        <v>4478</v>
      </c>
    </row>
    <row r="1398" spans="1:1">
      <c r="A1398" s="88" t="s">
        <v>4612</v>
      </c>
    </row>
    <row r="1399" spans="1:1">
      <c r="A1399" s="88" t="s">
        <v>4613</v>
      </c>
    </row>
    <row r="1400" spans="1:1">
      <c r="A1400" s="93" t="s">
        <v>4614</v>
      </c>
    </row>
    <row r="1401" spans="1:1">
      <c r="A1401" s="88" t="s">
        <v>4615</v>
      </c>
    </row>
    <row r="1402" spans="1:1">
      <c r="A1402" s="88" t="s">
        <v>4092</v>
      </c>
    </row>
    <row r="1403" spans="1:1">
      <c r="A1403" s="88" t="s">
        <v>4611</v>
      </c>
    </row>
    <row r="1404" spans="1:1">
      <c r="A1404" s="88" t="s">
        <v>4478</v>
      </c>
    </row>
    <row r="1405" spans="1:1">
      <c r="A1405" s="88" t="s">
        <v>4612</v>
      </c>
    </row>
    <row r="1406" spans="1:1">
      <c r="A1406" s="88" t="s">
        <v>4616</v>
      </c>
    </row>
    <row r="1407" spans="1:1">
      <c r="A1407" s="93" t="s">
        <v>4617</v>
      </c>
    </row>
    <row r="1408" spans="1:1">
      <c r="A1408" s="88" t="s">
        <v>4618</v>
      </c>
    </row>
    <row r="1409" spans="1:1">
      <c r="A1409" s="88" t="s">
        <v>4092</v>
      </c>
    </row>
    <row r="1410" spans="1:1">
      <c r="A1410" s="88" t="s">
        <v>4619</v>
      </c>
    </row>
    <row r="1411" spans="1:1">
      <c r="A1411" s="88" t="s">
        <v>4620</v>
      </c>
    </row>
    <row r="1412" spans="1:1">
      <c r="A1412" s="88" t="s">
        <v>4621</v>
      </c>
    </row>
    <row r="1413" spans="1:1">
      <c r="A1413" s="93" t="s">
        <v>4622</v>
      </c>
    </row>
    <row r="1414" spans="1:1">
      <c r="A1414" s="88" t="s">
        <v>4623</v>
      </c>
    </row>
    <row r="1415" spans="1:1">
      <c r="A1415" s="88" t="s">
        <v>4092</v>
      </c>
    </row>
    <row r="1416" spans="1:1">
      <c r="A1416" s="88" t="s">
        <v>4624</v>
      </c>
    </row>
    <row r="1417" spans="1:1">
      <c r="A1417" s="88" t="s">
        <v>4094</v>
      </c>
    </row>
    <row r="1418" spans="1:1">
      <c r="A1418" s="88" t="s">
        <v>4625</v>
      </c>
    </row>
    <row r="1419" spans="1:1">
      <c r="A1419" s="88" t="s">
        <v>4626</v>
      </c>
    </row>
    <row r="1420" spans="1:1">
      <c r="A1420" s="93" t="s">
        <v>4627</v>
      </c>
    </row>
    <row r="1421" spans="1:1">
      <c r="A1421" s="88" t="s">
        <v>4628</v>
      </c>
    </row>
    <row r="1422" spans="1:1">
      <c r="A1422" s="88" t="s">
        <v>4092</v>
      </c>
    </row>
    <row r="1423" spans="1:1">
      <c r="A1423" s="88" t="s">
        <v>4629</v>
      </c>
    </row>
    <row r="1424" spans="1:1">
      <c r="A1424" s="88" t="s">
        <v>4094</v>
      </c>
    </row>
    <row r="1425" spans="1:1">
      <c r="A1425" s="88" t="s">
        <v>4630</v>
      </c>
    </row>
    <row r="1426" spans="1:1">
      <c r="A1426" s="88" t="s">
        <v>4631</v>
      </c>
    </row>
    <row r="1427" spans="1:1">
      <c r="A1427" s="93" t="s">
        <v>4632</v>
      </c>
    </row>
    <row r="1428" spans="1:1">
      <c r="A1428" s="88" t="s">
        <v>4680</v>
      </c>
    </row>
    <row r="1429" spans="1:1">
      <c r="A1429" s="88" t="s">
        <v>4092</v>
      </c>
    </row>
    <row r="1430" spans="1:1">
      <c r="A1430" s="88" t="s">
        <v>4681</v>
      </c>
    </row>
    <row r="1431" spans="1:1">
      <c r="A1431" s="88" t="s">
        <v>4427</v>
      </c>
    </row>
    <row r="1432" spans="1:1">
      <c r="A1432" s="88" t="s">
        <v>4682</v>
      </c>
    </row>
    <row r="1433" spans="1:1">
      <c r="A1433" s="93" t="s">
        <v>4683</v>
      </c>
    </row>
    <row r="1434" spans="1:1">
      <c r="A1434" s="88" t="s">
        <v>4633</v>
      </c>
    </row>
    <row r="1435" spans="1:1">
      <c r="A1435" s="88" t="s">
        <v>4092</v>
      </c>
    </row>
    <row r="1436" spans="1:1">
      <c r="A1436" s="88" t="s">
        <v>4634</v>
      </c>
    </row>
    <row r="1437" spans="1:1">
      <c r="A1437" s="88" t="s">
        <v>4175</v>
      </c>
    </row>
    <row r="1438" spans="1:1">
      <c r="A1438" s="88" t="s">
        <v>4635</v>
      </c>
    </row>
    <row r="1439" spans="1:1">
      <c r="A1439" s="88" t="s">
        <v>4636</v>
      </c>
    </row>
    <row r="1440" spans="1:1">
      <c r="A1440" s="93" t="s">
        <v>4637</v>
      </c>
    </row>
    <row r="1441" spans="1:1">
      <c r="A1441" s="88" t="s">
        <v>4638</v>
      </c>
    </row>
    <row r="1442" spans="1:1">
      <c r="A1442" s="88" t="s">
        <v>4092</v>
      </c>
    </row>
    <row r="1443" spans="1:1">
      <c r="A1443" s="88" t="s">
        <v>4639</v>
      </c>
    </row>
    <row r="1444" spans="1:1">
      <c r="A1444" s="88" t="s">
        <v>4640</v>
      </c>
    </row>
    <row r="1445" spans="1:1">
      <c r="A1445" s="88" t="s">
        <v>4641</v>
      </c>
    </row>
    <row r="1446" spans="1:1">
      <c r="A1446" s="88" t="s">
        <v>4642</v>
      </c>
    </row>
    <row r="1447" spans="1:1">
      <c r="A1447" s="93" t="s">
        <v>4643</v>
      </c>
    </row>
    <row r="1448" spans="1:1">
      <c r="A1448" s="88" t="s">
        <v>4644</v>
      </c>
    </row>
    <row r="1449" spans="1:1">
      <c r="A1449" s="88" t="s">
        <v>4092</v>
      </c>
    </row>
    <row r="1450" spans="1:1">
      <c r="A1450" s="88" t="s">
        <v>4123</v>
      </c>
    </row>
    <row r="1451" spans="1:1">
      <c r="A1451" s="88" t="s">
        <v>4124</v>
      </c>
    </row>
    <row r="1452" spans="1:1">
      <c r="A1452" s="88" t="s">
        <v>4645</v>
      </c>
    </row>
    <row r="1453" spans="1:1">
      <c r="A1453" s="88" t="s">
        <v>4646</v>
      </c>
    </row>
    <row r="1454" spans="1:1">
      <c r="A1454" s="93" t="s">
        <v>4647</v>
      </c>
    </row>
    <row r="1455" spans="1:1">
      <c r="A1455" s="88" t="s">
        <v>4648</v>
      </c>
    </row>
    <row r="1456" spans="1:1">
      <c r="A1456" s="88" t="s">
        <v>4092</v>
      </c>
    </row>
    <row r="1457" spans="1:1">
      <c r="A1457" s="88" t="s">
        <v>4649</v>
      </c>
    </row>
    <row r="1458" spans="1:1">
      <c r="A1458" s="88" t="s">
        <v>4175</v>
      </c>
    </row>
    <row r="1459" spans="1:1">
      <c r="A1459" s="88" t="s">
        <v>4650</v>
      </c>
    </row>
    <row r="1460" spans="1:1">
      <c r="A1460" s="88" t="s">
        <v>4651</v>
      </c>
    </row>
    <row r="1461" spans="1:1">
      <c r="A1461" s="93" t="s">
        <v>4652</v>
      </c>
    </row>
    <row r="1462" spans="1:1">
      <c r="A1462" s="88" t="s">
        <v>4653</v>
      </c>
    </row>
    <row r="1463" spans="1:1">
      <c r="A1463" s="88" t="s">
        <v>4092</v>
      </c>
    </row>
    <row r="1464" spans="1:1">
      <c r="A1464" s="88" t="s">
        <v>4654</v>
      </c>
    </row>
    <row r="1465" spans="1:1">
      <c r="A1465" s="88" t="s">
        <v>4655</v>
      </c>
    </row>
    <row r="1466" spans="1:1">
      <c r="A1466" s="88" t="s">
        <v>4656</v>
      </c>
    </row>
    <row r="1467" spans="1:1">
      <c r="A1467" s="88" t="s">
        <v>4657</v>
      </c>
    </row>
    <row r="1468" spans="1:1">
      <c r="A1468" s="93" t="s">
        <v>4658</v>
      </c>
    </row>
    <row r="1469" spans="1:1">
      <c r="A1469" s="88" t="s">
        <v>4659</v>
      </c>
    </row>
    <row r="1470" spans="1:1">
      <c r="A1470" s="88" t="s">
        <v>4092</v>
      </c>
    </row>
    <row r="1471" spans="1:1">
      <c r="A1471" s="88" t="s">
        <v>4660</v>
      </c>
    </row>
    <row r="1472" spans="1:1">
      <c r="A1472" s="88" t="s">
        <v>4181</v>
      </c>
    </row>
    <row r="1473" spans="1:1">
      <c r="A1473" s="88" t="s">
        <v>4661</v>
      </c>
    </row>
    <row r="1474" spans="1:1">
      <c r="A1474" s="93" t="s">
        <v>4662</v>
      </c>
    </row>
    <row r="1475" spans="1:1">
      <c r="A1475" s="88" t="s">
        <v>4663</v>
      </c>
    </row>
    <row r="1476" spans="1:1">
      <c r="A1476" s="88" t="s">
        <v>4092</v>
      </c>
    </row>
    <row r="1477" spans="1:1">
      <c r="A1477" s="88" t="s">
        <v>4664</v>
      </c>
    </row>
    <row r="1478" spans="1:1">
      <c r="A1478" s="88" t="s">
        <v>4371</v>
      </c>
    </row>
    <row r="1479" spans="1:1">
      <c r="A1479" s="88" t="s">
        <v>4665</v>
      </c>
    </row>
    <row r="1480" spans="1:1">
      <c r="A1480" s="93" t="s">
        <v>4666</v>
      </c>
    </row>
    <row r="1481" spans="1:1">
      <c r="A1481" s="88" t="s">
        <v>4667</v>
      </c>
    </row>
    <row r="1482" spans="1:1">
      <c r="A1482" s="88" t="s">
        <v>4092</v>
      </c>
    </row>
    <row r="1483" spans="1:1">
      <c r="A1483" s="88" t="s">
        <v>4668</v>
      </c>
    </row>
    <row r="1484" spans="1:1">
      <c r="A1484" s="88" t="s">
        <v>4371</v>
      </c>
    </row>
    <row r="1485" spans="1:1">
      <c r="A1485" s="88" t="s">
        <v>4669</v>
      </c>
    </row>
    <row r="1486" spans="1:1">
      <c r="A1486" s="88" t="s">
        <v>4670</v>
      </c>
    </row>
    <row r="1487" spans="1:1">
      <c r="A1487" s="93" t="s">
        <v>4671</v>
      </c>
    </row>
    <row r="1488" spans="1:1">
      <c r="A1488" s="88" t="s">
        <v>4672</v>
      </c>
    </row>
    <row r="1489" spans="1:1">
      <c r="A1489" s="88" t="s">
        <v>4092</v>
      </c>
    </row>
    <row r="1490" spans="1:1">
      <c r="A1490" s="88" t="s">
        <v>4673</v>
      </c>
    </row>
    <row r="1491" spans="1:1">
      <c r="A1491" s="88" t="s">
        <v>4674</v>
      </c>
    </row>
    <row r="1492" spans="1:1">
      <c r="A1492" s="93" t="s">
        <v>4675</v>
      </c>
    </row>
    <row r="1493" spans="1:1">
      <c r="A1493" s="88" t="s">
        <v>4676</v>
      </c>
    </row>
    <row r="1494" spans="1:1">
      <c r="A1494" s="88" t="s">
        <v>4099</v>
      </c>
    </row>
    <row r="1495" spans="1:1">
      <c r="A1495" s="88" t="s">
        <v>4673</v>
      </c>
    </row>
    <row r="1496" spans="1:1">
      <c r="A1496" s="88" t="s">
        <v>4129</v>
      </c>
    </row>
    <row r="1497" spans="1:1">
      <c r="A1497" s="88" t="s">
        <v>4677</v>
      </c>
    </row>
    <row r="1498" spans="1:1">
      <c r="A1498" s="88" t="s">
        <v>4678</v>
      </c>
    </row>
    <row r="1499" spans="1:1">
      <c r="A1499" s="93" t="s">
        <v>4679</v>
      </c>
    </row>
    <row r="1500" spans="1:1">
      <c r="A1500" s="88" t="s">
        <v>4169</v>
      </c>
    </row>
    <row r="1501" spans="1:1">
      <c r="A1501" s="88" t="s">
        <v>4092</v>
      </c>
    </row>
    <row r="1502" spans="1:1">
      <c r="A1502" s="88" t="s">
        <v>4170</v>
      </c>
    </row>
    <row r="1503" spans="1:1">
      <c r="A1503" s="88" t="s">
        <v>4094</v>
      </c>
    </row>
    <row r="1504" spans="1:1">
      <c r="A1504" s="88" t="s">
        <v>4171</v>
      </c>
    </row>
    <row r="1505" spans="1:1">
      <c r="A1505" s="93" t="s">
        <v>4172</v>
      </c>
    </row>
    <row r="1506" spans="1:1">
      <c r="A1506" s="88" t="s">
        <v>4110</v>
      </c>
    </row>
    <row r="1507" spans="1:1">
      <c r="A1507" s="88" t="s">
        <v>4092</v>
      </c>
    </row>
    <row r="1508" spans="1:1">
      <c r="A1508" s="88" t="s">
        <v>4111</v>
      </c>
    </row>
    <row r="1509" spans="1:1">
      <c r="A1509" s="88" t="s">
        <v>4112</v>
      </c>
    </row>
    <row r="1510" spans="1:1">
      <c r="A1510" s="88" t="s">
        <v>4113</v>
      </c>
    </row>
    <row r="1511" spans="1:1">
      <c r="A1511" s="88" t="s">
        <v>4114</v>
      </c>
    </row>
    <row r="1512" spans="1:1">
      <c r="A1512" s="93" t="s">
        <v>4115</v>
      </c>
    </row>
    <row r="1513" spans="1:1">
      <c r="A1513" s="88" t="s">
        <v>4158</v>
      </c>
    </row>
    <row r="1514" spans="1:1">
      <c r="A1514" s="88" t="s">
        <v>4099</v>
      </c>
    </row>
    <row r="1515" spans="1:1">
      <c r="A1515" s="88" t="s">
        <v>4159</v>
      </c>
    </row>
    <row r="1516" spans="1:1">
      <c r="A1516" s="88" t="s">
        <v>4160</v>
      </c>
    </row>
    <row r="1517" spans="1:1">
      <c r="A1517" s="88" t="s">
        <v>4161</v>
      </c>
    </row>
    <row r="1518" spans="1:1">
      <c r="A1518" s="88" t="s">
        <v>4162</v>
      </c>
    </row>
    <row r="1519" spans="1:1">
      <c r="A1519" s="93" t="s">
        <v>4163</v>
      </c>
    </row>
    <row r="1520" spans="1:1">
      <c r="A1520" s="88" t="s">
        <v>4105</v>
      </c>
    </row>
    <row r="1521" spans="1:1">
      <c r="A1521" s="88" t="s">
        <v>4092</v>
      </c>
    </row>
    <row r="1522" spans="1:1">
      <c r="A1522" s="88" t="s">
        <v>4106</v>
      </c>
    </row>
    <row r="1523" spans="1:1">
      <c r="A1523" s="88" t="s">
        <v>4094</v>
      </c>
    </row>
    <row r="1524" spans="1:1">
      <c r="A1524" s="88" t="s">
        <v>4107</v>
      </c>
    </row>
    <row r="1525" spans="1:1">
      <c r="A1525" s="88" t="s">
        <v>4108</v>
      </c>
    </row>
    <row r="1526" spans="1:1">
      <c r="A1526" s="93" t="s">
        <v>4109</v>
      </c>
    </row>
    <row r="1527" spans="1:1">
      <c r="A1527" s="88"/>
    </row>
    <row r="1528" spans="1:1">
      <c r="A1528" s="88"/>
    </row>
    <row r="1529" spans="1:1">
      <c r="A1529" s="88"/>
    </row>
    <row r="1530" spans="1:1">
      <c r="A1530" s="88"/>
    </row>
    <row r="1531" spans="1:1">
      <c r="A1531" s="88" t="s">
        <v>4685</v>
      </c>
    </row>
    <row r="1532" spans="1:1">
      <c r="A1532" s="88" t="s">
        <v>4092</v>
      </c>
    </row>
    <row r="1533" spans="1:1">
      <c r="A1533" s="88" t="s">
        <v>4093</v>
      </c>
    </row>
    <row r="1534" spans="1:1">
      <c r="A1534" s="88" t="s">
        <v>4094</v>
      </c>
    </row>
    <row r="1535" spans="1:1">
      <c r="A1535" s="88" t="s">
        <v>4095</v>
      </c>
    </row>
    <row r="1536" spans="1:1">
      <c r="A1536" s="88" t="s">
        <v>4096</v>
      </c>
    </row>
    <row r="1537" spans="1:1">
      <c r="A1537" s="93" t="s">
        <v>4097</v>
      </c>
    </row>
    <row r="1539" spans="1:1">
      <c r="A1539" s="88" t="s">
        <v>4098</v>
      </c>
    </row>
    <row r="1540" spans="1:1">
      <c r="A1540" s="88" t="s">
        <v>4099</v>
      </c>
    </row>
    <row r="1541" spans="1:1">
      <c r="A1541" s="88" t="s">
        <v>4100</v>
      </c>
    </row>
    <row r="1542" spans="1:1">
      <c r="A1542" s="88" t="s">
        <v>4101</v>
      </c>
    </row>
    <row r="1543" spans="1:1">
      <c r="A1543" s="88" t="s">
        <v>4102</v>
      </c>
    </row>
    <row r="1544" spans="1:1">
      <c r="A1544" s="88" t="s">
        <v>4103</v>
      </c>
    </row>
    <row r="1545" spans="1:1">
      <c r="A1545" s="93" t="s">
        <v>4686</v>
      </c>
    </row>
    <row r="1547" spans="1:1">
      <c r="A1547" s="88" t="s">
        <v>4227</v>
      </c>
    </row>
    <row r="1548" spans="1:1">
      <c r="A1548" s="88" t="s">
        <v>4092</v>
      </c>
    </row>
    <row r="1549" spans="1:1">
      <c r="A1549" s="88" t="s">
        <v>4170</v>
      </c>
    </row>
    <row r="1550" spans="1:1">
      <c r="A1550" s="88" t="s">
        <v>4101</v>
      </c>
    </row>
    <row r="1551" spans="1:1">
      <c r="A1551" s="88" t="s">
        <v>4171</v>
      </c>
    </row>
    <row r="1552" spans="1:1">
      <c r="A1552" s="93" t="s">
        <v>4687</v>
      </c>
    </row>
    <row r="1554" spans="1:1">
      <c r="A1554" s="88" t="s">
        <v>4105</v>
      </c>
    </row>
    <row r="1555" spans="1:1">
      <c r="A1555" s="88" t="s">
        <v>4092</v>
      </c>
    </row>
    <row r="1556" spans="1:1">
      <c r="A1556" s="88" t="s">
        <v>4106</v>
      </c>
    </row>
    <row r="1557" spans="1:1">
      <c r="A1557" s="88" t="s">
        <v>4094</v>
      </c>
    </row>
    <row r="1558" spans="1:1">
      <c r="A1558" s="88" t="s">
        <v>4107</v>
      </c>
    </row>
    <row r="1559" spans="1:1">
      <c r="A1559" s="88" t="s">
        <v>4108</v>
      </c>
    </row>
    <row r="1560" spans="1:1">
      <c r="A1560" s="93" t="s">
        <v>4109</v>
      </c>
    </row>
    <row r="1562" spans="1:1">
      <c r="A1562" s="88" t="s">
        <v>4688</v>
      </c>
    </row>
    <row r="1563" spans="1:1">
      <c r="A1563" s="88" t="s">
        <v>4099</v>
      </c>
    </row>
    <row r="1564" spans="1:1">
      <c r="A1564" s="88" t="s">
        <v>4106</v>
      </c>
    </row>
    <row r="1565" spans="1:1">
      <c r="A1565" s="88" t="s">
        <v>4417</v>
      </c>
    </row>
    <row r="1566" spans="1:1">
      <c r="A1566" s="88" t="s">
        <v>4689</v>
      </c>
    </row>
    <row r="1567" spans="1:1">
      <c r="A1567" s="93" t="s">
        <v>4690</v>
      </c>
    </row>
    <row r="1569" spans="1:1">
      <c r="A1569" s="88" t="s">
        <v>4110</v>
      </c>
    </row>
    <row r="1570" spans="1:1">
      <c r="A1570" s="88" t="s">
        <v>4092</v>
      </c>
    </row>
    <row r="1571" spans="1:1">
      <c r="A1571" s="88" t="s">
        <v>4111</v>
      </c>
    </row>
    <row r="1572" spans="1:1">
      <c r="A1572" s="88" t="s">
        <v>4112</v>
      </c>
    </row>
    <row r="1573" spans="1:1">
      <c r="A1573" s="88" t="s">
        <v>4113</v>
      </c>
    </row>
    <row r="1574" spans="1:1">
      <c r="A1574" s="88" t="s">
        <v>4114</v>
      </c>
    </row>
    <row r="1575" spans="1:1">
      <c r="A1575" s="93" t="s">
        <v>4115</v>
      </c>
    </row>
    <row r="1577" spans="1:1">
      <c r="A1577" s="88" t="s">
        <v>4116</v>
      </c>
    </row>
    <row r="1578" spans="1:1">
      <c r="A1578" s="88" t="s">
        <v>4099</v>
      </c>
    </row>
    <row r="1579" spans="1:1">
      <c r="A1579" s="88" t="s">
        <v>4117</v>
      </c>
    </row>
    <row r="1580" spans="1:1">
      <c r="A1580" s="88" t="s">
        <v>4118</v>
      </c>
    </row>
    <row r="1581" spans="1:1">
      <c r="A1581" s="88" t="s">
        <v>4119</v>
      </c>
    </row>
    <row r="1582" spans="1:1">
      <c r="A1582" s="88" t="s">
        <v>4120</v>
      </c>
    </row>
    <row r="1583" spans="1:1">
      <c r="A1583" s="93" t="s">
        <v>4121</v>
      </c>
    </row>
    <row r="1585" spans="1:1">
      <c r="A1585" s="88" t="s">
        <v>4122</v>
      </c>
    </row>
    <row r="1586" spans="1:1">
      <c r="A1586" s="88" t="s">
        <v>4123</v>
      </c>
    </row>
    <row r="1587" spans="1:1">
      <c r="A1587" s="88" t="s">
        <v>4124</v>
      </c>
    </row>
    <row r="1588" spans="1:1">
      <c r="A1588" s="88" t="s">
        <v>4125</v>
      </c>
    </row>
    <row r="1589" spans="1:1">
      <c r="A1589" s="88" t="s">
        <v>4126</v>
      </c>
    </row>
    <row r="1590" spans="1:1">
      <c r="A1590" s="93" t="s">
        <v>4127</v>
      </c>
    </row>
    <row r="1592" spans="1:1">
      <c r="A1592" s="88" t="s">
        <v>4128</v>
      </c>
    </row>
    <row r="1593" spans="1:1">
      <c r="A1593" s="88" t="s">
        <v>4123</v>
      </c>
    </row>
    <row r="1594" spans="1:1">
      <c r="A1594" s="88" t="s">
        <v>4129</v>
      </c>
    </row>
    <row r="1595" spans="1:1">
      <c r="A1595" s="88" t="s">
        <v>4130</v>
      </c>
    </row>
    <row r="1596" spans="1:1">
      <c r="A1596" s="88" t="s">
        <v>4131</v>
      </c>
    </row>
    <row r="1597" spans="1:1">
      <c r="A1597" s="93" t="s">
        <v>4132</v>
      </c>
    </row>
    <row r="1599" spans="1:1">
      <c r="A1599" s="88" t="s">
        <v>4133</v>
      </c>
    </row>
    <row r="1600" spans="1:1">
      <c r="A1600" s="88" t="s">
        <v>4123</v>
      </c>
    </row>
    <row r="1601" spans="1:1">
      <c r="A1601" s="88" t="s">
        <v>4124</v>
      </c>
    </row>
    <row r="1602" spans="1:1">
      <c r="A1602" s="88" t="s">
        <v>4134</v>
      </c>
    </row>
    <row r="1603" spans="1:1">
      <c r="A1603" s="88" t="s">
        <v>4135</v>
      </c>
    </row>
    <row r="1604" spans="1:1">
      <c r="A1604" s="93" t="s">
        <v>4136</v>
      </c>
    </row>
    <row r="1606" spans="1:1">
      <c r="A1606" s="88" t="s">
        <v>4137</v>
      </c>
    </row>
    <row r="1607" spans="1:1">
      <c r="A1607" s="88" t="s">
        <v>4099</v>
      </c>
    </row>
    <row r="1608" spans="1:1">
      <c r="A1608" s="88" t="s">
        <v>4093</v>
      </c>
    </row>
    <row r="1609" spans="1:1">
      <c r="A1609" s="88" t="s">
        <v>4129</v>
      </c>
    </row>
    <row r="1610" spans="1:1">
      <c r="A1610" s="88" t="s">
        <v>4138</v>
      </c>
    </row>
    <row r="1611" spans="1:1">
      <c r="A1611" s="88" t="s">
        <v>4139</v>
      </c>
    </row>
    <row r="1612" spans="1:1">
      <c r="A1612" s="93" t="s">
        <v>4140</v>
      </c>
    </row>
    <row r="1614" spans="1:1">
      <c r="A1614" s="88" t="s">
        <v>4141</v>
      </c>
    </row>
    <row r="1615" spans="1:1">
      <c r="A1615" s="88" t="s">
        <v>4142</v>
      </c>
    </row>
    <row r="1616" spans="1:1">
      <c r="A1616" s="88" t="s">
        <v>4129</v>
      </c>
    </row>
    <row r="1617" spans="1:1">
      <c r="A1617" s="88" t="s">
        <v>4143</v>
      </c>
    </row>
    <row r="1618" spans="1:1">
      <c r="A1618" s="88" t="s">
        <v>4144</v>
      </c>
    </row>
    <row r="1619" spans="1:1">
      <c r="A1619" s="93" t="s">
        <v>4145</v>
      </c>
    </row>
    <row r="1621" spans="1:1">
      <c r="A1621" s="88" t="s">
        <v>4146</v>
      </c>
    </row>
    <row r="1622" spans="1:1">
      <c r="A1622" s="88" t="s">
        <v>4147</v>
      </c>
    </row>
    <row r="1623" spans="1:1">
      <c r="A1623" s="88" t="s">
        <v>4148</v>
      </c>
    </row>
    <row r="1624" spans="1:1">
      <c r="A1624" s="88" t="s">
        <v>4149</v>
      </c>
    </row>
    <row r="1625" spans="1:1">
      <c r="A1625" s="88" t="s">
        <v>4150</v>
      </c>
    </row>
    <row r="1626" spans="1:1">
      <c r="A1626" s="93" t="s">
        <v>4151</v>
      </c>
    </row>
    <row r="1627" spans="1:1">
      <c r="A1627" s="88"/>
    </row>
    <row r="1629" spans="1:1">
      <c r="A1629" s="88" t="s">
        <v>4680</v>
      </c>
    </row>
    <row r="1630" spans="1:1">
      <c r="A1630" s="88" t="s">
        <v>4092</v>
      </c>
    </row>
    <row r="1631" spans="1:1">
      <c r="A1631" s="88" t="s">
        <v>4681</v>
      </c>
    </row>
    <row r="1632" spans="1:1">
      <c r="A1632" s="88" t="s">
        <v>4427</v>
      </c>
    </row>
    <row r="1633" spans="1:1">
      <c r="A1633" s="88" t="s">
        <v>4682</v>
      </c>
    </row>
    <row r="1634" spans="1:1">
      <c r="A1634" s="93" t="s">
        <v>4683</v>
      </c>
    </row>
    <row r="1636" spans="1:1">
      <c r="A1636" s="88" t="s">
        <v>4152</v>
      </c>
    </row>
    <row r="1637" spans="1:1">
      <c r="A1637" s="88" t="s">
        <v>4099</v>
      </c>
    </row>
    <row r="1638" spans="1:1">
      <c r="A1638" s="88" t="s">
        <v>4153</v>
      </c>
    </row>
    <row r="1639" spans="1:1">
      <c r="A1639" s="88" t="s">
        <v>4154</v>
      </c>
    </row>
    <row r="1640" spans="1:1">
      <c r="A1640" s="88" t="s">
        <v>4155</v>
      </c>
    </row>
    <row r="1641" spans="1:1">
      <c r="A1641" s="88" t="s">
        <v>4156</v>
      </c>
    </row>
    <row r="1642" spans="1:1">
      <c r="A1642" s="93" t="s">
        <v>4157</v>
      </c>
    </row>
    <row r="1644" spans="1:1">
      <c r="A1644" s="88" t="s">
        <v>4158</v>
      </c>
    </row>
    <row r="1645" spans="1:1">
      <c r="A1645" s="88" t="s">
        <v>4099</v>
      </c>
    </row>
    <row r="1646" spans="1:1">
      <c r="A1646" s="88" t="s">
        <v>4159</v>
      </c>
    </row>
    <row r="1647" spans="1:1">
      <c r="A1647" s="88" t="s">
        <v>4160</v>
      </c>
    </row>
    <row r="1648" spans="1:1">
      <c r="A1648" s="88" t="s">
        <v>4161</v>
      </c>
    </row>
    <row r="1649" spans="1:1">
      <c r="A1649" s="88" t="s">
        <v>4162</v>
      </c>
    </row>
    <row r="1650" spans="1:1">
      <c r="A1650" s="93" t="s">
        <v>4163</v>
      </c>
    </row>
    <row r="1652" spans="1:1">
      <c r="A1652" s="88" t="s">
        <v>4164</v>
      </c>
    </row>
    <row r="1653" spans="1:1">
      <c r="A1653" s="88" t="s">
        <v>4165</v>
      </c>
    </row>
    <row r="1654" spans="1:1">
      <c r="A1654" s="88" t="s">
        <v>4166</v>
      </c>
    </row>
    <row r="1655" spans="1:1">
      <c r="A1655" s="88" t="s">
        <v>4167</v>
      </c>
    </row>
    <row r="1656" spans="1:1">
      <c r="A1656" s="93" t="s">
        <v>4168</v>
      </c>
    </row>
    <row r="1658" spans="1:1">
      <c r="A1658" s="88" t="s">
        <v>4169</v>
      </c>
    </row>
    <row r="1659" spans="1:1">
      <c r="A1659" s="88" t="s">
        <v>4092</v>
      </c>
    </row>
    <row r="1660" spans="1:1">
      <c r="A1660" s="88" t="s">
        <v>4170</v>
      </c>
    </row>
    <row r="1661" spans="1:1">
      <c r="A1661" s="88" t="s">
        <v>4094</v>
      </c>
    </row>
    <row r="1662" spans="1:1">
      <c r="A1662" s="88" t="s">
        <v>4171</v>
      </c>
    </row>
    <row r="1663" spans="1:1">
      <c r="A1663" s="93" t="s">
        <v>4172</v>
      </c>
    </row>
    <row r="1665" spans="1:1">
      <c r="A1665" s="88" t="s">
        <v>4173</v>
      </c>
    </row>
    <row r="1666" spans="1:1">
      <c r="A1666" s="88" t="s">
        <v>4092</v>
      </c>
    </row>
    <row r="1667" spans="1:1">
      <c r="A1667" s="88" t="s">
        <v>4174</v>
      </c>
    </row>
    <row r="1668" spans="1:1">
      <c r="A1668" s="88" t="s">
        <v>4175</v>
      </c>
    </row>
    <row r="1669" spans="1:1">
      <c r="A1669" s="88" t="s">
        <v>4176</v>
      </c>
    </row>
    <row r="1670" spans="1:1">
      <c r="A1670" s="88" t="s">
        <v>4177</v>
      </c>
    </row>
    <row r="1671" spans="1:1">
      <c r="A1671" s="93" t="s">
        <v>4178</v>
      </c>
    </row>
    <row r="1673" spans="1:1">
      <c r="A1673" s="88" t="s">
        <v>4179</v>
      </c>
    </row>
    <row r="1674" spans="1:1">
      <c r="A1674" s="88" t="s">
        <v>4092</v>
      </c>
    </row>
    <row r="1675" spans="1:1">
      <c r="A1675" s="88" t="s">
        <v>4180</v>
      </c>
    </row>
    <row r="1676" spans="1:1">
      <c r="A1676" s="88" t="s">
        <v>4181</v>
      </c>
    </row>
    <row r="1677" spans="1:1">
      <c r="A1677" s="88" t="s">
        <v>4182</v>
      </c>
    </row>
    <row r="1678" spans="1:1">
      <c r="A1678" s="88" t="s">
        <v>4183</v>
      </c>
    </row>
    <row r="1679" spans="1:1">
      <c r="A1679" s="93" t="s">
        <v>4184</v>
      </c>
    </row>
    <row r="1681" spans="1:1">
      <c r="A1681" s="88" t="s">
        <v>4185</v>
      </c>
    </row>
    <row r="1682" spans="1:1">
      <c r="A1682" s="88" t="s">
        <v>4092</v>
      </c>
    </row>
    <row r="1683" spans="1:1">
      <c r="A1683" s="88" t="s">
        <v>4186</v>
      </c>
    </row>
    <row r="1684" spans="1:1">
      <c r="A1684" s="88" t="s">
        <v>4187</v>
      </c>
    </row>
    <row r="1685" spans="1:1">
      <c r="A1685" s="88" t="s">
        <v>4188</v>
      </c>
    </row>
    <row r="1686" spans="1:1">
      <c r="A1686" s="88" t="s">
        <v>4189</v>
      </c>
    </row>
    <row r="1687" spans="1:1">
      <c r="A1687" s="93" t="s">
        <v>4190</v>
      </c>
    </row>
    <row r="1689" spans="1:1">
      <c r="A1689" s="88" t="s">
        <v>4191</v>
      </c>
    </row>
    <row r="1690" spans="1:1">
      <c r="A1690" s="88" t="s">
        <v>4092</v>
      </c>
    </row>
    <row r="1691" spans="1:1">
      <c r="A1691" s="88" t="s">
        <v>4192</v>
      </c>
    </row>
    <row r="1692" spans="1:1">
      <c r="A1692" s="88" t="s">
        <v>4094</v>
      </c>
    </row>
    <row r="1693" spans="1:1">
      <c r="A1693" s="88" t="s">
        <v>4193</v>
      </c>
    </row>
    <row r="1694" spans="1:1">
      <c r="A1694" s="93" t="s">
        <v>4194</v>
      </c>
    </row>
    <row r="1696" spans="1:1">
      <c r="A1696" s="88" t="s">
        <v>4195</v>
      </c>
    </row>
    <row r="1697" spans="1:1">
      <c r="A1697" s="88" t="s">
        <v>4092</v>
      </c>
    </row>
    <row r="1698" spans="1:1">
      <c r="A1698" s="88" t="s">
        <v>4196</v>
      </c>
    </row>
    <row r="1699" spans="1:1">
      <c r="A1699" s="88" t="s">
        <v>4160</v>
      </c>
    </row>
    <row r="1700" spans="1:1">
      <c r="A1700" s="88" t="s">
        <v>4197</v>
      </c>
    </row>
    <row r="1701" spans="1:1">
      <c r="A1701" s="88" t="s">
        <v>4198</v>
      </c>
    </row>
    <row r="1702" spans="1:1">
      <c r="A1702" s="93" t="s">
        <v>4199</v>
      </c>
    </row>
    <row r="1704" spans="1:1">
      <c r="A1704" s="88" t="s">
        <v>4200</v>
      </c>
    </row>
    <row r="1705" spans="1:1">
      <c r="A1705" s="88" t="s">
        <v>4099</v>
      </c>
    </row>
    <row r="1706" spans="1:1">
      <c r="A1706" s="88" t="s">
        <v>4201</v>
      </c>
    </row>
    <row r="1707" spans="1:1">
      <c r="A1707" s="88" t="s">
        <v>4202</v>
      </c>
    </row>
    <row r="1708" spans="1:1">
      <c r="A1708" s="88" t="s">
        <v>4203</v>
      </c>
    </row>
    <row r="1709" spans="1:1">
      <c r="A1709" s="93" t="s">
        <v>4204</v>
      </c>
    </row>
    <row r="1711" spans="1:1">
      <c r="A1711" s="88" t="s">
        <v>4205</v>
      </c>
    </row>
    <row r="1712" spans="1:1">
      <c r="A1712" s="88" t="s">
        <v>4201</v>
      </c>
    </row>
    <row r="1713" spans="1:1">
      <c r="A1713" s="88" t="s">
        <v>4206</v>
      </c>
    </row>
    <row r="1714" spans="1:1">
      <c r="A1714" s="88" t="s">
        <v>4203</v>
      </c>
    </row>
    <row r="1715" spans="1:1">
      <c r="A1715" s="93" t="s">
        <v>4207</v>
      </c>
    </row>
    <row r="1717" spans="1:1">
      <c r="A1717" s="88" t="s">
        <v>4208</v>
      </c>
    </row>
    <row r="1718" spans="1:1">
      <c r="A1718" s="88" t="s">
        <v>4201</v>
      </c>
    </row>
    <row r="1719" spans="1:1">
      <c r="A1719" s="88" t="s">
        <v>4209</v>
      </c>
    </row>
    <row r="1720" spans="1:1">
      <c r="A1720" s="88" t="s">
        <v>4203</v>
      </c>
    </row>
    <row r="1721" spans="1:1">
      <c r="A1721" s="93" t="s">
        <v>4210</v>
      </c>
    </row>
    <row r="1723" spans="1:1">
      <c r="A1723" s="88" t="s">
        <v>4211</v>
      </c>
    </row>
    <row r="1724" spans="1:1">
      <c r="A1724" s="88" t="s">
        <v>4212</v>
      </c>
    </row>
    <row r="1725" spans="1:1">
      <c r="A1725" s="88" t="s">
        <v>4213</v>
      </c>
    </row>
    <row r="1726" spans="1:1">
      <c r="A1726" s="88" t="s">
        <v>4214</v>
      </c>
    </row>
    <row r="1727" spans="1:1">
      <c r="A1727" s="88" t="s">
        <v>4215</v>
      </c>
    </row>
    <row r="1728" spans="1:1">
      <c r="A1728" s="93" t="s">
        <v>4216</v>
      </c>
    </row>
    <row r="1730" spans="1:1">
      <c r="A1730" s="88" t="s">
        <v>4691</v>
      </c>
    </row>
    <row r="1731" spans="1:1">
      <c r="A1731" s="88" t="s">
        <v>4218</v>
      </c>
    </row>
    <row r="1732" spans="1:1">
      <c r="A1732" s="88" t="s">
        <v>4094</v>
      </c>
    </row>
    <row r="1733" spans="1:1">
      <c r="A1733" s="88" t="s">
        <v>4219</v>
      </c>
    </row>
    <row r="1734" spans="1:1">
      <c r="A1734" s="88" t="s">
        <v>4220</v>
      </c>
    </row>
    <row r="1735" spans="1:1">
      <c r="A1735" s="93" t="s">
        <v>4221</v>
      </c>
    </row>
    <row r="1737" spans="1:1">
      <c r="A1737" s="88" t="s">
        <v>4222</v>
      </c>
    </row>
    <row r="1738" spans="1:1">
      <c r="A1738" s="88" t="s">
        <v>4223</v>
      </c>
    </row>
    <row r="1739" spans="1:1">
      <c r="A1739" s="88" t="s">
        <v>4224</v>
      </c>
    </row>
    <row r="1741" spans="1:1">
      <c r="A1741" s="88" t="s">
        <v>4225</v>
      </c>
    </row>
    <row r="1742" spans="1:1">
      <c r="A1742" s="88" t="s">
        <v>4196</v>
      </c>
    </row>
    <row r="1743" spans="1:1">
      <c r="A1743" s="88" t="s">
        <v>4226</v>
      </c>
    </row>
    <row r="1745" spans="1:1">
      <c r="A1745" s="88" t="s">
        <v>4229</v>
      </c>
    </row>
    <row r="1746" spans="1:1">
      <c r="A1746" s="88" t="s">
        <v>4230</v>
      </c>
    </row>
    <row r="1747" spans="1:1">
      <c r="A1747" s="88" t="s">
        <v>4231</v>
      </c>
    </row>
    <row r="1748" spans="1:1">
      <c r="A1748" s="88" t="s">
        <v>4232</v>
      </c>
    </row>
    <row r="1749" spans="1:1">
      <c r="A1749" s="93" t="s">
        <v>4233</v>
      </c>
    </row>
    <row r="1751" spans="1:1">
      <c r="A1751" s="88" t="s">
        <v>4234</v>
      </c>
    </row>
    <row r="1752" spans="1:1">
      <c r="A1752" s="88" t="s">
        <v>4235</v>
      </c>
    </row>
    <row r="1753" spans="1:1">
      <c r="A1753" s="88" t="s">
        <v>4175</v>
      </c>
    </row>
    <row r="1754" spans="1:1">
      <c r="A1754" s="88" t="s">
        <v>4236</v>
      </c>
    </row>
    <row r="1755" spans="1:1">
      <c r="A1755" s="88" t="s">
        <v>4237</v>
      </c>
    </row>
    <row r="1756" spans="1:1">
      <c r="A1756" s="93" t="s">
        <v>4190</v>
      </c>
    </row>
    <row r="1758" spans="1:1">
      <c r="A1758" s="88" t="s">
        <v>4238</v>
      </c>
    </row>
    <row r="1759" spans="1:1">
      <c r="A1759" s="88" t="s">
        <v>4239</v>
      </c>
    </row>
    <row r="1760" spans="1:1">
      <c r="A1760" s="88" t="s">
        <v>4240</v>
      </c>
    </row>
    <row r="1761" spans="1:1">
      <c r="A1761" s="88" t="s">
        <v>4241</v>
      </c>
    </row>
    <row r="1762" spans="1:1">
      <c r="A1762" s="88" t="s">
        <v>4242</v>
      </c>
    </row>
    <row r="1763" spans="1:1">
      <c r="A1763" s="93" t="s">
        <v>4243</v>
      </c>
    </row>
    <row r="1765" spans="1:1">
      <c r="A1765" s="88" t="s">
        <v>4244</v>
      </c>
    </row>
    <row r="1766" spans="1:1">
      <c r="A1766" s="88" t="s">
        <v>4245</v>
      </c>
    </row>
    <row r="1767" spans="1:1">
      <c r="A1767" s="88" t="s">
        <v>4246</v>
      </c>
    </row>
    <row r="1768" spans="1:1">
      <c r="A1768" s="88" t="s">
        <v>4247</v>
      </c>
    </row>
    <row r="1769" spans="1:1">
      <c r="A1769" s="88" t="s">
        <v>4248</v>
      </c>
    </row>
    <row r="1770" spans="1:1">
      <c r="A1770" s="93" t="s">
        <v>4249</v>
      </c>
    </row>
    <row r="1772" spans="1:1">
      <c r="A1772" s="88" t="s">
        <v>4250</v>
      </c>
    </row>
    <row r="1773" spans="1:1">
      <c r="A1773" s="88" t="s">
        <v>4251</v>
      </c>
    </row>
    <row r="1774" spans="1:1">
      <c r="A1774" s="88" t="s">
        <v>4252</v>
      </c>
    </row>
    <row r="1775" spans="1:1">
      <c r="A1775" s="88" t="s">
        <v>4231</v>
      </c>
    </row>
    <row r="1776" spans="1:1">
      <c r="A1776" s="88" t="s">
        <v>4253</v>
      </c>
    </row>
    <row r="1777" spans="1:1">
      <c r="A1777" s="88" t="s">
        <v>4254</v>
      </c>
    </row>
    <row r="1778" spans="1:1">
      <c r="A1778" s="88" t="s">
        <v>4255</v>
      </c>
    </row>
    <row r="1779" spans="1:1">
      <c r="A1779" s="93" t="s">
        <v>4256</v>
      </c>
    </row>
    <row r="1781" spans="1:1">
      <c r="A1781" s="88" t="s">
        <v>4257</v>
      </c>
    </row>
    <row r="1782" spans="1:1">
      <c r="A1782" s="88" t="s">
        <v>4092</v>
      </c>
    </row>
    <row r="1783" spans="1:1">
      <c r="A1783" s="88" t="s">
        <v>4258</v>
      </c>
    </row>
    <row r="1784" spans="1:1">
      <c r="A1784" s="88" t="s">
        <v>4231</v>
      </c>
    </row>
    <row r="1785" spans="1:1">
      <c r="A1785" s="88" t="s">
        <v>4253</v>
      </c>
    </row>
    <row r="1786" spans="1:1">
      <c r="A1786" s="88" t="s">
        <v>4259</v>
      </c>
    </row>
    <row r="1787" spans="1:1">
      <c r="A1787" s="88" t="s">
        <v>4260</v>
      </c>
    </row>
    <row r="1788" spans="1:1">
      <c r="A1788" s="93" t="s">
        <v>4261</v>
      </c>
    </row>
    <row r="1790" spans="1:1">
      <c r="A1790" s="88" t="s">
        <v>4262</v>
      </c>
    </row>
    <row r="1791" spans="1:1">
      <c r="A1791" s="88" t="s">
        <v>4263</v>
      </c>
    </row>
    <row r="1792" spans="1:1">
      <c r="A1792" s="88" t="s">
        <v>4231</v>
      </c>
    </row>
    <row r="1793" spans="1:1">
      <c r="A1793" s="88" t="s">
        <v>4264</v>
      </c>
    </row>
    <row r="1794" spans="1:1">
      <c r="A1794" s="88" t="s">
        <v>4265</v>
      </c>
    </row>
    <row r="1795" spans="1:1">
      <c r="A1795" s="93" t="s">
        <v>4266</v>
      </c>
    </row>
    <row r="1797" spans="1:1">
      <c r="A1797" s="88" t="s">
        <v>4267</v>
      </c>
    </row>
    <row r="1798" spans="1:1">
      <c r="A1798" s="88" t="s">
        <v>4268</v>
      </c>
    </row>
    <row r="1799" spans="1:1">
      <c r="A1799" s="88" t="s">
        <v>4094</v>
      </c>
    </row>
    <row r="1800" spans="1:1">
      <c r="A1800" s="88" t="s">
        <v>4269</v>
      </c>
    </row>
    <row r="1801" spans="1:1">
      <c r="A1801" s="88" t="s">
        <v>4270</v>
      </c>
    </row>
    <row r="1802" spans="1:1">
      <c r="A1802" s="93" t="s">
        <v>4271</v>
      </c>
    </row>
    <row r="1804" spans="1:1">
      <c r="A1804" s="88" t="s">
        <v>4272</v>
      </c>
    </row>
    <row r="1805" spans="1:1">
      <c r="A1805" s="88" t="s">
        <v>4251</v>
      </c>
    </row>
    <row r="1806" spans="1:1">
      <c r="A1806" s="88" t="s">
        <v>4273</v>
      </c>
    </row>
    <row r="1807" spans="1:1">
      <c r="A1807" s="88" t="s">
        <v>4181</v>
      </c>
    </row>
    <row r="1808" spans="1:1">
      <c r="A1808" s="88" t="s">
        <v>4253</v>
      </c>
    </row>
    <row r="1809" spans="1:1">
      <c r="A1809" s="88" t="s">
        <v>4274</v>
      </c>
    </row>
    <row r="1810" spans="1:1">
      <c r="A1810" s="88" t="s">
        <v>4275</v>
      </c>
    </row>
    <row r="1812" spans="1:1">
      <c r="A1812" s="88" t="s">
        <v>4276</v>
      </c>
    </row>
    <row r="1813" spans="1:1">
      <c r="A1813" s="88" t="s">
        <v>4277</v>
      </c>
    </row>
    <row r="1814" spans="1:1">
      <c r="A1814" s="88" t="s">
        <v>4278</v>
      </c>
    </row>
    <row r="1815" spans="1:1">
      <c r="A1815" s="88" t="s">
        <v>4279</v>
      </c>
    </row>
    <row r="1816" spans="1:1">
      <c r="A1816" s="93" t="s">
        <v>4280</v>
      </c>
    </row>
    <row r="1818" spans="1:1">
      <c r="A1818" s="88" t="s">
        <v>4281</v>
      </c>
    </row>
    <row r="1819" spans="1:1">
      <c r="A1819" s="88" t="s">
        <v>4282</v>
      </c>
    </row>
    <row r="1820" spans="1:1">
      <c r="A1820" s="88" t="s">
        <v>4283</v>
      </c>
    </row>
    <row r="1821" spans="1:1">
      <c r="A1821" s="93" t="s">
        <v>4284</v>
      </c>
    </row>
    <row r="1823" spans="1:1">
      <c r="A1823" s="88" t="s">
        <v>4285</v>
      </c>
    </row>
    <row r="1824" spans="1:1">
      <c r="A1824" s="88" t="s">
        <v>4286</v>
      </c>
    </row>
    <row r="1825" spans="1:1">
      <c r="A1825" s="88" t="s">
        <v>4287</v>
      </c>
    </row>
    <row r="1826" spans="1:1">
      <c r="A1826" s="88" t="s">
        <v>4288</v>
      </c>
    </row>
    <row r="1827" spans="1:1">
      <c r="A1827" s="93" t="s">
        <v>4289</v>
      </c>
    </row>
    <row r="1829" spans="1:1">
      <c r="A1829" s="88" t="s">
        <v>4290</v>
      </c>
    </row>
    <row r="1830" spans="1:1">
      <c r="A1830" s="88" t="s">
        <v>4291</v>
      </c>
    </row>
    <row r="1831" spans="1:1">
      <c r="A1831" s="88" t="s">
        <v>4292</v>
      </c>
    </row>
    <row r="1832" spans="1:1">
      <c r="A1832" s="88" t="s">
        <v>4293</v>
      </c>
    </row>
    <row r="1833" spans="1:1">
      <c r="A1833" s="93" t="s">
        <v>4294</v>
      </c>
    </row>
    <row r="1836" spans="1:1">
      <c r="A1836" s="88" t="s">
        <v>4295</v>
      </c>
    </row>
    <row r="1837" spans="1:1">
      <c r="A1837" s="88" t="s">
        <v>4235</v>
      </c>
    </row>
    <row r="1838" spans="1:1">
      <c r="A1838" s="88" t="s">
        <v>4296</v>
      </c>
    </row>
    <row r="1839" spans="1:1">
      <c r="A1839" s="88" t="s">
        <v>4297</v>
      </c>
    </row>
    <row r="1840" spans="1:1">
      <c r="A1840" s="93" t="s">
        <v>4298</v>
      </c>
    </row>
    <row r="1842" spans="1:1">
      <c r="A1842" s="88" t="s">
        <v>4299</v>
      </c>
    </row>
    <row r="1843" spans="1:1">
      <c r="A1843" s="88" t="s">
        <v>4300</v>
      </c>
    </row>
    <row r="1844" spans="1:1">
      <c r="A1844" s="88" t="s">
        <v>4301</v>
      </c>
    </row>
    <row r="1845" spans="1:1">
      <c r="A1845" s="93" t="s">
        <v>4302</v>
      </c>
    </row>
    <row r="1847" spans="1:1">
      <c r="A1847" s="88" t="s">
        <v>4303</v>
      </c>
    </row>
    <row r="1848" spans="1:1">
      <c r="A1848" s="88" t="s">
        <v>4304</v>
      </c>
    </row>
    <row r="1849" spans="1:1">
      <c r="A1849" s="88" t="s">
        <v>4692</v>
      </c>
    </row>
    <row r="1850" spans="1:1">
      <c r="A1850" s="93" t="s">
        <v>4693</v>
      </c>
    </row>
    <row r="1852" spans="1:1">
      <c r="A1852" s="88" t="s">
        <v>4307</v>
      </c>
    </row>
    <row r="1853" spans="1:1">
      <c r="A1853" s="88" t="s">
        <v>4308</v>
      </c>
    </row>
    <row r="1854" spans="1:1">
      <c r="A1854" s="88" t="s">
        <v>4309</v>
      </c>
    </row>
    <row r="1855" spans="1:1">
      <c r="A1855" s="88" t="s">
        <v>4310</v>
      </c>
    </row>
    <row r="1856" spans="1:1">
      <c r="A1856" s="93" t="s">
        <v>4311</v>
      </c>
    </row>
    <row r="1858" spans="1:1">
      <c r="A1858" s="88" t="s">
        <v>4312</v>
      </c>
    </row>
    <row r="1859" spans="1:1">
      <c r="A1859" s="88" t="s">
        <v>4313</v>
      </c>
    </row>
    <row r="1860" spans="1:1">
      <c r="A1860" s="88" t="s">
        <v>4314</v>
      </c>
    </row>
    <row r="1861" spans="1:1">
      <c r="A1861" s="88" t="s">
        <v>4315</v>
      </c>
    </row>
    <row r="1862" spans="1:1">
      <c r="A1862" s="93" t="s">
        <v>4316</v>
      </c>
    </row>
    <row r="1864" spans="1:1">
      <c r="A1864" s="88" t="s">
        <v>4317</v>
      </c>
    </row>
    <row r="1865" spans="1:1">
      <c r="A1865" s="88" t="s">
        <v>4318</v>
      </c>
    </row>
    <row r="1866" spans="1:1">
      <c r="A1866" s="88" t="s">
        <v>4319</v>
      </c>
    </row>
    <row r="1867" spans="1:1">
      <c r="A1867" s="93" t="s">
        <v>4320</v>
      </c>
    </row>
    <row r="1869" spans="1:1">
      <c r="A1869" s="88" t="s">
        <v>4321</v>
      </c>
    </row>
    <row r="1870" spans="1:1">
      <c r="A1870" s="88" t="s">
        <v>4322</v>
      </c>
    </row>
    <row r="1871" spans="1:1">
      <c r="A1871" s="88" t="s">
        <v>4323</v>
      </c>
    </row>
    <row r="1872" spans="1:1">
      <c r="A1872" s="88" t="s">
        <v>4324</v>
      </c>
    </row>
    <row r="1873" spans="1:1">
      <c r="A1873" s="93" t="s">
        <v>4325</v>
      </c>
    </row>
    <row r="1875" spans="1:1">
      <c r="A1875" s="88" t="s">
        <v>4326</v>
      </c>
    </row>
    <row r="1876" spans="1:1">
      <c r="A1876" s="88" t="s">
        <v>4327</v>
      </c>
    </row>
    <row r="1877" spans="1:1">
      <c r="A1877" s="88" t="s">
        <v>4328</v>
      </c>
    </row>
    <row r="1878" spans="1:1">
      <c r="A1878" s="88" t="s">
        <v>4329</v>
      </c>
    </row>
    <row r="1879" spans="1:1">
      <c r="A1879" s="93" t="s">
        <v>4330</v>
      </c>
    </row>
    <row r="1881" spans="1:1">
      <c r="A1881" s="88" t="s">
        <v>4331</v>
      </c>
    </row>
    <row r="1882" spans="1:1">
      <c r="A1882" s="88" t="s">
        <v>4332</v>
      </c>
    </row>
    <row r="1883" spans="1:1">
      <c r="A1883" s="88" t="s">
        <v>4333</v>
      </c>
    </row>
    <row r="1884" spans="1:1">
      <c r="A1884" s="88" t="s">
        <v>4334</v>
      </c>
    </row>
    <row r="1885" spans="1:1">
      <c r="A1885" s="93" t="s">
        <v>4335</v>
      </c>
    </row>
    <row r="1887" spans="1:1">
      <c r="A1887" s="88" t="s">
        <v>4336</v>
      </c>
    </row>
    <row r="1888" spans="1:1">
      <c r="A1888" s="88" t="s">
        <v>4337</v>
      </c>
    </row>
    <row r="1889" spans="1:1">
      <c r="A1889" s="88" t="s">
        <v>4338</v>
      </c>
    </row>
    <row r="1890" spans="1:1">
      <c r="A1890" s="93" t="s">
        <v>4339</v>
      </c>
    </row>
    <row r="1892" spans="1:1">
      <c r="A1892" s="88" t="s">
        <v>4340</v>
      </c>
    </row>
    <row r="1893" spans="1:1">
      <c r="A1893" s="88" t="s">
        <v>4196</v>
      </c>
    </row>
    <row r="1894" spans="1:1">
      <c r="A1894" s="88" t="s">
        <v>4341</v>
      </c>
    </row>
    <row r="1895" spans="1:1">
      <c r="A1895" s="88" t="s">
        <v>4342</v>
      </c>
    </row>
    <row r="1896" spans="1:1">
      <c r="A1896" s="88" t="s">
        <v>4343</v>
      </c>
    </row>
    <row r="1898" spans="1:1">
      <c r="A1898" s="88" t="s">
        <v>4344</v>
      </c>
    </row>
    <row r="1899" spans="1:1">
      <c r="A1899" s="88" t="s">
        <v>4345</v>
      </c>
    </row>
    <row r="1900" spans="1:1">
      <c r="A1900" s="88" t="s">
        <v>4346</v>
      </c>
    </row>
    <row r="1901" spans="1:1">
      <c r="A1901" s="88" t="s">
        <v>4347</v>
      </c>
    </row>
    <row r="1902" spans="1:1">
      <c r="A1902" s="88" t="s">
        <v>4348</v>
      </c>
    </row>
    <row r="1904" spans="1:1">
      <c r="A1904" s="88" t="s">
        <v>4349</v>
      </c>
    </row>
    <row r="1905" spans="1:1">
      <c r="A1905" s="88" t="s">
        <v>4350</v>
      </c>
    </row>
    <row r="1906" spans="1:1">
      <c r="A1906" s="88" t="s">
        <v>4181</v>
      </c>
    </row>
    <row r="1907" spans="1:1">
      <c r="A1907" s="88" t="s">
        <v>4351</v>
      </c>
    </row>
    <row r="1908" spans="1:1">
      <c r="A1908" s="88" t="s">
        <v>4352</v>
      </c>
    </row>
    <row r="1909" spans="1:1">
      <c r="A1909" s="93" t="s">
        <v>4353</v>
      </c>
    </row>
    <row r="1911" spans="1:1">
      <c r="A1911" s="88" t="s">
        <v>4354</v>
      </c>
    </row>
    <row r="1912" spans="1:1">
      <c r="A1912" s="88" t="s">
        <v>4355</v>
      </c>
    </row>
    <row r="1913" spans="1:1">
      <c r="A1913" s="88" t="s">
        <v>4356</v>
      </c>
    </row>
    <row r="1914" spans="1:1">
      <c r="A1914" s="88" t="s">
        <v>4357</v>
      </c>
    </row>
    <row r="1916" spans="1:1">
      <c r="A1916" s="88" t="s">
        <v>4358</v>
      </c>
    </row>
    <row r="1917" spans="1:1">
      <c r="A1917" s="88" t="s">
        <v>4359</v>
      </c>
    </row>
    <row r="1918" spans="1:1">
      <c r="A1918" s="88" t="s">
        <v>4360</v>
      </c>
    </row>
    <row r="1919" spans="1:1">
      <c r="A1919" s="88" t="s">
        <v>4361</v>
      </c>
    </row>
    <row r="1920" spans="1:1">
      <c r="A1920" s="93" t="s">
        <v>4362</v>
      </c>
    </row>
    <row r="1922" spans="1:1">
      <c r="A1922" s="88" t="s">
        <v>4363</v>
      </c>
    </row>
    <row r="1923" spans="1:1">
      <c r="A1923" s="88" t="s">
        <v>4364</v>
      </c>
    </row>
    <row r="1924" spans="1:1">
      <c r="A1924" s="88" t="s">
        <v>4365</v>
      </c>
    </row>
    <row r="1925" spans="1:1">
      <c r="A1925" s="88" t="s">
        <v>4366</v>
      </c>
    </row>
    <row r="1926" spans="1:1">
      <c r="A1926" s="88" t="s">
        <v>4367</v>
      </c>
    </row>
    <row r="1927" spans="1:1">
      <c r="A1927" s="93" t="s">
        <v>4368</v>
      </c>
    </row>
    <row r="1929" spans="1:1">
      <c r="A1929" s="88" t="s">
        <v>4369</v>
      </c>
    </row>
    <row r="1930" spans="1:1">
      <c r="A1930" s="88" t="s">
        <v>4370</v>
      </c>
    </row>
    <row r="1931" spans="1:1">
      <c r="A1931" s="88" t="s">
        <v>4371</v>
      </c>
    </row>
    <row r="1932" spans="1:1">
      <c r="A1932" s="88" t="s">
        <v>4372</v>
      </c>
    </row>
    <row r="1933" spans="1:1">
      <c r="A1933" s="88" t="s">
        <v>4373</v>
      </c>
    </row>
    <row r="1934" spans="1:1">
      <c r="A1934" s="93" t="s">
        <v>4374</v>
      </c>
    </row>
    <row r="1936" spans="1:1">
      <c r="A1936" s="88" t="s">
        <v>4375</v>
      </c>
    </row>
    <row r="1937" spans="1:1">
      <c r="A1937" s="88" t="s">
        <v>4376</v>
      </c>
    </row>
    <row r="1938" spans="1:1">
      <c r="A1938" s="88" t="s">
        <v>4129</v>
      </c>
    </row>
    <row r="1939" spans="1:1">
      <c r="A1939" s="88" t="s">
        <v>4377</v>
      </c>
    </row>
    <row r="1940" spans="1:1">
      <c r="A1940" s="88" t="s">
        <v>4378</v>
      </c>
    </row>
    <row r="1941" spans="1:1">
      <c r="A1941" s="93" t="s">
        <v>4379</v>
      </c>
    </row>
    <row r="1943" spans="1:1">
      <c r="A1943" s="88" t="s">
        <v>4380</v>
      </c>
    </row>
    <row r="1944" spans="1:1">
      <c r="A1944" s="88" t="s">
        <v>4142</v>
      </c>
    </row>
    <row r="1945" spans="1:1">
      <c r="A1945" s="88" t="s">
        <v>4381</v>
      </c>
    </row>
    <row r="1946" spans="1:1">
      <c r="A1946" s="88" t="s">
        <v>4382</v>
      </c>
    </row>
    <row r="1947" spans="1:1">
      <c r="A1947" s="88" t="s">
        <v>4383</v>
      </c>
    </row>
    <row r="1948" spans="1:1">
      <c r="A1948" s="93" t="s">
        <v>4384</v>
      </c>
    </row>
    <row r="1950" spans="1:1">
      <c r="A1950" s="88" t="s">
        <v>4390</v>
      </c>
    </row>
    <row r="1951" spans="1:1">
      <c r="A1951" s="88" t="s">
        <v>4142</v>
      </c>
    </row>
    <row r="1952" spans="1:1">
      <c r="A1952" s="88" t="s">
        <v>4391</v>
      </c>
    </row>
    <row r="1953" spans="1:1">
      <c r="A1953" s="88" t="s">
        <v>4392</v>
      </c>
    </row>
    <row r="1954" spans="1:1">
      <c r="A1954" s="88" t="s">
        <v>4393</v>
      </c>
    </row>
    <row r="1955" spans="1:1">
      <c r="A1955" s="93" t="s">
        <v>4394</v>
      </c>
    </row>
    <row r="1957" spans="1:1">
      <c r="A1957" s="88" t="s">
        <v>4395</v>
      </c>
    </row>
    <row r="1958" spans="1:1">
      <c r="A1958" s="88" t="s">
        <v>4142</v>
      </c>
    </row>
    <row r="1959" spans="1:1">
      <c r="A1959" s="88" t="s">
        <v>4129</v>
      </c>
    </row>
    <row r="1960" spans="1:1">
      <c r="A1960" s="88" t="s">
        <v>4396</v>
      </c>
    </row>
    <row r="1961" spans="1:1">
      <c r="A1961" s="88" t="s">
        <v>4397</v>
      </c>
    </row>
    <row r="1962" spans="1:1">
      <c r="A1962" s="93" t="s">
        <v>4398</v>
      </c>
    </row>
    <row r="1964" spans="1:1">
      <c r="A1964" s="88" t="s">
        <v>4399</v>
      </c>
    </row>
    <row r="1965" spans="1:1">
      <c r="A1965" s="88" t="s">
        <v>4142</v>
      </c>
    </row>
    <row r="1966" spans="1:1">
      <c r="A1966" s="88" t="s">
        <v>4400</v>
      </c>
    </row>
    <row r="1967" spans="1:1">
      <c r="A1967" s="88" t="s">
        <v>4401</v>
      </c>
    </row>
    <row r="1968" spans="1:1">
      <c r="A1968" s="88" t="s">
        <v>4402</v>
      </c>
    </row>
    <row r="1969" spans="1:1">
      <c r="A1969" s="93" t="s">
        <v>4403</v>
      </c>
    </row>
    <row r="1971" spans="1:1">
      <c r="A1971" s="88" t="s">
        <v>4404</v>
      </c>
    </row>
    <row r="1972" spans="1:1">
      <c r="A1972" s="88" t="s">
        <v>4142</v>
      </c>
    </row>
    <row r="1973" spans="1:1">
      <c r="A1973" s="88" t="s">
        <v>4175</v>
      </c>
    </row>
    <row r="1974" spans="1:1">
      <c r="A1974" s="88" t="s">
        <v>4405</v>
      </c>
    </row>
    <row r="1975" spans="1:1">
      <c r="A1975" s="93" t="s">
        <v>4406</v>
      </c>
    </row>
    <row r="1977" spans="1:1">
      <c r="A1977" s="88" t="s">
        <v>4407</v>
      </c>
    </row>
    <row r="1978" spans="1:1">
      <c r="A1978" s="88" t="s">
        <v>4093</v>
      </c>
    </row>
    <row r="1979" spans="1:1">
      <c r="A1979" s="88" t="s">
        <v>4408</v>
      </c>
    </row>
    <row r="1980" spans="1:1">
      <c r="A1980" s="88" t="s">
        <v>4095</v>
      </c>
    </row>
    <row r="1981" spans="1:1">
      <c r="A1981" s="93" t="s">
        <v>4409</v>
      </c>
    </row>
    <row r="1983" spans="1:1">
      <c r="A1983" s="88" t="s">
        <v>4410</v>
      </c>
    </row>
    <row r="1984" spans="1:1">
      <c r="A1984" s="88" t="s">
        <v>4411</v>
      </c>
    </row>
    <row r="1985" spans="1:1">
      <c r="A1985" s="88" t="s">
        <v>4412</v>
      </c>
    </row>
    <row r="1986" spans="1:1">
      <c r="A1986" s="88" t="s">
        <v>4413</v>
      </c>
    </row>
    <row r="1987" spans="1:1">
      <c r="A1987" s="88" t="s">
        <v>4414</v>
      </c>
    </row>
    <row r="1988" spans="1:1">
      <c r="A1988" s="93" t="s">
        <v>4415</v>
      </c>
    </row>
    <row r="1990" spans="1:1">
      <c r="A1990" s="88" t="s">
        <v>4416</v>
      </c>
    </row>
    <row r="1991" spans="1:1">
      <c r="A1991" s="88" t="s">
        <v>4411</v>
      </c>
    </row>
    <row r="1992" spans="1:1">
      <c r="A1992" s="88" t="s">
        <v>4417</v>
      </c>
    </row>
    <row r="1993" spans="1:1">
      <c r="A1993" s="88" t="s">
        <v>4418</v>
      </c>
    </row>
    <row r="1994" spans="1:1">
      <c r="A1994" s="88" t="s">
        <v>4419</v>
      </c>
    </row>
    <row r="1995" spans="1:1">
      <c r="A1995" s="93" t="s">
        <v>4420</v>
      </c>
    </row>
    <row r="1997" spans="1:1">
      <c r="A1997" s="88" t="s">
        <v>4421</v>
      </c>
    </row>
    <row r="1998" spans="1:1">
      <c r="A1998" s="88" t="s">
        <v>4300</v>
      </c>
    </row>
    <row r="1999" spans="1:1">
      <c r="A1999" s="88" t="s">
        <v>4422</v>
      </c>
    </row>
    <row r="2000" spans="1:1">
      <c r="A2000" s="88" t="s">
        <v>4423</v>
      </c>
    </row>
    <row r="2001" spans="1:1">
      <c r="A2001" s="93" t="s">
        <v>4424</v>
      </c>
    </row>
    <row r="2003" spans="1:1">
      <c r="A2003" s="88" t="s">
        <v>4425</v>
      </c>
    </row>
    <row r="2004" spans="1:1">
      <c r="A2004" s="88" t="s">
        <v>4426</v>
      </c>
    </row>
    <row r="2005" spans="1:1">
      <c r="A2005" s="88" t="s">
        <v>4427</v>
      </c>
    </row>
    <row r="2006" spans="1:1">
      <c r="A2006" s="88" t="s">
        <v>4428</v>
      </c>
    </row>
    <row r="2007" spans="1:1">
      <c r="A2007" s="88" t="s">
        <v>4429</v>
      </c>
    </row>
    <row r="2008" spans="1:1">
      <c r="A2008" s="93" t="s">
        <v>4430</v>
      </c>
    </row>
    <row r="2010" spans="1:1">
      <c r="A2010" s="88" t="s">
        <v>4431</v>
      </c>
    </row>
    <row r="2011" spans="1:1">
      <c r="A2011" s="88" t="s">
        <v>4251</v>
      </c>
    </row>
    <row r="2012" spans="1:1">
      <c r="A2012" s="88" t="s">
        <v>4432</v>
      </c>
    </row>
    <row r="2013" spans="1:1">
      <c r="A2013" s="88" t="s">
        <v>4181</v>
      </c>
    </row>
    <row r="2014" spans="1:1">
      <c r="A2014" s="88" t="s">
        <v>4253</v>
      </c>
    </row>
    <row r="2015" spans="1:1">
      <c r="A2015" s="88" t="s">
        <v>4433</v>
      </c>
    </row>
    <row r="2016" spans="1:1">
      <c r="A2016" s="88" t="s">
        <v>4434</v>
      </c>
    </row>
    <row r="2017" spans="1:1">
      <c r="A2017" s="93" t="s">
        <v>4435</v>
      </c>
    </row>
    <row r="2019" spans="1:1">
      <c r="A2019" s="88" t="s">
        <v>4179</v>
      </c>
    </row>
    <row r="2020" spans="1:1">
      <c r="A2020" s="88" t="s">
        <v>4180</v>
      </c>
    </row>
    <row r="2021" spans="1:1">
      <c r="A2021" s="88" t="s">
        <v>4181</v>
      </c>
    </row>
    <row r="2022" spans="1:1">
      <c r="A2022" s="88" t="s">
        <v>4436</v>
      </c>
    </row>
    <row r="2023" spans="1:1">
      <c r="A2023" s="88" t="s">
        <v>4183</v>
      </c>
    </row>
    <row r="2024" spans="1:1">
      <c r="A2024" s="93" t="s">
        <v>4184</v>
      </c>
    </row>
    <row r="2028" spans="1:1">
      <c r="A2028" s="88" t="s">
        <v>4442</v>
      </c>
    </row>
    <row r="2029" spans="1:1">
      <c r="A2029" s="88" t="s">
        <v>4443</v>
      </c>
    </row>
    <row r="2030" spans="1:1">
      <c r="A2030" s="88" t="s">
        <v>4444</v>
      </c>
    </row>
    <row r="2031" spans="1:1">
      <c r="A2031" s="88" t="s">
        <v>4445</v>
      </c>
    </row>
    <row r="2032" spans="1:1">
      <c r="A2032" s="88" t="s">
        <v>4446</v>
      </c>
    </row>
    <row r="2033" spans="1:1">
      <c r="A2033" s="88" t="s">
        <v>4694</v>
      </c>
    </row>
    <row r="2035" spans="1:1">
      <c r="A2035" s="88" t="s">
        <v>4448</v>
      </c>
    </row>
    <row r="2036" spans="1:1">
      <c r="A2036" s="88" t="s">
        <v>4449</v>
      </c>
    </row>
    <row r="2037" spans="1:1">
      <c r="A2037" s="88" t="s">
        <v>4450</v>
      </c>
    </row>
    <row r="2038" spans="1:1">
      <c r="A2038" s="88" t="s">
        <v>4451</v>
      </c>
    </row>
    <row r="2039" spans="1:1">
      <c r="A2039" s="88" t="s">
        <v>4452</v>
      </c>
    </row>
    <row r="2040" spans="1:1">
      <c r="A2040" s="88" t="s">
        <v>4453</v>
      </c>
    </row>
    <row r="2042" spans="1:1">
      <c r="A2042" s="88" t="s">
        <v>4454</v>
      </c>
    </row>
    <row r="2043" spans="1:1">
      <c r="A2043" s="88" t="s">
        <v>4449</v>
      </c>
    </row>
    <row r="2044" spans="1:1">
      <c r="A2044" s="88" t="s">
        <v>4455</v>
      </c>
    </row>
    <row r="2045" spans="1:1">
      <c r="A2045" s="88" t="s">
        <v>4456</v>
      </c>
    </row>
    <row r="2046" spans="1:1">
      <c r="A2046" s="88" t="s">
        <v>4457</v>
      </c>
    </row>
    <row r="2047" spans="1:1">
      <c r="A2047" s="88" t="s">
        <v>4458</v>
      </c>
    </row>
    <row r="2050" spans="1:1">
      <c r="A2050" s="88" t="s">
        <v>4459</v>
      </c>
    </row>
    <row r="2051" spans="1:1">
      <c r="A2051" s="88" t="s">
        <v>4460</v>
      </c>
    </row>
    <row r="2052" spans="1:1">
      <c r="A2052" s="88" t="s">
        <v>4181</v>
      </c>
    </row>
    <row r="2053" spans="1:1">
      <c r="A2053" s="88" t="s">
        <v>4461</v>
      </c>
    </row>
    <row r="2055" spans="1:1">
      <c r="A2055" s="88" t="s">
        <v>4462</v>
      </c>
    </row>
    <row r="2056" spans="1:1">
      <c r="A2056" s="88" t="s">
        <v>4411</v>
      </c>
    </row>
    <row r="2057" spans="1:1">
      <c r="A2057" s="88" t="s">
        <v>4094</v>
      </c>
    </row>
    <row r="2058" spans="1:1">
      <c r="A2058" s="88" t="s">
        <v>4428</v>
      </c>
    </row>
    <row r="2059" spans="1:1">
      <c r="A2059" s="88" t="s">
        <v>4463</v>
      </c>
    </row>
    <row r="2060" spans="1:1">
      <c r="A2060" s="88" t="s">
        <v>4464</v>
      </c>
    </row>
    <row r="2062" spans="1:1">
      <c r="A2062" s="88" t="s">
        <v>4465</v>
      </c>
    </row>
    <row r="2063" spans="1:1">
      <c r="A2063" s="88" t="s">
        <v>4466</v>
      </c>
    </row>
    <row r="2064" spans="1:1">
      <c r="A2064" s="88" t="s">
        <v>4094</v>
      </c>
    </row>
    <row r="2065" spans="1:1">
      <c r="A2065" s="88" t="s">
        <v>4467</v>
      </c>
    </row>
    <row r="2066" spans="1:1">
      <c r="A2066" s="88" t="s">
        <v>4468</v>
      </c>
    </row>
    <row r="2067" spans="1:1">
      <c r="A2067" s="88" t="s">
        <v>4469</v>
      </c>
    </row>
    <row r="2069" spans="1:1">
      <c r="A2069" s="88" t="s">
        <v>4470</v>
      </c>
    </row>
    <row r="2070" spans="1:1">
      <c r="A2070" s="88" t="s">
        <v>4471</v>
      </c>
    </row>
    <row r="2071" spans="1:1">
      <c r="A2071" s="88" t="s">
        <v>4472</v>
      </c>
    </row>
    <row r="2072" spans="1:1">
      <c r="A2072" s="88" t="s">
        <v>4473</v>
      </c>
    </row>
    <row r="2073" spans="1:1">
      <c r="A2073" s="88" t="s">
        <v>4474</v>
      </c>
    </row>
    <row r="2074" spans="1:1">
      <c r="A2074" s="88" t="s">
        <v>4475</v>
      </c>
    </row>
    <row r="2076" spans="1:1">
      <c r="A2076" s="88" t="s">
        <v>4476</v>
      </c>
    </row>
    <row r="2077" spans="1:1">
      <c r="A2077" s="88" t="s">
        <v>4477</v>
      </c>
    </row>
    <row r="2078" spans="1:1">
      <c r="A2078" s="88" t="s">
        <v>4478</v>
      </c>
    </row>
    <row r="2079" spans="1:1">
      <c r="A2079" s="88" t="s">
        <v>4479</v>
      </c>
    </row>
    <row r="2080" spans="1:1">
      <c r="A2080" s="88" t="s">
        <v>4480</v>
      </c>
    </row>
    <row r="2081" spans="1:1">
      <c r="A2081" s="88" t="s">
        <v>4481</v>
      </c>
    </row>
    <row r="2083" spans="1:1">
      <c r="A2083" s="88" t="s">
        <v>4482</v>
      </c>
    </row>
    <row r="2084" spans="1:1">
      <c r="A2084" s="88" t="s">
        <v>4483</v>
      </c>
    </row>
    <row r="2085" spans="1:1">
      <c r="A2085" s="88" t="s">
        <v>4231</v>
      </c>
    </row>
    <row r="2086" spans="1:1">
      <c r="A2086" s="88" t="s">
        <v>4484</v>
      </c>
    </row>
    <row r="2087" spans="1:1">
      <c r="A2087" s="88" t="s">
        <v>4485</v>
      </c>
    </row>
    <row r="2088" spans="1:1">
      <c r="A2088" s="88" t="s">
        <v>4486</v>
      </c>
    </row>
    <row r="2090" spans="1:1">
      <c r="A2090" s="88" t="s">
        <v>4487</v>
      </c>
    </row>
    <row r="2091" spans="1:1">
      <c r="A2091" s="88" t="s">
        <v>4488</v>
      </c>
    </row>
    <row r="2092" spans="1:1">
      <c r="A2092" s="88" t="s">
        <v>4175</v>
      </c>
    </row>
    <row r="2093" spans="1:1">
      <c r="A2093" s="88" t="s">
        <v>4489</v>
      </c>
    </row>
    <row r="2094" spans="1:1">
      <c r="A2094" s="88" t="s">
        <v>4490</v>
      </c>
    </row>
    <row r="2096" spans="1:1">
      <c r="A2096" s="88" t="s">
        <v>4491</v>
      </c>
    </row>
    <row r="2097" spans="1:1">
      <c r="A2097" s="88" t="s">
        <v>4492</v>
      </c>
    </row>
    <row r="2098" spans="1:1">
      <c r="A2098" s="88" t="s">
        <v>4094</v>
      </c>
    </row>
    <row r="2099" spans="1:1">
      <c r="A2099" s="88" t="s">
        <v>4493</v>
      </c>
    </row>
    <row r="2100" spans="1:1">
      <c r="A2100" s="88" t="s">
        <v>4494</v>
      </c>
    </row>
    <row r="2102" spans="1:1">
      <c r="A2102" s="88" t="s">
        <v>4495</v>
      </c>
    </row>
    <row r="2103" spans="1:1">
      <c r="A2103" s="88" t="s">
        <v>4496</v>
      </c>
    </row>
    <row r="2104" spans="1:1">
      <c r="A2104" s="88" t="s">
        <v>4497</v>
      </c>
    </row>
    <row r="2105" spans="1:1">
      <c r="A2105" s="88" t="s">
        <v>4498</v>
      </c>
    </row>
    <row r="2106" spans="1:1">
      <c r="A2106" s="88" t="s">
        <v>4499</v>
      </c>
    </row>
    <row r="2107" spans="1:1">
      <c r="A2107" s="88" t="s">
        <v>4500</v>
      </c>
    </row>
    <row r="2109" spans="1:1">
      <c r="A2109" s="88" t="s">
        <v>4501</v>
      </c>
    </row>
    <row r="2110" spans="1:1">
      <c r="A2110" s="88" t="s">
        <v>4443</v>
      </c>
    </row>
    <row r="2111" spans="1:1">
      <c r="A2111" s="88" t="s">
        <v>4175</v>
      </c>
    </row>
    <row r="2112" spans="1:1">
      <c r="A2112" s="88" t="s">
        <v>4502</v>
      </c>
    </row>
    <row r="2113" spans="1:1">
      <c r="A2113" s="88" t="s">
        <v>4503</v>
      </c>
    </row>
    <row r="2114" spans="1:1">
      <c r="A2114" s="88" t="s">
        <v>4504</v>
      </c>
    </row>
    <row r="2116" spans="1:1">
      <c r="A2116" s="88" t="s">
        <v>4505</v>
      </c>
    </row>
    <row r="2117" spans="1:1">
      <c r="A2117" s="88" t="s">
        <v>4443</v>
      </c>
    </row>
    <row r="2118" spans="1:1">
      <c r="A2118" s="88" t="s">
        <v>4181</v>
      </c>
    </row>
    <row r="2119" spans="1:1">
      <c r="A2119" s="88" t="s">
        <v>4506</v>
      </c>
    </row>
    <row r="2120" spans="1:1">
      <c r="A2120" s="88" t="s">
        <v>4507</v>
      </c>
    </row>
    <row r="2121" spans="1:1">
      <c r="A2121" s="88" t="s">
        <v>4508</v>
      </c>
    </row>
    <row r="2123" spans="1:1">
      <c r="A2123" s="88" t="s">
        <v>4509</v>
      </c>
    </row>
    <row r="2124" spans="1:1">
      <c r="A2124" s="88" t="s">
        <v>4196</v>
      </c>
    </row>
    <row r="2125" spans="1:1">
      <c r="A2125" s="88" t="s">
        <v>4341</v>
      </c>
    </row>
    <row r="2126" spans="1:1">
      <c r="A2126" s="88" t="s">
        <v>4510</v>
      </c>
    </row>
    <row r="2127" spans="1:1">
      <c r="A2127" s="88" t="s">
        <v>4511</v>
      </c>
    </row>
    <row r="2128" spans="1:1">
      <c r="A2128" s="88" t="s">
        <v>4512</v>
      </c>
    </row>
    <row r="2130" spans="1:1">
      <c r="A2130" s="88" t="s">
        <v>4513</v>
      </c>
    </row>
    <row r="2131" spans="1:1">
      <c r="A2131" s="88" t="s">
        <v>4514</v>
      </c>
    </row>
    <row r="2132" spans="1:1">
      <c r="A2132" s="88" t="s">
        <v>4181</v>
      </c>
    </row>
    <row r="2133" spans="1:1">
      <c r="A2133" s="88" t="s">
        <v>4515</v>
      </c>
    </row>
    <row r="2134" spans="1:1">
      <c r="A2134" s="88" t="s">
        <v>4516</v>
      </c>
    </row>
    <row r="2135" spans="1:1">
      <c r="A2135" s="88" t="s">
        <v>4517</v>
      </c>
    </row>
    <row r="2137" spans="1:1">
      <c r="A2137" s="88" t="s">
        <v>4518</v>
      </c>
    </row>
    <row r="2138" spans="1:1">
      <c r="A2138" s="88" t="s">
        <v>4519</v>
      </c>
    </row>
    <row r="2139" spans="1:1">
      <c r="A2139" s="88" t="s">
        <v>4371</v>
      </c>
    </row>
    <row r="2140" spans="1:1">
      <c r="A2140" s="88" t="s">
        <v>4520</v>
      </c>
    </row>
    <row r="2141" spans="1:1">
      <c r="A2141" s="88" t="s">
        <v>4521</v>
      </c>
    </row>
    <row r="2142" spans="1:1">
      <c r="A2142" s="88" t="s">
        <v>4522</v>
      </c>
    </row>
    <row r="2144" spans="1:1">
      <c r="A2144" s="88" t="s">
        <v>4523</v>
      </c>
    </row>
    <row r="2145" spans="1:1">
      <c r="A2145" s="88" t="s">
        <v>4477</v>
      </c>
    </row>
    <row r="2146" spans="1:1">
      <c r="A2146" s="88" t="s">
        <v>4524</v>
      </c>
    </row>
    <row r="2147" spans="1:1">
      <c r="A2147" s="88" t="s">
        <v>4525</v>
      </c>
    </row>
    <row r="2148" spans="1:1">
      <c r="A2148" s="88" t="s">
        <v>4526</v>
      </c>
    </row>
    <row r="2149" spans="1:1">
      <c r="A2149" s="88" t="s">
        <v>4527</v>
      </c>
    </row>
    <row r="2151" spans="1:1">
      <c r="A2151" s="88" t="s">
        <v>4528</v>
      </c>
    </row>
    <row r="2152" spans="1:1">
      <c r="A2152" s="88" t="s">
        <v>4092</v>
      </c>
    </row>
    <row r="2153" spans="1:1">
      <c r="A2153" s="88" t="s">
        <v>4093</v>
      </c>
    </row>
    <row r="2154" spans="1:1">
      <c r="A2154" s="88" t="s">
        <v>4408</v>
      </c>
    </row>
    <row r="2155" spans="1:1">
      <c r="A2155" s="88" t="s">
        <v>4095</v>
      </c>
    </row>
    <row r="2156" spans="1:1">
      <c r="A2156" s="88" t="s">
        <v>4529</v>
      </c>
    </row>
    <row r="2157" spans="1:1">
      <c r="A2157" s="88" t="s">
        <v>4530</v>
      </c>
    </row>
    <row r="2159" spans="1:1">
      <c r="A2159" s="88" t="s">
        <v>4531</v>
      </c>
    </row>
    <row r="2160" spans="1:1">
      <c r="A2160" s="88" t="s">
        <v>4532</v>
      </c>
    </row>
    <row r="2161" spans="1:1">
      <c r="A2161" s="88" t="s">
        <v>4533</v>
      </c>
    </row>
    <row r="2162" spans="1:1">
      <c r="A2162" s="88" t="s">
        <v>4534</v>
      </c>
    </row>
    <row r="2163" spans="1:1">
      <c r="A2163" s="88" t="s">
        <v>4535</v>
      </c>
    </row>
    <row r="2164" spans="1:1">
      <c r="A2164" s="88" t="s">
        <v>4536</v>
      </c>
    </row>
    <row r="2166" spans="1:1">
      <c r="A2166" s="88" t="s">
        <v>4537</v>
      </c>
    </row>
    <row r="2167" spans="1:1">
      <c r="A2167" s="88" t="s">
        <v>4538</v>
      </c>
    </row>
    <row r="2168" spans="1:1">
      <c r="A2168" s="88" t="s">
        <v>4539</v>
      </c>
    </row>
    <row r="2169" spans="1:1">
      <c r="A2169" s="88" t="s">
        <v>4540</v>
      </c>
    </row>
    <row r="2170" spans="1:1">
      <c r="A2170" s="88" t="s">
        <v>4541</v>
      </c>
    </row>
    <row r="2171" spans="1:1">
      <c r="A2171" s="88" t="s">
        <v>4542</v>
      </c>
    </row>
    <row r="2173" spans="1:1">
      <c r="A2173" s="88" t="s">
        <v>4543</v>
      </c>
    </row>
    <row r="2174" spans="1:1">
      <c r="A2174" s="88" t="s">
        <v>4355</v>
      </c>
    </row>
    <row r="2175" spans="1:1">
      <c r="A2175" s="88" t="s">
        <v>4544</v>
      </c>
    </row>
    <row r="2176" spans="1:1">
      <c r="A2176" s="88" t="s">
        <v>4545</v>
      </c>
    </row>
    <row r="2177" spans="1:1">
      <c r="A2177" s="88" t="s">
        <v>4546</v>
      </c>
    </row>
    <row r="2178" spans="1:1">
      <c r="A2178" s="88" t="s">
        <v>4547</v>
      </c>
    </row>
    <row r="2180" spans="1:1">
      <c r="A2180" s="88" t="s">
        <v>4548</v>
      </c>
    </row>
    <row r="2181" spans="1:1">
      <c r="A2181" s="88" t="s">
        <v>4549</v>
      </c>
    </row>
    <row r="2182" spans="1:1">
      <c r="A2182" s="88" t="s">
        <v>4231</v>
      </c>
    </row>
    <row r="2183" spans="1:1">
      <c r="A2183" s="88" t="s">
        <v>4550</v>
      </c>
    </row>
    <row r="2184" spans="1:1">
      <c r="A2184" s="88" t="s">
        <v>4551</v>
      </c>
    </row>
    <row r="2186" spans="1:1">
      <c r="A2186" s="88" t="s">
        <v>4552</v>
      </c>
    </row>
    <row r="2187" spans="1:1">
      <c r="A2187" s="88" t="s">
        <v>4553</v>
      </c>
    </row>
    <row r="2188" spans="1:1">
      <c r="A2188" s="88" t="s">
        <v>4101</v>
      </c>
    </row>
    <row r="2189" spans="1:1">
      <c r="A2189" s="88" t="s">
        <v>4554</v>
      </c>
    </row>
    <row r="2190" spans="1:1">
      <c r="A2190" s="88" t="s">
        <v>4555</v>
      </c>
    </row>
    <row r="2191" spans="1:1">
      <c r="A2191" s="88" t="s">
        <v>4556</v>
      </c>
    </row>
    <row r="2193" spans="1:1">
      <c r="A2193" s="88" t="s">
        <v>4290</v>
      </c>
    </row>
    <row r="2194" spans="1:1">
      <c r="A2194" s="88" t="s">
        <v>4557</v>
      </c>
    </row>
    <row r="2195" spans="1:1">
      <c r="A2195" s="88" t="s">
        <v>4094</v>
      </c>
    </row>
    <row r="2196" spans="1:1">
      <c r="A2196" s="88" t="s">
        <v>4558</v>
      </c>
    </row>
    <row r="2197" spans="1:1">
      <c r="A2197" s="88" t="s">
        <v>4293</v>
      </c>
    </row>
    <row r="2198" spans="1:1">
      <c r="A2198" s="88" t="s">
        <v>4294</v>
      </c>
    </row>
    <row r="2200" spans="1:1">
      <c r="A2200" s="88" t="s">
        <v>4559</v>
      </c>
    </row>
    <row r="2201" spans="1:1">
      <c r="A2201" s="88" t="s">
        <v>4099</v>
      </c>
    </row>
    <row r="2202" spans="1:1">
      <c r="A2202" s="88" t="s">
        <v>4560</v>
      </c>
    </row>
    <row r="2203" spans="1:1">
      <c r="A2203" s="88" t="s">
        <v>4561</v>
      </c>
    </row>
    <row r="2204" spans="1:1">
      <c r="A2204" s="88" t="s">
        <v>4562</v>
      </c>
    </row>
    <row r="2205" spans="1:1">
      <c r="A2205" s="88" t="s">
        <v>4563</v>
      </c>
    </row>
    <row r="2207" spans="1:1">
      <c r="A2207" s="88" t="s">
        <v>4564</v>
      </c>
    </row>
    <row r="2208" spans="1:1">
      <c r="A2208" s="88" t="s">
        <v>4092</v>
      </c>
    </row>
    <row r="2209" spans="1:1">
      <c r="A2209" s="88" t="s">
        <v>4565</v>
      </c>
    </row>
    <row r="2210" spans="1:1">
      <c r="A2210" s="88" t="s">
        <v>4566</v>
      </c>
    </row>
    <row r="2211" spans="1:1">
      <c r="A2211" s="88" t="s">
        <v>4567</v>
      </c>
    </row>
    <row r="2212" spans="1:1">
      <c r="A2212" s="88" t="s">
        <v>4568</v>
      </c>
    </row>
    <row r="2213" spans="1:1">
      <c r="A2213" s="88" t="s">
        <v>4569</v>
      </c>
    </row>
    <row r="2215" spans="1:1">
      <c r="A2215" s="88" t="s">
        <v>4570</v>
      </c>
    </row>
    <row r="2216" spans="1:1">
      <c r="A2216" s="88" t="s">
        <v>4092</v>
      </c>
    </row>
    <row r="2217" spans="1:1">
      <c r="A2217" s="88" t="s">
        <v>4571</v>
      </c>
    </row>
    <row r="2218" spans="1:1">
      <c r="A2218" s="88" t="s">
        <v>4572</v>
      </c>
    </row>
    <row r="2219" spans="1:1">
      <c r="A2219" s="88" t="s">
        <v>4573</v>
      </c>
    </row>
    <row r="2220" spans="1:1">
      <c r="A2220" s="88" t="s">
        <v>4574</v>
      </c>
    </row>
    <row r="2221" spans="1:1">
      <c r="A2221" s="88" t="s">
        <v>4575</v>
      </c>
    </row>
    <row r="2223" spans="1:1">
      <c r="A2223" s="88" t="s">
        <v>4576</v>
      </c>
    </row>
    <row r="2224" spans="1:1">
      <c r="A2224" s="88" t="s">
        <v>4092</v>
      </c>
    </row>
    <row r="2225" spans="1:1">
      <c r="A2225" s="88" t="s">
        <v>4577</v>
      </c>
    </row>
    <row r="2226" spans="1:1">
      <c r="A2226" s="88" t="s">
        <v>4578</v>
      </c>
    </row>
    <row r="2227" spans="1:1">
      <c r="A2227" s="88" t="s">
        <v>4579</v>
      </c>
    </row>
    <row r="2228" spans="1:1">
      <c r="A2228" s="88" t="s">
        <v>4580</v>
      </c>
    </row>
    <row r="2230" spans="1:1">
      <c r="A2230" s="88" t="s">
        <v>4581</v>
      </c>
    </row>
    <row r="2231" spans="1:1">
      <c r="A2231" s="88" t="s">
        <v>4092</v>
      </c>
    </row>
    <row r="2232" spans="1:1">
      <c r="A2232" s="88" t="s">
        <v>4582</v>
      </c>
    </row>
    <row r="2233" spans="1:1">
      <c r="A2233" s="88" t="s">
        <v>4583</v>
      </c>
    </row>
    <row r="2234" spans="1:1">
      <c r="A2234" s="88" t="s">
        <v>4584</v>
      </c>
    </row>
    <row r="2235" spans="1:1">
      <c r="A2235" s="88" t="s">
        <v>4585</v>
      </c>
    </row>
    <row r="2236" spans="1:1">
      <c r="A2236" s="88" t="s">
        <v>4586</v>
      </c>
    </row>
    <row r="2238" spans="1:1">
      <c r="A2238" s="88" t="s">
        <v>4587</v>
      </c>
    </row>
    <row r="2239" spans="1:1">
      <c r="A2239" s="88" t="s">
        <v>4092</v>
      </c>
    </row>
    <row r="2240" spans="1:1">
      <c r="A2240" s="88" t="s">
        <v>4588</v>
      </c>
    </row>
    <row r="2241" spans="1:1">
      <c r="A2241" s="88" t="s">
        <v>4589</v>
      </c>
    </row>
    <row r="2242" spans="1:1">
      <c r="A2242" s="88" t="s">
        <v>4590</v>
      </c>
    </row>
    <row r="2243" spans="1:1">
      <c r="A2243" s="88" t="s">
        <v>4591</v>
      </c>
    </row>
    <row r="2244" spans="1:1">
      <c r="A2244" s="88" t="s">
        <v>4592</v>
      </c>
    </row>
    <row r="2246" spans="1:1">
      <c r="A2246" s="88" t="s">
        <v>4173</v>
      </c>
    </row>
    <row r="2247" spans="1:1">
      <c r="A2247" s="88" t="s">
        <v>4092</v>
      </c>
    </row>
    <row r="2248" spans="1:1">
      <c r="A2248" s="88" t="s">
        <v>4593</v>
      </c>
    </row>
    <row r="2249" spans="1:1">
      <c r="A2249" s="88" t="s">
        <v>4175</v>
      </c>
    </row>
    <row r="2250" spans="1:1">
      <c r="A2250" s="88" t="s">
        <v>4594</v>
      </c>
    </row>
    <row r="2251" spans="1:1">
      <c r="A2251" s="88" t="s">
        <v>4177</v>
      </c>
    </row>
    <row r="2252" spans="1:1">
      <c r="A2252" s="88" t="s">
        <v>4178</v>
      </c>
    </row>
    <row r="2254" spans="1:1">
      <c r="A2254" s="88" t="s">
        <v>4595</v>
      </c>
    </row>
    <row r="2255" spans="1:1">
      <c r="A2255" s="88" t="s">
        <v>4092</v>
      </c>
    </row>
    <row r="2256" spans="1:1">
      <c r="A2256" s="88" t="s">
        <v>4596</v>
      </c>
    </row>
    <row r="2257" spans="1:1">
      <c r="A2257" s="88" t="s">
        <v>4129</v>
      </c>
    </row>
    <row r="2258" spans="1:1">
      <c r="A2258" s="88" t="s">
        <v>4597</v>
      </c>
    </row>
    <row r="2259" spans="1:1">
      <c r="A2259" s="88" t="s">
        <v>4598</v>
      </c>
    </row>
    <row r="2260" spans="1:1">
      <c r="A2260" s="88" t="s">
        <v>4599</v>
      </c>
    </row>
    <row r="2262" spans="1:1">
      <c r="A2262" s="88" t="s">
        <v>4600</v>
      </c>
    </row>
    <row r="2263" spans="1:1">
      <c r="A2263" s="88" t="s">
        <v>4092</v>
      </c>
    </row>
    <row r="2264" spans="1:1">
      <c r="A2264" s="88" t="s">
        <v>4601</v>
      </c>
    </row>
    <row r="2265" spans="1:1">
      <c r="A2265" s="88" t="s">
        <v>4602</v>
      </c>
    </row>
    <row r="2266" spans="1:1">
      <c r="A2266" s="88" t="s">
        <v>4603</v>
      </c>
    </row>
    <row r="2267" spans="1:1">
      <c r="A2267" s="88" t="s">
        <v>4604</v>
      </c>
    </row>
    <row r="2269" spans="1:1">
      <c r="A2269" s="88" t="s">
        <v>4605</v>
      </c>
    </row>
    <row r="2270" spans="1:1">
      <c r="A2270" s="88" t="s">
        <v>4092</v>
      </c>
    </row>
    <row r="2271" spans="1:1">
      <c r="A2271" s="88" t="s">
        <v>4606</v>
      </c>
    </row>
    <row r="2272" spans="1:1">
      <c r="A2272" s="88" t="s">
        <v>4175</v>
      </c>
    </row>
    <row r="2273" spans="1:1">
      <c r="A2273" s="88" t="s">
        <v>4607</v>
      </c>
    </row>
    <row r="2274" spans="1:1">
      <c r="A2274" s="88" t="s">
        <v>4608</v>
      </c>
    </row>
    <row r="2275" spans="1:1">
      <c r="A2275" s="88" t="s">
        <v>4609</v>
      </c>
    </row>
    <row r="2277" spans="1:1">
      <c r="A2277" s="88" t="s">
        <v>4610</v>
      </c>
    </row>
    <row r="2278" spans="1:1">
      <c r="A2278" s="88" t="s">
        <v>4092</v>
      </c>
    </row>
    <row r="2279" spans="1:1">
      <c r="A2279" s="88" t="s">
        <v>4611</v>
      </c>
    </row>
    <row r="2280" spans="1:1">
      <c r="A2280" s="88" t="s">
        <v>4478</v>
      </c>
    </row>
    <row r="2281" spans="1:1">
      <c r="A2281" s="88" t="s">
        <v>4612</v>
      </c>
    </row>
    <row r="2282" spans="1:1">
      <c r="A2282" s="88" t="s">
        <v>4613</v>
      </c>
    </row>
    <row r="2283" spans="1:1">
      <c r="A2283" s="88" t="s">
        <v>4614</v>
      </c>
    </row>
    <row r="2285" spans="1:1">
      <c r="A2285" s="88" t="s">
        <v>4615</v>
      </c>
    </row>
    <row r="2286" spans="1:1">
      <c r="A2286" s="88" t="s">
        <v>4092</v>
      </c>
    </row>
    <row r="2287" spans="1:1">
      <c r="A2287" s="88" t="s">
        <v>4611</v>
      </c>
    </row>
    <row r="2288" spans="1:1">
      <c r="A2288" s="88" t="s">
        <v>4478</v>
      </c>
    </row>
    <row r="2289" spans="1:1">
      <c r="A2289" s="88" t="s">
        <v>4612</v>
      </c>
    </row>
    <row r="2290" spans="1:1">
      <c r="A2290" s="88" t="s">
        <v>4616</v>
      </c>
    </row>
    <row r="2291" spans="1:1">
      <c r="A2291" s="88" t="s">
        <v>4617</v>
      </c>
    </row>
    <row r="2293" spans="1:1">
      <c r="A2293" s="88" t="s">
        <v>4618</v>
      </c>
    </row>
    <row r="2294" spans="1:1">
      <c r="A2294" s="88" t="s">
        <v>4092</v>
      </c>
    </row>
    <row r="2295" spans="1:1">
      <c r="A2295" s="88" t="s">
        <v>4619</v>
      </c>
    </row>
    <row r="2296" spans="1:1">
      <c r="A2296" s="88" t="s">
        <v>4620</v>
      </c>
    </row>
    <row r="2297" spans="1:1">
      <c r="A2297" s="88" t="s">
        <v>4621</v>
      </c>
    </row>
    <row r="2298" spans="1:1">
      <c r="A2298" s="88" t="s">
        <v>4622</v>
      </c>
    </row>
    <row r="2300" spans="1:1">
      <c r="A2300" s="88" t="s">
        <v>4623</v>
      </c>
    </row>
    <row r="2301" spans="1:1">
      <c r="A2301" s="88" t="s">
        <v>4092</v>
      </c>
    </row>
    <row r="2302" spans="1:1">
      <c r="A2302" s="88" t="s">
        <v>4624</v>
      </c>
    </row>
    <row r="2303" spans="1:1">
      <c r="A2303" s="88" t="s">
        <v>4094</v>
      </c>
    </row>
    <row r="2304" spans="1:1">
      <c r="A2304" s="88" t="s">
        <v>4625</v>
      </c>
    </row>
    <row r="2305" spans="1:1">
      <c r="A2305" s="88" t="s">
        <v>4626</v>
      </c>
    </row>
    <row r="2306" spans="1:1">
      <c r="A2306" s="88" t="s">
        <v>4627</v>
      </c>
    </row>
    <row r="2308" spans="1:1">
      <c r="A2308" s="88" t="s">
        <v>4628</v>
      </c>
    </row>
    <row r="2309" spans="1:1">
      <c r="A2309" s="88" t="s">
        <v>4092</v>
      </c>
    </row>
    <row r="2310" spans="1:1">
      <c r="A2310" s="88" t="s">
        <v>4629</v>
      </c>
    </row>
    <row r="2311" spans="1:1">
      <c r="A2311" s="88" t="s">
        <v>4094</v>
      </c>
    </row>
    <row r="2312" spans="1:1">
      <c r="A2312" s="88" t="s">
        <v>4630</v>
      </c>
    </row>
    <row r="2313" spans="1:1">
      <c r="A2313" s="88" t="s">
        <v>4631</v>
      </c>
    </row>
    <row r="2314" spans="1:1">
      <c r="A2314" s="88" t="s">
        <v>4632</v>
      </c>
    </row>
    <row r="2316" spans="1:1">
      <c r="A2316" s="88" t="s">
        <v>4633</v>
      </c>
    </row>
    <row r="2317" spans="1:1">
      <c r="A2317" s="88" t="s">
        <v>4092</v>
      </c>
    </row>
    <row r="2318" spans="1:1">
      <c r="A2318" s="88" t="s">
        <v>4634</v>
      </c>
    </row>
    <row r="2319" spans="1:1">
      <c r="A2319" s="88" t="s">
        <v>4175</v>
      </c>
    </row>
    <row r="2320" spans="1:1">
      <c r="A2320" s="88" t="s">
        <v>4635</v>
      </c>
    </row>
    <row r="2321" spans="1:1">
      <c r="A2321" s="88" t="s">
        <v>4636</v>
      </c>
    </row>
    <row r="2322" spans="1:1">
      <c r="A2322" s="88" t="s">
        <v>4637</v>
      </c>
    </row>
    <row r="2324" spans="1:1">
      <c r="A2324" s="88" t="s">
        <v>4638</v>
      </c>
    </row>
    <row r="2325" spans="1:1">
      <c r="A2325" s="88" t="s">
        <v>4092</v>
      </c>
    </row>
    <row r="2326" spans="1:1">
      <c r="A2326" s="88" t="s">
        <v>4639</v>
      </c>
    </row>
    <row r="2327" spans="1:1">
      <c r="A2327" s="88" t="s">
        <v>4640</v>
      </c>
    </row>
    <row r="2328" spans="1:1">
      <c r="A2328" s="88" t="s">
        <v>4641</v>
      </c>
    </row>
    <row r="2329" spans="1:1">
      <c r="A2329" s="88" t="s">
        <v>4642</v>
      </c>
    </row>
    <row r="2330" spans="1:1">
      <c r="A2330" s="88" t="s">
        <v>4643</v>
      </c>
    </row>
    <row r="2332" spans="1:1">
      <c r="A2332" s="88" t="s">
        <v>4644</v>
      </c>
    </row>
    <row r="2333" spans="1:1">
      <c r="A2333" s="88" t="s">
        <v>4092</v>
      </c>
    </row>
    <row r="2334" spans="1:1">
      <c r="A2334" s="88" t="s">
        <v>4123</v>
      </c>
    </row>
    <row r="2335" spans="1:1">
      <c r="A2335" s="88" t="s">
        <v>4124</v>
      </c>
    </row>
    <row r="2336" spans="1:1">
      <c r="A2336" s="88" t="s">
        <v>4645</v>
      </c>
    </row>
    <row r="2337" spans="1:1">
      <c r="A2337" s="88" t="s">
        <v>4646</v>
      </c>
    </row>
    <row r="2338" spans="1:1">
      <c r="A2338" s="88" t="s">
        <v>4647</v>
      </c>
    </row>
    <row r="2340" spans="1:1">
      <c r="A2340" s="88" t="s">
        <v>4648</v>
      </c>
    </row>
    <row r="2341" spans="1:1">
      <c r="A2341" s="88" t="s">
        <v>4092</v>
      </c>
    </row>
    <row r="2342" spans="1:1">
      <c r="A2342" s="88" t="s">
        <v>4649</v>
      </c>
    </row>
    <row r="2343" spans="1:1">
      <c r="A2343" s="88" t="s">
        <v>4175</v>
      </c>
    </row>
    <row r="2344" spans="1:1">
      <c r="A2344" s="88" t="s">
        <v>4650</v>
      </c>
    </row>
    <row r="2345" spans="1:1">
      <c r="A2345" s="88" t="s">
        <v>4651</v>
      </c>
    </row>
    <row r="2346" spans="1:1">
      <c r="A2346" s="88" t="s">
        <v>4652</v>
      </c>
    </row>
    <row r="2348" spans="1:1">
      <c r="A2348" s="88" t="s">
        <v>4653</v>
      </c>
    </row>
    <row r="2349" spans="1:1">
      <c r="A2349" s="88" t="s">
        <v>4092</v>
      </c>
    </row>
    <row r="2350" spans="1:1">
      <c r="A2350" s="88" t="s">
        <v>4654</v>
      </c>
    </row>
    <row r="2351" spans="1:1">
      <c r="A2351" s="88" t="s">
        <v>4655</v>
      </c>
    </row>
    <row r="2352" spans="1:1">
      <c r="A2352" s="88" t="s">
        <v>4656</v>
      </c>
    </row>
    <row r="2353" spans="1:1">
      <c r="A2353" s="88" t="s">
        <v>4657</v>
      </c>
    </row>
    <row r="2354" spans="1:1">
      <c r="A2354" s="88" t="s">
        <v>4658</v>
      </c>
    </row>
    <row r="2356" spans="1:1">
      <c r="A2356" s="88" t="s">
        <v>4659</v>
      </c>
    </row>
    <row r="2357" spans="1:1">
      <c r="A2357" s="88" t="s">
        <v>4092</v>
      </c>
    </row>
    <row r="2358" spans="1:1">
      <c r="A2358" s="88" t="s">
        <v>4660</v>
      </c>
    </row>
    <row r="2359" spans="1:1">
      <c r="A2359" s="88" t="s">
        <v>4181</v>
      </c>
    </row>
    <row r="2360" spans="1:1">
      <c r="A2360" s="88" t="s">
        <v>4661</v>
      </c>
    </row>
    <row r="2361" spans="1:1">
      <c r="A2361" s="88" t="s">
        <v>4662</v>
      </c>
    </row>
    <row r="2363" spans="1:1">
      <c r="A2363" s="88" t="s">
        <v>4663</v>
      </c>
    </row>
    <row r="2364" spans="1:1">
      <c r="A2364" s="88" t="s">
        <v>4092</v>
      </c>
    </row>
    <row r="2365" spans="1:1">
      <c r="A2365" s="88" t="s">
        <v>4664</v>
      </c>
    </row>
    <row r="2366" spans="1:1">
      <c r="A2366" s="88" t="s">
        <v>4371</v>
      </c>
    </row>
    <row r="2367" spans="1:1">
      <c r="A2367" s="88" t="s">
        <v>4665</v>
      </c>
    </row>
    <row r="2368" spans="1:1">
      <c r="A2368" s="88" t="s">
        <v>4666</v>
      </c>
    </row>
    <row r="2370" spans="1:1">
      <c r="A2370" s="88" t="s">
        <v>4667</v>
      </c>
    </row>
    <row r="2371" spans="1:1">
      <c r="A2371" s="88" t="s">
        <v>4092</v>
      </c>
    </row>
    <row r="2372" spans="1:1">
      <c r="A2372" s="88" t="s">
        <v>4668</v>
      </c>
    </row>
    <row r="2373" spans="1:1">
      <c r="A2373" s="88" t="s">
        <v>4371</v>
      </c>
    </row>
    <row r="2374" spans="1:1">
      <c r="A2374" s="88" t="s">
        <v>4669</v>
      </c>
    </row>
    <row r="2375" spans="1:1">
      <c r="A2375" s="88" t="s">
        <v>4670</v>
      </c>
    </row>
    <row r="2376" spans="1:1">
      <c r="A2376" s="88" t="s">
        <v>4671</v>
      </c>
    </row>
    <row r="2378" spans="1:1">
      <c r="A2378" s="88" t="s">
        <v>4672</v>
      </c>
    </row>
    <row r="2379" spans="1:1">
      <c r="A2379" s="88" t="s">
        <v>4092</v>
      </c>
    </row>
    <row r="2380" spans="1:1">
      <c r="A2380" s="88" t="s">
        <v>4673</v>
      </c>
    </row>
    <row r="2381" spans="1:1">
      <c r="A2381" s="88" t="s">
        <v>4674</v>
      </c>
    </row>
    <row r="2382" spans="1:1">
      <c r="A2382" s="88" t="s">
        <v>4675</v>
      </c>
    </row>
    <row r="2384" spans="1:1">
      <c r="A2384" s="88" t="s">
        <v>4676</v>
      </c>
    </row>
    <row r="2385" spans="1:1">
      <c r="A2385" s="88" t="s">
        <v>4099</v>
      </c>
    </row>
    <row r="2386" spans="1:1">
      <c r="A2386" s="88" t="s">
        <v>4673</v>
      </c>
    </row>
    <row r="2387" spans="1:1">
      <c r="A2387" s="88" t="s">
        <v>4129</v>
      </c>
    </row>
    <row r="2388" spans="1:1">
      <c r="A2388" s="88" t="s">
        <v>4677</v>
      </c>
    </row>
    <row r="2389" spans="1:1">
      <c r="A2389" s="88" t="s">
        <v>4678</v>
      </c>
    </row>
    <row r="2390" spans="1:1">
      <c r="A2390" s="88" t="s">
        <v>4679</v>
      </c>
    </row>
    <row r="2392" spans="1:1">
      <c r="A2392" s="88" t="s">
        <v>4169</v>
      </c>
    </row>
    <row r="2393" spans="1:1">
      <c r="A2393" s="88" t="s">
        <v>4092</v>
      </c>
    </row>
    <row r="2394" spans="1:1">
      <c r="A2394" s="88" t="s">
        <v>4170</v>
      </c>
    </row>
    <row r="2395" spans="1:1">
      <c r="A2395" s="88" t="s">
        <v>4094</v>
      </c>
    </row>
    <row r="2396" spans="1:1">
      <c r="A2396" s="88" t="s">
        <v>4171</v>
      </c>
    </row>
    <row r="2397" spans="1:1">
      <c r="A2397" s="88" t="s">
        <v>4172</v>
      </c>
    </row>
    <row r="2399" spans="1:1">
      <c r="A2399" s="88" t="s">
        <v>4110</v>
      </c>
    </row>
    <row r="2400" spans="1:1">
      <c r="A2400" s="88" t="s">
        <v>4092</v>
      </c>
    </row>
    <row r="2401" spans="1:1">
      <c r="A2401" s="88" t="s">
        <v>4111</v>
      </c>
    </row>
    <row r="2402" spans="1:1">
      <c r="A2402" s="88" t="s">
        <v>4112</v>
      </c>
    </row>
    <row r="2403" spans="1:1">
      <c r="A2403" s="88" t="s">
        <v>4113</v>
      </c>
    </row>
    <row r="2404" spans="1:1">
      <c r="A2404" s="88" t="s">
        <v>4114</v>
      </c>
    </row>
    <row r="2405" spans="1:1">
      <c r="A2405" s="88" t="s">
        <v>4115</v>
      </c>
    </row>
    <row r="2407" spans="1:1">
      <c r="A2407" s="88" t="s">
        <v>4158</v>
      </c>
    </row>
    <row r="2408" spans="1:1">
      <c r="A2408" s="88" t="s">
        <v>4099</v>
      </c>
    </row>
    <row r="2409" spans="1:1">
      <c r="A2409" s="88" t="s">
        <v>4159</v>
      </c>
    </row>
    <row r="2410" spans="1:1">
      <c r="A2410" s="88" t="s">
        <v>4160</v>
      </c>
    </row>
    <row r="2411" spans="1:1">
      <c r="A2411" s="88" t="s">
        <v>4161</v>
      </c>
    </row>
    <row r="2412" spans="1:1">
      <c r="A2412" s="88" t="s">
        <v>4162</v>
      </c>
    </row>
    <row r="2413" spans="1:1">
      <c r="A2413" s="88" t="s">
        <v>4163</v>
      </c>
    </row>
    <row r="2415" spans="1:1">
      <c r="A2415" s="88" t="s">
        <v>4105</v>
      </c>
    </row>
    <row r="2416" spans="1:1">
      <c r="A2416" s="88" t="s">
        <v>4092</v>
      </c>
    </row>
    <row r="2417" spans="1:1">
      <c r="A2417" s="88" t="s">
        <v>4106</v>
      </c>
    </row>
    <row r="2418" spans="1:1">
      <c r="A2418" s="88" t="s">
        <v>4094</v>
      </c>
    </row>
    <row r="2419" spans="1:1">
      <c r="A2419" s="88" t="s">
        <v>4107</v>
      </c>
    </row>
    <row r="2420" spans="1:1">
      <c r="A2420" s="88" t="s">
        <v>4108</v>
      </c>
    </row>
    <row r="2421" spans="1:1">
      <c r="A2421" s="88" t="s">
        <v>4109</v>
      </c>
    </row>
    <row r="2423" spans="1:1">
      <c r="A2423" s="88"/>
    </row>
  </sheetData>
  <phoneticPr fontId="12"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2"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18"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3979</v>
      </c>
      <c r="E1" s="109" t="s">
        <v>2618</v>
      </c>
      <c r="F1" s="109" t="s">
        <v>2226</v>
      </c>
      <c r="G1" s="109">
        <v>20200105</v>
      </c>
      <c r="H1" s="109" t="s">
        <v>2765</v>
      </c>
      <c r="I1" s="109" t="s">
        <v>2766</v>
      </c>
      <c r="J1" s="109" t="s">
        <v>2421</v>
      </c>
      <c r="K1" s="109">
        <v>20191230</v>
      </c>
    </row>
    <row r="2" spans="1:11">
      <c r="A2" s="106">
        <v>360</v>
      </c>
      <c r="B2" s="106" t="s">
        <v>3170</v>
      </c>
      <c r="C2" s="106" t="s">
        <v>3171</v>
      </c>
      <c r="D2" s="106" t="s">
        <v>3980</v>
      </c>
      <c r="E2" s="208">
        <v>43829</v>
      </c>
      <c r="F2" s="209"/>
      <c r="H2" s="106" t="s">
        <v>4756</v>
      </c>
      <c r="I2" s="210"/>
      <c r="J2" s="209"/>
    </row>
    <row r="3" spans="1:11">
      <c r="A3" s="106">
        <v>360</v>
      </c>
      <c r="B3" s="106" t="s">
        <v>3172</v>
      </c>
      <c r="C3" s="106" t="s">
        <v>3173</v>
      </c>
      <c r="D3" s="106" t="s">
        <v>3980</v>
      </c>
      <c r="E3" s="208">
        <v>43829</v>
      </c>
      <c r="F3" s="209"/>
      <c r="H3" s="106" t="s">
        <v>4760</v>
      </c>
      <c r="I3" s="210"/>
      <c r="J3" s="209"/>
    </row>
    <row r="4" spans="1:11">
      <c r="A4" s="106" t="s">
        <v>3174</v>
      </c>
      <c r="B4" s="106" t="s">
        <v>3175</v>
      </c>
      <c r="C4" s="106" t="s">
        <v>3090</v>
      </c>
      <c r="D4" s="106" t="s">
        <v>3980</v>
      </c>
      <c r="E4" s="208">
        <v>43829</v>
      </c>
      <c r="F4" s="209"/>
      <c r="H4" s="106">
        <v>424</v>
      </c>
      <c r="I4" s="210"/>
      <c r="J4" s="209"/>
    </row>
    <row r="5" spans="1:11">
      <c r="A5" s="106" t="s">
        <v>3176</v>
      </c>
      <c r="B5" s="106" t="s">
        <v>3177</v>
      </c>
      <c r="C5" s="106" t="s">
        <v>3178</v>
      </c>
      <c r="D5" s="106" t="s">
        <v>3980</v>
      </c>
      <c r="E5" s="208">
        <v>43829</v>
      </c>
      <c r="F5" s="209"/>
      <c r="H5" s="106">
        <v>701</v>
      </c>
      <c r="I5" s="210"/>
      <c r="J5" s="209"/>
    </row>
    <row r="6" spans="1:11">
      <c r="A6" s="106" t="s">
        <v>3112</v>
      </c>
      <c r="B6" s="106" t="s">
        <v>3098</v>
      </c>
      <c r="C6" s="106" t="s">
        <v>2850</v>
      </c>
      <c r="D6" s="106" t="s">
        <v>3980</v>
      </c>
      <c r="E6" s="209">
        <v>43828</v>
      </c>
      <c r="F6" s="209"/>
      <c r="H6" s="106" t="s">
        <v>4755</v>
      </c>
      <c r="I6" s="210"/>
      <c r="J6" s="209"/>
    </row>
    <row r="7" spans="1:11">
      <c r="A7" s="106" t="s">
        <v>3179</v>
      </c>
      <c r="B7" s="106" t="s">
        <v>3180</v>
      </c>
      <c r="C7" s="106" t="s">
        <v>2793</v>
      </c>
      <c r="D7" s="106" t="s">
        <v>3980</v>
      </c>
      <c r="E7" s="209">
        <v>43828</v>
      </c>
      <c r="F7" s="209"/>
      <c r="H7" s="106">
        <v>147</v>
      </c>
      <c r="I7" s="210"/>
      <c r="J7" s="209"/>
    </row>
    <row r="8" spans="1:11">
      <c r="A8" s="106" t="s">
        <v>3179</v>
      </c>
      <c r="B8" s="106" t="s">
        <v>3181</v>
      </c>
      <c r="C8" s="106" t="s">
        <v>2791</v>
      </c>
      <c r="D8" s="106" t="s">
        <v>3980</v>
      </c>
      <c r="E8" s="209">
        <v>43828</v>
      </c>
      <c r="F8" s="209"/>
      <c r="H8" s="106">
        <v>504</v>
      </c>
      <c r="I8" s="210"/>
      <c r="J8" s="209"/>
    </row>
    <row r="9" spans="1:11">
      <c r="A9" s="106" t="s">
        <v>3182</v>
      </c>
      <c r="B9" s="106" t="s">
        <v>3183</v>
      </c>
      <c r="C9" s="106" t="s">
        <v>2792</v>
      </c>
      <c r="D9" s="106" t="s">
        <v>3980</v>
      </c>
      <c r="E9" s="209">
        <v>43828</v>
      </c>
      <c r="F9" s="209"/>
      <c r="H9" s="106" t="s">
        <v>4737</v>
      </c>
      <c r="I9" s="210"/>
      <c r="J9" s="209"/>
    </row>
    <row r="10" spans="1:11">
      <c r="A10" s="106" t="s">
        <v>3184</v>
      </c>
      <c r="B10" s="106" t="s">
        <v>3185</v>
      </c>
      <c r="C10" s="106" t="s">
        <v>2795</v>
      </c>
      <c r="D10" s="106" t="s">
        <v>3980</v>
      </c>
      <c r="E10" s="209">
        <v>43828</v>
      </c>
      <c r="F10" s="209"/>
      <c r="H10" s="106" t="s">
        <v>4748</v>
      </c>
      <c r="I10" s="210"/>
      <c r="J10" s="209"/>
    </row>
    <row r="11" spans="1:11">
      <c r="A11" s="106" t="s">
        <v>3186</v>
      </c>
      <c r="B11" s="106" t="s">
        <v>3187</v>
      </c>
      <c r="C11" s="106" t="s">
        <v>3060</v>
      </c>
      <c r="D11" s="106" t="s">
        <v>3980</v>
      </c>
      <c r="E11" s="208">
        <v>43829</v>
      </c>
      <c r="F11" s="209"/>
      <c r="H11" s="106">
        <v>230</v>
      </c>
      <c r="I11" s="210"/>
      <c r="J11" s="209"/>
    </row>
    <row r="12" spans="1:11">
      <c r="A12" s="106" t="s">
        <v>3188</v>
      </c>
      <c r="C12" s="106" t="s">
        <v>3189</v>
      </c>
      <c r="D12" s="106" t="s">
        <v>2626</v>
      </c>
      <c r="E12" s="208">
        <v>43829</v>
      </c>
      <c r="F12" s="209"/>
      <c r="I12" s="210">
        <v>3</v>
      </c>
      <c r="J12" s="209"/>
    </row>
    <row r="13" spans="1:11">
      <c r="A13" s="106" t="s">
        <v>2614</v>
      </c>
      <c r="B13" s="106" t="s">
        <v>3190</v>
      </c>
      <c r="C13" s="211" t="s">
        <v>3083</v>
      </c>
      <c r="E13" s="208">
        <v>43829</v>
      </c>
      <c r="F13" s="209"/>
      <c r="H13" s="106" t="s">
        <v>4735</v>
      </c>
      <c r="I13" s="210"/>
      <c r="J13" s="209"/>
    </row>
    <row r="14" spans="1:11">
      <c r="A14" s="106" t="s">
        <v>3191</v>
      </c>
      <c r="B14" s="106" t="s">
        <v>2371</v>
      </c>
      <c r="C14" s="106" t="s">
        <v>2816</v>
      </c>
      <c r="E14" s="209">
        <v>43828</v>
      </c>
      <c r="F14" s="209"/>
      <c r="H14" s="106">
        <v>162</v>
      </c>
      <c r="I14" s="210"/>
      <c r="J14" s="209"/>
    </row>
    <row r="15" spans="1:11">
      <c r="A15" s="106" t="s">
        <v>3192</v>
      </c>
      <c r="B15" s="106" t="s">
        <v>3193</v>
      </c>
      <c r="C15" s="106" t="s">
        <v>3194</v>
      </c>
      <c r="E15" s="208">
        <v>43829</v>
      </c>
      <c r="F15" s="209"/>
      <c r="I15" s="210" t="s">
        <v>4713</v>
      </c>
      <c r="J15" s="209"/>
    </row>
    <row r="16" spans="1:11">
      <c r="A16" s="106" t="s">
        <v>3192</v>
      </c>
      <c r="B16" s="106" t="s">
        <v>3195</v>
      </c>
      <c r="C16" s="106" t="s">
        <v>3196</v>
      </c>
      <c r="E16" s="208">
        <v>43829</v>
      </c>
      <c r="F16" s="209"/>
      <c r="H16" s="106" t="s">
        <v>4744</v>
      </c>
      <c r="I16" s="210"/>
      <c r="J16" s="209"/>
    </row>
    <row r="17" spans="1:11">
      <c r="A17" s="106" t="s">
        <v>2620</v>
      </c>
      <c r="C17" s="211" t="s">
        <v>2613</v>
      </c>
      <c r="D17" s="211"/>
      <c r="E17" s="209">
        <v>43828</v>
      </c>
      <c r="F17" s="209" t="s">
        <v>2231</v>
      </c>
      <c r="I17" s="210" t="s">
        <v>3934</v>
      </c>
      <c r="J17" s="209"/>
      <c r="K17" s="106" t="s">
        <v>2664</v>
      </c>
    </row>
    <row r="18" spans="1:11">
      <c r="A18" s="106" t="s">
        <v>2620</v>
      </c>
      <c r="B18" s="106" t="s">
        <v>3197</v>
      </c>
      <c r="C18" s="106" t="s">
        <v>2815</v>
      </c>
      <c r="E18" s="209">
        <v>43828</v>
      </c>
      <c r="F18" s="209"/>
      <c r="H18" s="106">
        <v>694</v>
      </c>
      <c r="I18" s="210"/>
      <c r="J18" s="209"/>
    </row>
    <row r="19" spans="1:11">
      <c r="A19" s="106" t="s">
        <v>2620</v>
      </c>
      <c r="B19" s="106" t="s">
        <v>3198</v>
      </c>
      <c r="C19" s="106" t="s">
        <v>3014</v>
      </c>
      <c r="E19" s="208">
        <v>43829</v>
      </c>
      <c r="F19" s="209"/>
      <c r="H19" s="106">
        <v>178</v>
      </c>
      <c r="I19" s="210"/>
      <c r="J19" s="209"/>
    </row>
    <row r="20" spans="1:11">
      <c r="A20" s="106" t="s">
        <v>2620</v>
      </c>
      <c r="B20" s="106" t="s">
        <v>3199</v>
      </c>
      <c r="C20" s="106" t="s">
        <v>3200</v>
      </c>
      <c r="E20" s="208">
        <v>43829</v>
      </c>
      <c r="F20" s="209"/>
      <c r="H20" s="106">
        <v>555</v>
      </c>
      <c r="I20" s="210"/>
      <c r="J20" s="209"/>
    </row>
    <row r="21" spans="1:11">
      <c r="A21" s="106" t="s">
        <v>2620</v>
      </c>
      <c r="B21" s="106" t="s">
        <v>3201</v>
      </c>
      <c r="C21" s="106" t="s">
        <v>3202</v>
      </c>
      <c r="E21" s="208">
        <v>43829</v>
      </c>
      <c r="F21" s="209"/>
      <c r="H21" s="106">
        <v>663</v>
      </c>
      <c r="I21" s="210"/>
      <c r="J21" s="209"/>
    </row>
    <row r="22" spans="1:11">
      <c r="A22" s="124" t="s">
        <v>17</v>
      </c>
      <c r="B22" s="124" t="s">
        <v>567</v>
      </c>
      <c r="C22" s="211" t="s">
        <v>3969</v>
      </c>
      <c r="D22" s="211"/>
      <c r="E22" s="208"/>
      <c r="F22" s="209"/>
      <c r="H22" s="106">
        <v>554</v>
      </c>
      <c r="I22" s="210"/>
      <c r="J22" s="209"/>
    </row>
    <row r="23" spans="1:11">
      <c r="A23" s="106" t="s">
        <v>3203</v>
      </c>
      <c r="B23" s="106" t="s">
        <v>3204</v>
      </c>
      <c r="C23" s="106" t="s">
        <v>3205</v>
      </c>
      <c r="E23" s="208">
        <v>43829</v>
      </c>
      <c r="F23" s="209"/>
      <c r="H23" s="106" t="s">
        <v>4709</v>
      </c>
      <c r="I23" s="210" t="s">
        <v>3936</v>
      </c>
      <c r="J23" s="209"/>
    </row>
    <row r="24" spans="1:11">
      <c r="A24" s="106" t="s">
        <v>3206</v>
      </c>
      <c r="B24" s="106" t="s">
        <v>3207</v>
      </c>
      <c r="C24" s="106" t="s">
        <v>3001</v>
      </c>
      <c r="E24" s="208">
        <v>43829</v>
      </c>
      <c r="F24" s="209"/>
      <c r="H24" s="106">
        <v>163</v>
      </c>
      <c r="I24" s="210"/>
      <c r="J24" s="209"/>
    </row>
    <row r="25" spans="1:11">
      <c r="A25" s="106" t="s">
        <v>3208</v>
      </c>
      <c r="B25" s="106" t="s">
        <v>3209</v>
      </c>
      <c r="C25" s="212" t="s">
        <v>2947</v>
      </c>
      <c r="D25" s="212"/>
      <c r="E25" s="208">
        <v>43829</v>
      </c>
      <c r="F25" s="209"/>
      <c r="H25" s="106">
        <v>82</v>
      </c>
      <c r="I25" s="210"/>
      <c r="J25" s="209"/>
    </row>
    <row r="26" spans="1:11">
      <c r="A26" s="106" t="s">
        <v>2346</v>
      </c>
      <c r="B26" s="106" t="s">
        <v>3210</v>
      </c>
      <c r="C26" s="106" t="s">
        <v>2925</v>
      </c>
      <c r="E26" s="208">
        <v>43829</v>
      </c>
      <c r="F26" s="209"/>
      <c r="H26" s="106" t="s">
        <v>4731</v>
      </c>
      <c r="I26" s="210">
        <v>8</v>
      </c>
      <c r="J26" s="209"/>
    </row>
    <row r="27" spans="1:11">
      <c r="A27" s="106" t="s">
        <v>3211</v>
      </c>
      <c r="C27" s="106" t="s">
        <v>3212</v>
      </c>
      <c r="E27" s="208">
        <v>43829</v>
      </c>
      <c r="F27" s="209"/>
      <c r="H27" s="106">
        <v>264</v>
      </c>
      <c r="I27" s="210"/>
      <c r="J27" s="209"/>
    </row>
    <row r="28" spans="1:11">
      <c r="A28" s="106" t="s">
        <v>3213</v>
      </c>
      <c r="B28" s="106" t="s">
        <v>3214</v>
      </c>
      <c r="C28" s="106" t="s">
        <v>3215</v>
      </c>
      <c r="E28" s="208">
        <v>43829</v>
      </c>
      <c r="F28" s="209"/>
      <c r="H28" s="106">
        <v>275</v>
      </c>
      <c r="I28" s="210"/>
      <c r="J28" s="209"/>
    </row>
    <row r="29" spans="1:11">
      <c r="A29" s="106" t="s">
        <v>3216</v>
      </c>
      <c r="B29" s="106" t="s">
        <v>3217</v>
      </c>
      <c r="C29" s="106" t="s">
        <v>3218</v>
      </c>
      <c r="E29" s="208">
        <v>43829</v>
      </c>
      <c r="F29" s="209" t="s">
        <v>2673</v>
      </c>
      <c r="H29" s="106">
        <v>731</v>
      </c>
      <c r="I29" s="210"/>
      <c r="J29" s="209"/>
    </row>
    <row r="30" spans="1:11">
      <c r="A30" s="106" t="s">
        <v>3134</v>
      </c>
      <c r="B30" s="106" t="s">
        <v>3133</v>
      </c>
      <c r="C30" s="106" t="s">
        <v>3922</v>
      </c>
      <c r="E30" s="208"/>
      <c r="F30" s="209"/>
      <c r="H30" s="106">
        <v>304</v>
      </c>
      <c r="I30" s="210"/>
      <c r="J30" s="209"/>
    </row>
    <row r="31" spans="1:11">
      <c r="A31" s="106" t="s">
        <v>2597</v>
      </c>
      <c r="C31" s="211" t="s">
        <v>2602</v>
      </c>
      <c r="D31" s="211"/>
      <c r="E31" s="209">
        <v>43828</v>
      </c>
      <c r="F31" s="209" t="s">
        <v>2231</v>
      </c>
      <c r="I31" s="210">
        <v>9</v>
      </c>
      <c r="J31" s="209"/>
    </row>
    <row r="32" spans="1:11">
      <c r="A32" s="106" t="s">
        <v>3219</v>
      </c>
      <c r="B32" s="106" t="s">
        <v>3220</v>
      </c>
      <c r="C32" s="106" t="s">
        <v>2782</v>
      </c>
      <c r="E32" s="209">
        <v>43828</v>
      </c>
      <c r="F32" s="209"/>
      <c r="H32" s="106" t="s">
        <v>4753</v>
      </c>
      <c r="I32" s="210"/>
      <c r="J32" s="209"/>
    </row>
    <row r="33" spans="1:10">
      <c r="A33" s="106" t="s">
        <v>372</v>
      </c>
      <c r="B33" s="106" t="s">
        <v>371</v>
      </c>
      <c r="C33" s="106" t="s">
        <v>373</v>
      </c>
      <c r="H33" s="106">
        <v>597</v>
      </c>
    </row>
    <row r="34" spans="1:10">
      <c r="A34" s="106" t="s">
        <v>372</v>
      </c>
      <c r="B34" s="106" t="s">
        <v>374</v>
      </c>
      <c r="C34" s="106" t="s">
        <v>373</v>
      </c>
      <c r="H34" s="106" t="s">
        <v>4753</v>
      </c>
    </row>
    <row r="35" spans="1:10">
      <c r="A35" s="106" t="s">
        <v>2658</v>
      </c>
      <c r="B35" s="106" t="s">
        <v>3221</v>
      </c>
      <c r="C35" s="106" t="s">
        <v>2867</v>
      </c>
      <c r="E35" s="209">
        <v>43828</v>
      </c>
      <c r="F35" s="209"/>
      <c r="H35" s="106">
        <v>465</v>
      </c>
      <c r="I35" s="210"/>
      <c r="J35" s="209"/>
    </row>
    <row r="36" spans="1:10">
      <c r="A36" s="106" t="s">
        <v>3222</v>
      </c>
      <c r="C36" s="106" t="s">
        <v>2803</v>
      </c>
      <c r="E36" s="209">
        <v>43828</v>
      </c>
      <c r="F36" s="209"/>
      <c r="H36" s="106">
        <v>574</v>
      </c>
      <c r="I36" s="210"/>
      <c r="J36" s="209"/>
    </row>
    <row r="37" spans="1:10">
      <c r="A37" s="106" t="s">
        <v>3222</v>
      </c>
      <c r="B37" s="106" t="s">
        <v>3223</v>
      </c>
      <c r="C37" s="106" t="s">
        <v>3002</v>
      </c>
      <c r="E37" s="208">
        <v>43829</v>
      </c>
      <c r="F37" s="209"/>
      <c r="H37" s="106">
        <v>165</v>
      </c>
      <c r="I37" s="210"/>
      <c r="J37" s="209"/>
    </row>
    <row r="38" spans="1:10">
      <c r="A38" s="106" t="s">
        <v>3222</v>
      </c>
      <c r="B38" s="106" t="s">
        <v>3224</v>
      </c>
      <c r="C38" s="106" t="s">
        <v>3011</v>
      </c>
      <c r="E38" s="208">
        <v>43829</v>
      </c>
      <c r="F38" s="209"/>
      <c r="H38" s="106">
        <v>175</v>
      </c>
      <c r="I38" s="210"/>
      <c r="J38" s="209"/>
    </row>
    <row r="39" spans="1:10">
      <c r="A39" s="106" t="s">
        <v>3222</v>
      </c>
      <c r="B39" s="106" t="s">
        <v>3225</v>
      </c>
      <c r="C39" s="106" t="s">
        <v>3045</v>
      </c>
      <c r="E39" s="208">
        <v>43829</v>
      </c>
      <c r="F39" s="209"/>
      <c r="H39" s="106">
        <v>214</v>
      </c>
      <c r="I39" s="210"/>
      <c r="J39" s="209"/>
    </row>
    <row r="40" spans="1:10">
      <c r="A40" s="106" t="s">
        <v>3222</v>
      </c>
      <c r="B40" s="106" t="s">
        <v>2308</v>
      </c>
      <c r="C40" s="106" t="s">
        <v>3226</v>
      </c>
      <c r="E40" s="208">
        <v>43829</v>
      </c>
      <c r="F40" s="209"/>
      <c r="H40" s="106" t="s">
        <v>4742</v>
      </c>
      <c r="I40" s="210"/>
      <c r="J40" s="209"/>
    </row>
    <row r="41" spans="1:10">
      <c r="A41" s="106" t="s">
        <v>3222</v>
      </c>
      <c r="B41" s="106" t="s">
        <v>3227</v>
      </c>
      <c r="C41" s="106" t="s">
        <v>3228</v>
      </c>
      <c r="E41" s="208">
        <v>43829</v>
      </c>
      <c r="F41" s="209"/>
      <c r="H41" s="106">
        <v>582</v>
      </c>
      <c r="I41" s="210"/>
      <c r="J41" s="209"/>
    </row>
    <row r="42" spans="1:10">
      <c r="A42" s="106" t="s">
        <v>3222</v>
      </c>
      <c r="B42" s="106" t="s">
        <v>3229</v>
      </c>
      <c r="C42" s="106" t="s">
        <v>3230</v>
      </c>
      <c r="E42" s="208">
        <v>43829</v>
      </c>
      <c r="F42" s="209"/>
      <c r="H42" s="106">
        <v>691</v>
      </c>
      <c r="I42" s="210"/>
      <c r="J42" s="209"/>
    </row>
    <row r="43" spans="1:10">
      <c r="A43" s="106" t="s">
        <v>2307</v>
      </c>
      <c r="B43" s="106" t="s">
        <v>3224</v>
      </c>
      <c r="C43" s="106" t="s">
        <v>3012</v>
      </c>
      <c r="E43" s="208">
        <v>43829</v>
      </c>
      <c r="F43" s="209"/>
      <c r="H43" s="106">
        <v>176</v>
      </c>
      <c r="I43" s="210"/>
      <c r="J43" s="209"/>
    </row>
    <row r="44" spans="1:10">
      <c r="A44" s="106" t="s">
        <v>2307</v>
      </c>
      <c r="B44" s="106" t="s">
        <v>3231</v>
      </c>
      <c r="C44" s="106" t="s">
        <v>3015</v>
      </c>
      <c r="E44" s="208">
        <v>43829</v>
      </c>
      <c r="F44" s="209"/>
      <c r="H44" s="106">
        <v>180</v>
      </c>
      <c r="I44" s="210"/>
      <c r="J44" s="209"/>
    </row>
    <row r="45" spans="1:10">
      <c r="A45" s="106" t="s">
        <v>3232</v>
      </c>
      <c r="B45" s="106" t="s">
        <v>3233</v>
      </c>
      <c r="C45" s="106" t="s">
        <v>3234</v>
      </c>
      <c r="E45" s="208">
        <v>43829</v>
      </c>
      <c r="F45" s="209"/>
      <c r="H45" s="106" t="s">
        <v>4729</v>
      </c>
      <c r="I45" s="210"/>
      <c r="J45" s="209"/>
    </row>
    <row r="46" spans="1:10">
      <c r="A46" s="106" t="s">
        <v>3099</v>
      </c>
      <c r="B46" s="106" t="s">
        <v>3100</v>
      </c>
      <c r="C46" s="106" t="s">
        <v>3235</v>
      </c>
      <c r="E46" s="208">
        <v>43829</v>
      </c>
      <c r="F46" s="209"/>
      <c r="H46" s="106" t="s">
        <v>4738</v>
      </c>
      <c r="I46" s="210"/>
      <c r="J46" s="209"/>
    </row>
    <row r="47" spans="1:10">
      <c r="A47" s="106" t="s">
        <v>3236</v>
      </c>
      <c r="B47" s="106" t="s">
        <v>3237</v>
      </c>
      <c r="C47" s="106" t="s">
        <v>3238</v>
      </c>
      <c r="E47" s="208">
        <v>43829</v>
      </c>
      <c r="F47" s="209"/>
      <c r="H47" s="106">
        <v>300</v>
      </c>
      <c r="I47" s="210"/>
      <c r="J47" s="209"/>
    </row>
    <row r="48" spans="1:10">
      <c r="A48" s="106" t="s">
        <v>3239</v>
      </c>
      <c r="B48" s="106" t="s">
        <v>3240</v>
      </c>
      <c r="C48" s="106" t="s">
        <v>2886</v>
      </c>
      <c r="E48" s="208">
        <v>43829</v>
      </c>
      <c r="F48" s="209"/>
      <c r="H48" s="106" t="s">
        <v>3935</v>
      </c>
      <c r="I48" s="210"/>
      <c r="J48" s="209"/>
    </row>
    <row r="49" spans="1:11">
      <c r="A49" s="106" t="s">
        <v>3953</v>
      </c>
      <c r="C49" s="106" t="s">
        <v>3954</v>
      </c>
      <c r="E49" s="208"/>
      <c r="F49" s="209"/>
      <c r="I49" s="210">
        <v>13</v>
      </c>
      <c r="J49" s="209"/>
    </row>
    <row r="50" spans="1:11">
      <c r="A50" s="106" t="s">
        <v>3241</v>
      </c>
      <c r="B50" s="106" t="s">
        <v>3242</v>
      </c>
      <c r="C50" s="106" t="s">
        <v>3243</v>
      </c>
      <c r="E50" s="208">
        <v>43829</v>
      </c>
      <c r="F50" s="209"/>
      <c r="H50" s="106">
        <v>473</v>
      </c>
      <c r="I50" s="210"/>
      <c r="J50" s="209"/>
    </row>
    <row r="51" spans="1:11">
      <c r="A51" s="106" t="s">
        <v>3241</v>
      </c>
      <c r="C51" s="106" t="s">
        <v>3948</v>
      </c>
      <c r="E51" s="208"/>
      <c r="F51" s="209"/>
      <c r="I51" s="210">
        <v>14</v>
      </c>
      <c r="J51" s="209"/>
    </row>
    <row r="52" spans="1:11">
      <c r="A52" s="106" t="s">
        <v>3244</v>
      </c>
      <c r="B52" s="106" t="s">
        <v>3245</v>
      </c>
      <c r="C52" s="106" t="s">
        <v>2887</v>
      </c>
      <c r="E52" s="208">
        <v>43829</v>
      </c>
      <c r="F52" s="209"/>
      <c r="H52" s="106">
        <v>8</v>
      </c>
      <c r="I52" s="210"/>
      <c r="J52" s="209"/>
    </row>
    <row r="53" spans="1:11">
      <c r="A53" s="106" t="s">
        <v>3246</v>
      </c>
      <c r="B53" s="106" t="s">
        <v>3247</v>
      </c>
      <c r="C53" s="106" t="s">
        <v>3248</v>
      </c>
      <c r="E53" s="208">
        <v>43829</v>
      </c>
      <c r="F53" s="209"/>
      <c r="H53" s="106">
        <v>342</v>
      </c>
      <c r="I53" s="210"/>
      <c r="J53" s="209"/>
    </row>
    <row r="54" spans="1:11">
      <c r="A54" s="106" t="s">
        <v>3949</v>
      </c>
      <c r="C54" s="106" t="s">
        <v>3950</v>
      </c>
      <c r="E54" s="208"/>
      <c r="F54" s="209"/>
      <c r="I54" s="210">
        <v>15</v>
      </c>
      <c r="J54" s="209"/>
    </row>
    <row r="55" spans="1:11">
      <c r="A55" s="106" t="s">
        <v>2541</v>
      </c>
      <c r="B55" s="106" t="s">
        <v>3249</v>
      </c>
      <c r="C55" s="106" t="s">
        <v>2875</v>
      </c>
      <c r="E55" s="209">
        <v>43828</v>
      </c>
      <c r="F55" s="209"/>
      <c r="H55" s="106">
        <v>100</v>
      </c>
      <c r="I55" s="210"/>
      <c r="J55" s="209"/>
    </row>
    <row r="56" spans="1:11">
      <c r="A56" s="106" t="s">
        <v>2541</v>
      </c>
      <c r="B56" s="106" t="s">
        <v>3249</v>
      </c>
      <c r="C56" s="106" t="s">
        <v>2954</v>
      </c>
      <c r="E56" s="208">
        <v>43829</v>
      </c>
      <c r="F56" s="209"/>
      <c r="H56" s="106">
        <v>92</v>
      </c>
      <c r="I56" s="210"/>
      <c r="J56" s="209"/>
    </row>
    <row r="57" spans="1:11">
      <c r="A57" s="106" t="s">
        <v>3250</v>
      </c>
      <c r="B57" s="106" t="s">
        <v>2535</v>
      </c>
      <c r="C57" s="106" t="s">
        <v>2893</v>
      </c>
      <c r="E57" s="208">
        <v>43829</v>
      </c>
      <c r="F57" s="209"/>
      <c r="H57" s="106">
        <v>18</v>
      </c>
      <c r="I57" s="210"/>
      <c r="J57" s="209"/>
    </row>
    <row r="58" spans="1:11">
      <c r="A58" s="106" t="s">
        <v>3251</v>
      </c>
      <c r="B58" s="106" t="s">
        <v>3252</v>
      </c>
      <c r="C58" s="106" t="s">
        <v>3253</v>
      </c>
      <c r="E58" s="208">
        <v>43829</v>
      </c>
      <c r="F58" s="209"/>
      <c r="H58" s="106">
        <v>372</v>
      </c>
      <c r="I58" s="210"/>
      <c r="J58" s="209"/>
    </row>
    <row r="59" spans="1:11">
      <c r="A59" s="106" t="s">
        <v>3254</v>
      </c>
      <c r="B59" s="106" t="s">
        <v>3255</v>
      </c>
      <c r="C59" s="106" t="s">
        <v>3256</v>
      </c>
      <c r="E59" s="208">
        <v>43829</v>
      </c>
      <c r="F59" s="209"/>
      <c r="H59" s="106" t="s">
        <v>4754</v>
      </c>
      <c r="I59" s="210"/>
      <c r="J59" s="209"/>
      <c r="K59" s="106" t="s">
        <v>2673</v>
      </c>
    </row>
    <row r="60" spans="1:11">
      <c r="A60" s="106" t="s">
        <v>3254</v>
      </c>
      <c r="B60" s="106" t="s">
        <v>3923</v>
      </c>
      <c r="C60" s="106" t="s">
        <v>3101</v>
      </c>
      <c r="E60" s="208"/>
      <c r="F60" s="209"/>
      <c r="H60" s="106">
        <v>414</v>
      </c>
      <c r="I60" s="210"/>
      <c r="J60" s="209"/>
    </row>
    <row r="61" spans="1:11">
      <c r="A61" s="213" t="s">
        <v>3257</v>
      </c>
      <c r="C61" s="211" t="s">
        <v>2715</v>
      </c>
      <c r="D61" s="211"/>
      <c r="E61" s="208">
        <v>43825</v>
      </c>
      <c r="F61" s="209" t="s">
        <v>2231</v>
      </c>
      <c r="I61" s="210">
        <v>16</v>
      </c>
      <c r="K61" s="106" t="s">
        <v>2664</v>
      </c>
    </row>
    <row r="62" spans="1:11">
      <c r="A62" s="106" t="s">
        <v>3257</v>
      </c>
      <c r="B62" s="106" t="s">
        <v>3258</v>
      </c>
      <c r="C62" s="106" t="s">
        <v>2905</v>
      </c>
      <c r="E62" s="208">
        <v>43829</v>
      </c>
      <c r="F62" s="209"/>
      <c r="H62" s="106">
        <v>33</v>
      </c>
      <c r="I62" s="210"/>
      <c r="J62" s="209"/>
    </row>
    <row r="63" spans="1:11">
      <c r="A63" s="106" t="s">
        <v>2319</v>
      </c>
      <c r="B63" s="106" t="s">
        <v>2324</v>
      </c>
      <c r="C63" s="106" t="s">
        <v>2871</v>
      </c>
      <c r="E63" s="209">
        <v>43828</v>
      </c>
      <c r="F63" s="209"/>
      <c r="H63" s="106">
        <v>733</v>
      </c>
      <c r="I63" s="210"/>
      <c r="J63" s="209"/>
    </row>
    <row r="64" spans="1:11">
      <c r="A64" s="106" t="s">
        <v>3259</v>
      </c>
      <c r="B64" s="106" t="s">
        <v>2311</v>
      </c>
      <c r="C64" s="106" t="s">
        <v>2869</v>
      </c>
      <c r="E64" s="209">
        <v>43828</v>
      </c>
      <c r="F64" s="209"/>
      <c r="H64" s="106" t="s">
        <v>4761</v>
      </c>
      <c r="I64" s="210"/>
      <c r="J64" s="209"/>
    </row>
    <row r="65" spans="1:11">
      <c r="A65" s="106" t="s">
        <v>3260</v>
      </c>
      <c r="B65" s="106" t="s">
        <v>3261</v>
      </c>
      <c r="C65" s="106" t="s">
        <v>3262</v>
      </c>
      <c r="E65" s="208">
        <v>43829</v>
      </c>
      <c r="F65" s="209"/>
      <c r="H65" s="106">
        <v>618</v>
      </c>
      <c r="I65" s="210"/>
      <c r="J65" s="209"/>
    </row>
    <row r="66" spans="1:11">
      <c r="A66" s="106" t="s">
        <v>3263</v>
      </c>
      <c r="B66" s="106" t="s">
        <v>3264</v>
      </c>
      <c r="C66" s="106" t="s">
        <v>2901</v>
      </c>
      <c r="E66" s="208">
        <v>43829</v>
      </c>
      <c r="F66" s="209"/>
      <c r="H66" s="106">
        <v>27</v>
      </c>
      <c r="I66" s="210"/>
      <c r="J66" s="209"/>
    </row>
    <row r="67" spans="1:11">
      <c r="A67" s="106" t="s">
        <v>3265</v>
      </c>
      <c r="B67" s="106" t="s">
        <v>3266</v>
      </c>
      <c r="C67" s="106" t="s">
        <v>2997</v>
      </c>
      <c r="E67" s="208">
        <v>43829</v>
      </c>
      <c r="F67" s="209"/>
      <c r="H67" s="106">
        <v>154</v>
      </c>
      <c r="I67" s="210"/>
      <c r="J67" s="209"/>
    </row>
    <row r="68" spans="1:11">
      <c r="A68" s="106" t="s">
        <v>3267</v>
      </c>
      <c r="B68" s="106" t="s">
        <v>3268</v>
      </c>
      <c r="C68" s="106" t="s">
        <v>2847</v>
      </c>
      <c r="E68" s="209">
        <v>43828</v>
      </c>
      <c r="F68" s="209"/>
      <c r="H68" s="106">
        <v>466</v>
      </c>
      <c r="I68" s="210"/>
      <c r="J68" s="209"/>
    </row>
    <row r="69" spans="1:11">
      <c r="A69" s="106" t="s">
        <v>3269</v>
      </c>
      <c r="B69" s="106" t="s">
        <v>3270</v>
      </c>
      <c r="C69" s="106" t="s">
        <v>3271</v>
      </c>
      <c r="E69" s="208">
        <v>43829</v>
      </c>
      <c r="F69" s="209"/>
      <c r="H69" s="106">
        <v>282</v>
      </c>
      <c r="I69" s="210"/>
      <c r="J69" s="209"/>
    </row>
    <row r="70" spans="1:11">
      <c r="A70" s="106" t="s">
        <v>3269</v>
      </c>
      <c r="B70" s="106" t="s">
        <v>3272</v>
      </c>
      <c r="C70" s="106" t="s">
        <v>3273</v>
      </c>
      <c r="E70" s="208">
        <v>43829</v>
      </c>
      <c r="F70" s="209"/>
      <c r="H70" s="106">
        <v>322</v>
      </c>
      <c r="I70" s="210"/>
      <c r="J70" s="209"/>
    </row>
    <row r="71" spans="1:11">
      <c r="A71" s="106" t="s">
        <v>3269</v>
      </c>
      <c r="B71" s="106" t="s">
        <v>3274</v>
      </c>
      <c r="C71" s="106" t="s">
        <v>3275</v>
      </c>
      <c r="E71" s="208">
        <v>43829</v>
      </c>
      <c r="F71" s="209"/>
      <c r="H71" s="106">
        <v>545</v>
      </c>
      <c r="I71" s="210"/>
      <c r="J71" s="209"/>
    </row>
    <row r="72" spans="1:11">
      <c r="A72" s="106" t="s">
        <v>3269</v>
      </c>
      <c r="B72" s="106" t="s">
        <v>3276</v>
      </c>
      <c r="C72" s="106" t="s">
        <v>3277</v>
      </c>
      <c r="E72" s="208">
        <v>43829</v>
      </c>
      <c r="F72" s="209"/>
      <c r="H72" s="106">
        <v>660</v>
      </c>
      <c r="I72" s="210"/>
      <c r="J72" s="209"/>
    </row>
    <row r="73" spans="1:11">
      <c r="A73" s="106" t="s">
        <v>2633</v>
      </c>
      <c r="B73" s="106" t="s">
        <v>2634</v>
      </c>
      <c r="C73" s="211" t="s">
        <v>2388</v>
      </c>
      <c r="D73" s="211"/>
      <c r="E73" s="209">
        <v>43828</v>
      </c>
      <c r="F73" s="209"/>
      <c r="H73" s="106">
        <v>17</v>
      </c>
      <c r="I73" s="210"/>
      <c r="J73" s="209"/>
    </row>
    <row r="74" spans="1:11">
      <c r="A74" s="106" t="s">
        <v>3278</v>
      </c>
      <c r="B74" s="106" t="s">
        <v>3279</v>
      </c>
      <c r="C74" s="106" t="s">
        <v>3280</v>
      </c>
      <c r="E74" s="208">
        <v>43829</v>
      </c>
      <c r="F74" s="209" t="s">
        <v>2673</v>
      </c>
      <c r="H74" s="106">
        <v>561</v>
      </c>
      <c r="I74" s="210"/>
      <c r="J74" s="209"/>
    </row>
    <row r="75" spans="1:11">
      <c r="A75" s="106" t="s">
        <v>2347</v>
      </c>
      <c r="B75" s="106" t="s">
        <v>2674</v>
      </c>
      <c r="C75" s="211" t="s">
        <v>2675</v>
      </c>
      <c r="D75" s="211"/>
      <c r="E75" s="209">
        <v>43828</v>
      </c>
      <c r="F75" s="209"/>
      <c r="H75" s="106">
        <v>179</v>
      </c>
      <c r="I75" s="210"/>
      <c r="J75" s="209"/>
      <c r="K75" s="106" t="s">
        <v>2673</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2664</v>
      </c>
    </row>
    <row r="78" spans="1:11">
      <c r="A78" s="214" t="s">
        <v>2550</v>
      </c>
      <c r="B78" s="214"/>
      <c r="C78" s="106" t="s">
        <v>2549</v>
      </c>
      <c r="E78" s="209">
        <v>43828</v>
      </c>
      <c r="F78" s="209"/>
      <c r="I78" s="210">
        <v>19</v>
      </c>
      <c r="J78" s="209"/>
    </row>
    <row r="79" spans="1:11">
      <c r="A79" s="106" t="s">
        <v>3281</v>
      </c>
      <c r="B79" s="106" t="s">
        <v>3282</v>
      </c>
      <c r="C79" s="106" t="s">
        <v>3283</v>
      </c>
      <c r="E79" s="208">
        <v>43829</v>
      </c>
      <c r="F79" s="209"/>
      <c r="H79" s="106">
        <v>417</v>
      </c>
      <c r="I79" s="210"/>
      <c r="J79" s="209"/>
    </row>
    <row r="80" spans="1:11">
      <c r="A80" s="106" t="s">
        <v>3284</v>
      </c>
      <c r="B80" s="106" t="s">
        <v>2429</v>
      </c>
      <c r="C80" s="106" t="s">
        <v>3285</v>
      </c>
      <c r="E80" s="208">
        <v>43829</v>
      </c>
      <c r="F80" s="209"/>
      <c r="H80" s="106">
        <v>600</v>
      </c>
      <c r="I80" s="210"/>
      <c r="J80" s="209"/>
    </row>
    <row r="81" spans="1:10">
      <c r="A81" s="106" t="s">
        <v>3286</v>
      </c>
      <c r="B81" s="106" t="s">
        <v>2428</v>
      </c>
      <c r="C81" s="106" t="s">
        <v>3287</v>
      </c>
      <c r="E81" s="208">
        <v>43829</v>
      </c>
      <c r="F81" s="209"/>
      <c r="H81" s="106">
        <v>415</v>
      </c>
      <c r="I81" s="210"/>
      <c r="J81" s="209"/>
    </row>
    <row r="82" spans="1:10">
      <c r="A82" s="106" t="s">
        <v>3087</v>
      </c>
      <c r="B82" s="106" t="s">
        <v>3288</v>
      </c>
      <c r="C82" s="106" t="s">
        <v>2775</v>
      </c>
      <c r="E82" s="209">
        <v>43828</v>
      </c>
      <c r="F82" s="209"/>
      <c r="H82" s="106">
        <v>712</v>
      </c>
      <c r="I82" s="210"/>
      <c r="J82" s="209"/>
    </row>
    <row r="83" spans="1:10">
      <c r="A83" s="106" t="s">
        <v>3087</v>
      </c>
      <c r="B83" s="106" t="s">
        <v>3289</v>
      </c>
      <c r="C83" s="106" t="s">
        <v>3049</v>
      </c>
      <c r="E83" s="208">
        <v>43829</v>
      </c>
      <c r="F83" s="209"/>
      <c r="H83" s="106">
        <v>218</v>
      </c>
      <c r="I83" s="210"/>
      <c r="J83" s="209"/>
    </row>
    <row r="84" spans="1:10">
      <c r="A84" s="106" t="s">
        <v>3087</v>
      </c>
      <c r="B84" s="106" t="s">
        <v>3088</v>
      </c>
      <c r="C84" s="106" t="s">
        <v>3290</v>
      </c>
      <c r="E84" s="208">
        <v>43829</v>
      </c>
      <c r="F84" s="209"/>
      <c r="H84" s="106" t="s">
        <v>4745</v>
      </c>
      <c r="I84" s="210"/>
      <c r="J84" s="209"/>
    </row>
    <row r="85" spans="1:10">
      <c r="A85" s="106" t="s">
        <v>3291</v>
      </c>
      <c r="B85" s="106" t="s">
        <v>3292</v>
      </c>
      <c r="C85" s="106" t="s">
        <v>3293</v>
      </c>
      <c r="E85" s="208">
        <v>43829</v>
      </c>
      <c r="F85" s="209"/>
      <c r="H85" s="106">
        <v>291</v>
      </c>
      <c r="I85" s="210"/>
      <c r="J85" s="209"/>
    </row>
    <row r="86" spans="1:10">
      <c r="A86" s="106" t="s">
        <v>3294</v>
      </c>
      <c r="B86" s="106" t="s">
        <v>3295</v>
      </c>
      <c r="C86" s="106" t="s">
        <v>3296</v>
      </c>
      <c r="E86" s="208">
        <v>43829</v>
      </c>
      <c r="F86" s="209"/>
      <c r="H86" s="106">
        <v>698</v>
      </c>
      <c r="I86" s="210"/>
      <c r="J86" s="209"/>
    </row>
    <row r="87" spans="1:10">
      <c r="A87" s="106" t="s">
        <v>2544</v>
      </c>
      <c r="B87" s="106" t="s">
        <v>3297</v>
      </c>
      <c r="C87" s="106" t="s">
        <v>2989</v>
      </c>
      <c r="E87" s="208">
        <v>43829</v>
      </c>
      <c r="F87" s="209"/>
      <c r="H87" s="106">
        <v>142</v>
      </c>
      <c r="I87" s="210"/>
      <c r="J87" s="209"/>
    </row>
    <row r="88" spans="1:10">
      <c r="A88" s="215" t="s">
        <v>2544</v>
      </c>
      <c r="B88" s="215" t="s">
        <v>3298</v>
      </c>
      <c r="C88" s="106" t="s">
        <v>3299</v>
      </c>
      <c r="E88" s="208">
        <v>43829</v>
      </c>
      <c r="F88" s="209"/>
      <c r="H88" s="106">
        <v>588</v>
      </c>
      <c r="I88" s="210"/>
      <c r="J88" s="209"/>
    </row>
    <row r="89" spans="1:10">
      <c r="A89" s="215" t="s">
        <v>3300</v>
      </c>
      <c r="B89" s="215" t="s">
        <v>3301</v>
      </c>
      <c r="C89" s="106" t="s">
        <v>2896</v>
      </c>
      <c r="E89" s="208">
        <v>43829</v>
      </c>
      <c r="F89" s="209"/>
      <c r="H89" s="106">
        <v>22</v>
      </c>
      <c r="I89" s="210"/>
      <c r="J89" s="209"/>
    </row>
    <row r="90" spans="1:10">
      <c r="A90" s="106" t="s">
        <v>3302</v>
      </c>
      <c r="B90" s="106" t="s">
        <v>3303</v>
      </c>
      <c r="C90" s="106" t="s">
        <v>3304</v>
      </c>
      <c r="E90" s="208">
        <v>43829</v>
      </c>
      <c r="F90" s="209"/>
      <c r="H90" s="106">
        <v>323</v>
      </c>
      <c r="I90" s="210"/>
      <c r="J90" s="209"/>
    </row>
    <row r="91" spans="1:10">
      <c r="A91" s="106" t="s">
        <v>3091</v>
      </c>
      <c r="B91" s="106" t="s">
        <v>3305</v>
      </c>
      <c r="C91" s="106" t="s">
        <v>3306</v>
      </c>
      <c r="E91" s="208">
        <v>43829</v>
      </c>
      <c r="F91" s="209"/>
      <c r="H91" s="106" t="s">
        <v>4749</v>
      </c>
      <c r="I91" s="210"/>
      <c r="J91" s="209"/>
    </row>
    <row r="92" spans="1:10">
      <c r="A92" s="106" t="s">
        <v>3307</v>
      </c>
      <c r="C92" s="106" t="s">
        <v>3308</v>
      </c>
      <c r="E92" s="208">
        <v>43829</v>
      </c>
      <c r="F92" s="209"/>
      <c r="H92" s="106">
        <v>256</v>
      </c>
      <c r="I92" s="210"/>
      <c r="J92" s="209"/>
    </row>
    <row r="93" spans="1:10">
      <c r="A93" s="106" t="s">
        <v>3309</v>
      </c>
      <c r="B93" s="106" t="s">
        <v>3310</v>
      </c>
      <c r="C93" s="106" t="s">
        <v>3311</v>
      </c>
      <c r="E93" s="208">
        <v>43829</v>
      </c>
      <c r="F93" s="209"/>
      <c r="H93" s="106">
        <v>331</v>
      </c>
      <c r="I93" s="210"/>
      <c r="J93" s="209"/>
    </row>
    <row r="94" spans="1:10">
      <c r="A94" s="106" t="s">
        <v>3312</v>
      </c>
      <c r="B94" s="106" t="s">
        <v>3313</v>
      </c>
      <c r="C94" s="216" t="s">
        <v>2772</v>
      </c>
      <c r="D94" s="216"/>
      <c r="E94" s="209">
        <v>43828</v>
      </c>
      <c r="F94" s="209"/>
      <c r="H94" s="106" t="s">
        <v>4739</v>
      </c>
      <c r="I94" s="210"/>
      <c r="J94" s="209"/>
    </row>
    <row r="95" spans="1:10">
      <c r="A95" s="106" t="s">
        <v>3314</v>
      </c>
      <c r="B95" s="106" t="s">
        <v>3315</v>
      </c>
      <c r="C95" s="106" t="s">
        <v>2825</v>
      </c>
      <c r="E95" s="209">
        <v>43828</v>
      </c>
      <c r="F95" s="209"/>
      <c r="H95" s="106">
        <v>648</v>
      </c>
      <c r="I95" s="210"/>
      <c r="J95" s="209"/>
    </row>
    <row r="96" spans="1:10">
      <c r="A96" s="106" t="s">
        <v>3314</v>
      </c>
      <c r="B96" s="106" t="s">
        <v>3314</v>
      </c>
      <c r="C96" s="106" t="s">
        <v>3316</v>
      </c>
      <c r="E96" s="208">
        <v>43829</v>
      </c>
      <c r="F96" s="209"/>
      <c r="H96" s="106" t="s">
        <v>4751</v>
      </c>
      <c r="I96" s="210"/>
      <c r="J96" s="209"/>
    </row>
    <row r="97" spans="1:10">
      <c r="A97" s="106" t="s">
        <v>406</v>
      </c>
      <c r="C97" s="106" t="s">
        <v>407</v>
      </c>
      <c r="H97" s="106" t="s">
        <v>4733</v>
      </c>
    </row>
    <row r="98" spans="1:10">
      <c r="A98" s="106" t="s">
        <v>2356</v>
      </c>
      <c r="C98" s="106" t="s">
        <v>2367</v>
      </c>
      <c r="E98" s="209">
        <v>43828</v>
      </c>
      <c r="F98" s="209"/>
      <c r="H98" s="106">
        <v>77</v>
      </c>
      <c r="I98" s="210"/>
      <c r="J98" s="209"/>
    </row>
    <row r="99" spans="1:10">
      <c r="A99" s="106" t="s">
        <v>2356</v>
      </c>
      <c r="B99" s="106" t="s">
        <v>3317</v>
      </c>
      <c r="C99" s="106" t="s">
        <v>2790</v>
      </c>
      <c r="E99" s="209">
        <v>43828</v>
      </c>
      <c r="F99" s="209"/>
      <c r="H99" s="106">
        <v>652</v>
      </c>
      <c r="I99" s="210"/>
      <c r="J99" s="209"/>
    </row>
    <row r="100" spans="1:10">
      <c r="A100" s="106" t="s">
        <v>404</v>
      </c>
      <c r="B100" s="106" t="s">
        <v>403</v>
      </c>
      <c r="C100" s="106" t="s">
        <v>405</v>
      </c>
      <c r="H100" s="106">
        <v>652</v>
      </c>
    </row>
    <row r="101" spans="1:10">
      <c r="A101" s="106" t="s">
        <v>3318</v>
      </c>
      <c r="B101" s="106" t="s">
        <v>3319</v>
      </c>
      <c r="C101" s="106" t="s">
        <v>3320</v>
      </c>
      <c r="E101" s="208">
        <v>43829</v>
      </c>
      <c r="F101" s="209"/>
      <c r="H101" s="106">
        <v>601</v>
      </c>
      <c r="I101" s="210"/>
      <c r="J101" s="209"/>
    </row>
    <row r="102" spans="1:10">
      <c r="A102" s="106" t="s">
        <v>2344</v>
      </c>
      <c r="C102" s="106" t="s">
        <v>2392</v>
      </c>
      <c r="E102" s="209">
        <v>43828</v>
      </c>
      <c r="F102" s="209"/>
      <c r="I102" s="210">
        <v>102</v>
      </c>
      <c r="J102" s="209"/>
    </row>
    <row r="103" spans="1:10">
      <c r="A103" s="106" t="s">
        <v>3321</v>
      </c>
      <c r="B103" s="106" t="s">
        <v>3322</v>
      </c>
      <c r="C103" s="106" t="s">
        <v>3323</v>
      </c>
      <c r="E103" s="208">
        <v>43829</v>
      </c>
      <c r="F103" s="209" t="s">
        <v>2673</v>
      </c>
      <c r="H103" s="106" t="s">
        <v>4747</v>
      </c>
      <c r="I103" s="210">
        <v>103</v>
      </c>
      <c r="J103" s="209"/>
    </row>
    <row r="104" spans="1:10">
      <c r="A104" s="106" t="s">
        <v>3324</v>
      </c>
      <c r="B104" s="106" t="s">
        <v>3325</v>
      </c>
      <c r="C104" s="106" t="s">
        <v>3034</v>
      </c>
      <c r="E104" s="208">
        <v>43829</v>
      </c>
      <c r="F104" s="209"/>
      <c r="H104" s="106">
        <v>202</v>
      </c>
      <c r="I104" s="210"/>
      <c r="J104" s="209"/>
    </row>
    <row r="105" spans="1:10">
      <c r="A105" s="106" t="s">
        <v>3326</v>
      </c>
      <c r="B105" s="106" t="s">
        <v>3327</v>
      </c>
      <c r="C105" s="106" t="s">
        <v>3328</v>
      </c>
      <c r="E105" s="208">
        <v>43829</v>
      </c>
      <c r="F105" s="209"/>
      <c r="H105" s="106">
        <v>434</v>
      </c>
      <c r="I105" s="210"/>
      <c r="J105" s="209"/>
    </row>
    <row r="106" spans="1:10">
      <c r="A106" s="106" t="s">
        <v>3329</v>
      </c>
      <c r="B106" s="106" t="s">
        <v>3330</v>
      </c>
      <c r="C106" s="211" t="s">
        <v>2771</v>
      </c>
      <c r="D106" s="211"/>
      <c r="E106" s="209">
        <v>43828</v>
      </c>
      <c r="F106" s="209"/>
      <c r="H106" s="106">
        <v>628</v>
      </c>
      <c r="I106" s="210"/>
      <c r="J106" s="209"/>
    </row>
    <row r="107" spans="1:10">
      <c r="A107" s="106" t="s">
        <v>3331</v>
      </c>
      <c r="B107" s="106" t="s">
        <v>3332</v>
      </c>
      <c r="C107" s="106" t="s">
        <v>3333</v>
      </c>
      <c r="E107" s="208">
        <v>43829</v>
      </c>
      <c r="F107" s="209"/>
      <c r="H107" s="106">
        <v>279</v>
      </c>
      <c r="I107" s="210"/>
      <c r="J107" s="209"/>
    </row>
    <row r="108" spans="1:10">
      <c r="A108" s="106" t="s">
        <v>3331</v>
      </c>
      <c r="B108" s="106" t="s">
        <v>3334</v>
      </c>
      <c r="C108" s="106" t="s">
        <v>3335</v>
      </c>
      <c r="E108" s="208">
        <v>43829</v>
      </c>
      <c r="F108" s="209"/>
      <c r="H108" s="106">
        <v>426</v>
      </c>
      <c r="I108" s="210"/>
      <c r="J108" s="209"/>
    </row>
    <row r="109" spans="1:10">
      <c r="A109" s="106" t="s">
        <v>3336</v>
      </c>
      <c r="B109" s="106" t="s">
        <v>3337</v>
      </c>
      <c r="C109" s="106" t="s">
        <v>3338</v>
      </c>
      <c r="E109" s="208">
        <v>43829</v>
      </c>
      <c r="F109" s="209"/>
      <c r="H109" s="106">
        <v>393</v>
      </c>
      <c r="I109" s="210"/>
      <c r="J109" s="209"/>
    </row>
    <row r="110" spans="1:10">
      <c r="A110" s="106" t="s">
        <v>3339</v>
      </c>
      <c r="B110" s="106" t="s">
        <v>3340</v>
      </c>
      <c r="C110" s="106" t="s">
        <v>2784</v>
      </c>
      <c r="E110" s="209">
        <v>43828</v>
      </c>
      <c r="F110" s="209"/>
      <c r="H110" s="106">
        <v>695</v>
      </c>
      <c r="I110" s="210"/>
      <c r="J110" s="209"/>
    </row>
    <row r="111" spans="1:10">
      <c r="A111" s="106" t="s">
        <v>90</v>
      </c>
      <c r="B111" s="106" t="s">
        <v>384</v>
      </c>
      <c r="C111" s="106" t="s">
        <v>385</v>
      </c>
      <c r="H111" s="106">
        <v>695</v>
      </c>
    </row>
    <row r="112" spans="1:10">
      <c r="A112" s="106" t="s">
        <v>3341</v>
      </c>
      <c r="B112" s="106" t="s">
        <v>3342</v>
      </c>
      <c r="C112" s="106" t="s">
        <v>2868</v>
      </c>
      <c r="E112" s="209">
        <v>43828</v>
      </c>
      <c r="F112" s="209"/>
      <c r="H112" s="106">
        <v>584</v>
      </c>
      <c r="I112" s="210"/>
      <c r="J112" s="209"/>
    </row>
    <row r="113" spans="1:10">
      <c r="A113" s="106" t="s">
        <v>3343</v>
      </c>
      <c r="B113" s="106" t="s">
        <v>3344</v>
      </c>
      <c r="C113" s="106" t="s">
        <v>2835</v>
      </c>
      <c r="E113" s="209">
        <v>43828</v>
      </c>
      <c r="F113" s="209"/>
      <c r="H113" s="106">
        <v>362</v>
      </c>
      <c r="I113" s="210"/>
      <c r="J113" s="209"/>
    </row>
    <row r="114" spans="1:10">
      <c r="A114" s="106" t="s">
        <v>3345</v>
      </c>
      <c r="B114" s="106" t="s">
        <v>3346</v>
      </c>
      <c r="C114" s="106" t="s">
        <v>3347</v>
      </c>
      <c r="E114" s="208">
        <v>43829</v>
      </c>
      <c r="F114" s="209"/>
      <c r="H114" s="106">
        <v>416</v>
      </c>
      <c r="I114" s="210"/>
      <c r="J114" s="209"/>
    </row>
    <row r="115" spans="1:10">
      <c r="A115" s="106" t="s">
        <v>2638</v>
      </c>
      <c r="B115" s="106" t="s">
        <v>2639</v>
      </c>
      <c r="C115" s="211" t="s">
        <v>2640</v>
      </c>
      <c r="D115" s="211"/>
      <c r="E115" s="209">
        <v>43828</v>
      </c>
      <c r="F115" s="209"/>
      <c r="H115" s="106">
        <v>289</v>
      </c>
      <c r="I115" s="210"/>
      <c r="J115" s="209"/>
    </row>
    <row r="116" spans="1:10">
      <c r="A116" s="106" t="s">
        <v>3348</v>
      </c>
      <c r="B116" s="106" t="s">
        <v>3349</v>
      </c>
      <c r="C116" s="106" t="s">
        <v>2796</v>
      </c>
      <c r="E116" s="209">
        <v>43828</v>
      </c>
      <c r="F116" s="209"/>
      <c r="H116" s="106">
        <v>735</v>
      </c>
      <c r="I116" s="210"/>
      <c r="J116" s="209"/>
    </row>
    <row r="117" spans="1:10">
      <c r="A117" s="106" t="s">
        <v>3350</v>
      </c>
      <c r="B117" s="106" t="s">
        <v>3351</v>
      </c>
      <c r="C117" s="106" t="s">
        <v>3352</v>
      </c>
      <c r="E117" s="208">
        <v>43829</v>
      </c>
      <c r="F117" s="209"/>
      <c r="H117" s="106">
        <v>302</v>
      </c>
      <c r="I117" s="210"/>
      <c r="J117" s="209"/>
    </row>
    <row r="118" spans="1:10">
      <c r="A118" s="106" t="s">
        <v>3350</v>
      </c>
      <c r="B118" s="106" t="s">
        <v>3353</v>
      </c>
      <c r="C118" s="106" t="s">
        <v>3354</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3355</v>
      </c>
      <c r="B121" s="106" t="s">
        <v>3356</v>
      </c>
      <c r="C121" s="106" t="s">
        <v>2832</v>
      </c>
      <c r="E121" s="209">
        <v>43828</v>
      </c>
      <c r="F121" s="209"/>
      <c r="H121" s="106">
        <v>108</v>
      </c>
      <c r="I121" s="210"/>
      <c r="J121" s="209"/>
    </row>
    <row r="122" spans="1:10">
      <c r="A122" s="106" t="s">
        <v>3357</v>
      </c>
      <c r="B122" s="106" t="s">
        <v>3358</v>
      </c>
      <c r="C122" s="106" t="s">
        <v>2830</v>
      </c>
      <c r="E122" s="209">
        <v>43828</v>
      </c>
      <c r="F122" s="209"/>
      <c r="H122" s="106">
        <v>285</v>
      </c>
      <c r="I122" s="210"/>
      <c r="J122" s="209"/>
    </row>
    <row r="123" spans="1:10">
      <c r="A123" s="106" t="s">
        <v>3359</v>
      </c>
      <c r="B123" s="106" t="s">
        <v>3360</v>
      </c>
      <c r="C123" s="106" t="s">
        <v>3361</v>
      </c>
      <c r="E123" s="208">
        <v>43829</v>
      </c>
      <c r="F123" s="209"/>
      <c r="H123" s="106">
        <v>333</v>
      </c>
      <c r="I123" s="210"/>
      <c r="J123" s="209"/>
    </row>
    <row r="124" spans="1:10">
      <c r="A124" s="106" t="s">
        <v>3362</v>
      </c>
      <c r="B124" s="106" t="s">
        <v>3363</v>
      </c>
      <c r="C124" s="106" t="s">
        <v>3364</v>
      </c>
      <c r="E124" s="208">
        <v>43829</v>
      </c>
      <c r="F124" s="209"/>
      <c r="H124" s="106">
        <v>427</v>
      </c>
      <c r="I124" s="210"/>
      <c r="J124" s="209"/>
    </row>
    <row r="125" spans="1:10">
      <c r="A125" s="106" t="s">
        <v>3365</v>
      </c>
      <c r="B125" s="106" t="s">
        <v>3366</v>
      </c>
      <c r="C125" s="106" t="s">
        <v>2785</v>
      </c>
      <c r="E125" s="209">
        <v>43828</v>
      </c>
      <c r="F125" s="209"/>
      <c r="H125" s="106">
        <v>155</v>
      </c>
      <c r="I125" s="210"/>
      <c r="J125" s="209"/>
    </row>
    <row r="126" spans="1:10">
      <c r="A126" s="106" t="s">
        <v>3365</v>
      </c>
      <c r="B126" s="106" t="s">
        <v>3367</v>
      </c>
      <c r="C126" s="106" t="s">
        <v>2788</v>
      </c>
      <c r="E126" s="209">
        <v>43828</v>
      </c>
      <c r="F126" s="209"/>
      <c r="H126" s="106">
        <v>410</v>
      </c>
      <c r="I126" s="210"/>
      <c r="J126" s="209"/>
    </row>
    <row r="127" spans="1:10">
      <c r="A127" s="106" t="s">
        <v>3365</v>
      </c>
      <c r="B127" s="106" t="s">
        <v>3363</v>
      </c>
      <c r="C127" s="106" t="s">
        <v>2786</v>
      </c>
      <c r="E127" s="209">
        <v>43828</v>
      </c>
      <c r="F127" s="209"/>
      <c r="H127" s="106">
        <v>428</v>
      </c>
      <c r="I127" s="210"/>
      <c r="J127" s="209"/>
    </row>
    <row r="128" spans="1:10">
      <c r="A128" s="106" t="s">
        <v>3365</v>
      </c>
      <c r="B128" s="106" t="s">
        <v>3368</v>
      </c>
      <c r="C128" s="106" t="s">
        <v>2787</v>
      </c>
      <c r="E128" s="209">
        <v>43828</v>
      </c>
      <c r="F128" s="209"/>
      <c r="H128" s="106">
        <v>577</v>
      </c>
      <c r="I128" s="210"/>
      <c r="J128" s="209"/>
    </row>
    <row r="129" spans="1:10">
      <c r="A129" s="106" t="s">
        <v>3365</v>
      </c>
      <c r="B129" s="106" t="s">
        <v>3369</v>
      </c>
      <c r="C129" s="106" t="s">
        <v>2851</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4008</v>
      </c>
      <c r="C132" s="106" t="s">
        <v>391</v>
      </c>
      <c r="H132" s="106">
        <v>577</v>
      </c>
    </row>
    <row r="133" spans="1:10">
      <c r="A133" s="106" t="s">
        <v>386</v>
      </c>
      <c r="B133" s="106" t="s">
        <v>392</v>
      </c>
      <c r="C133" s="106" t="s">
        <v>393</v>
      </c>
      <c r="H133" s="106">
        <v>410</v>
      </c>
    </row>
    <row r="134" spans="1:10">
      <c r="A134" s="106" t="s">
        <v>3370</v>
      </c>
      <c r="B134" s="106" t="s">
        <v>3366</v>
      </c>
      <c r="C134" s="106" t="s">
        <v>3371</v>
      </c>
      <c r="E134" s="208">
        <v>43829</v>
      </c>
      <c r="F134" s="209"/>
      <c r="H134" s="106">
        <v>294</v>
      </c>
      <c r="I134" s="210"/>
      <c r="J134" s="209"/>
    </row>
    <row r="135" spans="1:10">
      <c r="A135" s="106" t="s">
        <v>3372</v>
      </c>
      <c r="B135" s="106" t="s">
        <v>3373</v>
      </c>
      <c r="C135" s="106" t="s">
        <v>2995</v>
      </c>
      <c r="E135" s="208">
        <v>43829</v>
      </c>
      <c r="F135" s="209"/>
      <c r="H135" s="106">
        <v>152</v>
      </c>
      <c r="I135" s="210"/>
      <c r="J135" s="209"/>
    </row>
    <row r="136" spans="1:10">
      <c r="A136" s="106" t="s">
        <v>2374</v>
      </c>
      <c r="B136" s="106" t="s">
        <v>2376</v>
      </c>
      <c r="C136" s="106" t="s">
        <v>2780</v>
      </c>
      <c r="E136" s="209">
        <v>43828</v>
      </c>
      <c r="F136" s="209"/>
      <c r="H136" s="106">
        <v>226</v>
      </c>
      <c r="I136" s="210"/>
      <c r="J136" s="209"/>
    </row>
    <row r="137" spans="1:10">
      <c r="A137" s="215" t="s">
        <v>3374</v>
      </c>
      <c r="B137" s="215" t="s">
        <v>3375</v>
      </c>
      <c r="C137" s="106" t="s">
        <v>2781</v>
      </c>
      <c r="E137" s="209">
        <v>43828</v>
      </c>
      <c r="F137" s="209"/>
      <c r="H137" s="106">
        <v>459</v>
      </c>
      <c r="I137" s="210"/>
      <c r="J137" s="209"/>
    </row>
    <row r="138" spans="1:10">
      <c r="A138" s="106" t="s">
        <v>3374</v>
      </c>
      <c r="B138" s="106" t="s">
        <v>3376</v>
      </c>
      <c r="C138" s="106" t="s">
        <v>3058</v>
      </c>
      <c r="E138" s="208">
        <v>43829</v>
      </c>
      <c r="F138" s="209"/>
      <c r="H138" s="106">
        <v>228</v>
      </c>
      <c r="I138" s="210"/>
      <c r="J138" s="209"/>
    </row>
    <row r="139" spans="1:10">
      <c r="A139" s="106" t="s">
        <v>101</v>
      </c>
      <c r="B139" s="106" t="s">
        <v>359</v>
      </c>
      <c r="C139" s="106" t="s">
        <v>360</v>
      </c>
      <c r="H139" s="106" t="s">
        <v>4736</v>
      </c>
    </row>
    <row r="140" spans="1:10">
      <c r="A140" s="106" t="s">
        <v>101</v>
      </c>
      <c r="B140" s="106" t="s">
        <v>361</v>
      </c>
      <c r="C140" s="106" t="s">
        <v>362</v>
      </c>
      <c r="H140" s="106">
        <v>459</v>
      </c>
    </row>
    <row r="141" spans="1:10">
      <c r="A141" s="106" t="s">
        <v>3377</v>
      </c>
      <c r="B141" s="106" t="s">
        <v>3378</v>
      </c>
      <c r="C141" s="106" t="s">
        <v>3379</v>
      </c>
      <c r="E141" s="208">
        <v>43829</v>
      </c>
      <c r="F141" s="209"/>
      <c r="H141" s="106">
        <v>766</v>
      </c>
      <c r="I141" s="210"/>
      <c r="J141" s="209"/>
    </row>
    <row r="142" spans="1:10">
      <c r="A142" s="106" t="s">
        <v>3380</v>
      </c>
      <c r="B142" s="106" t="s">
        <v>3381</v>
      </c>
      <c r="C142" s="106" t="s">
        <v>3008</v>
      </c>
      <c r="E142" s="208">
        <v>43829</v>
      </c>
      <c r="F142" s="209"/>
      <c r="H142" s="106">
        <v>171</v>
      </c>
      <c r="I142" s="210"/>
      <c r="J142" s="209"/>
    </row>
    <row r="143" spans="1:10">
      <c r="A143" s="106" t="s">
        <v>3382</v>
      </c>
      <c r="B143" s="106" t="s">
        <v>3383</v>
      </c>
      <c r="C143" s="106" t="s">
        <v>3384</v>
      </c>
      <c r="E143" s="208">
        <v>43829</v>
      </c>
      <c r="F143" s="209"/>
      <c r="H143" s="106">
        <v>569</v>
      </c>
      <c r="I143" s="210"/>
      <c r="J143" s="209"/>
    </row>
    <row r="144" spans="1:10">
      <c r="A144" s="106" t="s">
        <v>3385</v>
      </c>
      <c r="B144" s="106" t="s">
        <v>3183</v>
      </c>
      <c r="C144" s="106" t="s">
        <v>3061</v>
      </c>
      <c r="E144" s="208">
        <v>43829</v>
      </c>
      <c r="F144" s="209"/>
      <c r="H144" s="106">
        <v>231</v>
      </c>
      <c r="I144" s="210"/>
      <c r="J144" s="209"/>
    </row>
    <row r="145" spans="1:11">
      <c r="A145" s="106" t="s">
        <v>3386</v>
      </c>
      <c r="B145" s="106" t="s">
        <v>3387</v>
      </c>
      <c r="C145" s="106" t="s">
        <v>3041</v>
      </c>
      <c r="E145" s="208">
        <v>43829</v>
      </c>
      <c r="F145" s="209"/>
      <c r="H145" s="106">
        <v>210</v>
      </c>
      <c r="I145" s="210"/>
      <c r="J145" s="209"/>
    </row>
    <row r="146" spans="1:11">
      <c r="A146" s="106" t="s">
        <v>3386</v>
      </c>
      <c r="B146" s="106" t="s">
        <v>3388</v>
      </c>
      <c r="C146" s="106" t="s">
        <v>3389</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3390</v>
      </c>
      <c r="B148" s="106" t="s">
        <v>3391</v>
      </c>
      <c r="C148" s="106" t="s">
        <v>2826</v>
      </c>
      <c r="E148" s="209">
        <v>43828</v>
      </c>
      <c r="F148" s="209"/>
      <c r="H148" s="106">
        <v>11</v>
      </c>
      <c r="I148" s="210"/>
      <c r="J148" s="209"/>
    </row>
    <row r="149" spans="1:11">
      <c r="A149" s="106" t="s">
        <v>3390</v>
      </c>
      <c r="B149" s="106" t="s">
        <v>3392</v>
      </c>
      <c r="C149" s="106" t="s">
        <v>2827</v>
      </c>
      <c r="E149" s="209">
        <v>43828</v>
      </c>
      <c r="F149" s="209"/>
      <c r="H149" s="106">
        <v>329</v>
      </c>
      <c r="I149" s="210"/>
      <c r="J149" s="209"/>
    </row>
    <row r="150" spans="1:11">
      <c r="A150" s="106" t="s">
        <v>3393</v>
      </c>
      <c r="B150" s="106" t="s">
        <v>3394</v>
      </c>
      <c r="C150" s="106" t="s">
        <v>2998</v>
      </c>
      <c r="E150" s="208">
        <v>43829</v>
      </c>
      <c r="F150" s="209"/>
      <c r="H150" s="106">
        <v>156</v>
      </c>
      <c r="I150" s="210"/>
      <c r="J150" s="209"/>
    </row>
    <row r="151" spans="1:11">
      <c r="A151" s="106" t="s">
        <v>3393</v>
      </c>
      <c r="B151" s="106" t="s">
        <v>3395</v>
      </c>
      <c r="C151" s="106" t="s">
        <v>3396</v>
      </c>
      <c r="E151" s="208">
        <v>43829</v>
      </c>
      <c r="F151" s="209"/>
      <c r="H151" s="106">
        <v>420</v>
      </c>
      <c r="I151" s="210"/>
      <c r="J151" s="209"/>
    </row>
    <row r="152" spans="1:11">
      <c r="A152" s="106" t="s">
        <v>3393</v>
      </c>
      <c r="B152" s="106" t="s">
        <v>3397</v>
      </c>
      <c r="C152" s="106" t="s">
        <v>3398</v>
      </c>
      <c r="E152" s="208">
        <v>43829</v>
      </c>
      <c r="F152" s="209"/>
      <c r="H152" s="106">
        <v>702</v>
      </c>
      <c r="I152" s="210"/>
      <c r="J152" s="209"/>
    </row>
    <row r="153" spans="1:11">
      <c r="A153" s="106" t="s">
        <v>3940</v>
      </c>
      <c r="C153" s="106" t="s">
        <v>3941</v>
      </c>
      <c r="E153" s="208"/>
      <c r="F153" s="209"/>
      <c r="I153" s="210">
        <v>23</v>
      </c>
      <c r="J153" s="209"/>
    </row>
    <row r="154" spans="1:11">
      <c r="A154" s="106" t="s">
        <v>3399</v>
      </c>
      <c r="B154" s="106" t="s">
        <v>3400</v>
      </c>
      <c r="C154" s="106" t="s">
        <v>3052</v>
      </c>
      <c r="D154" s="106" t="s">
        <v>3980</v>
      </c>
      <c r="E154" s="208">
        <v>43829</v>
      </c>
      <c r="F154" s="209"/>
      <c r="H154" s="106">
        <v>221</v>
      </c>
      <c r="I154" s="210"/>
      <c r="J154" s="209"/>
      <c r="K154" s="106" t="s">
        <v>2673</v>
      </c>
    </row>
    <row r="155" spans="1:11">
      <c r="A155" s="106" t="s">
        <v>3399</v>
      </c>
      <c r="C155" s="106" t="s">
        <v>3401</v>
      </c>
      <c r="D155" s="106" t="s">
        <v>2626</v>
      </c>
      <c r="E155" s="208">
        <v>43829</v>
      </c>
      <c r="F155" s="209"/>
      <c r="I155" s="210">
        <v>24</v>
      </c>
      <c r="J155" s="209"/>
    </row>
    <row r="156" spans="1:11">
      <c r="A156" s="106" t="s">
        <v>3399</v>
      </c>
      <c r="B156" s="106" t="s">
        <v>3402</v>
      </c>
      <c r="C156" s="106" t="s">
        <v>3403</v>
      </c>
      <c r="E156" s="208">
        <v>43829</v>
      </c>
      <c r="F156" s="209"/>
      <c r="H156" s="106">
        <v>711</v>
      </c>
      <c r="I156" s="210"/>
      <c r="J156" s="209"/>
    </row>
    <row r="157" spans="1:11">
      <c r="A157" s="106" t="s">
        <v>3399</v>
      </c>
      <c r="B157" s="106" t="s">
        <v>3968</v>
      </c>
      <c r="C157" s="211" t="s">
        <v>3967</v>
      </c>
      <c r="D157" s="211"/>
      <c r="E157" s="208"/>
      <c r="F157" s="209"/>
      <c r="H157" s="106">
        <v>513</v>
      </c>
      <c r="I157" s="210"/>
      <c r="J157" s="209"/>
      <c r="K157" s="106" t="s">
        <v>2673</v>
      </c>
    </row>
    <row r="158" spans="1:11">
      <c r="A158" s="106" t="s">
        <v>3399</v>
      </c>
      <c r="B158" s="106" t="s">
        <v>3975</v>
      </c>
      <c r="C158" s="211" t="s">
        <v>3976</v>
      </c>
      <c r="D158" s="211"/>
      <c r="E158" s="208"/>
      <c r="F158" s="209"/>
      <c r="H158" s="106">
        <v>181</v>
      </c>
      <c r="I158" s="210"/>
      <c r="J158" s="209"/>
    </row>
    <row r="159" spans="1:11">
      <c r="A159" s="106" t="s">
        <v>3404</v>
      </c>
      <c r="B159" s="106" t="s">
        <v>3405</v>
      </c>
      <c r="C159" s="106" t="s">
        <v>3406</v>
      </c>
      <c r="E159" s="208">
        <v>43829</v>
      </c>
      <c r="F159" s="209"/>
      <c r="H159" s="106">
        <v>674</v>
      </c>
      <c r="I159" s="210"/>
      <c r="J159" s="209"/>
    </row>
    <row r="160" spans="1:11">
      <c r="A160" s="106" t="s">
        <v>3407</v>
      </c>
      <c r="B160" s="106" t="s">
        <v>3408</v>
      </c>
      <c r="C160" s="106" t="s">
        <v>3409</v>
      </c>
      <c r="E160" s="208">
        <v>43829</v>
      </c>
      <c r="F160" s="209"/>
      <c r="H160" s="106">
        <v>668</v>
      </c>
      <c r="I160" s="210"/>
      <c r="J160" s="209"/>
    </row>
    <row r="161" spans="1:11">
      <c r="A161" s="106" t="s">
        <v>3410</v>
      </c>
      <c r="B161" s="106" t="s">
        <v>3411</v>
      </c>
      <c r="C161" s="106" t="s">
        <v>3412</v>
      </c>
      <c r="E161" s="208">
        <v>43829</v>
      </c>
      <c r="F161" s="209"/>
      <c r="H161" s="106">
        <v>534</v>
      </c>
      <c r="I161" s="210"/>
      <c r="J161" s="209"/>
    </row>
    <row r="162" spans="1:11">
      <c r="A162" s="106" t="s">
        <v>4762</v>
      </c>
      <c r="C162" s="211" t="s">
        <v>2687</v>
      </c>
      <c r="D162" s="211" t="s">
        <v>2626</v>
      </c>
      <c r="E162" s="208">
        <v>43826</v>
      </c>
      <c r="F162" s="209" t="s">
        <v>2231</v>
      </c>
      <c r="G162" s="211"/>
      <c r="H162" s="211"/>
      <c r="I162" s="210">
        <v>25</v>
      </c>
      <c r="K162" s="211" t="s">
        <v>2747</v>
      </c>
    </row>
    <row r="163" spans="1:11">
      <c r="A163" s="106" t="s">
        <v>3413</v>
      </c>
      <c r="C163" s="106" t="s">
        <v>2288</v>
      </c>
      <c r="E163" s="209">
        <v>43828</v>
      </c>
      <c r="F163" s="209"/>
      <c r="I163" s="210">
        <v>27</v>
      </c>
      <c r="J163" s="209"/>
    </row>
    <row r="164" spans="1:11">
      <c r="A164" s="106" t="s">
        <v>2359</v>
      </c>
      <c r="C164" s="211" t="s">
        <v>2284</v>
      </c>
      <c r="D164" s="211"/>
      <c r="E164" s="209">
        <v>43828</v>
      </c>
      <c r="F164" s="209"/>
      <c r="I164" s="210" t="s">
        <v>4716</v>
      </c>
      <c r="J164" s="209"/>
    </row>
    <row r="165" spans="1:11">
      <c r="A165" s="106" t="s">
        <v>2359</v>
      </c>
      <c r="B165" s="106" t="s">
        <v>3414</v>
      </c>
      <c r="C165" s="106" t="s">
        <v>3415</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2841</v>
      </c>
      <c r="E167" s="209">
        <v>43828</v>
      </c>
      <c r="F167" s="209"/>
      <c r="H167" s="106">
        <v>308</v>
      </c>
      <c r="I167" s="210"/>
      <c r="J167" s="209"/>
    </row>
    <row r="168" spans="1:11">
      <c r="A168" s="106" t="s">
        <v>2357</v>
      </c>
      <c r="B168" s="106" t="s">
        <v>3416</v>
      </c>
      <c r="C168" s="106" t="s">
        <v>2843</v>
      </c>
      <c r="E168" s="209">
        <v>43828</v>
      </c>
      <c r="F168" s="209"/>
      <c r="H168" s="106">
        <v>377</v>
      </c>
      <c r="I168" s="210"/>
      <c r="J168" s="209"/>
    </row>
    <row r="169" spans="1:11">
      <c r="A169" s="106" t="s">
        <v>2357</v>
      </c>
      <c r="B169" s="106" t="s">
        <v>3414</v>
      </c>
      <c r="C169" s="106" t="s">
        <v>2842</v>
      </c>
      <c r="E169" s="209">
        <v>43828</v>
      </c>
      <c r="F169" s="209"/>
      <c r="H169" s="106">
        <v>522</v>
      </c>
      <c r="I169" s="210"/>
      <c r="J169" s="209"/>
    </row>
    <row r="170" spans="1:11">
      <c r="A170" s="106" t="s">
        <v>2357</v>
      </c>
      <c r="B170" s="106" t="s">
        <v>2769</v>
      </c>
      <c r="C170" s="211" t="s">
        <v>2768</v>
      </c>
      <c r="D170" s="211"/>
      <c r="E170" s="209">
        <v>43828</v>
      </c>
      <c r="F170" s="209"/>
      <c r="H170" s="106">
        <v>549</v>
      </c>
      <c r="I170" s="210"/>
      <c r="J170" s="209"/>
    </row>
    <row r="171" spans="1:11">
      <c r="A171" s="106" t="s">
        <v>2357</v>
      </c>
      <c r="B171" s="106" t="s">
        <v>3117</v>
      </c>
      <c r="C171" s="106" t="s">
        <v>2844</v>
      </c>
      <c r="E171" s="209">
        <v>43828</v>
      </c>
      <c r="F171" s="209"/>
      <c r="H171" s="106">
        <v>662</v>
      </c>
      <c r="I171" s="210"/>
      <c r="J171" s="209"/>
    </row>
    <row r="172" spans="1:11">
      <c r="A172" s="106" t="s">
        <v>2357</v>
      </c>
      <c r="B172" s="106" t="s">
        <v>3417</v>
      </c>
      <c r="C172" s="106" t="s">
        <v>3053</v>
      </c>
      <c r="E172" s="208">
        <v>43829</v>
      </c>
      <c r="F172" s="209"/>
      <c r="H172" s="106">
        <v>222</v>
      </c>
      <c r="I172" s="210"/>
      <c r="J172" s="209"/>
    </row>
    <row r="173" spans="1:11">
      <c r="A173" s="106" t="s">
        <v>2357</v>
      </c>
      <c r="B173" s="106" t="s">
        <v>3418</v>
      </c>
      <c r="C173" s="106" t="s">
        <v>3419</v>
      </c>
      <c r="E173" s="208">
        <v>43829</v>
      </c>
      <c r="F173" s="209"/>
      <c r="H173" s="106">
        <v>359</v>
      </c>
      <c r="I173" s="210"/>
      <c r="J173" s="209"/>
    </row>
    <row r="174" spans="1:11">
      <c r="A174" s="106" t="s">
        <v>2357</v>
      </c>
      <c r="B174" s="106" t="s">
        <v>3420</v>
      </c>
      <c r="C174" s="106" t="s">
        <v>3421</v>
      </c>
      <c r="E174" s="208">
        <v>43829</v>
      </c>
      <c r="F174" s="209"/>
      <c r="H174" s="106">
        <v>481</v>
      </c>
      <c r="I174" s="210"/>
      <c r="J174" s="209"/>
    </row>
    <row r="175" spans="1:11">
      <c r="A175" s="106" t="s">
        <v>2357</v>
      </c>
      <c r="B175" s="106" t="s">
        <v>3422</v>
      </c>
      <c r="C175" s="106" t="s">
        <v>3423</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3424</v>
      </c>
      <c r="C177" s="106" t="s">
        <v>3425</v>
      </c>
      <c r="E177" s="208">
        <v>43829</v>
      </c>
      <c r="F177" s="209"/>
      <c r="H177" s="106">
        <v>745</v>
      </c>
      <c r="I177" s="210"/>
      <c r="J177" s="209"/>
    </row>
    <row r="178" spans="1:11">
      <c r="A178" s="106" t="s">
        <v>2585</v>
      </c>
      <c r="C178" s="211" t="s">
        <v>2590</v>
      </c>
      <c r="D178" s="106" t="s">
        <v>2626</v>
      </c>
      <c r="E178" s="209">
        <v>43828</v>
      </c>
      <c r="F178" s="209"/>
      <c r="I178" s="210">
        <v>30</v>
      </c>
      <c r="J178" s="209"/>
      <c r="K178" s="106" t="s">
        <v>2664</v>
      </c>
    </row>
    <row r="179" spans="1:11">
      <c r="A179" s="106" t="s">
        <v>3426</v>
      </c>
      <c r="B179" s="106" t="s">
        <v>3427</v>
      </c>
      <c r="C179" s="106" t="s">
        <v>3428</v>
      </c>
      <c r="E179" s="208">
        <v>43829</v>
      </c>
      <c r="F179" s="209" t="s">
        <v>2673</v>
      </c>
      <c r="H179" s="106">
        <v>626</v>
      </c>
      <c r="I179" s="210"/>
      <c r="J179" s="209"/>
    </row>
    <row r="180" spans="1:11">
      <c r="A180" s="106" t="s">
        <v>3429</v>
      </c>
      <c r="B180" s="106" t="s">
        <v>3430</v>
      </c>
      <c r="C180" s="106" t="s">
        <v>3431</v>
      </c>
      <c r="E180" s="208">
        <v>43829</v>
      </c>
      <c r="F180" s="209"/>
      <c r="H180" s="106" t="s">
        <v>4750</v>
      </c>
      <c r="I180" s="210" t="s">
        <v>4722</v>
      </c>
      <c r="J180" s="209"/>
    </row>
    <row r="181" spans="1:11">
      <c r="A181" s="106" t="s">
        <v>3432</v>
      </c>
      <c r="C181" s="106" t="s">
        <v>2881</v>
      </c>
      <c r="D181" s="106" t="s">
        <v>2626</v>
      </c>
      <c r="E181" s="208">
        <v>43825</v>
      </c>
      <c r="F181" s="209" t="s">
        <v>2231</v>
      </c>
      <c r="I181" s="210">
        <v>31</v>
      </c>
    </row>
    <row r="182" spans="1:11">
      <c r="A182" s="106" t="s">
        <v>3432</v>
      </c>
      <c r="B182" s="106" t="s">
        <v>3433</v>
      </c>
      <c r="C182" s="106" t="s">
        <v>3434</v>
      </c>
      <c r="E182" s="208">
        <v>43829</v>
      </c>
      <c r="F182" s="209"/>
      <c r="H182" s="106">
        <v>444</v>
      </c>
      <c r="I182" s="210"/>
      <c r="J182" s="209"/>
    </row>
    <row r="183" spans="1:11">
      <c r="A183" s="106" t="s">
        <v>3432</v>
      </c>
      <c r="B183" s="106" t="s">
        <v>3933</v>
      </c>
      <c r="C183" s="106" t="s">
        <v>3110</v>
      </c>
      <c r="E183" s="208"/>
      <c r="F183" s="209"/>
      <c r="H183" s="106">
        <v>699</v>
      </c>
      <c r="I183" s="210"/>
      <c r="J183" s="209"/>
    </row>
    <row r="184" spans="1:11">
      <c r="A184" s="206" t="s">
        <v>3435</v>
      </c>
      <c r="B184" s="207" t="s">
        <v>2669</v>
      </c>
      <c r="C184" s="211" t="s">
        <v>2668</v>
      </c>
      <c r="D184" s="211"/>
      <c r="E184" s="208">
        <v>43825</v>
      </c>
      <c r="H184" s="106">
        <v>406</v>
      </c>
      <c r="I184" s="210"/>
    </row>
    <row r="185" spans="1:11">
      <c r="A185" s="106" t="s">
        <v>3435</v>
      </c>
      <c r="C185" s="106" t="s">
        <v>2760</v>
      </c>
      <c r="E185" s="208"/>
      <c r="F185" s="209"/>
      <c r="I185" s="210">
        <v>32</v>
      </c>
      <c r="J185" s="209"/>
    </row>
    <row r="186" spans="1:11">
      <c r="A186" s="106" t="s">
        <v>3436</v>
      </c>
      <c r="B186" s="106" t="s">
        <v>3124</v>
      </c>
      <c r="C186" s="106" t="s">
        <v>2858</v>
      </c>
      <c r="E186" s="209">
        <v>43828</v>
      </c>
      <c r="F186" s="209"/>
      <c r="H186" s="106" t="s">
        <v>4759</v>
      </c>
      <c r="I186" s="210"/>
      <c r="J186" s="209"/>
    </row>
    <row r="187" spans="1:11">
      <c r="A187" s="106" t="s">
        <v>3437</v>
      </c>
      <c r="B187" s="106" t="s">
        <v>3438</v>
      </c>
      <c r="C187" s="106" t="s">
        <v>3059</v>
      </c>
      <c r="E187" s="208">
        <v>43829</v>
      </c>
      <c r="F187" s="209"/>
      <c r="H187" s="106">
        <v>229</v>
      </c>
      <c r="I187" s="210"/>
      <c r="J187" s="209"/>
    </row>
    <row r="188" spans="1:11">
      <c r="A188" s="106" t="s">
        <v>3938</v>
      </c>
      <c r="C188" s="106" t="s">
        <v>3939</v>
      </c>
      <c r="E188" s="208"/>
      <c r="F188" s="209"/>
      <c r="I188" s="210">
        <v>101</v>
      </c>
      <c r="J188" s="209"/>
    </row>
    <row r="189" spans="1:11">
      <c r="A189" s="106" t="s">
        <v>3439</v>
      </c>
      <c r="C189" s="106" t="s">
        <v>2878</v>
      </c>
      <c r="E189" s="209">
        <v>43828</v>
      </c>
      <c r="F189" s="209"/>
      <c r="H189" s="106">
        <v>124</v>
      </c>
      <c r="I189" s="210">
        <v>107</v>
      </c>
      <c r="J189" s="209"/>
    </row>
    <row r="190" spans="1:11">
      <c r="A190" s="106" t="s">
        <v>2621</v>
      </c>
      <c r="C190" s="106" t="s">
        <v>2554</v>
      </c>
      <c r="E190" s="208"/>
      <c r="F190" s="209"/>
      <c r="I190" s="210">
        <v>34</v>
      </c>
      <c r="J190" s="209"/>
    </row>
    <row r="191" spans="1:11">
      <c r="A191" s="106" t="s">
        <v>3440</v>
      </c>
      <c r="B191" s="106" t="s">
        <v>3441</v>
      </c>
      <c r="C191" s="106" t="s">
        <v>3442</v>
      </c>
      <c r="E191" s="208">
        <v>43829</v>
      </c>
      <c r="F191" s="209"/>
      <c r="H191" s="106">
        <v>254</v>
      </c>
      <c r="I191" s="210"/>
      <c r="J191" s="209"/>
    </row>
    <row r="192" spans="1:11">
      <c r="A192" s="106" t="s">
        <v>2379</v>
      </c>
      <c r="B192" s="106" t="s">
        <v>3443</v>
      </c>
      <c r="C192" s="106" t="s">
        <v>3013</v>
      </c>
      <c r="E192" s="208">
        <v>43829</v>
      </c>
      <c r="F192" s="209"/>
      <c r="H192" s="106">
        <v>177</v>
      </c>
      <c r="I192" s="210"/>
      <c r="J192" s="209"/>
    </row>
    <row r="193" spans="1:10">
      <c r="A193" s="106" t="s">
        <v>2379</v>
      </c>
      <c r="B193" s="106" t="s">
        <v>2378</v>
      </c>
      <c r="C193" s="106" t="s">
        <v>3444</v>
      </c>
      <c r="E193" s="208">
        <v>43829</v>
      </c>
      <c r="F193" s="209"/>
      <c r="H193" s="106">
        <v>260</v>
      </c>
      <c r="I193" s="210"/>
      <c r="J193" s="209"/>
    </row>
    <row r="194" spans="1:10">
      <c r="A194" s="106" t="s">
        <v>3445</v>
      </c>
      <c r="C194" s="106" t="s">
        <v>2918</v>
      </c>
      <c r="E194" s="208">
        <v>43829</v>
      </c>
      <c r="F194" s="209"/>
      <c r="I194" s="210"/>
      <c r="J194" s="209"/>
    </row>
    <row r="195" spans="1:10">
      <c r="A195" s="106" t="s">
        <v>2630</v>
      </c>
      <c r="B195" s="106" t="s">
        <v>2631</v>
      </c>
      <c r="C195" s="211" t="s">
        <v>2632</v>
      </c>
      <c r="D195" s="211"/>
      <c r="E195" s="209">
        <v>43828</v>
      </c>
      <c r="F195" s="209"/>
      <c r="H195" s="106">
        <v>234</v>
      </c>
      <c r="I195" s="210"/>
      <c r="J195" s="209"/>
    </row>
    <row r="196" spans="1:10">
      <c r="A196" s="106" t="s">
        <v>2386</v>
      </c>
      <c r="B196" s="106" t="s">
        <v>2628</v>
      </c>
      <c r="C196" s="211" t="s">
        <v>2629</v>
      </c>
      <c r="D196" s="211"/>
      <c r="E196" s="209">
        <v>43828</v>
      </c>
      <c r="F196" s="209"/>
      <c r="H196" s="106">
        <v>287</v>
      </c>
      <c r="I196" s="210"/>
      <c r="J196" s="209"/>
    </row>
    <row r="197" spans="1:10">
      <c r="A197" s="106" t="s">
        <v>2386</v>
      </c>
      <c r="B197" s="106" t="s">
        <v>3446</v>
      </c>
      <c r="C197" s="212" t="s">
        <v>2837</v>
      </c>
      <c r="D197" s="212"/>
      <c r="E197" s="209">
        <v>43828</v>
      </c>
      <c r="F197" s="209"/>
      <c r="H197" s="106">
        <v>357</v>
      </c>
      <c r="I197" s="210"/>
      <c r="J197" s="209"/>
    </row>
    <row r="198" spans="1:10">
      <c r="A198" s="106" t="s">
        <v>2386</v>
      </c>
      <c r="B198" s="106" t="s">
        <v>3447</v>
      </c>
      <c r="C198" s="106" t="s">
        <v>3448</v>
      </c>
      <c r="E198" s="208">
        <v>43829</v>
      </c>
      <c r="F198" s="209"/>
      <c r="H198" s="106">
        <v>503</v>
      </c>
      <c r="I198" s="210"/>
      <c r="J198" s="209"/>
    </row>
    <row r="199" spans="1:10">
      <c r="A199" s="106" t="s">
        <v>3449</v>
      </c>
      <c r="B199" s="106" t="s">
        <v>3450</v>
      </c>
      <c r="C199" s="106" t="s">
        <v>3451</v>
      </c>
      <c r="E199" s="208">
        <v>43829</v>
      </c>
      <c r="F199" s="209"/>
      <c r="H199" s="106">
        <v>425</v>
      </c>
      <c r="I199" s="210"/>
      <c r="J199" s="209"/>
    </row>
    <row r="200" spans="1:10">
      <c r="A200" s="106" t="s">
        <v>3452</v>
      </c>
      <c r="B200" s="106" t="s">
        <v>3453</v>
      </c>
      <c r="C200" s="106" t="s">
        <v>2854</v>
      </c>
      <c r="E200" s="209">
        <v>43828</v>
      </c>
      <c r="F200" s="209"/>
      <c r="H200" s="106">
        <v>687</v>
      </c>
      <c r="I200" s="210"/>
      <c r="J200" s="209"/>
    </row>
    <row r="201" spans="1:10">
      <c r="A201" s="106" t="s">
        <v>3454</v>
      </c>
      <c r="B201" s="106" t="s">
        <v>3455</v>
      </c>
      <c r="C201" s="106" t="s">
        <v>2964</v>
      </c>
      <c r="E201" s="208">
        <v>43829</v>
      </c>
      <c r="F201" s="209"/>
      <c r="H201" s="106">
        <v>111</v>
      </c>
      <c r="I201" s="210"/>
      <c r="J201" s="209"/>
    </row>
    <row r="202" spans="1:10">
      <c r="A202" s="106" t="s">
        <v>3160</v>
      </c>
      <c r="B202" s="106" t="s">
        <v>3456</v>
      </c>
      <c r="C202" s="106" t="s">
        <v>3457</v>
      </c>
      <c r="E202" s="208">
        <v>43829</v>
      </c>
      <c r="F202" s="209"/>
      <c r="H202" s="106">
        <v>280</v>
      </c>
      <c r="I202" s="210"/>
      <c r="J202" s="209"/>
    </row>
    <row r="203" spans="1:10">
      <c r="A203" s="106" t="s">
        <v>3160</v>
      </c>
      <c r="B203" s="106" t="s">
        <v>3159</v>
      </c>
      <c r="C203" s="106" t="s">
        <v>3161</v>
      </c>
      <c r="E203" s="208"/>
      <c r="F203" s="209"/>
      <c r="H203" s="106">
        <v>325</v>
      </c>
      <c r="I203" s="210"/>
      <c r="J203" s="209"/>
    </row>
    <row r="204" spans="1:10">
      <c r="A204" s="106" t="s">
        <v>3458</v>
      </c>
      <c r="B204" s="106" t="s">
        <v>3159</v>
      </c>
      <c r="C204" s="216" t="s">
        <v>3085</v>
      </c>
      <c r="D204" s="216"/>
      <c r="E204" s="208">
        <v>43829</v>
      </c>
      <c r="F204" s="209"/>
      <c r="I204" s="210" t="s">
        <v>4717</v>
      </c>
      <c r="J204" s="209"/>
    </row>
    <row r="205" spans="1:10">
      <c r="A205" s="106" t="s">
        <v>3459</v>
      </c>
      <c r="B205" s="106" t="s">
        <v>3460</v>
      </c>
      <c r="C205" s="106" t="s">
        <v>2828</v>
      </c>
      <c r="E205" s="209">
        <v>43828</v>
      </c>
      <c r="F205" s="209"/>
      <c r="H205" s="106">
        <v>110</v>
      </c>
      <c r="I205" s="210"/>
      <c r="J205" s="209"/>
    </row>
    <row r="206" spans="1:10">
      <c r="A206" s="106" t="s">
        <v>3461</v>
      </c>
      <c r="B206" s="106" t="s">
        <v>3462</v>
      </c>
      <c r="C206" s="106" t="s">
        <v>2777</v>
      </c>
      <c r="E206" s="209">
        <v>43828</v>
      </c>
      <c r="F206" s="209"/>
      <c r="H206" s="106">
        <v>30</v>
      </c>
      <c r="I206" s="210"/>
      <c r="J206" s="209"/>
    </row>
    <row r="207" spans="1:10">
      <c r="A207" s="106" t="s">
        <v>3461</v>
      </c>
      <c r="B207" s="106" t="s">
        <v>3463</v>
      </c>
      <c r="C207" s="106" t="s">
        <v>2778</v>
      </c>
      <c r="E207" s="209">
        <v>43828</v>
      </c>
      <c r="F207" s="209"/>
      <c r="H207" s="106">
        <v>533</v>
      </c>
      <c r="I207" s="210"/>
      <c r="J207" s="209"/>
    </row>
    <row r="208" spans="1:10">
      <c r="A208" s="106" t="s">
        <v>3461</v>
      </c>
      <c r="B208" s="106" t="s">
        <v>3464</v>
      </c>
      <c r="C208" s="211" t="s">
        <v>2779</v>
      </c>
      <c r="D208" s="211"/>
      <c r="E208" s="209">
        <v>43828</v>
      </c>
      <c r="F208" s="209"/>
      <c r="H208" s="106">
        <v>542</v>
      </c>
      <c r="I208" s="210"/>
      <c r="J208" s="209"/>
    </row>
    <row r="209" spans="1:11">
      <c r="A209" s="106" t="s">
        <v>3461</v>
      </c>
      <c r="C209" s="106" t="s">
        <v>3937</v>
      </c>
      <c r="E209" s="208"/>
      <c r="F209" s="209"/>
      <c r="I209" s="210">
        <v>38</v>
      </c>
      <c r="J209" s="209"/>
    </row>
    <row r="210" spans="1:11">
      <c r="A210" s="106" t="s">
        <v>2650</v>
      </c>
      <c r="B210" s="106" t="s">
        <v>2651</v>
      </c>
      <c r="C210" s="211" t="s">
        <v>2652</v>
      </c>
      <c r="D210" s="211"/>
      <c r="E210" s="209">
        <v>43828</v>
      </c>
      <c r="F210" s="209"/>
      <c r="H210" s="106">
        <v>151</v>
      </c>
      <c r="I210" s="210"/>
      <c r="J210" s="209"/>
    </row>
    <row r="211" spans="1:11">
      <c r="A211" s="106" t="s">
        <v>3465</v>
      </c>
      <c r="B211" s="106" t="s">
        <v>3466</v>
      </c>
      <c r="C211" s="106" t="s">
        <v>3467</v>
      </c>
      <c r="E211" s="208">
        <v>43829</v>
      </c>
      <c r="F211" s="209"/>
      <c r="H211" s="106">
        <v>741</v>
      </c>
      <c r="I211" s="210"/>
      <c r="J211" s="209"/>
    </row>
    <row r="212" spans="1:11">
      <c r="A212" s="106" t="s">
        <v>3468</v>
      </c>
      <c r="B212" s="106" t="s">
        <v>3469</v>
      </c>
      <c r="C212" s="106" t="s">
        <v>3470</v>
      </c>
      <c r="E212" s="208">
        <v>43829</v>
      </c>
      <c r="F212" s="209"/>
      <c r="H212" s="106">
        <v>655</v>
      </c>
      <c r="I212" s="210"/>
      <c r="J212" s="209"/>
    </row>
    <row r="213" spans="1:11">
      <c r="A213" s="106" t="s">
        <v>3092</v>
      </c>
      <c r="B213" s="106" t="s">
        <v>3471</v>
      </c>
      <c r="C213" s="106" t="s">
        <v>3472</v>
      </c>
      <c r="E213" s="208">
        <v>43829</v>
      </c>
      <c r="F213" s="209"/>
      <c r="H213" s="106">
        <v>336</v>
      </c>
      <c r="I213" s="210"/>
      <c r="J213" s="209"/>
      <c r="K213" s="106" t="s">
        <v>2673</v>
      </c>
    </row>
    <row r="214" spans="1:11">
      <c r="A214" s="106" t="s">
        <v>3092</v>
      </c>
      <c r="B214" s="106" t="s">
        <v>3093</v>
      </c>
      <c r="C214" s="106" t="s">
        <v>3473</v>
      </c>
      <c r="E214" s="208">
        <v>43829</v>
      </c>
      <c r="F214" s="209"/>
      <c r="H214" s="106">
        <v>635</v>
      </c>
      <c r="I214" s="210"/>
      <c r="J214" s="209"/>
    </row>
    <row r="215" spans="1:11">
      <c r="A215" s="106" t="s">
        <v>3092</v>
      </c>
      <c r="B215" s="106" t="s">
        <v>3137</v>
      </c>
      <c r="C215" s="106" t="s">
        <v>3927</v>
      </c>
      <c r="E215" s="208"/>
      <c r="F215" s="209"/>
      <c r="H215" s="106">
        <v>508</v>
      </c>
      <c r="I215" s="210"/>
      <c r="J215" s="209"/>
    </row>
    <row r="216" spans="1:11">
      <c r="A216" s="106" t="s">
        <v>2647</v>
      </c>
      <c r="B216" s="106" t="s">
        <v>2648</v>
      </c>
      <c r="C216" s="216" t="s">
        <v>2649</v>
      </c>
      <c r="D216" s="216"/>
      <c r="E216" s="209">
        <v>43828</v>
      </c>
      <c r="F216" s="209"/>
      <c r="G216" s="211"/>
      <c r="H216" s="211">
        <v>141</v>
      </c>
      <c r="I216" s="210"/>
      <c r="J216" s="209"/>
      <c r="K216" s="211" t="s">
        <v>2673</v>
      </c>
    </row>
    <row r="217" spans="1:11">
      <c r="A217" s="106" t="s">
        <v>2647</v>
      </c>
      <c r="B217" s="106" t="s">
        <v>3474</v>
      </c>
      <c r="C217" s="106" t="s">
        <v>2806</v>
      </c>
      <c r="E217" s="209">
        <v>43828</v>
      </c>
      <c r="F217" s="209"/>
      <c r="H217" s="106">
        <v>446</v>
      </c>
      <c r="I217" s="210"/>
      <c r="J217" s="209"/>
    </row>
    <row r="218" spans="1:11">
      <c r="A218" s="106" t="s">
        <v>2647</v>
      </c>
      <c r="B218" s="106" t="s">
        <v>3475</v>
      </c>
      <c r="C218" s="106" t="s">
        <v>3050</v>
      </c>
      <c r="E218" s="208">
        <v>43829</v>
      </c>
      <c r="F218" s="209"/>
      <c r="H218" s="106">
        <v>219</v>
      </c>
      <c r="I218" s="210"/>
      <c r="J218" s="209"/>
      <c r="K218" s="106" t="s">
        <v>2673</v>
      </c>
    </row>
    <row r="219" spans="1:11">
      <c r="A219" s="106" t="s">
        <v>2647</v>
      </c>
      <c r="B219" s="106" t="s">
        <v>3093</v>
      </c>
      <c r="C219" s="106" t="s">
        <v>3070</v>
      </c>
      <c r="E219" s="208">
        <v>43829</v>
      </c>
      <c r="F219" s="209"/>
      <c r="H219" s="106">
        <v>236</v>
      </c>
      <c r="I219" s="210"/>
      <c r="J219" s="209"/>
      <c r="K219" s="106" t="s">
        <v>2673</v>
      </c>
    </row>
    <row r="220" spans="1:11">
      <c r="A220" s="106" t="s">
        <v>2647</v>
      </c>
      <c r="B220" s="106" t="s">
        <v>3476</v>
      </c>
      <c r="C220" s="106" t="s">
        <v>3477</v>
      </c>
      <c r="E220" s="208">
        <v>43829</v>
      </c>
      <c r="F220" s="209"/>
      <c r="H220" s="106" t="s">
        <v>4740</v>
      </c>
      <c r="I220" s="210"/>
      <c r="J220" s="209"/>
    </row>
    <row r="221" spans="1:11">
      <c r="A221" s="106" t="s">
        <v>2647</v>
      </c>
      <c r="B221" s="106" t="s">
        <v>3136</v>
      </c>
      <c r="C221" s="106" t="s">
        <v>3478</v>
      </c>
      <c r="E221" s="208">
        <v>43829</v>
      </c>
      <c r="F221" s="209" t="s">
        <v>2673</v>
      </c>
      <c r="H221" s="106">
        <v>433</v>
      </c>
      <c r="I221" s="210"/>
      <c r="J221" s="209"/>
    </row>
    <row r="222" spans="1:11">
      <c r="A222" s="106" t="s">
        <v>2647</v>
      </c>
      <c r="B222" s="106" t="s">
        <v>3479</v>
      </c>
      <c r="C222" s="106" t="s">
        <v>3480</v>
      </c>
      <c r="E222" s="208">
        <v>43829</v>
      </c>
      <c r="F222" s="209" t="s">
        <v>2673</v>
      </c>
      <c r="H222" s="106">
        <v>435</v>
      </c>
      <c r="I222" s="210"/>
      <c r="J222" s="209"/>
    </row>
    <row r="223" spans="1:11">
      <c r="A223" s="106" t="s">
        <v>3481</v>
      </c>
      <c r="B223" s="106" t="s">
        <v>3482</v>
      </c>
      <c r="C223" s="106" t="s">
        <v>3483</v>
      </c>
      <c r="E223" s="208">
        <v>43829</v>
      </c>
      <c r="F223" s="209"/>
      <c r="H223" s="106" t="s">
        <v>4746</v>
      </c>
      <c r="I223" s="210">
        <v>112</v>
      </c>
      <c r="J223" s="209"/>
    </row>
    <row r="224" spans="1:11">
      <c r="A224" s="106" t="s">
        <v>2603</v>
      </c>
      <c r="B224" s="106" t="s">
        <v>3484</v>
      </c>
      <c r="C224" s="106" t="s">
        <v>2807</v>
      </c>
      <c r="E224" s="209">
        <v>43828</v>
      </c>
      <c r="F224" s="209"/>
      <c r="H224" s="106">
        <v>625</v>
      </c>
      <c r="I224" s="210"/>
      <c r="J224" s="209"/>
    </row>
    <row r="225" spans="1:10">
      <c r="A225" s="106" t="s">
        <v>2603</v>
      </c>
      <c r="C225" s="106" t="s">
        <v>2608</v>
      </c>
      <c r="E225" s="208"/>
      <c r="F225" s="209"/>
      <c r="I225" s="210">
        <v>40</v>
      </c>
      <c r="J225" s="209"/>
    </row>
    <row r="226" spans="1:10">
      <c r="A226" s="106" t="s">
        <v>3485</v>
      </c>
      <c r="B226" s="106" t="s">
        <v>3486</v>
      </c>
      <c r="C226" s="106" t="s">
        <v>2872</v>
      </c>
      <c r="E226" s="209">
        <v>43828</v>
      </c>
      <c r="F226" s="209"/>
      <c r="H226" s="106">
        <v>72</v>
      </c>
      <c r="I226" s="210"/>
      <c r="J226" s="209"/>
    </row>
    <row r="227" spans="1:10">
      <c r="A227" s="106" t="s">
        <v>2426</v>
      </c>
      <c r="B227" s="106" t="s">
        <v>3486</v>
      </c>
      <c r="C227" s="106" t="s">
        <v>2940</v>
      </c>
      <c r="E227" s="208">
        <v>43829</v>
      </c>
      <c r="F227" s="209"/>
      <c r="H227" s="106">
        <v>73</v>
      </c>
      <c r="I227" s="210"/>
      <c r="J227" s="209"/>
    </row>
    <row r="228" spans="1:10">
      <c r="A228" s="106" t="s">
        <v>3487</v>
      </c>
      <c r="B228" s="106" t="s">
        <v>3488</v>
      </c>
      <c r="C228" s="106" t="s">
        <v>3489</v>
      </c>
      <c r="E228" s="208">
        <v>43829</v>
      </c>
      <c r="F228" s="209"/>
      <c r="H228" s="106">
        <v>612</v>
      </c>
      <c r="I228" s="210"/>
      <c r="J228" s="209"/>
    </row>
    <row r="229" spans="1:10">
      <c r="A229" s="106" t="s">
        <v>2387</v>
      </c>
      <c r="B229" s="106" t="s">
        <v>2643</v>
      </c>
      <c r="C229" s="211" t="s">
        <v>2644</v>
      </c>
      <c r="D229" s="211"/>
      <c r="E229" s="209">
        <v>43828</v>
      </c>
      <c r="F229" s="209"/>
      <c r="H229" s="106">
        <v>93</v>
      </c>
      <c r="I229" s="210"/>
      <c r="J229" s="209"/>
    </row>
    <row r="230" spans="1:10">
      <c r="A230" s="106" t="s">
        <v>2387</v>
      </c>
      <c r="B230" s="106" t="s">
        <v>3490</v>
      </c>
      <c r="C230" s="211" t="s">
        <v>2767</v>
      </c>
      <c r="D230" s="211"/>
      <c r="E230" s="209">
        <v>43828</v>
      </c>
      <c r="F230" s="209"/>
      <c r="H230" s="106">
        <v>103</v>
      </c>
      <c r="I230" s="210"/>
      <c r="J230" s="209"/>
    </row>
    <row r="231" spans="1:10">
      <c r="A231" s="106" t="s">
        <v>2387</v>
      </c>
      <c r="B231" s="106" t="s">
        <v>3076</v>
      </c>
      <c r="C231" s="106" t="s">
        <v>2800</v>
      </c>
      <c r="E231" s="209">
        <v>43828</v>
      </c>
      <c r="F231" s="209"/>
      <c r="H231" s="106">
        <v>250</v>
      </c>
      <c r="I231" s="210"/>
      <c r="J231" s="209"/>
    </row>
    <row r="232" spans="1:10">
      <c r="A232" s="106" t="s">
        <v>2387</v>
      </c>
      <c r="B232" s="106" t="s">
        <v>2387</v>
      </c>
      <c r="C232" s="106" t="s">
        <v>3491</v>
      </c>
      <c r="E232" s="208">
        <v>43829</v>
      </c>
      <c r="F232" s="209"/>
      <c r="H232" s="106" t="s">
        <v>4743</v>
      </c>
      <c r="I232" s="210"/>
      <c r="J232" s="209"/>
    </row>
    <row r="233" spans="1:10">
      <c r="A233" s="106" t="s">
        <v>2387</v>
      </c>
      <c r="B233" s="106" t="s">
        <v>3492</v>
      </c>
      <c r="C233" s="106" t="s">
        <v>3493</v>
      </c>
      <c r="E233" s="208">
        <v>43829</v>
      </c>
      <c r="F233" s="209"/>
      <c r="H233" s="106">
        <v>457</v>
      </c>
      <c r="I233" s="210"/>
      <c r="J233" s="209"/>
    </row>
    <row r="234" spans="1:10">
      <c r="A234" s="106" t="s">
        <v>2387</v>
      </c>
      <c r="B234" s="106" t="s">
        <v>3494</v>
      </c>
      <c r="C234" s="106" t="s">
        <v>3495</v>
      </c>
      <c r="E234" s="208">
        <v>43829</v>
      </c>
      <c r="F234" s="209"/>
      <c r="H234" s="106">
        <v>516</v>
      </c>
      <c r="I234" s="210"/>
      <c r="J234" s="209"/>
    </row>
    <row r="235" spans="1:10">
      <c r="A235" s="106" t="s">
        <v>2387</v>
      </c>
      <c r="B235" s="106" t="s">
        <v>3496</v>
      </c>
      <c r="C235" s="106" t="s">
        <v>3497</v>
      </c>
      <c r="E235" s="208">
        <v>43829</v>
      </c>
      <c r="F235" s="209"/>
      <c r="H235" s="106">
        <v>622</v>
      </c>
      <c r="I235" s="210"/>
      <c r="J235" s="209"/>
    </row>
    <row r="236" spans="1:10">
      <c r="A236" s="106" t="s">
        <v>2387</v>
      </c>
      <c r="B236" s="106" t="s">
        <v>3498</v>
      </c>
      <c r="C236" s="106" t="s">
        <v>3499</v>
      </c>
      <c r="E236" s="208">
        <v>43829</v>
      </c>
      <c r="F236" s="209"/>
      <c r="H236" s="106">
        <v>755</v>
      </c>
      <c r="I236" s="210"/>
      <c r="J236" s="209"/>
    </row>
    <row r="237" spans="1:10">
      <c r="A237" s="106" t="s">
        <v>2387</v>
      </c>
      <c r="B237" s="106" t="s">
        <v>3076</v>
      </c>
      <c r="C237" s="106" t="s">
        <v>3926</v>
      </c>
      <c r="E237" s="208"/>
      <c r="F237" s="209"/>
      <c r="H237" s="106">
        <v>478</v>
      </c>
      <c r="I237" s="210"/>
      <c r="J237" s="209"/>
    </row>
    <row r="238" spans="1:10">
      <c r="A238" s="215" t="s">
        <v>3500</v>
      </c>
      <c r="B238" s="215" t="s">
        <v>3501</v>
      </c>
      <c r="C238" s="106" t="s">
        <v>2962</v>
      </c>
      <c r="E238" s="208">
        <v>43829</v>
      </c>
      <c r="F238" s="209"/>
      <c r="H238" s="106">
        <v>106</v>
      </c>
      <c r="I238" s="210"/>
      <c r="J238" s="209"/>
    </row>
    <row r="239" spans="1:10">
      <c r="A239" s="106" t="s">
        <v>3502</v>
      </c>
      <c r="B239" s="106" t="s">
        <v>3503</v>
      </c>
      <c r="C239" s="106" t="s">
        <v>2848</v>
      </c>
      <c r="E239" s="209">
        <v>43828</v>
      </c>
      <c r="F239" s="209"/>
      <c r="H239" s="106">
        <v>689</v>
      </c>
      <c r="I239" s="210"/>
      <c r="J239" s="209"/>
    </row>
    <row r="240" spans="1:10">
      <c r="A240" s="106" t="s">
        <v>3504</v>
      </c>
      <c r="B240" s="106" t="s">
        <v>3505</v>
      </c>
      <c r="C240" s="106" t="s">
        <v>3027</v>
      </c>
      <c r="E240" s="208">
        <v>43829</v>
      </c>
      <c r="F240" s="209"/>
      <c r="H240" s="106">
        <v>195</v>
      </c>
      <c r="I240" s="210"/>
      <c r="J240" s="209"/>
    </row>
    <row r="241" spans="1:11">
      <c r="A241" s="106" t="s">
        <v>3506</v>
      </c>
      <c r="B241" s="106" t="s">
        <v>3507</v>
      </c>
      <c r="C241" s="106" t="s">
        <v>3508</v>
      </c>
      <c r="E241" s="208">
        <v>43829</v>
      </c>
      <c r="F241" s="209"/>
      <c r="H241" s="106">
        <v>324</v>
      </c>
      <c r="I241" s="210"/>
      <c r="J241" s="209"/>
    </row>
    <row r="242" spans="1:11">
      <c r="A242" s="106" t="s">
        <v>3506</v>
      </c>
      <c r="B242" s="106" t="s">
        <v>3509</v>
      </c>
      <c r="C242" s="106" t="s">
        <v>3510</v>
      </c>
      <c r="E242" s="208">
        <v>43829</v>
      </c>
      <c r="F242" s="209" t="s">
        <v>2673</v>
      </c>
      <c r="H242" s="106">
        <v>515</v>
      </c>
      <c r="I242" s="210"/>
      <c r="J242" s="209"/>
    </row>
    <row r="243" spans="1:11">
      <c r="A243" s="106" t="s">
        <v>3506</v>
      </c>
      <c r="B243" s="106" t="s">
        <v>3511</v>
      </c>
      <c r="C243" s="106" t="s">
        <v>3512</v>
      </c>
      <c r="E243" s="208">
        <v>43829</v>
      </c>
      <c r="F243" s="209" t="s">
        <v>2673</v>
      </c>
      <c r="H243" s="106">
        <v>532</v>
      </c>
      <c r="I243" s="210"/>
      <c r="J243" s="209"/>
    </row>
    <row r="244" spans="1:11">
      <c r="A244" s="106" t="s">
        <v>3513</v>
      </c>
      <c r="B244" s="106" t="s">
        <v>3207</v>
      </c>
      <c r="C244" s="106" t="s">
        <v>2811</v>
      </c>
      <c r="E244" s="209">
        <v>43828</v>
      </c>
      <c r="F244" s="209"/>
      <c r="H244" s="106">
        <v>164</v>
      </c>
      <c r="I244" s="210"/>
      <c r="J244" s="209"/>
    </row>
    <row r="245" spans="1:11">
      <c r="A245" s="106" t="s">
        <v>3513</v>
      </c>
      <c r="B245" s="106" t="s">
        <v>3514</v>
      </c>
      <c r="C245" s="106" t="s">
        <v>2814</v>
      </c>
      <c r="E245" s="209">
        <v>43828</v>
      </c>
      <c r="F245" s="209"/>
      <c r="H245" s="106">
        <v>571</v>
      </c>
      <c r="I245" s="210"/>
      <c r="J245" s="209"/>
    </row>
    <row r="246" spans="1:11">
      <c r="A246" s="106" t="s">
        <v>3513</v>
      </c>
      <c r="B246" s="106" t="s">
        <v>3515</v>
      </c>
      <c r="C246" s="106" t="s">
        <v>2813</v>
      </c>
      <c r="E246" s="209">
        <v>43828</v>
      </c>
      <c r="F246" s="209"/>
      <c r="H246" s="106">
        <v>608</v>
      </c>
      <c r="I246" s="210"/>
      <c r="J246" s="209"/>
    </row>
    <row r="247" spans="1:11">
      <c r="A247" s="106" t="s">
        <v>3513</v>
      </c>
      <c r="B247" s="106" t="s">
        <v>3516</v>
      </c>
      <c r="C247" s="106" t="s">
        <v>2812</v>
      </c>
      <c r="E247" s="209">
        <v>43828</v>
      </c>
      <c r="F247" s="209"/>
      <c r="H247" s="106">
        <v>633</v>
      </c>
      <c r="I247" s="210"/>
      <c r="J247" s="209"/>
    </row>
    <row r="248" spans="1:11">
      <c r="A248" s="106" t="s">
        <v>3517</v>
      </c>
      <c r="B248" s="106" t="s">
        <v>3516</v>
      </c>
      <c r="C248" s="106" t="s">
        <v>3518</v>
      </c>
      <c r="E248" s="208">
        <v>43829</v>
      </c>
      <c r="F248" s="209"/>
      <c r="H248" s="106">
        <v>657</v>
      </c>
      <c r="I248" s="210"/>
      <c r="J248" s="209"/>
    </row>
    <row r="249" spans="1:11">
      <c r="A249" s="106" t="s">
        <v>3519</v>
      </c>
      <c r="B249" s="106" t="s">
        <v>3520</v>
      </c>
      <c r="C249" s="106" t="s">
        <v>2824</v>
      </c>
      <c r="E249" s="209">
        <v>43828</v>
      </c>
      <c r="F249" s="209"/>
      <c r="H249" s="106">
        <v>458</v>
      </c>
      <c r="I249" s="210"/>
      <c r="J249" s="209"/>
    </row>
    <row r="250" spans="1:11">
      <c r="A250" s="106" t="s">
        <v>3521</v>
      </c>
      <c r="B250" s="106" t="s">
        <v>3522</v>
      </c>
      <c r="C250" s="106" t="s">
        <v>2845</v>
      </c>
      <c r="E250" s="209">
        <v>43828</v>
      </c>
      <c r="F250" s="209"/>
      <c r="H250" s="106">
        <v>311</v>
      </c>
      <c r="I250" s="210"/>
      <c r="J250" s="209"/>
    </row>
    <row r="251" spans="1:11">
      <c r="A251" s="106" t="s">
        <v>3523</v>
      </c>
      <c r="B251" s="106" t="s">
        <v>3524</v>
      </c>
      <c r="C251" s="106" t="s">
        <v>3525</v>
      </c>
      <c r="E251" s="208">
        <v>43829</v>
      </c>
      <c r="F251" s="209"/>
      <c r="H251" s="106">
        <v>354</v>
      </c>
      <c r="I251" s="210"/>
      <c r="J251" s="209"/>
    </row>
    <row r="252" spans="1:11">
      <c r="A252" s="106" t="s">
        <v>3526</v>
      </c>
      <c r="B252" s="106" t="s">
        <v>3527</v>
      </c>
      <c r="C252" s="106" t="s">
        <v>3528</v>
      </c>
      <c r="E252" s="208">
        <v>43829</v>
      </c>
      <c r="F252" s="209"/>
      <c r="H252" s="106">
        <v>700</v>
      </c>
      <c r="I252" s="210"/>
      <c r="J252" s="209"/>
    </row>
    <row r="253" spans="1:11">
      <c r="A253" s="106" t="s">
        <v>3529</v>
      </c>
      <c r="B253" s="106" t="s">
        <v>3530</v>
      </c>
      <c r="C253" s="106" t="s">
        <v>3531</v>
      </c>
      <c r="E253" s="208">
        <v>43829</v>
      </c>
      <c r="F253" s="209"/>
      <c r="H253" s="106">
        <v>440</v>
      </c>
      <c r="I253" s="210"/>
      <c r="J253" s="209"/>
    </row>
    <row r="254" spans="1:11">
      <c r="A254" s="106" t="s">
        <v>3532</v>
      </c>
      <c r="B254" s="106" t="s">
        <v>3533</v>
      </c>
      <c r="C254" s="106" t="s">
        <v>3534</v>
      </c>
      <c r="E254" s="208">
        <v>43829</v>
      </c>
      <c r="F254" s="209"/>
      <c r="H254" s="106" t="s">
        <v>4730</v>
      </c>
      <c r="I254" s="210"/>
      <c r="J254" s="209"/>
    </row>
    <row r="255" spans="1:11">
      <c r="A255" s="217" t="s">
        <v>2754</v>
      </c>
      <c r="B255" s="217"/>
      <c r="C255" s="211" t="s">
        <v>2755</v>
      </c>
      <c r="D255" s="211"/>
      <c r="E255" s="208">
        <v>43825</v>
      </c>
      <c r="F255" s="209"/>
      <c r="I255" s="210">
        <v>41</v>
      </c>
      <c r="K255" s="106" t="s">
        <v>2664</v>
      </c>
    </row>
    <row r="256" spans="1:11">
      <c r="A256" s="106" t="s">
        <v>2353</v>
      </c>
      <c r="B256" s="106" t="s">
        <v>2354</v>
      </c>
      <c r="C256" s="106" t="s">
        <v>2859</v>
      </c>
      <c r="E256" s="209">
        <v>43828</v>
      </c>
      <c r="F256" s="209"/>
      <c r="H256" s="106">
        <v>71</v>
      </c>
      <c r="I256" s="210"/>
      <c r="J256" s="209"/>
    </row>
    <row r="257" spans="1:10">
      <c r="A257" s="106" t="s">
        <v>3535</v>
      </c>
      <c r="B257" s="106" t="s">
        <v>3536</v>
      </c>
      <c r="C257" s="212" t="s">
        <v>2770</v>
      </c>
      <c r="D257" s="212"/>
      <c r="E257" s="209">
        <v>43828</v>
      </c>
      <c r="F257" s="209"/>
      <c r="H257" s="106">
        <v>259</v>
      </c>
      <c r="I257" s="210"/>
      <c r="J257" s="209"/>
    </row>
    <row r="258" spans="1:10">
      <c r="A258" s="106" t="s">
        <v>3095</v>
      </c>
      <c r="B258" s="106" t="s">
        <v>3530</v>
      </c>
      <c r="C258" s="106" t="s">
        <v>3537</v>
      </c>
      <c r="E258" s="208">
        <v>43829</v>
      </c>
      <c r="F258" s="209"/>
      <c r="I258" s="210"/>
      <c r="J258" s="209"/>
    </row>
    <row r="259" spans="1:10">
      <c r="A259" s="106" t="s">
        <v>3538</v>
      </c>
      <c r="B259" s="106" t="s">
        <v>3539</v>
      </c>
      <c r="C259" s="106" t="s">
        <v>3540</v>
      </c>
      <c r="E259" s="208">
        <v>43829</v>
      </c>
      <c r="F259" s="209"/>
      <c r="H259" s="106">
        <v>595</v>
      </c>
      <c r="I259" s="210"/>
      <c r="J259" s="209"/>
    </row>
    <row r="260" spans="1:10">
      <c r="A260" s="106" t="s">
        <v>3541</v>
      </c>
      <c r="B260" s="106" t="s">
        <v>3542</v>
      </c>
      <c r="C260" s="106" t="s">
        <v>2831</v>
      </c>
      <c r="E260" s="209">
        <v>43828</v>
      </c>
      <c r="F260" s="209"/>
      <c r="H260" s="106">
        <v>538</v>
      </c>
      <c r="I260" s="210"/>
      <c r="J260" s="209"/>
    </row>
    <row r="261" spans="1:10">
      <c r="A261" s="106" t="s">
        <v>3543</v>
      </c>
      <c r="B261" s="106" t="s">
        <v>3544</v>
      </c>
      <c r="C261" s="106" t="s">
        <v>3017</v>
      </c>
      <c r="E261" s="208">
        <v>43829</v>
      </c>
      <c r="F261" s="209"/>
      <c r="H261" s="106">
        <v>183</v>
      </c>
      <c r="I261" s="210"/>
      <c r="J261" s="209"/>
    </row>
    <row r="262" spans="1:10">
      <c r="A262" s="106" t="s">
        <v>2377</v>
      </c>
      <c r="B262" s="106" t="s">
        <v>3545</v>
      </c>
      <c r="C262" s="106" t="s">
        <v>3546</v>
      </c>
      <c r="E262" s="208">
        <v>43829</v>
      </c>
      <c r="F262" s="209"/>
      <c r="H262" s="106" t="s">
        <v>4710</v>
      </c>
      <c r="I262" s="210"/>
      <c r="J262" s="209"/>
    </row>
    <row r="263" spans="1:10">
      <c r="A263" s="106" t="s">
        <v>3547</v>
      </c>
      <c r="B263" s="106" t="s">
        <v>3548</v>
      </c>
      <c r="C263" s="106" t="s">
        <v>3549</v>
      </c>
      <c r="E263" s="208">
        <v>43829</v>
      </c>
      <c r="F263" s="209"/>
      <c r="H263" s="106">
        <v>244</v>
      </c>
      <c r="I263" s="210"/>
      <c r="J263" s="209"/>
    </row>
    <row r="264" spans="1:10">
      <c r="A264" s="106" t="s">
        <v>3550</v>
      </c>
      <c r="B264" s="106" t="s">
        <v>3551</v>
      </c>
      <c r="C264" s="106" t="s">
        <v>2821</v>
      </c>
      <c r="E264" s="209">
        <v>43828</v>
      </c>
      <c r="F264" s="209"/>
      <c r="H264" s="106">
        <v>713</v>
      </c>
      <c r="I264" s="210"/>
      <c r="J264" s="209"/>
    </row>
    <row r="265" spans="1:10">
      <c r="A265" s="106" t="s">
        <v>3552</v>
      </c>
      <c r="B265" s="106" t="s">
        <v>3553</v>
      </c>
      <c r="C265" s="106" t="s">
        <v>3554</v>
      </c>
      <c r="E265" s="208">
        <v>43829</v>
      </c>
      <c r="F265" s="209"/>
      <c r="H265" s="106">
        <v>550</v>
      </c>
      <c r="I265" s="210"/>
      <c r="J265" s="209"/>
    </row>
    <row r="266" spans="1:10">
      <c r="A266" s="106" t="s">
        <v>3555</v>
      </c>
      <c r="B266" s="106" t="s">
        <v>2643</v>
      </c>
      <c r="C266" s="106" t="s">
        <v>2955</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3556</v>
      </c>
      <c r="C268" s="106" t="s">
        <v>3557</v>
      </c>
      <c r="E268" s="208">
        <v>43829</v>
      </c>
      <c r="F268" s="209"/>
      <c r="H268" s="106">
        <v>399</v>
      </c>
      <c r="I268" s="210"/>
      <c r="J268" s="209"/>
    </row>
    <row r="269" spans="1:10">
      <c r="A269" s="106" t="s">
        <v>2591</v>
      </c>
      <c r="B269" s="106" t="s">
        <v>3558</v>
      </c>
      <c r="C269" s="106" t="s">
        <v>3559</v>
      </c>
      <c r="E269" s="208">
        <v>43829</v>
      </c>
      <c r="F269" s="209"/>
      <c r="H269" s="106">
        <v>560</v>
      </c>
      <c r="I269" s="210"/>
      <c r="J269" s="209"/>
    </row>
    <row r="270" spans="1:10">
      <c r="A270" s="106" t="s">
        <v>2591</v>
      </c>
      <c r="B270" s="106" t="s">
        <v>3560</v>
      </c>
      <c r="C270" s="106" t="s">
        <v>3561</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3562</v>
      </c>
      <c r="B274" s="106" t="s">
        <v>3563</v>
      </c>
      <c r="C274" s="106" t="s">
        <v>3030</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3564</v>
      </c>
      <c r="B276" s="106" t="s">
        <v>3565</v>
      </c>
      <c r="C276" s="106" t="s">
        <v>3000</v>
      </c>
      <c r="E276" s="208">
        <v>43829</v>
      </c>
      <c r="F276" s="209"/>
      <c r="H276" s="106">
        <v>159</v>
      </c>
      <c r="I276" s="210"/>
      <c r="J276" s="209"/>
    </row>
    <row r="277" spans="1:11">
      <c r="A277" s="106" t="s">
        <v>2389</v>
      </c>
      <c r="B277" s="106" t="s">
        <v>3566</v>
      </c>
      <c r="C277" s="211" t="s">
        <v>2390</v>
      </c>
      <c r="D277" s="211"/>
      <c r="E277" s="209">
        <v>43828</v>
      </c>
      <c r="F277" s="209"/>
      <c r="I277" s="210">
        <v>47</v>
      </c>
      <c r="J277" s="209"/>
    </row>
    <row r="278" spans="1:11">
      <c r="A278" s="106" t="s">
        <v>3567</v>
      </c>
      <c r="B278" s="106" t="s">
        <v>3568</v>
      </c>
      <c r="C278" s="106" t="s">
        <v>3569</v>
      </c>
      <c r="E278" s="208">
        <v>43829</v>
      </c>
      <c r="F278" s="209"/>
      <c r="H278" s="106">
        <v>585</v>
      </c>
      <c r="I278" s="210"/>
      <c r="J278" s="209"/>
    </row>
    <row r="279" spans="1:11">
      <c r="A279" s="106" t="s">
        <v>3570</v>
      </c>
      <c r="B279" s="106" t="s">
        <v>3571</v>
      </c>
      <c r="C279" s="106" t="s">
        <v>3572</v>
      </c>
      <c r="E279" s="208">
        <v>43829</v>
      </c>
      <c r="F279" s="209"/>
      <c r="H279" s="106">
        <v>437</v>
      </c>
      <c r="I279" s="210"/>
      <c r="J279" s="209"/>
    </row>
    <row r="280" spans="1:11">
      <c r="A280" s="217" t="s">
        <v>2722</v>
      </c>
      <c r="B280" s="217"/>
      <c r="C280" s="217" t="s">
        <v>2882</v>
      </c>
      <c r="D280" s="217"/>
      <c r="E280" s="208">
        <v>43825</v>
      </c>
      <c r="F280" s="209" t="s">
        <v>2231</v>
      </c>
      <c r="I280" s="210">
        <v>50</v>
      </c>
    </row>
    <row r="281" spans="1:11">
      <c r="A281" s="106" t="s">
        <v>3573</v>
      </c>
      <c r="B281" s="106" t="s">
        <v>3574</v>
      </c>
      <c r="C281" s="106" t="s">
        <v>3575</v>
      </c>
      <c r="E281" s="208">
        <v>43829</v>
      </c>
      <c r="F281" s="209"/>
      <c r="H281" s="106">
        <v>240</v>
      </c>
      <c r="I281" s="210"/>
      <c r="J281" s="209"/>
    </row>
    <row r="282" spans="1:11">
      <c r="A282" s="106" t="s">
        <v>3576</v>
      </c>
      <c r="B282" s="106" t="s">
        <v>3577</v>
      </c>
      <c r="C282" s="106" t="s">
        <v>2975</v>
      </c>
      <c r="E282" s="208">
        <v>43829</v>
      </c>
      <c r="F282" s="209"/>
      <c r="H282" s="106">
        <v>123</v>
      </c>
      <c r="I282" s="210"/>
      <c r="J282" s="209"/>
    </row>
    <row r="283" spans="1:11">
      <c r="A283" s="106" t="s">
        <v>3576</v>
      </c>
      <c r="B283" s="106" t="s">
        <v>3578</v>
      </c>
      <c r="C283" s="106" t="s">
        <v>3579</v>
      </c>
      <c r="E283" s="208">
        <v>43829</v>
      </c>
      <c r="F283" s="209"/>
      <c r="H283" s="106">
        <v>709</v>
      </c>
      <c r="I283" s="210"/>
      <c r="J283" s="209"/>
    </row>
    <row r="284" spans="1:11">
      <c r="A284" s="106" t="s">
        <v>2727</v>
      </c>
      <c r="B284" s="106" t="s">
        <v>3580</v>
      </c>
      <c r="C284" s="106" t="s">
        <v>2820</v>
      </c>
      <c r="E284" s="209">
        <v>43828</v>
      </c>
      <c r="F284" s="209"/>
      <c r="H284" s="106">
        <v>405</v>
      </c>
      <c r="I284" s="210"/>
      <c r="J284" s="209"/>
    </row>
    <row r="285" spans="1:11">
      <c r="A285" s="106" t="s">
        <v>3581</v>
      </c>
      <c r="B285" s="106" t="s">
        <v>3582</v>
      </c>
      <c r="C285" s="106" t="s">
        <v>3583</v>
      </c>
      <c r="E285" s="208">
        <v>43829</v>
      </c>
      <c r="F285" s="209"/>
      <c r="H285" s="106">
        <v>378</v>
      </c>
      <c r="I285" s="210"/>
      <c r="J285" s="209"/>
    </row>
    <row r="286" spans="1:11">
      <c r="A286" s="106" t="s">
        <v>3584</v>
      </c>
      <c r="B286" s="106" t="s">
        <v>3585</v>
      </c>
      <c r="C286" s="106" t="s">
        <v>3586</v>
      </c>
      <c r="E286" s="208">
        <v>43829</v>
      </c>
      <c r="F286" s="209"/>
      <c r="H286" s="106">
        <v>379</v>
      </c>
      <c r="I286" s="210"/>
      <c r="J286" s="209"/>
      <c r="K286" s="106" t="s">
        <v>2673</v>
      </c>
    </row>
    <row r="287" spans="1:11">
      <c r="A287" s="106" t="s">
        <v>3587</v>
      </c>
      <c r="B287" s="106" t="s">
        <v>3588</v>
      </c>
      <c r="C287" s="106" t="s">
        <v>2804</v>
      </c>
      <c r="E287" s="209">
        <v>43828</v>
      </c>
      <c r="F287" s="209"/>
      <c r="H287" s="106">
        <v>688</v>
      </c>
      <c r="I287" s="210"/>
      <c r="J287" s="209"/>
    </row>
    <row r="288" spans="1:11">
      <c r="A288" s="106" t="s">
        <v>3589</v>
      </c>
      <c r="B288" s="106" t="s">
        <v>3590</v>
      </c>
      <c r="C288" s="106" t="s">
        <v>3591</v>
      </c>
      <c r="E288" s="208">
        <v>43829</v>
      </c>
      <c r="F288" s="209"/>
      <c r="H288" s="106">
        <v>390</v>
      </c>
      <c r="I288" s="210"/>
      <c r="J288" s="209"/>
    </row>
    <row r="289" spans="1:10">
      <c r="A289" s="122" t="s">
        <v>2735</v>
      </c>
      <c r="B289" s="122"/>
      <c r="C289" s="211" t="s">
        <v>2883</v>
      </c>
      <c r="D289" s="211"/>
      <c r="E289" s="208">
        <v>43825</v>
      </c>
      <c r="F289" s="209"/>
      <c r="I289" s="210">
        <v>52</v>
      </c>
    </row>
    <row r="290" spans="1:10">
      <c r="A290" s="106" t="s">
        <v>2291</v>
      </c>
      <c r="B290" s="106" t="s">
        <v>2312</v>
      </c>
      <c r="C290" s="216" t="s">
        <v>2646</v>
      </c>
      <c r="D290" s="216"/>
      <c r="E290" s="209">
        <v>43828</v>
      </c>
      <c r="F290" s="209"/>
      <c r="H290" s="106">
        <v>95</v>
      </c>
      <c r="I290" s="210"/>
      <c r="J290" s="209"/>
    </row>
    <row r="291" spans="1:10">
      <c r="A291" s="106" t="s">
        <v>2291</v>
      </c>
      <c r="B291" s="106" t="s">
        <v>3592</v>
      </c>
      <c r="C291" s="106" t="s">
        <v>2645</v>
      </c>
      <c r="E291" s="209">
        <v>43828</v>
      </c>
      <c r="F291" s="209"/>
      <c r="H291" s="106" t="s">
        <v>4734</v>
      </c>
      <c r="I291" s="210"/>
      <c r="J291" s="209"/>
    </row>
    <row r="292" spans="1:10">
      <c r="A292" s="106" t="s">
        <v>2291</v>
      </c>
      <c r="B292" s="106" t="s">
        <v>3593</v>
      </c>
      <c r="C292" s="106" t="s">
        <v>2857</v>
      </c>
      <c r="E292" s="209">
        <v>43828</v>
      </c>
      <c r="F292" s="209"/>
      <c r="H292" s="106">
        <v>670</v>
      </c>
      <c r="I292" s="210"/>
      <c r="J292" s="209"/>
    </row>
    <row r="293" spans="1:10">
      <c r="A293" s="106" t="s">
        <v>3594</v>
      </c>
      <c r="B293" s="106" t="s">
        <v>3595</v>
      </c>
      <c r="C293" s="106" t="s">
        <v>2836</v>
      </c>
      <c r="E293" s="209">
        <v>43828</v>
      </c>
      <c r="F293" s="209"/>
      <c r="H293" s="106">
        <v>96</v>
      </c>
      <c r="I293" s="210"/>
      <c r="J293" s="209"/>
    </row>
    <row r="294" spans="1:10">
      <c r="A294" s="106" t="s">
        <v>3942</v>
      </c>
      <c r="C294" s="106" t="s">
        <v>3943</v>
      </c>
      <c r="E294" s="208"/>
      <c r="F294" s="209"/>
      <c r="I294" s="210">
        <v>54</v>
      </c>
      <c r="J294" s="209"/>
    </row>
    <row r="295" spans="1:10">
      <c r="A295" s="106" t="s">
        <v>3596</v>
      </c>
      <c r="B295" s="106" t="s">
        <v>3597</v>
      </c>
      <c r="C295" s="106" t="s">
        <v>3598</v>
      </c>
      <c r="E295" s="208">
        <v>43829</v>
      </c>
      <c r="F295" s="209"/>
      <c r="H295" s="106">
        <v>471</v>
      </c>
      <c r="I295" s="210"/>
      <c r="J295" s="209"/>
    </row>
    <row r="296" spans="1:10">
      <c r="A296" s="106" t="s">
        <v>3599</v>
      </c>
      <c r="B296" s="106" t="s">
        <v>3600</v>
      </c>
      <c r="C296" s="106" t="s">
        <v>2798</v>
      </c>
      <c r="E296" s="209">
        <v>43828</v>
      </c>
      <c r="F296" s="209"/>
      <c r="H296" s="106">
        <v>158</v>
      </c>
      <c r="I296" s="210"/>
      <c r="J296" s="209"/>
    </row>
    <row r="297" spans="1:10">
      <c r="A297" s="106" t="s">
        <v>3599</v>
      </c>
      <c r="B297" s="106" t="s">
        <v>3601</v>
      </c>
      <c r="C297" s="106" t="s">
        <v>2799</v>
      </c>
      <c r="E297" s="209">
        <v>43828</v>
      </c>
      <c r="F297" s="209"/>
      <c r="H297" s="106">
        <v>192</v>
      </c>
      <c r="I297" s="210"/>
      <c r="J297" s="209"/>
    </row>
    <row r="298" spans="1:10">
      <c r="A298" s="106" t="s">
        <v>3599</v>
      </c>
      <c r="B298" s="106" t="s">
        <v>3602</v>
      </c>
      <c r="C298" s="106" t="s">
        <v>2797</v>
      </c>
      <c r="E298" s="209">
        <v>43828</v>
      </c>
      <c r="F298" s="209"/>
      <c r="H298" s="106">
        <v>346</v>
      </c>
      <c r="I298" s="210"/>
      <c r="J298" s="209"/>
    </row>
    <row r="299" spans="1:10">
      <c r="A299" s="106" t="s">
        <v>3603</v>
      </c>
      <c r="B299" s="106" t="s">
        <v>3604</v>
      </c>
      <c r="C299" s="106" t="s">
        <v>2934</v>
      </c>
      <c r="E299" s="208">
        <v>43829</v>
      </c>
      <c r="F299" s="209"/>
      <c r="H299" s="106">
        <v>65</v>
      </c>
      <c r="I299" s="210"/>
      <c r="J299" s="209"/>
    </row>
    <row r="300" spans="1:10">
      <c r="A300" s="106" t="s">
        <v>3603</v>
      </c>
      <c r="B300" s="106" t="s">
        <v>3605</v>
      </c>
      <c r="C300" s="106" t="s">
        <v>2944</v>
      </c>
      <c r="E300" s="208">
        <v>43829</v>
      </c>
      <c r="F300" s="209"/>
      <c r="H300" s="106">
        <v>79</v>
      </c>
      <c r="I300" s="210"/>
      <c r="J300" s="209"/>
    </row>
    <row r="301" spans="1:10">
      <c r="A301" s="106" t="s">
        <v>2338</v>
      </c>
      <c r="B301" s="106" t="s">
        <v>3135</v>
      </c>
      <c r="C301" s="106" t="s">
        <v>2852</v>
      </c>
      <c r="E301" s="209">
        <v>43828</v>
      </c>
      <c r="F301" s="209"/>
      <c r="H301" s="106">
        <v>352</v>
      </c>
      <c r="I301" s="210"/>
      <c r="J301" s="209"/>
    </row>
    <row r="302" spans="1:10">
      <c r="A302" s="106" t="s">
        <v>2338</v>
      </c>
      <c r="B302" s="106" t="s">
        <v>3606</v>
      </c>
      <c r="C302" s="106" t="s">
        <v>3607</v>
      </c>
      <c r="E302" s="208">
        <v>43829</v>
      </c>
      <c r="F302" s="209"/>
      <c r="H302" s="106">
        <v>494</v>
      </c>
      <c r="I302" s="210"/>
      <c r="J302" s="209"/>
    </row>
    <row r="303" spans="1:10">
      <c r="A303" s="106" t="s">
        <v>2532</v>
      </c>
      <c r="B303" s="106" t="s">
        <v>2641</v>
      </c>
      <c r="C303" s="211" t="s">
        <v>2642</v>
      </c>
      <c r="D303" s="211"/>
      <c r="E303" s="209">
        <v>43828</v>
      </c>
      <c r="F303" s="209"/>
      <c r="H303" s="106">
        <v>12</v>
      </c>
      <c r="I303" s="210"/>
      <c r="J303" s="209"/>
    </row>
    <row r="304" spans="1:10">
      <c r="A304" s="106" t="s">
        <v>2703</v>
      </c>
      <c r="B304" s="106" t="s">
        <v>3608</v>
      </c>
      <c r="C304" s="106" t="s">
        <v>2819</v>
      </c>
      <c r="E304" s="209">
        <v>43828</v>
      </c>
      <c r="F304" s="209"/>
      <c r="H304" s="106">
        <v>161</v>
      </c>
      <c r="I304" s="210"/>
      <c r="J304" s="209"/>
    </row>
    <row r="305" spans="1:10">
      <c r="A305" s="106" t="s">
        <v>3609</v>
      </c>
      <c r="B305" s="106" t="s">
        <v>3610</v>
      </c>
      <c r="C305" s="106" t="s">
        <v>2839</v>
      </c>
      <c r="E305" s="209">
        <v>43828</v>
      </c>
      <c r="F305" s="209"/>
      <c r="H305" s="106">
        <v>348</v>
      </c>
      <c r="I305" s="210"/>
      <c r="J305" s="209"/>
    </row>
    <row r="306" spans="1:10">
      <c r="A306" s="106" t="s">
        <v>3955</v>
      </c>
      <c r="C306" s="106" t="s">
        <v>3956</v>
      </c>
      <c r="E306" s="208"/>
      <c r="F306" s="209"/>
      <c r="I306" s="210">
        <v>57</v>
      </c>
      <c r="J306" s="209"/>
    </row>
    <row r="307" spans="1:10">
      <c r="A307" s="106" t="s">
        <v>2316</v>
      </c>
      <c r="B307" s="106" t="s">
        <v>3611</v>
      </c>
      <c r="C307" s="106" t="s">
        <v>3025</v>
      </c>
      <c r="E307" s="208">
        <v>43829</v>
      </c>
      <c r="F307" s="209"/>
      <c r="H307" s="106">
        <v>193</v>
      </c>
      <c r="I307" s="210"/>
      <c r="J307" s="209"/>
    </row>
    <row r="308" spans="1:10">
      <c r="A308" s="106" t="s">
        <v>2316</v>
      </c>
      <c r="B308" s="106" t="s">
        <v>3612</v>
      </c>
      <c r="C308" s="106" t="s">
        <v>3026</v>
      </c>
      <c r="E308" s="208">
        <v>43829</v>
      </c>
      <c r="F308" s="209"/>
      <c r="H308" s="106">
        <v>194</v>
      </c>
      <c r="I308" s="210"/>
      <c r="J308" s="209"/>
    </row>
    <row r="309" spans="1:10">
      <c r="A309" s="106" t="s">
        <v>3127</v>
      </c>
      <c r="B309" s="106" t="s">
        <v>3158</v>
      </c>
      <c r="C309" s="106" t="s">
        <v>3932</v>
      </c>
      <c r="E309" s="208"/>
      <c r="F309" s="209"/>
      <c r="H309" s="106">
        <v>643</v>
      </c>
      <c r="I309" s="210"/>
      <c r="J309" s="209"/>
    </row>
    <row r="310" spans="1:10">
      <c r="A310" s="106" t="s">
        <v>3924</v>
      </c>
      <c r="B310" s="106" t="s">
        <v>3925</v>
      </c>
      <c r="C310" s="106" t="s">
        <v>3089</v>
      </c>
      <c r="E310" s="208"/>
      <c r="F310" s="209"/>
      <c r="H310" s="106">
        <v>432</v>
      </c>
      <c r="I310" s="210"/>
      <c r="J310" s="209"/>
    </row>
    <row r="311" spans="1:10">
      <c r="A311" s="106" t="s">
        <v>3613</v>
      </c>
      <c r="B311" s="106" t="s">
        <v>3614</v>
      </c>
      <c r="C311" s="106" t="s">
        <v>2920</v>
      </c>
      <c r="E311" s="208">
        <v>43829</v>
      </c>
      <c r="F311" s="209"/>
      <c r="H311" s="106">
        <v>50</v>
      </c>
      <c r="I311" s="210"/>
      <c r="J311" s="209"/>
    </row>
    <row r="312" spans="1:10">
      <c r="A312" s="106" t="s">
        <v>3615</v>
      </c>
      <c r="B312" s="106" t="s">
        <v>3616</v>
      </c>
      <c r="C312" s="106" t="s">
        <v>3617</v>
      </c>
      <c r="E312" s="208">
        <v>43829</v>
      </c>
      <c r="F312" s="209"/>
      <c r="H312" s="106">
        <v>334</v>
      </c>
      <c r="I312" s="210"/>
      <c r="J312" s="209"/>
    </row>
    <row r="313" spans="1:10">
      <c r="A313" s="106" t="s">
        <v>3618</v>
      </c>
      <c r="B313" s="106" t="s">
        <v>3619</v>
      </c>
      <c r="C313" s="106" t="s">
        <v>3620</v>
      </c>
      <c r="E313" s="208">
        <v>43829</v>
      </c>
      <c r="F313" s="209"/>
      <c r="H313" s="106">
        <v>288</v>
      </c>
      <c r="I313" s="210"/>
      <c r="J313" s="209"/>
    </row>
    <row r="314" spans="1:10">
      <c r="A314" s="106" t="s">
        <v>3621</v>
      </c>
      <c r="B314" s="106" t="s">
        <v>3622</v>
      </c>
      <c r="C314" s="106" t="s">
        <v>3623</v>
      </c>
      <c r="E314" s="208">
        <v>43829</v>
      </c>
      <c r="F314" s="209"/>
      <c r="H314" s="106">
        <v>758</v>
      </c>
      <c r="I314" s="210"/>
      <c r="J314" s="209"/>
    </row>
    <row r="315" spans="1:10">
      <c r="A315" s="106" t="s">
        <v>3921</v>
      </c>
      <c r="B315" s="106" t="s">
        <v>3629</v>
      </c>
      <c r="C315" s="106" t="s">
        <v>2904</v>
      </c>
      <c r="E315" s="208"/>
      <c r="F315" s="209"/>
      <c r="H315" s="106">
        <v>32</v>
      </c>
      <c r="I315" s="210"/>
      <c r="J315" s="209"/>
    </row>
    <row r="316" spans="1:10">
      <c r="A316" s="106" t="s">
        <v>3168</v>
      </c>
      <c r="B316" s="106" t="s">
        <v>3167</v>
      </c>
      <c r="C316" s="106" t="s">
        <v>3169</v>
      </c>
      <c r="E316" s="208"/>
      <c r="F316" s="209"/>
      <c r="H316" s="106">
        <v>37</v>
      </c>
      <c r="I316" s="210"/>
      <c r="J316" s="209"/>
    </row>
    <row r="317" spans="1:10">
      <c r="A317" s="106" t="s">
        <v>3624</v>
      </c>
      <c r="B317" s="106" t="s">
        <v>3625</v>
      </c>
      <c r="C317" s="106" t="s">
        <v>2971</v>
      </c>
      <c r="E317" s="208">
        <v>43828</v>
      </c>
      <c r="F317" s="209"/>
      <c r="H317" s="106">
        <v>118</v>
      </c>
      <c r="I317" s="210"/>
      <c r="J317" s="209"/>
    </row>
    <row r="318" spans="1:10">
      <c r="A318" s="106" t="s">
        <v>3626</v>
      </c>
      <c r="C318" s="106" t="s">
        <v>2970</v>
      </c>
      <c r="E318" s="208">
        <v>43829</v>
      </c>
      <c r="F318" s="209"/>
      <c r="H318" s="106">
        <v>117</v>
      </c>
      <c r="I318" s="210"/>
      <c r="J318" s="209"/>
    </row>
    <row r="319" spans="1:10">
      <c r="A319" s="106" t="s">
        <v>3627</v>
      </c>
      <c r="B319" s="106" t="s">
        <v>3628</v>
      </c>
      <c r="C319" s="106" t="s">
        <v>2801</v>
      </c>
      <c r="E319" s="209">
        <v>43828</v>
      </c>
      <c r="F319" s="209"/>
      <c r="H319" s="106">
        <v>160</v>
      </c>
      <c r="I319" s="210"/>
      <c r="J319" s="209"/>
    </row>
    <row r="320" spans="1:10">
      <c r="A320" s="106" t="s">
        <v>3627</v>
      </c>
      <c r="B320" s="106" t="s">
        <v>3629</v>
      </c>
      <c r="C320" s="106" t="s">
        <v>2802</v>
      </c>
      <c r="E320" s="209">
        <v>43828</v>
      </c>
      <c r="F320" s="209"/>
      <c r="H320" s="106">
        <v>263</v>
      </c>
      <c r="I320" s="210"/>
      <c r="J320" s="209"/>
    </row>
    <row r="321" spans="1:10">
      <c r="A321" s="106" t="s">
        <v>3630</v>
      </c>
      <c r="B321" s="106" t="s">
        <v>2539</v>
      </c>
      <c r="C321" s="106" t="s">
        <v>2908</v>
      </c>
      <c r="E321" s="208">
        <v>43829</v>
      </c>
      <c r="F321" s="209"/>
      <c r="H321" s="106">
        <v>36</v>
      </c>
      <c r="I321" s="210"/>
      <c r="J321" s="209"/>
    </row>
    <row r="322" spans="1:10">
      <c r="A322" s="106" t="s">
        <v>3631</v>
      </c>
      <c r="B322" s="106" t="s">
        <v>3632</v>
      </c>
      <c r="C322" s="106" t="s">
        <v>3633</v>
      </c>
      <c r="E322" s="208">
        <v>43829</v>
      </c>
      <c r="F322" s="209"/>
      <c r="H322" s="106">
        <v>319</v>
      </c>
      <c r="I322" s="210"/>
      <c r="J322" s="209"/>
    </row>
    <row r="323" spans="1:10">
      <c r="A323" s="106" t="s">
        <v>3634</v>
      </c>
      <c r="B323" s="106" t="s">
        <v>3635</v>
      </c>
      <c r="C323" s="106" t="s">
        <v>3636</v>
      </c>
      <c r="E323" s="208">
        <v>43829</v>
      </c>
      <c r="F323" s="209"/>
      <c r="H323" s="106">
        <v>763</v>
      </c>
      <c r="I323" s="210"/>
      <c r="J323" s="209"/>
    </row>
    <row r="324" spans="1:10">
      <c r="A324" s="106" t="s">
        <v>3637</v>
      </c>
      <c r="B324" s="106" t="s">
        <v>3638</v>
      </c>
      <c r="C324" s="106" t="s">
        <v>3639</v>
      </c>
      <c r="E324" s="208">
        <v>43829</v>
      </c>
      <c r="F324" s="209"/>
      <c r="H324" s="106">
        <v>474</v>
      </c>
      <c r="I324" s="210"/>
      <c r="J324" s="209"/>
    </row>
    <row r="325" spans="1:10">
      <c r="A325" s="106" t="s">
        <v>3640</v>
      </c>
      <c r="B325" s="106" t="s">
        <v>3641</v>
      </c>
      <c r="C325" s="106" t="s">
        <v>3642</v>
      </c>
      <c r="E325" s="208">
        <v>43829</v>
      </c>
      <c r="F325" s="209"/>
      <c r="H325" s="106">
        <v>751</v>
      </c>
      <c r="I325" s="210"/>
      <c r="J325" s="209"/>
    </row>
    <row r="326" spans="1:10">
      <c r="A326" s="106" t="s">
        <v>3643</v>
      </c>
      <c r="B326" s="106" t="s">
        <v>3644</v>
      </c>
      <c r="C326" s="106" t="s">
        <v>3645</v>
      </c>
      <c r="E326" s="208">
        <v>43829</v>
      </c>
      <c r="F326" s="209"/>
      <c r="H326" s="106">
        <v>476</v>
      </c>
      <c r="I326" s="210"/>
      <c r="J326" s="209"/>
    </row>
    <row r="327" spans="1:10">
      <c r="A327" s="106" t="s">
        <v>3646</v>
      </c>
      <c r="B327" s="106" t="s">
        <v>3647</v>
      </c>
      <c r="C327" s="106" t="s">
        <v>3648</v>
      </c>
      <c r="E327" s="208">
        <v>43829</v>
      </c>
      <c r="F327" s="209"/>
      <c r="H327" s="106">
        <v>594</v>
      </c>
      <c r="I327" s="210"/>
      <c r="J327" s="209"/>
    </row>
    <row r="328" spans="1:10">
      <c r="A328" s="106" t="s">
        <v>3649</v>
      </c>
      <c r="B328" s="106" t="s">
        <v>3650</v>
      </c>
      <c r="C328" s="106" t="s">
        <v>3651</v>
      </c>
      <c r="E328" s="208">
        <v>43829</v>
      </c>
      <c r="F328" s="209"/>
      <c r="H328" s="106">
        <v>344</v>
      </c>
      <c r="I328" s="210"/>
      <c r="J328" s="209"/>
    </row>
    <row r="329" spans="1:10">
      <c r="A329" s="106" t="s">
        <v>3652</v>
      </c>
      <c r="B329" s="106" t="s">
        <v>2538</v>
      </c>
      <c r="C329" s="106" t="s">
        <v>2895</v>
      </c>
      <c r="E329" s="208">
        <v>43829</v>
      </c>
      <c r="F329" s="209"/>
      <c r="H329" s="106">
        <v>21</v>
      </c>
      <c r="I329" s="210"/>
      <c r="J329" s="209"/>
    </row>
    <row r="330" spans="1:10">
      <c r="A330" s="106" t="s">
        <v>3946</v>
      </c>
      <c r="C330" s="106" t="s">
        <v>3947</v>
      </c>
      <c r="E330" s="208"/>
      <c r="F330" s="209"/>
      <c r="I330" s="210">
        <v>58</v>
      </c>
      <c r="J330" s="209"/>
    </row>
    <row r="331" spans="1:10">
      <c r="A331" s="106" t="s">
        <v>3653</v>
      </c>
      <c r="B331" s="106" t="s">
        <v>3654</v>
      </c>
      <c r="C331" s="106" t="s">
        <v>3655</v>
      </c>
      <c r="E331" s="208">
        <v>43829</v>
      </c>
      <c r="F331" s="209"/>
      <c r="H331" s="106">
        <v>316</v>
      </c>
      <c r="I331" s="210"/>
      <c r="J331" s="209"/>
    </row>
    <row r="332" spans="1:10">
      <c r="A332" s="106" t="s">
        <v>3656</v>
      </c>
      <c r="B332" s="106" t="s">
        <v>3657</v>
      </c>
      <c r="C332" s="106" t="s">
        <v>2889</v>
      </c>
      <c r="E332" s="208">
        <v>43829</v>
      </c>
      <c r="F332" s="209"/>
      <c r="H332" s="106">
        <v>13</v>
      </c>
      <c r="I332" s="210"/>
      <c r="J332" s="209"/>
    </row>
    <row r="333" spans="1:10">
      <c r="A333" s="106" t="s">
        <v>3658</v>
      </c>
      <c r="B333" s="106" t="s">
        <v>3659</v>
      </c>
      <c r="C333" s="106" t="s">
        <v>3660</v>
      </c>
      <c r="E333" s="208">
        <v>43829</v>
      </c>
      <c r="F333" s="209"/>
      <c r="H333" s="106">
        <v>726</v>
      </c>
      <c r="I333" s="210"/>
      <c r="J333" s="209"/>
    </row>
    <row r="334" spans="1:10">
      <c r="A334" s="106" t="s">
        <v>3661</v>
      </c>
      <c r="C334" s="211" t="s">
        <v>3081</v>
      </c>
      <c r="D334" s="211"/>
      <c r="E334" s="208">
        <v>43829</v>
      </c>
      <c r="F334" s="209"/>
      <c r="I334" s="210"/>
      <c r="J334" s="209"/>
    </row>
    <row r="335" spans="1:10">
      <c r="A335" s="106" t="s">
        <v>3661</v>
      </c>
      <c r="C335" s="106" t="s">
        <v>3004</v>
      </c>
      <c r="E335" s="208"/>
      <c r="F335" s="209"/>
      <c r="H335" s="106">
        <v>167</v>
      </c>
      <c r="I335" s="210"/>
      <c r="J335" s="209"/>
    </row>
    <row r="336" spans="1:10">
      <c r="A336" s="106" t="s">
        <v>3662</v>
      </c>
      <c r="B336" s="106" t="s">
        <v>3663</v>
      </c>
      <c r="C336" s="106" t="s">
        <v>3664</v>
      </c>
      <c r="E336" s="208">
        <v>43829</v>
      </c>
      <c r="F336" s="209"/>
      <c r="H336" s="106">
        <v>430</v>
      </c>
      <c r="I336" s="210"/>
      <c r="J336" s="209"/>
    </row>
    <row r="337" spans="1:11">
      <c r="A337" s="106" t="s">
        <v>2330</v>
      </c>
      <c r="B337" s="106" t="s">
        <v>2333</v>
      </c>
      <c r="C337" s="106" t="s">
        <v>2809</v>
      </c>
      <c r="E337" s="209">
        <v>43828</v>
      </c>
      <c r="F337" s="209"/>
      <c r="H337" s="106">
        <v>765</v>
      </c>
      <c r="I337" s="210"/>
      <c r="J337" s="209"/>
    </row>
    <row r="338" spans="1:11">
      <c r="A338" s="106" t="s">
        <v>3665</v>
      </c>
      <c r="B338" s="106" t="s">
        <v>3666</v>
      </c>
      <c r="C338" s="106" t="s">
        <v>3667</v>
      </c>
      <c r="E338" s="208">
        <v>43829</v>
      </c>
      <c r="F338" s="209"/>
      <c r="H338" s="106">
        <v>384</v>
      </c>
      <c r="I338" s="210"/>
      <c r="J338" s="209"/>
    </row>
    <row r="339" spans="1:11">
      <c r="A339" s="106" t="s">
        <v>3665</v>
      </c>
      <c r="B339" s="106" t="s">
        <v>3668</v>
      </c>
      <c r="C339" s="106" t="s">
        <v>3669</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3670</v>
      </c>
      <c r="B342" s="106" t="s">
        <v>3671</v>
      </c>
      <c r="C342" s="106" t="s">
        <v>2943</v>
      </c>
      <c r="E342" s="208">
        <v>43829</v>
      </c>
      <c r="F342" s="209"/>
      <c r="H342" s="106">
        <v>78</v>
      </c>
      <c r="I342" s="210"/>
      <c r="J342" s="209"/>
    </row>
    <row r="343" spans="1:11">
      <c r="A343" s="106" t="s">
        <v>3672</v>
      </c>
      <c r="C343" s="106" t="s">
        <v>2877</v>
      </c>
      <c r="D343" s="106" t="s">
        <v>2626</v>
      </c>
      <c r="E343" s="209">
        <v>43828</v>
      </c>
      <c r="F343" s="209"/>
      <c r="I343" s="210">
        <v>92</v>
      </c>
      <c r="J343" s="209"/>
      <c r="K343" s="106" t="s">
        <v>2664</v>
      </c>
    </row>
    <row r="344" spans="1:11">
      <c r="A344" s="106" t="s">
        <v>3673</v>
      </c>
      <c r="B344" s="106" t="s">
        <v>3674</v>
      </c>
      <c r="C344" s="106" t="s">
        <v>3675</v>
      </c>
      <c r="E344" s="208">
        <v>43829</v>
      </c>
      <c r="F344" s="209"/>
      <c r="H344" s="106">
        <v>505</v>
      </c>
      <c r="I344" s="210"/>
      <c r="J344" s="209"/>
    </row>
    <row r="345" spans="1:11">
      <c r="A345" s="106" t="s">
        <v>3676</v>
      </c>
      <c r="B345" s="106" t="s">
        <v>3677</v>
      </c>
      <c r="C345" s="106" t="s">
        <v>2783</v>
      </c>
      <c r="E345" s="209">
        <v>43828</v>
      </c>
      <c r="F345" s="209"/>
      <c r="H345" s="106">
        <v>764</v>
      </c>
      <c r="I345" s="210"/>
      <c r="J345" s="209"/>
    </row>
    <row r="346" spans="1:11">
      <c r="A346" s="106" t="s">
        <v>1217</v>
      </c>
      <c r="B346" s="106" t="s">
        <v>1180</v>
      </c>
      <c r="C346" s="106" t="s">
        <v>985</v>
      </c>
      <c r="H346" s="106">
        <v>764</v>
      </c>
    </row>
    <row r="347" spans="1:11">
      <c r="A347" s="106" t="s">
        <v>3678</v>
      </c>
      <c r="C347" s="106" t="s">
        <v>2876</v>
      </c>
      <c r="E347" s="209">
        <v>43828</v>
      </c>
      <c r="F347" s="209"/>
      <c r="H347" s="106">
        <v>121</v>
      </c>
      <c r="I347" s="210">
        <v>89</v>
      </c>
      <c r="J347" s="209"/>
    </row>
    <row r="348" spans="1:11">
      <c r="A348" s="106" t="s">
        <v>3679</v>
      </c>
      <c r="B348" s="106" t="s">
        <v>3680</v>
      </c>
      <c r="C348" s="106" t="s">
        <v>3681</v>
      </c>
      <c r="E348" s="208">
        <v>43829</v>
      </c>
      <c r="F348" s="209"/>
      <c r="H348" s="106">
        <v>615</v>
      </c>
      <c r="I348" s="210"/>
      <c r="J348" s="209"/>
    </row>
    <row r="349" spans="1:11">
      <c r="A349" s="106" t="s">
        <v>3682</v>
      </c>
      <c r="B349" s="106" t="s">
        <v>3683</v>
      </c>
      <c r="C349" s="106" t="s">
        <v>2974</v>
      </c>
      <c r="E349" s="208">
        <v>43829</v>
      </c>
      <c r="F349" s="209"/>
      <c r="H349" s="106">
        <v>122</v>
      </c>
      <c r="I349" s="210"/>
      <c r="J349" s="209"/>
    </row>
    <row r="350" spans="1:11">
      <c r="A350" s="214" t="s">
        <v>3682</v>
      </c>
      <c r="B350" s="214" t="s">
        <v>3684</v>
      </c>
      <c r="C350" s="214" t="s">
        <v>3685</v>
      </c>
      <c r="E350" s="208">
        <v>43829</v>
      </c>
      <c r="F350" s="209"/>
      <c r="H350" s="106">
        <v>488</v>
      </c>
      <c r="I350" s="210"/>
      <c r="J350" s="209"/>
    </row>
    <row r="351" spans="1:11">
      <c r="A351" s="106" t="s">
        <v>3686</v>
      </c>
      <c r="B351" s="106" t="s">
        <v>3687</v>
      </c>
      <c r="C351" s="106" t="s">
        <v>2993</v>
      </c>
      <c r="E351" s="208">
        <v>43829</v>
      </c>
      <c r="F351" s="209"/>
      <c r="H351" s="106">
        <v>149</v>
      </c>
      <c r="I351" s="210"/>
      <c r="J351" s="209"/>
    </row>
    <row r="352" spans="1:11">
      <c r="A352" s="106" t="s">
        <v>3688</v>
      </c>
      <c r="B352" s="106" t="s">
        <v>3689</v>
      </c>
      <c r="C352" s="106" t="s">
        <v>3051</v>
      </c>
      <c r="E352" s="208">
        <v>43829</v>
      </c>
      <c r="F352" s="209"/>
      <c r="H352" s="106">
        <v>220</v>
      </c>
      <c r="I352" s="210"/>
      <c r="J352" s="209"/>
    </row>
    <row r="353" spans="1:11">
      <c r="A353" s="106" t="s">
        <v>3690</v>
      </c>
      <c r="B353" s="106" t="s">
        <v>3691</v>
      </c>
      <c r="C353" s="106" t="s">
        <v>2968</v>
      </c>
      <c r="E353" s="208">
        <v>43829</v>
      </c>
      <c r="F353" s="209"/>
      <c r="H353" s="106">
        <v>115</v>
      </c>
      <c r="I353" s="210"/>
      <c r="J353" s="209"/>
      <c r="K353" s="106" t="s">
        <v>2673</v>
      </c>
    </row>
    <row r="354" spans="1:11">
      <c r="A354" s="106" t="s">
        <v>3692</v>
      </c>
      <c r="B354" s="106" t="s">
        <v>3693</v>
      </c>
      <c r="C354" s="106" t="s">
        <v>3694</v>
      </c>
      <c r="E354" s="208">
        <v>43829</v>
      </c>
      <c r="F354" s="209"/>
      <c r="H354" s="106">
        <v>365</v>
      </c>
      <c r="I354" s="210"/>
      <c r="J354" s="209"/>
    </row>
    <row r="355" spans="1:11">
      <c r="A355" s="106" t="s">
        <v>3695</v>
      </c>
      <c r="B355" s="106" t="s">
        <v>3696</v>
      </c>
      <c r="C355" s="106" t="s">
        <v>3697</v>
      </c>
      <c r="E355" s="208">
        <v>43829</v>
      </c>
      <c r="F355" s="209"/>
      <c r="H355" s="106">
        <v>580</v>
      </c>
      <c r="I355" s="210"/>
      <c r="J355" s="209"/>
    </row>
    <row r="356" spans="1:11">
      <c r="A356" s="106" t="s">
        <v>3698</v>
      </c>
      <c r="B356" s="106" t="s">
        <v>3699</v>
      </c>
      <c r="C356" s="106" t="s">
        <v>3700</v>
      </c>
      <c r="E356" s="208">
        <v>43829</v>
      </c>
      <c r="F356" s="209"/>
      <c r="H356" s="106">
        <v>576</v>
      </c>
      <c r="I356" s="210"/>
      <c r="J356" s="209"/>
    </row>
    <row r="357" spans="1:11">
      <c r="A357" s="106" t="s">
        <v>3701</v>
      </c>
      <c r="B357" s="106" t="s">
        <v>3702</v>
      </c>
      <c r="C357" s="106" t="s">
        <v>3703</v>
      </c>
      <c r="E357" s="208">
        <v>43829</v>
      </c>
      <c r="F357" s="209"/>
      <c r="H357" s="106">
        <v>461</v>
      </c>
      <c r="I357" s="210"/>
      <c r="J357" s="209"/>
    </row>
    <row r="358" spans="1:11">
      <c r="A358" s="106" t="s">
        <v>3704</v>
      </c>
      <c r="B358" s="106" t="s">
        <v>2681</v>
      </c>
      <c r="C358" s="106" t="s">
        <v>3705</v>
      </c>
      <c r="E358" s="208">
        <v>43829</v>
      </c>
      <c r="F358" s="209"/>
      <c r="H358" s="106">
        <v>383</v>
      </c>
      <c r="I358" s="210"/>
      <c r="J358" s="209"/>
    </row>
    <row r="359" spans="1:11">
      <c r="A359" s="106" t="s">
        <v>3706</v>
      </c>
      <c r="B359" s="106" t="s">
        <v>3707</v>
      </c>
      <c r="C359" s="106" t="s">
        <v>2903</v>
      </c>
      <c r="E359" s="208">
        <v>43829</v>
      </c>
      <c r="F359" s="209"/>
      <c r="H359" s="106">
        <v>29</v>
      </c>
      <c r="I359" s="210"/>
      <c r="J359" s="209"/>
    </row>
    <row r="360" spans="1:11">
      <c r="A360" s="106" t="s">
        <v>3708</v>
      </c>
      <c r="B360" s="106" t="s">
        <v>3709</v>
      </c>
      <c r="C360" s="106" t="s">
        <v>3043</v>
      </c>
      <c r="E360" s="208">
        <v>43829</v>
      </c>
      <c r="F360" s="209"/>
      <c r="H360" s="106">
        <v>212</v>
      </c>
      <c r="I360" s="210"/>
      <c r="J360" s="209"/>
    </row>
    <row r="361" spans="1:11">
      <c r="A361" s="106" t="s">
        <v>3708</v>
      </c>
      <c r="B361" s="106" t="s">
        <v>3710</v>
      </c>
      <c r="C361" s="106" t="s">
        <v>3711</v>
      </c>
      <c r="E361" s="208">
        <v>43829</v>
      </c>
      <c r="F361" s="209"/>
      <c r="H361" s="106">
        <v>307</v>
      </c>
      <c r="I361" s="210"/>
      <c r="J361" s="209"/>
    </row>
    <row r="362" spans="1:11">
      <c r="A362" s="106" t="s">
        <v>3708</v>
      </c>
      <c r="B362" s="106" t="s">
        <v>3712</v>
      </c>
      <c r="C362" s="106" t="s">
        <v>3713</v>
      </c>
      <c r="E362" s="208">
        <v>43829</v>
      </c>
      <c r="F362" s="209"/>
      <c r="H362" s="106">
        <v>680</v>
      </c>
      <c r="I362" s="210"/>
      <c r="J362" s="209"/>
    </row>
    <row r="363" spans="1:11">
      <c r="A363" s="106" t="s">
        <v>3708</v>
      </c>
      <c r="B363" s="106" t="s">
        <v>3714</v>
      </c>
      <c r="C363" s="106" t="s">
        <v>3715</v>
      </c>
      <c r="E363" s="208">
        <v>43829</v>
      </c>
      <c r="F363" s="209"/>
      <c r="H363" s="106">
        <v>722</v>
      </c>
      <c r="I363" s="210"/>
      <c r="J363" s="209"/>
    </row>
    <row r="364" spans="1:11">
      <c r="A364" s="106" t="s">
        <v>3716</v>
      </c>
      <c r="B364" s="106" t="s">
        <v>3717</v>
      </c>
      <c r="C364" s="106" t="s">
        <v>3718</v>
      </c>
      <c r="E364" s="208">
        <v>43829</v>
      </c>
      <c r="F364" s="209"/>
      <c r="H364" s="106">
        <v>710</v>
      </c>
      <c r="I364" s="210"/>
      <c r="J364" s="209"/>
    </row>
    <row r="365" spans="1:11">
      <c r="A365" s="106" t="s">
        <v>3719</v>
      </c>
      <c r="B365" s="106" t="s">
        <v>3720</v>
      </c>
      <c r="C365" s="106" t="s">
        <v>3033</v>
      </c>
      <c r="E365" s="208">
        <v>43829</v>
      </c>
      <c r="F365" s="209"/>
      <c r="H365" s="106">
        <v>201</v>
      </c>
      <c r="I365" s="210"/>
      <c r="J365" s="209"/>
    </row>
    <row r="366" spans="1:11">
      <c r="A366" s="106" t="s">
        <v>3067</v>
      </c>
      <c r="B366" s="106" t="s">
        <v>3721</v>
      </c>
      <c r="C366" s="106" t="s">
        <v>2884</v>
      </c>
      <c r="E366" s="208">
        <v>43829</v>
      </c>
      <c r="F366" s="209"/>
      <c r="H366" s="106" t="s">
        <v>3934</v>
      </c>
      <c r="I366" s="210"/>
      <c r="J366" s="209"/>
    </row>
    <row r="367" spans="1:11">
      <c r="A367" s="106" t="s">
        <v>3722</v>
      </c>
      <c r="B367" s="106" t="s">
        <v>3723</v>
      </c>
      <c r="C367" s="106" t="s">
        <v>3724</v>
      </c>
      <c r="E367" s="208">
        <v>43829</v>
      </c>
      <c r="F367" s="209"/>
      <c r="H367" s="106">
        <v>658</v>
      </c>
      <c r="I367" s="210"/>
      <c r="J367" s="209"/>
    </row>
    <row r="368" spans="1:11">
      <c r="A368" s="106" t="s">
        <v>3725</v>
      </c>
      <c r="B368" s="106" t="s">
        <v>3726</v>
      </c>
      <c r="C368" s="106" t="s">
        <v>3727</v>
      </c>
      <c r="E368" s="208">
        <v>43829</v>
      </c>
      <c r="F368" s="209"/>
      <c r="H368" s="106">
        <v>375</v>
      </c>
      <c r="I368" s="210"/>
      <c r="J368" s="209"/>
    </row>
    <row r="369" spans="1:10">
      <c r="A369" s="106" t="s">
        <v>3725</v>
      </c>
      <c r="B369" s="106" t="s">
        <v>3728</v>
      </c>
      <c r="C369" s="106" t="s">
        <v>3729</v>
      </c>
      <c r="E369" s="208">
        <v>43829</v>
      </c>
      <c r="F369" s="209"/>
      <c r="H369" s="106">
        <v>734</v>
      </c>
      <c r="I369" s="210"/>
      <c r="J369" s="209"/>
    </row>
    <row r="370" spans="1:10">
      <c r="A370" s="106" t="s">
        <v>3730</v>
      </c>
      <c r="B370" s="106" t="s">
        <v>3731</v>
      </c>
      <c r="C370" s="106" t="s">
        <v>3031</v>
      </c>
      <c r="E370" s="208">
        <v>43829</v>
      </c>
      <c r="F370" s="209"/>
      <c r="H370" s="106">
        <v>199</v>
      </c>
      <c r="I370" s="210"/>
      <c r="J370" s="209"/>
    </row>
    <row r="371" spans="1:10">
      <c r="A371" s="106" t="s">
        <v>3951</v>
      </c>
      <c r="C371" s="106" t="s">
        <v>3952</v>
      </c>
      <c r="E371" s="208"/>
      <c r="F371" s="209"/>
      <c r="I371" s="210">
        <v>59</v>
      </c>
      <c r="J371" s="209"/>
    </row>
    <row r="372" spans="1:10">
      <c r="A372" s="106" t="s">
        <v>3732</v>
      </c>
      <c r="B372" s="106" t="s">
        <v>3733</v>
      </c>
      <c r="C372" s="106" t="s">
        <v>3007</v>
      </c>
      <c r="E372" s="208">
        <v>43829</v>
      </c>
      <c r="F372" s="209"/>
      <c r="H372" s="106">
        <v>170</v>
      </c>
      <c r="I372" s="210"/>
      <c r="J372" s="209"/>
    </row>
    <row r="373" spans="1:10">
      <c r="A373" s="106" t="s">
        <v>3734</v>
      </c>
      <c r="B373" s="106" t="s">
        <v>3735</v>
      </c>
      <c r="C373" s="106" t="s">
        <v>3736</v>
      </c>
      <c r="E373" s="208">
        <v>43829</v>
      </c>
      <c r="F373" s="209"/>
      <c r="H373" s="106">
        <v>537</v>
      </c>
      <c r="I373" s="210"/>
      <c r="J373" s="209"/>
    </row>
    <row r="374" spans="1:10">
      <c r="A374" s="106" t="s">
        <v>2743</v>
      </c>
      <c r="C374" s="106" t="s">
        <v>2746</v>
      </c>
      <c r="E374" s="208">
        <v>43825</v>
      </c>
      <c r="F374" s="209"/>
      <c r="I374" s="210">
        <v>60</v>
      </c>
    </row>
    <row r="375" spans="1:10">
      <c r="A375" s="106" t="s">
        <v>3737</v>
      </c>
      <c r="B375" s="106" t="s">
        <v>3738</v>
      </c>
      <c r="C375" s="106" t="s">
        <v>2776</v>
      </c>
      <c r="E375" s="209">
        <v>43828</v>
      </c>
      <c r="F375" s="209"/>
      <c r="H375" s="106">
        <v>573</v>
      </c>
      <c r="I375" s="210"/>
      <c r="J375" s="209"/>
    </row>
    <row r="376" spans="1:10">
      <c r="A376" s="217" t="s">
        <v>2696</v>
      </c>
      <c r="B376" s="217"/>
      <c r="C376" s="211" t="s">
        <v>2697</v>
      </c>
      <c r="D376" s="211"/>
      <c r="E376" s="208">
        <v>43825</v>
      </c>
      <c r="F376" s="209" t="s">
        <v>2231</v>
      </c>
      <c r="I376" s="210">
        <v>61</v>
      </c>
    </row>
    <row r="377" spans="1:10">
      <c r="A377" s="106" t="s">
        <v>3739</v>
      </c>
      <c r="B377" s="106" t="s">
        <v>3740</v>
      </c>
      <c r="C377" s="106" t="s">
        <v>2789</v>
      </c>
      <c r="E377" s="209">
        <v>43828</v>
      </c>
      <c r="F377" s="209"/>
      <c r="H377" s="106">
        <v>730</v>
      </c>
      <c r="I377" s="210"/>
      <c r="J377" s="209"/>
    </row>
    <row r="378" spans="1:10">
      <c r="A378" s="106" t="s">
        <v>3739</v>
      </c>
      <c r="C378" s="106" t="s">
        <v>3741</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3742</v>
      </c>
      <c r="B381" s="106" t="s">
        <v>3743</v>
      </c>
      <c r="C381" s="106" t="s">
        <v>2894</v>
      </c>
      <c r="E381" s="208">
        <v>43829</v>
      </c>
      <c r="F381" s="209"/>
      <c r="H381" s="106">
        <v>19</v>
      </c>
      <c r="I381" s="210"/>
      <c r="J381" s="209"/>
    </row>
    <row r="382" spans="1:10">
      <c r="A382" s="106" t="s">
        <v>3744</v>
      </c>
      <c r="B382" s="106" t="s">
        <v>3745</v>
      </c>
      <c r="C382" s="106" t="s">
        <v>2833</v>
      </c>
      <c r="E382" s="209">
        <v>43828</v>
      </c>
      <c r="F382" s="209"/>
      <c r="H382" s="106">
        <v>139</v>
      </c>
      <c r="I382" s="210"/>
      <c r="J382" s="209"/>
    </row>
    <row r="383" spans="1:10">
      <c r="A383" s="106" t="s">
        <v>2384</v>
      </c>
      <c r="C383" s="106" t="s">
        <v>2873</v>
      </c>
      <c r="E383" s="209">
        <v>43828</v>
      </c>
      <c r="F383" s="209"/>
      <c r="H383" s="106">
        <v>269</v>
      </c>
      <c r="I383" s="210"/>
      <c r="J383" s="209"/>
    </row>
    <row r="384" spans="1:10">
      <c r="A384" s="106" t="s">
        <v>3746</v>
      </c>
      <c r="B384" s="106" t="s">
        <v>3747</v>
      </c>
      <c r="C384" s="106" t="s">
        <v>3748</v>
      </c>
      <c r="E384" s="208">
        <v>43829</v>
      </c>
      <c r="F384" s="209"/>
      <c r="H384" s="106">
        <v>246</v>
      </c>
      <c r="I384" s="210"/>
      <c r="J384" s="209"/>
    </row>
    <row r="385" spans="1:10">
      <c r="A385" s="106" t="s">
        <v>3749</v>
      </c>
      <c r="C385" s="211" t="s">
        <v>3082</v>
      </c>
      <c r="D385" s="211"/>
      <c r="E385" s="208">
        <v>43829</v>
      </c>
      <c r="F385" s="209"/>
      <c r="I385" s="210">
        <v>113</v>
      </c>
      <c r="J385" s="209"/>
    </row>
    <row r="386" spans="1:10">
      <c r="A386" s="106" t="s">
        <v>3749</v>
      </c>
      <c r="C386" s="106" t="s">
        <v>2888</v>
      </c>
      <c r="E386" s="208"/>
      <c r="F386" s="209"/>
      <c r="H386" s="106">
        <v>10</v>
      </c>
      <c r="I386" s="210"/>
      <c r="J386" s="209"/>
    </row>
    <row r="387" spans="1:10">
      <c r="A387" s="106" t="s">
        <v>3750</v>
      </c>
      <c r="B387" s="106" t="s">
        <v>3751</v>
      </c>
      <c r="C387" s="106" t="s">
        <v>3752</v>
      </c>
      <c r="E387" s="208">
        <v>43829</v>
      </c>
      <c r="F387" s="209"/>
      <c r="H387" s="106">
        <v>676</v>
      </c>
      <c r="I387" s="210"/>
      <c r="J387" s="209"/>
    </row>
    <row r="388" spans="1:10">
      <c r="A388" s="106" t="s">
        <v>3753</v>
      </c>
      <c r="B388" s="106" t="s">
        <v>3210</v>
      </c>
      <c r="C388" s="106" t="s">
        <v>3754</v>
      </c>
      <c r="E388" s="208">
        <v>43829</v>
      </c>
      <c r="F388" s="209"/>
      <c r="H388" s="106">
        <v>761</v>
      </c>
      <c r="I388" s="210"/>
      <c r="J388" s="209"/>
    </row>
    <row r="389" spans="1:10">
      <c r="A389" s="106" t="s">
        <v>3755</v>
      </c>
      <c r="B389" s="106" t="s">
        <v>3756</v>
      </c>
      <c r="C389" s="106" t="s">
        <v>2853</v>
      </c>
      <c r="E389" s="209">
        <v>43828</v>
      </c>
      <c r="F389" s="209"/>
      <c r="H389" s="106">
        <v>97</v>
      </c>
      <c r="I389" s="210"/>
      <c r="J389" s="209"/>
    </row>
    <row r="390" spans="1:10">
      <c r="A390" s="106" t="s">
        <v>2343</v>
      </c>
      <c r="B390" s="106" t="s">
        <v>3757</v>
      </c>
      <c r="C390" s="106" t="s">
        <v>2865</v>
      </c>
      <c r="E390" s="209">
        <v>43828</v>
      </c>
      <c r="F390" s="209"/>
      <c r="H390" s="106">
        <v>438</v>
      </c>
      <c r="I390" s="210"/>
      <c r="J390" s="209"/>
    </row>
    <row r="391" spans="1:10">
      <c r="A391" s="106" t="s">
        <v>2343</v>
      </c>
      <c r="B391" s="106" t="s">
        <v>3758</v>
      </c>
      <c r="C391" s="106" t="s">
        <v>2874</v>
      </c>
      <c r="E391" s="209">
        <v>43828</v>
      </c>
      <c r="F391" s="209"/>
      <c r="H391" s="106">
        <v>470</v>
      </c>
      <c r="I391" s="210"/>
      <c r="J391" s="209"/>
    </row>
    <row r="392" spans="1:10">
      <c r="A392" s="106" t="s">
        <v>2343</v>
      </c>
      <c r="B392" s="106" t="s">
        <v>3759</v>
      </c>
      <c r="C392" s="106" t="s">
        <v>2838</v>
      </c>
      <c r="E392" s="209">
        <v>43828</v>
      </c>
      <c r="F392" s="209"/>
      <c r="H392" s="106">
        <v>654</v>
      </c>
      <c r="I392" s="210"/>
      <c r="J392" s="209"/>
    </row>
    <row r="393" spans="1:10">
      <c r="A393" s="106" t="s">
        <v>3118</v>
      </c>
      <c r="B393" s="106" t="s">
        <v>3760</v>
      </c>
      <c r="C393" s="106" t="s">
        <v>2822</v>
      </c>
      <c r="E393" s="209">
        <v>43828</v>
      </c>
      <c r="F393" s="209"/>
      <c r="H393" s="106">
        <v>472</v>
      </c>
      <c r="I393" s="210"/>
      <c r="J393" s="209"/>
    </row>
    <row r="394" spans="1:10">
      <c r="A394" s="106" t="s">
        <v>3118</v>
      </c>
      <c r="B394" s="106" t="s">
        <v>3119</v>
      </c>
      <c r="C394" s="106" t="s">
        <v>2823</v>
      </c>
      <c r="E394" s="209">
        <v>43828</v>
      </c>
      <c r="F394" s="209"/>
      <c r="H394" s="106">
        <v>685</v>
      </c>
      <c r="I394" s="210"/>
      <c r="J394" s="209"/>
    </row>
    <row r="395" spans="1:10">
      <c r="A395" s="106" t="s">
        <v>3761</v>
      </c>
      <c r="B395" s="106" t="s">
        <v>3762</v>
      </c>
      <c r="C395" s="106" t="s">
        <v>2958</v>
      </c>
      <c r="E395" s="208">
        <v>43829</v>
      </c>
      <c r="F395" s="209"/>
      <c r="H395" s="106">
        <v>101</v>
      </c>
      <c r="I395" s="210"/>
      <c r="J395" s="209"/>
    </row>
    <row r="396" spans="1:10">
      <c r="A396" s="106" t="s">
        <v>3761</v>
      </c>
      <c r="B396" s="106" t="s">
        <v>3763</v>
      </c>
      <c r="C396" s="106" t="s">
        <v>3764</v>
      </c>
      <c r="E396" s="208">
        <v>43829</v>
      </c>
      <c r="F396" s="209"/>
      <c r="H396" s="106">
        <v>368</v>
      </c>
      <c r="I396" s="210"/>
      <c r="J396" s="209"/>
    </row>
    <row r="397" spans="1:10">
      <c r="A397" s="106" t="s">
        <v>3761</v>
      </c>
      <c r="B397" s="106" t="s">
        <v>3765</v>
      </c>
      <c r="C397" s="106" t="s">
        <v>3766</v>
      </c>
      <c r="E397" s="208">
        <v>43829</v>
      </c>
      <c r="F397" s="209"/>
      <c r="H397" s="106">
        <v>562</v>
      </c>
      <c r="I397" s="210"/>
      <c r="J397" s="209"/>
    </row>
    <row r="398" spans="1:10">
      <c r="A398" s="106" t="s">
        <v>3761</v>
      </c>
      <c r="B398" s="106" t="s">
        <v>3767</v>
      </c>
      <c r="C398" s="106" t="s">
        <v>3768</v>
      </c>
      <c r="E398" s="208">
        <v>43829</v>
      </c>
      <c r="F398" s="209"/>
      <c r="H398" s="106">
        <v>631</v>
      </c>
      <c r="I398" s="210"/>
      <c r="J398" s="209"/>
    </row>
    <row r="399" spans="1:10">
      <c r="A399" s="106" t="s">
        <v>3761</v>
      </c>
      <c r="B399" s="106" t="s">
        <v>3769</v>
      </c>
      <c r="C399" s="106" t="s">
        <v>3770</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3771</v>
      </c>
      <c r="B402" s="106" t="s">
        <v>3772</v>
      </c>
      <c r="C402" s="106" t="s">
        <v>3010</v>
      </c>
      <c r="E402" s="208">
        <v>43829</v>
      </c>
      <c r="F402" s="209"/>
      <c r="H402" s="106">
        <v>173</v>
      </c>
      <c r="I402" s="210"/>
      <c r="J402" s="209"/>
    </row>
    <row r="403" spans="1:11">
      <c r="A403" s="106" t="s">
        <v>2355</v>
      </c>
      <c r="C403" s="106" t="s">
        <v>2861</v>
      </c>
      <c r="E403" s="209">
        <v>43828</v>
      </c>
      <c r="F403" s="209"/>
      <c r="H403" s="106">
        <v>74</v>
      </c>
      <c r="I403" s="210"/>
      <c r="J403" s="209"/>
    </row>
    <row r="404" spans="1:11">
      <c r="A404" s="106" t="s">
        <v>2355</v>
      </c>
      <c r="B404" s="106" t="s">
        <v>3773</v>
      </c>
      <c r="C404" s="106" t="s">
        <v>2860</v>
      </c>
      <c r="E404" s="209">
        <v>43828</v>
      </c>
      <c r="F404" s="209"/>
      <c r="H404" s="106">
        <v>144</v>
      </c>
      <c r="I404" s="210"/>
      <c r="J404" s="209"/>
    </row>
    <row r="405" spans="1:11">
      <c r="A405" s="106" t="s">
        <v>2355</v>
      </c>
      <c r="B405" s="106" t="s">
        <v>3774</v>
      </c>
      <c r="C405" s="106" t="s">
        <v>2862</v>
      </c>
      <c r="E405" s="209">
        <v>43828</v>
      </c>
      <c r="F405" s="209"/>
      <c r="H405" s="106">
        <v>611</v>
      </c>
      <c r="I405" s="210"/>
      <c r="J405" s="209"/>
    </row>
    <row r="406" spans="1:11">
      <c r="A406" s="106" t="s">
        <v>2355</v>
      </c>
      <c r="B406" s="106" t="s">
        <v>3707</v>
      </c>
      <c r="C406" s="106" t="s">
        <v>2902</v>
      </c>
      <c r="E406" s="208">
        <v>43829</v>
      </c>
      <c r="F406" s="209"/>
      <c r="H406" s="106">
        <v>28</v>
      </c>
      <c r="I406" s="210"/>
      <c r="J406" s="209"/>
    </row>
    <row r="407" spans="1:11">
      <c r="A407" s="106" t="s">
        <v>2355</v>
      </c>
      <c r="B407" s="106" t="s">
        <v>3775</v>
      </c>
      <c r="C407" s="106" t="s">
        <v>2999</v>
      </c>
      <c r="E407" s="208">
        <v>43829</v>
      </c>
      <c r="F407" s="209"/>
      <c r="H407" s="106">
        <v>157</v>
      </c>
      <c r="I407" s="210"/>
      <c r="J407" s="209"/>
    </row>
    <row r="408" spans="1:11">
      <c r="A408" s="106" t="s">
        <v>2355</v>
      </c>
      <c r="B408" s="106" t="s">
        <v>3776</v>
      </c>
      <c r="C408" s="106" t="s">
        <v>3071</v>
      </c>
      <c r="E408" s="208">
        <v>43829</v>
      </c>
      <c r="F408" s="209"/>
      <c r="H408" s="106">
        <v>238</v>
      </c>
      <c r="I408" s="210"/>
      <c r="J408" s="209"/>
    </row>
    <row r="409" spans="1:11">
      <c r="A409" s="106" t="s">
        <v>2615</v>
      </c>
      <c r="B409" s="106" t="s">
        <v>3145</v>
      </c>
      <c r="C409" s="106" t="s">
        <v>2849</v>
      </c>
      <c r="E409" s="209">
        <v>43828</v>
      </c>
      <c r="F409" s="209"/>
      <c r="H409" s="106" t="s">
        <v>4752</v>
      </c>
      <c r="I409" s="210"/>
      <c r="J409" s="209"/>
    </row>
    <row r="410" spans="1:11">
      <c r="A410" s="106" t="s">
        <v>2615</v>
      </c>
      <c r="B410" s="106" t="s">
        <v>3777</v>
      </c>
      <c r="C410" s="106" t="s">
        <v>2856</v>
      </c>
      <c r="E410" s="209">
        <v>43828</v>
      </c>
      <c r="F410" s="209"/>
      <c r="H410" s="106">
        <v>616</v>
      </c>
      <c r="I410" s="210"/>
      <c r="J410" s="209"/>
    </row>
    <row r="411" spans="1:11">
      <c r="A411" s="106" t="s">
        <v>3778</v>
      </c>
      <c r="B411" s="106" t="s">
        <v>3779</v>
      </c>
      <c r="C411" s="106" t="s">
        <v>3780</v>
      </c>
      <c r="E411" s="208">
        <v>43829</v>
      </c>
      <c r="F411" s="209"/>
      <c r="H411" s="106">
        <v>422</v>
      </c>
      <c r="I411" s="210"/>
      <c r="J411" s="209"/>
    </row>
    <row r="412" spans="1:11">
      <c r="A412" s="106" t="s">
        <v>3781</v>
      </c>
      <c r="B412" s="106" t="s">
        <v>3782</v>
      </c>
      <c r="C412" s="106" t="s">
        <v>3783</v>
      </c>
      <c r="E412" s="208">
        <v>43829</v>
      </c>
      <c r="F412" s="209"/>
      <c r="H412" s="106">
        <v>506</v>
      </c>
      <c r="I412" s="210"/>
      <c r="J412" s="209"/>
    </row>
    <row r="413" spans="1:11">
      <c r="A413" s="106" t="s">
        <v>3784</v>
      </c>
      <c r="B413" s="106" t="s">
        <v>3785</v>
      </c>
      <c r="C413" s="106" t="s">
        <v>2990</v>
      </c>
      <c r="E413" s="208">
        <v>43829</v>
      </c>
      <c r="F413" s="209"/>
      <c r="H413" s="106">
        <v>143</v>
      </c>
      <c r="I413" s="210"/>
      <c r="J413" s="209"/>
      <c r="K413" s="106" t="s">
        <v>2673</v>
      </c>
    </row>
    <row r="414" spans="1:11">
      <c r="A414" s="217" t="s">
        <v>2717</v>
      </c>
      <c r="B414" s="217"/>
      <c r="C414" s="211" t="s">
        <v>2720</v>
      </c>
      <c r="D414" s="211"/>
      <c r="E414" s="208">
        <v>43825</v>
      </c>
      <c r="F414" s="209" t="s">
        <v>2231</v>
      </c>
      <c r="I414" s="210">
        <v>63</v>
      </c>
    </row>
    <row r="415" spans="1:11">
      <c r="A415" s="106" t="s">
        <v>3786</v>
      </c>
      <c r="B415" s="106" t="s">
        <v>3787</v>
      </c>
      <c r="C415" s="106" t="s">
        <v>2912</v>
      </c>
      <c r="E415" s="208">
        <v>43829</v>
      </c>
      <c r="F415" s="209"/>
      <c r="H415" s="106">
        <v>41</v>
      </c>
      <c r="I415" s="210"/>
      <c r="J415" s="209"/>
    </row>
    <row r="416" spans="1:11">
      <c r="A416" s="106" t="s">
        <v>3788</v>
      </c>
      <c r="B416" s="106" t="s">
        <v>3789</v>
      </c>
      <c r="C416" s="106" t="s">
        <v>3790</v>
      </c>
      <c r="E416" s="208">
        <v>43829</v>
      </c>
      <c r="F416" s="209"/>
      <c r="H416" s="106">
        <v>672</v>
      </c>
      <c r="I416" s="210"/>
      <c r="J416" s="209"/>
    </row>
    <row r="417" spans="1:11">
      <c r="A417" s="106" t="s">
        <v>3791</v>
      </c>
      <c r="B417" s="106" t="s">
        <v>3792</v>
      </c>
      <c r="C417" s="106" t="s">
        <v>3793</v>
      </c>
      <c r="E417" s="208">
        <v>43829</v>
      </c>
      <c r="F417" s="209"/>
      <c r="H417" s="106">
        <v>453</v>
      </c>
      <c r="I417" s="210"/>
      <c r="J417" s="209"/>
    </row>
    <row r="418" spans="1:11">
      <c r="A418" s="215" t="s">
        <v>3794</v>
      </c>
      <c r="B418" s="215" t="s">
        <v>3795</v>
      </c>
      <c r="C418" s="215" t="s">
        <v>2810</v>
      </c>
      <c r="D418" s="215"/>
      <c r="E418" s="209">
        <v>43828</v>
      </c>
      <c r="F418" s="209"/>
      <c r="H418" s="106">
        <v>185</v>
      </c>
      <c r="I418" s="210"/>
      <c r="J418" s="209"/>
    </row>
    <row r="419" spans="1:11">
      <c r="A419" s="106" t="s">
        <v>3977</v>
      </c>
      <c r="B419" s="106" t="s">
        <v>2289</v>
      </c>
      <c r="C419" s="106" t="s">
        <v>3906</v>
      </c>
      <c r="E419" s="208">
        <v>43829</v>
      </c>
      <c r="F419" s="209"/>
      <c r="H419" s="106" t="s">
        <v>4741</v>
      </c>
      <c r="I419" s="210"/>
      <c r="J419" s="209"/>
    </row>
    <row r="420" spans="1:11">
      <c r="A420" s="106" t="s">
        <v>3977</v>
      </c>
      <c r="B420" s="106" t="s">
        <v>2289</v>
      </c>
      <c r="C420" s="211" t="s">
        <v>3978</v>
      </c>
      <c r="D420" s="211"/>
      <c r="E420" s="208"/>
      <c r="F420" s="209"/>
      <c r="H420" s="106">
        <v>339</v>
      </c>
      <c r="I420" s="210"/>
      <c r="J420" s="209"/>
    </row>
    <row r="421" spans="1:11">
      <c r="A421" s="106" t="s">
        <v>2569</v>
      </c>
      <c r="C421" s="211" t="s">
        <v>2574</v>
      </c>
      <c r="D421" s="211"/>
      <c r="E421" s="209">
        <v>43828</v>
      </c>
      <c r="F421" s="209"/>
      <c r="I421" s="210" t="s">
        <v>4719</v>
      </c>
      <c r="J421" s="209"/>
    </row>
    <row r="422" spans="1:11">
      <c r="A422" s="106" t="s">
        <v>3944</v>
      </c>
      <c r="C422" s="106" t="s">
        <v>3945</v>
      </c>
      <c r="E422" s="208"/>
      <c r="F422" s="209"/>
      <c r="I422" s="210">
        <v>65</v>
      </c>
      <c r="J422" s="209"/>
    </row>
    <row r="423" spans="1:11">
      <c r="A423" s="106" t="s">
        <v>3796</v>
      </c>
      <c r="B423" s="106" t="s">
        <v>3797</v>
      </c>
      <c r="C423" s="106" t="s">
        <v>3798</v>
      </c>
      <c r="E423" s="208">
        <v>43829</v>
      </c>
      <c r="F423" s="209"/>
      <c r="H423" s="106">
        <v>351</v>
      </c>
      <c r="I423" s="210"/>
      <c r="J423" s="209"/>
    </row>
    <row r="424" spans="1:11">
      <c r="A424" s="106" t="s">
        <v>2635</v>
      </c>
      <c r="B424" s="106" t="s">
        <v>2636</v>
      </c>
      <c r="C424" s="211" t="s">
        <v>2637</v>
      </c>
      <c r="D424" s="211"/>
      <c r="E424" s="209">
        <v>43828</v>
      </c>
      <c r="F424" s="209"/>
      <c r="H424" s="106">
        <v>797</v>
      </c>
      <c r="I424" s="210"/>
      <c r="J424" s="209"/>
    </row>
    <row r="425" spans="1:11">
      <c r="A425" s="106" t="s">
        <v>2694</v>
      </c>
      <c r="C425" s="106" t="s">
        <v>2693</v>
      </c>
      <c r="E425" s="208">
        <v>43826</v>
      </c>
      <c r="F425" s="209" t="s">
        <v>2231</v>
      </c>
      <c r="I425" s="210">
        <v>66</v>
      </c>
      <c r="K425" s="106" t="s">
        <v>2747</v>
      </c>
    </row>
    <row r="426" spans="1:11">
      <c r="A426" s="106" t="s">
        <v>3799</v>
      </c>
      <c r="B426" s="106" t="s">
        <v>3800</v>
      </c>
      <c r="C426" s="106" t="s">
        <v>3801</v>
      </c>
      <c r="E426" s="208">
        <v>43829</v>
      </c>
      <c r="F426" s="209"/>
      <c r="H426" s="106">
        <v>469</v>
      </c>
      <c r="I426" s="210"/>
      <c r="J426" s="209"/>
    </row>
    <row r="427" spans="1:11">
      <c r="A427" s="106" t="s">
        <v>2348</v>
      </c>
      <c r="B427" s="106" t="s">
        <v>2349</v>
      </c>
      <c r="C427" s="106" t="s">
        <v>2774</v>
      </c>
      <c r="E427" s="209">
        <v>43828</v>
      </c>
      <c r="F427" s="209"/>
      <c r="H427" s="106" t="s">
        <v>4732</v>
      </c>
      <c r="I427" s="210"/>
      <c r="J427" s="209"/>
    </row>
    <row r="428" spans="1:11">
      <c r="A428" s="106" t="s">
        <v>3802</v>
      </c>
      <c r="B428" s="106" t="s">
        <v>3803</v>
      </c>
      <c r="C428" s="106" t="s">
        <v>3804</v>
      </c>
      <c r="E428" s="208">
        <v>43829</v>
      </c>
      <c r="F428" s="209"/>
      <c r="H428" s="106">
        <v>487</v>
      </c>
      <c r="I428" s="210"/>
      <c r="J428" s="209"/>
    </row>
    <row r="429" spans="1:11">
      <c r="A429" s="106" t="s">
        <v>3805</v>
      </c>
      <c r="B429" s="106" t="s">
        <v>3806</v>
      </c>
      <c r="C429" s="106" t="s">
        <v>2982</v>
      </c>
      <c r="E429" s="208">
        <v>43829</v>
      </c>
      <c r="F429" s="209"/>
      <c r="H429" s="106">
        <v>133</v>
      </c>
      <c r="I429" s="210"/>
      <c r="J429" s="209"/>
    </row>
    <row r="430" spans="1:11">
      <c r="A430" s="106" t="s">
        <v>2738</v>
      </c>
      <c r="C430" s="106" t="s">
        <v>2742</v>
      </c>
      <c r="E430" s="208">
        <v>43825</v>
      </c>
      <c r="F430" s="209"/>
      <c r="I430" s="210">
        <v>67</v>
      </c>
    </row>
    <row r="431" spans="1:11">
      <c r="A431" s="106" t="s">
        <v>3807</v>
      </c>
      <c r="B431" s="106" t="s">
        <v>3808</v>
      </c>
      <c r="C431" s="106" t="s">
        <v>2980</v>
      </c>
      <c r="E431" s="208">
        <v>43829</v>
      </c>
      <c r="F431" s="209"/>
      <c r="H431" s="106">
        <v>131</v>
      </c>
      <c r="I431" s="210"/>
      <c r="J431" s="209"/>
    </row>
    <row r="432" spans="1:11">
      <c r="A432" s="106" t="s">
        <v>3809</v>
      </c>
      <c r="C432" s="106" t="s">
        <v>3028</v>
      </c>
      <c r="E432" s="208">
        <v>43829</v>
      </c>
      <c r="F432" s="209"/>
      <c r="H432" s="106">
        <v>196</v>
      </c>
      <c r="I432" s="210"/>
      <c r="J432" s="209"/>
    </row>
    <row r="433" spans="1:10">
      <c r="A433" s="106" t="s">
        <v>3810</v>
      </c>
      <c r="B433" s="106" t="s">
        <v>3811</v>
      </c>
      <c r="C433" s="106" t="s">
        <v>3812</v>
      </c>
      <c r="E433" s="208">
        <v>43829</v>
      </c>
      <c r="F433" s="209" t="s">
        <v>2673</v>
      </c>
      <c r="H433" s="106">
        <v>589</v>
      </c>
      <c r="I433" s="210"/>
      <c r="J433" s="209"/>
    </row>
    <row r="434" spans="1:10">
      <c r="A434" s="106" t="s">
        <v>3813</v>
      </c>
      <c r="B434" s="106" t="s">
        <v>3814</v>
      </c>
      <c r="C434" s="106" t="s">
        <v>3815</v>
      </c>
      <c r="E434" s="208">
        <v>43829</v>
      </c>
      <c r="F434" s="209"/>
      <c r="H434" s="106" t="s">
        <v>4757</v>
      </c>
      <c r="I434" s="210"/>
      <c r="J434" s="209"/>
    </row>
    <row r="435" spans="1:10">
      <c r="A435" s="106" t="s">
        <v>3816</v>
      </c>
      <c r="B435" s="106" t="s">
        <v>2412</v>
      </c>
      <c r="C435" s="106" t="s">
        <v>3817</v>
      </c>
      <c r="E435" s="208">
        <v>43829</v>
      </c>
      <c r="F435" s="209"/>
      <c r="H435" s="106">
        <v>448</v>
      </c>
      <c r="I435" s="210"/>
      <c r="J435" s="209"/>
    </row>
    <row r="436" spans="1:10">
      <c r="A436" s="106" t="s">
        <v>2411</v>
      </c>
      <c r="B436" s="106" t="s">
        <v>2412</v>
      </c>
      <c r="C436" s="106" t="s">
        <v>3818</v>
      </c>
      <c r="E436" s="208">
        <v>43829</v>
      </c>
      <c r="F436" s="209"/>
      <c r="H436" s="106">
        <v>449</v>
      </c>
      <c r="I436" s="210"/>
      <c r="J436" s="209"/>
    </row>
    <row r="437" spans="1:10">
      <c r="A437" s="106" t="s">
        <v>3819</v>
      </c>
      <c r="B437" s="106" t="s">
        <v>3820</v>
      </c>
      <c r="C437" s="106" t="s">
        <v>2992</v>
      </c>
      <c r="E437" s="208">
        <v>43829</v>
      </c>
      <c r="F437" s="209"/>
      <c r="H437" s="106">
        <v>148</v>
      </c>
      <c r="I437" s="210"/>
      <c r="J437" s="209"/>
    </row>
    <row r="438" spans="1:10">
      <c r="A438" s="106" t="s">
        <v>3115</v>
      </c>
      <c r="B438" s="106" t="s">
        <v>3114</v>
      </c>
      <c r="C438" s="106" t="s">
        <v>2866</v>
      </c>
      <c r="E438" s="209">
        <v>43828</v>
      </c>
      <c r="F438" s="209"/>
      <c r="H438" s="106">
        <v>667</v>
      </c>
      <c r="I438" s="210"/>
      <c r="J438" s="209"/>
    </row>
    <row r="439" spans="1:10">
      <c r="A439" s="106" t="s">
        <v>3822</v>
      </c>
      <c r="B439" s="106" t="s">
        <v>3123</v>
      </c>
      <c r="C439" s="106" t="s">
        <v>3823</v>
      </c>
      <c r="E439" s="208">
        <v>43829</v>
      </c>
      <c r="F439" s="209"/>
      <c r="H439" s="106" t="s">
        <v>4758</v>
      </c>
      <c r="I439" s="210"/>
      <c r="J439" s="209"/>
    </row>
    <row r="440" spans="1:10">
      <c r="A440" s="106" t="s">
        <v>3824</v>
      </c>
      <c r="B440" s="106" t="s">
        <v>3825</v>
      </c>
      <c r="C440" s="106" t="s">
        <v>3826</v>
      </c>
      <c r="E440" s="208">
        <v>43829</v>
      </c>
      <c r="F440" s="209"/>
      <c r="H440" s="106">
        <v>270</v>
      </c>
      <c r="I440" s="210"/>
      <c r="J440" s="209"/>
    </row>
    <row r="441" spans="1:10">
      <c r="A441" s="106" t="s">
        <v>3827</v>
      </c>
      <c r="B441" s="106" t="s">
        <v>3828</v>
      </c>
      <c r="C441" s="106" t="s">
        <v>3829</v>
      </c>
      <c r="E441" s="208">
        <v>43829</v>
      </c>
      <c r="F441" s="209"/>
      <c r="H441" s="106">
        <v>495</v>
      </c>
      <c r="I441" s="210"/>
      <c r="J441" s="209"/>
    </row>
    <row r="442" spans="1:10">
      <c r="A442" s="106" t="s">
        <v>3827</v>
      </c>
      <c r="B442" s="106" t="s">
        <v>3830</v>
      </c>
      <c r="C442" s="106" t="s">
        <v>3831</v>
      </c>
      <c r="E442" s="208">
        <v>43829</v>
      </c>
      <c r="F442" s="209"/>
      <c r="H442" s="106">
        <v>564</v>
      </c>
      <c r="I442" s="210"/>
      <c r="J442" s="209"/>
    </row>
    <row r="443" spans="1:10">
      <c r="A443" s="106" t="s">
        <v>2285</v>
      </c>
      <c r="C443" s="211" t="s">
        <v>2286</v>
      </c>
      <c r="D443" s="211"/>
      <c r="E443" s="209">
        <v>43828</v>
      </c>
      <c r="F443" s="209"/>
      <c r="I443" s="210" t="s">
        <v>4718</v>
      </c>
      <c r="J443" s="209"/>
    </row>
    <row r="444" spans="1:10">
      <c r="A444" s="106" t="s">
        <v>2285</v>
      </c>
      <c r="B444" s="106" t="s">
        <v>3832</v>
      </c>
      <c r="C444" s="106" t="s">
        <v>3833</v>
      </c>
      <c r="E444" s="208">
        <v>43829</v>
      </c>
      <c r="F444" s="209"/>
      <c r="H444" s="106">
        <v>389</v>
      </c>
      <c r="I444" s="210"/>
      <c r="J444" s="209"/>
    </row>
    <row r="445" spans="1:10">
      <c r="A445" s="106" t="s">
        <v>3152</v>
      </c>
      <c r="B445" s="106" t="s">
        <v>3151</v>
      </c>
      <c r="C445" s="106" t="s">
        <v>3155</v>
      </c>
      <c r="E445" s="208"/>
      <c r="F445" s="209"/>
      <c r="H445" s="106">
        <v>62</v>
      </c>
      <c r="I445" s="210"/>
      <c r="J445" s="209"/>
    </row>
    <row r="446" spans="1:10">
      <c r="A446" s="217" t="s">
        <v>2700</v>
      </c>
      <c r="B446" s="217"/>
      <c r="C446" s="211" t="s">
        <v>2701</v>
      </c>
      <c r="D446" s="211"/>
      <c r="E446" s="208">
        <v>43825</v>
      </c>
      <c r="F446" s="209" t="s">
        <v>2231</v>
      </c>
      <c r="I446" s="210">
        <v>72</v>
      </c>
    </row>
    <row r="447" spans="1:10">
      <c r="A447" s="106" t="s">
        <v>2364</v>
      </c>
      <c r="B447" s="106" t="s">
        <v>3834</v>
      </c>
      <c r="C447" s="106" t="s">
        <v>3005</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3835</v>
      </c>
      <c r="B449" s="106" t="s">
        <v>3836</v>
      </c>
      <c r="C449" s="106" t="s">
        <v>2829</v>
      </c>
      <c r="E449" s="209">
        <v>43828</v>
      </c>
      <c r="F449" s="209"/>
      <c r="H449" s="106">
        <v>237</v>
      </c>
      <c r="I449" s="210"/>
      <c r="J449" s="209"/>
    </row>
    <row r="450" spans="1:10">
      <c r="A450" s="106" t="s">
        <v>3837</v>
      </c>
      <c r="B450" s="106" t="s">
        <v>3838</v>
      </c>
      <c r="C450" s="106" t="s">
        <v>3839</v>
      </c>
      <c r="E450" s="208">
        <v>43829</v>
      </c>
      <c r="F450" s="209"/>
      <c r="H450" s="106">
        <v>669</v>
      </c>
      <c r="I450" s="210"/>
      <c r="J450" s="209"/>
    </row>
    <row r="451" spans="1:10">
      <c r="A451" s="106" t="s">
        <v>3840</v>
      </c>
      <c r="B451" s="106" t="s">
        <v>3841</v>
      </c>
      <c r="C451" s="106" t="s">
        <v>2863</v>
      </c>
      <c r="E451" s="209">
        <v>43828</v>
      </c>
      <c r="F451" s="209"/>
      <c r="H451" s="106">
        <v>486</v>
      </c>
      <c r="I451" s="210"/>
      <c r="J451" s="209"/>
    </row>
    <row r="452" spans="1:10">
      <c r="A452" s="106" t="s">
        <v>2305</v>
      </c>
      <c r="B452" s="106" t="s">
        <v>3842</v>
      </c>
      <c r="C452" s="106" t="s">
        <v>2946</v>
      </c>
      <c r="E452" s="208">
        <v>43829</v>
      </c>
      <c r="F452" s="209"/>
      <c r="H452" s="106">
        <v>81</v>
      </c>
      <c r="I452" s="210"/>
      <c r="J452" s="209"/>
    </row>
    <row r="453" spans="1:10">
      <c r="A453" s="106" t="s">
        <v>3843</v>
      </c>
      <c r="B453" s="106" t="s">
        <v>3844</v>
      </c>
      <c r="C453" s="106" t="s">
        <v>2834</v>
      </c>
      <c r="E453" s="209">
        <v>43828</v>
      </c>
      <c r="F453" s="209"/>
      <c r="H453" s="106">
        <v>531</v>
      </c>
      <c r="I453" s="210"/>
      <c r="J453" s="209"/>
    </row>
    <row r="454" spans="1:10">
      <c r="A454" s="106" t="s">
        <v>3845</v>
      </c>
      <c r="B454" s="106" t="s">
        <v>3846</v>
      </c>
      <c r="C454" s="106" t="s">
        <v>3847</v>
      </c>
      <c r="E454" s="208">
        <v>43829</v>
      </c>
      <c r="F454" s="209"/>
      <c r="H454" s="106">
        <v>373</v>
      </c>
      <c r="I454" s="210"/>
      <c r="J454" s="209"/>
    </row>
    <row r="455" spans="1:10">
      <c r="A455" s="106" t="s">
        <v>3848</v>
      </c>
      <c r="B455" s="106" t="s">
        <v>3195</v>
      </c>
      <c r="C455" s="106" t="s">
        <v>3849</v>
      </c>
      <c r="E455" s="208">
        <v>43829</v>
      </c>
      <c r="F455" s="209"/>
      <c r="H455" s="106">
        <v>436</v>
      </c>
      <c r="I455" s="210"/>
      <c r="J455" s="209"/>
    </row>
    <row r="456" spans="1:10">
      <c r="A456" s="106" t="s">
        <v>3848</v>
      </c>
      <c r="B456" s="106" t="s">
        <v>3850</v>
      </c>
      <c r="C456" s="106" t="s">
        <v>3851</v>
      </c>
      <c r="E456" s="208">
        <v>43829</v>
      </c>
      <c r="F456" s="209"/>
      <c r="H456" s="106">
        <v>610</v>
      </c>
      <c r="I456" s="210"/>
      <c r="J456" s="209"/>
    </row>
    <row r="457" spans="1:10">
      <c r="A457" s="106" t="s">
        <v>3852</v>
      </c>
      <c r="B457" s="106" t="s">
        <v>3853</v>
      </c>
      <c r="C457" s="106" t="s">
        <v>3854</v>
      </c>
      <c r="E457" s="208">
        <v>43829</v>
      </c>
      <c r="F457" s="209"/>
      <c r="H457" s="106">
        <v>725</v>
      </c>
      <c r="I457" s="210"/>
      <c r="J457" s="209"/>
    </row>
    <row r="458" spans="1:10">
      <c r="A458" s="106" t="s">
        <v>3855</v>
      </c>
      <c r="B458" s="106" t="s">
        <v>3856</v>
      </c>
      <c r="C458" s="106" t="s">
        <v>3857</v>
      </c>
      <c r="E458" s="208">
        <v>43829</v>
      </c>
      <c r="F458" s="209"/>
      <c r="H458" s="106">
        <v>327</v>
      </c>
      <c r="I458" s="210"/>
      <c r="J458" s="209"/>
    </row>
    <row r="459" spans="1:10">
      <c r="A459" s="106" t="s">
        <v>3858</v>
      </c>
      <c r="B459" s="106" t="s">
        <v>3859</v>
      </c>
      <c r="C459" s="106" t="s">
        <v>2870</v>
      </c>
      <c r="E459" s="209">
        <v>43828</v>
      </c>
      <c r="F459" s="209"/>
      <c r="H459" s="106">
        <v>107</v>
      </c>
      <c r="I459" s="210"/>
      <c r="J459" s="209"/>
    </row>
    <row r="460" spans="1:10">
      <c r="A460" s="106" t="s">
        <v>3860</v>
      </c>
      <c r="C460" s="212" t="s">
        <v>2879</v>
      </c>
      <c r="E460" s="209">
        <v>43828</v>
      </c>
      <c r="F460" s="209"/>
      <c r="H460" s="106">
        <v>623</v>
      </c>
      <c r="I460" s="210"/>
      <c r="J460" s="209"/>
    </row>
    <row r="461" spans="1:10">
      <c r="A461" s="106" t="s">
        <v>3861</v>
      </c>
      <c r="B461" s="106" t="s">
        <v>3862</v>
      </c>
      <c r="C461" s="106" t="s">
        <v>2864</v>
      </c>
      <c r="E461" s="209">
        <v>43828</v>
      </c>
      <c r="F461" s="209"/>
      <c r="H461" s="106">
        <v>9</v>
      </c>
      <c r="I461" s="210"/>
      <c r="J461" s="209"/>
    </row>
    <row r="462" spans="1:10">
      <c r="A462" s="106" t="s">
        <v>3863</v>
      </c>
      <c r="B462" s="106" t="s">
        <v>3864</v>
      </c>
      <c r="C462" s="106" t="s">
        <v>2846</v>
      </c>
      <c r="E462" s="209">
        <v>43828</v>
      </c>
      <c r="F462" s="209"/>
      <c r="H462" s="106">
        <v>3</v>
      </c>
      <c r="I462" s="210"/>
      <c r="J462" s="209"/>
    </row>
    <row r="463" spans="1:10">
      <c r="A463" s="106" t="s">
        <v>3863</v>
      </c>
      <c r="B463" s="106" t="s">
        <v>3865</v>
      </c>
      <c r="C463" s="106" t="s">
        <v>3047</v>
      </c>
      <c r="E463" s="208">
        <v>43829</v>
      </c>
      <c r="F463" s="209"/>
      <c r="H463" s="106">
        <v>216</v>
      </c>
      <c r="I463" s="210"/>
      <c r="J463" s="209"/>
    </row>
    <row r="464" spans="1:10">
      <c r="A464" s="106" t="s">
        <v>3863</v>
      </c>
      <c r="B464" s="106" t="s">
        <v>3866</v>
      </c>
      <c r="C464" s="106" t="s">
        <v>3867</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3868</v>
      </c>
      <c r="C467" s="106" t="s">
        <v>2818</v>
      </c>
      <c r="E467" s="209">
        <v>43828</v>
      </c>
      <c r="F467" s="209"/>
      <c r="H467" s="106">
        <v>445</v>
      </c>
      <c r="I467" s="210"/>
      <c r="J467" s="209"/>
    </row>
    <row r="468" spans="1:10">
      <c r="A468" s="106" t="s">
        <v>2281</v>
      </c>
      <c r="C468" s="106" t="s">
        <v>2817</v>
      </c>
      <c r="E468" s="209">
        <v>43828</v>
      </c>
      <c r="F468" s="209"/>
      <c r="H468" s="106">
        <v>738</v>
      </c>
      <c r="I468" s="210"/>
      <c r="J468" s="209"/>
    </row>
    <row r="469" spans="1:10">
      <c r="A469" s="106" t="s">
        <v>3869</v>
      </c>
      <c r="B469" s="106" t="s">
        <v>2396</v>
      </c>
      <c r="C469" s="106" t="s">
        <v>2956</v>
      </c>
      <c r="E469" s="208">
        <v>43829</v>
      </c>
      <c r="F469" s="209"/>
      <c r="H469" s="106">
        <v>98</v>
      </c>
      <c r="I469" s="210"/>
      <c r="J469" s="209"/>
    </row>
    <row r="470" spans="1:10">
      <c r="A470" s="106" t="s">
        <v>3870</v>
      </c>
      <c r="B470" s="106" t="s">
        <v>3871</v>
      </c>
      <c r="C470" s="106" t="s">
        <v>2890</v>
      </c>
      <c r="E470" s="208">
        <v>43829</v>
      </c>
      <c r="F470" s="209"/>
      <c r="H470" s="106">
        <v>14</v>
      </c>
      <c r="I470" s="210"/>
      <c r="J470" s="209"/>
    </row>
    <row r="471" spans="1:10">
      <c r="A471" s="106" t="s">
        <v>2380</v>
      </c>
      <c r="B471" s="106" t="s">
        <v>2322</v>
      </c>
      <c r="C471" s="106" t="s">
        <v>3872</v>
      </c>
      <c r="E471" s="208">
        <v>43829</v>
      </c>
      <c r="F471" s="209"/>
      <c r="H471" s="106">
        <v>267</v>
      </c>
      <c r="I471" s="210"/>
      <c r="J471" s="209"/>
    </row>
    <row r="472" spans="1:10">
      <c r="A472" s="106" t="s">
        <v>2380</v>
      </c>
      <c r="B472" s="106" t="s">
        <v>2322</v>
      </c>
      <c r="C472" s="106" t="s">
        <v>3873</v>
      </c>
      <c r="E472" s="208">
        <v>43829</v>
      </c>
      <c r="F472" s="209"/>
      <c r="H472" s="106">
        <v>714</v>
      </c>
      <c r="I472" s="210"/>
      <c r="J472" s="209"/>
    </row>
    <row r="473" spans="1:10">
      <c r="A473" s="106" t="s">
        <v>3874</v>
      </c>
      <c r="B473" s="106" t="s">
        <v>3875</v>
      </c>
      <c r="C473" s="106" t="s">
        <v>3048</v>
      </c>
      <c r="E473" s="208">
        <v>43829</v>
      </c>
      <c r="F473" s="209"/>
      <c r="H473" s="106">
        <v>217</v>
      </c>
      <c r="I473" s="210"/>
      <c r="J473" s="209"/>
    </row>
    <row r="474" spans="1:10">
      <c r="A474" s="124" t="s">
        <v>3973</v>
      </c>
      <c r="B474" s="124" t="s">
        <v>704</v>
      </c>
      <c r="C474" s="211" t="s">
        <v>3972</v>
      </c>
      <c r="D474" s="211"/>
      <c r="E474" s="208"/>
      <c r="F474" s="209"/>
      <c r="H474" s="106">
        <v>528</v>
      </c>
      <c r="I474" s="210"/>
      <c r="J474" s="209"/>
    </row>
    <row r="475" spans="1:10">
      <c r="A475" s="106" t="s">
        <v>3876</v>
      </c>
      <c r="B475" s="106" t="s">
        <v>2365</v>
      </c>
      <c r="C475" s="106" t="s">
        <v>3877</v>
      </c>
      <c r="E475" s="208">
        <v>43829</v>
      </c>
      <c r="F475" s="209"/>
      <c r="H475" s="106">
        <v>767</v>
      </c>
      <c r="I475" s="210"/>
      <c r="J475" s="209"/>
    </row>
    <row r="476" spans="1:10">
      <c r="A476" s="106" t="s">
        <v>3084</v>
      </c>
      <c r="B476" s="106" t="s">
        <v>3131</v>
      </c>
      <c r="C476" s="106" t="s">
        <v>3032</v>
      </c>
      <c r="E476" s="208">
        <v>43829</v>
      </c>
      <c r="F476" s="209"/>
      <c r="H476" s="106">
        <v>200</v>
      </c>
      <c r="I476" s="210"/>
      <c r="J476" s="209"/>
    </row>
    <row r="477" spans="1:10">
      <c r="A477" s="106" t="s">
        <v>3878</v>
      </c>
      <c r="B477" s="106" t="s">
        <v>3879</v>
      </c>
      <c r="C477" s="106" t="s">
        <v>2808</v>
      </c>
      <c r="E477" s="209">
        <v>43828</v>
      </c>
      <c r="F477" s="209"/>
      <c r="H477" s="106">
        <v>566</v>
      </c>
      <c r="I477" s="210"/>
      <c r="J477" s="209"/>
    </row>
    <row r="478" spans="1:10">
      <c r="A478" s="106" t="s">
        <v>3164</v>
      </c>
      <c r="B478" s="106" t="s">
        <v>3163</v>
      </c>
      <c r="C478" s="106" t="s">
        <v>3166</v>
      </c>
      <c r="E478" s="208"/>
      <c r="F478" s="209"/>
      <c r="H478" s="106">
        <v>455</v>
      </c>
      <c r="I478" s="210"/>
      <c r="J478" s="209"/>
    </row>
    <row r="479" spans="1:10">
      <c r="A479" s="106" t="s">
        <v>3880</v>
      </c>
      <c r="B479" s="106" t="s">
        <v>3881</v>
      </c>
      <c r="C479" s="106" t="s">
        <v>3882</v>
      </c>
      <c r="E479" s="208">
        <v>43829</v>
      </c>
      <c r="F479" s="209"/>
      <c r="H479" s="106">
        <v>496</v>
      </c>
      <c r="I479" s="210"/>
      <c r="J479" s="209"/>
    </row>
    <row r="480" spans="1:10">
      <c r="A480" s="106" t="s">
        <v>3883</v>
      </c>
      <c r="B480" s="106" t="s">
        <v>3884</v>
      </c>
      <c r="C480" s="106" t="s">
        <v>3885</v>
      </c>
      <c r="E480" s="208">
        <v>43829</v>
      </c>
      <c r="F480" s="209"/>
      <c r="H480" s="106">
        <v>306</v>
      </c>
      <c r="I480" s="210"/>
      <c r="J480" s="209"/>
    </row>
    <row r="481" spans="1:11">
      <c r="A481" s="106" t="s">
        <v>3886</v>
      </c>
      <c r="B481" s="106" t="s">
        <v>3887</v>
      </c>
      <c r="C481" s="106" t="s">
        <v>3888</v>
      </c>
      <c r="E481" s="208">
        <v>43829</v>
      </c>
      <c r="F481" s="209"/>
      <c r="H481" s="106">
        <v>636</v>
      </c>
      <c r="I481" s="210"/>
      <c r="J481" s="209"/>
    </row>
    <row r="482" spans="1:11">
      <c r="A482" s="106" t="s">
        <v>3889</v>
      </c>
      <c r="B482" s="106" t="s">
        <v>3890</v>
      </c>
      <c r="C482" s="106" t="s">
        <v>2937</v>
      </c>
      <c r="E482" s="208">
        <v>43829</v>
      </c>
      <c r="F482" s="209"/>
      <c r="H482" s="106">
        <v>68</v>
      </c>
      <c r="I482" s="210"/>
      <c r="J482" s="209"/>
    </row>
    <row r="483" spans="1:11">
      <c r="A483" s="106" t="s">
        <v>3891</v>
      </c>
      <c r="C483" s="106" t="s">
        <v>2917</v>
      </c>
      <c r="E483" s="208">
        <v>43829</v>
      </c>
      <c r="F483" s="209"/>
      <c r="H483" s="106">
        <v>46</v>
      </c>
      <c r="I483" s="210"/>
      <c r="J483" s="209"/>
    </row>
    <row r="484" spans="1:11">
      <c r="A484" s="106" t="s">
        <v>3892</v>
      </c>
      <c r="B484" s="106" t="s">
        <v>3893</v>
      </c>
      <c r="C484" s="106" t="s">
        <v>3894</v>
      </c>
      <c r="E484" s="208">
        <v>43829</v>
      </c>
      <c r="F484" s="209"/>
      <c r="H484" s="106">
        <v>363</v>
      </c>
      <c r="I484" s="210"/>
      <c r="J484" s="209"/>
    </row>
    <row r="485" spans="1:11">
      <c r="A485" s="106" t="s">
        <v>3892</v>
      </c>
      <c r="B485" s="106" t="s">
        <v>3893</v>
      </c>
      <c r="C485" s="106" t="s">
        <v>3895</v>
      </c>
      <c r="E485" s="208">
        <v>43829</v>
      </c>
      <c r="F485" s="209"/>
      <c r="H485" s="106">
        <v>364</v>
      </c>
      <c r="I485" s="210"/>
      <c r="J485" s="209"/>
    </row>
    <row r="486" spans="1:11">
      <c r="A486" s="106" t="s">
        <v>3990</v>
      </c>
      <c r="C486" s="216" t="s">
        <v>2762</v>
      </c>
      <c r="D486" s="211"/>
      <c r="E486" s="209">
        <v>43828</v>
      </c>
      <c r="F486" s="209"/>
      <c r="I486" s="210">
        <v>99</v>
      </c>
      <c r="J486" s="209"/>
      <c r="K486" s="106" t="s">
        <v>2763</v>
      </c>
    </row>
    <row r="487" spans="1:11">
      <c r="A487" s="106" t="s">
        <v>2707</v>
      </c>
      <c r="C487" s="106" t="s">
        <v>2880</v>
      </c>
      <c r="E487" s="208">
        <v>43825</v>
      </c>
      <c r="F487" s="209" t="s">
        <v>2231</v>
      </c>
      <c r="I487" s="210">
        <v>81</v>
      </c>
    </row>
    <row r="488" spans="1:11">
      <c r="A488" s="106" t="s">
        <v>1091</v>
      </c>
      <c r="B488" s="106" t="s">
        <v>1090</v>
      </c>
      <c r="C488" s="106" t="s">
        <v>2855</v>
      </c>
      <c r="E488" s="209">
        <v>43828</v>
      </c>
      <c r="F488" s="209"/>
      <c r="H488" s="106">
        <v>20</v>
      </c>
      <c r="I488" s="210"/>
      <c r="J488" s="209"/>
    </row>
    <row r="489" spans="1:11">
      <c r="A489" s="106" t="s">
        <v>680</v>
      </c>
      <c r="C489" s="212" t="s">
        <v>2840</v>
      </c>
      <c r="E489" s="209">
        <v>43828</v>
      </c>
      <c r="F489" s="209"/>
      <c r="I489" s="210">
        <v>56</v>
      </c>
      <c r="J489" s="209"/>
      <c r="K489" s="106" t="s">
        <v>2664</v>
      </c>
    </row>
    <row r="490" spans="1:11">
      <c r="A490" s="106" t="s">
        <v>417</v>
      </c>
      <c r="C490" s="212" t="s">
        <v>2794</v>
      </c>
      <c r="E490" s="209">
        <v>43828</v>
      </c>
      <c r="F490" s="209"/>
      <c r="I490" s="210">
        <v>2</v>
      </c>
      <c r="J490" s="209"/>
    </row>
    <row r="491" spans="1:11">
      <c r="B491" s="106" t="s">
        <v>3896</v>
      </c>
      <c r="C491" s="106" t="s">
        <v>2892</v>
      </c>
      <c r="E491" s="208">
        <v>43829</v>
      </c>
      <c r="F491" s="209"/>
      <c r="H491" s="106">
        <v>16</v>
      </c>
      <c r="I491" s="210"/>
      <c r="J491" s="209"/>
    </row>
    <row r="492" spans="1:11">
      <c r="B492" s="106" t="s">
        <v>3897</v>
      </c>
      <c r="C492" s="106" t="s">
        <v>2907</v>
      </c>
      <c r="E492" s="208">
        <v>43829</v>
      </c>
      <c r="F492" s="209"/>
      <c r="H492" s="106">
        <v>35</v>
      </c>
      <c r="I492" s="210"/>
      <c r="J492" s="209"/>
    </row>
    <row r="493" spans="1:11">
      <c r="B493" s="106" t="s">
        <v>3898</v>
      </c>
      <c r="C493" s="106" t="s">
        <v>2919</v>
      </c>
      <c r="E493" s="208">
        <v>43829</v>
      </c>
      <c r="F493" s="209"/>
      <c r="H493" s="106">
        <v>49</v>
      </c>
      <c r="I493" s="210"/>
      <c r="J493" s="209"/>
    </row>
    <row r="494" spans="1:11">
      <c r="B494" s="106" t="s">
        <v>3899</v>
      </c>
      <c r="C494" s="106" t="s">
        <v>2950</v>
      </c>
      <c r="E494" s="208">
        <v>43829</v>
      </c>
      <c r="F494" s="209"/>
      <c r="H494" s="106">
        <v>85</v>
      </c>
      <c r="I494" s="210"/>
      <c r="J494" s="209"/>
    </row>
    <row r="495" spans="1:11">
      <c r="B495" s="106" t="s">
        <v>3900</v>
      </c>
      <c r="C495" s="106" t="s">
        <v>2952</v>
      </c>
      <c r="E495" s="208">
        <v>43829</v>
      </c>
      <c r="F495" s="209"/>
      <c r="H495" s="106">
        <v>89</v>
      </c>
      <c r="I495" s="210"/>
      <c r="J495" s="209"/>
    </row>
    <row r="496" spans="1:11">
      <c r="B496" s="106" t="s">
        <v>3901</v>
      </c>
      <c r="C496" s="106" t="s">
        <v>2963</v>
      </c>
      <c r="E496" s="208">
        <v>43829</v>
      </c>
      <c r="F496" s="209"/>
      <c r="H496" s="106">
        <v>109</v>
      </c>
      <c r="I496" s="210"/>
      <c r="J496" s="209"/>
    </row>
    <row r="497" spans="1:10">
      <c r="B497" s="106" t="s">
        <v>3902</v>
      </c>
      <c r="C497" s="106" t="s">
        <v>3035</v>
      </c>
      <c r="D497" s="106" t="s">
        <v>2673</v>
      </c>
      <c r="E497" s="208">
        <v>43829</v>
      </c>
      <c r="F497" s="209"/>
      <c r="H497" s="106">
        <v>203</v>
      </c>
      <c r="I497" s="210"/>
      <c r="J497" s="209"/>
    </row>
    <row r="498" spans="1:10">
      <c r="B498" s="106" t="s">
        <v>3355</v>
      </c>
      <c r="C498" s="106" t="s">
        <v>3903</v>
      </c>
      <c r="E498" s="208">
        <v>43829</v>
      </c>
      <c r="F498" s="209"/>
      <c r="H498" s="106">
        <v>268</v>
      </c>
      <c r="I498" s="210"/>
      <c r="J498" s="209"/>
    </row>
    <row r="499" spans="1:10">
      <c r="B499" s="106" t="s">
        <v>3904</v>
      </c>
      <c r="C499" s="106" t="s">
        <v>3905</v>
      </c>
      <c r="E499" s="208">
        <v>43829</v>
      </c>
      <c r="F499" s="209"/>
      <c r="H499" s="106">
        <v>301</v>
      </c>
      <c r="I499" s="210"/>
      <c r="J499" s="209"/>
    </row>
    <row r="500" spans="1:10">
      <c r="B500" s="106" t="s">
        <v>3474</v>
      </c>
      <c r="C500" s="106" t="s">
        <v>3907</v>
      </c>
      <c r="E500" s="208">
        <v>43829</v>
      </c>
      <c r="F500" s="209"/>
      <c r="H500" s="106">
        <v>386</v>
      </c>
      <c r="I500" s="210"/>
      <c r="J500" s="209"/>
    </row>
    <row r="501" spans="1:10">
      <c r="B501" s="106" t="s">
        <v>3908</v>
      </c>
      <c r="C501" s="106" t="s">
        <v>3909</v>
      </c>
      <c r="E501" s="208">
        <v>43829</v>
      </c>
      <c r="F501" s="209"/>
      <c r="H501" s="106">
        <v>411</v>
      </c>
      <c r="I501" s="210"/>
      <c r="J501" s="209"/>
    </row>
    <row r="502" spans="1:10">
      <c r="B502" s="106" t="s">
        <v>3910</v>
      </c>
      <c r="C502" s="106" t="s">
        <v>3911</v>
      </c>
      <c r="E502" s="208">
        <v>43829</v>
      </c>
      <c r="F502" s="209"/>
      <c r="H502" s="106">
        <v>423</v>
      </c>
      <c r="I502" s="210"/>
      <c r="J502" s="209"/>
    </row>
    <row r="503" spans="1:10">
      <c r="B503" s="106" t="s">
        <v>3912</v>
      </c>
      <c r="C503" s="106" t="s">
        <v>3913</v>
      </c>
      <c r="E503" s="208">
        <v>43829</v>
      </c>
      <c r="F503" s="209"/>
      <c r="H503" s="106">
        <v>539</v>
      </c>
      <c r="I503" s="210"/>
      <c r="J503" s="209"/>
    </row>
    <row r="504" spans="1:10">
      <c r="B504" s="106" t="s">
        <v>2307</v>
      </c>
      <c r="C504" s="106" t="s">
        <v>3914</v>
      </c>
      <c r="E504" s="208">
        <v>43829</v>
      </c>
      <c r="F504" s="209"/>
      <c r="H504" s="106">
        <v>575</v>
      </c>
      <c r="I504" s="210"/>
      <c r="J504" s="209"/>
    </row>
    <row r="505" spans="1:10">
      <c r="B505" s="106" t="s">
        <v>3915</v>
      </c>
      <c r="C505" s="106" t="s">
        <v>3916</v>
      </c>
      <c r="E505" s="208">
        <v>43829</v>
      </c>
      <c r="F505" s="209"/>
      <c r="H505" s="106">
        <v>686</v>
      </c>
      <c r="I505" s="210"/>
      <c r="J505" s="209"/>
    </row>
    <row r="506" spans="1:10">
      <c r="B506" s="106" t="s">
        <v>3917</v>
      </c>
      <c r="C506" s="106" t="s">
        <v>3918</v>
      </c>
      <c r="E506" s="208">
        <v>43829</v>
      </c>
      <c r="F506" s="209"/>
      <c r="H506" s="106">
        <v>759</v>
      </c>
      <c r="I506" s="210"/>
      <c r="J506" s="209"/>
    </row>
    <row r="507" spans="1:10">
      <c r="B507" s="106" t="s">
        <v>3919</v>
      </c>
      <c r="C507" s="106" t="s">
        <v>3920</v>
      </c>
      <c r="E507" s="208">
        <v>43829</v>
      </c>
      <c r="F507" s="209"/>
      <c r="H507" s="106">
        <v>760</v>
      </c>
      <c r="I507" s="210"/>
      <c r="J507" s="209"/>
    </row>
    <row r="508" spans="1:10">
      <c r="B508" s="106" t="s">
        <v>3928</v>
      </c>
      <c r="C508" s="106" t="s">
        <v>3929</v>
      </c>
      <c r="E508" s="208"/>
      <c r="F508" s="209"/>
      <c r="H508" s="106">
        <v>578</v>
      </c>
      <c r="I508" s="210"/>
      <c r="J508" s="209"/>
    </row>
    <row r="509" spans="1:10">
      <c r="B509" s="106" t="s">
        <v>3930</v>
      </c>
      <c r="C509" s="106" t="s">
        <v>3931</v>
      </c>
      <c r="E509" s="208"/>
      <c r="F509" s="209"/>
      <c r="H509" s="106">
        <v>632</v>
      </c>
      <c r="I509" s="210"/>
      <c r="J509" s="209"/>
    </row>
    <row r="510" spans="1:10">
      <c r="A510" s="106" t="s">
        <v>4704</v>
      </c>
      <c r="B510" s="106" t="s">
        <v>4705</v>
      </c>
      <c r="C510" s="106" t="s">
        <v>4706</v>
      </c>
      <c r="E510" s="208"/>
      <c r="F510" s="209"/>
      <c r="H510" s="106">
        <v>31</v>
      </c>
      <c r="I510" s="210"/>
      <c r="J510" s="209"/>
    </row>
    <row r="511" spans="1:10">
      <c r="A511" s="106" t="s">
        <v>1356</v>
      </c>
      <c r="C511" s="106" t="s">
        <v>4707</v>
      </c>
      <c r="E511" s="208"/>
      <c r="F511" s="209"/>
      <c r="H511" s="106">
        <v>47</v>
      </c>
      <c r="I511" s="210"/>
      <c r="J511" s="209"/>
    </row>
    <row r="512" spans="1:10">
      <c r="A512" s="106" t="s">
        <v>1356</v>
      </c>
      <c r="C512" s="106" t="s">
        <v>4708</v>
      </c>
      <c r="E512" s="208"/>
      <c r="F512" s="209"/>
      <c r="H512" s="106">
        <v>48</v>
      </c>
      <c r="I512" s="210"/>
      <c r="J512" s="209"/>
    </row>
    <row r="513" spans="1:10">
      <c r="A513" s="106" t="s">
        <v>4012</v>
      </c>
      <c r="B513" s="106" t="s">
        <v>4011</v>
      </c>
      <c r="C513" s="106" t="s">
        <v>4013</v>
      </c>
      <c r="E513" s="208"/>
      <c r="F513" s="209"/>
      <c r="H513" s="106">
        <v>88</v>
      </c>
      <c r="I513" s="210"/>
      <c r="J513" s="209"/>
    </row>
    <row r="514" spans="1:10">
      <c r="A514" s="106" t="s">
        <v>1958</v>
      </c>
      <c r="B514" s="106" t="s">
        <v>2147</v>
      </c>
      <c r="C514" s="106" t="s">
        <v>4010</v>
      </c>
      <c r="E514" s="208"/>
      <c r="F514" s="209"/>
      <c r="H514" s="106">
        <v>146</v>
      </c>
      <c r="I514" s="210"/>
      <c r="J514" s="209"/>
    </row>
    <row r="515" spans="1:10">
      <c r="A515" s="106" t="s">
        <v>376</v>
      </c>
      <c r="B515" s="106" t="s">
        <v>378</v>
      </c>
      <c r="C515" s="106" t="s">
        <v>4711</v>
      </c>
      <c r="E515" s="208"/>
      <c r="F515" s="209"/>
      <c r="H515" s="106">
        <v>400</v>
      </c>
      <c r="I515" s="210"/>
      <c r="J515" s="209"/>
    </row>
    <row r="516" spans="1:10">
      <c r="A516" s="106" t="s">
        <v>2065</v>
      </c>
      <c r="B516" s="106" t="s">
        <v>2066</v>
      </c>
      <c r="C516" s="106" t="s">
        <v>4712</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4009</v>
      </c>
      <c r="E518" s="208"/>
      <c r="F518" s="209"/>
      <c r="H518" s="106">
        <v>651</v>
      </c>
      <c r="I518" s="210"/>
      <c r="J518" s="209"/>
    </row>
    <row r="519" spans="1:10">
      <c r="A519" s="106" t="s">
        <v>4714</v>
      </c>
      <c r="C519" s="106" t="s">
        <v>4715</v>
      </c>
      <c r="E519" s="208"/>
      <c r="F519" s="209"/>
      <c r="I519" s="210">
        <v>26</v>
      </c>
      <c r="J519" s="209"/>
    </row>
    <row r="520" spans="1:10">
      <c r="A520" s="106" t="s">
        <v>4720</v>
      </c>
      <c r="C520" s="106" t="s">
        <v>4721</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3994</v>
      </c>
      <c r="C523" s="106" t="s">
        <v>1161</v>
      </c>
      <c r="E523" s="208"/>
      <c r="F523" s="209"/>
      <c r="I523" s="210">
        <v>88</v>
      </c>
      <c r="J523" s="209"/>
    </row>
    <row r="524" spans="1:10">
      <c r="A524" s="106" t="s">
        <v>3996</v>
      </c>
      <c r="C524" s="106" t="s">
        <v>2446</v>
      </c>
      <c r="E524" s="208"/>
      <c r="F524" s="209"/>
      <c r="I524" s="210">
        <v>90</v>
      </c>
      <c r="J524" s="209"/>
    </row>
    <row r="525" spans="1:10">
      <c r="A525" s="106" t="s">
        <v>4723</v>
      </c>
      <c r="C525" s="212" t="s">
        <v>4725</v>
      </c>
      <c r="E525" s="208"/>
      <c r="F525" s="209"/>
      <c r="I525" s="210">
        <v>95</v>
      </c>
      <c r="J525" s="209"/>
    </row>
    <row r="526" spans="1:10">
      <c r="A526" s="106" t="s">
        <v>4727</v>
      </c>
      <c r="C526" s="212" t="s">
        <v>4728</v>
      </c>
      <c r="E526" s="208"/>
      <c r="F526" s="209"/>
      <c r="I526" s="210">
        <v>110</v>
      </c>
      <c r="J526" s="209"/>
    </row>
    <row r="527" spans="1:10">
      <c r="A527" s="106" t="s">
        <v>1253</v>
      </c>
      <c r="C527" s="212" t="s">
        <v>2909</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2"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9"/>
  <sheetViews>
    <sheetView tabSelected="1" zoomScaleNormal="100" zoomScaleSheetLayoutView="100" workbookViewId="0">
      <pane xSplit="2" ySplit="1" topLeftCell="C20" activePane="bottomRight" state="frozen"/>
      <selection activeCell="C2" sqref="C2"/>
      <selection pane="topRight" activeCell="C2" sqref="C2"/>
      <selection pane="bottomLeft" activeCell="C2" sqref="C2"/>
      <selection pane="bottomRight" activeCell="F27" sqref="F27"/>
    </sheetView>
  </sheetViews>
  <sheetFormatPr defaultColWidth="8.75" defaultRowHeight="19.5"/>
  <cols>
    <col min="1" max="1" width="9.125" style="224" customWidth="1"/>
    <col min="2" max="2" width="32.625" style="372" customWidth="1"/>
    <col min="3" max="3" width="18.75" style="372" customWidth="1"/>
    <col min="4" max="5" width="17" style="372" customWidth="1"/>
    <col min="6" max="7" width="12.875" style="224" customWidth="1"/>
    <col min="8" max="8" width="9" style="224" customWidth="1"/>
    <col min="9" max="10" width="12.875" style="224" customWidth="1"/>
    <col min="11" max="11" width="13.875" style="224" customWidth="1"/>
    <col min="12" max="30" width="12.875" style="224" customWidth="1"/>
    <col min="31" max="16384" width="8.75" style="224"/>
  </cols>
  <sheetData>
    <row r="1" spans="1:30">
      <c r="A1" s="229" t="s">
        <v>4915</v>
      </c>
      <c r="B1" s="367" t="s">
        <v>4914</v>
      </c>
      <c r="C1" s="367" t="s">
        <v>4913</v>
      </c>
      <c r="D1" s="367" t="s">
        <v>4912</v>
      </c>
      <c r="E1" s="367" t="s">
        <v>4911</v>
      </c>
      <c r="F1" s="229" t="s">
        <v>4910</v>
      </c>
      <c r="G1" s="229"/>
      <c r="H1" s="229" t="s">
        <v>4909</v>
      </c>
      <c r="I1" s="229" t="s">
        <v>4908</v>
      </c>
      <c r="J1" s="229" t="s">
        <v>4907</v>
      </c>
      <c r="K1" s="367" t="s">
        <v>4906</v>
      </c>
      <c r="L1" s="366" t="s">
        <v>9290</v>
      </c>
      <c r="M1" s="228"/>
      <c r="N1" s="228"/>
      <c r="O1" s="228"/>
      <c r="P1" s="228"/>
      <c r="Q1" s="228"/>
      <c r="R1" s="228"/>
      <c r="S1" s="228"/>
      <c r="T1" s="228"/>
      <c r="U1" s="228"/>
      <c r="V1" s="228"/>
      <c r="W1" s="228"/>
      <c r="X1" s="228"/>
      <c r="Y1" s="228"/>
      <c r="Z1" s="228"/>
      <c r="AA1" s="228"/>
      <c r="AB1" s="228"/>
      <c r="AC1" s="228"/>
      <c r="AD1" s="228"/>
    </row>
    <row r="2" spans="1:30">
      <c r="A2" s="226" t="s">
        <v>4905</v>
      </c>
      <c r="B2" s="368" t="s">
        <v>4904</v>
      </c>
      <c r="C2" s="369"/>
      <c r="D2" s="369"/>
      <c r="E2" s="370"/>
      <c r="F2" s="226"/>
      <c r="G2" s="226"/>
      <c r="H2" s="226" t="s">
        <v>4893</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4903</v>
      </c>
      <c r="B3" s="370" t="s">
        <v>4902</v>
      </c>
      <c r="C3" s="370"/>
      <c r="D3" s="370" t="s">
        <v>4901</v>
      </c>
      <c r="E3" s="369"/>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4900</v>
      </c>
      <c r="B4" s="370" t="s">
        <v>4899</v>
      </c>
      <c r="C4" s="370"/>
      <c r="D4" s="370" t="s">
        <v>4898</v>
      </c>
      <c r="E4" s="369"/>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4897</v>
      </c>
      <c r="B5" s="370" t="s">
        <v>4896</v>
      </c>
      <c r="C5" s="369"/>
      <c r="D5" s="369"/>
      <c r="E5" s="370"/>
      <c r="F5" s="226"/>
      <c r="G5" s="226"/>
      <c r="H5" s="226" t="s">
        <v>4893</v>
      </c>
      <c r="I5" s="225"/>
      <c r="J5" s="225"/>
      <c r="K5" s="225"/>
      <c r="L5" s="225"/>
      <c r="M5" s="225"/>
      <c r="N5" s="225"/>
      <c r="O5" s="225"/>
      <c r="P5" s="225"/>
      <c r="Q5" s="225"/>
      <c r="R5" s="225"/>
      <c r="S5" s="225"/>
      <c r="T5" s="225"/>
      <c r="U5" s="225"/>
      <c r="V5" s="225"/>
      <c r="W5" s="225"/>
      <c r="X5" s="225"/>
      <c r="Y5" s="225"/>
      <c r="Z5" s="225"/>
      <c r="AA5" s="225"/>
      <c r="AB5" s="225"/>
      <c r="AC5" s="225"/>
      <c r="AD5" s="225"/>
    </row>
    <row r="6" spans="1:30">
      <c r="A6" s="227" t="s">
        <v>4895</v>
      </c>
      <c r="B6" s="368" t="s">
        <v>4894</v>
      </c>
      <c r="C6" s="371"/>
      <c r="D6" s="371"/>
      <c r="E6" s="370"/>
      <c r="F6" s="226"/>
      <c r="G6" s="226"/>
      <c r="H6" s="226" t="s">
        <v>4893</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4892</v>
      </c>
      <c r="B7" s="370" t="s">
        <v>4891</v>
      </c>
      <c r="C7" s="369"/>
      <c r="D7" s="369"/>
      <c r="E7" s="369"/>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4890</v>
      </c>
      <c r="B8" s="370" t="s">
        <v>4889</v>
      </c>
      <c r="C8" s="370" t="s">
        <v>4888</v>
      </c>
      <c r="D8" s="370" t="s">
        <v>4887</v>
      </c>
      <c r="E8" s="369"/>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4886</v>
      </c>
      <c r="B9" s="370" t="s">
        <v>4885</v>
      </c>
      <c r="C9" s="370"/>
      <c r="D9" s="370" t="s">
        <v>4865</v>
      </c>
      <c r="E9" s="369"/>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4884</v>
      </c>
      <c r="B10" s="370" t="s">
        <v>4883</v>
      </c>
      <c r="C10" s="370"/>
      <c r="D10" s="370" t="s">
        <v>4861</v>
      </c>
      <c r="E10" s="369"/>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ht="33">
      <c r="A11" s="226" t="s">
        <v>4882</v>
      </c>
      <c r="B11" s="370" t="s">
        <v>4859</v>
      </c>
      <c r="C11" s="369"/>
      <c r="D11" s="370" t="s">
        <v>4881</v>
      </c>
      <c r="E11" s="370" t="s">
        <v>4880</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4879</v>
      </c>
      <c r="B12" s="370" t="s">
        <v>4878</v>
      </c>
      <c r="C12" s="369"/>
      <c r="D12" s="370" t="s">
        <v>4877</v>
      </c>
      <c r="E12" s="369"/>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4876</v>
      </c>
      <c r="B13" s="370" t="s">
        <v>4875</v>
      </c>
      <c r="C13" s="369"/>
      <c r="D13" s="370" t="s">
        <v>4874</v>
      </c>
      <c r="E13" s="369"/>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4873</v>
      </c>
      <c r="B14" s="370" t="s">
        <v>4872</v>
      </c>
      <c r="C14" s="370" t="s">
        <v>4871</v>
      </c>
      <c r="D14" s="370" t="s">
        <v>4870</v>
      </c>
      <c r="E14" s="369"/>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4869</v>
      </c>
      <c r="B15" s="370" t="s">
        <v>4868</v>
      </c>
      <c r="C15" s="369"/>
      <c r="D15" s="369"/>
      <c r="E15" s="369"/>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4867</v>
      </c>
      <c r="B16" s="370" t="s">
        <v>4866</v>
      </c>
      <c r="C16" s="369"/>
      <c r="D16" s="370" t="s">
        <v>4865</v>
      </c>
      <c r="E16" s="369"/>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4864</v>
      </c>
      <c r="B17" s="370" t="s">
        <v>4863</v>
      </c>
      <c r="C17" s="370" t="s">
        <v>4862</v>
      </c>
      <c r="D17" s="370" t="s">
        <v>4861</v>
      </c>
      <c r="E17" s="369"/>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ht="33">
      <c r="A18" s="226" t="s">
        <v>4860</v>
      </c>
      <c r="B18" s="370" t="s">
        <v>4859</v>
      </c>
      <c r="C18" s="369"/>
      <c r="D18" s="370" t="s">
        <v>4858</v>
      </c>
      <c r="E18" s="370" t="s">
        <v>4857</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ustomFormat="1" ht="37.5">
      <c r="A19" t="s">
        <v>3958</v>
      </c>
      <c r="B19" s="44" t="s">
        <v>2686</v>
      </c>
      <c r="C19" s="44" t="s">
        <v>3959</v>
      </c>
      <c r="D19" s="44" t="s">
        <v>3962</v>
      </c>
      <c r="E19" s="372"/>
      <c r="F19" s="224"/>
      <c r="H19" s="89"/>
    </row>
    <row r="20" spans="1:30" customFormat="1">
      <c r="B20" s="44"/>
      <c r="C20" s="44"/>
      <c r="D20" s="44"/>
      <c r="E20" s="372"/>
      <c r="F20" s="224"/>
      <c r="H20" s="89"/>
    </row>
    <row r="21" spans="1:30" customFormat="1">
      <c r="B21" s="44"/>
      <c r="C21" s="44"/>
      <c r="D21" s="44"/>
      <c r="E21" s="372"/>
      <c r="F21" s="224"/>
      <c r="H21" s="89"/>
    </row>
    <row r="22" spans="1:30" customFormat="1" ht="37.5">
      <c r="A22" t="s">
        <v>3961</v>
      </c>
      <c r="B22" s="44" t="s">
        <v>2686</v>
      </c>
      <c r="C22" s="44" t="s">
        <v>3963</v>
      </c>
      <c r="D22" s="44" t="s">
        <v>3960</v>
      </c>
      <c r="E22" s="372"/>
      <c r="F22" s="224"/>
      <c r="H22" s="89"/>
    </row>
    <row r="23" spans="1:30">
      <c r="A23" s="225"/>
      <c r="B23" s="369"/>
      <c r="C23" s="369"/>
      <c r="D23" s="369"/>
      <c r="E23" s="369"/>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row>
    <row r="24" spans="1:30">
      <c r="A24" s="225" t="s">
        <v>9291</v>
      </c>
      <c r="B24" s="369" t="s">
        <v>9292</v>
      </c>
      <c r="C24" s="369" t="s">
        <v>9293</v>
      </c>
      <c r="D24" s="369" t="s">
        <v>9294</v>
      </c>
      <c r="E24" s="369"/>
      <c r="F24" s="225"/>
      <c r="G24" s="225"/>
      <c r="H24" s="225"/>
      <c r="I24" s="225"/>
      <c r="J24" s="225"/>
      <c r="K24" s="225"/>
      <c r="L24" s="225"/>
      <c r="M24" s="225"/>
      <c r="N24" s="225"/>
      <c r="O24" s="225"/>
      <c r="P24" s="225"/>
      <c r="Q24" s="225"/>
      <c r="R24" s="225"/>
      <c r="S24" s="225"/>
      <c r="T24" s="225"/>
      <c r="U24" s="225"/>
      <c r="V24" s="225"/>
      <c r="W24" s="225"/>
      <c r="X24" s="225"/>
      <c r="Y24" s="225"/>
      <c r="Z24" s="225"/>
      <c r="AA24" s="225"/>
      <c r="AB24" s="225"/>
      <c r="AC24" s="225"/>
      <c r="AD24" s="225"/>
    </row>
    <row r="25" spans="1:30">
      <c r="A25" s="225" t="s">
        <v>9295</v>
      </c>
      <c r="B25" s="369" t="s">
        <v>9296</v>
      </c>
      <c r="C25" s="369" t="s">
        <v>9297</v>
      </c>
      <c r="D25" s="369" t="s">
        <v>9294</v>
      </c>
      <c r="E25" s="369"/>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row>
    <row r="26" spans="1:30">
      <c r="A26" s="225" t="s">
        <v>9298</v>
      </c>
      <c r="B26" s="369" t="s">
        <v>9299</v>
      </c>
      <c r="C26" s="369"/>
      <c r="D26" s="369" t="s">
        <v>9300</v>
      </c>
      <c r="E26" s="369"/>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row>
    <row r="27" spans="1:30">
      <c r="A27" s="225" t="s">
        <v>9301</v>
      </c>
      <c r="B27" s="369" t="s">
        <v>9302</v>
      </c>
      <c r="C27" s="369" t="s">
        <v>9303</v>
      </c>
      <c r="D27" s="369" t="s">
        <v>9304</v>
      </c>
      <c r="E27" s="369" t="s">
        <v>9305</v>
      </c>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row>
    <row r="28" spans="1:30">
      <c r="A28" s="225"/>
      <c r="B28" s="369"/>
      <c r="C28" s="369"/>
      <c r="D28" s="369"/>
      <c r="E28" s="369"/>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ustomFormat="1">
      <c r="B29" s="44"/>
      <c r="C29" s="44"/>
      <c r="D29" s="44"/>
      <c r="E29" s="372"/>
      <c r="F29" s="224"/>
      <c r="H29" s="89"/>
    </row>
    <row r="30" spans="1:30">
      <c r="A30" s="225"/>
      <c r="B30" s="369"/>
      <c r="C30" s="369"/>
      <c r="D30" s="369"/>
      <c r="E30" s="369"/>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row>
    <row r="31" spans="1:30">
      <c r="A31" s="373"/>
      <c r="B31" s="374"/>
      <c r="C31" s="374"/>
      <c r="D31" s="374"/>
      <c r="E31" s="374"/>
      <c r="F31" s="373"/>
      <c r="G31" s="373"/>
      <c r="H31" s="373"/>
      <c r="I31" s="373"/>
      <c r="J31" s="373"/>
      <c r="K31" s="373"/>
      <c r="L31" s="373"/>
      <c r="M31" s="225"/>
      <c r="N31" s="225"/>
      <c r="O31" s="225"/>
      <c r="P31" s="225"/>
      <c r="Q31" s="225"/>
      <c r="R31" s="225"/>
      <c r="S31" s="225"/>
      <c r="T31" s="225"/>
      <c r="U31" s="225"/>
      <c r="V31" s="225"/>
      <c r="W31" s="225"/>
      <c r="X31" s="225"/>
      <c r="Y31" s="225"/>
      <c r="Z31" s="225"/>
      <c r="AA31" s="225"/>
      <c r="AB31" s="225"/>
      <c r="AC31" s="225"/>
      <c r="AD31" s="225"/>
    </row>
    <row r="32" spans="1:30">
      <c r="A32" s="225"/>
      <c r="B32" s="369"/>
      <c r="C32" s="369"/>
      <c r="D32" s="369"/>
      <c r="E32" s="369"/>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c r="A33" s="225"/>
      <c r="B33" s="369"/>
      <c r="C33" s="369"/>
      <c r="D33" s="369"/>
      <c r="E33" s="369"/>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c r="A34" s="225"/>
      <c r="B34" s="369"/>
      <c r="C34" s="369"/>
      <c r="D34" s="369"/>
      <c r="E34" s="369"/>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c r="A35" s="225"/>
      <c r="B35" s="369"/>
      <c r="C35" s="369"/>
      <c r="D35" s="369"/>
      <c r="E35" s="369"/>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c r="A36" s="225"/>
      <c r="B36" s="369"/>
      <c r="C36" s="369"/>
      <c r="D36" s="369"/>
      <c r="E36" s="369"/>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c r="A37" s="225"/>
      <c r="B37" s="369"/>
      <c r="C37" s="369"/>
      <c r="D37" s="369"/>
      <c r="E37" s="369"/>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225"/>
      <c r="B38" s="369"/>
      <c r="C38" s="369"/>
      <c r="D38" s="369"/>
      <c r="E38" s="369"/>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c r="A39" s="225"/>
      <c r="B39" s="369"/>
      <c r="C39" s="369"/>
      <c r="D39" s="369"/>
      <c r="E39" s="369"/>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369"/>
      <c r="C40" s="369"/>
      <c r="D40" s="369"/>
      <c r="E40" s="369"/>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369"/>
      <c r="C41" s="369"/>
      <c r="D41" s="369"/>
      <c r="E41" s="369"/>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369"/>
      <c r="C42" s="369"/>
      <c r="D42" s="369"/>
      <c r="E42" s="369"/>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369"/>
      <c r="C43" s="369"/>
      <c r="D43" s="369"/>
      <c r="E43" s="369"/>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369"/>
      <c r="C44" s="369"/>
      <c r="D44" s="369"/>
      <c r="E44" s="369"/>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369"/>
      <c r="C45" s="369"/>
      <c r="D45" s="369"/>
      <c r="E45" s="369"/>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369"/>
      <c r="C46" s="369"/>
      <c r="D46" s="369"/>
      <c r="E46" s="369"/>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369"/>
      <c r="C47" s="369"/>
      <c r="D47" s="369"/>
      <c r="E47" s="369"/>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369"/>
      <c r="C48" s="369"/>
      <c r="D48" s="369"/>
      <c r="E48" s="369"/>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369"/>
      <c r="C49" s="369"/>
      <c r="D49" s="369"/>
      <c r="E49" s="369"/>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369"/>
      <c r="C50" s="369"/>
      <c r="D50" s="369"/>
      <c r="E50" s="369"/>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369"/>
      <c r="C51" s="369"/>
      <c r="D51" s="369"/>
      <c r="E51" s="369"/>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369"/>
      <c r="C52" s="369"/>
      <c r="D52" s="369"/>
      <c r="E52" s="369"/>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369"/>
      <c r="C53" s="369"/>
      <c r="D53" s="369"/>
      <c r="E53" s="369"/>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369"/>
      <c r="C54" s="369"/>
      <c r="D54" s="369"/>
      <c r="E54" s="369"/>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369"/>
      <c r="C55" s="369"/>
      <c r="D55" s="369"/>
      <c r="E55" s="369"/>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369"/>
      <c r="C56" s="369"/>
      <c r="D56" s="369"/>
      <c r="E56" s="369"/>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369"/>
      <c r="C57" s="369"/>
      <c r="D57" s="369"/>
      <c r="E57" s="369"/>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369"/>
      <c r="C58" s="369"/>
      <c r="D58" s="369"/>
      <c r="E58" s="369"/>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369"/>
      <c r="C59" s="369"/>
      <c r="D59" s="369"/>
      <c r="E59" s="369"/>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369"/>
      <c r="C60" s="369"/>
      <c r="D60" s="369"/>
      <c r="E60" s="369"/>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369"/>
      <c r="C61" s="369"/>
      <c r="D61" s="369"/>
      <c r="E61" s="369"/>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369"/>
      <c r="C62" s="369"/>
      <c r="D62" s="369"/>
      <c r="E62" s="369"/>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369"/>
      <c r="C63" s="369"/>
      <c r="D63" s="369"/>
      <c r="E63" s="369"/>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369"/>
      <c r="C64" s="369"/>
      <c r="D64" s="369"/>
      <c r="E64" s="369"/>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369"/>
      <c r="C65" s="369"/>
      <c r="D65" s="369"/>
      <c r="E65" s="369"/>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369"/>
      <c r="C66" s="369"/>
      <c r="D66" s="369"/>
      <c r="E66" s="369"/>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369"/>
      <c r="C67" s="369"/>
      <c r="D67" s="369"/>
      <c r="E67" s="369"/>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369"/>
      <c r="C68" s="369"/>
      <c r="D68" s="369"/>
      <c r="E68" s="369"/>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369"/>
      <c r="C69" s="369"/>
      <c r="D69" s="369"/>
      <c r="E69" s="369"/>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369"/>
      <c r="C70" s="369"/>
      <c r="D70" s="369"/>
      <c r="E70" s="369"/>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369"/>
      <c r="C71" s="369"/>
      <c r="D71" s="369"/>
      <c r="E71" s="369"/>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369"/>
      <c r="C72" s="369"/>
      <c r="D72" s="369"/>
      <c r="E72" s="369"/>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369"/>
      <c r="C73" s="369"/>
      <c r="D73" s="369"/>
      <c r="E73" s="369"/>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369"/>
      <c r="C74" s="369"/>
      <c r="D74" s="369"/>
      <c r="E74" s="369"/>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369"/>
      <c r="C75" s="369"/>
      <c r="D75" s="369"/>
      <c r="E75" s="369"/>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369"/>
      <c r="C76" s="369"/>
      <c r="D76" s="369"/>
      <c r="E76" s="369"/>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369"/>
      <c r="C77" s="369"/>
      <c r="D77" s="369"/>
      <c r="E77" s="369"/>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369"/>
      <c r="C78" s="369"/>
      <c r="D78" s="369"/>
      <c r="E78" s="369"/>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369"/>
      <c r="C79" s="369"/>
      <c r="D79" s="369"/>
      <c r="E79" s="369"/>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369"/>
      <c r="C80" s="369"/>
      <c r="D80" s="369"/>
      <c r="E80" s="369"/>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369"/>
      <c r="C81" s="369"/>
      <c r="D81" s="369"/>
      <c r="E81" s="369"/>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369"/>
      <c r="C82" s="369"/>
      <c r="D82" s="369"/>
      <c r="E82" s="369"/>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369"/>
      <c r="C83" s="369"/>
      <c r="D83" s="369"/>
      <c r="E83" s="369"/>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369"/>
      <c r="C84" s="369"/>
      <c r="D84" s="369"/>
      <c r="E84" s="369"/>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369"/>
      <c r="C85" s="369"/>
      <c r="D85" s="369"/>
      <c r="E85" s="369"/>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369"/>
      <c r="C86" s="369"/>
      <c r="D86" s="369"/>
      <c r="E86" s="369"/>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369"/>
      <c r="C87" s="369"/>
      <c r="D87" s="369"/>
      <c r="E87" s="369"/>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369"/>
      <c r="C88" s="369"/>
      <c r="D88" s="369"/>
      <c r="E88" s="369"/>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369"/>
      <c r="C89" s="369"/>
      <c r="D89" s="369"/>
      <c r="E89" s="369"/>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369"/>
      <c r="C90" s="369"/>
      <c r="D90" s="369"/>
      <c r="E90" s="369"/>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369"/>
      <c r="C91" s="369"/>
      <c r="D91" s="369"/>
      <c r="E91" s="369"/>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369"/>
      <c r="C92" s="369"/>
      <c r="D92" s="369"/>
      <c r="E92" s="369"/>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369"/>
      <c r="C93" s="369"/>
      <c r="D93" s="369"/>
      <c r="E93" s="369"/>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369"/>
      <c r="C94" s="369"/>
      <c r="D94" s="369"/>
      <c r="E94" s="369"/>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369"/>
      <c r="C95" s="369"/>
      <c r="D95" s="369"/>
      <c r="E95" s="369"/>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369"/>
      <c r="C96" s="369"/>
      <c r="D96" s="369"/>
      <c r="E96" s="369"/>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369"/>
      <c r="C97" s="369"/>
      <c r="D97" s="369"/>
      <c r="E97" s="369"/>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369"/>
      <c r="C98" s="369"/>
      <c r="D98" s="369"/>
      <c r="E98" s="369"/>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369"/>
      <c r="C99" s="369"/>
      <c r="D99" s="369"/>
      <c r="E99" s="369"/>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369"/>
      <c r="C100" s="369"/>
      <c r="D100" s="369"/>
      <c r="E100" s="369"/>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369"/>
      <c r="C101" s="369"/>
      <c r="D101" s="369"/>
      <c r="E101" s="369"/>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369"/>
      <c r="C102" s="369"/>
      <c r="D102" s="369"/>
      <c r="E102" s="369"/>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369"/>
      <c r="C103" s="369"/>
      <c r="D103" s="369"/>
      <c r="E103" s="369"/>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369"/>
      <c r="C104" s="369"/>
      <c r="D104" s="369"/>
      <c r="E104" s="369"/>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369"/>
      <c r="C105" s="369"/>
      <c r="D105" s="369"/>
      <c r="E105" s="369"/>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369"/>
      <c r="C106" s="369"/>
      <c r="D106" s="369"/>
      <c r="E106" s="369"/>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369"/>
      <c r="C107" s="369"/>
      <c r="D107" s="369"/>
      <c r="E107" s="369"/>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369"/>
      <c r="C108" s="369"/>
      <c r="D108" s="369"/>
      <c r="E108" s="369"/>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369"/>
      <c r="C109" s="369"/>
      <c r="D109" s="369"/>
      <c r="E109" s="369"/>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369"/>
      <c r="C110" s="369"/>
      <c r="D110" s="369"/>
      <c r="E110" s="369"/>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369"/>
      <c r="C111" s="369"/>
      <c r="D111" s="369"/>
      <c r="E111" s="369"/>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369"/>
      <c r="C112" s="369"/>
      <c r="D112" s="369"/>
      <c r="E112" s="369"/>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369"/>
      <c r="C113" s="369"/>
      <c r="D113" s="369"/>
      <c r="E113" s="369"/>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369"/>
      <c r="C114" s="369"/>
      <c r="D114" s="369"/>
      <c r="E114" s="369"/>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369"/>
      <c r="C115" s="369"/>
      <c r="D115" s="369"/>
      <c r="E115" s="369"/>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369"/>
      <c r="C116" s="369"/>
      <c r="D116" s="369"/>
      <c r="E116" s="369"/>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369"/>
      <c r="C117" s="369"/>
      <c r="D117" s="369"/>
      <c r="E117" s="369"/>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369"/>
      <c r="C118" s="369"/>
      <c r="D118" s="369"/>
      <c r="E118" s="369"/>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369"/>
      <c r="C119" s="369"/>
      <c r="D119" s="369"/>
      <c r="E119" s="369"/>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369"/>
      <c r="C120" s="369"/>
      <c r="D120" s="369"/>
      <c r="E120" s="369"/>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369"/>
      <c r="C121" s="369"/>
      <c r="D121" s="369"/>
      <c r="E121" s="369"/>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369"/>
      <c r="C122" s="369"/>
      <c r="D122" s="369"/>
      <c r="E122" s="369"/>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369"/>
      <c r="C123" s="369"/>
      <c r="D123" s="369"/>
      <c r="E123" s="369"/>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369"/>
      <c r="C124" s="369"/>
      <c r="D124" s="369"/>
      <c r="E124" s="369"/>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369"/>
      <c r="C125" s="369"/>
      <c r="D125" s="369"/>
      <c r="E125" s="369"/>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369"/>
      <c r="C126" s="369"/>
      <c r="D126" s="369"/>
      <c r="E126" s="369"/>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369"/>
      <c r="C127" s="369"/>
      <c r="D127" s="369"/>
      <c r="E127" s="369"/>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369"/>
      <c r="C128" s="369"/>
      <c r="D128" s="369"/>
      <c r="E128" s="369"/>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369"/>
      <c r="C129" s="369"/>
      <c r="D129" s="369"/>
      <c r="E129" s="369"/>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369"/>
      <c r="C130" s="369"/>
      <c r="D130" s="369"/>
      <c r="E130" s="369"/>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369"/>
      <c r="C131" s="369"/>
      <c r="D131" s="369"/>
      <c r="E131" s="369"/>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369"/>
      <c r="C132" s="369"/>
      <c r="D132" s="369"/>
      <c r="E132" s="369"/>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369"/>
      <c r="C133" s="369"/>
      <c r="D133" s="369"/>
      <c r="E133" s="369"/>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369"/>
      <c r="C134" s="369"/>
      <c r="D134" s="369"/>
      <c r="E134" s="369"/>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369"/>
      <c r="C135" s="369"/>
      <c r="D135" s="369"/>
      <c r="E135" s="369"/>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369"/>
      <c r="C136" s="369"/>
      <c r="D136" s="369"/>
      <c r="E136" s="369"/>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369"/>
      <c r="C137" s="369"/>
      <c r="D137" s="369"/>
      <c r="E137" s="369"/>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369"/>
      <c r="C138" s="369"/>
      <c r="D138" s="369"/>
      <c r="E138" s="369"/>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369"/>
      <c r="C139" s="369"/>
      <c r="D139" s="369"/>
      <c r="E139" s="369"/>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369"/>
      <c r="C140" s="369"/>
      <c r="D140" s="369"/>
      <c r="E140" s="369"/>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369"/>
      <c r="C141" s="369"/>
      <c r="D141" s="369"/>
      <c r="E141" s="369"/>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369"/>
      <c r="C142" s="369"/>
      <c r="D142" s="369"/>
      <c r="E142" s="369"/>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369"/>
      <c r="C143" s="369"/>
      <c r="D143" s="369"/>
      <c r="E143" s="369"/>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369"/>
      <c r="C144" s="369"/>
      <c r="D144" s="369"/>
      <c r="E144" s="369"/>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369"/>
      <c r="C145" s="369"/>
      <c r="D145" s="369"/>
      <c r="E145" s="369"/>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369"/>
      <c r="C146" s="369"/>
      <c r="D146" s="369"/>
      <c r="E146" s="369"/>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369"/>
      <c r="C147" s="369"/>
      <c r="D147" s="369"/>
      <c r="E147" s="369"/>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369"/>
      <c r="C148" s="369"/>
      <c r="D148" s="369"/>
      <c r="E148" s="369"/>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369"/>
      <c r="C149" s="369"/>
      <c r="D149" s="369"/>
      <c r="E149" s="369"/>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369"/>
      <c r="C150" s="369"/>
      <c r="D150" s="369"/>
      <c r="E150" s="369"/>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369"/>
      <c r="C151" s="369"/>
      <c r="D151" s="369"/>
      <c r="E151" s="369"/>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369"/>
      <c r="C152" s="369"/>
      <c r="D152" s="369"/>
      <c r="E152" s="369"/>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369"/>
      <c r="C153" s="369"/>
      <c r="D153" s="369"/>
      <c r="E153" s="369"/>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369"/>
      <c r="C154" s="369"/>
      <c r="D154" s="369"/>
      <c r="E154" s="369"/>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369"/>
      <c r="C155" s="369"/>
      <c r="D155" s="369"/>
      <c r="E155" s="369"/>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369"/>
      <c r="C156" s="369"/>
      <c r="D156" s="369"/>
      <c r="E156" s="369"/>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369"/>
      <c r="C157" s="369"/>
      <c r="D157" s="369"/>
      <c r="E157" s="369"/>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369"/>
      <c r="C158" s="369"/>
      <c r="D158" s="369"/>
      <c r="E158" s="369"/>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369"/>
      <c r="C159" s="369"/>
      <c r="D159" s="369"/>
      <c r="E159" s="369"/>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369"/>
      <c r="C160" s="369"/>
      <c r="D160" s="369"/>
      <c r="E160" s="369"/>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369"/>
      <c r="C161" s="369"/>
      <c r="D161" s="369"/>
      <c r="E161" s="369"/>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369"/>
      <c r="C162" s="369"/>
      <c r="D162" s="369"/>
      <c r="E162" s="369"/>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369"/>
      <c r="C163" s="369"/>
      <c r="D163" s="369"/>
      <c r="E163" s="369"/>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369"/>
      <c r="C164" s="369"/>
      <c r="D164" s="369"/>
      <c r="E164" s="369"/>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369"/>
      <c r="C165" s="369"/>
      <c r="D165" s="369"/>
      <c r="E165" s="369"/>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369"/>
      <c r="C166" s="369"/>
      <c r="D166" s="369"/>
      <c r="E166" s="369"/>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369"/>
      <c r="C167" s="369"/>
      <c r="D167" s="369"/>
      <c r="E167" s="369"/>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369"/>
      <c r="C168" s="369"/>
      <c r="D168" s="369"/>
      <c r="E168" s="369"/>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369"/>
      <c r="C169" s="369"/>
      <c r="D169" s="369"/>
      <c r="E169" s="369"/>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369"/>
      <c r="C170" s="369"/>
      <c r="D170" s="369"/>
      <c r="E170" s="369"/>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369"/>
      <c r="C171" s="369"/>
      <c r="D171" s="369"/>
      <c r="E171" s="369"/>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369"/>
      <c r="C172" s="369"/>
      <c r="D172" s="369"/>
      <c r="E172" s="369"/>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369"/>
      <c r="C173" s="369"/>
      <c r="D173" s="369"/>
      <c r="E173" s="369"/>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369"/>
      <c r="C174" s="369"/>
      <c r="D174" s="369"/>
      <c r="E174" s="369"/>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369"/>
      <c r="C175" s="369"/>
      <c r="D175" s="369"/>
      <c r="E175" s="369"/>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369"/>
      <c r="C176" s="369"/>
      <c r="D176" s="369"/>
      <c r="E176" s="369"/>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369"/>
      <c r="C177" s="369"/>
      <c r="D177" s="369"/>
      <c r="E177" s="369"/>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369"/>
      <c r="C178" s="369"/>
      <c r="D178" s="369"/>
      <c r="E178" s="369"/>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369"/>
      <c r="C179" s="369"/>
      <c r="D179" s="369"/>
      <c r="E179" s="369"/>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369"/>
      <c r="C180" s="369"/>
      <c r="D180" s="369"/>
      <c r="E180" s="369"/>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369"/>
      <c r="C181" s="369"/>
      <c r="D181" s="369"/>
      <c r="E181" s="369"/>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369"/>
      <c r="C182" s="369"/>
      <c r="D182" s="369"/>
      <c r="E182" s="369"/>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369"/>
      <c r="C183" s="369"/>
      <c r="D183" s="369"/>
      <c r="E183" s="369"/>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369"/>
      <c r="C184" s="369"/>
      <c r="D184" s="369"/>
      <c r="E184" s="369"/>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369"/>
      <c r="C185" s="369"/>
      <c r="D185" s="369"/>
      <c r="E185" s="369"/>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369"/>
      <c r="C186" s="369"/>
      <c r="D186" s="369"/>
      <c r="E186" s="369"/>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369"/>
      <c r="C187" s="369"/>
      <c r="D187" s="369"/>
      <c r="E187" s="369"/>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369"/>
      <c r="C188" s="369"/>
      <c r="D188" s="369"/>
      <c r="E188" s="369"/>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369"/>
      <c r="C189" s="369"/>
      <c r="D189" s="369"/>
      <c r="E189" s="369"/>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369"/>
      <c r="C190" s="369"/>
      <c r="D190" s="369"/>
      <c r="E190" s="369"/>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369"/>
      <c r="C191" s="369"/>
      <c r="D191" s="369"/>
      <c r="E191" s="369"/>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369"/>
      <c r="C192" s="369"/>
      <c r="D192" s="369"/>
      <c r="E192" s="369"/>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369"/>
      <c r="C193" s="369"/>
      <c r="D193" s="369"/>
      <c r="E193" s="369"/>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369"/>
      <c r="C194" s="369"/>
      <c r="D194" s="369"/>
      <c r="E194" s="369"/>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369"/>
      <c r="C195" s="369"/>
      <c r="D195" s="369"/>
      <c r="E195" s="369"/>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369"/>
      <c r="C196" s="369"/>
      <c r="D196" s="369"/>
      <c r="E196" s="369"/>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369"/>
      <c r="C197" s="369"/>
      <c r="D197" s="369"/>
      <c r="E197" s="369"/>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369"/>
      <c r="C198" s="369"/>
      <c r="D198" s="369"/>
      <c r="E198" s="369"/>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369"/>
      <c r="C199" s="369"/>
      <c r="D199" s="369"/>
      <c r="E199" s="369"/>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369"/>
      <c r="C200" s="369"/>
      <c r="D200" s="369"/>
      <c r="E200" s="369"/>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369"/>
      <c r="C201" s="369"/>
      <c r="D201" s="369"/>
      <c r="E201" s="369"/>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369"/>
      <c r="C202" s="369"/>
      <c r="D202" s="369"/>
      <c r="E202" s="369"/>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369"/>
      <c r="C203" s="369"/>
      <c r="D203" s="369"/>
      <c r="E203" s="369"/>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369"/>
      <c r="C204" s="369"/>
      <c r="D204" s="369"/>
      <c r="E204" s="369"/>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row r="205" spans="1:30">
      <c r="A205" s="225"/>
      <c r="B205" s="369"/>
      <c r="C205" s="369"/>
      <c r="D205" s="369"/>
      <c r="E205" s="369"/>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row>
    <row r="206" spans="1:30">
      <c r="A206" s="225"/>
      <c r="B206" s="369"/>
      <c r="C206" s="369"/>
      <c r="D206" s="369"/>
      <c r="E206" s="369"/>
      <c r="F206" s="225"/>
      <c r="G206" s="225"/>
      <c r="H206" s="225"/>
      <c r="I206" s="225"/>
      <c r="J206" s="225"/>
      <c r="K206" s="225"/>
      <c r="L206" s="225"/>
      <c r="M206" s="225"/>
      <c r="N206" s="225"/>
      <c r="O206" s="225"/>
      <c r="P206" s="225"/>
      <c r="Q206" s="225"/>
      <c r="R206" s="225"/>
      <c r="S206" s="225"/>
      <c r="T206" s="225"/>
      <c r="U206" s="225"/>
      <c r="V206" s="225"/>
      <c r="W206" s="225"/>
      <c r="X206" s="225"/>
      <c r="Y206" s="225"/>
      <c r="Z206" s="225"/>
      <c r="AA206" s="225"/>
      <c r="AB206" s="225"/>
      <c r="AC206" s="225"/>
      <c r="AD206" s="225"/>
    </row>
    <row r="207" spans="1:30">
      <c r="A207" s="225"/>
      <c r="B207" s="369"/>
      <c r="C207" s="369"/>
      <c r="D207" s="369"/>
      <c r="E207" s="369"/>
      <c r="F207" s="225"/>
      <c r="G207" s="225"/>
      <c r="H207" s="225"/>
      <c r="I207" s="225"/>
      <c r="J207" s="225"/>
      <c r="K207" s="225"/>
      <c r="L207" s="225"/>
      <c r="M207" s="225"/>
      <c r="N207" s="225"/>
      <c r="O207" s="225"/>
      <c r="P207" s="225"/>
      <c r="Q207" s="225"/>
      <c r="R207" s="225"/>
      <c r="S207" s="225"/>
      <c r="T207" s="225"/>
      <c r="U207" s="225"/>
      <c r="V207" s="225"/>
      <c r="W207" s="225"/>
      <c r="X207" s="225"/>
      <c r="Y207" s="225"/>
      <c r="Z207" s="225"/>
      <c r="AA207" s="225"/>
      <c r="AB207" s="225"/>
      <c r="AC207" s="225"/>
      <c r="AD207" s="225"/>
    </row>
    <row r="208" spans="1:30">
      <c r="A208" s="225"/>
      <c r="B208" s="369"/>
      <c r="C208" s="369"/>
      <c r="D208" s="369"/>
      <c r="E208" s="369"/>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row>
    <row r="209" spans="1:30">
      <c r="A209" s="225"/>
      <c r="B209" s="369"/>
      <c r="C209" s="369"/>
      <c r="D209" s="369"/>
      <c r="E209" s="369"/>
      <c r="F209" s="225"/>
      <c r="G209" s="225"/>
      <c r="H209" s="225"/>
      <c r="I209" s="225"/>
      <c r="J209" s="225"/>
      <c r="K209" s="225"/>
      <c r="L209" s="225"/>
      <c r="M209" s="225"/>
      <c r="N209" s="225"/>
      <c r="O209" s="225"/>
      <c r="P209" s="225"/>
      <c r="Q209" s="225"/>
      <c r="R209" s="225"/>
      <c r="S209" s="225"/>
      <c r="T209" s="225"/>
      <c r="U209" s="225"/>
      <c r="V209" s="225"/>
      <c r="W209" s="225"/>
      <c r="X209" s="225"/>
      <c r="Y209" s="225"/>
      <c r="Z209" s="225"/>
      <c r="AA209" s="225"/>
      <c r="AB209" s="225"/>
      <c r="AC209" s="225"/>
      <c r="AD209" s="225"/>
    </row>
  </sheetData>
  <autoFilter ref="A1:L30" xr:uid="{A7B341CE-4905-48A2-A2C4-27087D6CC59D}"/>
  <phoneticPr fontId="66"/>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2684</v>
      </c>
      <c r="E1" s="166" t="s">
        <v>2685</v>
      </c>
      <c r="F1" s="144" t="s">
        <v>3066</v>
      </c>
      <c r="G1" s="144" t="s">
        <v>3141</v>
      </c>
      <c r="H1" s="164" t="s">
        <v>2293</v>
      </c>
      <c r="I1" s="103" t="s">
        <v>2404</v>
      </c>
      <c r="J1" s="103" t="s">
        <v>3165</v>
      </c>
      <c r="K1" s="103" t="s">
        <v>2227</v>
      </c>
      <c r="L1" s="105" t="s">
        <v>2224</v>
      </c>
      <c r="M1" s="104" t="s">
        <v>2297</v>
      </c>
      <c r="N1" s="104" t="s">
        <v>1457</v>
      </c>
      <c r="O1" s="103" t="s">
        <v>2415</v>
      </c>
      <c r="P1" s="103" t="s">
        <v>2226</v>
      </c>
      <c r="Q1" s="103" t="s">
        <v>4811</v>
      </c>
      <c r="R1" s="103" t="s">
        <v>4810</v>
      </c>
      <c r="S1" s="103" t="s">
        <v>4808</v>
      </c>
      <c r="T1" s="103" t="s">
        <v>4806</v>
      </c>
      <c r="U1" s="103" t="s">
        <v>4763</v>
      </c>
      <c r="V1" s="103" t="s">
        <v>4807</v>
      </c>
      <c r="W1" s="103" t="s">
        <v>4809</v>
      </c>
      <c r="X1" s="104" t="s">
        <v>2302</v>
      </c>
      <c r="Y1" s="104" t="s">
        <v>2303</v>
      </c>
      <c r="Z1" s="104" t="s">
        <v>2407</v>
      </c>
      <c r="AA1" s="104" t="s">
        <v>2421</v>
      </c>
      <c r="AB1" s="104" t="s">
        <v>2225</v>
      </c>
      <c r="AC1" s="104" t="s">
        <v>2301</v>
      </c>
    </row>
    <row r="2" spans="1:29">
      <c r="A2" s="136" t="s">
        <v>2290</v>
      </c>
      <c r="B2" s="127"/>
      <c r="C2" s="169" t="s">
        <v>2773</v>
      </c>
      <c r="E2" s="108" t="s">
        <v>2666</v>
      </c>
      <c r="H2" s="127"/>
      <c r="I2" s="110"/>
      <c r="J2" s="110"/>
      <c r="K2" s="110"/>
      <c r="M2" s="113"/>
      <c r="N2" s="111" t="s">
        <v>2237</v>
      </c>
      <c r="O2" s="110"/>
      <c r="AC2" s="112"/>
    </row>
    <row r="3" spans="1:29">
      <c r="A3" s="124" t="s">
        <v>284</v>
      </c>
      <c r="B3" s="124" t="s">
        <v>286</v>
      </c>
      <c r="C3" s="145" t="s">
        <v>2846</v>
      </c>
      <c r="F3" s="139">
        <v>462</v>
      </c>
      <c r="H3" s="124"/>
      <c r="M3" s="113"/>
      <c r="N3" s="111"/>
    </row>
    <row r="4" spans="1:29" ht="39">
      <c r="A4" s="115" t="s">
        <v>3094</v>
      </c>
      <c r="B4" s="115" t="s">
        <v>1851</v>
      </c>
      <c r="C4" s="145" t="s">
        <v>2884</v>
      </c>
      <c r="F4" s="139">
        <v>366</v>
      </c>
      <c r="H4" s="115"/>
      <c r="I4" s="115"/>
      <c r="J4" s="115"/>
      <c r="K4" s="115"/>
      <c r="L4" s="115" t="s">
        <v>1289</v>
      </c>
      <c r="M4" s="114"/>
      <c r="N4" s="114" t="s">
        <v>1778</v>
      </c>
      <c r="O4" s="115"/>
    </row>
    <row r="5" spans="1:29">
      <c r="A5" s="124" t="s">
        <v>819</v>
      </c>
      <c r="B5" s="124" t="s">
        <v>818</v>
      </c>
      <c r="C5" s="145" t="s">
        <v>2885</v>
      </c>
      <c r="E5" s="108" t="s">
        <v>2666</v>
      </c>
      <c r="H5" s="124"/>
      <c r="J5" s="110"/>
      <c r="K5" s="110"/>
      <c r="L5" s="116"/>
      <c r="M5" s="117"/>
      <c r="N5" s="111"/>
    </row>
    <row r="6" spans="1:29">
      <c r="A6" s="115" t="s">
        <v>1909</v>
      </c>
      <c r="B6" s="115" t="s">
        <v>1910</v>
      </c>
      <c r="C6" s="145" t="s">
        <v>2886</v>
      </c>
      <c r="F6" s="139">
        <v>48</v>
      </c>
      <c r="H6" s="115"/>
      <c r="I6" s="115"/>
      <c r="J6" s="115"/>
      <c r="K6" s="115"/>
      <c r="L6" s="115" t="s">
        <v>1262</v>
      </c>
      <c r="M6" s="107"/>
      <c r="N6" s="114" t="s">
        <v>1733</v>
      </c>
      <c r="O6" s="115"/>
    </row>
    <row r="7" spans="1:29">
      <c r="A7" s="115" t="s">
        <v>2047</v>
      </c>
      <c r="B7" s="115" t="s">
        <v>1910</v>
      </c>
      <c r="C7" s="145" t="s">
        <v>2886</v>
      </c>
      <c r="F7" s="139">
        <v>48</v>
      </c>
      <c r="H7" s="115"/>
      <c r="I7" s="115"/>
      <c r="J7" s="115"/>
      <c r="K7" s="115"/>
      <c r="L7" s="115" t="s">
        <v>2046</v>
      </c>
      <c r="M7" s="114"/>
      <c r="N7" s="114"/>
      <c r="O7" s="115"/>
    </row>
    <row r="8" spans="1:29" ht="39">
      <c r="A8" s="115" t="s">
        <v>2030</v>
      </c>
      <c r="B8" s="115" t="s">
        <v>2031</v>
      </c>
      <c r="C8" s="145" t="s">
        <v>2887</v>
      </c>
      <c r="F8" s="139">
        <v>52</v>
      </c>
      <c r="H8" s="115"/>
      <c r="I8" s="115"/>
      <c r="J8" s="115"/>
      <c r="K8" s="115"/>
      <c r="L8" s="115" t="s">
        <v>1262</v>
      </c>
      <c r="M8" s="114"/>
      <c r="N8" s="114" t="s">
        <v>1812</v>
      </c>
      <c r="O8" s="115"/>
    </row>
    <row r="9" spans="1:29">
      <c r="A9" s="124" t="s">
        <v>768</v>
      </c>
      <c r="B9" s="124" t="s">
        <v>290</v>
      </c>
      <c r="C9" s="145" t="s">
        <v>2864</v>
      </c>
      <c r="F9" s="139">
        <v>461</v>
      </c>
      <c r="H9" s="124"/>
      <c r="M9" s="113"/>
      <c r="N9" s="111"/>
    </row>
    <row r="10" spans="1:29">
      <c r="A10" s="136" t="s">
        <v>1258</v>
      </c>
      <c r="B10" s="127"/>
      <c r="C10" s="145" t="s">
        <v>2888</v>
      </c>
      <c r="F10" s="139">
        <v>386</v>
      </c>
      <c r="H10" s="127"/>
      <c r="M10" s="111"/>
      <c r="N10" s="111" t="s">
        <v>2238</v>
      </c>
    </row>
    <row r="11" spans="1:29">
      <c r="A11" s="124" t="s">
        <v>1074</v>
      </c>
      <c r="B11" s="124" t="s">
        <v>1073</v>
      </c>
      <c r="C11" s="145" t="s">
        <v>2826</v>
      </c>
      <c r="F11" s="139">
        <v>148</v>
      </c>
      <c r="H11" s="124"/>
      <c r="M11" s="111"/>
      <c r="N11" s="111"/>
    </row>
    <row r="12" spans="1:29">
      <c r="A12" s="118" t="s">
        <v>2532</v>
      </c>
      <c r="B12" s="150" t="s">
        <v>2483</v>
      </c>
      <c r="C12" s="151" t="s">
        <v>2642</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2889</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2890</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2891</v>
      </c>
      <c r="E15" s="108" t="s">
        <v>2666</v>
      </c>
      <c r="H15" s="124"/>
      <c r="L15" s="160"/>
      <c r="M15" s="114"/>
      <c r="N15" s="111"/>
    </row>
    <row r="16" spans="1:29">
      <c r="A16" s="115"/>
      <c r="B16" s="127" t="s">
        <v>1585</v>
      </c>
      <c r="C16" s="145" t="s">
        <v>2892</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2893</v>
      </c>
      <c r="F18" s="139">
        <v>57</v>
      </c>
      <c r="H18" s="127"/>
      <c r="J18" s="110"/>
      <c r="K18" s="110"/>
      <c r="L18" s="160"/>
      <c r="M18" s="113"/>
      <c r="N18" s="111"/>
    </row>
    <row r="19" spans="1:29">
      <c r="A19" s="115" t="s">
        <v>225</v>
      </c>
      <c r="B19" s="127" t="s">
        <v>224</v>
      </c>
      <c r="C19" s="145" t="s">
        <v>2894</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2895</v>
      </c>
      <c r="F21" s="139">
        <v>329</v>
      </c>
      <c r="H21" s="127"/>
      <c r="L21" s="160"/>
      <c r="M21" s="113"/>
      <c r="N21" s="111"/>
    </row>
    <row r="22" spans="1:29">
      <c r="A22" s="115" t="s">
        <v>1550</v>
      </c>
      <c r="B22" s="127" t="s">
        <v>1549</v>
      </c>
      <c r="C22" s="145" t="s">
        <v>2896</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2897</v>
      </c>
      <c r="E23" s="108" t="s">
        <v>2661</v>
      </c>
      <c r="H23" s="115"/>
      <c r="I23" s="115"/>
      <c r="J23" s="115"/>
      <c r="K23" s="115"/>
      <c r="L23" s="159" t="s">
        <v>1262</v>
      </c>
      <c r="M23" s="113"/>
      <c r="N23" s="114" t="s">
        <v>1505</v>
      </c>
      <c r="O23" s="115"/>
    </row>
    <row r="24" spans="1:29">
      <c r="A24" s="150" t="s">
        <v>1467</v>
      </c>
      <c r="B24" s="150" t="s">
        <v>2473</v>
      </c>
      <c r="C24" s="151" t="s">
        <v>2898</v>
      </c>
      <c r="D24" s="118"/>
      <c r="E24" s="118" t="s">
        <v>2666</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2899</v>
      </c>
      <c r="E25" s="155" t="s">
        <v>2666</v>
      </c>
      <c r="H25" s="127"/>
      <c r="L25" s="160"/>
      <c r="M25" s="111"/>
      <c r="N25" s="111"/>
    </row>
    <row r="26" spans="1:29" ht="39">
      <c r="A26" s="136" t="s">
        <v>2235</v>
      </c>
      <c r="B26" s="127" t="s">
        <v>2300</v>
      </c>
      <c r="C26" s="145" t="s">
        <v>2900</v>
      </c>
      <c r="E26" s="108" t="s">
        <v>3104</v>
      </c>
      <c r="H26" s="127"/>
      <c r="L26" s="160"/>
      <c r="M26" s="111"/>
      <c r="N26" s="111" t="s">
        <v>2236</v>
      </c>
    </row>
    <row r="27" spans="1:29">
      <c r="A27" s="115" t="s">
        <v>2009</v>
      </c>
      <c r="B27" s="115" t="s">
        <v>2010</v>
      </c>
      <c r="C27" s="145" t="s">
        <v>2901</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2902</v>
      </c>
      <c r="F28" s="139">
        <v>406</v>
      </c>
      <c r="H28" s="127"/>
      <c r="L28" s="160"/>
      <c r="M28" s="107"/>
      <c r="N28" s="111"/>
    </row>
    <row r="29" spans="1:29">
      <c r="A29" s="115" t="s">
        <v>2151</v>
      </c>
      <c r="B29" s="115" t="s">
        <v>233</v>
      </c>
      <c r="C29" s="145" t="s">
        <v>2903</v>
      </c>
      <c r="F29" s="139">
        <v>359</v>
      </c>
      <c r="H29" s="115"/>
      <c r="I29" s="115"/>
      <c r="J29" s="115"/>
      <c r="K29" s="115"/>
      <c r="L29" s="160"/>
      <c r="M29" s="114"/>
      <c r="N29" s="114" t="s">
        <v>1707</v>
      </c>
      <c r="O29" s="115"/>
    </row>
    <row r="30" spans="1:29">
      <c r="A30" s="124" t="s">
        <v>349</v>
      </c>
      <c r="B30" s="124" t="s">
        <v>351</v>
      </c>
      <c r="C30" s="145" t="s">
        <v>2777</v>
      </c>
      <c r="F30" s="139">
        <v>206</v>
      </c>
      <c r="H30" s="124"/>
      <c r="L30" s="160"/>
      <c r="M30" s="113"/>
      <c r="N30" s="111"/>
    </row>
    <row r="31" spans="1:29" ht="39">
      <c r="A31" s="124" t="s">
        <v>4005</v>
      </c>
      <c r="B31" s="131" t="s">
        <v>4004</v>
      </c>
      <c r="C31" s="156" t="s">
        <v>4007</v>
      </c>
      <c r="F31" s="139">
        <v>510</v>
      </c>
      <c r="H31" s="131" t="s">
        <v>2400</v>
      </c>
      <c r="I31" s="124"/>
      <c r="J31" s="124">
        <v>13911120217</v>
      </c>
      <c r="K31" s="88">
        <v>2152929911</v>
      </c>
      <c r="L31" s="160"/>
      <c r="M31" s="123"/>
      <c r="N31" s="204" t="s">
        <v>4006</v>
      </c>
      <c r="O31" s="124"/>
    </row>
    <row r="32" spans="1:29" ht="36">
      <c r="A32" s="154" t="s">
        <v>2487</v>
      </c>
      <c r="B32" s="168" t="s">
        <v>463</v>
      </c>
      <c r="C32" s="151" t="s">
        <v>2904</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2905</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2906</v>
      </c>
      <c r="E34" s="108" t="s">
        <v>2661</v>
      </c>
      <c r="H34" s="127"/>
      <c r="I34" s="122"/>
      <c r="J34" s="122" t="s">
        <v>1453</v>
      </c>
      <c r="K34" s="122"/>
      <c r="L34" s="162" t="s">
        <v>1284</v>
      </c>
      <c r="M34" s="114"/>
      <c r="N34" s="111"/>
      <c r="O34" s="122"/>
    </row>
    <row r="35" spans="1:29">
      <c r="A35" s="124"/>
      <c r="B35" s="131" t="s">
        <v>1581</v>
      </c>
      <c r="C35" s="145" t="s">
        <v>2907</v>
      </c>
      <c r="F35" s="139">
        <v>492</v>
      </c>
      <c r="H35" s="131"/>
      <c r="I35" s="124"/>
      <c r="J35" s="124"/>
      <c r="K35" s="124"/>
      <c r="L35" s="160"/>
      <c r="M35" s="123"/>
      <c r="N35" s="111"/>
      <c r="O35" s="124"/>
    </row>
    <row r="36" spans="1:29">
      <c r="A36" s="124" t="s">
        <v>1598</v>
      </c>
      <c r="B36" s="131" t="s">
        <v>2539</v>
      </c>
      <c r="C36" s="145" t="s">
        <v>2908</v>
      </c>
      <c r="F36" s="139">
        <v>321</v>
      </c>
      <c r="H36" s="131"/>
      <c r="I36" s="124"/>
      <c r="J36" s="124"/>
      <c r="K36" s="124"/>
      <c r="L36" s="160"/>
      <c r="M36" s="114"/>
      <c r="N36" s="111" t="s">
        <v>2318</v>
      </c>
      <c r="O36" s="124"/>
    </row>
    <row r="37" spans="1:29" ht="39">
      <c r="A37" s="124" t="s">
        <v>3168</v>
      </c>
      <c r="B37" s="131" t="s">
        <v>3167</v>
      </c>
      <c r="C37" s="156" t="s">
        <v>3169</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2910</v>
      </c>
      <c r="E39" s="108" t="s">
        <v>2661</v>
      </c>
      <c r="H39" s="127"/>
      <c r="I39" s="122"/>
      <c r="J39" s="122"/>
      <c r="K39" s="122"/>
      <c r="L39" s="162" t="s">
        <v>1262</v>
      </c>
      <c r="M39" s="114"/>
      <c r="N39" s="111"/>
      <c r="O39" s="122"/>
    </row>
    <row r="40" spans="1:29" ht="39">
      <c r="A40" s="124" t="s">
        <v>608</v>
      </c>
      <c r="B40" s="124" t="s">
        <v>607</v>
      </c>
      <c r="C40" s="145" t="s">
        <v>2911</v>
      </c>
      <c r="E40" s="108" t="s">
        <v>2661</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2912</v>
      </c>
      <c r="F41" s="139">
        <v>415</v>
      </c>
      <c r="H41" s="115"/>
      <c r="I41" s="115"/>
      <c r="J41" s="115"/>
      <c r="K41" s="115"/>
      <c r="L41" s="159" t="s">
        <v>1262</v>
      </c>
      <c r="M41" s="114"/>
      <c r="N41" s="114" t="s">
        <v>1461</v>
      </c>
      <c r="O41" s="115"/>
    </row>
    <row r="42" spans="1:29">
      <c r="A42" s="136" t="s">
        <v>2316</v>
      </c>
      <c r="B42" s="127" t="s">
        <v>2323</v>
      </c>
      <c r="C42" s="145" t="s">
        <v>2913</v>
      </c>
      <c r="E42" s="108" t="s">
        <v>2666</v>
      </c>
      <c r="H42" s="127"/>
      <c r="L42" s="160"/>
      <c r="M42" s="114"/>
      <c r="N42" s="111" t="s">
        <v>2315</v>
      </c>
    </row>
    <row r="43" spans="1:29">
      <c r="A43" s="136" t="s">
        <v>2534</v>
      </c>
      <c r="B43" s="127" t="s">
        <v>2533</v>
      </c>
      <c r="C43" s="145" t="s">
        <v>2914</v>
      </c>
      <c r="E43" s="108" t="s">
        <v>2666</v>
      </c>
      <c r="H43" s="127"/>
      <c r="I43" s="110"/>
      <c r="J43" s="110"/>
      <c r="K43" s="110"/>
      <c r="L43" s="160"/>
      <c r="M43" s="107"/>
      <c r="N43" s="111" t="s">
        <v>2234</v>
      </c>
      <c r="O43" s="110"/>
    </row>
    <row r="44" spans="1:29">
      <c r="A44" s="115" t="s">
        <v>251</v>
      </c>
      <c r="B44" s="127" t="s">
        <v>253</v>
      </c>
      <c r="C44" s="145" t="s">
        <v>2915</v>
      </c>
      <c r="E44" s="108" t="s">
        <v>2666</v>
      </c>
      <c r="H44" s="127"/>
      <c r="I44" s="110"/>
      <c r="J44" s="110"/>
      <c r="K44" s="110"/>
      <c r="L44" s="160"/>
      <c r="M44" s="107"/>
      <c r="N44" s="111"/>
      <c r="O44" s="110"/>
    </row>
    <row r="45" spans="1:29" ht="39">
      <c r="A45" s="115" t="s">
        <v>2063</v>
      </c>
      <c r="B45" s="115" t="s">
        <v>2064</v>
      </c>
      <c r="C45" s="145" t="s">
        <v>2916</v>
      </c>
      <c r="E45" s="108" t="s">
        <v>2663</v>
      </c>
      <c r="H45" s="115"/>
      <c r="I45" s="114"/>
      <c r="J45" s="114"/>
      <c r="K45" s="115"/>
      <c r="L45" s="115" t="s">
        <v>1262</v>
      </c>
      <c r="M45" s="114"/>
      <c r="N45" s="114" t="s">
        <v>1461</v>
      </c>
      <c r="O45" s="114"/>
      <c r="P45" s="125"/>
      <c r="Q45" s="110"/>
      <c r="R45" s="110"/>
      <c r="S45" s="110"/>
      <c r="T45" s="110"/>
      <c r="U45" s="110"/>
      <c r="V45" s="110"/>
      <c r="W45" s="110"/>
      <c r="AC45" s="106" t="s">
        <v>4697</v>
      </c>
    </row>
    <row r="46" spans="1:29">
      <c r="A46" s="115" t="s">
        <v>1349</v>
      </c>
      <c r="B46" s="127"/>
      <c r="C46" s="145" t="s">
        <v>2917</v>
      </c>
      <c r="F46" s="139">
        <v>483</v>
      </c>
      <c r="H46" s="127"/>
      <c r="I46" s="128"/>
      <c r="J46" s="128"/>
      <c r="K46" s="122"/>
      <c r="L46" s="127" t="s">
        <v>1284</v>
      </c>
      <c r="M46" s="107"/>
      <c r="N46" s="111"/>
      <c r="O46" s="128"/>
      <c r="P46" s="125"/>
      <c r="Q46" s="110"/>
      <c r="R46" s="110"/>
      <c r="S46" s="110"/>
      <c r="T46" s="110"/>
      <c r="U46" s="110"/>
      <c r="V46" s="110"/>
      <c r="W46" s="110"/>
    </row>
    <row r="47" spans="1:29" ht="39">
      <c r="A47" s="115" t="s">
        <v>3445</v>
      </c>
      <c r="B47" s="127"/>
      <c r="C47" s="55" t="s">
        <v>4695</v>
      </c>
      <c r="F47" s="139">
        <v>511</v>
      </c>
      <c r="H47" s="127"/>
      <c r="I47" s="128"/>
      <c r="J47" s="128"/>
      <c r="K47" s="122"/>
      <c r="L47" s="127" t="s">
        <v>1355</v>
      </c>
      <c r="M47" s="107"/>
      <c r="N47" s="111"/>
      <c r="O47" s="128"/>
      <c r="P47" s="125"/>
      <c r="Q47" s="110"/>
      <c r="R47" s="110"/>
      <c r="S47" s="110"/>
      <c r="T47" s="110"/>
      <c r="U47" s="110"/>
      <c r="V47" s="110"/>
      <c r="W47" s="110"/>
    </row>
    <row r="48" spans="1:29" ht="39">
      <c r="A48" s="115" t="s">
        <v>3445</v>
      </c>
      <c r="B48" s="127"/>
      <c r="C48" s="55" t="s">
        <v>4696</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2919</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2920</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2666</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2927</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2928</v>
      </c>
      <c r="E56" s="108" t="s">
        <v>2666</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2929</v>
      </c>
      <c r="E57" s="118" t="s">
        <v>2666</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2930</v>
      </c>
      <c r="D58" s="118"/>
      <c r="E58" s="118" t="s">
        <v>2666</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2666</v>
      </c>
      <c r="H59" s="131"/>
      <c r="I59" s="124"/>
      <c r="J59" s="124"/>
      <c r="K59" s="124"/>
      <c r="M59" s="131"/>
      <c r="N59" s="116"/>
      <c r="O59" s="124"/>
      <c r="P59" s="110"/>
      <c r="Q59" s="110"/>
      <c r="R59" s="110"/>
      <c r="S59" s="110"/>
      <c r="T59" s="110"/>
      <c r="U59" s="110"/>
      <c r="V59" s="110"/>
      <c r="W59" s="110"/>
    </row>
    <row r="60" spans="1:29">
      <c r="A60" s="124" t="s">
        <v>708</v>
      </c>
      <c r="B60" s="124" t="s">
        <v>707</v>
      </c>
      <c r="C60" s="145" t="s">
        <v>2931</v>
      </c>
      <c r="E60" s="108" t="s">
        <v>2665</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2932</v>
      </c>
      <c r="E61" s="108" t="s">
        <v>2666</v>
      </c>
      <c r="H61" s="131"/>
      <c r="I61" s="124"/>
      <c r="J61" s="124"/>
      <c r="K61" s="124"/>
      <c r="L61" s="116"/>
      <c r="M61" s="127"/>
      <c r="N61" s="116"/>
      <c r="O61" s="124"/>
      <c r="P61" s="110"/>
      <c r="Q61" s="110"/>
      <c r="R61" s="110"/>
      <c r="S61" s="110"/>
      <c r="T61" s="110"/>
      <c r="U61" s="110"/>
      <c r="V61" s="110"/>
      <c r="W61" s="110"/>
    </row>
    <row r="62" spans="1:29" ht="39">
      <c r="A62" s="131" t="s">
        <v>3152</v>
      </c>
      <c r="B62" s="124" t="s">
        <v>3151</v>
      </c>
      <c r="C62" s="55" t="s">
        <v>3155</v>
      </c>
      <c r="F62" s="139">
        <v>445</v>
      </c>
      <c r="H62" s="131"/>
      <c r="I62" s="124"/>
      <c r="J62" s="155"/>
      <c r="K62" s="124" t="s">
        <v>3154</v>
      </c>
      <c r="M62" s="131"/>
      <c r="N62" s="116" t="s">
        <v>3153</v>
      </c>
      <c r="O62" s="124"/>
      <c r="P62" s="110"/>
      <c r="Q62" s="110"/>
      <c r="R62" s="110"/>
      <c r="S62" s="110"/>
      <c r="T62" s="110"/>
      <c r="U62" s="110"/>
      <c r="V62" s="110"/>
      <c r="W62" s="110"/>
    </row>
    <row r="63" spans="1:29">
      <c r="A63" s="118" t="s">
        <v>1097</v>
      </c>
      <c r="B63" s="150" t="s">
        <v>1096</v>
      </c>
      <c r="C63" s="151" t="s">
        <v>2774</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2933</v>
      </c>
      <c r="E64" s="108" t="s">
        <v>2663</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2934</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2935</v>
      </c>
      <c r="E66" s="155" t="s">
        <v>2666</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2936</v>
      </c>
      <c r="E67" s="118" t="s">
        <v>2666</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2937</v>
      </c>
      <c r="F68" s="139">
        <v>482</v>
      </c>
      <c r="H68" s="115"/>
      <c r="I68" s="115"/>
      <c r="J68" s="114"/>
      <c r="K68" s="159"/>
      <c r="L68" s="159" t="s">
        <v>1986</v>
      </c>
      <c r="M68" s="115"/>
      <c r="N68" s="115" t="s">
        <v>1733</v>
      </c>
      <c r="O68" s="115"/>
    </row>
    <row r="69" spans="1:29">
      <c r="A69" s="118" t="s">
        <v>234</v>
      </c>
      <c r="B69" s="150" t="s">
        <v>2499</v>
      </c>
      <c r="C69" s="151" t="s">
        <v>2938</v>
      </c>
      <c r="D69" s="118"/>
      <c r="E69" s="118" t="s">
        <v>2666</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2939</v>
      </c>
      <c r="E70" s="108" t="s">
        <v>2666</v>
      </c>
      <c r="H70" s="124"/>
      <c r="J70" s="125"/>
      <c r="K70" s="177"/>
      <c r="L70" s="160"/>
      <c r="M70" s="127"/>
      <c r="N70" s="116"/>
    </row>
    <row r="71" spans="1:29">
      <c r="A71" s="136" t="s">
        <v>2353</v>
      </c>
      <c r="B71" s="127" t="s">
        <v>2354</v>
      </c>
      <c r="C71" s="145" t="s">
        <v>2859</v>
      </c>
      <c r="F71" s="139">
        <v>256</v>
      </c>
      <c r="H71" s="127"/>
      <c r="J71" s="125"/>
      <c r="K71" s="177"/>
      <c r="L71" s="160"/>
      <c r="M71" s="116"/>
      <c r="N71" s="116"/>
    </row>
    <row r="72" spans="1:29">
      <c r="A72" s="118" t="s">
        <v>1117</v>
      </c>
      <c r="B72" s="150" t="s">
        <v>1116</v>
      </c>
      <c r="C72" s="151" t="s">
        <v>2872</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2940</v>
      </c>
      <c r="F73" s="139">
        <v>227</v>
      </c>
      <c r="H73" s="127"/>
      <c r="J73" s="125"/>
      <c r="K73" s="177"/>
      <c r="L73" s="160"/>
      <c r="M73" s="119"/>
      <c r="N73" s="116"/>
    </row>
    <row r="74" spans="1:29">
      <c r="A74" s="136" t="s">
        <v>2355</v>
      </c>
      <c r="B74" s="127"/>
      <c r="C74" s="145" t="s">
        <v>2861</v>
      </c>
      <c r="F74" s="139">
        <v>403</v>
      </c>
      <c r="H74" s="127"/>
      <c r="J74" s="125"/>
      <c r="K74" s="177"/>
      <c r="L74" s="160"/>
      <c r="M74" s="116"/>
      <c r="N74" s="116"/>
    </row>
    <row r="75" spans="1:29" ht="78">
      <c r="A75" s="115" t="s">
        <v>1372</v>
      </c>
      <c r="B75" s="127" t="s">
        <v>1373</v>
      </c>
      <c r="C75" s="145" t="s">
        <v>2941</v>
      </c>
      <c r="E75" s="108" t="s">
        <v>2666</v>
      </c>
      <c r="H75" s="127"/>
      <c r="I75" s="122"/>
      <c r="J75" s="128" t="s">
        <v>2239</v>
      </c>
      <c r="K75" s="179"/>
      <c r="L75" s="162" t="s">
        <v>1341</v>
      </c>
      <c r="M75" s="127"/>
      <c r="N75" s="116"/>
      <c r="O75" s="122"/>
    </row>
    <row r="76" spans="1:29">
      <c r="A76" s="136" t="s">
        <v>2295</v>
      </c>
      <c r="B76" s="127" t="s">
        <v>2310</v>
      </c>
      <c r="C76" s="145" t="s">
        <v>2942</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2943</v>
      </c>
      <c r="F78" s="139">
        <v>342</v>
      </c>
      <c r="H78" s="115"/>
      <c r="I78" s="115"/>
      <c r="J78" s="115"/>
      <c r="K78" s="115"/>
      <c r="L78" s="115" t="s">
        <v>1289</v>
      </c>
      <c r="M78" s="115"/>
      <c r="N78" s="115" t="s">
        <v>1818</v>
      </c>
      <c r="O78" s="115"/>
    </row>
    <row r="79" spans="1:29">
      <c r="A79" s="115" t="s">
        <v>184</v>
      </c>
      <c r="B79" s="127" t="s">
        <v>186</v>
      </c>
      <c r="C79" s="145" t="s">
        <v>2944</v>
      </c>
      <c r="F79" s="139">
        <v>300</v>
      </c>
      <c r="H79" s="127"/>
      <c r="L79" s="116"/>
      <c r="M79" s="127"/>
      <c r="N79" s="116"/>
    </row>
    <row r="80" spans="1:29" ht="39">
      <c r="A80" s="115" t="s">
        <v>1925</v>
      </c>
      <c r="B80" s="115" t="s">
        <v>2078</v>
      </c>
      <c r="C80" s="145" t="s">
        <v>2945</v>
      </c>
      <c r="E80" s="108" t="s">
        <v>2666</v>
      </c>
      <c r="H80" s="115"/>
      <c r="I80" s="115"/>
      <c r="J80" s="115"/>
      <c r="K80" s="115"/>
      <c r="L80" s="115" t="s">
        <v>1380</v>
      </c>
      <c r="M80" s="56"/>
      <c r="N80" s="115" t="s">
        <v>1786</v>
      </c>
      <c r="O80" s="115"/>
    </row>
    <row r="81" spans="1:29">
      <c r="A81" s="115" t="s">
        <v>1087</v>
      </c>
      <c r="B81" s="115" t="s">
        <v>1920</v>
      </c>
      <c r="C81" s="145" t="s">
        <v>2946</v>
      </c>
      <c r="F81" s="139">
        <v>452</v>
      </c>
      <c r="H81" s="115"/>
      <c r="I81" s="115"/>
      <c r="J81" s="115"/>
      <c r="K81" s="115"/>
      <c r="L81" s="115" t="s">
        <v>1284</v>
      </c>
      <c r="M81" s="115"/>
      <c r="N81" s="115" t="s">
        <v>1699</v>
      </c>
      <c r="O81" s="115"/>
    </row>
    <row r="82" spans="1:29">
      <c r="A82" s="118" t="s">
        <v>791</v>
      </c>
      <c r="B82" s="150" t="s">
        <v>790</v>
      </c>
      <c r="C82" s="169" t="s">
        <v>2947</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2948</v>
      </c>
      <c r="E83" s="108" t="s">
        <v>2666</v>
      </c>
      <c r="H83" s="124"/>
      <c r="J83" s="110"/>
      <c r="K83" s="110"/>
      <c r="L83" s="116"/>
      <c r="M83" s="127"/>
      <c r="N83" s="116"/>
    </row>
    <row r="84" spans="1:29">
      <c r="A84" s="115" t="s">
        <v>1883</v>
      </c>
      <c r="B84" s="115" t="s">
        <v>1887</v>
      </c>
      <c r="C84" s="145" t="s">
        <v>2949</v>
      </c>
      <c r="E84" s="108" t="s">
        <v>2666</v>
      </c>
      <c r="H84" s="115"/>
      <c r="I84" s="115"/>
      <c r="J84" s="115"/>
      <c r="K84" s="115"/>
      <c r="L84" s="115" t="s">
        <v>1289</v>
      </c>
      <c r="M84" s="124"/>
      <c r="N84" s="115"/>
      <c r="O84" s="115"/>
      <c r="P84" s="110"/>
      <c r="Q84" s="110"/>
      <c r="R84" s="110"/>
      <c r="S84" s="110"/>
      <c r="T84" s="110"/>
      <c r="U84" s="110"/>
      <c r="V84" s="110"/>
      <c r="W84" s="110"/>
    </row>
    <row r="85" spans="1:29">
      <c r="B85" s="127" t="s">
        <v>552</v>
      </c>
      <c r="C85" s="145" t="s">
        <v>2950</v>
      </c>
      <c r="F85" s="139">
        <v>494</v>
      </c>
      <c r="H85" s="127"/>
      <c r="J85" s="110"/>
      <c r="K85" s="110"/>
      <c r="L85" s="116"/>
      <c r="M85" s="116"/>
      <c r="N85" s="116"/>
    </row>
    <row r="86" spans="1:29">
      <c r="A86" s="124" t="s">
        <v>29</v>
      </c>
      <c r="B86" s="124" t="s">
        <v>552</v>
      </c>
      <c r="C86" s="145" t="s">
        <v>2951</v>
      </c>
      <c r="E86" s="108" t="s">
        <v>2663</v>
      </c>
      <c r="H86" s="124"/>
      <c r="J86" s="110"/>
      <c r="K86" s="110"/>
      <c r="L86" s="116"/>
      <c r="M86" s="124"/>
      <c r="N86" s="116"/>
    </row>
    <row r="87" spans="1:29">
      <c r="A87" s="124" t="s">
        <v>2357</v>
      </c>
      <c r="B87" s="150" t="s">
        <v>807</v>
      </c>
      <c r="C87" s="151" t="s">
        <v>2627</v>
      </c>
      <c r="D87" s="118"/>
      <c r="E87" s="118" t="s">
        <v>2663</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4012</v>
      </c>
      <c r="B88" s="88" t="s">
        <v>4011</v>
      </c>
      <c r="C88" s="88" t="s">
        <v>4013</v>
      </c>
      <c r="D88"/>
      <c r="E88"/>
      <c r="F88">
        <v>513</v>
      </c>
      <c r="G88"/>
      <c r="H88"/>
      <c r="I88"/>
      <c r="J88"/>
      <c r="K88"/>
      <c r="L88"/>
      <c r="M88"/>
      <c r="N88"/>
      <c r="O88"/>
      <c r="P88"/>
      <c r="Q88"/>
      <c r="R88"/>
      <c r="S88"/>
      <c r="T88"/>
      <c r="U88"/>
      <c r="V88"/>
      <c r="W88"/>
      <c r="X88"/>
      <c r="Y88"/>
      <c r="Z88"/>
      <c r="AA88"/>
      <c r="AB88"/>
      <c r="AC88"/>
    </row>
    <row r="89" spans="1:29">
      <c r="B89" s="127" t="s">
        <v>968</v>
      </c>
      <c r="C89" s="145" t="s">
        <v>2952</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2805</v>
      </c>
      <c r="E90" s="108" t="s">
        <v>2666</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2953</v>
      </c>
      <c r="E91" s="108" t="s">
        <v>2666</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2954</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2955</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2646</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2836</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2853</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2956</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2957</v>
      </c>
      <c r="E99" s="108" t="s">
        <v>2663</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2875</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2958</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2959</v>
      </c>
      <c r="D102" s="118"/>
      <c r="E102" s="118" t="s">
        <v>2663</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2767</v>
      </c>
      <c r="F103" s="139">
        <v>230</v>
      </c>
      <c r="H103" s="124"/>
      <c r="I103" s="110"/>
      <c r="J103" s="110"/>
      <c r="K103" s="110"/>
      <c r="L103" s="116"/>
      <c r="M103" s="131"/>
      <c r="N103" s="116"/>
      <c r="O103" s="110"/>
      <c r="P103" s="110"/>
      <c r="Q103" s="110"/>
      <c r="R103" s="110"/>
      <c r="S103" s="110"/>
      <c r="T103" s="110"/>
      <c r="U103" s="110"/>
      <c r="V103" s="110"/>
      <c r="W103" s="110"/>
    </row>
    <row r="104" spans="1:29" ht="37.5">
      <c r="A104" s="150" t="s">
        <v>3097</v>
      </c>
      <c r="B104" s="150" t="s">
        <v>2434</v>
      </c>
      <c r="C104" s="151" t="s">
        <v>2960</v>
      </c>
      <c r="D104" s="118"/>
      <c r="E104" s="118" t="s">
        <v>2670</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2961</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2962</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2870</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2832</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2963</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2828</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2964</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2965</v>
      </c>
      <c r="E112" s="108" t="s">
        <v>2666</v>
      </c>
      <c r="H112" s="127"/>
      <c r="M112" s="116"/>
      <c r="P112" s="112" t="s">
        <v>2230</v>
      </c>
    </row>
    <row r="113" spans="1:25" ht="39">
      <c r="B113" s="127" t="s">
        <v>1041</v>
      </c>
      <c r="C113" s="145" t="s">
        <v>2966</v>
      </c>
      <c r="E113" s="108" t="s">
        <v>2670</v>
      </c>
      <c r="H113" s="127"/>
      <c r="M113" s="116"/>
      <c r="P113" s="129" t="s">
        <v>1038</v>
      </c>
      <c r="Q113" s="129"/>
      <c r="R113" s="129"/>
      <c r="S113" s="129"/>
      <c r="T113" s="129"/>
      <c r="U113" s="129"/>
      <c r="V113" s="129"/>
      <c r="W113" s="129"/>
    </row>
    <row r="114" spans="1:25" ht="39">
      <c r="A114" s="115" t="s">
        <v>1838</v>
      </c>
      <c r="B114" s="115" t="s">
        <v>1839</v>
      </c>
      <c r="C114" s="145" t="s">
        <v>2967</v>
      </c>
      <c r="E114" s="108">
        <v>550</v>
      </c>
      <c r="H114" s="115"/>
      <c r="I114" s="115"/>
      <c r="J114" s="115"/>
      <c r="K114" s="115"/>
      <c r="L114" s="115" t="s">
        <v>1289</v>
      </c>
      <c r="M114" s="127"/>
      <c r="N114" s="115" t="s">
        <v>1699</v>
      </c>
      <c r="O114" s="115"/>
    </row>
    <row r="115" spans="1:25" ht="39">
      <c r="A115" s="115" t="s">
        <v>1759</v>
      </c>
      <c r="B115" s="115" t="s">
        <v>1760</v>
      </c>
      <c r="C115" s="145" t="s">
        <v>2968</v>
      </c>
      <c r="D115" s="108" t="s">
        <v>2673</v>
      </c>
      <c r="F115" s="139">
        <v>353</v>
      </c>
      <c r="H115" s="115"/>
      <c r="I115" s="115"/>
      <c r="J115" s="115"/>
      <c r="K115" s="115"/>
      <c r="L115" s="115" t="s">
        <v>1289</v>
      </c>
      <c r="M115" s="115"/>
      <c r="N115" s="115" t="s">
        <v>1707</v>
      </c>
      <c r="O115" s="115"/>
    </row>
    <row r="116" spans="1:25" ht="78">
      <c r="A116" s="115" t="s">
        <v>1297</v>
      </c>
      <c r="B116" s="127" t="s">
        <v>1298</v>
      </c>
      <c r="C116" s="145" t="s">
        <v>2969</v>
      </c>
      <c r="E116" s="108" t="s">
        <v>2661</v>
      </c>
      <c r="H116" s="127"/>
      <c r="I116" s="122"/>
      <c r="J116" s="122" t="s">
        <v>2241</v>
      </c>
      <c r="K116" s="122"/>
      <c r="L116" s="127" t="s">
        <v>1284</v>
      </c>
      <c r="M116" s="127"/>
      <c r="N116" s="116"/>
      <c r="O116" s="122"/>
    </row>
    <row r="117" spans="1:25" ht="39">
      <c r="A117" s="115" t="s">
        <v>1400</v>
      </c>
      <c r="B117" s="127"/>
      <c r="C117" s="145" t="s">
        <v>2970</v>
      </c>
      <c r="F117" s="139">
        <v>318</v>
      </c>
      <c r="H117" s="127"/>
      <c r="I117" s="122"/>
      <c r="J117" s="122" t="s">
        <v>1401</v>
      </c>
      <c r="K117" s="122"/>
      <c r="L117" s="127" t="s">
        <v>1399</v>
      </c>
      <c r="M117" s="127"/>
      <c r="O117" s="122"/>
    </row>
    <row r="118" spans="1:25" ht="58.5">
      <c r="A118" s="115" t="s">
        <v>1301</v>
      </c>
      <c r="B118" s="127" t="s">
        <v>1302</v>
      </c>
      <c r="C118" s="145" t="s">
        <v>2971</v>
      </c>
      <c r="F118" s="139">
        <v>317</v>
      </c>
      <c r="H118" s="127"/>
      <c r="I118" s="122"/>
      <c r="J118" s="122" t="s">
        <v>2242</v>
      </c>
      <c r="K118" s="122"/>
      <c r="L118" s="127" t="s">
        <v>1284</v>
      </c>
      <c r="M118" s="131"/>
      <c r="O118" s="122"/>
    </row>
    <row r="119" spans="1:25" ht="78">
      <c r="A119" s="115" t="s">
        <v>2243</v>
      </c>
      <c r="B119" s="127" t="s">
        <v>540</v>
      </c>
      <c r="C119" s="145" t="s">
        <v>2972</v>
      </c>
      <c r="E119" s="108" t="s">
        <v>2666</v>
      </c>
      <c r="H119" s="127"/>
      <c r="I119" s="122"/>
      <c r="J119" s="122" t="s">
        <v>2244</v>
      </c>
      <c r="K119" s="122"/>
      <c r="L119" s="127" t="s">
        <v>1284</v>
      </c>
      <c r="M119" s="127"/>
      <c r="O119" s="122"/>
    </row>
    <row r="120" spans="1:25" ht="39">
      <c r="A120" s="124" t="s">
        <v>690</v>
      </c>
      <c r="B120" s="124" t="s">
        <v>689</v>
      </c>
      <c r="C120" s="145" t="s">
        <v>2973</v>
      </c>
      <c r="E120" s="108" t="s">
        <v>2666</v>
      </c>
      <c r="H120" s="124"/>
      <c r="M120" s="115"/>
    </row>
    <row r="121" spans="1:25">
      <c r="A121" s="124" t="s">
        <v>1241</v>
      </c>
      <c r="B121" s="124"/>
      <c r="C121" s="145" t="s">
        <v>2876</v>
      </c>
      <c r="F121" s="139">
        <v>347</v>
      </c>
      <c r="H121" s="124"/>
      <c r="M121" s="124"/>
    </row>
    <row r="122" spans="1:25">
      <c r="A122" s="115" t="s">
        <v>1753</v>
      </c>
      <c r="B122" s="115" t="s">
        <v>1868</v>
      </c>
      <c r="C122" s="145" t="s">
        <v>2974</v>
      </c>
      <c r="F122" s="139">
        <v>349</v>
      </c>
      <c r="H122" s="115"/>
      <c r="I122" s="115"/>
      <c r="J122" s="115"/>
      <c r="K122" s="115"/>
      <c r="L122" s="115" t="s">
        <v>1289</v>
      </c>
      <c r="M122" s="115"/>
      <c r="N122" s="115" t="s">
        <v>1699</v>
      </c>
      <c r="O122" s="115"/>
    </row>
    <row r="123" spans="1:25" ht="39">
      <c r="A123" s="115" t="s">
        <v>2021</v>
      </c>
      <c r="B123" s="115" t="s">
        <v>2025</v>
      </c>
      <c r="C123" s="145" t="s">
        <v>2975</v>
      </c>
      <c r="F123" s="139">
        <v>282</v>
      </c>
      <c r="H123" s="115"/>
      <c r="I123" s="115"/>
      <c r="J123" s="115"/>
      <c r="K123" s="115"/>
      <c r="L123" s="115" t="s">
        <v>2020</v>
      </c>
      <c r="M123" s="115"/>
      <c r="N123" s="115" t="s">
        <v>1474</v>
      </c>
      <c r="O123" s="115"/>
    </row>
    <row r="124" spans="1:25">
      <c r="A124" s="136" t="s">
        <v>2358</v>
      </c>
      <c r="B124" s="127"/>
      <c r="C124" s="145" t="s">
        <v>2878</v>
      </c>
      <c r="F124" s="139">
        <v>189</v>
      </c>
      <c r="H124" s="127"/>
      <c r="I124" s="110"/>
      <c r="J124" s="110"/>
      <c r="K124" s="110"/>
      <c r="L124" s="116"/>
      <c r="M124" s="127"/>
      <c r="N124" s="109" t="s">
        <v>2315</v>
      </c>
      <c r="O124" s="110"/>
    </row>
    <row r="125" spans="1:25">
      <c r="A125" s="136" t="s">
        <v>2291</v>
      </c>
      <c r="B125" s="127" t="s">
        <v>2328</v>
      </c>
      <c r="C125" s="156" t="s">
        <v>2645</v>
      </c>
      <c r="F125" s="139">
        <v>291</v>
      </c>
      <c r="H125" s="127"/>
      <c r="L125" s="116"/>
      <c r="M125" s="116"/>
      <c r="N125" s="116" t="s">
        <v>2237</v>
      </c>
    </row>
    <row r="126" spans="1:25">
      <c r="A126" s="115" t="s">
        <v>175</v>
      </c>
      <c r="B126" s="127" t="s">
        <v>174</v>
      </c>
      <c r="C126" s="145" t="s">
        <v>2976</v>
      </c>
      <c r="E126" s="108" t="s">
        <v>2666</v>
      </c>
      <c r="H126" s="127"/>
      <c r="L126" s="116"/>
      <c r="M126" s="127"/>
      <c r="N126" s="116"/>
    </row>
    <row r="127" spans="1:25" ht="58.5">
      <c r="A127" s="115" t="s">
        <v>1315</v>
      </c>
      <c r="B127" s="127" t="s">
        <v>1316</v>
      </c>
      <c r="C127" s="145" t="s">
        <v>2977</v>
      </c>
      <c r="E127" s="108" t="s">
        <v>2666</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2978</v>
      </c>
      <c r="E129" s="108" t="s">
        <v>2666</v>
      </c>
      <c r="H129" s="115"/>
      <c r="I129" s="115"/>
      <c r="J129" s="115"/>
      <c r="K129" s="115"/>
      <c r="L129" s="115" t="s">
        <v>1262</v>
      </c>
      <c r="M129" s="127"/>
      <c r="N129" s="115" t="s">
        <v>1778</v>
      </c>
      <c r="O129" s="115"/>
    </row>
    <row r="130" spans="1:29">
      <c r="A130" s="118" t="s">
        <v>2467</v>
      </c>
      <c r="B130" s="150" t="s">
        <v>2466</v>
      </c>
      <c r="C130" s="151" t="s">
        <v>2979</v>
      </c>
      <c r="D130" s="118"/>
      <c r="E130" s="118" t="s">
        <v>2661</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2980</v>
      </c>
      <c r="F131" s="139">
        <v>431</v>
      </c>
      <c r="H131" s="124"/>
      <c r="M131" s="124"/>
    </row>
    <row r="132" spans="1:29">
      <c r="A132" s="115" t="s">
        <v>1976</v>
      </c>
      <c r="B132" s="115" t="s">
        <v>1977</v>
      </c>
      <c r="C132" s="145" t="s">
        <v>2981</v>
      </c>
      <c r="E132" s="108" t="s">
        <v>2666</v>
      </c>
      <c r="H132" s="115"/>
      <c r="I132" s="115"/>
      <c r="J132" s="115"/>
      <c r="K132" s="115"/>
      <c r="L132" s="115" t="s">
        <v>1262</v>
      </c>
      <c r="M132" s="115"/>
      <c r="N132" s="115" t="s">
        <v>1978</v>
      </c>
      <c r="O132" s="115"/>
    </row>
    <row r="133" spans="1:29" ht="78">
      <c r="A133" s="115" t="s">
        <v>1351</v>
      </c>
      <c r="B133" s="127" t="s">
        <v>1352</v>
      </c>
      <c r="C133" s="145" t="s">
        <v>2982</v>
      </c>
      <c r="F133" s="139">
        <v>429</v>
      </c>
      <c r="H133" s="127"/>
      <c r="I133" s="122"/>
      <c r="J133" s="122" t="s">
        <v>2246</v>
      </c>
      <c r="K133" s="122"/>
      <c r="L133" s="127" t="s">
        <v>1262</v>
      </c>
      <c r="M133" s="127"/>
      <c r="N133" s="116"/>
      <c r="O133" s="122"/>
    </row>
    <row r="134" spans="1:29">
      <c r="A134" s="115" t="s">
        <v>2048</v>
      </c>
      <c r="B134" s="115" t="s">
        <v>2049</v>
      </c>
      <c r="C134" s="145" t="s">
        <v>2983</v>
      </c>
      <c r="E134" s="108" t="s">
        <v>2666</v>
      </c>
      <c r="H134" s="115"/>
      <c r="I134" s="115"/>
      <c r="J134" s="115"/>
      <c r="K134" s="115"/>
      <c r="L134" s="115" t="s">
        <v>1284</v>
      </c>
      <c r="M134" s="115"/>
      <c r="N134" s="115" t="s">
        <v>1770</v>
      </c>
      <c r="O134" s="115"/>
    </row>
    <row r="135" spans="1:29" ht="39">
      <c r="B135" s="127" t="s">
        <v>1058</v>
      </c>
      <c r="C135" s="145" t="s">
        <v>2984</v>
      </c>
      <c r="E135" s="108" t="s">
        <v>2666</v>
      </c>
      <c r="H135" s="127"/>
      <c r="I135" s="110"/>
      <c r="J135" s="110"/>
      <c r="K135" s="110"/>
      <c r="M135" s="116"/>
      <c r="N135" s="116"/>
      <c r="O135" s="110"/>
      <c r="P135" s="112" t="s">
        <v>2232</v>
      </c>
    </row>
    <row r="136" spans="1:29">
      <c r="A136" s="115" t="s">
        <v>1965</v>
      </c>
      <c r="B136" s="115" t="s">
        <v>1754</v>
      </c>
      <c r="C136" s="145" t="s">
        <v>2985</v>
      </c>
      <c r="E136" s="108" t="s">
        <v>2661</v>
      </c>
      <c r="H136" s="115"/>
      <c r="I136" s="115"/>
      <c r="J136" s="115"/>
      <c r="K136" s="115"/>
      <c r="L136" s="115" t="s">
        <v>1262</v>
      </c>
      <c r="M136" s="127"/>
      <c r="N136" s="115" t="s">
        <v>1966</v>
      </c>
      <c r="O136" s="115"/>
    </row>
    <row r="137" spans="1:29">
      <c r="A137" s="124" t="s">
        <v>295</v>
      </c>
      <c r="B137" s="124" t="s">
        <v>576</v>
      </c>
      <c r="C137" s="145" t="s">
        <v>2986</v>
      </c>
      <c r="E137" s="108">
        <v>550</v>
      </c>
      <c r="H137" s="124"/>
      <c r="I137" s="110"/>
      <c r="J137" s="110"/>
      <c r="K137" s="110"/>
      <c r="M137" s="124"/>
      <c r="N137" s="116"/>
      <c r="O137" s="110"/>
    </row>
    <row r="138" spans="1:29">
      <c r="A138" s="118" t="s">
        <v>2439</v>
      </c>
      <c r="B138" s="150" t="s">
        <v>2438</v>
      </c>
      <c r="C138" s="151" t="s">
        <v>2987</v>
      </c>
      <c r="D138" s="118"/>
      <c r="E138" s="118" t="s">
        <v>2666</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2833</v>
      </c>
      <c r="F139" s="139">
        <v>382</v>
      </c>
      <c r="H139" s="124"/>
      <c r="I139" s="110"/>
      <c r="J139" s="110"/>
      <c r="K139" s="110"/>
      <c r="M139" s="124"/>
      <c r="N139" s="116"/>
      <c r="O139" s="110"/>
    </row>
    <row r="140" spans="1:29">
      <c r="A140" s="115" t="s">
        <v>46</v>
      </c>
      <c r="B140" s="127" t="s">
        <v>2360</v>
      </c>
      <c r="C140" s="145" t="s">
        <v>2988</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2649</v>
      </c>
      <c r="D141" s="108" t="s">
        <v>2673</v>
      </c>
      <c r="F141" s="139">
        <v>216</v>
      </c>
      <c r="H141" s="124"/>
      <c r="I141" s="110"/>
      <c r="J141" s="110"/>
      <c r="K141" s="110"/>
      <c r="M141" s="127"/>
      <c r="N141" s="116"/>
      <c r="O141" s="110"/>
    </row>
    <row r="142" spans="1:29">
      <c r="A142" s="115" t="s">
        <v>1958</v>
      </c>
      <c r="B142" s="115" t="s">
        <v>2147</v>
      </c>
      <c r="C142" s="145" t="s">
        <v>2989</v>
      </c>
      <c r="F142" s="139">
        <v>87</v>
      </c>
      <c r="H142" s="115"/>
      <c r="I142" s="115"/>
      <c r="J142" s="115"/>
      <c r="K142" s="115"/>
      <c r="M142" s="127"/>
      <c r="N142" s="115" t="s">
        <v>1474</v>
      </c>
      <c r="O142" s="115"/>
    </row>
    <row r="143" spans="1:29">
      <c r="A143" s="124" t="s">
        <v>654</v>
      </c>
      <c r="B143" s="124" t="s">
        <v>653</v>
      </c>
      <c r="C143" s="145" t="s">
        <v>2990</v>
      </c>
      <c r="D143" s="108" t="s">
        <v>2673</v>
      </c>
      <c r="F143" s="139">
        <v>413</v>
      </c>
      <c r="H143" s="124"/>
      <c r="I143" s="110"/>
      <c r="J143" s="110"/>
      <c r="K143" s="110"/>
      <c r="M143" s="124"/>
      <c r="N143" s="116"/>
      <c r="O143" s="110"/>
    </row>
    <row r="144" spans="1:29">
      <c r="A144" s="124" t="s">
        <v>234</v>
      </c>
      <c r="B144" s="124" t="s">
        <v>754</v>
      </c>
      <c r="C144" s="145" t="s">
        <v>2860</v>
      </c>
      <c r="F144" s="139">
        <v>404</v>
      </c>
      <c r="H144" s="124"/>
      <c r="I144" s="110"/>
      <c r="J144" s="110"/>
      <c r="K144" s="110"/>
      <c r="L144" s="116"/>
      <c r="M144" s="124"/>
      <c r="N144" s="116"/>
      <c r="O144" s="110"/>
    </row>
    <row r="145" spans="1:29">
      <c r="A145" s="136" t="s">
        <v>2544</v>
      </c>
      <c r="B145" s="127" t="s">
        <v>2543</v>
      </c>
      <c r="C145" s="145" t="s">
        <v>2991</v>
      </c>
      <c r="E145" s="108" t="s">
        <v>2663</v>
      </c>
      <c r="H145" s="127"/>
      <c r="I145" s="110"/>
      <c r="J145" s="110"/>
      <c r="K145" s="110"/>
      <c r="L145" s="116"/>
      <c r="M145" s="115"/>
      <c r="N145" s="116" t="s">
        <v>2236</v>
      </c>
      <c r="O145" s="110"/>
    </row>
    <row r="146" spans="1:29">
      <c r="A146" s="88" t="s">
        <v>1958</v>
      </c>
      <c r="B146" s="88" t="s">
        <v>2147</v>
      </c>
      <c r="C146" s="88" t="s">
        <v>4010</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2793</v>
      </c>
      <c r="F147" s="139">
        <v>7</v>
      </c>
      <c r="H147" s="124"/>
      <c r="I147" s="110"/>
      <c r="J147" s="110"/>
      <c r="K147" s="110"/>
      <c r="L147" s="116"/>
      <c r="M147" s="115"/>
      <c r="N147" s="116"/>
      <c r="O147" s="110"/>
    </row>
    <row r="148" spans="1:29">
      <c r="A148" s="115" t="s">
        <v>1997</v>
      </c>
      <c r="B148" s="115" t="s">
        <v>1998</v>
      </c>
      <c r="C148" s="145" t="s">
        <v>2992</v>
      </c>
      <c r="F148" s="139">
        <v>437</v>
      </c>
      <c r="H148" s="115"/>
      <c r="I148" s="115"/>
      <c r="J148" s="115"/>
      <c r="K148" s="115"/>
      <c r="L148" s="115" t="s">
        <v>1986</v>
      </c>
      <c r="M148" s="115"/>
      <c r="N148" s="115" t="s">
        <v>1703</v>
      </c>
      <c r="O148" s="115"/>
    </row>
    <row r="149" spans="1:29" ht="39">
      <c r="A149" s="115" t="s">
        <v>1756</v>
      </c>
      <c r="B149" s="115" t="s">
        <v>1757</v>
      </c>
      <c r="C149" s="145" t="s">
        <v>2993</v>
      </c>
      <c r="F149" s="139">
        <v>351</v>
      </c>
      <c r="H149" s="115"/>
      <c r="I149" s="115"/>
      <c r="J149" s="115"/>
      <c r="K149" s="115"/>
      <c r="L149" s="115" t="s">
        <v>1289</v>
      </c>
      <c r="M149" s="115"/>
      <c r="N149" s="115" t="s">
        <v>1707</v>
      </c>
      <c r="O149" s="115"/>
    </row>
    <row r="150" spans="1:29" ht="39">
      <c r="A150" s="115" t="s">
        <v>1590</v>
      </c>
      <c r="B150" s="127" t="s">
        <v>1589</v>
      </c>
      <c r="C150" s="145" t="s">
        <v>2994</v>
      </c>
      <c r="E150" s="108" t="s">
        <v>2663</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2652</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2995</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2996</v>
      </c>
      <c r="E153" s="108">
        <v>550</v>
      </c>
      <c r="H153" s="127"/>
      <c r="I153" s="110"/>
      <c r="J153" s="110"/>
      <c r="K153" s="110"/>
      <c r="L153" s="116"/>
      <c r="M153" s="127"/>
      <c r="N153" s="116" t="s">
        <v>2369</v>
      </c>
      <c r="O153" s="110"/>
    </row>
    <row r="154" spans="1:29">
      <c r="A154" s="115" t="s">
        <v>1902</v>
      </c>
      <c r="B154" s="115" t="s">
        <v>1903</v>
      </c>
      <c r="C154" s="145" t="s">
        <v>2997</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2785</v>
      </c>
      <c r="F155" s="139">
        <v>130</v>
      </c>
      <c r="H155" s="124"/>
      <c r="I155" s="110"/>
      <c r="J155" s="110"/>
      <c r="K155" s="110"/>
      <c r="L155" s="116"/>
      <c r="M155" s="124"/>
      <c r="O155" s="110"/>
    </row>
    <row r="156" spans="1:29">
      <c r="A156" s="124" t="s">
        <v>29</v>
      </c>
      <c r="B156" s="124" t="s">
        <v>558</v>
      </c>
      <c r="C156" s="145" t="s">
        <v>2998</v>
      </c>
      <c r="F156" s="139">
        <v>150</v>
      </c>
      <c r="H156" s="124"/>
      <c r="I156" s="110"/>
      <c r="J156" s="110"/>
      <c r="K156" s="110"/>
      <c r="L156" s="116"/>
      <c r="M156" s="124"/>
      <c r="O156" s="110"/>
    </row>
    <row r="157" spans="1:29">
      <c r="A157" s="115" t="s">
        <v>234</v>
      </c>
      <c r="B157" s="127" t="s">
        <v>236</v>
      </c>
      <c r="C157" s="145" t="s">
        <v>2999</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2798</v>
      </c>
      <c r="F158" s="139">
        <v>296</v>
      </c>
      <c r="H158" s="124"/>
      <c r="I158" s="110"/>
      <c r="J158" s="110"/>
      <c r="K158" s="110"/>
      <c r="L158" s="116"/>
      <c r="M158" s="119"/>
      <c r="O158" s="110"/>
    </row>
    <row r="159" spans="1:29" ht="39">
      <c r="A159" s="115" t="s">
        <v>1772</v>
      </c>
      <c r="B159" s="115" t="s">
        <v>1773</v>
      </c>
      <c r="C159" s="145" t="s">
        <v>3000</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2801</v>
      </c>
      <c r="F160" s="139">
        <v>319</v>
      </c>
      <c r="H160" s="124"/>
      <c r="I160" s="110"/>
      <c r="J160" s="110"/>
      <c r="K160" s="110"/>
      <c r="L160" s="116"/>
      <c r="M160" s="124"/>
      <c r="O160" s="110"/>
    </row>
    <row r="161" spans="1:29">
      <c r="A161" s="124" t="s">
        <v>581</v>
      </c>
      <c r="B161" s="124" t="s">
        <v>580</v>
      </c>
      <c r="C161" s="145" t="s">
        <v>2819</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2816</v>
      </c>
      <c r="F162" s="139">
        <v>14</v>
      </c>
      <c r="H162" s="127"/>
      <c r="I162" s="110"/>
      <c r="J162" s="110"/>
      <c r="K162" s="110"/>
      <c r="L162" s="116"/>
      <c r="M162" s="127"/>
      <c r="N162" s="116" t="s">
        <v>2362</v>
      </c>
      <c r="O162" s="110"/>
    </row>
    <row r="163" spans="1:29">
      <c r="A163" s="115" t="s">
        <v>23</v>
      </c>
      <c r="B163" s="127" t="s">
        <v>22</v>
      </c>
      <c r="C163" s="145" t="s">
        <v>3001</v>
      </c>
      <c r="F163" s="139">
        <v>24</v>
      </c>
      <c r="H163" s="127"/>
      <c r="I163" s="110"/>
      <c r="J163" s="110"/>
      <c r="K163" s="110"/>
      <c r="L163" s="116"/>
      <c r="M163" s="127"/>
      <c r="N163" s="116"/>
      <c r="O163" s="110"/>
    </row>
    <row r="164" spans="1:29">
      <c r="A164" s="124" t="s">
        <v>536</v>
      </c>
      <c r="B164" s="124" t="s">
        <v>22</v>
      </c>
      <c r="C164" s="145" t="s">
        <v>2811</v>
      </c>
      <c r="F164" s="139">
        <v>244</v>
      </c>
      <c r="H164" s="124"/>
      <c r="I164" s="110"/>
      <c r="J164" s="110"/>
      <c r="K164" s="110"/>
      <c r="L164" s="116"/>
      <c r="M164" s="124"/>
      <c r="O164" s="110"/>
    </row>
    <row r="165" spans="1:29">
      <c r="A165" s="124" t="s">
        <v>470</v>
      </c>
      <c r="B165" s="124" t="s">
        <v>474</v>
      </c>
      <c r="C165" s="145" t="s">
        <v>3002</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3003</v>
      </c>
      <c r="E166" s="108" t="s">
        <v>2666</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3004</v>
      </c>
      <c r="F167" s="139">
        <v>335</v>
      </c>
      <c r="H167" s="127"/>
      <c r="I167" s="122"/>
      <c r="J167" s="122" t="s">
        <v>2250</v>
      </c>
      <c r="K167" s="122"/>
      <c r="L167" s="127" t="s">
        <v>1275</v>
      </c>
      <c r="M167" s="127"/>
      <c r="O167" s="122"/>
    </row>
    <row r="168" spans="1:29">
      <c r="A168" s="124" t="s">
        <v>2364</v>
      </c>
      <c r="B168" s="131" t="s">
        <v>1623</v>
      </c>
      <c r="C168" s="145" t="s">
        <v>3005</v>
      </c>
      <c r="F168" s="139">
        <v>447</v>
      </c>
      <c r="H168" s="131"/>
      <c r="I168" s="124"/>
      <c r="J168" s="124"/>
      <c r="K168" s="124"/>
      <c r="L168" s="116"/>
      <c r="M168" s="131"/>
      <c r="N168" s="109" t="s">
        <v>2363</v>
      </c>
      <c r="O168" s="124"/>
    </row>
    <row r="169" spans="1:29">
      <c r="A169" s="118" t="s">
        <v>2513</v>
      </c>
      <c r="B169" s="150" t="s">
        <v>215</v>
      </c>
      <c r="C169" s="151" t="s">
        <v>3006</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3007</v>
      </c>
      <c r="F170" s="139">
        <v>372</v>
      </c>
      <c r="H170" s="127"/>
      <c r="I170" s="110"/>
      <c r="J170" s="110"/>
      <c r="K170" s="110"/>
      <c r="L170" s="116"/>
      <c r="M170" s="127"/>
      <c r="O170" s="110"/>
    </row>
    <row r="171" spans="1:29" ht="39">
      <c r="A171" s="115" t="s">
        <v>1697</v>
      </c>
      <c r="B171" s="115" t="s">
        <v>1698</v>
      </c>
      <c r="C171" s="145" t="s">
        <v>3008</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3009</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3010</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3083</v>
      </c>
      <c r="F174" s="139">
        <v>13</v>
      </c>
      <c r="H174" s="115"/>
      <c r="I174" s="115"/>
      <c r="J174" s="115"/>
      <c r="K174" s="115"/>
      <c r="L174" s="116"/>
      <c r="M174" s="116"/>
      <c r="N174" s="115"/>
      <c r="O174" s="115"/>
    </row>
    <row r="175" spans="1:29">
      <c r="A175" s="124" t="s">
        <v>470</v>
      </c>
      <c r="B175" s="124" t="s">
        <v>469</v>
      </c>
      <c r="C175" s="145" t="s">
        <v>3011</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3012</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3013</v>
      </c>
      <c r="F177" s="139">
        <v>192</v>
      </c>
      <c r="H177" s="127"/>
      <c r="I177" s="110"/>
      <c r="J177" s="110"/>
      <c r="K177" s="110"/>
      <c r="L177" s="116"/>
      <c r="M177" s="115"/>
      <c r="O177" s="110"/>
    </row>
    <row r="178" spans="1:23" ht="39">
      <c r="A178" s="115" t="s">
        <v>17</v>
      </c>
      <c r="B178" s="127" t="s">
        <v>1641</v>
      </c>
      <c r="C178" s="145" t="s">
        <v>3014</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2675</v>
      </c>
      <c r="D179" s="108" t="s">
        <v>2673</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3015</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3399</v>
      </c>
      <c r="B181" s="124" t="s">
        <v>3975</v>
      </c>
      <c r="C181" s="55" t="s">
        <v>3976</v>
      </c>
      <c r="F181" s="139">
        <v>158</v>
      </c>
      <c r="H181" s="131"/>
      <c r="I181" s="124"/>
      <c r="J181" s="124"/>
      <c r="K181" s="124"/>
      <c r="M181" s="131"/>
      <c r="O181" s="124"/>
    </row>
    <row r="182" spans="1:23">
      <c r="A182" s="124" t="s">
        <v>364</v>
      </c>
      <c r="B182" s="124" t="s">
        <v>363</v>
      </c>
      <c r="C182" s="145" t="s">
        <v>3016</v>
      </c>
      <c r="E182" s="108">
        <v>550</v>
      </c>
      <c r="H182" s="124"/>
      <c r="M182" s="124"/>
    </row>
    <row r="183" spans="1:23">
      <c r="A183" s="115" t="s">
        <v>1857</v>
      </c>
      <c r="B183" s="115" t="s">
        <v>1858</v>
      </c>
      <c r="C183" s="145" t="s">
        <v>3017</v>
      </c>
      <c r="F183" s="139">
        <v>261</v>
      </c>
      <c r="H183" s="115"/>
      <c r="I183" s="115"/>
      <c r="J183" s="115"/>
      <c r="K183" s="115"/>
      <c r="L183" s="115" t="s">
        <v>1289</v>
      </c>
      <c r="M183" s="124"/>
      <c r="N183" s="115"/>
      <c r="O183" s="115"/>
    </row>
    <row r="184" spans="1:23" ht="58.5">
      <c r="A184" s="115" t="s">
        <v>1392</v>
      </c>
      <c r="B184" s="127" t="s">
        <v>1393</v>
      </c>
      <c r="C184" s="145" t="s">
        <v>3018</v>
      </c>
      <c r="E184" s="108" t="s">
        <v>3128</v>
      </c>
      <c r="H184" s="127"/>
      <c r="I184" s="122"/>
      <c r="J184" s="122" t="s">
        <v>1394</v>
      </c>
      <c r="K184" s="122"/>
      <c r="L184" s="127" t="s">
        <v>1289</v>
      </c>
      <c r="M184" s="127"/>
      <c r="O184" s="122"/>
    </row>
    <row r="185" spans="1:23">
      <c r="A185" s="124" t="s">
        <v>530</v>
      </c>
      <c r="B185" s="124" t="s">
        <v>529</v>
      </c>
      <c r="C185" s="145" t="s">
        <v>2810</v>
      </c>
      <c r="F185" s="139">
        <v>418</v>
      </c>
      <c r="H185" s="124"/>
      <c r="M185" s="124"/>
    </row>
    <row r="186" spans="1:23">
      <c r="A186" s="115" t="s">
        <v>170</v>
      </c>
      <c r="B186" s="127" t="s">
        <v>172</v>
      </c>
      <c r="C186" s="145" t="s">
        <v>3019</v>
      </c>
      <c r="E186" s="108" t="s">
        <v>2666</v>
      </c>
      <c r="H186" s="127"/>
      <c r="M186" s="115"/>
    </row>
    <row r="187" spans="1:23">
      <c r="A187" s="124" t="s">
        <v>1223</v>
      </c>
      <c r="B187" s="131" t="s">
        <v>2314</v>
      </c>
      <c r="C187" s="145" t="s">
        <v>3020</v>
      </c>
      <c r="E187" s="108">
        <v>550</v>
      </c>
      <c r="H187" s="131"/>
      <c r="I187" s="124"/>
      <c r="J187" s="124">
        <v>13636585707</v>
      </c>
      <c r="K187" s="124"/>
      <c r="M187" s="115"/>
      <c r="N187" s="109" t="s">
        <v>2237</v>
      </c>
      <c r="O187" s="124"/>
    </row>
    <row r="188" spans="1:23">
      <c r="A188" s="124" t="s">
        <v>596</v>
      </c>
      <c r="B188" s="124" t="s">
        <v>542</v>
      </c>
      <c r="C188" s="145" t="s">
        <v>3021</v>
      </c>
      <c r="E188" s="108" t="s">
        <v>2677</v>
      </c>
      <c r="H188" s="124"/>
      <c r="M188" s="115"/>
    </row>
    <row r="189" spans="1:23">
      <c r="A189" s="124" t="s">
        <v>536</v>
      </c>
      <c r="B189" s="124" t="s">
        <v>542</v>
      </c>
      <c r="C189" s="145" t="s">
        <v>3022</v>
      </c>
      <c r="E189" s="108" t="s">
        <v>2661</v>
      </c>
      <c r="H189" s="124"/>
      <c r="M189" s="124"/>
      <c r="N189" s="109" t="s">
        <v>2236</v>
      </c>
    </row>
    <row r="190" spans="1:23">
      <c r="A190" s="115" t="s">
        <v>2004</v>
      </c>
      <c r="B190" s="115" t="s">
        <v>2005</v>
      </c>
      <c r="C190" s="145" t="s">
        <v>3023</v>
      </c>
      <c r="E190" s="108" t="s">
        <v>2677</v>
      </c>
      <c r="H190" s="115"/>
      <c r="I190" s="115"/>
      <c r="J190" s="115"/>
      <c r="K190" s="115"/>
      <c r="L190" s="115"/>
      <c r="M190" s="115"/>
      <c r="N190" s="115"/>
      <c r="O190" s="115"/>
    </row>
    <row r="191" spans="1:23">
      <c r="A191" s="124" t="s">
        <v>344</v>
      </c>
      <c r="B191" s="124" t="s">
        <v>346</v>
      </c>
      <c r="C191" s="145" t="s">
        <v>3024</v>
      </c>
      <c r="E191" s="108" t="s">
        <v>2682</v>
      </c>
      <c r="H191" s="124"/>
      <c r="M191" s="124"/>
    </row>
    <row r="192" spans="1:23">
      <c r="A192" s="124" t="s">
        <v>432</v>
      </c>
      <c r="B192" s="124" t="s">
        <v>438</v>
      </c>
      <c r="C192" s="145" t="s">
        <v>2799</v>
      </c>
      <c r="F192" s="139">
        <v>297</v>
      </c>
      <c r="H192" s="124"/>
      <c r="M192" s="124"/>
      <c r="N192" s="116"/>
    </row>
    <row r="193" spans="1:23">
      <c r="A193" s="124" t="s">
        <v>194</v>
      </c>
      <c r="B193" s="124" t="s">
        <v>328</v>
      </c>
      <c r="C193" s="145" t="s">
        <v>3025</v>
      </c>
      <c r="F193" s="139">
        <v>307</v>
      </c>
      <c r="H193" s="124"/>
      <c r="M193" s="116"/>
    </row>
    <row r="194" spans="1:23">
      <c r="A194" s="115" t="s">
        <v>194</v>
      </c>
      <c r="B194" s="127" t="s">
        <v>193</v>
      </c>
      <c r="C194" s="145" t="s">
        <v>3026</v>
      </c>
      <c r="F194" s="139">
        <v>308</v>
      </c>
      <c r="H194" s="127"/>
      <c r="M194" s="124"/>
    </row>
    <row r="195" spans="1:23">
      <c r="A195" s="115" t="s">
        <v>1556</v>
      </c>
      <c r="B195" s="127" t="s">
        <v>1555</v>
      </c>
      <c r="C195" s="145" t="s">
        <v>3027</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3028</v>
      </c>
      <c r="F196" s="139">
        <v>432</v>
      </c>
      <c r="H196" s="127"/>
      <c r="I196" s="122"/>
      <c r="J196" s="122" t="s">
        <v>1420</v>
      </c>
      <c r="K196" s="122"/>
      <c r="L196" s="127" t="s">
        <v>1262</v>
      </c>
      <c r="M196" s="127"/>
      <c r="O196" s="122"/>
    </row>
    <row r="197" spans="1:23" ht="78">
      <c r="A197" s="115" t="s">
        <v>1305</v>
      </c>
      <c r="B197" s="127"/>
      <c r="C197" s="145" t="s">
        <v>3029</v>
      </c>
      <c r="E197" s="108" t="s">
        <v>2666</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3030</v>
      </c>
      <c r="F198" s="139">
        <v>274</v>
      </c>
      <c r="H198" s="127"/>
      <c r="M198" s="124"/>
    </row>
    <row r="199" spans="1:23">
      <c r="A199" s="115" t="s">
        <v>1843</v>
      </c>
      <c r="B199" s="115" t="s">
        <v>1844</v>
      </c>
      <c r="C199" s="145" t="s">
        <v>3031</v>
      </c>
      <c r="F199" s="139">
        <v>370</v>
      </c>
      <c r="H199" s="115"/>
      <c r="I199" s="115"/>
      <c r="J199" s="115"/>
      <c r="K199" s="115"/>
      <c r="L199" s="115" t="s">
        <v>1289</v>
      </c>
      <c r="M199" s="115"/>
      <c r="N199" s="115" t="s">
        <v>1699</v>
      </c>
      <c r="O199" s="115"/>
    </row>
    <row r="200" spans="1:23">
      <c r="A200" s="136" t="s">
        <v>3132</v>
      </c>
      <c r="B200" s="127" t="s">
        <v>3131</v>
      </c>
      <c r="C200" s="145" t="s">
        <v>3032</v>
      </c>
      <c r="F200" s="139">
        <v>476</v>
      </c>
      <c r="H200" s="127"/>
      <c r="M200" s="116"/>
    </row>
    <row r="201" spans="1:23" ht="39">
      <c r="A201" s="115" t="s">
        <v>1727</v>
      </c>
      <c r="B201" s="115" t="s">
        <v>1728</v>
      </c>
      <c r="C201" s="145" t="s">
        <v>3033</v>
      </c>
      <c r="F201" s="139">
        <v>365</v>
      </c>
      <c r="H201" s="115"/>
      <c r="I201" s="133"/>
      <c r="J201" s="133"/>
      <c r="K201" s="133"/>
      <c r="L201" s="127" t="s">
        <v>1289</v>
      </c>
      <c r="M201" s="115"/>
      <c r="N201" s="115" t="s">
        <v>1729</v>
      </c>
      <c r="O201" s="133"/>
    </row>
    <row r="202" spans="1:23">
      <c r="A202" s="115" t="s">
        <v>1746</v>
      </c>
      <c r="B202" s="115" t="s">
        <v>1747</v>
      </c>
      <c r="C202" s="145" t="s">
        <v>3034</v>
      </c>
      <c r="F202" s="139">
        <v>104</v>
      </c>
      <c r="H202" s="115"/>
      <c r="I202" s="115"/>
      <c r="J202" s="115"/>
      <c r="K202" s="115"/>
      <c r="L202" s="115" t="s">
        <v>1289</v>
      </c>
      <c r="M202" s="124"/>
      <c r="N202" s="115" t="s">
        <v>1748</v>
      </c>
      <c r="O202" s="115"/>
    </row>
    <row r="203" spans="1:23">
      <c r="A203" s="115"/>
      <c r="B203" s="115" t="s">
        <v>2145</v>
      </c>
      <c r="C203" s="145" t="s">
        <v>3035</v>
      </c>
      <c r="D203" s="108" t="s">
        <v>2673</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3036</v>
      </c>
      <c r="E205" s="108" t="s">
        <v>3142</v>
      </c>
      <c r="H205" s="124"/>
      <c r="M205" s="124"/>
    </row>
    <row r="206" spans="1:23" ht="39">
      <c r="A206" s="115" t="s">
        <v>1403</v>
      </c>
      <c r="B206" s="127"/>
      <c r="C206" s="145" t="s">
        <v>3037</v>
      </c>
      <c r="E206" s="108" t="s">
        <v>2666</v>
      </c>
      <c r="H206" s="127"/>
      <c r="I206" s="122"/>
      <c r="J206" s="122" t="s">
        <v>1404</v>
      </c>
      <c r="K206" s="122"/>
      <c r="L206" s="127" t="s">
        <v>1314</v>
      </c>
      <c r="M206" s="115"/>
      <c r="O206" s="122"/>
    </row>
    <row r="207" spans="1:23">
      <c r="A207" s="124" t="s">
        <v>284</v>
      </c>
      <c r="B207" s="131" t="s">
        <v>1592</v>
      </c>
      <c r="C207" s="145" t="s">
        <v>3038</v>
      </c>
      <c r="E207" s="108" t="s">
        <v>2666</v>
      </c>
      <c r="H207" s="131"/>
      <c r="I207" s="124"/>
      <c r="J207" s="124"/>
      <c r="K207" s="124"/>
      <c r="M207" s="131"/>
      <c r="N207" s="116"/>
      <c r="O207" s="124"/>
    </row>
    <row r="208" spans="1:23">
      <c r="A208" s="124" t="s">
        <v>1600</v>
      </c>
      <c r="B208" s="127" t="s">
        <v>2372</v>
      </c>
      <c r="C208" s="145" t="s">
        <v>3039</v>
      </c>
      <c r="E208" s="108" t="s">
        <v>2672</v>
      </c>
      <c r="H208" s="127"/>
      <c r="I208" s="110"/>
      <c r="J208" s="110"/>
      <c r="K208" s="110"/>
      <c r="M208" s="116"/>
      <c r="N208" s="116" t="s">
        <v>2236</v>
      </c>
      <c r="O208" s="110"/>
    </row>
    <row r="209" spans="1:29">
      <c r="A209" s="124" t="s">
        <v>1237</v>
      </c>
      <c r="B209" s="124" t="s">
        <v>1212</v>
      </c>
      <c r="C209" s="145" t="s">
        <v>3040</v>
      </c>
      <c r="E209" s="108" t="s">
        <v>2662</v>
      </c>
      <c r="H209" s="124"/>
      <c r="I209" s="110"/>
      <c r="J209" s="110"/>
      <c r="K209" s="110"/>
      <c r="M209" s="124"/>
      <c r="N209" s="116"/>
      <c r="O209" s="110"/>
    </row>
    <row r="210" spans="1:29">
      <c r="A210" s="115" t="s">
        <v>1863</v>
      </c>
      <c r="B210" s="115" t="s">
        <v>1864</v>
      </c>
      <c r="C210" s="145" t="s">
        <v>3041</v>
      </c>
      <c r="F210" s="139">
        <v>145</v>
      </c>
      <c r="H210" s="115"/>
      <c r="I210" s="115"/>
      <c r="J210" s="115"/>
      <c r="K210" s="115"/>
      <c r="L210" s="115" t="s">
        <v>1289</v>
      </c>
      <c r="M210" s="119"/>
      <c r="N210" s="115" t="s">
        <v>1699</v>
      </c>
      <c r="O210" s="115"/>
    </row>
    <row r="211" spans="1:29">
      <c r="A211" s="118" t="s">
        <v>1217</v>
      </c>
      <c r="B211" s="150" t="s">
        <v>2488</v>
      </c>
      <c r="C211" s="151" t="s">
        <v>3042</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3043</v>
      </c>
      <c r="F212" s="139">
        <v>360</v>
      </c>
      <c r="H212" s="115"/>
      <c r="I212" s="115"/>
      <c r="J212" s="115"/>
      <c r="K212" s="115"/>
      <c r="L212" s="115" t="s">
        <v>1289</v>
      </c>
      <c r="M212" s="115"/>
      <c r="N212" s="115" t="s">
        <v>1895</v>
      </c>
      <c r="O212" s="115"/>
    </row>
    <row r="213" spans="1:29">
      <c r="A213" s="115" t="s">
        <v>1409</v>
      </c>
      <c r="B213" s="115" t="s">
        <v>2002</v>
      </c>
      <c r="C213" s="145" t="s">
        <v>3044</v>
      </c>
      <c r="E213" s="108" t="s">
        <v>2666</v>
      </c>
      <c r="H213" s="115"/>
      <c r="I213" s="115"/>
      <c r="J213" s="115"/>
      <c r="K213" s="115"/>
      <c r="L213" s="115" t="s">
        <v>1262</v>
      </c>
      <c r="M213" s="115"/>
      <c r="N213" s="115" t="s">
        <v>1786</v>
      </c>
      <c r="O213" s="115"/>
    </row>
    <row r="214" spans="1:29">
      <c r="A214" s="124" t="s">
        <v>470</v>
      </c>
      <c r="B214" s="124" t="s">
        <v>476</v>
      </c>
      <c r="C214" s="145" t="s">
        <v>3045</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3046</v>
      </c>
      <c r="E215" s="108" t="s">
        <v>2661</v>
      </c>
      <c r="H215" s="124"/>
      <c r="M215" s="131"/>
      <c r="N215" s="109" t="s">
        <v>2317</v>
      </c>
    </row>
    <row r="216" spans="1:29">
      <c r="A216" s="124" t="s">
        <v>284</v>
      </c>
      <c r="B216" s="124" t="s">
        <v>687</v>
      </c>
      <c r="C216" s="145" t="s">
        <v>3047</v>
      </c>
      <c r="F216" s="139">
        <v>463</v>
      </c>
      <c r="H216" s="124"/>
      <c r="M216" s="124"/>
    </row>
    <row r="217" spans="1:29" ht="58.5">
      <c r="A217" s="115" t="s">
        <v>1422</v>
      </c>
      <c r="B217" s="127" t="s">
        <v>1423</v>
      </c>
      <c r="C217" s="145" t="s">
        <v>3048</v>
      </c>
      <c r="F217" s="139">
        <v>473</v>
      </c>
      <c r="H217" s="127"/>
      <c r="I217" s="122"/>
      <c r="J217" s="122" t="s">
        <v>2252</v>
      </c>
      <c r="K217" s="122"/>
      <c r="L217" s="127" t="s">
        <v>1262</v>
      </c>
      <c r="M217" s="127"/>
      <c r="O217" s="122"/>
    </row>
    <row r="218" spans="1:29">
      <c r="A218" s="115" t="s">
        <v>67</v>
      </c>
      <c r="B218" s="127" t="s">
        <v>66</v>
      </c>
      <c r="C218" s="145" t="s">
        <v>3049</v>
      </c>
      <c r="F218" s="139">
        <v>83</v>
      </c>
      <c r="H218" s="127"/>
      <c r="M218" s="119"/>
    </row>
    <row r="219" spans="1:29" ht="39">
      <c r="A219" s="115" t="s">
        <v>494</v>
      </c>
      <c r="B219" s="115" t="s">
        <v>2158</v>
      </c>
      <c r="C219" s="145" t="s">
        <v>3050</v>
      </c>
      <c r="D219" s="108" t="s">
        <v>2673</v>
      </c>
      <c r="F219" s="139">
        <v>218</v>
      </c>
      <c r="H219" s="115"/>
      <c r="I219" s="115"/>
      <c r="J219" s="115"/>
      <c r="K219" s="115"/>
      <c r="M219" s="124"/>
      <c r="N219" s="115" t="s">
        <v>1461</v>
      </c>
      <c r="O219" s="115"/>
    </row>
    <row r="220" spans="1:29">
      <c r="A220" s="115" t="s">
        <v>2154</v>
      </c>
      <c r="B220" s="115" t="s">
        <v>2155</v>
      </c>
      <c r="C220" s="145" t="s">
        <v>3051</v>
      </c>
      <c r="F220" s="139">
        <v>352</v>
      </c>
      <c r="H220" s="115"/>
      <c r="I220" s="115"/>
      <c r="J220" s="115"/>
      <c r="K220" s="115"/>
      <c r="L220" s="116"/>
      <c r="M220" s="115"/>
      <c r="N220" s="115" t="s">
        <v>2156</v>
      </c>
      <c r="O220" s="115"/>
    </row>
    <row r="221" spans="1:29">
      <c r="A221" s="115" t="s">
        <v>1409</v>
      </c>
      <c r="B221" s="115" t="s">
        <v>2102</v>
      </c>
      <c r="C221" s="145" t="s">
        <v>3052</v>
      </c>
      <c r="D221" s="108" t="s">
        <v>2673</v>
      </c>
      <c r="F221" s="139">
        <v>154</v>
      </c>
      <c r="H221" s="115"/>
      <c r="I221" s="115"/>
      <c r="J221" s="115"/>
      <c r="K221" s="115"/>
      <c r="L221" s="116"/>
      <c r="M221" s="115"/>
      <c r="N221" s="115" t="s">
        <v>1707</v>
      </c>
      <c r="O221" s="115"/>
    </row>
    <row r="222" spans="1:29">
      <c r="A222" s="115" t="s">
        <v>109</v>
      </c>
      <c r="B222" s="127" t="s">
        <v>118</v>
      </c>
      <c r="C222" s="145" t="s">
        <v>3053</v>
      </c>
      <c r="F222" s="139">
        <v>172</v>
      </c>
      <c r="H222" s="127"/>
      <c r="I222" s="110"/>
      <c r="J222" s="110"/>
      <c r="K222" s="110"/>
      <c r="L222" s="116"/>
      <c r="M222" s="119"/>
      <c r="O222" s="110"/>
    </row>
    <row r="223" spans="1:29" ht="78">
      <c r="A223" s="115" t="s">
        <v>1270</v>
      </c>
      <c r="B223" s="127" t="s">
        <v>701</v>
      </c>
      <c r="C223" s="145" t="s">
        <v>3054</v>
      </c>
      <c r="E223" s="108" t="s">
        <v>3143</v>
      </c>
      <c r="H223" s="127"/>
      <c r="I223" s="122"/>
      <c r="J223" s="122" t="s">
        <v>2253</v>
      </c>
      <c r="K223" s="122"/>
      <c r="L223" s="127" t="s">
        <v>1262</v>
      </c>
      <c r="M223" s="127"/>
      <c r="O223" s="122"/>
    </row>
    <row r="224" spans="1:29" ht="39">
      <c r="B224" s="127" t="s">
        <v>1044</v>
      </c>
      <c r="C224" s="145" t="s">
        <v>3055</v>
      </c>
      <c r="E224" s="108" t="s">
        <v>2666</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3056</v>
      </c>
      <c r="E225" s="108" t="s">
        <v>2666</v>
      </c>
      <c r="H225" s="115"/>
      <c r="I225" s="115"/>
      <c r="J225" s="115"/>
      <c r="K225" s="115"/>
      <c r="L225" s="115" t="s">
        <v>1262</v>
      </c>
      <c r="M225" s="124"/>
      <c r="N225" s="115" t="s">
        <v>1935</v>
      </c>
      <c r="O225" s="115"/>
    </row>
    <row r="226" spans="1:23">
      <c r="A226" s="136" t="s">
        <v>2374</v>
      </c>
      <c r="B226" s="127" t="s">
        <v>2376</v>
      </c>
      <c r="C226" s="145" t="s">
        <v>2780</v>
      </c>
      <c r="F226" s="139">
        <v>139</v>
      </c>
      <c r="H226" s="127"/>
      <c r="I226" s="110"/>
      <c r="J226" s="110"/>
      <c r="K226" s="110"/>
      <c r="L226" s="116"/>
      <c r="M226" s="124"/>
      <c r="N226" s="109" t="s">
        <v>2375</v>
      </c>
      <c r="O226" s="110"/>
    </row>
    <row r="227" spans="1:23">
      <c r="A227" s="115" t="s">
        <v>101</v>
      </c>
      <c r="B227" s="127" t="s">
        <v>2376</v>
      </c>
      <c r="C227" s="145" t="s">
        <v>3057</v>
      </c>
      <c r="E227" s="108" t="s">
        <v>2666</v>
      </c>
      <c r="H227" s="127"/>
      <c r="I227" s="110"/>
      <c r="J227" s="110"/>
      <c r="K227" s="110"/>
      <c r="L227" s="116"/>
      <c r="M227" s="116"/>
      <c r="O227" s="110"/>
    </row>
    <row r="228" spans="1:23">
      <c r="A228" s="115" t="s">
        <v>101</v>
      </c>
      <c r="B228" s="127" t="s">
        <v>100</v>
      </c>
      <c r="C228" s="145" t="s">
        <v>3058</v>
      </c>
      <c r="F228" s="139">
        <v>138</v>
      </c>
      <c r="H228" s="127"/>
      <c r="I228" s="110"/>
      <c r="J228" s="110"/>
      <c r="K228" s="110"/>
      <c r="L228" s="116"/>
      <c r="M228" s="127"/>
      <c r="O228" s="110"/>
    </row>
    <row r="229" spans="1:23">
      <c r="A229" s="115" t="s">
        <v>128</v>
      </c>
      <c r="B229" s="127" t="s">
        <v>127</v>
      </c>
      <c r="C229" s="145" t="s">
        <v>3059</v>
      </c>
      <c r="F229" s="139">
        <v>187</v>
      </c>
      <c r="H229" s="127"/>
      <c r="M229" s="124"/>
    </row>
    <row r="230" spans="1:23">
      <c r="A230" s="115" t="s">
        <v>14</v>
      </c>
      <c r="B230" s="127" t="s">
        <v>13</v>
      </c>
      <c r="C230" s="145" t="s">
        <v>3060</v>
      </c>
      <c r="F230" s="139">
        <v>11</v>
      </c>
      <c r="H230" s="127"/>
      <c r="L230" s="116"/>
      <c r="M230" s="154"/>
      <c r="N230" s="116"/>
    </row>
    <row r="231" spans="1:23">
      <c r="A231" s="124" t="s">
        <v>1626</v>
      </c>
      <c r="B231" s="131" t="s">
        <v>419</v>
      </c>
      <c r="C231" s="145" t="s">
        <v>3061</v>
      </c>
      <c r="F231" s="139">
        <v>144</v>
      </c>
      <c r="H231" s="131"/>
      <c r="I231" s="124"/>
      <c r="J231" s="124"/>
      <c r="K231" s="124"/>
      <c r="M231" s="127"/>
      <c r="O231" s="124"/>
    </row>
    <row r="232" spans="1:23">
      <c r="A232" s="124" t="s">
        <v>674</v>
      </c>
      <c r="B232" s="124" t="s">
        <v>673</v>
      </c>
      <c r="C232" s="145" t="s">
        <v>3062</v>
      </c>
      <c r="E232" s="108" t="s">
        <v>2662</v>
      </c>
      <c r="H232" s="124"/>
      <c r="M232" s="115"/>
    </row>
    <row r="233" spans="1:23" ht="39">
      <c r="A233" s="115" t="s">
        <v>139</v>
      </c>
      <c r="B233" s="127" t="s">
        <v>138</v>
      </c>
      <c r="C233" s="145" t="s">
        <v>3068</v>
      </c>
      <c r="E233" s="108" t="s">
        <v>2661</v>
      </c>
      <c r="H233" s="127"/>
      <c r="M233" s="116"/>
    </row>
    <row r="234" spans="1:23" ht="39">
      <c r="A234" s="115" t="s">
        <v>1539</v>
      </c>
      <c r="B234" s="127" t="s">
        <v>1538</v>
      </c>
      <c r="C234" s="145" t="s">
        <v>2632</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3069</v>
      </c>
      <c r="E235" s="108" t="s">
        <v>2666</v>
      </c>
      <c r="H235" s="127"/>
      <c r="I235" s="122"/>
      <c r="J235" s="122"/>
      <c r="K235" s="122"/>
      <c r="M235" s="127"/>
      <c r="N235" s="127" t="s">
        <v>1509</v>
      </c>
      <c r="O235" s="122"/>
    </row>
    <row r="236" spans="1:23" ht="39">
      <c r="A236" s="124" t="s">
        <v>494</v>
      </c>
      <c r="B236" s="124" t="s">
        <v>493</v>
      </c>
      <c r="C236" s="145" t="s">
        <v>3070</v>
      </c>
      <c r="D236" s="108" t="s">
        <v>2673</v>
      </c>
      <c r="F236" s="139">
        <v>219</v>
      </c>
      <c r="H236" s="124"/>
      <c r="M236" s="115"/>
    </row>
    <row r="237" spans="1:23">
      <c r="A237" s="124" t="s">
        <v>614</v>
      </c>
      <c r="B237" s="124" t="s">
        <v>613</v>
      </c>
      <c r="C237" s="145" t="s">
        <v>2829</v>
      </c>
      <c r="F237" s="139">
        <v>449</v>
      </c>
      <c r="H237" s="124"/>
      <c r="I237" s="110"/>
      <c r="J237" s="110"/>
      <c r="K237" s="110"/>
      <c r="L237" s="116"/>
      <c r="M237" s="124"/>
      <c r="O237" s="110"/>
    </row>
    <row r="238" spans="1:23" ht="39">
      <c r="A238" s="115" t="s">
        <v>234</v>
      </c>
      <c r="B238" s="127" t="s">
        <v>238</v>
      </c>
      <c r="C238" s="145" t="s">
        <v>3071</v>
      </c>
      <c r="F238" s="139">
        <v>408</v>
      </c>
      <c r="H238" s="127"/>
      <c r="I238" s="110"/>
      <c r="J238" s="110"/>
      <c r="K238" s="110"/>
      <c r="L238" s="116"/>
      <c r="M238" s="127"/>
      <c r="O238" s="110"/>
    </row>
    <row r="239" spans="1:23">
      <c r="A239" s="124" t="s">
        <v>213</v>
      </c>
      <c r="B239" s="124" t="s">
        <v>761</v>
      </c>
      <c r="C239" s="145" t="s">
        <v>3072</v>
      </c>
      <c r="E239" s="108" t="s">
        <v>2663</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2666</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3105</v>
      </c>
      <c r="E247" s="108" t="s">
        <v>2661</v>
      </c>
      <c r="H247" s="127"/>
      <c r="I247" s="122"/>
      <c r="J247" s="122"/>
      <c r="K247" s="122"/>
      <c r="L247" s="127"/>
      <c r="M247" s="127"/>
      <c r="O247" s="122"/>
    </row>
    <row r="248" spans="1:29">
      <c r="A248" s="118" t="s">
        <v>2461</v>
      </c>
      <c r="B248" s="150" t="s">
        <v>2460</v>
      </c>
      <c r="C248" s="151" t="s">
        <v>2462</v>
      </c>
      <c r="D248" s="118"/>
      <c r="E248" s="118" t="s">
        <v>2666</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2661</v>
      </c>
      <c r="H252" s="127"/>
      <c r="I252" s="122"/>
      <c r="J252" s="122" t="s">
        <v>1439</v>
      </c>
      <c r="K252" s="122"/>
      <c r="L252" s="127" t="s">
        <v>1289</v>
      </c>
      <c r="M252" s="127"/>
      <c r="O252" s="122"/>
    </row>
    <row r="253" spans="1:29" ht="58.5">
      <c r="A253" s="115" t="s">
        <v>1369</v>
      </c>
      <c r="B253" s="127" t="s">
        <v>1473</v>
      </c>
      <c r="C253" s="167" t="s">
        <v>3106</v>
      </c>
      <c r="E253" s="108" t="s">
        <v>3107</v>
      </c>
      <c r="H253" s="127"/>
      <c r="I253" s="134"/>
      <c r="J253" s="134" t="s">
        <v>3108</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2666</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3075</v>
      </c>
      <c r="E257" s="108" t="s">
        <v>2661</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2666</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2661</v>
      </c>
      <c r="H265" s="127"/>
      <c r="I265" s="122"/>
      <c r="J265" s="122" t="s">
        <v>1489</v>
      </c>
      <c r="K265" s="122"/>
      <c r="L265" s="116"/>
      <c r="M265" s="127"/>
      <c r="N265" s="127" t="s">
        <v>1487</v>
      </c>
      <c r="O265" s="122"/>
    </row>
    <row r="266" spans="1:23" ht="78">
      <c r="A266" s="115" t="s">
        <v>1272</v>
      </c>
      <c r="B266" s="127" t="s">
        <v>498</v>
      </c>
      <c r="H266" s="127"/>
      <c r="I266" s="122"/>
      <c r="J266" s="122" t="s">
        <v>3063</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3100</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2666</v>
      </c>
      <c r="H276" s="124"/>
      <c r="I276" s="110"/>
      <c r="J276" s="110"/>
      <c r="K276" s="110"/>
      <c r="L276" s="116"/>
      <c r="M276" s="127"/>
      <c r="N276" s="116"/>
      <c r="O276" s="110"/>
      <c r="P276" s="110"/>
      <c r="Q276" s="110"/>
      <c r="R276" s="110"/>
      <c r="S276" s="110"/>
      <c r="T276" s="110"/>
      <c r="U276" s="110"/>
      <c r="V276" s="110"/>
      <c r="W276" s="110"/>
    </row>
    <row r="277" spans="1:29">
      <c r="A277" s="55" t="s">
        <v>3064</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3142</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2661</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2666</v>
      </c>
      <c r="H283" s="115"/>
      <c r="I283" s="115"/>
      <c r="J283" s="115"/>
      <c r="K283" s="115"/>
      <c r="L283" s="115" t="s">
        <v>1289</v>
      </c>
      <c r="M283" s="127"/>
      <c r="N283" s="115" t="s">
        <v>1778</v>
      </c>
      <c r="O283" s="115"/>
    </row>
    <row r="284" spans="1:29">
      <c r="A284" s="115" t="s">
        <v>87</v>
      </c>
      <c r="B284" s="127" t="s">
        <v>86</v>
      </c>
      <c r="C284" s="145" t="s">
        <v>88</v>
      </c>
      <c r="E284" s="108" t="s">
        <v>3128</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2663</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2666</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2666</v>
      </c>
      <c r="H292" s="124"/>
      <c r="M292" s="124"/>
    </row>
    <row r="293" spans="1:29" ht="39">
      <c r="A293" s="115" t="s">
        <v>1727</v>
      </c>
      <c r="B293" s="115" t="s">
        <v>1814</v>
      </c>
      <c r="C293" s="145" t="s">
        <v>1815</v>
      </c>
      <c r="E293" s="108" t="s">
        <v>2661</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2666</v>
      </c>
      <c r="H295" s="124"/>
      <c r="L295" s="116"/>
      <c r="M295" s="127"/>
      <c r="N295" s="116"/>
    </row>
    <row r="296" spans="1:29">
      <c r="A296" s="115" t="s">
        <v>206</v>
      </c>
      <c r="B296" s="127" t="s">
        <v>205</v>
      </c>
      <c r="C296" s="145" t="s">
        <v>207</v>
      </c>
      <c r="E296" s="108" t="s">
        <v>2661</v>
      </c>
      <c r="H296" s="127"/>
      <c r="M296" s="124"/>
    </row>
    <row r="297" spans="1:29" ht="39">
      <c r="A297" s="115" t="s">
        <v>11</v>
      </c>
      <c r="B297" s="127" t="s">
        <v>55</v>
      </c>
      <c r="C297" s="145" t="s">
        <v>56</v>
      </c>
      <c r="E297" s="108" t="s">
        <v>2666</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2661</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2661</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3134</v>
      </c>
      <c r="B304" s="127" t="s">
        <v>3133</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2666</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2666</v>
      </c>
      <c r="H309" s="124"/>
      <c r="M309" s="127"/>
    </row>
    <row r="310" spans="1:15">
      <c r="A310" s="124" t="s">
        <v>1230</v>
      </c>
      <c r="B310" s="124" t="s">
        <v>1201</v>
      </c>
      <c r="C310" s="145" t="s">
        <v>1151</v>
      </c>
      <c r="E310" s="108" t="s">
        <v>2662</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2666</v>
      </c>
      <c r="H312" s="127"/>
      <c r="I312" s="122"/>
      <c r="J312" s="122" t="s">
        <v>1407</v>
      </c>
      <c r="K312" s="122"/>
      <c r="L312" s="127" t="s">
        <v>1284</v>
      </c>
      <c r="M312" s="127"/>
      <c r="O312" s="122"/>
    </row>
    <row r="313" spans="1:15">
      <c r="A313" s="115" t="s">
        <v>262</v>
      </c>
      <c r="B313" s="127" t="s">
        <v>261</v>
      </c>
      <c r="C313" s="145" t="s">
        <v>263</v>
      </c>
      <c r="E313" s="108" t="s">
        <v>2661</v>
      </c>
      <c r="H313" s="127"/>
      <c r="L313" s="116"/>
      <c r="M313" s="127"/>
      <c r="N313" s="116"/>
    </row>
    <row r="314" spans="1:15">
      <c r="A314" s="124" t="s">
        <v>432</v>
      </c>
      <c r="B314" s="124" t="s">
        <v>434</v>
      </c>
      <c r="C314" s="145" t="s">
        <v>435</v>
      </c>
      <c r="E314" s="108" t="s">
        <v>2666</v>
      </c>
      <c r="H314" s="124"/>
      <c r="M314" s="124"/>
    </row>
    <row r="315" spans="1:15" ht="39">
      <c r="A315" s="115" t="s">
        <v>1950</v>
      </c>
      <c r="B315" s="115" t="s">
        <v>1951</v>
      </c>
      <c r="C315" s="145" t="s">
        <v>1952</v>
      </c>
      <c r="E315" s="108" t="s">
        <v>2666</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2666</v>
      </c>
      <c r="H317" s="115"/>
      <c r="I317" s="115"/>
      <c r="J317" s="115"/>
      <c r="K317" s="115"/>
      <c r="L317" s="115" t="s">
        <v>1262</v>
      </c>
      <c r="M317" s="127"/>
      <c r="N317" s="115"/>
      <c r="O317" s="115"/>
    </row>
    <row r="318" spans="1:15">
      <c r="A318" s="124" t="s">
        <v>341</v>
      </c>
      <c r="B318" s="124" t="s">
        <v>340</v>
      </c>
      <c r="C318" s="145" t="s">
        <v>342</v>
      </c>
      <c r="E318" s="108" t="s">
        <v>2666</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2666</v>
      </c>
      <c r="H320" s="124"/>
      <c r="M320" s="127"/>
    </row>
    <row r="321" spans="1:29" ht="39">
      <c r="A321" s="115" t="s">
        <v>1925</v>
      </c>
      <c r="B321" s="115" t="s">
        <v>1926</v>
      </c>
      <c r="C321" s="145" t="s">
        <v>1927</v>
      </c>
      <c r="E321" s="108" t="s">
        <v>2666</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3160</v>
      </c>
      <c r="B325" s="168" t="s">
        <v>3159</v>
      </c>
      <c r="C325" s="55" t="s">
        <v>3161</v>
      </c>
      <c r="D325" s="118"/>
      <c r="E325" s="118"/>
      <c r="F325" s="140">
        <v>203</v>
      </c>
      <c r="G325" s="140"/>
      <c r="H325" s="154" t="s">
        <v>2420</v>
      </c>
      <c r="I325" s="120"/>
      <c r="J325" s="146" t="s">
        <v>3162</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2663</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2663</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4703</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2673</v>
      </c>
      <c r="F336" s="139">
        <v>213</v>
      </c>
      <c r="H336" s="127"/>
      <c r="M336" s="116"/>
      <c r="N336" s="109" t="s">
        <v>1034</v>
      </c>
    </row>
    <row r="337" spans="1:29">
      <c r="A337" s="124" t="s">
        <v>634</v>
      </c>
      <c r="B337" s="124" t="s">
        <v>633</v>
      </c>
      <c r="C337" s="145" t="s">
        <v>635</v>
      </c>
      <c r="E337" s="108" t="s">
        <v>2663</v>
      </c>
      <c r="H337" s="124"/>
      <c r="M337" s="124"/>
    </row>
    <row r="338" spans="1:29">
      <c r="A338" s="115"/>
      <c r="B338" s="115" t="s">
        <v>2176</v>
      </c>
      <c r="C338" s="145" t="s">
        <v>2177</v>
      </c>
      <c r="F338" s="139">
        <v>419</v>
      </c>
      <c r="H338" s="115"/>
      <c r="I338" s="115"/>
      <c r="J338" s="115"/>
      <c r="K338" s="115"/>
      <c r="L338" s="116"/>
      <c r="M338" s="115"/>
      <c r="N338" s="115"/>
      <c r="O338" s="115"/>
    </row>
    <row r="339" spans="1:29">
      <c r="A339" t="s">
        <v>3977</v>
      </c>
      <c r="B339" t="s">
        <v>2289</v>
      </c>
      <c r="C339" s="55" t="s">
        <v>3978</v>
      </c>
      <c r="F339" s="139">
        <v>420</v>
      </c>
      <c r="H339" s="131"/>
      <c r="I339" s="124"/>
      <c r="J339" s="124"/>
      <c r="K339" s="124"/>
      <c r="M339" s="131"/>
      <c r="O339" s="124"/>
    </row>
    <row r="340" spans="1:29">
      <c r="A340" s="124" t="s">
        <v>344</v>
      </c>
      <c r="B340" s="124" t="s">
        <v>343</v>
      </c>
      <c r="C340" s="145" t="s">
        <v>345</v>
      </c>
      <c r="E340" s="108" t="s">
        <v>2682</v>
      </c>
      <c r="H340" s="124"/>
      <c r="M340" s="124"/>
    </row>
    <row r="341" spans="1:29">
      <c r="A341" s="115" t="s">
        <v>274</v>
      </c>
      <c r="B341" s="127" t="s">
        <v>273</v>
      </c>
      <c r="C341" s="145" t="s">
        <v>275</v>
      </c>
      <c r="E341" s="108" t="s">
        <v>2666</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2666</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2661</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2666</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2666</v>
      </c>
      <c r="H349" s="115"/>
      <c r="I349" s="115"/>
      <c r="J349" s="115"/>
      <c r="K349" s="115"/>
      <c r="L349" s="115" t="s">
        <v>1289</v>
      </c>
      <c r="M349" s="115"/>
      <c r="N349" s="115"/>
      <c r="O349" s="115"/>
    </row>
    <row r="350" spans="1:29">
      <c r="A350" s="115" t="s">
        <v>222</v>
      </c>
      <c r="B350" s="127" t="s">
        <v>221</v>
      </c>
      <c r="C350" s="145" t="s">
        <v>223</v>
      </c>
      <c r="E350" s="108" t="s">
        <v>2663</v>
      </c>
      <c r="H350" s="127"/>
      <c r="L350" s="116"/>
      <c r="M350" s="127"/>
      <c r="N350" s="116"/>
    </row>
    <row r="351" spans="1:29">
      <c r="A351" s="115" t="s">
        <v>256</v>
      </c>
      <c r="B351" s="127" t="s">
        <v>255</v>
      </c>
      <c r="C351" s="145" t="s">
        <v>257</v>
      </c>
      <c r="F351" s="139">
        <v>423</v>
      </c>
      <c r="H351" s="127"/>
      <c r="M351" s="127"/>
    </row>
    <row r="352" spans="1:29">
      <c r="A352" s="136" t="s">
        <v>2338</v>
      </c>
      <c r="B352" s="127" t="s">
        <v>3135</v>
      </c>
      <c r="C352" s="145" t="s">
        <v>726</v>
      </c>
      <c r="F352" s="139">
        <v>301</v>
      </c>
      <c r="H352" s="127"/>
      <c r="M352" s="124"/>
      <c r="N352" s="109" t="s">
        <v>2318</v>
      </c>
    </row>
    <row r="353" spans="1:29">
      <c r="A353" s="124" t="s">
        <v>517</v>
      </c>
      <c r="B353" s="124" t="s">
        <v>521</v>
      </c>
      <c r="C353" s="145" t="s">
        <v>522</v>
      </c>
      <c r="E353" s="108" t="s">
        <v>2663</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2666</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2683</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2661</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2681</v>
      </c>
      <c r="C369" s="145" t="s">
        <v>911</v>
      </c>
      <c r="E369" s="108" t="s">
        <v>2666</v>
      </c>
      <c r="H369" s="127"/>
      <c r="M369" s="116"/>
    </row>
    <row r="370" spans="1:23">
      <c r="A370" s="124" t="s">
        <v>1216</v>
      </c>
      <c r="B370" s="124" t="s">
        <v>2681</v>
      </c>
      <c r="C370" s="145" t="s">
        <v>1128</v>
      </c>
      <c r="E370" s="108" t="s">
        <v>2666</v>
      </c>
      <c r="H370" s="124"/>
      <c r="M370" s="124"/>
    </row>
    <row r="371" spans="1:23" ht="39">
      <c r="A371" s="115" t="s">
        <v>2054</v>
      </c>
      <c r="B371" s="115" t="s">
        <v>2055</v>
      </c>
      <c r="C371" s="145" t="s">
        <v>2056</v>
      </c>
      <c r="E371" s="108" t="s">
        <v>2663</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2666</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2673</v>
      </c>
      <c r="F379" s="139">
        <v>286</v>
      </c>
      <c r="H379" s="127"/>
      <c r="M379" s="124"/>
    </row>
    <row r="380" spans="1:23" ht="39">
      <c r="A380" s="115" t="s">
        <v>1701</v>
      </c>
      <c r="B380" s="115" t="s">
        <v>1702</v>
      </c>
      <c r="C380" s="145" t="s">
        <v>1704</v>
      </c>
      <c r="E380" s="108" t="s">
        <v>3107</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2663</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2666</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2666</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2661</v>
      </c>
      <c r="H391" s="127"/>
      <c r="M391" s="127"/>
    </row>
    <row r="392" spans="1:29">
      <c r="A392" s="115" t="s">
        <v>284</v>
      </c>
      <c r="B392" s="127" t="s">
        <v>286</v>
      </c>
      <c r="C392" s="145" t="s">
        <v>287</v>
      </c>
      <c r="E392" s="108" t="s">
        <v>2666</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2666</v>
      </c>
      <c r="H394" s="115"/>
      <c r="I394" s="115"/>
      <c r="J394" s="115"/>
      <c r="K394" s="115"/>
      <c r="L394" s="115" t="s">
        <v>1289</v>
      </c>
      <c r="M394" s="115"/>
      <c r="N394" s="115" t="s">
        <v>1885</v>
      </c>
      <c r="O394" s="115"/>
    </row>
    <row r="395" spans="1:29">
      <c r="A395" s="115" t="s">
        <v>284</v>
      </c>
      <c r="B395" s="127" t="s">
        <v>288</v>
      </c>
      <c r="C395" s="145" t="s">
        <v>289</v>
      </c>
      <c r="E395" s="108" t="s">
        <v>2666</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2661</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3974</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2666</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2666</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2669</v>
      </c>
      <c r="C406" s="153" t="s">
        <v>3065</v>
      </c>
      <c r="D406" s="108" t="s">
        <v>2759</v>
      </c>
      <c r="F406" s="139">
        <v>184</v>
      </c>
      <c r="H406" s="127"/>
      <c r="M406" s="119"/>
    </row>
    <row r="407" spans="1:23">
      <c r="A407" s="115" t="s">
        <v>2160</v>
      </c>
      <c r="B407" s="115" t="s">
        <v>2161</v>
      </c>
      <c r="C407" s="145" t="s">
        <v>2162</v>
      </c>
      <c r="E407" s="108" t="s">
        <v>2666</v>
      </c>
      <c r="H407" s="115"/>
      <c r="I407" s="115"/>
      <c r="J407" s="115"/>
      <c r="K407" s="115"/>
      <c r="M407" s="115"/>
      <c r="N407" s="115" t="s">
        <v>1707</v>
      </c>
      <c r="O407" s="115"/>
    </row>
    <row r="408" spans="1:23">
      <c r="A408" s="124" t="s">
        <v>659</v>
      </c>
      <c r="B408" s="124" t="s">
        <v>658</v>
      </c>
      <c r="C408" s="145" t="s">
        <v>660</v>
      </c>
      <c r="E408" s="108" t="s">
        <v>2666</v>
      </c>
      <c r="H408" s="124"/>
      <c r="M408" s="124"/>
    </row>
    <row r="409" spans="1:23" ht="78">
      <c r="A409" s="115" t="s">
        <v>1319</v>
      </c>
      <c r="B409" s="127" t="s">
        <v>1320</v>
      </c>
      <c r="C409" s="145" t="s">
        <v>1322</v>
      </c>
      <c r="E409" s="108" t="s">
        <v>2666</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2666</v>
      </c>
      <c r="H412" s="124"/>
      <c r="M412" s="124"/>
    </row>
    <row r="413" spans="1:23">
      <c r="A413" s="124" t="s">
        <v>213</v>
      </c>
      <c r="B413" s="124" t="s">
        <v>763</v>
      </c>
      <c r="C413" s="145" t="s">
        <v>764</v>
      </c>
      <c r="E413" s="108" t="s">
        <v>2662</v>
      </c>
      <c r="H413" s="124"/>
      <c r="M413" s="124"/>
    </row>
    <row r="414" spans="1:23">
      <c r="A414" s="115" t="s">
        <v>35</v>
      </c>
      <c r="B414" s="127" t="s">
        <v>34</v>
      </c>
      <c r="C414" s="167" t="s">
        <v>3101</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3077</v>
      </c>
      <c r="C421" s="55" t="s">
        <v>3079</v>
      </c>
      <c r="E421" s="108" t="s">
        <v>2661</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3090</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3089</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2647</v>
      </c>
      <c r="B433" s="127" t="s">
        <v>3136</v>
      </c>
      <c r="C433" s="145" t="s">
        <v>507</v>
      </c>
      <c r="D433" s="108" t="s">
        <v>2673</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2673</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2661</v>
      </c>
      <c r="F441" s="140"/>
      <c r="G441" s="140"/>
      <c r="H441" s="118"/>
      <c r="L441" s="119"/>
      <c r="M441" s="119"/>
      <c r="N441" s="119"/>
    </row>
    <row r="442" spans="1:29" s="120" customFormat="1">
      <c r="A442" s="115" t="s">
        <v>323</v>
      </c>
      <c r="B442" s="127" t="s">
        <v>1504</v>
      </c>
      <c r="C442" s="145" t="s">
        <v>1686</v>
      </c>
      <c r="D442" s="108"/>
      <c r="E442" s="108" t="s">
        <v>2666</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2666</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2666</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4702</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2666</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2673</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3164</v>
      </c>
      <c r="B455" s="131" t="s">
        <v>3163</v>
      </c>
      <c r="C455" s="55" t="s">
        <v>3166</v>
      </c>
      <c r="D455" s="108"/>
      <c r="E455" s="108"/>
      <c r="F455" s="139">
        <v>478</v>
      </c>
      <c r="G455" s="139"/>
      <c r="H455" s="131" t="s">
        <v>2400</v>
      </c>
      <c r="I455" s="124"/>
      <c r="J455" s="124">
        <v>15202180470</v>
      </c>
      <c r="K455" s="124"/>
      <c r="L455" s="109"/>
      <c r="M455" s="131"/>
      <c r="N455" s="109" t="s">
        <v>3153</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2666</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2666</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2663</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2666</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2658</v>
      </c>
      <c r="B465" s="127" t="s">
        <v>2657</v>
      </c>
      <c r="C465" s="145" t="s">
        <v>963</v>
      </c>
      <c r="D465" s="108"/>
      <c r="E465" s="108"/>
      <c r="F465" s="139">
        <v>35</v>
      </c>
      <c r="G465" s="139"/>
      <c r="H465" s="127"/>
      <c r="I465" s="110"/>
      <c r="J465" s="110"/>
      <c r="K465" s="110"/>
      <c r="L465" s="109"/>
      <c r="M465" s="124"/>
      <c r="N465" s="116" t="s">
        <v>2659</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2679</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2678</v>
      </c>
      <c r="D468" s="108"/>
      <c r="E468" s="108" t="s">
        <v>2661</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2666</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2666</v>
      </c>
      <c r="F477" s="140"/>
      <c r="G477" s="140"/>
      <c r="H477" s="118"/>
      <c r="L477" s="119"/>
      <c r="M477" s="119"/>
      <c r="N477" s="119"/>
    </row>
    <row r="478" spans="1:29" s="120" customFormat="1" ht="39">
      <c r="A478" s="136" t="s">
        <v>2387</v>
      </c>
      <c r="B478" s="127" t="s">
        <v>3076</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3102</v>
      </c>
      <c r="B479" s="150" t="s">
        <v>2450</v>
      </c>
      <c r="C479" s="151" t="s">
        <v>2451</v>
      </c>
      <c r="D479" s="118"/>
      <c r="E479" s="118" t="s">
        <v>2661</v>
      </c>
      <c r="F479" s="140"/>
      <c r="G479" s="140"/>
      <c r="H479" s="118"/>
      <c r="L479" s="119"/>
      <c r="M479" s="115"/>
      <c r="N479" s="119" t="s">
        <v>2306</v>
      </c>
    </row>
    <row r="480" spans="1:29" s="120" customFormat="1">
      <c r="A480" s="115" t="s">
        <v>259</v>
      </c>
      <c r="B480" s="127" t="s">
        <v>258</v>
      </c>
      <c r="C480" s="145" t="s">
        <v>260</v>
      </c>
      <c r="D480" s="108"/>
      <c r="E480" s="108" t="s">
        <v>2666</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3821</v>
      </c>
      <c r="C482" s="55" t="s">
        <v>3965</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2663</v>
      </c>
      <c r="F484" s="139"/>
      <c r="G484" s="139"/>
      <c r="H484" s="124"/>
      <c r="I484" s="112"/>
      <c r="J484" s="112"/>
      <c r="K484" s="112"/>
      <c r="L484" s="109"/>
      <c r="M484" s="116"/>
      <c r="N484" s="109" t="s">
        <v>2671</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2764</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2663</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2660</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2666</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2666</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2661</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2666</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3140</v>
      </c>
      <c r="C501" s="55" t="s">
        <v>3078</v>
      </c>
      <c r="D501" s="108"/>
      <c r="E501" s="108" t="s">
        <v>2661</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2666</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4701</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3137</v>
      </c>
      <c r="C507" s="145" t="s">
        <v>505</v>
      </c>
      <c r="D507" s="108"/>
      <c r="E507" s="108" t="s">
        <v>2666</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2666</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3128</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3107</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3139</v>
      </c>
      <c r="B512" s="127" t="s">
        <v>3138</v>
      </c>
      <c r="C512" s="145" t="s">
        <v>778</v>
      </c>
      <c r="D512" s="108"/>
      <c r="E512" s="108" t="s">
        <v>2666</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3399</v>
      </c>
      <c r="B513" s="131" t="s">
        <v>3968</v>
      </c>
      <c r="C513" s="55" t="s">
        <v>3967</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2661</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2673</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2666</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2666</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2661</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2663</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2661</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2663</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2666</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3973</v>
      </c>
      <c r="B528" s="124" t="s">
        <v>704</v>
      </c>
      <c r="C528" s="55" t="s">
        <v>3972</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3970</v>
      </c>
      <c r="B529" s="124" t="s">
        <v>704</v>
      </c>
      <c r="C529" s="55" t="s">
        <v>3971</v>
      </c>
      <c r="D529" s="108"/>
      <c r="E529" s="108" t="s">
        <v>2667</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2667</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2673</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2680</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2661</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2666</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2666</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2666</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2666</v>
      </c>
      <c r="F547" s="140"/>
      <c r="G547" s="140"/>
      <c r="H547" s="118"/>
      <c r="L547" s="119"/>
      <c r="M547" s="124"/>
      <c r="N547" s="119"/>
    </row>
    <row r="548" spans="1:29" s="120" customFormat="1" ht="58.5">
      <c r="A548" s="115" t="s">
        <v>1430</v>
      </c>
      <c r="B548" s="127" t="s">
        <v>1431</v>
      </c>
      <c r="C548" s="145" t="s">
        <v>1433</v>
      </c>
      <c r="D548" s="108"/>
      <c r="E548" s="108" t="s">
        <v>2666</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2769</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2654</v>
      </c>
      <c r="B551" s="127" t="s">
        <v>2653</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2655</v>
      </c>
      <c r="B552" s="127" t="s">
        <v>2656</v>
      </c>
      <c r="C552" s="145" t="s">
        <v>528</v>
      </c>
      <c r="D552" s="108"/>
      <c r="E552" s="108" t="s">
        <v>2663</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3969</v>
      </c>
      <c r="D554" s="108" t="s">
        <v>2673</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2663</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2666</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2666</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2670</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2673</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2666</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2666</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2666</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3129</v>
      </c>
      <c r="B583" s="127" t="s">
        <v>3130</v>
      </c>
      <c r="C583" s="145" t="s">
        <v>767</v>
      </c>
      <c r="D583" s="108"/>
      <c r="E583" s="108" t="s">
        <v>2666</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3144</v>
      </c>
      <c r="B587" s="124" t="s">
        <v>3145</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3103</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2673</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2667</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2666</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3128</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4698</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4698</v>
      </c>
    </row>
    <row r="598" spans="1:29" s="120" customFormat="1" ht="58.5">
      <c r="A598" s="115" t="s">
        <v>1337</v>
      </c>
      <c r="B598" s="127" t="s">
        <v>1338</v>
      </c>
      <c r="C598" s="145" t="s">
        <v>1340</v>
      </c>
      <c r="D598" s="108"/>
      <c r="E598" s="108" t="s">
        <v>2661</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2666</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3073</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2666</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2666</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3096</v>
      </c>
      <c r="D605" s="118"/>
      <c r="E605" s="118" t="s">
        <v>2661</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2666</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2663</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2666</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2666</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2666</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2666</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2662</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3126</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2673</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3128</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2661</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2666</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3092</v>
      </c>
      <c r="B635" s="127" t="s">
        <v>3093</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3257</v>
      </c>
      <c r="B637" s="127" t="s">
        <v>3255</v>
      </c>
      <c r="C637" s="145" t="s">
        <v>672</v>
      </c>
      <c r="D637" s="108" t="s">
        <v>2673</v>
      </c>
      <c r="E637" s="108"/>
      <c r="F637" s="139">
        <v>59</v>
      </c>
      <c r="G637" s="139"/>
      <c r="H637" s="127"/>
      <c r="I637" s="112"/>
      <c r="J637" s="110"/>
      <c r="K637" s="110"/>
      <c r="L637" s="116"/>
      <c r="M637" s="116"/>
      <c r="N637" s="109" t="s">
        <v>3966</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2666</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2666</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2764</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3158</v>
      </c>
      <c r="C641" s="145" t="s">
        <v>1827</v>
      </c>
      <c r="D641" s="108"/>
      <c r="E641" s="108" t="s">
        <v>2666</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2666</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3127</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2661</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2666</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2663</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4009</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2666</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2663</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2666</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2666</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2663</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3115</v>
      </c>
      <c r="B667" s="127" t="s">
        <v>3114</v>
      </c>
      <c r="C667" s="145" t="s">
        <v>775</v>
      </c>
      <c r="D667" s="108"/>
      <c r="E667" s="108"/>
      <c r="F667" s="139">
        <v>438</v>
      </c>
      <c r="G667" s="139"/>
      <c r="H667" s="127"/>
      <c r="I667" s="112"/>
      <c r="J667" s="112"/>
      <c r="K667" s="112"/>
      <c r="L667" s="109"/>
      <c r="M667" s="116"/>
      <c r="N667" s="109" t="s">
        <v>3116</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3113</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2661</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2666</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2680</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3097</v>
      </c>
      <c r="B677" s="115" t="s">
        <v>3098</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2663</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2663</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2666</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3118</v>
      </c>
      <c r="B685" s="127" t="s">
        <v>3119</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2662</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2666</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2666</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3110</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2666</v>
      </c>
      <c r="F703" s="139"/>
      <c r="G703" s="139"/>
      <c r="H703" s="124"/>
      <c r="I703" s="110"/>
      <c r="J703" s="110"/>
      <c r="K703" s="110"/>
      <c r="L703" s="116"/>
      <c r="M703" s="124"/>
      <c r="N703" s="109" t="s">
        <v>3122</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2666</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2666</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3111</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2661</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2666</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3146</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2661</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2666</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2661</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2663</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3125</v>
      </c>
      <c r="B727" s="127" t="s">
        <v>3124</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3121</v>
      </c>
      <c r="B729" s="127" t="s">
        <v>3120</v>
      </c>
      <c r="C729" s="55" t="s">
        <v>3080</v>
      </c>
      <c r="D729" s="108"/>
      <c r="E729" s="108" t="s">
        <v>2663</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2673</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3964</v>
      </c>
      <c r="B732" s="150" t="s">
        <v>2509</v>
      </c>
      <c r="C732" s="151" t="s">
        <v>2510</v>
      </c>
      <c r="D732" s="118"/>
      <c r="E732" s="118" t="s">
        <v>2666</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2666</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3074</v>
      </c>
      <c r="D737" s="108"/>
      <c r="E737" s="108" t="s">
        <v>2663</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2661</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2666</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2666</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2666</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3107</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2661</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2661</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2661</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2666</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2666</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3149</v>
      </c>
      <c r="B777" s="131" t="s">
        <v>3147</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4699</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3157</v>
      </c>
      <c r="C786" s="145"/>
      <c r="D786" s="108"/>
      <c r="E786" s="108"/>
      <c r="F786" s="139"/>
      <c r="G786" s="139"/>
      <c r="H786" s="127"/>
      <c r="I786" s="115" t="s">
        <v>3156</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3148</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2635</v>
      </c>
      <c r="B797" t="s">
        <v>2636</v>
      </c>
      <c r="C797" s="55" t="s">
        <v>2637</v>
      </c>
      <c r="F797">
        <v>424</v>
      </c>
      <c r="R797" s="47"/>
      <c r="S797" s="47"/>
      <c r="T797" s="47"/>
      <c r="U797" s="47"/>
      <c r="V797" s="47"/>
      <c r="AC797" t="s">
        <v>4700</v>
      </c>
    </row>
    <row r="798" spans="1:29" customFormat="1" ht="18.75">
      <c r="A798" t="s">
        <v>2703</v>
      </c>
      <c r="B798" t="s">
        <v>4805</v>
      </c>
      <c r="C798" s="93" t="s">
        <v>4812</v>
      </c>
      <c r="R798" s="47"/>
      <c r="S798" s="47"/>
      <c r="T798" s="223" t="s">
        <v>2402</v>
      </c>
      <c r="U798" s="223" t="s">
        <v>2402</v>
      </c>
      <c r="V798" s="223" t="s">
        <v>2402</v>
      </c>
      <c r="W798" s="219"/>
    </row>
    <row r="799" spans="1:29" customFormat="1" ht="18.75">
      <c r="A799" t="s">
        <v>2703</v>
      </c>
      <c r="B799" t="s">
        <v>4813</v>
      </c>
      <c r="C799" s="93" t="s">
        <v>4814</v>
      </c>
      <c r="E799" t="s">
        <v>4822</v>
      </c>
      <c r="P799" t="s">
        <v>4815</v>
      </c>
      <c r="R799" s="47"/>
      <c r="S799" s="47"/>
      <c r="T799" s="47"/>
      <c r="U799" s="47"/>
      <c r="V799" s="47"/>
    </row>
    <row r="800" spans="1:29" customFormat="1" ht="18.75">
      <c r="A800" t="s">
        <v>2703</v>
      </c>
      <c r="B800" s="222" t="s">
        <v>4816</v>
      </c>
      <c r="C800" s="93" t="s">
        <v>4817</v>
      </c>
      <c r="E800" t="s">
        <v>4822</v>
      </c>
      <c r="P800" t="s">
        <v>4818</v>
      </c>
      <c r="R800" s="47"/>
      <c r="S800" s="47"/>
      <c r="T800" s="47"/>
      <c r="U800" s="47"/>
      <c r="V800" s="47"/>
    </row>
    <row r="801" spans="1:29" customFormat="1" ht="18.75">
      <c r="A801" t="s">
        <v>2703</v>
      </c>
      <c r="B801" t="s">
        <v>4820</v>
      </c>
      <c r="C801" s="93" t="s">
        <v>4819</v>
      </c>
      <c r="P801" t="s">
        <v>4821</v>
      </c>
      <c r="R801" s="47"/>
      <c r="S801" s="223" t="s">
        <v>2402</v>
      </c>
      <c r="T801" s="223" t="s">
        <v>2402</v>
      </c>
      <c r="U801" s="47"/>
      <c r="V801" s="47"/>
    </row>
    <row r="802" spans="1:29" customFormat="1" ht="18.75">
      <c r="A802" t="s">
        <v>2703</v>
      </c>
      <c r="B802" t="s">
        <v>4823</v>
      </c>
      <c r="C802" s="93" t="s">
        <v>4824</v>
      </c>
      <c r="E802" t="s">
        <v>4822</v>
      </c>
      <c r="P802" t="s">
        <v>4825</v>
      </c>
      <c r="R802" s="47"/>
      <c r="S802" s="47"/>
      <c r="T802" s="47"/>
      <c r="U802" s="47"/>
      <c r="V802" s="47"/>
    </row>
    <row r="803" spans="1:29" customFormat="1" ht="18.75">
      <c r="A803" t="s">
        <v>2703</v>
      </c>
      <c r="B803" t="s">
        <v>4826</v>
      </c>
      <c r="C803" s="222" t="s">
        <v>4827</v>
      </c>
      <c r="E803" t="s">
        <v>4822</v>
      </c>
      <c r="P803" t="s">
        <v>4828</v>
      </c>
      <c r="R803" s="47"/>
      <c r="S803" s="47"/>
      <c r="T803" s="47"/>
      <c r="U803" s="47"/>
      <c r="V803" s="47"/>
    </row>
    <row r="804" spans="1:29" customFormat="1" ht="18.75">
      <c r="A804" t="s">
        <v>2703</v>
      </c>
      <c r="B804" t="s">
        <v>4830</v>
      </c>
      <c r="C804" s="93" t="s">
        <v>4829</v>
      </c>
      <c r="P804" t="s">
        <v>4831</v>
      </c>
      <c r="R804" s="47"/>
      <c r="S804" s="223" t="s">
        <v>2402</v>
      </c>
      <c r="T804" s="223" t="s">
        <v>2402</v>
      </c>
      <c r="U804" s="47"/>
      <c r="V804" s="47"/>
    </row>
    <row r="805" spans="1:29" customFormat="1" ht="18.75">
      <c r="A805" t="s">
        <v>2703</v>
      </c>
      <c r="B805" t="s">
        <v>4833</v>
      </c>
      <c r="C805" s="93" t="s">
        <v>4832</v>
      </c>
      <c r="E805" t="s">
        <v>4822</v>
      </c>
      <c r="P805" t="s">
        <v>4834</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2"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2684</v>
      </c>
      <c r="D1" s="92" t="s">
        <v>2685</v>
      </c>
      <c r="E1" s="144" t="s">
        <v>3066</v>
      </c>
      <c r="F1" s="30" t="s">
        <v>2393</v>
      </c>
      <c r="G1" s="92" t="s">
        <v>2723</v>
      </c>
      <c r="H1" s="92" t="s">
        <v>2724</v>
      </c>
      <c r="I1" s="92" t="s">
        <v>2713</v>
      </c>
      <c r="J1" s="46" t="s">
        <v>2273</v>
      </c>
      <c r="K1" s="46" t="s">
        <v>2303</v>
      </c>
      <c r="L1" s="46" t="s">
        <v>2276</v>
      </c>
      <c r="M1" s="46" t="s">
        <v>2277</v>
      </c>
      <c r="N1" s="46" t="s">
        <v>2599</v>
      </c>
      <c r="O1" s="46" t="s">
        <v>2719</v>
      </c>
      <c r="P1" s="30" t="s">
        <v>2564</v>
      </c>
      <c r="Q1" s="76" t="s">
        <v>2226</v>
      </c>
      <c r="R1" s="84" t="s">
        <v>2231</v>
      </c>
      <c r="S1" s="84" t="s">
        <v>2562</v>
      </c>
      <c r="T1" s="30" t="s">
        <v>3982</v>
      </c>
      <c r="U1" s="30" t="s">
        <v>3984</v>
      </c>
      <c r="V1" s="30" t="s">
        <v>1458</v>
      </c>
      <c r="W1" s="76" t="s">
        <v>2688</v>
      </c>
      <c r="X1" s="30" t="s">
        <v>2560</v>
      </c>
      <c r="Y1" s="30" t="s">
        <v>2690</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3109</v>
      </c>
      <c r="B5" s="27" t="s">
        <v>575</v>
      </c>
      <c r="C5" s="27"/>
      <c r="D5" s="27"/>
      <c r="E5" s="139">
        <v>23</v>
      </c>
      <c r="F5" s="27"/>
      <c r="G5" s="68"/>
      <c r="H5" s="68"/>
      <c r="I5" s="68"/>
      <c r="P5" s="68"/>
      <c r="T5" s="62"/>
      <c r="U5" s="62"/>
      <c r="V5" s="27" t="s">
        <v>2188</v>
      </c>
      <c r="W5" s="79" t="s">
        <v>1263</v>
      </c>
      <c r="X5" s="68"/>
      <c r="Y5" s="68"/>
      <c r="Z5" s="68"/>
      <c r="AA5" s="68"/>
    </row>
    <row r="6" spans="1:30">
      <c r="A6" s="113" t="s">
        <v>17</v>
      </c>
      <c r="B6" s="61" t="s">
        <v>3194</v>
      </c>
      <c r="C6" s="67"/>
      <c r="D6" s="67"/>
      <c r="E6" s="139">
        <v>15</v>
      </c>
      <c r="F6" s="67"/>
      <c r="G6" s="72"/>
      <c r="H6" s="72"/>
      <c r="I6" s="72"/>
      <c r="P6" s="72"/>
      <c r="R6" s="82"/>
      <c r="S6" s="82"/>
      <c r="T6" s="67"/>
      <c r="U6" s="67"/>
      <c r="V6" s="67"/>
      <c r="W6" s="67"/>
      <c r="X6" s="72"/>
      <c r="Y6" s="72"/>
      <c r="Z6" s="72"/>
      <c r="AA6" s="72"/>
      <c r="AB6" s="71"/>
      <c r="AD6" s="71" t="s">
        <v>3957</v>
      </c>
    </row>
    <row r="7" spans="1:30">
      <c r="A7" s="62" t="s">
        <v>2740</v>
      </c>
      <c r="B7" s="157" t="s">
        <v>2739</v>
      </c>
      <c r="C7" s="187"/>
      <c r="D7" s="187" t="s">
        <v>2661</v>
      </c>
      <c r="F7" s="62"/>
      <c r="K7"/>
      <c r="L7"/>
      <c r="M7"/>
      <c r="N7"/>
      <c r="O7"/>
      <c r="Q7"/>
      <c r="R7" s="47" t="s">
        <v>2558</v>
      </c>
      <c r="S7"/>
      <c r="T7" s="62"/>
      <c r="U7" s="62"/>
      <c r="V7" s="62"/>
      <c r="W7" s="62"/>
    </row>
    <row r="8" spans="1:30" ht="39">
      <c r="A8" s="191" t="s">
        <v>2346</v>
      </c>
      <c r="B8" s="194" t="s">
        <v>2925</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2699</v>
      </c>
      <c r="Q9" s="44" t="s">
        <v>2600</v>
      </c>
      <c r="R9" s="82"/>
      <c r="S9" s="82" t="s">
        <v>2601</v>
      </c>
      <c r="T9" s="50"/>
      <c r="U9" s="50"/>
      <c r="V9" s="50"/>
      <c r="W9" s="50"/>
      <c r="X9" s="73" t="s">
        <v>2598</v>
      </c>
      <c r="Y9" s="73"/>
      <c r="Z9" s="72"/>
      <c r="AA9" s="72"/>
      <c r="AB9" s="71"/>
      <c r="AD9" s="71"/>
    </row>
    <row r="10" spans="1:30">
      <c r="A10" s="193" t="s">
        <v>1214</v>
      </c>
      <c r="B10" s="195" t="s">
        <v>2921</v>
      </c>
      <c r="C10" s="195"/>
      <c r="D10" s="197" t="s">
        <v>2663</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3099</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2715</v>
      </c>
      <c r="C16" s="50" t="s">
        <v>2664</v>
      </c>
      <c r="D16" s="50"/>
      <c r="E16" s="140">
        <v>61</v>
      </c>
      <c r="F16" s="52" t="s">
        <v>2714</v>
      </c>
      <c r="G16" s="7"/>
      <c r="H16" s="7"/>
      <c r="I16" s="7">
        <v>5421</v>
      </c>
      <c r="K16" s="47" t="s">
        <v>2558</v>
      </c>
      <c r="L16" s="47" t="s">
        <v>2558</v>
      </c>
      <c r="M16" s="47" t="s">
        <v>2558</v>
      </c>
      <c r="P16" s="7" t="s">
        <v>2716</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3989</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2748</v>
      </c>
      <c r="B22" s="183" t="s">
        <v>2750</v>
      </c>
      <c r="C22" s="50"/>
      <c r="D22" s="50">
        <v>550</v>
      </c>
      <c r="F22" s="87" t="s">
        <v>2424</v>
      </c>
      <c r="G22" s="7"/>
      <c r="H22" s="7"/>
      <c r="I22" s="7">
        <v>9280</v>
      </c>
      <c r="P22" s="97" t="s">
        <v>2749</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3399</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3957</v>
      </c>
    </row>
    <row r="25" spans="1:30" ht="28.5">
      <c r="A25" s="71" t="s">
        <v>2686</v>
      </c>
      <c r="B25" s="167" t="s">
        <v>2687</v>
      </c>
      <c r="C25" s="72"/>
      <c r="D25" s="72"/>
      <c r="E25" s="139">
        <v>162</v>
      </c>
      <c r="F25" s="71"/>
      <c r="G25" s="72"/>
      <c r="H25" s="72"/>
      <c r="I25" s="72"/>
      <c r="P25" s="72"/>
      <c r="R25" s="82"/>
      <c r="S25" s="82"/>
      <c r="T25" s="72"/>
      <c r="U25" s="72"/>
      <c r="V25" s="72"/>
      <c r="W25" s="72"/>
      <c r="X25" s="72" t="s">
        <v>2689</v>
      </c>
      <c r="Y25" s="72" t="s">
        <v>2691</v>
      </c>
      <c r="Z25" s="72"/>
      <c r="AA25" s="72"/>
      <c r="AB25" s="71"/>
      <c r="AD25" s="71"/>
    </row>
    <row r="26" spans="1:30" s="42" customFormat="1">
      <c r="A26" s="66" t="s">
        <v>3149</v>
      </c>
      <c r="B26" s="61" t="s">
        <v>3150</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2664</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2711</v>
      </c>
      <c r="C31" s="72"/>
      <c r="D31" s="72"/>
      <c r="E31" s="139">
        <v>181</v>
      </c>
      <c r="F31" s="62" t="s">
        <v>2424</v>
      </c>
      <c r="G31" s="7"/>
      <c r="H31" s="7"/>
      <c r="I31" s="7">
        <v>4522</v>
      </c>
      <c r="K31" s="47" t="s">
        <v>2558</v>
      </c>
      <c r="L31" s="47" t="s">
        <v>2558</v>
      </c>
      <c r="P31" s="97" t="s">
        <v>2712</v>
      </c>
      <c r="R31" s="47" t="s">
        <v>2558</v>
      </c>
      <c r="T31" s="72"/>
      <c r="U31" s="72"/>
      <c r="V31" s="72"/>
      <c r="W31" s="72"/>
      <c r="X31" s="7"/>
      <c r="Y31" s="7"/>
      <c r="Z31" s="7"/>
      <c r="AA31" s="7"/>
    </row>
    <row r="32" spans="1:30">
      <c r="A32" s="78" t="s">
        <v>788</v>
      </c>
      <c r="B32" s="157" t="s">
        <v>2760</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2661</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4791</v>
      </c>
      <c r="C34" s="60"/>
      <c r="D34">
        <v>550</v>
      </c>
      <c r="E34" s="139">
        <v>190</v>
      </c>
      <c r="F34" s="67"/>
      <c r="G34" s="73"/>
      <c r="H34" s="73"/>
      <c r="I34" s="73"/>
      <c r="J34"/>
      <c r="K34" s="47"/>
      <c r="L34" s="47"/>
      <c r="M34" s="47"/>
      <c r="N34" s="47"/>
      <c r="O34" s="47"/>
      <c r="P34" s="62"/>
      <c r="Q34" s="200"/>
      <c r="R34" s="200"/>
      <c r="S34" s="200"/>
      <c r="T34" s="55" t="s">
        <v>4791</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3160</v>
      </c>
      <c r="B36" s="57" t="s">
        <v>3085</v>
      </c>
      <c r="C36" s="72"/>
      <c r="D36" s="72"/>
      <c r="E36" s="139">
        <v>204</v>
      </c>
      <c r="F36" s="72"/>
      <c r="G36" s="7"/>
      <c r="H36" s="7"/>
      <c r="I36" s="7"/>
      <c r="J36"/>
      <c r="K36" s="47"/>
      <c r="L36" s="47"/>
      <c r="M36" s="47"/>
      <c r="N36" s="47"/>
      <c r="O36" s="47"/>
      <c r="P36" s="72"/>
      <c r="Q36" s="82"/>
      <c r="R36" s="44"/>
      <c r="S36" s="82"/>
      <c r="T36" s="72"/>
      <c r="U36" s="72"/>
      <c r="V36" s="72" t="s">
        <v>3086</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2757</v>
      </c>
      <c r="B38" s="7"/>
      <c r="C38" s="7"/>
      <c r="D38" s="7"/>
      <c r="E38" s="140"/>
      <c r="F38" s="7"/>
      <c r="G38" s="7"/>
      <c r="H38" s="7"/>
      <c r="I38" s="7"/>
      <c r="J38"/>
      <c r="K38" s="47"/>
      <c r="L38" s="47"/>
      <c r="M38" s="47"/>
      <c r="N38" s="47"/>
      <c r="O38" s="47"/>
      <c r="P38" s="7"/>
      <c r="Q38" s="44"/>
      <c r="R38" s="47" t="s">
        <v>2558</v>
      </c>
      <c r="S38" s="44"/>
      <c r="T38" s="7"/>
      <c r="U38" s="7"/>
      <c r="V38" s="7"/>
      <c r="W38" s="7"/>
      <c r="X38" s="57" t="s">
        <v>2758</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2754</v>
      </c>
      <c r="B40" s="73" t="s">
        <v>2755</v>
      </c>
      <c r="C40" s="72" t="s">
        <v>2664</v>
      </c>
      <c r="D40" s="72"/>
      <c r="E40" s="139">
        <v>255</v>
      </c>
      <c r="F40" s="72"/>
      <c r="G40" s="7"/>
      <c r="H40" s="7"/>
      <c r="I40" s="7"/>
      <c r="J40"/>
      <c r="K40" s="47"/>
      <c r="L40" s="47"/>
      <c r="M40" s="47"/>
      <c r="N40" s="47"/>
      <c r="O40" s="47"/>
      <c r="P40" s="7"/>
      <c r="Q40" s="44"/>
      <c r="R40" s="47" t="s">
        <v>2558</v>
      </c>
      <c r="S40" s="44"/>
      <c r="T40" s="72"/>
      <c r="U40" s="72"/>
      <c r="V40" s="72"/>
      <c r="W40" s="72"/>
      <c r="X40" s="57" t="s">
        <v>2756</v>
      </c>
      <c r="Y40" s="7"/>
      <c r="Z40" s="7"/>
      <c r="AA40" s="7"/>
      <c r="AB40"/>
      <c r="AC40"/>
      <c r="AD40"/>
    </row>
    <row r="41" spans="1:30" s="42" customFormat="1">
      <c r="A41" s="136" t="s">
        <v>2342</v>
      </c>
      <c r="B41" s="145" t="s">
        <v>2923</v>
      </c>
      <c r="C41" s="145"/>
      <c r="D41" s="108" t="s">
        <v>2661</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2752</v>
      </c>
      <c r="B42" s="73" t="s">
        <v>2751</v>
      </c>
      <c r="C42" s="186"/>
      <c r="D42" s="186" t="s">
        <v>2663</v>
      </c>
      <c r="E42" s="140"/>
      <c r="F42" s="72"/>
      <c r="G42" s="7"/>
      <c r="H42" s="7"/>
      <c r="I42" s="7"/>
      <c r="J42"/>
      <c r="K42" s="47"/>
      <c r="L42" s="47"/>
      <c r="M42" s="47"/>
      <c r="N42" s="47"/>
      <c r="O42" s="47"/>
      <c r="P42" s="7"/>
      <c r="Q42" s="44"/>
      <c r="R42" s="47" t="s">
        <v>2558</v>
      </c>
      <c r="S42" s="44"/>
      <c r="T42" s="7"/>
      <c r="U42" s="7"/>
      <c r="V42" s="72"/>
      <c r="W42" s="72"/>
      <c r="X42" s="57" t="s">
        <v>2753</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4800</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3128</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2722</v>
      </c>
      <c r="B49" s="7" t="s">
        <v>2725</v>
      </c>
      <c r="C49" s="7"/>
      <c r="D49" s="7"/>
      <c r="E49" s="139">
        <v>280</v>
      </c>
      <c r="F49" s="96" t="s">
        <v>2424</v>
      </c>
      <c r="G49" s="47" t="s">
        <v>2558</v>
      </c>
      <c r="H49" s="7"/>
      <c r="I49">
        <v>1600</v>
      </c>
      <c r="J49" s="47" t="s">
        <v>2558</v>
      </c>
      <c r="K49" s="47"/>
      <c r="L49" s="47"/>
      <c r="M49" s="47"/>
      <c r="N49" s="47"/>
      <c r="O49" s="47"/>
      <c r="P49" s="99" t="s">
        <v>2726</v>
      </c>
      <c r="Q49" s="44"/>
      <c r="R49" s="47" t="s">
        <v>2558</v>
      </c>
      <c r="S49" s="44"/>
      <c r="T49" s="7"/>
      <c r="U49" s="7"/>
      <c r="V49" s="7"/>
      <c r="W49" s="7"/>
      <c r="X49" s="7"/>
      <c r="Y49" s="7"/>
      <c r="Z49" s="7"/>
      <c r="AA49" s="7"/>
      <c r="AB49"/>
      <c r="AC49"/>
      <c r="AD49"/>
    </row>
    <row r="50" spans="1:30" s="42" customFormat="1" ht="114">
      <c r="A50" s="181" t="s">
        <v>2727</v>
      </c>
      <c r="B50" s="73" t="s">
        <v>2730</v>
      </c>
      <c r="C50" s="72"/>
      <c r="D50" s="72">
        <v>550</v>
      </c>
      <c r="E50" s="139"/>
      <c r="F50" s="87" t="s">
        <v>2729</v>
      </c>
      <c r="G50" s="7"/>
      <c r="H50" s="7"/>
      <c r="I50" s="7">
        <v>975</v>
      </c>
      <c r="J50"/>
      <c r="K50" s="47"/>
      <c r="L50" s="47"/>
      <c r="M50" s="47"/>
      <c r="N50" s="47"/>
      <c r="O50" s="47"/>
      <c r="P50" s="97" t="s">
        <v>2728</v>
      </c>
      <c r="Q50" s="44"/>
      <c r="R50" s="47" t="s">
        <v>2558</v>
      </c>
      <c r="S50" s="44"/>
      <c r="T50" s="7"/>
      <c r="U50" s="7"/>
      <c r="V50" s="72"/>
      <c r="W50" s="72"/>
      <c r="X50" s="7"/>
      <c r="Y50" s="7"/>
      <c r="Z50" s="7"/>
      <c r="AA50" s="7"/>
      <c r="AB50"/>
      <c r="AC50"/>
      <c r="AD50"/>
    </row>
    <row r="51" spans="1:30" s="42" customFormat="1">
      <c r="A51" s="100" t="s">
        <v>2735</v>
      </c>
      <c r="B51" s="167" t="s">
        <v>2734</v>
      </c>
      <c r="C51" s="72"/>
      <c r="D51" s="72"/>
      <c r="E51" s="139">
        <v>289</v>
      </c>
      <c r="F51" s="72"/>
      <c r="G51" s="72"/>
      <c r="H51" s="72"/>
      <c r="I51" s="72"/>
      <c r="J51"/>
      <c r="K51" s="47"/>
      <c r="L51" s="47"/>
      <c r="M51" s="47"/>
      <c r="N51" s="47"/>
      <c r="O51" s="47"/>
      <c r="P51" s="72"/>
      <c r="Q51" s="44"/>
      <c r="R51" s="82"/>
      <c r="S51" s="82"/>
      <c r="T51" s="72"/>
      <c r="U51" s="72"/>
      <c r="V51" s="72"/>
      <c r="W51" s="72"/>
      <c r="X51" s="55" t="s">
        <v>2736</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2703</v>
      </c>
      <c r="B54" s="57" t="s">
        <v>2705</v>
      </c>
      <c r="C54" s="101"/>
      <c r="D54" s="101" t="s">
        <v>2666</v>
      </c>
      <c r="E54" s="139"/>
      <c r="F54" s="96" t="s">
        <v>2704</v>
      </c>
      <c r="G54" s="7"/>
      <c r="H54" s="7"/>
      <c r="I54" s="7">
        <v>1796</v>
      </c>
      <c r="J54" s="47" t="s">
        <v>2558</v>
      </c>
      <c r="K54" s="47" t="s">
        <v>2558</v>
      </c>
      <c r="L54" s="47" t="s">
        <v>2558</v>
      </c>
      <c r="M54" s="47"/>
      <c r="N54" s="47"/>
      <c r="O54" s="47"/>
      <c r="P54" s="97" t="s">
        <v>2706</v>
      </c>
      <c r="Q54" s="44"/>
      <c r="R54" s="47" t="s">
        <v>2558</v>
      </c>
      <c r="S54" s="44"/>
      <c r="T54" s="7"/>
      <c r="U54" s="7"/>
      <c r="V54" s="7"/>
      <c r="W54" s="7"/>
      <c r="X54" s="7"/>
      <c r="Y54" s="7"/>
      <c r="Z54" s="7"/>
      <c r="AA54" s="7"/>
      <c r="AB54"/>
      <c r="AC54"/>
      <c r="AD54"/>
    </row>
    <row r="55" spans="1:30" s="42" customFormat="1">
      <c r="A55" s="82" t="s">
        <v>680</v>
      </c>
      <c r="B55" s="82" t="s">
        <v>682</v>
      </c>
      <c r="C55" s="71" t="s">
        <v>2664</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2743</v>
      </c>
      <c r="B59" s="73" t="s">
        <v>2746</v>
      </c>
      <c r="C59" s="7"/>
      <c r="D59" s="7"/>
      <c r="E59" s="139">
        <v>374</v>
      </c>
      <c r="F59" s="181" t="s">
        <v>2745</v>
      </c>
      <c r="G59" s="7"/>
      <c r="H59" s="7"/>
      <c r="I59" s="7">
        <v>1304</v>
      </c>
      <c r="P59" s="97" t="s">
        <v>2744</v>
      </c>
      <c r="R59" s="47" t="s">
        <v>2558</v>
      </c>
      <c r="T59" s="7"/>
      <c r="U59" s="7"/>
      <c r="V59" s="7"/>
      <c r="W59" s="7"/>
      <c r="X59" s="7"/>
      <c r="Y59" s="7"/>
      <c r="Z59" s="7"/>
      <c r="AA59" s="7"/>
    </row>
    <row r="60" spans="1:30" ht="87.75">
      <c r="A60" s="94" t="s">
        <v>2696</v>
      </c>
      <c r="B60" s="57" t="s">
        <v>2697</v>
      </c>
      <c r="C60" s="7"/>
      <c r="D60" s="7"/>
      <c r="E60" s="139">
        <v>376</v>
      </c>
      <c r="F60" s="96" t="s">
        <v>2424</v>
      </c>
      <c r="G60" s="7"/>
      <c r="H60" s="7"/>
      <c r="I60" s="7">
        <v>10634</v>
      </c>
      <c r="K60" s="47" t="s">
        <v>2558</v>
      </c>
      <c r="L60" s="47" t="s">
        <v>2558</v>
      </c>
      <c r="P60" s="97" t="s">
        <v>2698</v>
      </c>
      <c r="R60" s="47" t="s">
        <v>2558</v>
      </c>
      <c r="T60" s="7"/>
      <c r="U60" s="7"/>
      <c r="V60" s="7"/>
      <c r="W60" s="7"/>
      <c r="X60" s="7"/>
      <c r="Y60" s="7"/>
      <c r="Z60" s="7"/>
      <c r="AA60" s="7"/>
    </row>
    <row r="61" spans="1:30">
      <c r="A61" s="115" t="s">
        <v>1559</v>
      </c>
      <c r="B61" s="145" t="s">
        <v>2926</v>
      </c>
      <c r="C61" s="145"/>
      <c r="D61" s="108" t="s">
        <v>2663</v>
      </c>
      <c r="E61" s="108"/>
      <c r="F61" s="72"/>
      <c r="G61" s="7"/>
      <c r="H61" s="7"/>
      <c r="I61" s="7"/>
      <c r="P61" s="7"/>
      <c r="T61" s="7"/>
      <c r="U61" s="7"/>
      <c r="V61" s="7"/>
      <c r="W61" s="7"/>
      <c r="X61" s="7"/>
      <c r="Y61" s="7"/>
      <c r="Z61" s="7"/>
      <c r="AA61" s="7"/>
    </row>
    <row r="62" spans="1:30" ht="66">
      <c r="A62" s="98" t="s">
        <v>2717</v>
      </c>
      <c r="B62" s="57" t="s">
        <v>2720</v>
      </c>
      <c r="C62" s="7" t="s">
        <v>2759</v>
      </c>
      <c r="D62" s="7"/>
      <c r="E62" s="139">
        <v>414</v>
      </c>
      <c r="F62" s="96" t="s">
        <v>2718</v>
      </c>
      <c r="G62" s="7"/>
      <c r="H62" s="7"/>
      <c r="I62" s="7">
        <v>3662</v>
      </c>
      <c r="K62" s="47" t="s">
        <v>2558</v>
      </c>
      <c r="L62" s="47" t="s">
        <v>2558</v>
      </c>
      <c r="M62" s="47" t="s">
        <v>2558</v>
      </c>
      <c r="N62" s="47" t="s">
        <v>2558</v>
      </c>
      <c r="O62" s="47" t="s">
        <v>2558</v>
      </c>
      <c r="P62" s="99" t="s">
        <v>2721</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2694</v>
      </c>
      <c r="B65" s="55" t="s">
        <v>2693</v>
      </c>
      <c r="C65" s="7"/>
      <c r="D65" s="7"/>
      <c r="E65" s="139">
        <v>425</v>
      </c>
      <c r="F65" s="7"/>
      <c r="G65" s="7"/>
      <c r="H65" s="7"/>
      <c r="I65" s="7"/>
      <c r="P65" s="7"/>
      <c r="T65" s="7"/>
      <c r="U65" s="7"/>
      <c r="V65" s="7"/>
      <c r="W65" s="7"/>
      <c r="X65" s="57" t="s">
        <v>2692</v>
      </c>
      <c r="Y65" s="7"/>
      <c r="Z65" s="7"/>
      <c r="AA65" s="7"/>
    </row>
    <row r="66" spans="1:30" ht="99.75">
      <c r="A66" s="94" t="s">
        <v>2738</v>
      </c>
      <c r="B66" s="57" t="s">
        <v>2742</v>
      </c>
      <c r="C66" s="7"/>
      <c r="D66" s="7"/>
      <c r="E66" s="171">
        <v>430</v>
      </c>
      <c r="F66" s="96" t="s">
        <v>2729</v>
      </c>
      <c r="G66" s="7"/>
      <c r="H66" s="7"/>
      <c r="I66" s="7">
        <v>8530</v>
      </c>
      <c r="P66" s="97" t="s">
        <v>2741</v>
      </c>
      <c r="R66" s="47" t="s">
        <v>2558</v>
      </c>
      <c r="T66" s="7"/>
      <c r="U66" s="7"/>
      <c r="V66" s="7"/>
      <c r="W66" s="7"/>
      <c r="X66" s="7"/>
      <c r="Y66" s="7"/>
      <c r="Z66" s="7"/>
      <c r="AA66" s="7"/>
    </row>
    <row r="67" spans="1:30" ht="18.75">
      <c r="A67" s="99" t="s">
        <v>3094</v>
      </c>
      <c r="B67" s="7"/>
      <c r="C67" s="7"/>
      <c r="D67" s="7"/>
      <c r="E67" s="140"/>
      <c r="F67" s="7"/>
      <c r="G67" s="7"/>
      <c r="H67" s="7"/>
      <c r="I67" s="7"/>
      <c r="P67" s="7"/>
      <c r="T67" s="7"/>
      <c r="U67" s="7"/>
      <c r="V67" s="7"/>
      <c r="W67" s="99" t="s">
        <v>3067</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2731</v>
      </c>
      <c r="B70" s="73" t="s">
        <v>2733</v>
      </c>
      <c r="C70" s="75"/>
      <c r="D70" s="75" t="s">
        <v>2761</v>
      </c>
      <c r="F70" s="87" t="s">
        <v>2345</v>
      </c>
      <c r="G70" s="7"/>
      <c r="H70" s="7"/>
      <c r="I70" s="7">
        <v>2900</v>
      </c>
      <c r="P70" s="97" t="s">
        <v>2732</v>
      </c>
      <c r="R70" s="47" t="s">
        <v>2558</v>
      </c>
      <c r="T70" s="72"/>
      <c r="U70" s="72"/>
      <c r="V70" s="72"/>
      <c r="W70" s="72"/>
      <c r="X70" s="7"/>
      <c r="Y70" s="7"/>
      <c r="Z70" s="7"/>
      <c r="AA70" s="7"/>
    </row>
    <row r="71" spans="1:30" ht="85.5">
      <c r="A71" s="98" t="s">
        <v>2700</v>
      </c>
      <c r="B71" s="57" t="s">
        <v>2701</v>
      </c>
      <c r="C71" s="7"/>
      <c r="D71" s="7"/>
      <c r="E71" s="140">
        <v>446</v>
      </c>
      <c r="F71" s="96" t="s">
        <v>2417</v>
      </c>
      <c r="G71" s="7"/>
      <c r="H71" s="7"/>
      <c r="I71" s="7">
        <v>10811</v>
      </c>
      <c r="K71" s="47" t="s">
        <v>2558</v>
      </c>
      <c r="L71" s="47" t="s">
        <v>2558</v>
      </c>
      <c r="P71" s="97" t="s">
        <v>2702</v>
      </c>
      <c r="R71" s="47" t="s">
        <v>2558</v>
      </c>
      <c r="T71" s="7"/>
      <c r="U71" s="7"/>
      <c r="V71" s="7"/>
      <c r="W71" s="7"/>
      <c r="X71" s="7" t="s">
        <v>2737</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2695</v>
      </c>
      <c r="Q73" s="44" t="s">
        <v>2561</v>
      </c>
      <c r="R73" s="47" t="s">
        <v>2558</v>
      </c>
      <c r="S73" s="85" t="s">
        <v>2563</v>
      </c>
      <c r="T73" s="71"/>
      <c r="U73" s="71"/>
      <c r="V73" s="72"/>
      <c r="W73" s="87" t="s">
        <v>2281</v>
      </c>
      <c r="X73" s="73" t="s">
        <v>2559</v>
      </c>
      <c r="Y73" s="73"/>
      <c r="Z73" s="72"/>
      <c r="AA73" s="72"/>
      <c r="AC73" s="90">
        <v>43825</v>
      </c>
    </row>
    <row r="74" spans="1:30">
      <c r="A74" s="124" t="s">
        <v>1234</v>
      </c>
      <c r="B74" s="145" t="s">
        <v>2924</v>
      </c>
      <c r="C74" s="145"/>
      <c r="D74" s="108" t="s">
        <v>2663</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2922</v>
      </c>
      <c r="C77" s="145"/>
      <c r="D77" s="108" t="s">
        <v>2663</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2763</v>
      </c>
      <c r="D79" s="7"/>
      <c r="E79" s="139">
        <v>486</v>
      </c>
      <c r="F79" s="54"/>
      <c r="G79" s="7"/>
      <c r="H79" s="7"/>
      <c r="I79" s="7"/>
      <c r="P79" s="7"/>
      <c r="T79" s="7"/>
      <c r="U79" s="7"/>
      <c r="V79" s="7"/>
      <c r="W79" s="7"/>
      <c r="X79" s="7"/>
      <c r="Y79" s="7"/>
      <c r="Z79" s="7"/>
      <c r="AA79" s="7"/>
    </row>
    <row r="80" spans="1:30" ht="85.5">
      <c r="A80" t="s">
        <v>2707</v>
      </c>
      <c r="B80" s="7" t="s">
        <v>2709</v>
      </c>
      <c r="C80" s="7"/>
      <c r="D80" s="7"/>
      <c r="E80" s="139">
        <v>487</v>
      </c>
      <c r="F80" t="s">
        <v>2708</v>
      </c>
      <c r="G80" s="7"/>
      <c r="H80" s="7"/>
      <c r="I80">
        <v>345</v>
      </c>
      <c r="K80" s="47" t="s">
        <v>2558</v>
      </c>
      <c r="L80" s="47" t="s">
        <v>2558</v>
      </c>
      <c r="P80" s="97" t="s">
        <v>2710</v>
      </c>
      <c r="R80" s="47" t="s">
        <v>2558</v>
      </c>
      <c r="T80" s="7"/>
      <c r="U80" s="7"/>
      <c r="V80" s="7"/>
      <c r="W80" s="7"/>
      <c r="X80" s="7"/>
      <c r="Y80" s="7"/>
      <c r="Z80" s="7"/>
      <c r="AA80" s="7"/>
    </row>
    <row r="81" spans="1:30">
      <c r="A81" s="72"/>
      <c r="B81" s="55" t="s">
        <v>2676</v>
      </c>
      <c r="C81" s="87"/>
      <c r="D81" s="87" t="s">
        <v>2666</v>
      </c>
      <c r="F81" s="72"/>
      <c r="G81" s="87"/>
      <c r="H81" s="87"/>
      <c r="I81" s="87"/>
      <c r="P81" s="72"/>
      <c r="R81" s="82"/>
      <c r="S81" s="82"/>
      <c r="T81" s="72"/>
      <c r="U81" s="72"/>
      <c r="V81" s="72"/>
      <c r="W81" s="72"/>
      <c r="X81" s="72"/>
      <c r="Y81" s="72"/>
      <c r="Z81" s="72"/>
      <c r="AA81" s="72"/>
      <c r="AB81" s="71"/>
      <c r="AD81" s="71"/>
    </row>
    <row r="82" spans="1:30" ht="18.75">
      <c r="A82" s="75" t="s">
        <v>3981</v>
      </c>
      <c r="B82" s="55" t="s">
        <v>2574</v>
      </c>
      <c r="C82" s="72"/>
      <c r="D82" s="72"/>
      <c r="E82" s="141">
        <v>421</v>
      </c>
      <c r="F82" s="72"/>
      <c r="G82" s="72"/>
      <c r="H82" s="72"/>
      <c r="I82" s="72"/>
      <c r="P82" s="72"/>
      <c r="R82" s="82"/>
      <c r="S82" s="82"/>
      <c r="T82" s="55" t="s">
        <v>3983</v>
      </c>
      <c r="U82" s="55" t="s">
        <v>3985</v>
      </c>
      <c r="V82" s="72" t="s">
        <v>3986</v>
      </c>
      <c r="W82" s="72"/>
      <c r="X82" s="72" t="s">
        <v>3987</v>
      </c>
      <c r="Y82" s="72"/>
      <c r="Z82" s="72"/>
      <c r="AA82" s="72"/>
      <c r="AB82" s="71"/>
      <c r="AD82" s="71" t="s">
        <v>3957</v>
      </c>
    </row>
    <row r="83" spans="1:30">
      <c r="A83" s="72" t="s">
        <v>2614</v>
      </c>
      <c r="B83" s="55" t="s">
        <v>3988</v>
      </c>
      <c r="C83" s="75" t="s">
        <v>3989</v>
      </c>
      <c r="D83" s="72"/>
      <c r="E83" s="139">
        <v>520</v>
      </c>
      <c r="F83" s="72"/>
      <c r="G83" s="72"/>
      <c r="H83" s="72"/>
      <c r="I83" s="72"/>
      <c r="P83" s="72"/>
      <c r="R83" s="82"/>
      <c r="S83" s="82"/>
      <c r="T83" s="72"/>
      <c r="U83" s="72"/>
      <c r="V83" s="72"/>
      <c r="W83" s="72"/>
      <c r="X83" s="72"/>
      <c r="Y83" s="72"/>
      <c r="Z83" s="72"/>
      <c r="AA83" s="72"/>
      <c r="AB83" s="71"/>
      <c r="AD83" s="71" t="s">
        <v>3957</v>
      </c>
    </row>
    <row r="84" spans="1:30">
      <c r="A84" s="124" t="s">
        <v>842</v>
      </c>
      <c r="B84" s="145" t="s">
        <v>843</v>
      </c>
      <c r="C84" s="108" t="s">
        <v>2664</v>
      </c>
      <c r="E84" s="141">
        <v>343</v>
      </c>
      <c r="F84" s="72"/>
      <c r="G84" s="72"/>
      <c r="H84" s="72"/>
      <c r="I84" s="72"/>
      <c r="P84" s="72"/>
      <c r="R84" s="82"/>
      <c r="S84" s="82"/>
      <c r="T84" s="72"/>
      <c r="U84" s="72"/>
      <c r="V84" s="72"/>
      <c r="W84" s="72"/>
      <c r="X84" s="72"/>
      <c r="Y84" s="72"/>
      <c r="Z84" s="72"/>
      <c r="AA84" s="72"/>
      <c r="AB84" s="71"/>
      <c r="AD84" s="71" t="s">
        <v>3957</v>
      </c>
    </row>
    <row r="85" spans="1:30">
      <c r="A85" s="99" t="s">
        <v>3991</v>
      </c>
      <c r="B85" s="7"/>
      <c r="C85" s="7"/>
      <c r="D85" s="7"/>
      <c r="F85" s="7"/>
      <c r="G85" s="7"/>
      <c r="H85" s="7"/>
      <c r="I85" s="7"/>
      <c r="P85" s="7"/>
      <c r="T85" s="7"/>
      <c r="U85" s="7"/>
      <c r="V85" s="7"/>
      <c r="W85" s="7"/>
      <c r="X85" s="7"/>
      <c r="Y85" s="7"/>
      <c r="Z85" s="7"/>
      <c r="AA85" s="7"/>
      <c r="AD85" t="s">
        <v>3957</v>
      </c>
    </row>
    <row r="86" spans="1:30">
      <c r="A86" s="99" t="s">
        <v>3992</v>
      </c>
      <c r="B86" s="57" t="s">
        <v>3993</v>
      </c>
      <c r="C86" s="7"/>
      <c r="D86" s="7"/>
      <c r="E86" s="139">
        <v>521</v>
      </c>
      <c r="F86" s="7"/>
      <c r="G86" s="7"/>
      <c r="H86" s="7"/>
      <c r="I86" s="7"/>
      <c r="P86" s="7"/>
      <c r="T86" s="7"/>
      <c r="U86" s="7"/>
      <c r="V86" s="7"/>
      <c r="W86" s="7"/>
      <c r="X86" s="7"/>
      <c r="Y86" s="7"/>
      <c r="Z86" s="7"/>
      <c r="AA86" s="7"/>
      <c r="AD86" t="s">
        <v>3957</v>
      </c>
    </row>
    <row r="87" spans="1:30">
      <c r="A87" s="99" t="s">
        <v>3994</v>
      </c>
      <c r="B87" s="57" t="s">
        <v>3995</v>
      </c>
      <c r="C87" s="7"/>
      <c r="D87" s="96" t="s">
        <v>2661</v>
      </c>
      <c r="E87" s="139">
        <v>534</v>
      </c>
      <c r="F87" s="7"/>
      <c r="G87" s="7"/>
      <c r="H87" s="7"/>
      <c r="I87" s="7"/>
      <c r="P87" s="7"/>
      <c r="T87" s="7"/>
      <c r="U87" s="7"/>
      <c r="V87" s="7"/>
      <c r="W87" s="7"/>
      <c r="X87" s="7"/>
      <c r="Y87" s="7"/>
      <c r="Z87" s="7"/>
      <c r="AA87" s="7"/>
      <c r="AD87" t="s">
        <v>3957</v>
      </c>
    </row>
    <row r="88" spans="1:30">
      <c r="A88" s="99" t="s">
        <v>3678</v>
      </c>
      <c r="B88" s="57" t="s">
        <v>2876</v>
      </c>
      <c r="C88" s="7"/>
      <c r="D88" s="7"/>
      <c r="E88" s="139">
        <v>347</v>
      </c>
      <c r="F88" s="7"/>
      <c r="G88" s="7"/>
      <c r="H88" s="7"/>
      <c r="I88" s="7"/>
      <c r="P88" s="7"/>
      <c r="T88" s="7"/>
      <c r="U88" s="7"/>
      <c r="V88" s="7"/>
      <c r="W88" s="7"/>
      <c r="X88" s="7"/>
      <c r="Y88" s="7"/>
      <c r="Z88" s="7"/>
      <c r="AA88" s="7"/>
      <c r="AD88" t="s">
        <v>3957</v>
      </c>
    </row>
    <row r="89" spans="1:30">
      <c r="A89" s="99" t="s">
        <v>3996</v>
      </c>
      <c r="B89" s="57" t="s">
        <v>3997</v>
      </c>
      <c r="C89" s="7"/>
      <c r="D89" s="7">
        <v>550</v>
      </c>
      <c r="E89" s="139">
        <v>535</v>
      </c>
      <c r="F89" s="7"/>
      <c r="G89" s="7"/>
      <c r="H89" s="7"/>
      <c r="I89" s="7"/>
      <c r="P89" s="7"/>
      <c r="T89" s="7"/>
      <c r="U89" s="7"/>
      <c r="V89" s="7"/>
      <c r="W89" s="7"/>
      <c r="X89" s="7"/>
      <c r="Y89" s="7"/>
      <c r="Z89" s="7"/>
      <c r="AA89" s="7"/>
      <c r="AD89" t="s">
        <v>3957</v>
      </c>
    </row>
    <row r="90" spans="1:30">
      <c r="A90" s="7" t="s">
        <v>3998</v>
      </c>
      <c r="B90" s="57" t="s">
        <v>3999</v>
      </c>
      <c r="C90" s="7"/>
      <c r="D90" s="108" t="s">
        <v>2666</v>
      </c>
      <c r="F90" s="7"/>
      <c r="G90" s="7"/>
      <c r="H90" s="7"/>
      <c r="I90" s="7"/>
      <c r="P90" s="7"/>
      <c r="T90" s="7"/>
      <c r="U90" s="7"/>
      <c r="V90" s="7"/>
      <c r="W90" s="7"/>
      <c r="X90" s="7"/>
      <c r="Y90" s="7"/>
      <c r="Z90" s="7"/>
      <c r="AA90" s="7"/>
      <c r="AD90" t="s">
        <v>3957</v>
      </c>
    </row>
    <row r="91" spans="1:30">
      <c r="A91" s="99" t="s">
        <v>3672</v>
      </c>
      <c r="B91" s="57" t="s">
        <v>2877</v>
      </c>
      <c r="C91" s="7"/>
      <c r="D91" s="7"/>
      <c r="E91" s="139">
        <v>343</v>
      </c>
      <c r="F91" s="7"/>
      <c r="G91" s="7"/>
      <c r="H91" s="7"/>
      <c r="I91" s="7"/>
      <c r="P91" s="7"/>
      <c r="T91" s="7"/>
      <c r="U91" s="7"/>
      <c r="V91" s="7"/>
      <c r="W91" s="7"/>
      <c r="X91" s="7"/>
      <c r="Y91" s="7"/>
      <c r="Z91" s="7"/>
      <c r="AA91" s="7"/>
      <c r="AD91" t="s">
        <v>3957</v>
      </c>
    </row>
    <row r="92" spans="1:30">
      <c r="A92" s="99" t="s">
        <v>4000</v>
      </c>
      <c r="B92" s="57" t="s">
        <v>4001</v>
      </c>
      <c r="C92" s="7"/>
      <c r="D92" s="7">
        <v>501</v>
      </c>
      <c r="F92" s="7"/>
      <c r="G92" s="7"/>
      <c r="H92" s="7"/>
      <c r="I92" s="7"/>
      <c r="P92" s="7"/>
      <c r="T92" s="7"/>
      <c r="U92" s="7"/>
      <c r="V92" s="7"/>
      <c r="W92" s="7"/>
      <c r="X92" s="7"/>
      <c r="Y92" s="7"/>
      <c r="Z92" s="7"/>
      <c r="AA92" s="7"/>
    </row>
    <row r="93" spans="1:30">
      <c r="A93" s="99" t="s">
        <v>4002</v>
      </c>
      <c r="B93" s="93" t="s">
        <v>4003</v>
      </c>
      <c r="C93" s="7"/>
      <c r="D93" s="97" t="s">
        <v>4724</v>
      </c>
      <c r="F93" s="7"/>
      <c r="G93" s="7"/>
      <c r="H93" s="7"/>
      <c r="I93" s="7"/>
      <c r="P93" s="7"/>
      <c r="T93" s="7"/>
      <c r="U93" s="7"/>
      <c r="V93" s="7"/>
      <c r="W93" s="7"/>
      <c r="X93" s="7"/>
      <c r="Y93" s="7"/>
      <c r="Z93" s="7"/>
      <c r="AA93" s="7"/>
    </row>
    <row r="94" spans="1:30">
      <c r="A94" s="88" t="s">
        <v>1243</v>
      </c>
      <c r="B94" s="88" t="s">
        <v>1163</v>
      </c>
      <c r="C94" s="7"/>
      <c r="D94" s="97" t="s">
        <v>4724</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4726</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4724</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4724</v>
      </c>
      <c r="F102" s="7"/>
      <c r="G102" s="7"/>
      <c r="H102" s="7"/>
      <c r="I102" s="7"/>
      <c r="P102" s="7"/>
      <c r="T102" s="7"/>
      <c r="U102" s="7"/>
      <c r="V102" s="7"/>
      <c r="W102" s="7"/>
      <c r="X102" s="7"/>
      <c r="Y102" s="7"/>
      <c r="Z102" s="7"/>
      <c r="AA102" s="7"/>
    </row>
    <row r="103" spans="1:27">
      <c r="A103" s="88" t="s">
        <v>1249</v>
      </c>
      <c r="B103" s="88" t="s">
        <v>1166</v>
      </c>
      <c r="C103" s="7"/>
      <c r="D103" s="96" t="s">
        <v>2666</v>
      </c>
      <c r="F103" s="7"/>
      <c r="G103" s="7"/>
      <c r="H103" s="7"/>
      <c r="I103" s="7"/>
      <c r="P103" s="7"/>
      <c r="T103" s="7"/>
      <c r="U103" s="7"/>
      <c r="V103" s="7"/>
      <c r="W103" s="7"/>
      <c r="X103" s="7"/>
      <c r="Y103" s="7"/>
      <c r="Z103" s="7"/>
      <c r="AA103" s="7"/>
    </row>
    <row r="104" spans="1:27">
      <c r="A104" s="88" t="s">
        <v>1250</v>
      </c>
      <c r="B104" s="88" t="s">
        <v>1167</v>
      </c>
      <c r="C104" s="7"/>
      <c r="D104" s="96" t="s">
        <v>2666</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2666</v>
      </c>
      <c r="F106" s="7"/>
      <c r="G106" s="7"/>
      <c r="H106" s="7"/>
      <c r="I106" s="7"/>
      <c r="P106" s="7"/>
      <c r="T106" s="7"/>
      <c r="U106" s="7"/>
      <c r="V106" s="7"/>
      <c r="W106" s="7"/>
      <c r="X106" s="7"/>
      <c r="Y106" s="7"/>
      <c r="Z106" s="7"/>
      <c r="AA106" s="7"/>
    </row>
    <row r="107" spans="1:27">
      <c r="A107" s="88" t="s">
        <v>1253</v>
      </c>
      <c r="B107" s="88" t="s">
        <v>1169</v>
      </c>
      <c r="C107" s="7"/>
      <c r="D107" s="96" t="s">
        <v>2666</v>
      </c>
      <c r="F107" s="7"/>
      <c r="G107" s="7"/>
      <c r="H107" s="7"/>
      <c r="I107" s="7"/>
      <c r="P107" s="7"/>
      <c r="T107" s="7"/>
      <c r="U107" s="7"/>
      <c r="V107" s="7"/>
      <c r="W107" s="7"/>
      <c r="X107" s="7"/>
      <c r="Y107" s="7"/>
      <c r="Z107" s="7"/>
      <c r="AA107" s="7"/>
    </row>
    <row r="108" spans="1:27">
      <c r="A108" s="88" t="s">
        <v>1254</v>
      </c>
      <c r="B108" s="88" t="s">
        <v>1170</v>
      </c>
      <c r="C108" s="7"/>
      <c r="D108" s="96" t="s">
        <v>2666</v>
      </c>
      <c r="E108" s="139">
        <v>537</v>
      </c>
      <c r="F108" s="7"/>
      <c r="G108" s="7"/>
      <c r="H108" s="7"/>
      <c r="I108" s="7"/>
      <c r="P108" s="7"/>
      <c r="T108" s="7"/>
      <c r="U108" s="7"/>
      <c r="V108" s="7"/>
      <c r="W108" s="7"/>
      <c r="X108" s="7"/>
      <c r="Y108" s="7"/>
      <c r="Z108" s="7"/>
      <c r="AA108" s="7"/>
    </row>
    <row r="109" spans="1:27">
      <c r="A109" s="88" t="s">
        <v>1253</v>
      </c>
      <c r="B109" s="88" t="s">
        <v>1171</v>
      </c>
      <c r="C109" s="7"/>
      <c r="D109" s="96" t="s">
        <v>2661</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4774</v>
      </c>
      <c r="B113" s="55" t="s">
        <v>4788</v>
      </c>
      <c r="C113" s="7"/>
      <c r="D113" s="7"/>
      <c r="F113" s="7"/>
      <c r="G113" s="7"/>
      <c r="H113" s="7"/>
      <c r="I113" s="7"/>
      <c r="P113" s="7"/>
      <c r="T113" s="7"/>
      <c r="U113" s="7"/>
      <c r="V113" s="7"/>
      <c r="W113" s="7"/>
      <c r="X113" s="7"/>
      <c r="Y113" s="7"/>
      <c r="Z113" s="7"/>
      <c r="AA113" s="7"/>
    </row>
    <row r="114" spans="1:27">
      <c r="A114" s="189" t="s">
        <v>4783</v>
      </c>
      <c r="B114" s="7"/>
      <c r="C114" s="7"/>
      <c r="D114" s="7"/>
      <c r="F114" s="7"/>
      <c r="G114" s="7"/>
      <c r="H114" s="7"/>
      <c r="I114" s="7"/>
      <c r="P114" s="7"/>
      <c r="T114" s="7"/>
      <c r="U114" s="7"/>
      <c r="V114" s="7"/>
      <c r="W114" s="7"/>
      <c r="X114" s="55" t="s">
        <v>4789</v>
      </c>
      <c r="Y114" s="7"/>
      <c r="Z114" s="7"/>
      <c r="AA114" s="7"/>
    </row>
    <row r="115" spans="1:27">
      <c r="A115" s="189" t="s">
        <v>4764</v>
      </c>
      <c r="B115" s="7"/>
      <c r="C115" s="7"/>
      <c r="D115" s="7"/>
      <c r="F115" s="7"/>
      <c r="G115" s="7"/>
      <c r="H115" s="7"/>
      <c r="I115" s="7"/>
      <c r="P115" s="7"/>
      <c r="T115" s="7"/>
      <c r="U115" s="7"/>
      <c r="V115" s="7"/>
      <c r="W115" s="7"/>
      <c r="X115" s="57" t="s">
        <v>4790</v>
      </c>
      <c r="Y115" s="7"/>
      <c r="Z115" s="7"/>
      <c r="AA115" s="7"/>
    </row>
    <row r="116" spans="1:27">
      <c r="A116" s="189" t="s">
        <v>4782</v>
      </c>
      <c r="B116" s="7"/>
      <c r="C116" s="7"/>
      <c r="D116" s="7"/>
      <c r="F116" s="7"/>
      <c r="G116" s="7"/>
      <c r="H116" s="7"/>
      <c r="I116" s="7"/>
      <c r="P116" s="7"/>
      <c r="T116" s="7"/>
      <c r="U116" s="7"/>
      <c r="V116" s="7"/>
      <c r="W116" s="7"/>
      <c r="X116" s="7"/>
      <c r="Y116" s="7"/>
      <c r="Z116" s="7"/>
      <c r="AA116" s="7"/>
    </row>
    <row r="117" spans="1:27">
      <c r="A117" s="189" t="s">
        <v>2416</v>
      </c>
      <c r="B117" s="55" t="s">
        <v>4792</v>
      </c>
      <c r="C117" s="7"/>
      <c r="D117" s="7"/>
      <c r="F117" s="7"/>
      <c r="G117" s="7"/>
      <c r="H117" s="7"/>
      <c r="I117" s="7"/>
      <c r="P117" s="7"/>
      <c r="T117" s="7"/>
      <c r="U117" s="7"/>
      <c r="V117" s="7"/>
      <c r="W117" s="7"/>
      <c r="X117" s="57" t="s">
        <v>4793</v>
      </c>
      <c r="Y117" s="7"/>
      <c r="Z117" s="7"/>
      <c r="AA117" s="7"/>
    </row>
    <row r="118" spans="1:27">
      <c r="A118" s="189" t="s">
        <v>4775</v>
      </c>
      <c r="B118" s="55" t="s">
        <v>4794</v>
      </c>
      <c r="C118" s="7"/>
      <c r="D118" s="7"/>
      <c r="F118" s="7"/>
      <c r="G118" s="7"/>
      <c r="H118" s="7"/>
      <c r="I118" s="7"/>
      <c r="P118" s="7"/>
      <c r="T118" s="7"/>
      <c r="U118" s="7"/>
      <c r="V118" s="7"/>
      <c r="W118" s="7"/>
      <c r="X118" s="7"/>
      <c r="Y118" s="7"/>
      <c r="Z118" s="7"/>
      <c r="AA118" s="7"/>
    </row>
    <row r="119" spans="1:27">
      <c r="A119" s="189" t="s">
        <v>4784</v>
      </c>
      <c r="B119" s="55" t="s">
        <v>4796</v>
      </c>
      <c r="C119" s="7"/>
      <c r="D119" s="7"/>
      <c r="F119" s="7"/>
      <c r="G119" s="7"/>
      <c r="H119" s="7"/>
      <c r="I119" s="7"/>
      <c r="P119" s="7"/>
      <c r="T119" s="7"/>
      <c r="U119" s="7"/>
      <c r="V119" s="7"/>
      <c r="W119" s="7"/>
      <c r="X119" s="57" t="s">
        <v>4795</v>
      </c>
      <c r="Y119" s="7"/>
      <c r="Z119" s="7"/>
      <c r="AA119" s="7"/>
    </row>
    <row r="120" spans="1:27">
      <c r="A120" s="189" t="s">
        <v>4766</v>
      </c>
      <c r="B120" s="55" t="s">
        <v>4798</v>
      </c>
      <c r="C120" s="7"/>
      <c r="D120" s="7"/>
      <c r="F120" s="7"/>
      <c r="G120" s="7"/>
      <c r="H120" s="7"/>
      <c r="I120" s="7"/>
      <c r="P120" s="7"/>
      <c r="T120" s="7"/>
      <c r="U120" s="7"/>
      <c r="V120" s="7"/>
      <c r="W120" s="7"/>
      <c r="X120" s="57" t="s">
        <v>4797</v>
      </c>
      <c r="Y120" s="7"/>
      <c r="Z120" s="7"/>
      <c r="AA120" s="7"/>
    </row>
    <row r="121" spans="1:27" ht="37.5">
      <c r="A121" s="189" t="s">
        <v>2387</v>
      </c>
      <c r="B121" s="55" t="s">
        <v>3491</v>
      </c>
      <c r="C121" s="7"/>
      <c r="D121" s="7"/>
      <c r="F121" s="7"/>
      <c r="G121" s="7"/>
      <c r="H121" s="7"/>
      <c r="I121" s="7"/>
      <c r="P121" s="7"/>
      <c r="T121" s="7"/>
      <c r="U121" s="7"/>
      <c r="V121" s="7"/>
      <c r="W121" s="7"/>
      <c r="X121" s="57" t="s">
        <v>4799</v>
      </c>
      <c r="Y121" s="7"/>
      <c r="Z121" s="7"/>
      <c r="AA121" s="7"/>
    </row>
    <row r="122" spans="1:27">
      <c r="A122" s="189" t="s">
        <v>4780</v>
      </c>
      <c r="B122" s="55" t="s">
        <v>4801</v>
      </c>
      <c r="C122" s="7"/>
      <c r="D122" s="7"/>
      <c r="F122" s="7"/>
      <c r="G122" s="7"/>
      <c r="H122" s="7"/>
      <c r="I122" s="7"/>
      <c r="P122" s="7"/>
      <c r="T122" s="7"/>
      <c r="U122" s="7"/>
      <c r="V122" s="7"/>
      <c r="W122" s="7"/>
      <c r="X122" s="7"/>
      <c r="Y122" s="7"/>
      <c r="Z122" s="7"/>
      <c r="AA122" s="7"/>
    </row>
    <row r="123" spans="1:27">
      <c r="A123" s="189" t="s">
        <v>3570</v>
      </c>
      <c r="B123" s="218" t="s">
        <v>4802</v>
      </c>
      <c r="C123" s="7"/>
      <c r="D123" s="7"/>
      <c r="F123" s="7"/>
      <c r="G123" s="7"/>
      <c r="H123" s="7"/>
      <c r="I123" s="7"/>
      <c r="P123" s="7"/>
      <c r="T123" s="7"/>
      <c r="U123" s="7"/>
      <c r="V123" s="7"/>
      <c r="W123" s="7"/>
      <c r="X123" s="57" t="s">
        <v>4803</v>
      </c>
      <c r="Y123" s="7"/>
      <c r="Z123" s="7"/>
      <c r="AA123" s="7"/>
    </row>
    <row r="124" spans="1:27">
      <c r="A124" s="189" t="s">
        <v>2703</v>
      </c>
      <c r="B124" s="7"/>
      <c r="C124" s="7"/>
      <c r="D124" s="7"/>
      <c r="F124" s="7"/>
      <c r="G124" s="7"/>
      <c r="H124" s="7"/>
      <c r="I124" s="7"/>
      <c r="P124" s="94" t="s">
        <v>4804</v>
      </c>
      <c r="T124" s="7"/>
      <c r="U124" s="7"/>
      <c r="V124" s="7"/>
      <c r="W124" s="7"/>
      <c r="X124" s="7"/>
      <c r="Y124" s="7"/>
      <c r="Z124" s="7"/>
      <c r="AA124" s="7"/>
    </row>
    <row r="125" spans="1:27">
      <c r="A125" s="189" t="s">
        <v>4765</v>
      </c>
      <c r="B125" s="7"/>
      <c r="C125" s="7"/>
      <c r="D125" s="7"/>
      <c r="F125" s="7"/>
      <c r="G125" s="7"/>
      <c r="H125" s="7"/>
      <c r="I125" s="7"/>
      <c r="P125" s="7"/>
      <c r="T125" s="7"/>
      <c r="U125" s="7"/>
      <c r="V125" s="7"/>
      <c r="W125" s="7"/>
      <c r="X125" s="7"/>
      <c r="Y125" s="7"/>
      <c r="Z125" s="7"/>
      <c r="AA125" s="7"/>
    </row>
    <row r="126" spans="1:27">
      <c r="A126" s="189" t="s">
        <v>4776</v>
      </c>
      <c r="B126" s="57"/>
      <c r="C126" s="7"/>
      <c r="D126" s="7"/>
      <c r="F126" s="7"/>
      <c r="G126" s="7"/>
      <c r="H126" s="7"/>
      <c r="I126" s="7"/>
      <c r="P126" s="7"/>
      <c r="T126" s="7"/>
      <c r="U126" s="7"/>
      <c r="V126" s="7"/>
      <c r="W126" s="7"/>
      <c r="X126" s="7"/>
      <c r="Y126" s="7"/>
      <c r="Z126" s="7"/>
      <c r="AA126" s="7"/>
    </row>
    <row r="127" spans="1:27">
      <c r="A127" s="189" t="s">
        <v>4787</v>
      </c>
      <c r="B127" s="55" t="s">
        <v>2802</v>
      </c>
      <c r="C127" s="7"/>
      <c r="D127" s="94" t="s">
        <v>4835</v>
      </c>
      <c r="F127" s="7"/>
      <c r="G127" s="7"/>
      <c r="H127" s="7"/>
      <c r="I127" s="7"/>
      <c r="L127" s="223" t="s">
        <v>2402</v>
      </c>
      <c r="M127" s="223" t="s">
        <v>2402</v>
      </c>
      <c r="N127" s="223" t="s">
        <v>2402</v>
      </c>
      <c r="P127" s="7"/>
      <c r="T127" s="7"/>
      <c r="U127" s="7"/>
      <c r="V127" s="7"/>
      <c r="W127" s="7"/>
      <c r="X127" s="7"/>
      <c r="Y127" s="7"/>
      <c r="Z127" s="7"/>
      <c r="AA127" s="7"/>
    </row>
    <row r="128" spans="1:27" ht="28.5">
      <c r="A128" s="189" t="s">
        <v>4786</v>
      </c>
      <c r="B128" s="7"/>
      <c r="C128" s="7"/>
      <c r="D128" s="7"/>
      <c r="F128" s="7"/>
      <c r="G128" s="7"/>
      <c r="H128" s="7"/>
      <c r="I128" s="7"/>
      <c r="P128" s="7"/>
      <c r="T128" s="7"/>
      <c r="U128" s="7"/>
      <c r="V128" s="7"/>
      <c r="W128" s="7"/>
      <c r="X128" s="7"/>
      <c r="Y128" s="7"/>
      <c r="Z128" s="7"/>
      <c r="AA128" s="7"/>
    </row>
    <row r="129" spans="1:27" ht="28.5">
      <c r="A129" s="189" t="s">
        <v>4771</v>
      </c>
      <c r="B129" s="7"/>
      <c r="C129" s="7"/>
      <c r="D129" s="7"/>
      <c r="F129" s="7"/>
      <c r="G129" s="7"/>
      <c r="H129" s="7"/>
      <c r="I129" s="7"/>
      <c r="P129" s="7"/>
      <c r="T129" s="7"/>
      <c r="U129" s="7"/>
      <c r="V129" s="7"/>
      <c r="W129" s="7"/>
      <c r="X129" s="7"/>
      <c r="Y129" s="7"/>
      <c r="Z129" s="7"/>
      <c r="AA129" s="7"/>
    </row>
    <row r="130" spans="1:27">
      <c r="A130" s="189" t="s">
        <v>4770</v>
      </c>
      <c r="B130" s="57" t="s">
        <v>4836</v>
      </c>
      <c r="C130" s="7"/>
      <c r="D130" s="7"/>
      <c r="F130" s="7"/>
      <c r="G130" s="7"/>
      <c r="H130" s="7"/>
      <c r="I130" s="7"/>
      <c r="P130" s="7"/>
      <c r="T130" s="7"/>
      <c r="U130" s="7"/>
      <c r="V130" s="7"/>
      <c r="W130" s="7"/>
      <c r="X130" s="7"/>
      <c r="Y130" s="7"/>
      <c r="Z130" s="7"/>
      <c r="AA130" s="7"/>
    </row>
    <row r="131" spans="1:27">
      <c r="A131" s="189" t="s">
        <v>4779</v>
      </c>
      <c r="B131" s="57" t="s">
        <v>4837</v>
      </c>
      <c r="C131" s="7"/>
      <c r="D131" s="7"/>
      <c r="F131" s="7"/>
      <c r="G131" s="7"/>
      <c r="H131" s="7"/>
      <c r="I131" s="7"/>
      <c r="P131" s="7"/>
      <c r="T131" s="7"/>
      <c r="U131" s="7"/>
      <c r="V131" s="7"/>
      <c r="W131" s="7"/>
      <c r="X131" s="7"/>
      <c r="Y131" s="7"/>
      <c r="Z131" s="7"/>
      <c r="AA131" s="7"/>
    </row>
    <row r="132" spans="1:27">
      <c r="A132" s="189" t="s">
        <v>4778</v>
      </c>
      <c r="B132" s="57" t="s">
        <v>4838</v>
      </c>
      <c r="C132" s="7"/>
      <c r="D132" s="7"/>
      <c r="F132" s="7"/>
      <c r="G132" s="7"/>
      <c r="H132" s="7"/>
      <c r="I132" s="7"/>
      <c r="P132" s="7"/>
      <c r="T132" s="7"/>
      <c r="U132" s="7"/>
      <c r="V132" s="7"/>
      <c r="W132" s="7"/>
      <c r="X132" s="7"/>
      <c r="Y132" s="7"/>
      <c r="Z132" s="7"/>
      <c r="AA132" s="7"/>
    </row>
    <row r="133" spans="1:27" ht="56.25">
      <c r="A133" s="189" t="s">
        <v>4781</v>
      </c>
      <c r="B133" s="57" t="s">
        <v>4839</v>
      </c>
      <c r="C133" s="7"/>
      <c r="D133" s="7"/>
      <c r="F133" s="7"/>
      <c r="G133" s="7"/>
      <c r="H133" s="7"/>
      <c r="I133" s="7"/>
      <c r="P133" s="7"/>
      <c r="Q133" s="44" t="s">
        <v>4840</v>
      </c>
      <c r="T133" s="7"/>
      <c r="U133" s="7"/>
      <c r="V133" s="7"/>
      <c r="W133" s="7"/>
      <c r="X133" s="7"/>
      <c r="Y133" s="7"/>
      <c r="Z133" s="7"/>
      <c r="AA133" s="7"/>
    </row>
    <row r="134" spans="1:27">
      <c r="A134" s="189" t="s">
        <v>4781</v>
      </c>
      <c r="B134" s="57" t="s">
        <v>4842</v>
      </c>
      <c r="C134" s="7"/>
      <c r="D134" s="94" t="s">
        <v>4808</v>
      </c>
      <c r="F134" s="7"/>
      <c r="G134" s="7"/>
      <c r="H134" s="7"/>
      <c r="I134" s="7"/>
      <c r="P134" s="7"/>
      <c r="Q134" s="44" t="s">
        <v>4841</v>
      </c>
      <c r="T134" s="7"/>
      <c r="U134" s="7"/>
      <c r="V134" s="7"/>
      <c r="W134" s="7"/>
      <c r="X134" s="7"/>
      <c r="Y134" s="7"/>
      <c r="Z134" s="7"/>
      <c r="AA134" s="7"/>
    </row>
    <row r="135" spans="1:27" ht="150">
      <c r="A135" s="189" t="s">
        <v>4781</v>
      </c>
      <c r="B135" s="57" t="s">
        <v>4843</v>
      </c>
      <c r="C135" s="7"/>
      <c r="D135" s="94" t="s">
        <v>4844</v>
      </c>
      <c r="F135" s="7"/>
      <c r="G135" s="7"/>
      <c r="H135" s="7"/>
      <c r="I135" s="7"/>
      <c r="P135" s="7"/>
      <c r="Q135" s="44" t="s">
        <v>4845</v>
      </c>
      <c r="T135" s="7"/>
      <c r="U135" s="7"/>
      <c r="V135" s="7"/>
      <c r="W135" s="7"/>
      <c r="X135" s="7"/>
      <c r="Y135" s="7"/>
      <c r="Z135" s="7"/>
      <c r="AA135" s="7"/>
    </row>
    <row r="136" spans="1:27" ht="75">
      <c r="A136" s="189" t="s">
        <v>4781</v>
      </c>
      <c r="B136" s="57" t="s">
        <v>4846</v>
      </c>
      <c r="C136" s="7"/>
      <c r="D136" s="94"/>
      <c r="F136" s="7"/>
      <c r="G136" s="7"/>
      <c r="H136" s="7"/>
      <c r="I136" s="7"/>
      <c r="P136" s="7"/>
      <c r="Q136" s="44" t="s">
        <v>4847</v>
      </c>
      <c r="T136" s="7"/>
      <c r="U136" s="7"/>
      <c r="V136" s="7"/>
      <c r="W136" s="7"/>
      <c r="X136" s="7"/>
      <c r="Y136" s="7"/>
      <c r="Z136" s="7"/>
      <c r="AA136" s="7"/>
    </row>
    <row r="137" spans="1:27" ht="150">
      <c r="A137" s="189" t="s">
        <v>4781</v>
      </c>
      <c r="B137" s="57" t="s">
        <v>4849</v>
      </c>
      <c r="C137" s="7"/>
      <c r="D137" s="94"/>
      <c r="F137" s="7"/>
      <c r="G137" s="7"/>
      <c r="H137" s="7"/>
      <c r="I137" s="7"/>
      <c r="P137" s="7"/>
      <c r="Q137" s="44" t="s">
        <v>4848</v>
      </c>
      <c r="T137" s="7"/>
      <c r="U137" s="7"/>
      <c r="V137" s="7"/>
      <c r="W137" s="7"/>
      <c r="X137" s="7"/>
      <c r="Y137" s="7"/>
      <c r="Z137" s="7"/>
      <c r="AA137" s="7"/>
    </row>
    <row r="138" spans="1:27" ht="56.25">
      <c r="A138" s="189" t="s">
        <v>4781</v>
      </c>
      <c r="B138" s="57" t="s">
        <v>4850</v>
      </c>
      <c r="C138" s="7"/>
      <c r="D138" s="94"/>
      <c r="F138" s="7"/>
      <c r="G138" s="7"/>
      <c r="H138" s="7"/>
      <c r="I138" s="7"/>
      <c r="P138" s="7"/>
      <c r="Q138" s="44" t="s">
        <v>4851</v>
      </c>
      <c r="T138" s="7"/>
      <c r="U138" s="7"/>
      <c r="V138" s="7"/>
      <c r="W138" s="7"/>
      <c r="X138" s="7"/>
      <c r="Y138" s="7"/>
      <c r="Z138" s="7"/>
      <c r="AA138" s="7"/>
    </row>
    <row r="139" spans="1:27">
      <c r="A139" s="189" t="s">
        <v>4773</v>
      </c>
      <c r="B139" s="57" t="s">
        <v>4852</v>
      </c>
      <c r="C139" s="7"/>
      <c r="D139" s="7"/>
      <c r="F139" s="7"/>
      <c r="G139" s="7"/>
      <c r="H139" s="7"/>
      <c r="I139" s="7"/>
      <c r="P139" s="7"/>
      <c r="T139" s="7"/>
      <c r="U139" s="7"/>
      <c r="V139" s="7"/>
      <c r="W139" s="7"/>
      <c r="X139" s="7"/>
      <c r="Y139" s="7"/>
      <c r="Z139" s="7"/>
      <c r="AA139" s="7"/>
    </row>
    <row r="140" spans="1:27">
      <c r="A140" s="189" t="s">
        <v>4777</v>
      </c>
      <c r="B140" s="7"/>
      <c r="C140" s="7"/>
      <c r="D140" s="7"/>
      <c r="F140" s="7"/>
      <c r="G140" s="7"/>
      <c r="H140" s="7"/>
      <c r="I140" s="7"/>
      <c r="P140" s="7"/>
      <c r="T140" s="7"/>
      <c r="U140" s="7"/>
      <c r="V140" s="7"/>
      <c r="W140" s="7"/>
      <c r="X140" s="7"/>
      <c r="Y140" s="7"/>
      <c r="Z140" s="7"/>
      <c r="AA140" s="7"/>
    </row>
    <row r="141" spans="1:27">
      <c r="A141" s="189" t="s">
        <v>4768</v>
      </c>
      <c r="B141" s="7"/>
      <c r="C141" s="7"/>
      <c r="D141" s="94" t="s">
        <v>4853</v>
      </c>
      <c r="F141" s="7"/>
      <c r="G141" s="7"/>
      <c r="H141" s="7"/>
      <c r="I141" s="7"/>
      <c r="P141" s="7"/>
      <c r="T141" s="7"/>
      <c r="U141" s="7"/>
      <c r="V141" s="7"/>
      <c r="W141" s="7"/>
      <c r="X141" s="7"/>
      <c r="Y141" s="7"/>
      <c r="Z141" s="7"/>
      <c r="AA141" s="7"/>
    </row>
    <row r="142" spans="1:27">
      <c r="A142" s="189" t="s">
        <v>2364</v>
      </c>
      <c r="B142" s="57" t="s">
        <v>4854</v>
      </c>
      <c r="C142" s="7"/>
      <c r="D142" s="7"/>
      <c r="F142" s="7"/>
      <c r="G142" s="7"/>
      <c r="H142" s="7"/>
      <c r="I142" s="7"/>
      <c r="P142" s="7"/>
      <c r="T142" s="7"/>
      <c r="U142" s="7"/>
      <c r="V142" s="7"/>
      <c r="W142" s="7"/>
      <c r="X142" s="7"/>
      <c r="Y142" s="7"/>
      <c r="Z142" s="7"/>
      <c r="AA142" s="7"/>
    </row>
    <row r="143" spans="1:27">
      <c r="A143" s="189" t="s">
        <v>4772</v>
      </c>
      <c r="B143" s="7"/>
      <c r="C143" s="7"/>
      <c r="D143" s="7"/>
      <c r="F143" s="7"/>
      <c r="G143" s="7"/>
      <c r="H143" s="7"/>
      <c r="I143" s="7"/>
      <c r="P143" s="7"/>
      <c r="T143" s="7"/>
      <c r="U143" s="7"/>
      <c r="V143" s="7"/>
      <c r="W143" s="7"/>
      <c r="X143" s="7"/>
      <c r="Y143" s="7"/>
      <c r="Z143" s="7"/>
      <c r="AA143" s="7"/>
    </row>
    <row r="144" spans="1:27">
      <c r="A144" s="189" t="s">
        <v>4785</v>
      </c>
      <c r="B144" s="57" t="s">
        <v>4855</v>
      </c>
      <c r="C144" s="7"/>
      <c r="D144" s="7"/>
      <c r="F144" s="7"/>
      <c r="G144" s="7"/>
      <c r="H144" s="7"/>
      <c r="I144" s="7"/>
      <c r="P144" s="7"/>
      <c r="T144" s="7"/>
      <c r="U144" s="7"/>
      <c r="V144" s="7"/>
      <c r="W144" s="7"/>
      <c r="X144" s="7"/>
      <c r="Y144" s="7"/>
      <c r="Z144" s="7"/>
      <c r="AA144" s="7"/>
    </row>
    <row r="145" spans="1:27">
      <c r="A145" s="189" t="s">
        <v>4767</v>
      </c>
      <c r="B145" s="57" t="s">
        <v>4856</v>
      </c>
      <c r="C145" s="7"/>
      <c r="D145" s="7"/>
      <c r="F145" s="7"/>
      <c r="G145" s="7"/>
      <c r="H145" s="7"/>
      <c r="I145" s="7"/>
      <c r="P145" s="7"/>
      <c r="T145" s="7"/>
      <c r="U145" s="7"/>
      <c r="V145" s="7"/>
      <c r="W145" s="7"/>
      <c r="X145" s="7"/>
      <c r="Y145" s="7"/>
      <c r="Z145" s="7"/>
      <c r="AA145" s="7"/>
    </row>
    <row r="146" spans="1:27">
      <c r="A146" s="189" t="s">
        <v>4769</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3957</v>
      </c>
    </row>
    <row r="167" spans="1:30">
      <c r="A167" s="7"/>
      <c r="B167" s="7"/>
      <c r="C167" s="7"/>
      <c r="D167" s="7"/>
      <c r="F167" s="7"/>
      <c r="G167" s="7"/>
      <c r="H167" s="7"/>
      <c r="I167" s="7"/>
      <c r="P167" s="7"/>
      <c r="T167" s="7"/>
      <c r="U167" s="7"/>
      <c r="V167" s="7"/>
      <c r="W167" s="7"/>
      <c r="X167" s="7"/>
      <c r="Y167" s="7"/>
      <c r="Z167" s="7"/>
      <c r="AA167" s="7"/>
      <c r="AD167" t="s">
        <v>3957</v>
      </c>
    </row>
    <row r="168" spans="1:30">
      <c r="A168" s="7"/>
      <c r="B168" s="7"/>
      <c r="C168" s="7"/>
      <c r="D168" s="7"/>
      <c r="F168" s="7"/>
      <c r="G168" s="7"/>
      <c r="H168" s="7"/>
      <c r="I168" s="7"/>
      <c r="P168" s="7"/>
      <c r="T168" s="7"/>
      <c r="U168" s="7"/>
      <c r="V168" s="7"/>
      <c r="W168" s="7"/>
      <c r="X168" s="7"/>
      <c r="Y168" s="7"/>
      <c r="Z168" s="7"/>
      <c r="AA168" s="7"/>
      <c r="AD168" t="s">
        <v>3957</v>
      </c>
    </row>
    <row r="169" spans="1:30">
      <c r="A169" s="7"/>
      <c r="B169" s="7"/>
      <c r="C169" s="7"/>
      <c r="D169" s="7"/>
      <c r="F169" s="7"/>
      <c r="G169" s="7"/>
      <c r="H169" s="7"/>
      <c r="I169" s="7"/>
      <c r="P169" s="7"/>
      <c r="T169" s="7"/>
      <c r="U169" s="7"/>
      <c r="V169" s="7"/>
      <c r="W169" s="7"/>
      <c r="X169" s="7"/>
      <c r="Y169" s="7"/>
      <c r="Z169" s="7"/>
      <c r="AA169" s="7"/>
      <c r="AD169" t="s">
        <v>3957</v>
      </c>
    </row>
    <row r="170" spans="1:30">
      <c r="A170" s="7"/>
      <c r="B170" s="7"/>
      <c r="C170" s="7"/>
      <c r="D170" s="7"/>
      <c r="F170" s="7"/>
      <c r="G170" s="7"/>
      <c r="H170" s="7"/>
      <c r="I170" s="7"/>
      <c r="P170" s="7"/>
      <c r="T170" s="7"/>
      <c r="U170" s="7"/>
      <c r="V170" s="7"/>
      <c r="W170" s="7"/>
      <c r="X170" s="7"/>
      <c r="Y170" s="7"/>
      <c r="Z170" s="7"/>
      <c r="AA170" s="7"/>
      <c r="AD170" t="s">
        <v>3957</v>
      </c>
    </row>
    <row r="171" spans="1:30">
      <c r="A171" s="7"/>
      <c r="B171" s="7"/>
      <c r="C171" s="7"/>
      <c r="D171" s="7"/>
      <c r="F171" s="7"/>
      <c r="G171" s="7"/>
      <c r="H171" s="7"/>
      <c r="I171" s="7"/>
      <c r="P171" s="7"/>
      <c r="T171" s="7"/>
      <c r="U171" s="7"/>
      <c r="V171" s="7"/>
      <c r="W171" s="7"/>
      <c r="X171" s="7"/>
      <c r="Y171" s="7"/>
      <c r="Z171" s="7"/>
      <c r="AA171" s="7"/>
      <c r="AD171" t="s">
        <v>3957</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2"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workbookViewId="0">
      <pane xSplit="3" ySplit="1" topLeftCell="D128" activePane="bottomRight" state="frozen"/>
      <selection pane="topRight" activeCell="D1" sqref="D1"/>
      <selection pane="bottomLeft" activeCell="A2" sqref="A2"/>
      <selection pane="bottomRight" activeCell="L47" sqref="L47"/>
    </sheetView>
  </sheetViews>
  <sheetFormatPr defaultRowHeight="18.75"/>
  <cols>
    <col min="1" max="1" width="25.25" style="230" customWidth="1"/>
    <col min="2" max="3" width="9.625" style="230" customWidth="1"/>
    <col min="4" max="5" width="22.375" style="230" customWidth="1"/>
    <col min="6" max="6" width="13.875" style="231" customWidth="1"/>
    <col min="7" max="7" width="12.75" style="231" customWidth="1"/>
    <col min="8" max="8" width="13" style="231" bestFit="1" customWidth="1"/>
    <col min="9" max="9" width="13.125" style="231" customWidth="1"/>
    <col min="10" max="10" width="8.125" style="231" customWidth="1"/>
    <col min="11" max="18" width="6.125" style="231" customWidth="1"/>
    <col min="19" max="16384" width="9" style="230"/>
  </cols>
  <sheetData>
    <row r="1" spans="1:18">
      <c r="A1" s="237"/>
      <c r="B1" s="237" t="s">
        <v>5105</v>
      </c>
      <c r="C1" s="237" t="s">
        <v>5104</v>
      </c>
      <c r="D1" s="237" t="s">
        <v>5103</v>
      </c>
      <c r="E1" s="237" t="s">
        <v>5102</v>
      </c>
      <c r="F1" s="236"/>
      <c r="G1" s="236">
        <v>43344</v>
      </c>
      <c r="H1" s="236">
        <v>43282</v>
      </c>
      <c r="I1" s="236" t="s">
        <v>5101</v>
      </c>
      <c r="J1" s="236" t="s">
        <v>5100</v>
      </c>
      <c r="K1" s="236" t="s">
        <v>5099</v>
      </c>
      <c r="L1" s="236" t="s">
        <v>5098</v>
      </c>
      <c r="M1" s="236" t="s">
        <v>5097</v>
      </c>
      <c r="N1" s="236" t="s">
        <v>5096</v>
      </c>
      <c r="O1" s="236" t="s">
        <v>5095</v>
      </c>
      <c r="P1" s="236" t="s">
        <v>5094</v>
      </c>
      <c r="Q1" s="236"/>
      <c r="R1" s="236"/>
    </row>
    <row r="2" spans="1:18" ht="16.5" customHeight="1">
      <c r="A2" s="230" t="s">
        <v>5093</v>
      </c>
      <c r="D2" s="230" t="s">
        <v>5092</v>
      </c>
      <c r="I2" s="234">
        <f>0</f>
        <v>0</v>
      </c>
      <c r="J2" s="231">
        <f>300</f>
        <v>300</v>
      </c>
    </row>
    <row r="3" spans="1:18" ht="16.5" customHeight="1">
      <c r="A3" s="230" t="s">
        <v>5091</v>
      </c>
      <c r="D3" s="230" t="s">
        <v>5090</v>
      </c>
      <c r="I3" s="234">
        <f>0</f>
        <v>0</v>
      </c>
      <c r="J3" s="234">
        <f>30</f>
        <v>30</v>
      </c>
    </row>
    <row r="4" spans="1:18" ht="16.5" customHeight="1">
      <c r="A4" s="230" t="s">
        <v>5089</v>
      </c>
      <c r="D4" s="230" t="s">
        <v>5088</v>
      </c>
      <c r="I4" s="234">
        <f>0</f>
        <v>0</v>
      </c>
      <c r="J4" s="231">
        <f>30</f>
        <v>30</v>
      </c>
    </row>
    <row r="5" spans="1:18" ht="16.5" customHeight="1">
      <c r="D5" s="230" t="s">
        <v>5087</v>
      </c>
      <c r="I5" s="234">
        <f>0</f>
        <v>0</v>
      </c>
      <c r="J5" s="231">
        <f>30</f>
        <v>30</v>
      </c>
    </row>
    <row r="6" spans="1:18">
      <c r="A6" s="230" t="s">
        <v>5086</v>
      </c>
      <c r="I6" s="234">
        <f>0</f>
        <v>0</v>
      </c>
      <c r="J6" s="234">
        <f>1</f>
        <v>1</v>
      </c>
    </row>
    <row r="7" spans="1:18">
      <c r="A7" s="230" t="s">
        <v>5085</v>
      </c>
      <c r="I7" s="234">
        <f>0</f>
        <v>0</v>
      </c>
      <c r="J7" s="234">
        <f>1</f>
        <v>1</v>
      </c>
    </row>
    <row r="8" spans="1:18">
      <c r="A8" s="230" t="s">
        <v>5084</v>
      </c>
      <c r="I8" s="234">
        <f>0</f>
        <v>0</v>
      </c>
      <c r="J8" s="234">
        <f>1</f>
        <v>1</v>
      </c>
    </row>
    <row r="9" spans="1:18">
      <c r="A9" s="230" t="s">
        <v>5083</v>
      </c>
      <c r="I9" s="234">
        <f>0</f>
        <v>0</v>
      </c>
      <c r="J9" s="234">
        <f>1</f>
        <v>1</v>
      </c>
    </row>
    <row r="10" spans="1:18">
      <c r="A10" s="230" t="s">
        <v>5082</v>
      </c>
      <c r="D10" s="230" t="s">
        <v>5081</v>
      </c>
      <c r="I10" s="234">
        <f>0</f>
        <v>0</v>
      </c>
      <c r="J10" s="234">
        <f>1</f>
        <v>1</v>
      </c>
    </row>
    <row r="11" spans="1:18">
      <c r="A11" s="230" t="s">
        <v>5080</v>
      </c>
      <c r="I11" s="234">
        <f>0</f>
        <v>0</v>
      </c>
      <c r="J11" s="234">
        <f>1</f>
        <v>1</v>
      </c>
    </row>
    <row r="12" spans="1:18">
      <c r="A12" s="230" t="s">
        <v>5079</v>
      </c>
      <c r="D12" s="230" t="s">
        <v>5078</v>
      </c>
      <c r="I12" s="234">
        <f>0</f>
        <v>0</v>
      </c>
      <c r="J12" s="234">
        <f>1</f>
        <v>1</v>
      </c>
    </row>
    <row r="13" spans="1:18">
      <c r="A13" s="230" t="s">
        <v>5077</v>
      </c>
      <c r="D13" s="230" t="s">
        <v>4984</v>
      </c>
      <c r="I13" s="234">
        <f>0</f>
        <v>0</v>
      </c>
      <c r="J13" s="234">
        <f>1</f>
        <v>1</v>
      </c>
    </row>
    <row r="14" spans="1:18">
      <c r="A14" s="230" t="s">
        <v>5076</v>
      </c>
      <c r="D14" s="230" t="s">
        <v>5075</v>
      </c>
      <c r="I14" s="234">
        <f>0</f>
        <v>0</v>
      </c>
      <c r="J14" s="234">
        <f>1</f>
        <v>1</v>
      </c>
    </row>
    <row r="15" spans="1:18">
      <c r="A15" s="230" t="s">
        <v>5074</v>
      </c>
      <c r="D15" s="230" t="s">
        <v>5073</v>
      </c>
      <c r="I15" s="234">
        <f>0</f>
        <v>0</v>
      </c>
      <c r="J15" s="234">
        <f>1</f>
        <v>1</v>
      </c>
    </row>
    <row r="16" spans="1:18">
      <c r="A16" s="230" t="s">
        <v>5072</v>
      </c>
      <c r="I16" s="234">
        <f>0</f>
        <v>0</v>
      </c>
      <c r="J16" s="234">
        <f>1</f>
        <v>1</v>
      </c>
    </row>
    <row r="17" spans="1:10">
      <c r="A17" s="230" t="s">
        <v>5071</v>
      </c>
      <c r="D17" s="230" t="s">
        <v>5070</v>
      </c>
      <c r="I17" s="234">
        <f>0</f>
        <v>0</v>
      </c>
      <c r="J17" s="234">
        <f>1</f>
        <v>1</v>
      </c>
    </row>
    <row r="18" spans="1:10">
      <c r="A18" s="230" t="s">
        <v>5069</v>
      </c>
      <c r="I18" s="234">
        <f>0</f>
        <v>0</v>
      </c>
      <c r="J18" s="234">
        <f>1</f>
        <v>1</v>
      </c>
    </row>
    <row r="19" spans="1:10">
      <c r="A19" s="230" t="s">
        <v>5068</v>
      </c>
      <c r="I19" s="234">
        <f>0</f>
        <v>0</v>
      </c>
      <c r="J19" s="234">
        <f>1</f>
        <v>1</v>
      </c>
    </row>
    <row r="20" spans="1:10">
      <c r="A20" s="230" t="s">
        <v>5067</v>
      </c>
      <c r="I20" s="234">
        <f>0</f>
        <v>0</v>
      </c>
      <c r="J20" s="234">
        <f>1</f>
        <v>1</v>
      </c>
    </row>
    <row r="21" spans="1:10">
      <c r="A21" s="230" t="s">
        <v>5066</v>
      </c>
      <c r="D21" s="230" t="s">
        <v>5065</v>
      </c>
      <c r="I21" s="234">
        <f>0</f>
        <v>0</v>
      </c>
      <c r="J21" s="234">
        <f>1</f>
        <v>1</v>
      </c>
    </row>
    <row r="22" spans="1:10">
      <c r="A22" s="230" t="s">
        <v>5064</v>
      </c>
      <c r="I22" s="234">
        <f>0</f>
        <v>0</v>
      </c>
      <c r="J22" s="234">
        <f>1</f>
        <v>1</v>
      </c>
    </row>
    <row r="23" spans="1:10">
      <c r="A23" s="230" t="s">
        <v>5063</v>
      </c>
      <c r="I23" s="234">
        <f>0</f>
        <v>0</v>
      </c>
      <c r="J23" s="234">
        <f>1</f>
        <v>1</v>
      </c>
    </row>
    <row r="24" spans="1:10">
      <c r="A24" s="230" t="s">
        <v>5062</v>
      </c>
      <c r="I24" s="234">
        <f>0</f>
        <v>0</v>
      </c>
      <c r="J24" s="234">
        <f>1</f>
        <v>1</v>
      </c>
    </row>
    <row r="25" spans="1:10">
      <c r="A25" s="230" t="s">
        <v>5061</v>
      </c>
      <c r="D25" s="230" t="s">
        <v>5060</v>
      </c>
      <c r="I25" s="234">
        <f>0</f>
        <v>0</v>
      </c>
      <c r="J25" s="234">
        <f>1</f>
        <v>1</v>
      </c>
    </row>
    <row r="26" spans="1:10">
      <c r="A26" s="230" t="s">
        <v>5059</v>
      </c>
      <c r="D26" s="230" t="s">
        <v>5058</v>
      </c>
      <c r="I26" s="234">
        <f>0</f>
        <v>0</v>
      </c>
      <c r="J26" s="234">
        <f>1</f>
        <v>1</v>
      </c>
    </row>
    <row r="27" spans="1:10">
      <c r="A27" s="230" t="s">
        <v>5057</v>
      </c>
      <c r="I27" s="234">
        <f>0</f>
        <v>0</v>
      </c>
      <c r="J27" s="234">
        <f>1</f>
        <v>1</v>
      </c>
    </row>
    <row r="28" spans="1:10">
      <c r="A28" s="230" t="s">
        <v>5056</v>
      </c>
      <c r="D28" s="230" t="s">
        <v>5055</v>
      </c>
      <c r="I28" s="234">
        <f>0</f>
        <v>0</v>
      </c>
      <c r="J28" s="234">
        <f>1</f>
        <v>1</v>
      </c>
    </row>
    <row r="29" spans="1:10">
      <c r="A29" s="230">
        <v>2018</v>
      </c>
      <c r="I29" s="234">
        <f>1</f>
        <v>1</v>
      </c>
      <c r="J29" s="234">
        <f>0</f>
        <v>0</v>
      </c>
    </row>
    <row r="30" spans="1:10">
      <c r="A30" s="235" t="s">
        <v>5054</v>
      </c>
      <c r="I30" s="234">
        <f>1</f>
        <v>1</v>
      </c>
      <c r="J30" s="234">
        <f>0</f>
        <v>0</v>
      </c>
    </row>
    <row r="31" spans="1:10">
      <c r="A31" s="230" t="s">
        <v>5053</v>
      </c>
      <c r="I31" s="234">
        <f>1</f>
        <v>1</v>
      </c>
      <c r="J31" s="234">
        <f>0</f>
        <v>0</v>
      </c>
    </row>
    <row r="32" spans="1:10">
      <c r="A32" s="230" t="s">
        <v>5052</v>
      </c>
      <c r="I32" s="234">
        <f>1</f>
        <v>1</v>
      </c>
      <c r="J32" s="234">
        <f>0</f>
        <v>0</v>
      </c>
    </row>
    <row r="33" spans="1:10">
      <c r="A33" s="230" t="s">
        <v>5051</v>
      </c>
      <c r="I33" s="234">
        <f>1</f>
        <v>1</v>
      </c>
      <c r="J33" s="234">
        <f>0</f>
        <v>0</v>
      </c>
    </row>
    <row r="34" spans="1:10">
      <c r="A34" s="230" t="s">
        <v>5050</v>
      </c>
      <c r="I34" s="234">
        <f>1</f>
        <v>1</v>
      </c>
      <c r="J34" s="234">
        <f>0</f>
        <v>0</v>
      </c>
    </row>
    <row r="35" spans="1:10">
      <c r="A35" s="230" t="s">
        <v>5049</v>
      </c>
      <c r="I35" s="234">
        <f>1</f>
        <v>1</v>
      </c>
      <c r="J35" s="234">
        <f>0</f>
        <v>0</v>
      </c>
    </row>
    <row r="36" spans="1:10">
      <c r="A36" s="235" t="s">
        <v>5048</v>
      </c>
      <c r="I36" s="234">
        <f>1</f>
        <v>1</v>
      </c>
      <c r="J36" s="234">
        <f>0</f>
        <v>0</v>
      </c>
    </row>
    <row r="37" spans="1:10">
      <c r="A37" s="235" t="s">
        <v>5047</v>
      </c>
      <c r="I37" s="234">
        <f>1</f>
        <v>1</v>
      </c>
      <c r="J37" s="234">
        <f>0</f>
        <v>0</v>
      </c>
    </row>
    <row r="38" spans="1:10">
      <c r="A38" s="230" t="s">
        <v>5046</v>
      </c>
      <c r="I38" s="234">
        <f>1</f>
        <v>1</v>
      </c>
      <c r="J38" s="234">
        <f>0</f>
        <v>0</v>
      </c>
    </row>
    <row r="39" spans="1:10">
      <c r="A39" s="230" t="s">
        <v>5045</v>
      </c>
      <c r="I39" s="234">
        <f>1</f>
        <v>1</v>
      </c>
      <c r="J39" s="234">
        <f>0</f>
        <v>0</v>
      </c>
    </row>
    <row r="40" spans="1:10">
      <c r="A40" s="235" t="s">
        <v>5044</v>
      </c>
      <c r="I40" s="234">
        <f>1</f>
        <v>1</v>
      </c>
      <c r="J40" s="234">
        <f>0</f>
        <v>0</v>
      </c>
    </row>
    <row r="41" spans="1:10">
      <c r="A41" s="230" t="s">
        <v>5043</v>
      </c>
      <c r="I41" s="234">
        <f>0</f>
        <v>0</v>
      </c>
      <c r="J41" s="234">
        <f>0</f>
        <v>0</v>
      </c>
    </row>
    <row r="42" spans="1:10">
      <c r="A42" s="230" t="s">
        <v>5042</v>
      </c>
      <c r="D42" s="230" t="s">
        <v>5041</v>
      </c>
      <c r="I42" s="234">
        <f>0</f>
        <v>0</v>
      </c>
      <c r="J42" s="234">
        <f>0</f>
        <v>0</v>
      </c>
    </row>
    <row r="43" spans="1:10">
      <c r="A43" s="230" t="s">
        <v>5040</v>
      </c>
      <c r="D43" s="230" t="s">
        <v>5039</v>
      </c>
      <c r="I43" s="234">
        <f>0</f>
        <v>0</v>
      </c>
      <c r="J43" s="234">
        <f>0</f>
        <v>0</v>
      </c>
    </row>
    <row r="44" spans="1:10">
      <c r="A44" s="230" t="s">
        <v>5038</v>
      </c>
      <c r="I44" s="234">
        <f>0</f>
        <v>0</v>
      </c>
      <c r="J44" s="234">
        <f>0</f>
        <v>0</v>
      </c>
    </row>
    <row r="45" spans="1:10">
      <c r="A45" s="230" t="s">
        <v>5037</v>
      </c>
      <c r="I45" s="234">
        <f>0</f>
        <v>0</v>
      </c>
      <c r="J45" s="234">
        <f>0</f>
        <v>0</v>
      </c>
    </row>
    <row r="46" spans="1:10">
      <c r="A46" s="230" t="s">
        <v>5036</v>
      </c>
      <c r="D46" s="230" t="s">
        <v>5035</v>
      </c>
      <c r="I46" s="234">
        <f>0</f>
        <v>0</v>
      </c>
      <c r="J46" s="234">
        <f>0</f>
        <v>0</v>
      </c>
    </row>
    <row r="47" spans="1:10">
      <c r="A47" s="230" t="s">
        <v>5034</v>
      </c>
      <c r="D47" s="230" t="s">
        <v>5033</v>
      </c>
      <c r="I47" s="234">
        <f>0</f>
        <v>0</v>
      </c>
      <c r="J47" s="234">
        <f>0</f>
        <v>0</v>
      </c>
    </row>
    <row r="48" spans="1:10">
      <c r="A48" s="230" t="s">
        <v>5032</v>
      </c>
      <c r="I48" s="234">
        <f>0</f>
        <v>0</v>
      </c>
      <c r="J48" s="234">
        <f>0</f>
        <v>0</v>
      </c>
    </row>
    <row r="49" spans="1:10">
      <c r="A49" s="230" t="s">
        <v>5031</v>
      </c>
      <c r="D49" s="230" t="s">
        <v>5030</v>
      </c>
      <c r="I49" s="234">
        <f>0</f>
        <v>0</v>
      </c>
      <c r="J49" s="234">
        <f>0</f>
        <v>0</v>
      </c>
    </row>
    <row r="50" spans="1:10">
      <c r="A50" s="230" t="s">
        <v>5029</v>
      </c>
      <c r="I50" s="234">
        <f>0</f>
        <v>0</v>
      </c>
      <c r="J50" s="234">
        <f>0</f>
        <v>0</v>
      </c>
    </row>
    <row r="51" spans="1:10">
      <c r="A51" s="230" t="s">
        <v>5028</v>
      </c>
      <c r="D51" s="230" t="s">
        <v>5027</v>
      </c>
      <c r="I51" s="234">
        <f>0</f>
        <v>0</v>
      </c>
      <c r="J51" s="234">
        <f>0</f>
        <v>0</v>
      </c>
    </row>
    <row r="52" spans="1:10">
      <c r="A52" s="230" t="s">
        <v>5026</v>
      </c>
      <c r="D52" s="230" t="s">
        <v>5025</v>
      </c>
      <c r="I52" s="234">
        <f>0</f>
        <v>0</v>
      </c>
      <c r="J52" s="234">
        <f>0</f>
        <v>0</v>
      </c>
    </row>
    <row r="53" spans="1:10">
      <c r="A53" s="230" t="s">
        <v>5024</v>
      </c>
      <c r="I53" s="234">
        <f>0</f>
        <v>0</v>
      </c>
      <c r="J53" s="234">
        <f>0</f>
        <v>0</v>
      </c>
    </row>
    <row r="54" spans="1:10">
      <c r="A54" s="230" t="s">
        <v>5023</v>
      </c>
      <c r="I54" s="234">
        <f>0</f>
        <v>0</v>
      </c>
      <c r="J54" s="234">
        <f>0</f>
        <v>0</v>
      </c>
    </row>
    <row r="55" spans="1:10">
      <c r="A55" s="230" t="s">
        <v>5022</v>
      </c>
      <c r="I55" s="234">
        <f>0</f>
        <v>0</v>
      </c>
      <c r="J55" s="234">
        <f>0</f>
        <v>0</v>
      </c>
    </row>
    <row r="56" spans="1:10">
      <c r="A56" s="230" t="s">
        <v>5021</v>
      </c>
      <c r="I56" s="234">
        <f>0</f>
        <v>0</v>
      </c>
      <c r="J56" s="234">
        <f>0</f>
        <v>0</v>
      </c>
    </row>
    <row r="57" spans="1:10">
      <c r="A57" s="230" t="s">
        <v>5020</v>
      </c>
      <c r="I57" s="234">
        <f>0</f>
        <v>0</v>
      </c>
      <c r="J57" s="234">
        <f>0</f>
        <v>0</v>
      </c>
    </row>
    <row r="58" spans="1:10">
      <c r="A58" s="230" t="s">
        <v>5019</v>
      </c>
      <c r="D58" s="230" t="s">
        <v>5018</v>
      </c>
      <c r="I58" s="234">
        <f>0</f>
        <v>0</v>
      </c>
      <c r="J58" s="234">
        <f>0</f>
        <v>0</v>
      </c>
    </row>
    <row r="59" spans="1:10">
      <c r="A59" s="230" t="s">
        <v>5017</v>
      </c>
      <c r="I59" s="234">
        <f>0</f>
        <v>0</v>
      </c>
      <c r="J59" s="234">
        <f>0</f>
        <v>0</v>
      </c>
    </row>
    <row r="60" spans="1:10">
      <c r="A60" s="230" t="s">
        <v>5016</v>
      </c>
      <c r="D60" s="230" t="s">
        <v>5015</v>
      </c>
      <c r="I60" s="234">
        <f>0</f>
        <v>0</v>
      </c>
      <c r="J60" s="234">
        <f>0</f>
        <v>0</v>
      </c>
    </row>
    <row r="61" spans="1:10">
      <c r="A61" s="230" t="s">
        <v>5014</v>
      </c>
      <c r="I61" s="234">
        <f>0</f>
        <v>0</v>
      </c>
      <c r="J61" s="234">
        <f>0</f>
        <v>0</v>
      </c>
    </row>
    <row r="62" spans="1:10">
      <c r="A62" s="230" t="s">
        <v>5013</v>
      </c>
      <c r="D62" s="230" t="s">
        <v>5012</v>
      </c>
      <c r="I62" s="234">
        <f>0</f>
        <v>0</v>
      </c>
      <c r="J62" s="234">
        <f>0</f>
        <v>0</v>
      </c>
    </row>
    <row r="63" spans="1:10">
      <c r="A63" s="230" t="s">
        <v>5011</v>
      </c>
      <c r="I63" s="234">
        <f>0</f>
        <v>0</v>
      </c>
      <c r="J63" s="234">
        <f>0</f>
        <v>0</v>
      </c>
    </row>
    <row r="64" spans="1:10">
      <c r="A64" s="230" t="s">
        <v>5010</v>
      </c>
      <c r="D64" s="230" t="s">
        <v>5009</v>
      </c>
      <c r="I64" s="234">
        <f>0</f>
        <v>0</v>
      </c>
      <c r="J64" s="234">
        <f>0</f>
        <v>0</v>
      </c>
    </row>
    <row r="65" spans="1:10">
      <c r="A65" s="230" t="s">
        <v>5008</v>
      </c>
      <c r="I65" s="234">
        <f>0</f>
        <v>0</v>
      </c>
      <c r="J65" s="234">
        <f>0</f>
        <v>0</v>
      </c>
    </row>
    <row r="66" spans="1:10">
      <c r="A66" s="230" t="s">
        <v>5007</v>
      </c>
      <c r="D66" s="230" t="s">
        <v>5006</v>
      </c>
      <c r="I66" s="234">
        <f>0</f>
        <v>0</v>
      </c>
      <c r="J66" s="234">
        <f>0</f>
        <v>0</v>
      </c>
    </row>
    <row r="67" spans="1:10">
      <c r="A67" s="230" t="s">
        <v>5005</v>
      </c>
      <c r="I67" s="234">
        <f>0</f>
        <v>0</v>
      </c>
      <c r="J67" s="234">
        <f>0</f>
        <v>0</v>
      </c>
    </row>
    <row r="68" spans="1:10">
      <c r="A68" s="230" t="s">
        <v>5004</v>
      </c>
      <c r="I68" s="234">
        <f>0</f>
        <v>0</v>
      </c>
      <c r="J68" s="234">
        <f>0</f>
        <v>0</v>
      </c>
    </row>
    <row r="69" spans="1:10">
      <c r="A69" s="230" t="s">
        <v>5003</v>
      </c>
      <c r="D69" s="230" t="s">
        <v>5002</v>
      </c>
      <c r="I69" s="234">
        <f>0</f>
        <v>0</v>
      </c>
      <c r="J69" s="234">
        <f>0</f>
        <v>0</v>
      </c>
    </row>
    <row r="70" spans="1:10">
      <c r="A70" s="230" t="s">
        <v>5001</v>
      </c>
      <c r="I70" s="234">
        <f>0</f>
        <v>0</v>
      </c>
      <c r="J70" s="234">
        <f>0</f>
        <v>0</v>
      </c>
    </row>
    <row r="71" spans="1:10">
      <c r="A71" s="230" t="s">
        <v>5000</v>
      </c>
      <c r="I71" s="234">
        <f>0</f>
        <v>0</v>
      </c>
      <c r="J71" s="234">
        <f>0</f>
        <v>0</v>
      </c>
    </row>
    <row r="72" spans="1:10">
      <c r="A72" s="230" t="s">
        <v>4999</v>
      </c>
      <c r="I72" s="234">
        <f>0</f>
        <v>0</v>
      </c>
      <c r="J72" s="234">
        <f>0</f>
        <v>0</v>
      </c>
    </row>
    <row r="73" spans="1:10">
      <c r="A73" s="230" t="s">
        <v>4998</v>
      </c>
      <c r="I73" s="234">
        <f>0</f>
        <v>0</v>
      </c>
      <c r="J73" s="234">
        <f>0</f>
        <v>0</v>
      </c>
    </row>
    <row r="74" spans="1:10">
      <c r="A74" s="230" t="s">
        <v>4982</v>
      </c>
      <c r="D74" s="230" t="s">
        <v>4997</v>
      </c>
      <c r="I74" s="234">
        <f>0</f>
        <v>0</v>
      </c>
      <c r="J74" s="234">
        <f>0</f>
        <v>0</v>
      </c>
    </row>
    <row r="75" spans="1:10">
      <c r="A75" s="230" t="s">
        <v>4996</v>
      </c>
      <c r="I75" s="234">
        <f>0</f>
        <v>0</v>
      </c>
      <c r="J75" s="234">
        <f>0</f>
        <v>0</v>
      </c>
    </row>
    <row r="76" spans="1:10">
      <c r="A76" s="230" t="s">
        <v>4995</v>
      </c>
      <c r="I76" s="234">
        <f>0</f>
        <v>0</v>
      </c>
      <c r="J76" s="234">
        <f>0</f>
        <v>0</v>
      </c>
    </row>
    <row r="77" spans="1:10">
      <c r="A77" s="230" t="s">
        <v>4994</v>
      </c>
      <c r="D77" s="230" t="s">
        <v>4993</v>
      </c>
      <c r="I77" s="234">
        <f>0</f>
        <v>0</v>
      </c>
      <c r="J77" s="234">
        <f>0</f>
        <v>0</v>
      </c>
    </row>
    <row r="78" spans="1:10">
      <c r="A78" s="230" t="s">
        <v>4992</v>
      </c>
      <c r="I78" s="234">
        <f>0</f>
        <v>0</v>
      </c>
      <c r="J78" s="234">
        <f>0</f>
        <v>0</v>
      </c>
    </row>
    <row r="79" spans="1:10">
      <c r="A79" s="230" t="s">
        <v>4991</v>
      </c>
      <c r="D79" s="230" t="s">
        <v>4990</v>
      </c>
      <c r="I79" s="234">
        <f>0</f>
        <v>0</v>
      </c>
      <c r="J79" s="234">
        <f>0</f>
        <v>0</v>
      </c>
    </row>
    <row r="80" spans="1:10">
      <c r="A80" s="230" t="s">
        <v>4989</v>
      </c>
      <c r="I80" s="234">
        <f>0</f>
        <v>0</v>
      </c>
      <c r="J80" s="234">
        <f>0</f>
        <v>0</v>
      </c>
    </row>
    <row r="81" spans="1:10">
      <c r="A81" s="230" t="s">
        <v>4988</v>
      </c>
      <c r="I81" s="234">
        <f>0</f>
        <v>0</v>
      </c>
      <c r="J81" s="234">
        <f>0</f>
        <v>0</v>
      </c>
    </row>
    <row r="82" spans="1:10">
      <c r="A82" s="230" t="s">
        <v>4987</v>
      </c>
      <c r="I82" s="234">
        <f>0</f>
        <v>0</v>
      </c>
      <c r="J82" s="234">
        <f>0</f>
        <v>0</v>
      </c>
    </row>
    <row r="83" spans="1:10">
      <c r="A83" s="230" t="s">
        <v>4986</v>
      </c>
      <c r="I83" s="234">
        <f>0</f>
        <v>0</v>
      </c>
      <c r="J83" s="234">
        <f>0</f>
        <v>0</v>
      </c>
    </row>
    <row r="84" spans="1:10">
      <c r="A84" s="230" t="s">
        <v>4985</v>
      </c>
      <c r="D84" s="230" t="s">
        <v>4984</v>
      </c>
      <c r="I84" s="234">
        <f>0</f>
        <v>0</v>
      </c>
      <c r="J84" s="234">
        <f>0</f>
        <v>0</v>
      </c>
    </row>
    <row r="85" spans="1:10">
      <c r="A85" s="230" t="s">
        <v>4983</v>
      </c>
      <c r="D85" s="230" t="s">
        <v>4982</v>
      </c>
      <c r="I85" s="234">
        <f>0</f>
        <v>0</v>
      </c>
      <c r="J85" s="234">
        <f>0</f>
        <v>0</v>
      </c>
    </row>
    <row r="86" spans="1:10">
      <c r="A86" s="230" t="s">
        <v>4981</v>
      </c>
      <c r="I86" s="234">
        <f>0</f>
        <v>0</v>
      </c>
      <c r="J86" s="234">
        <f>0</f>
        <v>0</v>
      </c>
    </row>
    <row r="87" spans="1:10">
      <c r="A87" s="230" t="s">
        <v>4980</v>
      </c>
      <c r="I87" s="234">
        <f>0</f>
        <v>0</v>
      </c>
      <c r="J87" s="234">
        <f>0</f>
        <v>0</v>
      </c>
    </row>
    <row r="88" spans="1:10">
      <c r="A88" s="230" t="s">
        <v>4979</v>
      </c>
      <c r="D88" s="230" t="s">
        <v>4978</v>
      </c>
      <c r="I88" s="234">
        <f>0</f>
        <v>0</v>
      </c>
      <c r="J88" s="234">
        <f>0</f>
        <v>0</v>
      </c>
    </row>
    <row r="89" spans="1:10">
      <c r="A89" s="230" t="s">
        <v>4977</v>
      </c>
      <c r="I89" s="234">
        <f>0</f>
        <v>0</v>
      </c>
      <c r="J89" s="234">
        <f>0</f>
        <v>0</v>
      </c>
    </row>
    <row r="90" spans="1:10">
      <c r="A90" s="230" t="s">
        <v>4976</v>
      </c>
      <c r="D90" s="230" t="s">
        <v>4975</v>
      </c>
      <c r="I90" s="234">
        <f>0</f>
        <v>0</v>
      </c>
      <c r="J90" s="234">
        <f>0</f>
        <v>0</v>
      </c>
    </row>
    <row r="91" spans="1:10">
      <c r="A91" s="230" t="s">
        <v>4974</v>
      </c>
      <c r="D91" s="230" t="s">
        <v>4973</v>
      </c>
      <c r="I91" s="234">
        <f>0</f>
        <v>0</v>
      </c>
      <c r="J91" s="234">
        <f>0</f>
        <v>0</v>
      </c>
    </row>
    <row r="92" spans="1:10">
      <c r="A92" s="230" t="s">
        <v>4972</v>
      </c>
      <c r="I92" s="234">
        <f>0</f>
        <v>0</v>
      </c>
      <c r="J92" s="234">
        <f>0</f>
        <v>0</v>
      </c>
    </row>
    <row r="93" spans="1:10">
      <c r="A93" s="230" t="s">
        <v>4971</v>
      </c>
      <c r="I93" s="234">
        <f>0</f>
        <v>0</v>
      </c>
      <c r="J93" s="234">
        <f>0</f>
        <v>0</v>
      </c>
    </row>
    <row r="94" spans="1:10">
      <c r="A94" s="230" t="s">
        <v>4970</v>
      </c>
      <c r="D94" s="230" t="s">
        <v>4969</v>
      </c>
      <c r="I94" s="234">
        <f>0</f>
        <v>0</v>
      </c>
      <c r="J94" s="234">
        <f>0</f>
        <v>0</v>
      </c>
    </row>
    <row r="95" spans="1:10">
      <c r="A95" s="230" t="s">
        <v>4968</v>
      </c>
      <c r="I95" s="234">
        <f>0</f>
        <v>0</v>
      </c>
      <c r="J95" s="234">
        <f>0</f>
        <v>0</v>
      </c>
    </row>
    <row r="96" spans="1:10">
      <c r="A96" s="230" t="s">
        <v>4967</v>
      </c>
      <c r="I96" s="234">
        <f>0</f>
        <v>0</v>
      </c>
      <c r="J96" s="234">
        <f>0</f>
        <v>0</v>
      </c>
    </row>
    <row r="97" spans="1:10">
      <c r="A97" s="230" t="s">
        <v>4966</v>
      </c>
      <c r="I97" s="234">
        <f>0</f>
        <v>0</v>
      </c>
      <c r="J97" s="234">
        <f>0</f>
        <v>0</v>
      </c>
    </row>
    <row r="98" spans="1:10">
      <c r="A98" s="230" t="s">
        <v>4965</v>
      </c>
      <c r="D98" s="230" t="s">
        <v>4964</v>
      </c>
      <c r="I98" s="234">
        <f>0</f>
        <v>0</v>
      </c>
      <c r="J98" s="234">
        <f>0</f>
        <v>0</v>
      </c>
    </row>
    <row r="99" spans="1:10">
      <c r="A99" s="230" t="s">
        <v>4963</v>
      </c>
      <c r="I99" s="234">
        <f>0</f>
        <v>0</v>
      </c>
      <c r="J99" s="234">
        <f>0</f>
        <v>0</v>
      </c>
    </row>
    <row r="100" spans="1:10">
      <c r="A100" s="230" t="s">
        <v>4962</v>
      </c>
      <c r="I100" s="234">
        <f>0</f>
        <v>0</v>
      </c>
      <c r="J100" s="234">
        <f>0</f>
        <v>0</v>
      </c>
    </row>
    <row r="101" spans="1:10">
      <c r="A101" s="230" t="s">
        <v>4961</v>
      </c>
      <c r="I101" s="234">
        <f>0</f>
        <v>0</v>
      </c>
      <c r="J101" s="234">
        <f>0</f>
        <v>0</v>
      </c>
    </row>
    <row r="102" spans="1:10">
      <c r="A102" s="230" t="s">
        <v>4960</v>
      </c>
      <c r="D102" s="230" t="s">
        <v>4959</v>
      </c>
      <c r="I102" s="234">
        <f>0</f>
        <v>0</v>
      </c>
      <c r="J102" s="234">
        <f>0</f>
        <v>0</v>
      </c>
    </row>
    <row r="103" spans="1:10">
      <c r="A103" s="230" t="s">
        <v>4958</v>
      </c>
      <c r="D103" s="230" t="s">
        <v>4957</v>
      </c>
      <c r="I103" s="234">
        <f>0</f>
        <v>0</v>
      </c>
      <c r="J103" s="234">
        <f>0</f>
        <v>0</v>
      </c>
    </row>
    <row r="104" spans="1:10">
      <c r="A104" s="230" t="s">
        <v>4956</v>
      </c>
      <c r="I104" s="234">
        <f>0</f>
        <v>0</v>
      </c>
      <c r="J104" s="234">
        <f>0</f>
        <v>0</v>
      </c>
    </row>
    <row r="105" spans="1:10">
      <c r="A105" s="230" t="s">
        <v>4955</v>
      </c>
      <c r="I105" s="234">
        <f>0</f>
        <v>0</v>
      </c>
      <c r="J105" s="234">
        <f>0</f>
        <v>0</v>
      </c>
    </row>
    <row r="106" spans="1:10">
      <c r="A106" s="230" t="s">
        <v>4954</v>
      </c>
      <c r="I106" s="234">
        <f>0</f>
        <v>0</v>
      </c>
      <c r="J106" s="234">
        <f>0</f>
        <v>0</v>
      </c>
    </row>
    <row r="107" spans="1:10">
      <c r="A107" s="230" t="s">
        <v>4953</v>
      </c>
      <c r="D107" s="230" t="s">
        <v>4952</v>
      </c>
      <c r="I107" s="234">
        <f>0</f>
        <v>0</v>
      </c>
      <c r="J107" s="234">
        <f>0</f>
        <v>0</v>
      </c>
    </row>
    <row r="108" spans="1:10">
      <c r="A108" s="230" t="s">
        <v>4951</v>
      </c>
      <c r="D108" s="230" t="s">
        <v>4950</v>
      </c>
      <c r="I108" s="234">
        <f>0</f>
        <v>0</v>
      </c>
      <c r="J108" s="234">
        <f>0</f>
        <v>0</v>
      </c>
    </row>
    <row r="109" spans="1:10">
      <c r="A109" s="230" t="s">
        <v>4949</v>
      </c>
      <c r="I109" s="234">
        <f>0</f>
        <v>0</v>
      </c>
      <c r="J109" s="234">
        <f>0</f>
        <v>0</v>
      </c>
    </row>
    <row r="110" spans="1:10">
      <c r="A110" s="230" t="s">
        <v>4948</v>
      </c>
      <c r="I110" s="234">
        <f>0</f>
        <v>0</v>
      </c>
      <c r="J110" s="234">
        <f>0</f>
        <v>0</v>
      </c>
    </row>
    <row r="111" spans="1:10" ht="14.25" customHeight="1">
      <c r="A111" s="230" t="s">
        <v>4947</v>
      </c>
      <c r="I111" s="234">
        <f>0</f>
        <v>0</v>
      </c>
      <c r="J111" s="234">
        <f>0</f>
        <v>0</v>
      </c>
    </row>
    <row r="112" spans="1:10" ht="14.25" customHeight="1">
      <c r="A112" s="230" t="s">
        <v>4946</v>
      </c>
      <c r="I112" s="234">
        <f>0</f>
        <v>0</v>
      </c>
      <c r="J112" s="234">
        <f>0</f>
        <v>0</v>
      </c>
    </row>
    <row r="113" spans="1:10" ht="14.25" customHeight="1">
      <c r="A113" s="230" t="s">
        <v>4945</v>
      </c>
      <c r="I113" s="234">
        <f>0</f>
        <v>0</v>
      </c>
      <c r="J113" s="234">
        <f>0</f>
        <v>0</v>
      </c>
    </row>
    <row r="114" spans="1:10">
      <c r="A114" s="230" t="s">
        <v>4944</v>
      </c>
      <c r="D114" s="230" t="s">
        <v>4943</v>
      </c>
      <c r="I114" s="234">
        <f>0</f>
        <v>0</v>
      </c>
      <c r="J114" s="234">
        <f>0</f>
        <v>0</v>
      </c>
    </row>
    <row r="115" spans="1:10">
      <c r="A115" s="230" t="s">
        <v>4942</v>
      </c>
      <c r="D115" s="230" t="s">
        <v>4941</v>
      </c>
      <c r="I115" s="234">
        <f>0</f>
        <v>0</v>
      </c>
      <c r="J115" s="234">
        <f>0</f>
        <v>0</v>
      </c>
    </row>
    <row r="116" spans="1:10">
      <c r="A116" s="230" t="s">
        <v>4940</v>
      </c>
      <c r="I116" s="234">
        <f>0</f>
        <v>0</v>
      </c>
      <c r="J116" s="234">
        <f>0</f>
        <v>0</v>
      </c>
    </row>
    <row r="117" spans="1:10">
      <c r="A117" s="230" t="s">
        <v>4939</v>
      </c>
      <c r="D117" s="230" t="s">
        <v>4938</v>
      </c>
      <c r="I117" s="234">
        <f>0</f>
        <v>0</v>
      </c>
      <c r="J117" s="234">
        <f>0</f>
        <v>0</v>
      </c>
    </row>
    <row r="118" spans="1:10">
      <c r="A118" s="230" t="s">
        <v>4937</v>
      </c>
      <c r="I118" s="234">
        <f>0</f>
        <v>0</v>
      </c>
      <c r="J118" s="234">
        <f>0</f>
        <v>0</v>
      </c>
    </row>
    <row r="119" spans="1:10">
      <c r="A119" s="230" t="s">
        <v>4936</v>
      </c>
      <c r="D119" s="230" t="s">
        <v>4935</v>
      </c>
      <c r="I119" s="234">
        <f>0</f>
        <v>0</v>
      </c>
      <c r="J119" s="234">
        <f>0</f>
        <v>0</v>
      </c>
    </row>
    <row r="120" spans="1:10">
      <c r="A120" s="230" t="s">
        <v>4934</v>
      </c>
      <c r="I120" s="234">
        <f>0</f>
        <v>0</v>
      </c>
      <c r="J120" s="234">
        <f>0</f>
        <v>0</v>
      </c>
    </row>
    <row r="121" spans="1:10">
      <c r="A121" s="230" t="s">
        <v>4933</v>
      </c>
      <c r="I121" s="234">
        <f>0</f>
        <v>0</v>
      </c>
      <c r="J121" s="234">
        <f>0</f>
        <v>0</v>
      </c>
    </row>
    <row r="122" spans="1:10">
      <c r="A122" s="230" t="s">
        <v>4932</v>
      </c>
      <c r="I122" s="234">
        <f>0</f>
        <v>0</v>
      </c>
      <c r="J122" s="234">
        <f>0</f>
        <v>0</v>
      </c>
    </row>
    <row r="123" spans="1:10">
      <c r="A123" s="230" t="s">
        <v>4931</v>
      </c>
      <c r="I123" s="234">
        <f>0</f>
        <v>0</v>
      </c>
      <c r="J123" s="234">
        <f>0</f>
        <v>0</v>
      </c>
    </row>
    <row r="124" spans="1:10">
      <c r="A124" s="230" t="s">
        <v>4930</v>
      </c>
      <c r="I124" s="234">
        <f>0</f>
        <v>0</v>
      </c>
      <c r="J124" s="234">
        <f>0</f>
        <v>0</v>
      </c>
    </row>
    <row r="125" spans="1:10">
      <c r="A125" s="230" t="s">
        <v>4929</v>
      </c>
      <c r="I125" s="234">
        <f>0</f>
        <v>0</v>
      </c>
      <c r="J125" s="234">
        <f>0</f>
        <v>0</v>
      </c>
    </row>
    <row r="126" spans="1:10">
      <c r="A126" s="230" t="s">
        <v>4928</v>
      </c>
      <c r="D126" s="230" t="s">
        <v>4927</v>
      </c>
      <c r="I126" s="234">
        <f>0</f>
        <v>0</v>
      </c>
      <c r="J126" s="234">
        <f>0</f>
        <v>0</v>
      </c>
    </row>
    <row r="127" spans="1:10">
      <c r="A127" s="230" t="s">
        <v>4926</v>
      </c>
      <c r="I127" s="234">
        <f>0</f>
        <v>0</v>
      </c>
      <c r="J127" s="234">
        <f>0</f>
        <v>0</v>
      </c>
    </row>
    <row r="128" spans="1:10">
      <c r="A128" s="230" t="s">
        <v>4925</v>
      </c>
      <c r="I128" s="234">
        <f>0</f>
        <v>0</v>
      </c>
      <c r="J128" s="234">
        <f>0</f>
        <v>0</v>
      </c>
    </row>
    <row r="129" spans="1:18">
      <c r="A129" s="230" t="s">
        <v>4924</v>
      </c>
      <c r="D129" s="230" t="s">
        <v>4923</v>
      </c>
      <c r="I129" s="234">
        <f>0</f>
        <v>0</v>
      </c>
      <c r="J129" s="234">
        <f>0</f>
        <v>0</v>
      </c>
    </row>
    <row r="130" spans="1:18">
      <c r="A130" s="230" t="s">
        <v>4922</v>
      </c>
      <c r="I130" s="234">
        <f>0</f>
        <v>0</v>
      </c>
      <c r="J130" s="234">
        <f>0</f>
        <v>0</v>
      </c>
    </row>
    <row r="131" spans="1:18">
      <c r="A131" s="230" t="s">
        <v>4921</v>
      </c>
      <c r="I131" s="234">
        <f>0</f>
        <v>0</v>
      </c>
      <c r="J131" s="234">
        <f>0</f>
        <v>0</v>
      </c>
    </row>
    <row r="132" spans="1:18">
      <c r="A132" s="230" t="s">
        <v>4920</v>
      </c>
      <c r="I132" s="234">
        <f>0</f>
        <v>0</v>
      </c>
      <c r="J132" s="234">
        <f>0</f>
        <v>0</v>
      </c>
    </row>
    <row r="133" spans="1:18">
      <c r="D133" s="230" t="s">
        <v>4919</v>
      </c>
      <c r="I133" s="234">
        <f>0</f>
        <v>0</v>
      </c>
      <c r="J133" s="234">
        <f>0</f>
        <v>0</v>
      </c>
    </row>
    <row r="134" spans="1:18">
      <c r="D134" s="230" t="s">
        <v>4918</v>
      </c>
      <c r="I134" s="234">
        <f>0</f>
        <v>0</v>
      </c>
      <c r="J134" s="234">
        <f>0</f>
        <v>0</v>
      </c>
    </row>
    <row r="135" spans="1:18">
      <c r="D135" s="230" t="s">
        <v>4917</v>
      </c>
      <c r="I135" s="234">
        <f>0</f>
        <v>0</v>
      </c>
      <c r="J135" s="234">
        <f>0</f>
        <v>0</v>
      </c>
    </row>
    <row r="136" spans="1:18">
      <c r="I136" s="234">
        <f>0</f>
        <v>0</v>
      </c>
      <c r="J136" s="234">
        <f>0</f>
        <v>0</v>
      </c>
    </row>
    <row r="137" spans="1:18">
      <c r="I137" s="234">
        <f>0</f>
        <v>0</v>
      </c>
      <c r="J137" s="234">
        <f>0</f>
        <v>0</v>
      </c>
    </row>
    <row r="138" spans="1:18">
      <c r="I138" s="234">
        <f>0</f>
        <v>0</v>
      </c>
      <c r="J138" s="234">
        <f>0</f>
        <v>0</v>
      </c>
    </row>
    <row r="139" spans="1:18">
      <c r="I139" s="234">
        <f>0</f>
        <v>0</v>
      </c>
      <c r="J139" s="234">
        <f>0</f>
        <v>0</v>
      </c>
    </row>
    <row r="140" spans="1:18">
      <c r="I140" s="234">
        <f>0</f>
        <v>0</v>
      </c>
      <c r="J140" s="234">
        <f>0</f>
        <v>0</v>
      </c>
    </row>
    <row r="141" spans="1:18">
      <c r="I141" s="234">
        <f>0</f>
        <v>0</v>
      </c>
      <c r="J141" s="234">
        <f>0</f>
        <v>0</v>
      </c>
    </row>
    <row r="142" spans="1:18">
      <c r="I142" s="234">
        <f>0</f>
        <v>0</v>
      </c>
      <c r="J142" s="234">
        <f>0</f>
        <v>0</v>
      </c>
    </row>
    <row r="143" spans="1:18">
      <c r="I143" s="234">
        <f>0</f>
        <v>0</v>
      </c>
      <c r="J143" s="234">
        <f>0</f>
        <v>0</v>
      </c>
    </row>
    <row r="144" spans="1:18">
      <c r="A144" s="233" t="s">
        <v>4916</v>
      </c>
      <c r="B144" s="233"/>
      <c r="C144" s="233"/>
      <c r="D144" s="233"/>
      <c r="E144" s="233"/>
      <c r="F144" s="232"/>
      <c r="G144" s="232"/>
      <c r="H144" s="232"/>
      <c r="I144" s="232">
        <f>SUM(I2:I143)</f>
        <v>12</v>
      </c>
      <c r="J144" s="232">
        <f>SUM(J2:J143)</f>
        <v>413</v>
      </c>
      <c r="K144" s="232">
        <f t="shared" ref="K144:P144" si="0">COUNTA(K2:K143)</f>
        <v>0</v>
      </c>
      <c r="L144" s="232">
        <f t="shared" si="0"/>
        <v>0</v>
      </c>
      <c r="M144" s="232">
        <f t="shared" si="0"/>
        <v>0</v>
      </c>
      <c r="N144" s="232">
        <f t="shared" si="0"/>
        <v>0</v>
      </c>
      <c r="O144" s="232">
        <f t="shared" si="0"/>
        <v>0</v>
      </c>
      <c r="P144" s="232">
        <f t="shared" si="0"/>
        <v>0</v>
      </c>
      <c r="Q144" s="232"/>
      <c r="R144" s="232">
        <f>COUNTA(R2:R143)</f>
        <v>0</v>
      </c>
    </row>
    <row r="145" spans="9:10">
      <c r="I145" s="231">
        <f>COUNTA(I2:I143)</f>
        <v>142</v>
      </c>
      <c r="J145" s="231">
        <f>COUNTA(J2:J143)</f>
        <v>142</v>
      </c>
    </row>
  </sheetData>
  <autoFilter ref="A1:R142" xr:uid="{040F8C60-5588-48E0-9475-671905ECC466}">
    <sortState xmlns:xlrd2="http://schemas.microsoft.com/office/spreadsheetml/2017/richdata2" ref="A2:R142">
      <sortCondition descending="1" ref="J1:J142"/>
    </sortState>
  </autoFilter>
  <phoneticPr fontId="66"/>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2"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2"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3</vt:i4>
      </vt:variant>
    </vt:vector>
  </HeadingPairs>
  <TitlesOfParts>
    <vt:vector size="25" baseType="lpstr">
      <vt:lpstr>List</vt:lpstr>
      <vt:lpstr>得意先</vt:lpstr>
      <vt:lpstr>協力会社</vt:lpstr>
      <vt:lpstr>新资源</vt:lpstr>
      <vt:lpstr>00Tools</vt:lpstr>
      <vt:lpstr>PushCycle</vt:lpstr>
      <vt:lpstr>活动参加者</vt:lpstr>
      <vt:lpstr>投资人列表</vt:lpstr>
      <vt:lpstr>机构列表</vt:lpstr>
      <vt:lpstr>Contacts</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Japan Sun Shubin</cp:lastModifiedBy>
  <cp:lastPrinted>2019-12-03T09:57:23Z</cp:lastPrinted>
  <dcterms:created xsi:type="dcterms:W3CDTF">2019-11-04T07:47:16Z</dcterms:created>
  <dcterms:modified xsi:type="dcterms:W3CDTF">2022-05-07T04:39:45Z</dcterms:modified>
</cp:coreProperties>
</file>