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/>
  <workbookPr codeName="ThisWorkbook"/>
  <mc:AlternateContent xmlns:mc="http://schemas.openxmlformats.org/markup-compatibility/2006">
    <mc:Choice Requires="x15">
      <x15ac:absPath xmlns:x15ac="http://schemas.microsoft.com/office/spreadsheetml/2010/11/ac" url="C:\GitHub\SunShubin\Promotion_Tools\"/>
    </mc:Choice>
  </mc:AlternateContent>
  <xr:revisionPtr revIDLastSave="0" documentId="13_ncr:1_{AF694F6E-9B2F-4708-88A1-00C998843695}" xr6:coauthVersionLast="46" xr6:coauthVersionMax="46" xr10:uidLastSave="{00000000-0000-0000-0000-000000000000}"/>
  <bookViews>
    <workbookView xWindow="-120" yWindow="-120" windowWidth="24240" windowHeight="13140" tabRatio="802" activeTab="2" xr2:uid="{00000000-000D-0000-FFFF-FFFF00000000}"/>
  </bookViews>
  <sheets>
    <sheet name="People (2)" sheetId="80" r:id="rId1"/>
    <sheet name="BearyChat弃用" sheetId="34" r:id="rId2"/>
    <sheet name="目次" sheetId="86" r:id="rId3"/>
    <sheet name="BigData2" sheetId="95" r:id="rId4"/>
    <sheet name="SFDC４" sheetId="93" r:id="rId5"/>
    <sheet name="SFDC3" sheetId="94" r:id="rId6"/>
    <sheet name="チェックリスト" sheetId="89" r:id="rId7"/>
    <sheet name="見積" sheetId="90" r:id="rId8"/>
    <sheet name="通帳" sheetId="88" r:id="rId9"/>
    <sheet name="通帳-天時" sheetId="101" r:id="rId10"/>
    <sheet name="収入明細" sheetId="91" r:id="rId11"/>
    <sheet name="授業料支払い" sheetId="92" r:id="rId12"/>
    <sheet name="前提知識" sheetId="96" r:id="rId13"/>
    <sheet name="チェックイン表" sheetId="97" r:id="rId14"/>
    <sheet name="フィードバック" sheetId="98" r:id="rId15"/>
    <sheet name="担当役割" sheetId="99" r:id="rId16"/>
    <sheet name="課程概要_第二回" sheetId="100" r:id="rId17"/>
    <sheet name="抽選賞品-Bigdata2" sheetId="102" r:id="rId18"/>
    <sheet name="スケジュール-基盤" sheetId="103" r:id="rId19"/>
    <sheet name="参加者登録表" sheetId="104" r:id="rId20"/>
  </sheets>
  <externalReferences>
    <externalReference r:id="rId21"/>
    <externalReference r:id="rId22"/>
    <externalReference r:id="rId23"/>
  </externalReferences>
  <definedNames>
    <definedName name="_xlnm._FilterDatabase" localSheetId="0" hidden="1">'People (2)'!$A$1:$R$142</definedName>
    <definedName name="IT">[1]Dict!#REF!</definedName>
    <definedName name="IT技能">#REF!</definedName>
    <definedName name="Life">#REF!</definedName>
    <definedName name="Password">#REF!</definedName>
    <definedName name="_xlnm.Print_Area" localSheetId="5">SFDC3!$A$1:$H$21</definedName>
    <definedName name="_xlnm.Print_Area" localSheetId="4">SFDC４!$A$1:$H$21</definedName>
    <definedName name="_xlnm.Print_Area" localSheetId="13">チェックイン表!$A$1:$L$20</definedName>
    <definedName name="_xlnm.Print_Area" localSheetId="19">参加者登録表!$A$1:$F$25</definedName>
    <definedName name="_xlnm.Print_Area" localSheetId="10">収入明細!$A$1:$E$20</definedName>
    <definedName name="_xlnm.Print_Area" localSheetId="15">担当役割!$A$1:$C$8</definedName>
    <definedName name="_xlnm.Print_Area" localSheetId="17">'抽選賞品-Bigdata2'!$A$1:$G$14</definedName>
    <definedName name="_xlnm.Print_Area" localSheetId="8">通帳!$A$1:$G$72</definedName>
    <definedName name="_xlnm.Print_Area" localSheetId="9">'通帳-天時'!$A$1:$G$73</definedName>
    <definedName name="_xlnm.Print_Area" localSheetId="2">目次!$A$1:$C$16</definedName>
    <definedName name="_xlnm.Print_Titles" localSheetId="13">チェックイン表!$B:$B,チェックイン表!$1:$2</definedName>
    <definedName name="_xlnm.Print_Titles" localSheetId="8">通帳!$1:$2</definedName>
    <definedName name="_xlnm.Print_Titles" localSheetId="9">'通帳-天時'!$1:$2</definedName>
    <definedName name="unnamed1">#REF!</definedName>
    <definedName name="unnamed2">'[2]Training Plan'!$A$246:$J$248</definedName>
    <definedName name="Word">#REF!</definedName>
    <definedName name="Word_Excel_BuiltIn__FilterDatabase">'[3]Word '!$A$1:$U$3395</definedName>
    <definedName name="Work">#REF!</definedName>
    <definedName name="英語">#REF!</definedName>
    <definedName name="活用">[1]Dict!#REF!</definedName>
    <definedName name="工作">[1]Dict!#REF!</definedName>
    <definedName name="人物">[1]Dict!#REF!</definedName>
    <definedName name="生活">[1]Dict!#REF!</definedName>
    <definedName name="青少年室">#REF!</definedName>
    <definedName name="知识">[1]Dict!#REF!</definedName>
    <definedName name="読書">#REF!</definedName>
    <definedName name="日本語">#REF!</definedName>
    <definedName name="日剧">#REF!</definedName>
    <definedName name="福冈县立">#REF!</definedName>
    <definedName name="文法">[1]Dict!#REF!</definedName>
    <definedName name="料理">[1]Dict!#REF!</definedName>
    <definedName name="专用词">[1]Dict!#REF!</definedName>
    <definedName name="业务">[1]Dict!#REF!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0" i="102" l="1"/>
  <c r="D9" i="102"/>
  <c r="D8" i="102"/>
  <c r="D7" i="102"/>
  <c r="D6" i="102"/>
  <c r="D5" i="102"/>
  <c r="D15" i="102" s="1"/>
  <c r="G73" i="101"/>
  <c r="G72" i="101"/>
  <c r="F72" i="101"/>
  <c r="E72" i="101"/>
  <c r="D72" i="101"/>
  <c r="E73" i="101" s="1"/>
  <c r="H34" i="101"/>
  <c r="I24" i="95"/>
  <c r="H21" i="94"/>
  <c r="C21" i="91"/>
  <c r="C10" i="90"/>
  <c r="B10" i="90"/>
  <c r="B6" i="90"/>
  <c r="D10" i="90" s="1"/>
  <c r="G71" i="88"/>
  <c r="F71" i="88"/>
  <c r="G72" i="88" s="1"/>
  <c r="E71" i="88"/>
  <c r="D71" i="88"/>
  <c r="E72" i="88" s="1"/>
  <c r="R144" i="80"/>
  <c r="P144" i="80"/>
  <c r="O144" i="80"/>
  <c r="N144" i="80"/>
  <c r="M144" i="80"/>
  <c r="L144" i="80"/>
  <c r="K144" i="80"/>
  <c r="J143" i="80"/>
  <c r="I143" i="80"/>
  <c r="J142" i="80"/>
  <c r="I142" i="80"/>
  <c r="J141" i="80"/>
  <c r="I141" i="80"/>
  <c r="J140" i="80"/>
  <c r="I140" i="80"/>
  <c r="J139" i="80"/>
  <c r="I139" i="80"/>
  <c r="J138" i="80"/>
  <c r="I138" i="80"/>
  <c r="J137" i="80"/>
  <c r="I137" i="80"/>
  <c r="J136" i="80"/>
  <c r="I136" i="80"/>
  <c r="J135" i="80"/>
  <c r="I135" i="80"/>
  <c r="J134" i="80"/>
  <c r="I134" i="80"/>
  <c r="J133" i="80"/>
  <c r="I133" i="80"/>
  <c r="J132" i="80"/>
  <c r="I132" i="80"/>
  <c r="J131" i="80"/>
  <c r="I131" i="80"/>
  <c r="J130" i="80"/>
  <c r="I130" i="80"/>
  <c r="J129" i="80"/>
  <c r="I129" i="80"/>
  <c r="J128" i="80"/>
  <c r="I128" i="80"/>
  <c r="J127" i="80"/>
  <c r="I127" i="80"/>
  <c r="J126" i="80"/>
  <c r="I126" i="80"/>
  <c r="J125" i="80"/>
  <c r="I125" i="80"/>
  <c r="J124" i="80"/>
  <c r="I124" i="80"/>
  <c r="J123" i="80"/>
  <c r="I123" i="80"/>
  <c r="J122" i="80"/>
  <c r="I122" i="80"/>
  <c r="J121" i="80"/>
  <c r="I121" i="80"/>
  <c r="J120" i="80"/>
  <c r="I120" i="80"/>
  <c r="J119" i="80"/>
  <c r="I119" i="80"/>
  <c r="J118" i="80"/>
  <c r="I118" i="80"/>
  <c r="J117" i="80"/>
  <c r="I117" i="80"/>
  <c r="J116" i="80"/>
  <c r="I116" i="80"/>
  <c r="J115" i="80"/>
  <c r="I115" i="80"/>
  <c r="J114" i="80"/>
  <c r="I114" i="80"/>
  <c r="J113" i="80"/>
  <c r="I113" i="80"/>
  <c r="J112" i="80"/>
  <c r="I112" i="80"/>
  <c r="J111" i="80"/>
  <c r="I111" i="80"/>
  <c r="J110" i="80"/>
  <c r="I110" i="80"/>
  <c r="J109" i="80"/>
  <c r="I109" i="80"/>
  <c r="J108" i="80"/>
  <c r="I108" i="80"/>
  <c r="J107" i="80"/>
  <c r="I107" i="80"/>
  <c r="J106" i="80"/>
  <c r="I106" i="80"/>
  <c r="J105" i="80"/>
  <c r="I105" i="80"/>
  <c r="J104" i="80"/>
  <c r="I104" i="80"/>
  <c r="J103" i="80"/>
  <c r="I103" i="80"/>
  <c r="J102" i="80"/>
  <c r="I102" i="80"/>
  <c r="J101" i="80"/>
  <c r="I101" i="80"/>
  <c r="J100" i="80"/>
  <c r="I100" i="80"/>
  <c r="J99" i="80"/>
  <c r="I99" i="80"/>
  <c r="J98" i="80"/>
  <c r="I98" i="80"/>
  <c r="J97" i="80"/>
  <c r="I97" i="80"/>
  <c r="J96" i="80"/>
  <c r="I96" i="80"/>
  <c r="J95" i="80"/>
  <c r="I95" i="80"/>
  <c r="J94" i="80"/>
  <c r="I94" i="80"/>
  <c r="J93" i="80"/>
  <c r="I93" i="80"/>
  <c r="J92" i="80"/>
  <c r="I92" i="80"/>
  <c r="J91" i="80"/>
  <c r="I91" i="80"/>
  <c r="J90" i="80"/>
  <c r="I90" i="80"/>
  <c r="J89" i="80"/>
  <c r="I89" i="80"/>
  <c r="J88" i="80"/>
  <c r="I88" i="80"/>
  <c r="J87" i="80"/>
  <c r="I87" i="80"/>
  <c r="J86" i="80"/>
  <c r="I86" i="80"/>
  <c r="J85" i="80"/>
  <c r="I85" i="80"/>
  <c r="J84" i="80"/>
  <c r="I84" i="80"/>
  <c r="J83" i="80"/>
  <c r="I83" i="80"/>
  <c r="J82" i="80"/>
  <c r="I82" i="80"/>
  <c r="J81" i="80"/>
  <c r="I81" i="80"/>
  <c r="J80" i="80"/>
  <c r="I80" i="80"/>
  <c r="J79" i="80"/>
  <c r="I79" i="80"/>
  <c r="J78" i="80"/>
  <c r="I78" i="80"/>
  <c r="J77" i="80"/>
  <c r="I77" i="80"/>
  <c r="J76" i="80"/>
  <c r="I76" i="80"/>
  <c r="J75" i="80"/>
  <c r="I75" i="80"/>
  <c r="J74" i="80"/>
  <c r="I74" i="80"/>
  <c r="J73" i="80"/>
  <c r="I73" i="80"/>
  <c r="J72" i="80"/>
  <c r="I72" i="80"/>
  <c r="J71" i="80"/>
  <c r="I71" i="80"/>
  <c r="J70" i="80"/>
  <c r="I70" i="80"/>
  <c r="J69" i="80"/>
  <c r="I69" i="80"/>
  <c r="J68" i="80"/>
  <c r="I68" i="80"/>
  <c r="J67" i="80"/>
  <c r="I67" i="80"/>
  <c r="J66" i="80"/>
  <c r="I66" i="80"/>
  <c r="J65" i="80"/>
  <c r="I65" i="80"/>
  <c r="J64" i="80"/>
  <c r="I64" i="80"/>
  <c r="J63" i="80"/>
  <c r="I63" i="80"/>
  <c r="J62" i="80"/>
  <c r="I62" i="80"/>
  <c r="J61" i="80"/>
  <c r="I61" i="80"/>
  <c r="J60" i="80"/>
  <c r="I60" i="80"/>
  <c r="J59" i="80"/>
  <c r="I59" i="80"/>
  <c r="J58" i="80"/>
  <c r="I58" i="80"/>
  <c r="J57" i="80"/>
  <c r="I57" i="80"/>
  <c r="J56" i="80"/>
  <c r="I56" i="80"/>
  <c r="J55" i="80"/>
  <c r="I55" i="80"/>
  <c r="J54" i="80"/>
  <c r="I54" i="80"/>
  <c r="J53" i="80"/>
  <c r="I53" i="80"/>
  <c r="J52" i="80"/>
  <c r="I52" i="80"/>
  <c r="J51" i="80"/>
  <c r="I51" i="80"/>
  <c r="J50" i="80"/>
  <c r="I50" i="80"/>
  <c r="J49" i="80"/>
  <c r="I49" i="80"/>
  <c r="J48" i="80"/>
  <c r="I48" i="80"/>
  <c r="J47" i="80"/>
  <c r="I47" i="80"/>
  <c r="J46" i="80"/>
  <c r="I46" i="80"/>
  <c r="J45" i="80"/>
  <c r="I45" i="80"/>
  <c r="J44" i="80"/>
  <c r="I44" i="80"/>
  <c r="J43" i="80"/>
  <c r="I43" i="80"/>
  <c r="J42" i="80"/>
  <c r="I42" i="80"/>
  <c r="J41" i="80"/>
  <c r="I41" i="80"/>
  <c r="J40" i="80"/>
  <c r="I40" i="80"/>
  <c r="J39" i="80"/>
  <c r="I39" i="80"/>
  <c r="J38" i="80"/>
  <c r="I38" i="80"/>
  <c r="J37" i="80"/>
  <c r="I37" i="80"/>
  <c r="J36" i="80"/>
  <c r="I36" i="80"/>
  <c r="J35" i="80"/>
  <c r="I35" i="80"/>
  <c r="J34" i="80"/>
  <c r="I34" i="80"/>
  <c r="J33" i="80"/>
  <c r="I33" i="80"/>
  <c r="J32" i="80"/>
  <c r="I32" i="80"/>
  <c r="J31" i="80"/>
  <c r="I31" i="80"/>
  <c r="J30" i="80"/>
  <c r="I30" i="80"/>
  <c r="J29" i="80"/>
  <c r="I29" i="80"/>
  <c r="J28" i="80"/>
  <c r="I28" i="80"/>
  <c r="J27" i="80"/>
  <c r="I27" i="80"/>
  <c r="J26" i="80"/>
  <c r="I26" i="80"/>
  <c r="J25" i="80"/>
  <c r="I25" i="80"/>
  <c r="J24" i="80"/>
  <c r="I24" i="80"/>
  <c r="J23" i="80"/>
  <c r="I23" i="80"/>
  <c r="J22" i="80"/>
  <c r="I22" i="80"/>
  <c r="J21" i="80"/>
  <c r="I21" i="80"/>
  <c r="J20" i="80"/>
  <c r="I20" i="80"/>
  <c r="J19" i="80"/>
  <c r="I19" i="80"/>
  <c r="J18" i="80"/>
  <c r="I18" i="80"/>
  <c r="J17" i="80"/>
  <c r="I17" i="80"/>
  <c r="J16" i="80"/>
  <c r="I16" i="80"/>
  <c r="J15" i="80"/>
  <c r="I15" i="80"/>
  <c r="J14" i="80"/>
  <c r="I14" i="80"/>
  <c r="J13" i="80"/>
  <c r="I13" i="80"/>
  <c r="J12" i="80"/>
  <c r="I12" i="80"/>
  <c r="J11" i="80"/>
  <c r="I11" i="80"/>
  <c r="J10" i="80"/>
  <c r="I10" i="80"/>
  <c r="J9" i="80"/>
  <c r="I9" i="80"/>
  <c r="J8" i="80"/>
  <c r="I8" i="80"/>
  <c r="J7" i="80"/>
  <c r="I7" i="80"/>
  <c r="J6" i="80"/>
  <c r="I6" i="80"/>
  <c r="J5" i="80"/>
  <c r="I5" i="80"/>
  <c r="J4" i="80"/>
  <c r="I4" i="80"/>
  <c r="J3" i="80"/>
  <c r="I3" i="80"/>
  <c r="J2" i="80"/>
  <c r="J145" i="80" s="1"/>
  <c r="I2" i="80"/>
  <c r="I144" i="80" s="1"/>
  <c r="J144" i="80" l="1"/>
  <c r="I145" i="80"/>
</calcChain>
</file>

<file path=xl/sharedStrings.xml><?xml version="1.0" encoding="utf-8"?>
<sst xmlns="http://schemas.openxmlformats.org/spreadsheetml/2006/main" count="1027" uniqueCount="722">
  <si>
    <t>●</t>
    <phoneticPr fontId="8" type="noConversion"/>
  </si>
  <si>
    <t>Blockchain</t>
    <phoneticPr fontId="8" type="noConversion"/>
  </si>
  <si>
    <t>Android</t>
    <phoneticPr fontId="8" type="noConversion"/>
  </si>
  <si>
    <t>bearychat</t>
    <phoneticPr fontId="8" type="noConversion"/>
  </si>
  <si>
    <t>Mail</t>
    <phoneticPr fontId="8" type="noConversion"/>
  </si>
  <si>
    <t>密码</t>
    <phoneticPr fontId="8" type="noConversion"/>
  </si>
  <si>
    <t>career</t>
    <phoneticPr fontId="8" type="noConversion"/>
  </si>
  <si>
    <t>itjob</t>
    <phoneticPr fontId="8" type="noConversion"/>
  </si>
  <si>
    <t>japan</t>
    <phoneticPr fontId="8" type="noConversion"/>
  </si>
  <si>
    <t>japanese</t>
    <phoneticPr fontId="8" type="noConversion"/>
  </si>
  <si>
    <t>korean</t>
    <phoneticPr fontId="8" type="noConversion"/>
  </si>
  <si>
    <t>devops</t>
    <phoneticPr fontId="8" type="noConversion"/>
  </si>
  <si>
    <t>Iot-ai</t>
    <phoneticPr fontId="8" type="noConversion"/>
  </si>
  <si>
    <t>tensorflow</t>
    <phoneticPr fontId="8" type="noConversion"/>
  </si>
  <si>
    <t>wagby</t>
    <phoneticPr fontId="8" type="noConversion"/>
  </si>
  <si>
    <t>salesforce</t>
    <phoneticPr fontId="8" type="noConversion"/>
  </si>
  <si>
    <t>ios</t>
    <phoneticPr fontId="8" type="noConversion"/>
  </si>
  <si>
    <t>Mainframe</t>
    <phoneticPr fontId="8" type="noConversion"/>
  </si>
  <si>
    <t>COBOL</t>
    <phoneticPr fontId="8" type="noConversion"/>
  </si>
  <si>
    <t>PL1</t>
    <phoneticPr fontId="8" type="noConversion"/>
  </si>
  <si>
    <t>Vlane</t>
    <phoneticPr fontId="8" type="noConversion"/>
  </si>
  <si>
    <t>GameOne</t>
    <phoneticPr fontId="8" type="noConversion"/>
  </si>
  <si>
    <t>Trex-group</t>
    <phoneticPr fontId="8" type="noConversion"/>
  </si>
  <si>
    <t>trex</t>
    <phoneticPr fontId="8" type="noConversion"/>
  </si>
  <si>
    <t>tenji</t>
    <phoneticPr fontId="8" type="noConversion"/>
  </si>
  <si>
    <t>ten-ji</t>
    <phoneticPr fontId="8" type="noConversion"/>
  </si>
  <si>
    <r>
      <rPr>
        <sz val="11"/>
        <rFont val="Calibri"/>
        <family val="2"/>
      </rPr>
      <t>ssb</t>
    </r>
    <r>
      <rPr>
        <sz val="11"/>
        <color rgb="FF000000"/>
        <rFont val="微软雅黑"/>
        <family val="2"/>
        <charset val="134"/>
      </rPr>
      <t>@my</t>
    </r>
    <phoneticPr fontId="8" type="noConversion"/>
  </si>
  <si>
    <t>〇</t>
    <phoneticPr fontId="8" type="noConversion"/>
  </si>
  <si>
    <t>ssb@in</t>
    <phoneticPr fontId="8" type="noConversion"/>
  </si>
  <si>
    <t>ssb@jp</t>
    <phoneticPr fontId="8" type="noConversion"/>
  </si>
  <si>
    <r>
      <rPr>
        <u/>
        <sz val="11"/>
        <color rgb="FF0563C1"/>
        <rFont val="等线"/>
        <family val="3"/>
        <charset val="134"/>
      </rPr>
      <t>ssb@kr</t>
    </r>
    <phoneticPr fontId="8" type="noConversion"/>
  </si>
  <si>
    <t>Ssb@co.id</t>
    <phoneticPr fontId="8" type="noConversion"/>
  </si>
  <si>
    <r>
      <rPr>
        <sz val="11"/>
        <rFont val="微软雅黑"/>
        <family val="2"/>
        <charset val="134"/>
      </rPr>
      <t>ssb</t>
    </r>
    <r>
      <rPr>
        <sz val="11"/>
        <color rgb="FF000000"/>
        <rFont val="Calibri"/>
        <family val="2"/>
      </rPr>
      <t>@com.pe</t>
    </r>
    <phoneticPr fontId="8" type="noConversion"/>
  </si>
  <si>
    <r>
      <rPr>
        <sz val="11"/>
        <rFont val="Calibri"/>
        <family val="2"/>
      </rPr>
      <t>s</t>
    </r>
    <r>
      <rPr>
        <sz val="11"/>
        <color rgb="FF000000"/>
        <rFont val="微软雅黑"/>
        <family val="2"/>
        <charset val="134"/>
      </rPr>
      <t>sb</t>
    </r>
    <r>
      <rPr>
        <sz val="11"/>
        <color rgb="FF000000"/>
        <rFont val="Calibri"/>
        <family val="2"/>
      </rPr>
      <t>@co.il</t>
    </r>
    <phoneticPr fontId="8" type="noConversion"/>
  </si>
  <si>
    <t>ssb@sa</t>
    <phoneticPr fontId="8" type="noConversion"/>
  </si>
  <si>
    <t>si@jp</t>
    <phoneticPr fontId="8" type="noConversion"/>
  </si>
  <si>
    <t>Zx</t>
    <phoneticPr fontId="8" type="noConversion"/>
  </si>
  <si>
    <t>di@it</t>
    <phoneticPr fontId="8" type="noConversion"/>
  </si>
  <si>
    <t>Xz</t>
    <phoneticPr fontId="8" type="noConversion"/>
  </si>
  <si>
    <t>ssb@Vlane</t>
    <phoneticPr fontId="8" type="noConversion"/>
  </si>
  <si>
    <t>gameone-group</t>
    <phoneticPr fontId="8" type="noConversion"/>
  </si>
  <si>
    <r>
      <rPr>
        <u/>
        <sz val="11"/>
        <color rgb="FF0563C1"/>
        <rFont val="等线"/>
        <family val="3"/>
        <charset val="134"/>
      </rPr>
      <t>ssb@jp</t>
    </r>
    <phoneticPr fontId="8" type="noConversion"/>
  </si>
  <si>
    <t>itjob-japanese</t>
    <phoneticPr fontId="8" type="noConversion"/>
  </si>
  <si>
    <t>itjob-salesforce</t>
    <phoneticPr fontId="8" type="noConversion"/>
  </si>
  <si>
    <t>Japanese</t>
    <phoneticPr fontId="1" type="noConversion"/>
  </si>
  <si>
    <t>密码</t>
  </si>
  <si>
    <t>●</t>
    <phoneticPr fontId="27" type="noConversion"/>
  </si>
  <si>
    <t>●</t>
  </si>
  <si>
    <t>Docker</t>
    <phoneticPr fontId="2"/>
  </si>
  <si>
    <t>GitHub</t>
    <phoneticPr fontId="2"/>
  </si>
  <si>
    <t>Blockchain</t>
    <phoneticPr fontId="1" type="noConversion"/>
  </si>
  <si>
    <t>SF0</t>
    <phoneticPr fontId="1" type="noConversion"/>
  </si>
  <si>
    <t>bearychat</t>
    <phoneticPr fontId="27" type="noConversion"/>
  </si>
  <si>
    <t>Mail</t>
  </si>
  <si>
    <t>career</t>
    <phoneticPr fontId="27" type="noConversion"/>
  </si>
  <si>
    <t>itjob</t>
    <phoneticPr fontId="27" type="noConversion"/>
  </si>
  <si>
    <t>japan</t>
    <phoneticPr fontId="27" type="noConversion"/>
  </si>
  <si>
    <t>japanese</t>
    <phoneticPr fontId="27" type="noConversion"/>
  </si>
  <si>
    <t>korean</t>
    <phoneticPr fontId="27" type="noConversion"/>
  </si>
  <si>
    <t>devops</t>
    <phoneticPr fontId="27" type="noConversion"/>
  </si>
  <si>
    <t>Iot-ai</t>
    <phoneticPr fontId="27" type="noConversion"/>
  </si>
  <si>
    <t>tensorflow</t>
    <phoneticPr fontId="27" type="noConversion"/>
  </si>
  <si>
    <t>wagby</t>
  </si>
  <si>
    <t>salesforce</t>
    <phoneticPr fontId="27" type="noConversion"/>
  </si>
  <si>
    <t>Android</t>
    <phoneticPr fontId="27" type="noConversion"/>
  </si>
  <si>
    <t>ios</t>
    <phoneticPr fontId="27" type="noConversion"/>
  </si>
  <si>
    <t>Mainframe</t>
    <phoneticPr fontId="27" type="noConversion"/>
  </si>
  <si>
    <t>COBOL</t>
    <phoneticPr fontId="27" type="noConversion"/>
  </si>
  <si>
    <t>PL1</t>
    <phoneticPr fontId="27" type="noConversion"/>
  </si>
  <si>
    <t>Vlane</t>
    <phoneticPr fontId="1" type="noConversion"/>
  </si>
  <si>
    <t>GameOne</t>
    <phoneticPr fontId="1" type="noConversion"/>
  </si>
  <si>
    <t>Trex-group</t>
  </si>
  <si>
    <t>trex</t>
  </si>
  <si>
    <t>tenji</t>
    <phoneticPr fontId="27" type="noConversion"/>
  </si>
  <si>
    <t>ten-ji</t>
    <phoneticPr fontId="27" type="noConversion"/>
  </si>
  <si>
    <r>
      <t>ssb</t>
    </r>
    <r>
      <rPr>
        <sz val="11"/>
        <color theme="1"/>
        <rFont val="微软雅黑"/>
        <family val="2"/>
        <charset val="134"/>
      </rPr>
      <t>@my</t>
    </r>
  </si>
  <si>
    <t>〇</t>
  </si>
  <si>
    <t>ssb@in</t>
  </si>
  <si>
    <t>ssb@jp</t>
    <phoneticPr fontId="27" type="noConversion"/>
  </si>
  <si>
    <t>ssb@kr</t>
    <phoneticPr fontId="27" type="noConversion"/>
  </si>
  <si>
    <t>Ssb@co.id</t>
  </si>
  <si>
    <r>
      <t>ssb</t>
    </r>
    <r>
      <rPr>
        <sz val="11"/>
        <color theme="1"/>
        <rFont val="Calibri"/>
        <family val="2"/>
      </rPr>
      <t>@com.pe</t>
    </r>
  </si>
  <si>
    <r>
      <t>s</t>
    </r>
    <r>
      <rPr>
        <sz val="11"/>
        <color theme="1"/>
        <rFont val="微软雅黑"/>
        <family val="2"/>
        <charset val="134"/>
      </rPr>
      <t>sb</t>
    </r>
    <r>
      <rPr>
        <sz val="11"/>
        <color theme="1"/>
        <rFont val="Calibri"/>
        <family val="2"/>
      </rPr>
      <t>@co.il</t>
    </r>
  </si>
  <si>
    <t>ssb@sa</t>
  </si>
  <si>
    <t>si@jp</t>
    <phoneticPr fontId="1" type="noConversion"/>
  </si>
  <si>
    <t>Zx</t>
    <phoneticPr fontId="27" type="noConversion"/>
  </si>
  <si>
    <t>di@it</t>
    <phoneticPr fontId="1" type="noConversion"/>
  </si>
  <si>
    <t>Xz</t>
    <phoneticPr fontId="1" type="noConversion"/>
  </si>
  <si>
    <t>ssb@Vlane</t>
    <phoneticPr fontId="1" type="noConversion"/>
  </si>
  <si>
    <t>gameone-group</t>
    <phoneticPr fontId="1" type="noConversion"/>
  </si>
  <si>
    <t>itjob-japanese</t>
    <phoneticPr fontId="27" type="noConversion"/>
  </si>
  <si>
    <t>itjob-salesforce</t>
    <phoneticPr fontId="27" type="noConversion"/>
  </si>
  <si>
    <t>所属</t>
    <phoneticPr fontId="1" type="noConversion"/>
  </si>
  <si>
    <t>职位</t>
    <phoneticPr fontId="1" type="noConversion"/>
  </si>
  <si>
    <t>微信号</t>
    <phoneticPr fontId="1" type="noConversion"/>
  </si>
  <si>
    <t>QQ号</t>
    <phoneticPr fontId="1" type="noConversion"/>
  </si>
  <si>
    <t>SF1</t>
    <phoneticPr fontId="1" type="noConversion"/>
  </si>
  <si>
    <t>SF2</t>
    <phoneticPr fontId="1" type="noConversion"/>
  </si>
  <si>
    <t>SF3</t>
    <phoneticPr fontId="1" type="noConversion"/>
  </si>
  <si>
    <t>SF4</t>
    <phoneticPr fontId="1" type="noConversion"/>
  </si>
  <si>
    <t>SF5</t>
    <phoneticPr fontId="1" type="noConversion"/>
  </si>
  <si>
    <t>SF6</t>
  </si>
  <si>
    <t>郝泽萱</t>
    <phoneticPr fontId="1" type="noConversion"/>
  </si>
  <si>
    <t>jesuslovejoy</t>
    <phoneticPr fontId="1" type="noConversion"/>
  </si>
  <si>
    <t>海阔天空</t>
  </si>
  <si>
    <t>soho_visa</t>
    <phoneticPr fontId="1" type="noConversion"/>
  </si>
  <si>
    <t>倪永华</t>
    <phoneticPr fontId="1" type="noConversion"/>
  </si>
  <si>
    <t>niieika</t>
    <phoneticPr fontId="1" type="noConversion"/>
  </si>
  <si>
    <t>saki1987</t>
    <phoneticPr fontId="1" type="noConversion"/>
  </si>
  <si>
    <t>Delahoya</t>
    <phoneticPr fontId="1" type="noConversion"/>
  </si>
  <si>
    <t>jango</t>
    <phoneticPr fontId="1" type="noConversion"/>
  </si>
  <si>
    <t>lampsy_tyq</t>
    <phoneticPr fontId="1" type="noConversion"/>
  </si>
  <si>
    <t>TGKW</t>
  </si>
  <si>
    <t>TianChao</t>
  </si>
  <si>
    <t>TianChao2015</t>
    <phoneticPr fontId="1" type="noConversion"/>
  </si>
  <si>
    <t>zoe@SFDC</t>
  </si>
  <si>
    <t>橙汁</t>
  </si>
  <si>
    <t>wangqi77qi</t>
    <phoneticPr fontId="1" type="noConversion"/>
  </si>
  <si>
    <t>黄克东@trex</t>
  </si>
  <si>
    <t>huangked</t>
    <phoneticPr fontId="1" type="noConversion"/>
  </si>
  <si>
    <t>九日木杉</t>
  </si>
  <si>
    <t>九日木杉</t>
    <phoneticPr fontId="1" type="noConversion"/>
  </si>
  <si>
    <t>老⁶</t>
  </si>
  <si>
    <t>M34421511</t>
    <phoneticPr fontId="1" type="noConversion"/>
  </si>
  <si>
    <t>梁学广@SFDC</t>
  </si>
  <si>
    <t>路友林@SFDC2</t>
  </si>
  <si>
    <t>skyblue365</t>
    <phoneticPr fontId="1" type="noConversion"/>
  </si>
  <si>
    <t>漫步人生路</t>
    <phoneticPr fontId="1" type="noConversion"/>
  </si>
  <si>
    <t>面包片</t>
    <phoneticPr fontId="1" type="noConversion"/>
  </si>
  <si>
    <t>深海@SFDC</t>
  </si>
  <si>
    <t>王小布</t>
    <phoneticPr fontId="1" type="noConversion"/>
  </si>
  <si>
    <t>toyko2013</t>
    <phoneticPr fontId="1" type="noConversion"/>
  </si>
  <si>
    <t>小刘</t>
    <phoneticPr fontId="1" type="noConversion"/>
  </si>
  <si>
    <t>谢行勇</t>
    <phoneticPr fontId="1" type="noConversion"/>
  </si>
  <si>
    <t>杨峰@SFDC</t>
  </si>
  <si>
    <t>杨田</t>
    <phoneticPr fontId="1" type="noConversion"/>
  </si>
  <si>
    <t>yangtian719</t>
    <phoneticPr fontId="1" type="noConversion"/>
  </si>
  <si>
    <t>赵丹</t>
    <phoneticPr fontId="1" type="noConversion"/>
  </si>
  <si>
    <t>z919269630</t>
    <phoneticPr fontId="1" type="noConversion"/>
  </si>
  <si>
    <t>竹车已真</t>
  </si>
  <si>
    <t>祝杰</t>
  </si>
  <si>
    <t>zhujie0518</t>
    <phoneticPr fontId="1" type="noConversion"/>
  </si>
  <si>
    <t>リシン</t>
    <phoneticPr fontId="1" type="noConversion"/>
  </si>
  <si>
    <t>个人技术者董</t>
    <phoneticPr fontId="1" type="noConversion"/>
  </si>
  <si>
    <t>佳佳</t>
    <phoneticPr fontId="1" type="noConversion"/>
  </si>
  <si>
    <t>小妖精</t>
    <phoneticPr fontId="1" type="noConversion"/>
  </si>
  <si>
    <t>笑宇</t>
    <phoneticPr fontId="1" type="noConversion"/>
  </si>
  <si>
    <t>周鹏</t>
    <phoneticPr fontId="1" type="noConversion"/>
  </si>
  <si>
    <t>飛</t>
    <phoneticPr fontId="1" type="noConversion"/>
  </si>
  <si>
    <t>ランボ</t>
    <phoneticPr fontId="1" type="noConversion"/>
  </si>
  <si>
    <t>十三13</t>
    <phoneticPr fontId="1" type="noConversion"/>
  </si>
  <si>
    <t>理想</t>
    <phoneticPr fontId="1" type="noConversion"/>
  </si>
  <si>
    <t>チョウウ</t>
    <phoneticPr fontId="1" type="noConversion"/>
  </si>
  <si>
    <t>@SFDC6予约</t>
  </si>
  <si>
    <t>A“(´･ω･`)”A</t>
  </si>
  <si>
    <t>chenbinly</t>
    <phoneticPr fontId="1" type="noConversion"/>
  </si>
  <si>
    <t>Agent美@SFDC</t>
  </si>
  <si>
    <t>aixiaozhicom</t>
    <phoneticPr fontId="1" type="noConversion"/>
  </si>
  <si>
    <t>aiueok@SFDC</t>
  </si>
  <si>
    <t>Antares</t>
    <phoneticPr fontId="1" type="noConversion"/>
  </si>
  <si>
    <t>a-YOU</t>
  </si>
  <si>
    <t>afish81</t>
    <phoneticPr fontId="1" type="noConversion"/>
  </si>
  <si>
    <t>A樱木_小海</t>
  </si>
  <si>
    <t>djbdc666</t>
    <phoneticPr fontId="1" type="noConversion"/>
  </si>
  <si>
    <t>Dannyriff</t>
  </si>
  <si>
    <t>Faye 冯</t>
  </si>
  <si>
    <t>tong_xingxing</t>
    <phoneticPr fontId="1" type="noConversion"/>
  </si>
  <si>
    <t>fukushun.ka</t>
    <phoneticPr fontId="1" type="noConversion"/>
  </si>
  <si>
    <t>hello</t>
  </si>
  <si>
    <t>wxid_7eni3wevcrft11</t>
    <phoneticPr fontId="1" type="noConversion"/>
  </si>
  <si>
    <t>IT&amp;UR团地营业阿斌</t>
    <phoneticPr fontId="1" type="noConversion"/>
  </si>
  <si>
    <t>abin-5200</t>
    <phoneticPr fontId="1" type="noConversion"/>
  </si>
  <si>
    <t>Jason</t>
    <phoneticPr fontId="1" type="noConversion"/>
  </si>
  <si>
    <t>K</t>
  </si>
  <si>
    <t>kiku酱</t>
  </si>
  <si>
    <t>lalala</t>
  </si>
  <si>
    <t>lemon16@SFDC</t>
  </si>
  <si>
    <t>Mr.Chin</t>
  </si>
  <si>
    <t>songfeifei1984</t>
    <phoneticPr fontId="1" type="noConversion"/>
  </si>
  <si>
    <t>R</t>
  </si>
  <si>
    <t>Rin</t>
  </si>
  <si>
    <t>Leongbin</t>
    <phoneticPr fontId="1" type="noConversion"/>
  </si>
  <si>
    <t>RUKA</t>
  </si>
  <si>
    <t>Seikou</t>
  </si>
  <si>
    <t>qiuyin423159</t>
    <phoneticPr fontId="1" type="noConversion"/>
  </si>
  <si>
    <t>sun@SF培训</t>
  </si>
  <si>
    <t>sunmika@AWS咨询</t>
  </si>
  <si>
    <t>xingrui_911</t>
    <phoneticPr fontId="1" type="noConversion"/>
  </si>
  <si>
    <t>SYB.Sunshubin@Asia.World</t>
  </si>
  <si>
    <t>Tommy</t>
  </si>
  <si>
    <t>SunMika111</t>
    <phoneticPr fontId="1" type="noConversion"/>
  </si>
  <si>
    <t>tony</t>
  </si>
  <si>
    <t>Z_Hurting…#_#</t>
  </si>
  <si>
    <t>zhai zg@SFDC</t>
  </si>
  <si>
    <t>linhan1986</t>
    <phoneticPr fontId="1" type="noConversion"/>
  </si>
  <si>
    <t>Zzzl思念漫太古</t>
  </si>
  <si>
    <t>おう＊シ*ン@SFDC5咨询</t>
  </si>
  <si>
    <t>サリー酱</t>
  </si>
  <si>
    <t>ポニュー</t>
  </si>
  <si>
    <t>メロンパン</t>
    <phoneticPr fontId="1" type="noConversion"/>
  </si>
  <si>
    <t>zhangxiaowen_13146</t>
    <phoneticPr fontId="1" type="noConversion"/>
  </si>
  <si>
    <t>リスウホ(賃貸、売買、派遣)</t>
  </si>
  <si>
    <t>🌲树@SFDC</t>
  </si>
  <si>
    <t>安東良</t>
  </si>
  <si>
    <t>alcxx8182</t>
    <phoneticPr fontId="1" type="noConversion"/>
  </si>
  <si>
    <t>班长</t>
  </si>
  <si>
    <t>陈家麟</t>
  </si>
  <si>
    <t>aypzg94</t>
    <phoneticPr fontId="1" type="noConversion"/>
  </si>
  <si>
    <t>陳 達利@日進サイエンティア</t>
  </si>
  <si>
    <t>成蓓@SFDC</t>
  </si>
  <si>
    <t>崔小龙</t>
  </si>
  <si>
    <t>大海</t>
  </si>
  <si>
    <t>狒狒</t>
  </si>
  <si>
    <t>风林火山@SFDC6咨询</t>
  </si>
  <si>
    <t>傅勇</t>
  </si>
  <si>
    <t>谷松@天時SFDC3</t>
  </si>
  <si>
    <t>果果@SFDC6乔瑾</t>
  </si>
  <si>
    <t>fxs1007</t>
    <phoneticPr fontId="1" type="noConversion"/>
  </si>
  <si>
    <t>皓释</t>
  </si>
  <si>
    <t>和平@营业</t>
  </si>
  <si>
    <t>id_wangxu</t>
    <phoneticPr fontId="1" type="noConversion"/>
  </si>
  <si>
    <t>和谐号</t>
  </si>
  <si>
    <t>和谐号</t>
    <phoneticPr fontId="1" type="noConversion"/>
  </si>
  <si>
    <t>鶴</t>
  </si>
  <si>
    <t>黄冰@SFDC3</t>
  </si>
  <si>
    <t>井新民@SFDC2</t>
  </si>
  <si>
    <t>iameyama</t>
    <phoneticPr fontId="1" type="noConversion"/>
  </si>
  <si>
    <t>雷楊</t>
  </si>
  <si>
    <t>李全双@天時SFDC3</t>
  </si>
  <si>
    <t>李哲</t>
  </si>
  <si>
    <t>李震@SFDC</t>
  </si>
  <si>
    <t>l405434074</t>
    <phoneticPr fontId="1" type="noConversion"/>
  </si>
  <si>
    <t>梁@SFDC入门</t>
  </si>
  <si>
    <t>刘祥海</t>
    <phoneticPr fontId="1" type="noConversion"/>
  </si>
  <si>
    <t>劉志輝</t>
  </si>
  <si>
    <t>鲁峰@SFDC3</t>
  </si>
  <si>
    <t>rohou_sendai</t>
    <phoneticPr fontId="1" type="noConversion"/>
  </si>
  <si>
    <t>栾书滨@SFDC5</t>
  </si>
  <si>
    <t>luanshubin55</t>
    <phoneticPr fontId="1" type="noConversion"/>
  </si>
  <si>
    <t>马姗姗</t>
    <phoneticPr fontId="1" type="noConversion"/>
  </si>
  <si>
    <t>木木@SFDC入门咨询</t>
  </si>
  <si>
    <t>噢修@SFDC</t>
  </si>
  <si>
    <t>秦巍＠SFDC応募者</t>
  </si>
  <si>
    <t>qin_wei_</t>
    <phoneticPr fontId="1" type="noConversion"/>
  </si>
  <si>
    <t>日進ー王</t>
  </si>
  <si>
    <t>SmallFishWEIXIN</t>
    <phoneticPr fontId="1" type="noConversion"/>
  </si>
  <si>
    <t>瑞德</t>
  </si>
  <si>
    <t>骚年，在路上••• •••@SFDC</t>
  </si>
  <si>
    <t>邵毅</t>
  </si>
  <si>
    <t>誰說世界早已沒有選擇</t>
  </si>
  <si>
    <t>孙迪@SFDC</t>
  </si>
  <si>
    <t>天涯</t>
  </si>
  <si>
    <t>luyl007</t>
    <phoneticPr fontId="1" type="noConversion"/>
  </si>
  <si>
    <t>天涯浪子</t>
  </si>
  <si>
    <t>天涯浪子</t>
    <phoneticPr fontId="1" type="noConversion"/>
  </si>
  <si>
    <t>王仟谕</t>
  </si>
  <si>
    <t>王为盛@SFDC1&amp;amp;amp;3</t>
  </si>
  <si>
    <t>dingjh8</t>
    <phoneticPr fontId="1" type="noConversion"/>
  </si>
  <si>
    <t>五里雾中@SFDC</t>
  </si>
  <si>
    <t>武金友@SFDC3</t>
  </si>
  <si>
    <t>gebiyunyan</t>
    <phoneticPr fontId="1" type="noConversion"/>
  </si>
  <si>
    <t>香川@SFDC</t>
  </si>
  <si>
    <t>小家鞋铺</t>
    <phoneticPr fontId="1" type="noConversion"/>
  </si>
  <si>
    <t>小马哥</t>
  </si>
  <si>
    <t xml:space="preserve">小妹 </t>
    <phoneticPr fontId="1" type="noConversion"/>
  </si>
  <si>
    <t>小木@SFDC资询</t>
  </si>
  <si>
    <t>晓晓^_</t>
  </si>
  <si>
    <t>邢瑞@SFDC</t>
  </si>
  <si>
    <t>gg-576350650</t>
    <phoneticPr fontId="1" type="noConversion"/>
  </si>
  <si>
    <t>杨雯</t>
  </si>
  <si>
    <t>英（ペタテック）🦋</t>
  </si>
  <si>
    <t>有点烟草味</t>
  </si>
  <si>
    <t>rijihei</t>
    <phoneticPr fontId="1" type="noConversion"/>
  </si>
  <si>
    <t>雨林</t>
  </si>
  <si>
    <t>遇见</t>
  </si>
  <si>
    <t>株）PGLK 金银花</t>
  </si>
  <si>
    <t>mangopurin</t>
    <phoneticPr fontId="1" type="noConversion"/>
  </si>
  <si>
    <t>xinger4003</t>
    <phoneticPr fontId="1" type="noConversion"/>
  </si>
  <si>
    <t>yuxiaoqilin</t>
    <phoneticPr fontId="1" type="noConversion"/>
  </si>
  <si>
    <t>SUM</t>
    <phoneticPr fontId="1" type="noConversion"/>
  </si>
  <si>
    <t>チェックリスト</t>
    <phoneticPr fontId="2"/>
  </si>
  <si>
    <t>見積もり</t>
  </si>
  <si>
    <t>前提知識</t>
  </si>
  <si>
    <t>スケジュール</t>
    <phoneticPr fontId="2"/>
  </si>
  <si>
    <t>メンバーリスト</t>
    <phoneticPr fontId="2"/>
  </si>
  <si>
    <t>チェックイン表</t>
    <rPh sb="6" eb="7">
      <t>ヒョウ</t>
    </rPh>
    <phoneticPr fontId="2"/>
  </si>
  <si>
    <t>収入明細</t>
    <phoneticPr fontId="2"/>
  </si>
  <si>
    <t>フィードバック</t>
    <phoneticPr fontId="2"/>
  </si>
  <si>
    <t>担当役割</t>
    <phoneticPr fontId="2"/>
  </si>
  <si>
    <t>業務委託契約書</t>
    <phoneticPr fontId="2"/>
  </si>
  <si>
    <t>個人情報の取り扱いに関する同意書</t>
    <phoneticPr fontId="2"/>
  </si>
  <si>
    <t>機密保持誓約書</t>
    <phoneticPr fontId="2"/>
  </si>
  <si>
    <t>名前</t>
    <phoneticPr fontId="2"/>
  </si>
  <si>
    <t>性別</t>
    <rPh sb="0" eb="2">
      <t>セイベツ</t>
    </rPh>
    <phoneticPr fontId="2"/>
  </si>
  <si>
    <t>電話</t>
    <rPh sb="0" eb="2">
      <t>デンワ</t>
    </rPh>
    <phoneticPr fontId="2"/>
  </si>
  <si>
    <t>Wechat</t>
    <phoneticPr fontId="2"/>
  </si>
  <si>
    <t>QQ</t>
    <phoneticPr fontId="2"/>
  </si>
  <si>
    <t>GitHub账号</t>
    <phoneticPr fontId="2"/>
  </si>
  <si>
    <t>mail</t>
    <phoneticPr fontId="2"/>
  </si>
  <si>
    <t>OneDrive ID</t>
    <phoneticPr fontId="2"/>
  </si>
  <si>
    <r>
      <t>李</t>
    </r>
    <r>
      <rPr>
        <sz val="11"/>
        <color theme="1"/>
        <rFont val="游ゴシック"/>
        <family val="3"/>
        <charset val="134"/>
        <scheme val="minor"/>
      </rPr>
      <t>伟</t>
    </r>
    <phoneticPr fontId="2"/>
  </si>
  <si>
    <t>男</t>
    <phoneticPr fontId="2"/>
  </si>
  <si>
    <t>070-1000-9536</t>
    <phoneticPr fontId="2"/>
  </si>
  <si>
    <t>liwei1083712</t>
    <phoneticPr fontId="2"/>
  </si>
  <si>
    <t>liwei1083712@gmail.com</t>
    <phoneticPr fontId="2"/>
  </si>
  <si>
    <t>井新民</t>
    <phoneticPr fontId="2"/>
  </si>
  <si>
    <t>090-3210-8963</t>
    <phoneticPr fontId="2"/>
  </si>
  <si>
    <t>iameyama</t>
    <phoneticPr fontId="2"/>
  </si>
  <si>
    <t>唐世朕</t>
    <phoneticPr fontId="2"/>
  </si>
  <si>
    <t>080-4911-4232</t>
    <phoneticPr fontId="2"/>
  </si>
  <si>
    <t>springreed</t>
    <phoneticPr fontId="2"/>
  </si>
  <si>
    <t>tangsz86</t>
    <phoneticPr fontId="2"/>
  </si>
  <si>
    <t>tangsz86@gmail.com</t>
    <phoneticPr fontId="2"/>
  </si>
  <si>
    <t xml:space="preserve">富裕 </t>
    <phoneticPr fontId="2"/>
  </si>
  <si>
    <t>080-4598-1818</t>
    <phoneticPr fontId="2"/>
  </si>
  <si>
    <t>chat2bryan</t>
    <phoneticPr fontId="2"/>
  </si>
  <si>
    <t>Tommy327</t>
    <phoneticPr fontId="2"/>
  </si>
  <si>
    <t>yu.a.fu@Accenture.com</t>
    <phoneticPr fontId="2"/>
  </si>
  <si>
    <t xml:space="preserve">王荣 </t>
    <phoneticPr fontId="2"/>
  </si>
  <si>
    <t>080-3017-4260</t>
    <phoneticPr fontId="2"/>
  </si>
  <si>
    <t>supana619</t>
    <phoneticPr fontId="2"/>
  </si>
  <si>
    <t>wangrong2017</t>
    <phoneticPr fontId="2"/>
  </si>
  <si>
    <t>crh_619@163.com</t>
    <phoneticPr fontId="2"/>
  </si>
  <si>
    <t>権鳳赫</t>
    <phoneticPr fontId="2"/>
  </si>
  <si>
    <t>080-5957-5666</t>
    <phoneticPr fontId="2"/>
  </si>
  <si>
    <t>hyuk5666</t>
    <phoneticPr fontId="2"/>
  </si>
  <si>
    <r>
      <t>吕</t>
    </r>
    <r>
      <rPr>
        <sz val="11"/>
        <color rgb="FFFF0000"/>
        <rFont val="游ゴシック"/>
        <family val="3"/>
        <charset val="134"/>
        <scheme val="minor"/>
      </rPr>
      <t>玉杰</t>
    </r>
    <phoneticPr fontId="2"/>
  </si>
  <si>
    <t>080-4739-8555</t>
    <phoneticPr fontId="2"/>
  </si>
  <si>
    <t>tel08047398555</t>
    <phoneticPr fontId="2"/>
  </si>
  <si>
    <t>luyuj2010</t>
    <phoneticPr fontId="2"/>
  </si>
  <si>
    <t>luyuj2016@gmail.com</t>
    <phoneticPr fontId="2"/>
  </si>
  <si>
    <r>
      <t>刘</t>
    </r>
    <r>
      <rPr>
        <sz val="11"/>
        <color rgb="FFFF0000"/>
        <rFont val="游ゴシック"/>
        <family val="3"/>
        <charset val="134"/>
        <scheme val="minor"/>
      </rPr>
      <t>红军</t>
    </r>
    <phoneticPr fontId="2"/>
  </si>
  <si>
    <t>090-6562-8699</t>
    <phoneticPr fontId="2"/>
  </si>
  <si>
    <t>mammut09</t>
    <phoneticPr fontId="2"/>
  </si>
  <si>
    <t>mammut09@gmail.com</t>
    <phoneticPr fontId="2"/>
  </si>
  <si>
    <t>mammut09@gmail.com</t>
  </si>
  <si>
    <r>
      <t>查</t>
    </r>
    <r>
      <rPr>
        <sz val="11"/>
        <color rgb="FFFF0000"/>
        <rFont val="游ゴシック"/>
        <family val="3"/>
        <charset val="128"/>
        <scheme val="minor"/>
      </rPr>
      <t>蓓</t>
    </r>
    <phoneticPr fontId="2"/>
  </si>
  <si>
    <t>女</t>
    <phoneticPr fontId="2"/>
  </si>
  <si>
    <t>080-6678-9166</t>
    <phoneticPr fontId="2"/>
  </si>
  <si>
    <t>drinkerzb</t>
    <phoneticPr fontId="2"/>
  </si>
  <si>
    <t>zzhabei@hotmail.com</t>
    <phoneticPr fontId="2"/>
  </si>
  <si>
    <r>
      <t xml:space="preserve">狄 </t>
    </r>
    <r>
      <rPr>
        <sz val="11"/>
        <color rgb="FFFF0000"/>
        <rFont val="游ゴシック"/>
        <family val="3"/>
        <charset val="134"/>
        <scheme val="minor"/>
      </rPr>
      <t>红</t>
    </r>
    <r>
      <rPr>
        <sz val="11"/>
        <color rgb="FFFF0000"/>
        <rFont val="游ゴシック"/>
        <family val="2"/>
        <scheme val="minor"/>
      </rPr>
      <t>波</t>
    </r>
    <phoneticPr fontId="2"/>
  </si>
  <si>
    <t>090-6026-0869</t>
    <phoneticPr fontId="2"/>
  </si>
  <si>
    <t xml:space="preserve">di-hong-bo </t>
    <phoneticPr fontId="2"/>
  </si>
  <si>
    <t>康育哲</t>
    <phoneticPr fontId="2"/>
  </si>
  <si>
    <t>070-3626-4557</t>
    <phoneticPr fontId="2"/>
  </si>
  <si>
    <t>allanmilan</t>
    <phoneticPr fontId="2"/>
  </si>
  <si>
    <t>kangyuzhe</t>
    <phoneticPr fontId="2"/>
  </si>
  <si>
    <t>袁楚雄</t>
  </si>
  <si>
    <t>080-3754-3721</t>
  </si>
  <si>
    <t>chuxiong.yuan@gmail.com</t>
  </si>
  <si>
    <t>王仁涛</t>
    <phoneticPr fontId="2"/>
  </si>
  <si>
    <t>090-6313-1998</t>
    <phoneticPr fontId="2"/>
  </si>
  <si>
    <t>wrt420</t>
    <phoneticPr fontId="2"/>
  </si>
  <si>
    <t>perl147@gmail.com</t>
    <phoneticPr fontId="2"/>
  </si>
  <si>
    <t>perl147@gmail.com</t>
  </si>
  <si>
    <r>
      <t>王</t>
    </r>
    <r>
      <rPr>
        <sz val="11"/>
        <color rgb="FFFF0000"/>
        <rFont val="游ゴシック"/>
        <family val="3"/>
        <charset val="134"/>
        <scheme val="minor"/>
      </rPr>
      <t>阅</t>
    </r>
    <r>
      <rPr>
        <sz val="11"/>
        <color rgb="FFFF0000"/>
        <rFont val="游ゴシック"/>
        <family val="2"/>
        <scheme val="minor"/>
      </rPr>
      <t>川</t>
    </r>
    <phoneticPr fontId="2"/>
  </si>
  <si>
    <t>070-6463-1446</t>
    <phoneticPr fontId="2"/>
  </si>
  <si>
    <t>408187020@qq.com</t>
    <phoneticPr fontId="2"/>
  </si>
  <si>
    <t>408187020@qq.com</t>
  </si>
  <si>
    <t>耿涛</t>
    <phoneticPr fontId="2"/>
  </si>
  <si>
    <t>070-4026-0178</t>
    <phoneticPr fontId="2"/>
  </si>
  <si>
    <t>gengtao_it</t>
    <phoneticPr fontId="2"/>
  </si>
  <si>
    <t>boatily</t>
    <phoneticPr fontId="2"/>
  </si>
  <si>
    <t>boatily@gmail.com</t>
    <phoneticPr fontId="2"/>
  </si>
  <si>
    <t>武杰</t>
    <phoneticPr fontId="2"/>
  </si>
  <si>
    <t>090-1379-4055</t>
    <phoneticPr fontId="2"/>
  </si>
  <si>
    <t>buketu2008</t>
    <phoneticPr fontId="2"/>
  </si>
  <si>
    <t>buketubell2008</t>
    <phoneticPr fontId="2"/>
  </si>
  <si>
    <t>李洋</t>
    <phoneticPr fontId="2"/>
  </si>
  <si>
    <t>080-5067-1979</t>
    <phoneticPr fontId="2"/>
  </si>
  <si>
    <t>alvinli_jp</t>
    <phoneticPr fontId="2"/>
  </si>
  <si>
    <t>alvinli_jp@yahoo.co.jp</t>
    <phoneticPr fontId="2"/>
  </si>
  <si>
    <t>张辉</t>
    <phoneticPr fontId="2"/>
  </si>
  <si>
    <t>070-3858-0414</t>
    <phoneticPr fontId="2"/>
  </si>
  <si>
    <t>xiaopangNo1</t>
    <phoneticPr fontId="2"/>
  </si>
  <si>
    <t>zhanghui1024@ezweb.ne.jp</t>
    <phoneticPr fontId="2"/>
  </si>
  <si>
    <t>刘帅</t>
    <phoneticPr fontId="2"/>
  </si>
  <si>
    <t>liushuai0606@gmail.com</t>
    <phoneticPr fontId="2"/>
  </si>
  <si>
    <t xml:space="preserve">崔建斌 </t>
    <phoneticPr fontId="2"/>
  </si>
  <si>
    <t>090-1730-1461</t>
    <phoneticPr fontId="2"/>
  </si>
  <si>
    <t>xdsoftware</t>
    <phoneticPr fontId="2"/>
  </si>
  <si>
    <t xml:space="preserve">李宝龍   </t>
    <phoneticPr fontId="2"/>
  </si>
  <si>
    <t>080-4845-4321</t>
    <phoneticPr fontId="2"/>
  </si>
  <si>
    <t>LIBAOLONGgh</t>
    <phoneticPr fontId="2"/>
  </si>
  <si>
    <t>日付</t>
    <rPh sb="0" eb="2">
      <t>ヒヅケ</t>
    </rPh>
    <phoneticPr fontId="2"/>
  </si>
  <si>
    <t>パタン</t>
    <phoneticPr fontId="2"/>
  </si>
  <si>
    <t>詳細</t>
    <rPh sb="0" eb="2">
      <t>ショウサイ</t>
    </rPh>
    <phoneticPr fontId="2"/>
  </si>
  <si>
    <t>現金</t>
    <rPh sb="0" eb="2">
      <t>ゲンキン</t>
    </rPh>
    <phoneticPr fontId="2"/>
  </si>
  <si>
    <t>会社</t>
    <rPh sb="0" eb="2">
      <t>カイシャ</t>
    </rPh>
    <phoneticPr fontId="2"/>
  </si>
  <si>
    <t>収入</t>
    <rPh sb="0" eb="2">
      <t>シュウニュウ</t>
    </rPh>
    <phoneticPr fontId="2"/>
  </si>
  <si>
    <t>支払</t>
    <rPh sb="0" eb="2">
      <t>シハラ</t>
    </rPh>
    <phoneticPr fontId="2"/>
  </si>
  <si>
    <r>
      <t>王</t>
    </r>
    <r>
      <rPr>
        <sz val="11"/>
        <color theme="1"/>
        <rFont val="游ゴシック"/>
        <family val="3"/>
        <charset val="134"/>
        <scheme val="minor"/>
      </rPr>
      <t>为</t>
    </r>
    <r>
      <rPr>
        <sz val="11"/>
        <color theme="1"/>
        <rFont val="游ゴシック"/>
        <family val="2"/>
        <scheme val="minor"/>
      </rPr>
      <t>盛</t>
    </r>
  </si>
  <si>
    <r>
      <t>冯</t>
    </r>
    <r>
      <rPr>
        <sz val="11"/>
        <color theme="1"/>
        <rFont val="游ゴシック"/>
        <family val="2"/>
        <scheme val="minor"/>
      </rPr>
      <t>振</t>
    </r>
    <r>
      <rPr>
        <sz val="11"/>
        <color theme="1"/>
        <rFont val="游ゴシック"/>
        <family val="3"/>
        <charset val="134"/>
        <scheme val="minor"/>
      </rPr>
      <t>东</t>
    </r>
    <phoneticPr fontId="2"/>
  </si>
  <si>
    <t>李志宇</t>
    <phoneticPr fontId="2"/>
  </si>
  <si>
    <t>李全双</t>
    <phoneticPr fontId="1" type="noConversion"/>
  </si>
  <si>
    <t>谷松</t>
    <phoneticPr fontId="1" type="noConversion"/>
  </si>
  <si>
    <r>
      <t>高国</t>
    </r>
    <r>
      <rPr>
        <sz val="11"/>
        <color theme="1"/>
        <rFont val="宋体"/>
        <family val="3"/>
        <charset val="134"/>
      </rPr>
      <t>栋</t>
    </r>
    <phoneticPr fontId="1" type="noConversion"/>
  </si>
  <si>
    <r>
      <t>秦</t>
    </r>
    <r>
      <rPr>
        <sz val="11"/>
        <color theme="1"/>
        <rFont val="宋体"/>
        <family val="3"/>
        <charset val="134"/>
      </rPr>
      <t>伟</t>
    </r>
    <phoneticPr fontId="1" type="noConversion"/>
  </si>
  <si>
    <t>武金友</t>
    <phoneticPr fontId="1" type="noConversion"/>
  </si>
  <si>
    <t>小計</t>
    <rPh sb="0" eb="2">
      <t>コバカリ</t>
    </rPh>
    <phoneticPr fontId="2"/>
  </si>
  <si>
    <t>利益</t>
    <phoneticPr fontId="2"/>
  </si>
  <si>
    <t>清算</t>
    <rPh sb="0" eb="2">
      <t>セイサン</t>
    </rPh>
    <phoneticPr fontId="2"/>
  </si>
  <si>
    <t>チェックポイント</t>
    <phoneticPr fontId="2"/>
  </si>
  <si>
    <t>チェック内容</t>
    <rPh sb="4" eb="6">
      <t>ナイヨウ</t>
    </rPh>
    <phoneticPr fontId="2"/>
  </si>
  <si>
    <t>チェック</t>
    <phoneticPr fontId="2"/>
  </si>
  <si>
    <t>契約書</t>
    <phoneticPr fontId="2"/>
  </si>
  <si>
    <t>講師</t>
    <phoneticPr fontId="2"/>
  </si>
  <si>
    <t>業務委託、秘密保持、個人情報</t>
    <rPh sb="0" eb="2">
      <t>ギョウム</t>
    </rPh>
    <rPh sb="2" eb="4">
      <t>イタク</t>
    </rPh>
    <rPh sb="5" eb="7">
      <t>ヒミツ</t>
    </rPh>
    <rPh sb="7" eb="9">
      <t>ホジ</t>
    </rPh>
    <phoneticPr fontId="2"/>
  </si>
  <si>
    <t>学員</t>
    <rPh sb="0" eb="1">
      <t>ガク</t>
    </rPh>
    <rPh sb="1" eb="2">
      <t>イン</t>
    </rPh>
    <phoneticPr fontId="2"/>
  </si>
  <si>
    <t>秘密保持、個人情報</t>
    <rPh sb="5" eb="7">
      <t>コジン</t>
    </rPh>
    <rPh sb="7" eb="9">
      <t>ジョウホウ</t>
    </rPh>
    <phoneticPr fontId="2"/>
  </si>
  <si>
    <t>管理台帳</t>
    <rPh sb="0" eb="2">
      <t>カンリ</t>
    </rPh>
    <rPh sb="2" eb="4">
      <t>ダイチョウ</t>
    </rPh>
    <phoneticPr fontId="2"/>
  </si>
  <si>
    <t>Member List</t>
    <phoneticPr fontId="2"/>
  </si>
  <si>
    <t>PC</t>
    <phoneticPr fontId="2"/>
  </si>
  <si>
    <r>
      <t>CPU：i5以上
内存：16G
硬</t>
    </r>
    <r>
      <rPr>
        <sz val="11"/>
        <color theme="1"/>
        <rFont val="游ゴシック"/>
        <family val="3"/>
        <charset val="134"/>
        <scheme val="minor"/>
      </rPr>
      <t>盘</t>
    </r>
    <r>
      <rPr>
        <sz val="11"/>
        <color theme="1"/>
        <rFont val="游ゴシック"/>
        <family val="2"/>
        <scheme val="minor"/>
      </rPr>
      <t>：200G以上
OS：MAC　OS
   或は　Ubuntu14,64位
Oracle VM VirtualBox　(OS:Ubuntu14,64位)</t>
    </r>
    <rPh sb="39" eb="40">
      <t>アルイ</t>
    </rPh>
    <phoneticPr fontId="2"/>
  </si>
  <si>
    <t>出勤</t>
    <rPh sb="0" eb="2">
      <t>シュッキン</t>
    </rPh>
    <phoneticPr fontId="2"/>
  </si>
  <si>
    <r>
      <t>考勤，</t>
    </r>
    <r>
      <rPr>
        <sz val="11"/>
        <color theme="1"/>
        <rFont val="游ゴシック"/>
        <family val="3"/>
        <charset val="134"/>
        <scheme val="minor"/>
      </rPr>
      <t>评</t>
    </r>
    <r>
      <rPr>
        <sz val="11"/>
        <color theme="1"/>
        <rFont val="游ゴシック"/>
        <family val="3"/>
        <charset val="134"/>
        <scheme val="minor"/>
      </rPr>
      <t>价</t>
    </r>
    <phoneticPr fontId="2"/>
  </si>
  <si>
    <t>資料</t>
    <rPh sb="0" eb="2">
      <t>シリョウ</t>
    </rPh>
    <phoneticPr fontId="2"/>
  </si>
  <si>
    <t>PPT</t>
    <phoneticPr fontId="2"/>
  </si>
  <si>
    <t>讲师做成</t>
    <phoneticPr fontId="2"/>
  </si>
  <si>
    <t>ケーススタディー</t>
    <phoneticPr fontId="2"/>
  </si>
  <si>
    <t>不要</t>
    <phoneticPr fontId="2"/>
  </si>
  <si>
    <t>試験</t>
    <phoneticPr fontId="2"/>
  </si>
  <si>
    <t>環境</t>
    <rPh sb="0" eb="2">
      <t>カンキョウ</t>
    </rPh>
    <phoneticPr fontId="2"/>
  </si>
  <si>
    <t>時間</t>
    <rPh sb="0" eb="2">
      <t>ジカン</t>
    </rPh>
    <phoneticPr fontId="2"/>
  </si>
  <si>
    <t>毎週土曜日
9時～13時</t>
    <rPh sb="0" eb="1">
      <t>マイ</t>
    </rPh>
    <rPh sb="1" eb="2">
      <t>シュウ</t>
    </rPh>
    <rPh sb="2" eb="5">
      <t>ドヨウビ</t>
    </rPh>
    <rPh sb="7" eb="8">
      <t>ジ</t>
    </rPh>
    <rPh sb="11" eb="12">
      <t>ジ</t>
    </rPh>
    <phoneticPr fontId="2"/>
  </si>
  <si>
    <r>
      <t>第一回早8</t>
    </r>
    <r>
      <rPr>
        <sz val="11"/>
        <color theme="1"/>
        <rFont val="游ゴシック"/>
        <family val="3"/>
        <charset val="134"/>
        <scheme val="minor"/>
      </rPr>
      <t>时</t>
    </r>
    <r>
      <rPr>
        <sz val="11"/>
        <color theme="1"/>
        <rFont val="游ゴシック"/>
        <family val="2"/>
        <scheme val="minor"/>
      </rPr>
      <t>30分开始入</t>
    </r>
    <r>
      <rPr>
        <sz val="11"/>
        <color theme="1"/>
        <rFont val="游ゴシック"/>
        <family val="3"/>
        <charset val="134"/>
        <scheme val="minor"/>
      </rPr>
      <t>场</t>
    </r>
    <r>
      <rPr>
        <sz val="11"/>
        <color theme="1"/>
        <rFont val="游ゴシック"/>
        <family val="2"/>
        <scheme val="minor"/>
      </rPr>
      <t>，
9</t>
    </r>
    <r>
      <rPr>
        <sz val="11"/>
        <color theme="1"/>
        <rFont val="游ゴシック"/>
        <family val="3"/>
        <charset val="134"/>
        <scheme val="minor"/>
      </rPr>
      <t>时</t>
    </r>
    <r>
      <rPr>
        <sz val="11"/>
        <color theme="1"/>
        <rFont val="游ゴシック"/>
        <family val="2"/>
        <scheme val="minor"/>
      </rPr>
      <t>正式授</t>
    </r>
    <r>
      <rPr>
        <sz val="11"/>
        <color theme="1"/>
        <rFont val="游ゴシック"/>
        <family val="3"/>
        <charset val="134"/>
        <scheme val="minor"/>
      </rPr>
      <t>课</t>
    </r>
    <phoneticPr fontId="2"/>
  </si>
  <si>
    <t>場所</t>
    <phoneticPr fontId="2"/>
  </si>
  <si>
    <t>社内</t>
    <phoneticPr fontId="2"/>
  </si>
  <si>
    <t>無線LANアクセスポイント</t>
    <phoneticPr fontId="2"/>
  </si>
  <si>
    <t xml:space="preserve">本体：
接続端末数：48
Yahoo：2万円
</t>
    <rPh sb="0" eb="2">
      <t>ホンタイ</t>
    </rPh>
    <rPh sb="20" eb="21">
      <t>マン</t>
    </rPh>
    <rPh sb="21" eb="22">
      <t>エン</t>
    </rPh>
    <phoneticPr fontId="2"/>
  </si>
  <si>
    <t>机と椅子</t>
    <rPh sb="0" eb="1">
      <t>ツクエ</t>
    </rPh>
    <rPh sb="2" eb="4">
      <t>イス</t>
    </rPh>
    <phoneticPr fontId="2"/>
  </si>
  <si>
    <t>20名以上</t>
    <phoneticPr fontId="2"/>
  </si>
  <si>
    <t>プリンター</t>
    <phoneticPr fontId="2"/>
  </si>
  <si>
    <t>プロジェクター</t>
    <phoneticPr fontId="2"/>
  </si>
  <si>
    <r>
      <t>必</t>
    </r>
    <r>
      <rPr>
        <sz val="11"/>
        <color theme="1"/>
        <rFont val="游ゴシック"/>
        <family val="3"/>
        <charset val="134"/>
        <scheme val="minor"/>
      </rPr>
      <t>须</t>
    </r>
    <phoneticPr fontId="2"/>
  </si>
  <si>
    <t>ビデオカメラ</t>
    <phoneticPr fontId="2"/>
  </si>
  <si>
    <r>
      <t>必</t>
    </r>
    <r>
      <rPr>
        <sz val="11"/>
        <color rgb="FFFF0000"/>
        <rFont val="游ゴシック"/>
        <family val="3"/>
        <charset val="134"/>
        <scheme val="minor"/>
      </rPr>
      <t>须</t>
    </r>
    <phoneticPr fontId="2"/>
  </si>
  <si>
    <t>三脚</t>
    <rPh sb="0" eb="2">
      <t>サンキャク</t>
    </rPh>
    <phoneticPr fontId="2"/>
  </si>
  <si>
    <t>資料保管</t>
    <phoneticPr fontId="2"/>
  </si>
  <si>
    <t>ゴミ回収</t>
    <rPh sb="2" eb="4">
      <t>カイシュウ</t>
    </rPh>
    <phoneticPr fontId="2"/>
  </si>
  <si>
    <t>現場復元</t>
    <rPh sb="0" eb="2">
      <t>ゲンバ</t>
    </rPh>
    <rPh sb="2" eb="4">
      <t>フクゲン</t>
    </rPh>
    <phoneticPr fontId="2"/>
  </si>
  <si>
    <t>コスト</t>
    <phoneticPr fontId="2"/>
  </si>
  <si>
    <t>授業料</t>
    <rPh sb="0" eb="2">
      <t>ジュギョウ</t>
    </rPh>
    <rPh sb="2" eb="3">
      <t>リョウ</t>
    </rPh>
    <phoneticPr fontId="2"/>
  </si>
  <si>
    <t>サービス</t>
    <phoneticPr fontId="2"/>
  </si>
  <si>
    <t>総計</t>
    <rPh sb="0" eb="2">
      <t>ソウケイ</t>
    </rPh>
    <phoneticPr fontId="2"/>
  </si>
  <si>
    <t>学員人数</t>
    <rPh sb="0" eb="1">
      <t>ガク</t>
    </rPh>
    <rPh sb="1" eb="2">
      <t>イン</t>
    </rPh>
    <rPh sb="2" eb="4">
      <t>ニンズ</t>
    </rPh>
    <phoneticPr fontId="2"/>
  </si>
  <si>
    <t>平均勉強料</t>
    <rPh sb="0" eb="2">
      <t>ヘイキン</t>
    </rPh>
    <rPh sb="2" eb="4">
      <t>ベンキョウ</t>
    </rPh>
    <rPh sb="4" eb="5">
      <t>リョウ</t>
    </rPh>
    <phoneticPr fontId="2"/>
  </si>
  <si>
    <t>授業料明細</t>
    <phoneticPr fontId="2"/>
  </si>
  <si>
    <t>名前</t>
    <rPh sb="0" eb="2">
      <t>ナマエ</t>
    </rPh>
    <phoneticPr fontId="2"/>
  </si>
  <si>
    <t>サイン</t>
    <phoneticPr fontId="2"/>
  </si>
  <si>
    <t>日付</t>
    <phoneticPr fontId="2"/>
  </si>
  <si>
    <t>授業料支払明細</t>
    <rPh sb="0" eb="3">
      <t>ジュギョウリョウ</t>
    </rPh>
    <rPh sb="3" eb="5">
      <t>シハライ</t>
    </rPh>
    <rPh sb="5" eb="7">
      <t>メイサイ</t>
    </rPh>
    <phoneticPr fontId="2"/>
  </si>
  <si>
    <t>《**************》　　講師：****　　</t>
    <rPh sb="7" eb="9">
      <t>キソ</t>
    </rPh>
    <rPh sb="12" eb="14">
      <t>コウシ</t>
    </rPh>
    <rPh sb="15" eb="16">
      <t>ジョ</t>
    </rPh>
    <rPh sb="16" eb="17">
      <t>ネン</t>
    </rPh>
    <rPh sb="19" eb="21">
      <t>シャナイ</t>
    </rPh>
    <rPh sb="21" eb="23">
      <t>タントウ</t>
    </rPh>
    <rPh sb="23" eb="24">
      <t>シャ</t>
    </rPh>
    <rPh sb="25" eb="26">
      <t>ソン</t>
    </rPh>
    <rPh sb="26" eb="27">
      <t>ジュヒン</t>
    </rPh>
    <phoneticPr fontId="2"/>
  </si>
  <si>
    <t>課時：24時間　　回数：6回　　授業料合計：24万円</t>
    <rPh sb="0" eb="1">
      <t>カ</t>
    </rPh>
    <rPh sb="1" eb="2">
      <t>ジ</t>
    </rPh>
    <rPh sb="5" eb="7">
      <t>ジカン</t>
    </rPh>
    <rPh sb="9" eb="11">
      <t>カイスウ</t>
    </rPh>
    <rPh sb="13" eb="14">
      <t>カイ</t>
    </rPh>
    <rPh sb="16" eb="19">
      <t>ジュギョウリョウ</t>
    </rPh>
    <rPh sb="19" eb="21">
      <t>ゴウケイ</t>
    </rPh>
    <rPh sb="24" eb="25">
      <t>マン</t>
    </rPh>
    <rPh sb="25" eb="26">
      <t>エン</t>
    </rPh>
    <phoneticPr fontId="2"/>
  </si>
  <si>
    <t>回数</t>
    <rPh sb="0" eb="2">
      <t>カイスウ</t>
    </rPh>
    <phoneticPr fontId="2"/>
  </si>
  <si>
    <t>授業料金額(円)</t>
    <rPh sb="0" eb="3">
      <t>ジュギョウリョウ</t>
    </rPh>
    <rPh sb="3" eb="5">
      <t>キンガク</t>
    </rPh>
    <rPh sb="6" eb="7">
      <t>エン</t>
    </rPh>
    <phoneticPr fontId="2"/>
  </si>
  <si>
    <t>講師サイン</t>
    <rPh sb="0" eb="2">
      <t>コウシ</t>
    </rPh>
    <phoneticPr fontId="2"/>
  </si>
  <si>
    <t>社内担当者</t>
    <rPh sb="0" eb="2">
      <t>シャナイ</t>
    </rPh>
    <rPh sb="2" eb="4">
      <t>タントウ</t>
    </rPh>
    <rPh sb="4" eb="5">
      <t>シャ</t>
    </rPh>
    <phoneticPr fontId="2"/>
  </si>
  <si>
    <t>费用</t>
    <phoneticPr fontId="2"/>
  </si>
  <si>
    <r>
      <t>g</t>
    </r>
    <r>
      <rPr>
        <sz val="11"/>
        <color theme="1"/>
        <rFont val="游ゴシック"/>
        <family val="3"/>
        <charset val="134"/>
        <scheme val="minor"/>
      </rPr>
      <t>uide</t>
    </r>
    <phoneticPr fontId="1" type="noConversion"/>
  </si>
  <si>
    <t>AWS</t>
    <phoneticPr fontId="1" type="noConversion"/>
  </si>
  <si>
    <t>柳瀬</t>
    <phoneticPr fontId="2"/>
  </si>
  <si>
    <r>
      <t>080</t>
    </r>
    <r>
      <rPr>
        <sz val="11"/>
        <rFont val="游ゴシック"/>
        <family val="2"/>
        <scheme val="minor"/>
      </rPr>
      <t>-</t>
    </r>
    <r>
      <rPr>
        <sz val="11"/>
        <rFont val="游ゴシック"/>
        <family val="2"/>
        <scheme val="minor"/>
      </rPr>
      <t>5861</t>
    </r>
    <r>
      <rPr>
        <sz val="11"/>
        <rFont val="游ゴシック"/>
        <family val="2"/>
        <scheme val="minor"/>
      </rPr>
      <t>-</t>
    </r>
    <r>
      <rPr>
        <sz val="11"/>
        <rFont val="游ゴシック"/>
        <family val="2"/>
        <scheme val="minor"/>
      </rPr>
      <t>1681</t>
    </r>
    <phoneticPr fontId="2"/>
  </si>
  <si>
    <t>jafferey</t>
    <phoneticPr fontId="2"/>
  </si>
  <si>
    <t>jafferey7@gmail.com</t>
    <phoneticPr fontId="2"/>
  </si>
  <si>
    <r>
      <t>佟</t>
    </r>
    <r>
      <rPr>
        <sz val="11"/>
        <rFont val="游ゴシック"/>
        <family val="3"/>
        <charset val="134"/>
        <scheme val="minor"/>
      </rPr>
      <t>树</t>
    </r>
    <r>
      <rPr>
        <sz val="11"/>
        <rFont val="游ゴシック"/>
        <family val="2"/>
        <scheme val="minor"/>
      </rPr>
      <t>岩</t>
    </r>
    <phoneticPr fontId="2"/>
  </si>
  <si>
    <r>
      <rPr>
        <sz val="11"/>
        <color theme="1"/>
        <rFont val="游ゴシック"/>
        <family val="2"/>
        <scheme val="minor"/>
      </rPr>
      <t xml:space="preserve"> 090</t>
    </r>
    <r>
      <rPr>
        <sz val="11"/>
        <color theme="1"/>
        <rFont val="游ゴシック"/>
        <family val="2"/>
        <scheme val="minor"/>
      </rPr>
      <t>-</t>
    </r>
    <r>
      <rPr>
        <sz val="11"/>
        <color theme="1"/>
        <rFont val="游ゴシック"/>
        <family val="2"/>
        <scheme val="minor"/>
      </rPr>
      <t>2949-6688</t>
    </r>
    <r>
      <rPr>
        <sz val="11"/>
        <color theme="1"/>
        <rFont val="游ゴシック"/>
        <family val="3"/>
        <charset val="134"/>
        <scheme val="minor"/>
      </rPr>
      <t/>
    </r>
    <phoneticPr fontId="2"/>
  </si>
  <si>
    <t>scorpio7672@sina.com</t>
    <phoneticPr fontId="2"/>
  </si>
  <si>
    <r>
      <t>马</t>
    </r>
    <r>
      <rPr>
        <sz val="11"/>
        <rFont val="游ゴシック"/>
        <family val="2"/>
        <scheme val="minor"/>
      </rPr>
      <t>彬</t>
    </r>
    <phoneticPr fontId="2"/>
  </si>
  <si>
    <r>
      <t xml:space="preserve"> 080</t>
    </r>
    <r>
      <rPr>
        <sz val="11"/>
        <color theme="1"/>
        <rFont val="游ゴシック"/>
        <family val="2"/>
        <scheme val="minor"/>
      </rPr>
      <t>-</t>
    </r>
    <r>
      <rPr>
        <sz val="11"/>
        <color theme="1"/>
        <rFont val="游ゴシック"/>
        <family val="2"/>
        <scheme val="minor"/>
      </rPr>
      <t>9894</t>
    </r>
    <r>
      <rPr>
        <sz val="11"/>
        <color theme="1"/>
        <rFont val="游ゴシック"/>
        <family val="2"/>
        <scheme val="minor"/>
      </rPr>
      <t>-</t>
    </r>
    <r>
      <rPr>
        <sz val="11"/>
        <color theme="1"/>
        <rFont val="游ゴシック"/>
        <family val="2"/>
        <scheme val="minor"/>
      </rPr>
      <t xml:space="preserve">6960  </t>
    </r>
    <phoneticPr fontId="2"/>
  </si>
  <si>
    <t>ignited04</t>
    <phoneticPr fontId="2"/>
  </si>
  <si>
    <t>ignited0411@gmail.com</t>
    <phoneticPr fontId="2"/>
  </si>
  <si>
    <t>梁</t>
    <phoneticPr fontId="2"/>
  </si>
  <si>
    <t>080-3823-1806</t>
    <phoneticPr fontId="2"/>
  </si>
  <si>
    <t>junzhuo1806</t>
    <phoneticPr fontId="2"/>
  </si>
  <si>
    <t>270960567@qq.com</t>
    <phoneticPr fontId="2"/>
  </si>
  <si>
    <t>金宗宇</t>
    <phoneticPr fontId="2"/>
  </si>
  <si>
    <t xml:space="preserve">080-4882-1105 </t>
    <phoneticPr fontId="2"/>
  </si>
  <si>
    <t xml:space="preserve"> jinzongyu@gmail.com</t>
    <phoneticPr fontId="2"/>
  </si>
  <si>
    <t>080-3723-2039</t>
  </si>
  <si>
    <t>SmallFishWEIXIN</t>
  </si>
  <si>
    <t>wwstokyo@yahoo.co.jp</t>
  </si>
  <si>
    <t>○</t>
    <phoneticPr fontId="1" type="noConversion"/>
  </si>
  <si>
    <t>冯振东</t>
    <phoneticPr fontId="2"/>
  </si>
  <si>
    <t>080-4382-3734</t>
    <phoneticPr fontId="2"/>
  </si>
  <si>
    <t>fzd_1987cool</t>
    <phoneticPr fontId="2"/>
  </si>
  <si>
    <t>fzd1987cool@gmail.com</t>
    <phoneticPr fontId="2"/>
  </si>
  <si>
    <t>080-3500-1127</t>
    <phoneticPr fontId="2"/>
  </si>
  <si>
    <t>lizhiyu77ayu</t>
    <phoneticPr fontId="2"/>
  </si>
  <si>
    <t>lizhiyu77ayu@163.com</t>
    <phoneticPr fontId="2"/>
  </si>
  <si>
    <t>孙挺</t>
    <phoneticPr fontId="1" type="noConversion"/>
  </si>
  <si>
    <t>090-2957-0850</t>
    <phoneticPr fontId="1" type="noConversion"/>
  </si>
  <si>
    <t>sunting542962306</t>
    <phoneticPr fontId="1" type="noConversion"/>
  </si>
  <si>
    <t>080-9869-5332</t>
    <phoneticPr fontId="1" type="noConversion"/>
  </si>
  <si>
    <t>280795820@qq.com</t>
    <phoneticPr fontId="1" type="noConversion"/>
  </si>
  <si>
    <t>井新民</t>
  </si>
  <si>
    <t>090-3210-8963</t>
  </si>
  <si>
    <t>iameyama</t>
  </si>
  <si>
    <r>
      <rPr>
        <sz val="11"/>
        <color theme="1"/>
        <rFont val="游ゴシック"/>
        <family val="3"/>
        <charset val="134"/>
        <scheme val="minor"/>
      </rPr>
      <t>鲁</t>
    </r>
    <r>
      <rPr>
        <sz val="11"/>
        <color theme="1"/>
        <rFont val="游ゴシック"/>
        <family val="2"/>
        <scheme val="minor"/>
      </rPr>
      <t>峰</t>
    </r>
    <phoneticPr fontId="1" type="noConversion"/>
  </si>
  <si>
    <t xml:space="preserve"> 090-9364-0813 </t>
    <phoneticPr fontId="1" type="noConversion"/>
  </si>
  <si>
    <t>rohou.sendai@gmail.com</t>
    <phoneticPr fontId="1" type="noConversion"/>
  </si>
  <si>
    <t>翁针城</t>
    <phoneticPr fontId="1" type="noConversion"/>
  </si>
  <si>
    <t xml:space="preserve">090-6519-1983 </t>
    <phoneticPr fontId="1" type="noConversion"/>
  </si>
  <si>
    <t>engineer-weng</t>
    <phoneticPr fontId="1" type="noConversion"/>
  </si>
  <si>
    <t>engineer.weng@gmail.com</t>
    <phoneticPr fontId="1" type="noConversion"/>
  </si>
  <si>
    <t>司</t>
    <phoneticPr fontId="1" type="noConversion"/>
  </si>
  <si>
    <t>080-4733-3363</t>
    <phoneticPr fontId="1" type="noConversion"/>
  </si>
  <si>
    <t>shw407@hotmail.com</t>
    <phoneticPr fontId="1" type="noConversion"/>
  </si>
  <si>
    <t>liqsh-japan</t>
    <phoneticPr fontId="1" type="noConversion"/>
  </si>
  <si>
    <t>gusongjinan</t>
    <phoneticPr fontId="1" type="noConversion"/>
  </si>
  <si>
    <t>高国栋</t>
    <phoneticPr fontId="1" type="noConversion"/>
  </si>
  <si>
    <t>ggd3731</t>
    <phoneticPr fontId="1" type="noConversion"/>
  </si>
  <si>
    <t>吴胜光</t>
    <phoneticPr fontId="1" type="noConversion"/>
  </si>
  <si>
    <t>080-4170-1982</t>
    <phoneticPr fontId="1" type="noConversion"/>
  </si>
  <si>
    <t>wsg7139</t>
    <phoneticPr fontId="1" type="noConversion"/>
  </si>
  <si>
    <r>
      <t>go</t>
    </r>
    <r>
      <rPr>
        <sz val="11"/>
        <color theme="1"/>
        <rFont val="游ゴシック"/>
        <family val="3"/>
        <charset val="134"/>
        <scheme val="minor"/>
      </rPr>
      <t>.sk.in.wa@gmail.com</t>
    </r>
    <phoneticPr fontId="1" type="noConversion"/>
  </si>
  <si>
    <t>黄冰</t>
    <phoneticPr fontId="1" type="noConversion"/>
  </si>
  <si>
    <t>080-6874-0432</t>
    <phoneticPr fontId="1" type="noConversion"/>
  </si>
  <si>
    <t>gloriangle</t>
    <phoneticPr fontId="1" type="noConversion"/>
  </si>
  <si>
    <r>
      <t>koko</t>
    </r>
    <r>
      <rPr>
        <sz val="11"/>
        <color theme="1"/>
        <rFont val="游ゴシック"/>
        <family val="3"/>
        <charset val="134"/>
        <scheme val="minor"/>
      </rPr>
      <t>ri821@gmail.com</t>
    </r>
    <phoneticPr fontId="1" type="noConversion"/>
  </si>
  <si>
    <t>秦伟</t>
    <phoneticPr fontId="1" type="noConversion"/>
  </si>
  <si>
    <t>090-6521-9797</t>
    <phoneticPr fontId="1" type="noConversion"/>
  </si>
  <si>
    <t>shini890928</t>
    <phoneticPr fontId="1" type="noConversion"/>
  </si>
  <si>
    <t>qinwei891027@gmail.com</t>
    <phoneticPr fontId="1" type="noConversion"/>
  </si>
  <si>
    <r>
      <t>徐</t>
    </r>
    <r>
      <rPr>
        <sz val="11"/>
        <color theme="1"/>
        <rFont val="游ゴシック"/>
        <family val="3"/>
        <charset val="134"/>
        <scheme val="minor"/>
      </rPr>
      <t>聪</t>
    </r>
    <phoneticPr fontId="1" type="noConversion"/>
  </si>
  <si>
    <r>
      <t>费</t>
    </r>
    <r>
      <rPr>
        <sz val="11"/>
        <color theme="1"/>
        <rFont val="游ゴシック"/>
        <family val="3"/>
        <charset val="134"/>
        <scheme val="minor"/>
      </rPr>
      <t>用</t>
    </r>
    <phoneticPr fontId="2"/>
  </si>
  <si>
    <r>
      <t>合</t>
    </r>
    <r>
      <rPr>
        <sz val="11"/>
        <color theme="1"/>
        <rFont val="游ゴシック"/>
        <family val="3"/>
        <charset val="134"/>
        <scheme val="minor"/>
      </rPr>
      <t>计</t>
    </r>
    <phoneticPr fontId="2"/>
  </si>
  <si>
    <t>知識</t>
    <rPh sb="0" eb="2">
      <t>チシキ</t>
    </rPh>
    <phoneticPr fontId="2"/>
  </si>
  <si>
    <t>バージョン</t>
    <phoneticPr fontId="2"/>
  </si>
  <si>
    <t>スキル</t>
    <phoneticPr fontId="2"/>
  </si>
  <si>
    <t>Ubuntu</t>
    <phoneticPr fontId="2"/>
  </si>
  <si>
    <t>コマンド、viｍ</t>
    <phoneticPr fontId="2"/>
  </si>
  <si>
    <t>shell</t>
    <phoneticPr fontId="2"/>
  </si>
  <si>
    <t>仮想マシン</t>
    <phoneticPr fontId="2"/>
  </si>
  <si>
    <t>データベース基本</t>
    <rPh sb="6" eb="8">
      <t>キホン</t>
    </rPh>
    <phoneticPr fontId="2"/>
  </si>
  <si>
    <t>プログラミング基本</t>
    <rPh sb="7" eb="9">
      <t>キホン</t>
    </rPh>
    <phoneticPr fontId="2"/>
  </si>
  <si>
    <t>第1回</t>
    <phoneticPr fontId="2"/>
  </si>
  <si>
    <t>第2回</t>
  </si>
  <si>
    <t>第3回</t>
  </si>
  <si>
    <t>第4回</t>
  </si>
  <si>
    <t>座席</t>
    <rPh sb="0" eb="2">
      <t>ザセキ</t>
    </rPh>
    <phoneticPr fontId="2"/>
  </si>
  <si>
    <t>出席</t>
    <phoneticPr fontId="2"/>
  </si>
  <si>
    <r>
      <t>机密誓</t>
    </r>
    <r>
      <rPr>
        <sz val="11"/>
        <color theme="1"/>
        <rFont val="游ゴシック"/>
        <family val="3"/>
        <charset val="134"/>
      </rPr>
      <t>约</t>
    </r>
    <phoneticPr fontId="2"/>
  </si>
  <si>
    <r>
      <t>情</t>
    </r>
    <r>
      <rPr>
        <sz val="11"/>
        <color theme="1"/>
        <rFont val="游ゴシック"/>
        <family val="3"/>
        <charset val="134"/>
      </rPr>
      <t>报</t>
    </r>
    <r>
      <rPr>
        <sz val="11"/>
        <color theme="1"/>
        <rFont val="ＭＳ 明朝"/>
        <family val="1"/>
        <charset val="128"/>
      </rPr>
      <t>保密</t>
    </r>
    <phoneticPr fontId="2"/>
  </si>
  <si>
    <t>座席1</t>
    <rPh sb="0" eb="2">
      <t>ザセキ</t>
    </rPh>
    <phoneticPr fontId="2"/>
  </si>
  <si>
    <t>座席2</t>
    <rPh sb="0" eb="2">
      <t>ザセキ</t>
    </rPh>
    <phoneticPr fontId="2"/>
  </si>
  <si>
    <t>座席3</t>
    <rPh sb="0" eb="2">
      <t>ザセキ</t>
    </rPh>
    <phoneticPr fontId="2"/>
  </si>
  <si>
    <t>座席4</t>
    <rPh sb="0" eb="2">
      <t>ザセキ</t>
    </rPh>
    <phoneticPr fontId="2"/>
  </si>
  <si>
    <t>座席5</t>
    <rPh sb="0" eb="2">
      <t>ザセキ</t>
    </rPh>
    <phoneticPr fontId="2"/>
  </si>
  <si>
    <t>座席6</t>
    <rPh sb="0" eb="2">
      <t>ザセキ</t>
    </rPh>
    <phoneticPr fontId="2"/>
  </si>
  <si>
    <t>座席7</t>
    <rPh sb="0" eb="2">
      <t>ザセキ</t>
    </rPh>
    <phoneticPr fontId="2"/>
  </si>
  <si>
    <t>座席8</t>
    <rPh sb="0" eb="2">
      <t>ザセキ</t>
    </rPh>
    <phoneticPr fontId="2"/>
  </si>
  <si>
    <t>座席9</t>
    <rPh sb="0" eb="2">
      <t>ザセキ</t>
    </rPh>
    <phoneticPr fontId="2"/>
  </si>
  <si>
    <t>座席10</t>
    <rPh sb="0" eb="2">
      <t>ザセキ</t>
    </rPh>
    <phoneticPr fontId="2"/>
  </si>
  <si>
    <t>座席11</t>
    <rPh sb="0" eb="2">
      <t>ザセキ</t>
    </rPh>
    <phoneticPr fontId="2"/>
  </si>
  <si>
    <t>座席12</t>
    <rPh sb="0" eb="2">
      <t>ザセキ</t>
    </rPh>
    <phoneticPr fontId="2"/>
  </si>
  <si>
    <t>座席13</t>
    <rPh sb="0" eb="2">
      <t>ザセキ</t>
    </rPh>
    <phoneticPr fontId="2"/>
  </si>
  <si>
    <t>座席14</t>
    <rPh sb="0" eb="2">
      <t>ザセキ</t>
    </rPh>
    <phoneticPr fontId="2"/>
  </si>
  <si>
    <t>座席15</t>
    <rPh sb="0" eb="2">
      <t>ザセキ</t>
    </rPh>
    <phoneticPr fontId="2"/>
  </si>
  <si>
    <t>座席16</t>
    <rPh sb="0" eb="2">
      <t>ザセキ</t>
    </rPh>
    <phoneticPr fontId="2"/>
  </si>
  <si>
    <t>座席17</t>
    <rPh sb="0" eb="2">
      <t>ザセキ</t>
    </rPh>
    <phoneticPr fontId="2"/>
  </si>
  <si>
    <t>座席18</t>
    <rPh sb="0" eb="2">
      <t>ザセキ</t>
    </rPh>
    <phoneticPr fontId="2"/>
  </si>
  <si>
    <r>
      <t>《BigData Guide》 学</t>
    </r>
    <r>
      <rPr>
        <sz val="11"/>
        <color theme="1"/>
        <rFont val="FangSong"/>
        <family val="3"/>
        <charset val="134"/>
      </rPr>
      <t>习</t>
    </r>
    <r>
      <rPr>
        <sz val="11"/>
        <color theme="1"/>
        <rFont val="游ゴシック"/>
        <family val="1"/>
        <charset val="128"/>
        <scheme val="minor"/>
      </rPr>
      <t>会反</t>
    </r>
    <r>
      <rPr>
        <sz val="11"/>
        <color theme="1"/>
        <rFont val="FangSong"/>
        <family val="3"/>
        <charset val="134"/>
      </rPr>
      <t>馈</t>
    </r>
    <r>
      <rPr>
        <sz val="11"/>
        <color theme="1"/>
        <rFont val="游ゴシック"/>
        <family val="1"/>
        <charset val="128"/>
        <scheme val="minor"/>
      </rPr>
      <t>表（第   回）</t>
    </r>
    <phoneticPr fontId="2"/>
  </si>
  <si>
    <t>姓名</t>
    <phoneticPr fontId="2"/>
  </si>
  <si>
    <r>
      <t>确</t>
    </r>
    <r>
      <rPr>
        <sz val="11"/>
        <color theme="1"/>
        <rFont val="游ゴシック"/>
        <family val="3"/>
        <charset val="134"/>
      </rPr>
      <t>认</t>
    </r>
    <r>
      <rPr>
        <sz val="11"/>
        <color theme="1"/>
        <rFont val="游ゴシック"/>
        <family val="1"/>
        <charset val="128"/>
        <scheme val="minor"/>
      </rPr>
      <t>要点</t>
    </r>
    <phoneticPr fontId="2"/>
  </si>
  <si>
    <r>
      <rPr>
        <sz val="11"/>
        <color theme="1"/>
        <rFont val="游ゴシック"/>
        <family val="3"/>
        <charset val="134"/>
      </rPr>
      <t>评</t>
    </r>
    <r>
      <rPr>
        <sz val="11"/>
        <color theme="1"/>
        <rFont val="游ゴシック"/>
        <family val="1"/>
        <charset val="128"/>
        <scheme val="minor"/>
      </rPr>
      <t>价</t>
    </r>
    <phoneticPr fontId="2"/>
  </si>
  <si>
    <r>
      <t>学</t>
    </r>
    <r>
      <rPr>
        <sz val="11"/>
        <color theme="1"/>
        <rFont val="游ゴシック"/>
        <family val="3"/>
        <charset val="134"/>
      </rPr>
      <t>习环</t>
    </r>
    <r>
      <rPr>
        <sz val="11"/>
        <color theme="1"/>
        <rFont val="游ゴシック"/>
        <family val="1"/>
        <charset val="128"/>
        <scheme val="minor"/>
      </rPr>
      <t>境的布置</t>
    </r>
    <phoneticPr fontId="2"/>
  </si>
  <si>
    <r>
      <t>5非常</t>
    </r>
    <r>
      <rPr>
        <sz val="11"/>
        <color theme="1"/>
        <rFont val="游ゴシック"/>
        <family val="3"/>
        <charset val="134"/>
      </rPr>
      <t>满</t>
    </r>
    <r>
      <rPr>
        <sz val="11"/>
        <color theme="1"/>
        <rFont val="游ゴシック"/>
        <family val="1"/>
        <charset val="128"/>
        <scheme val="minor"/>
      </rPr>
      <t>意</t>
    </r>
    <phoneticPr fontId="2"/>
  </si>
  <si>
    <r>
      <t>4很</t>
    </r>
    <r>
      <rPr>
        <sz val="11"/>
        <color theme="1"/>
        <rFont val="游ゴシック"/>
        <family val="3"/>
        <charset val="134"/>
      </rPr>
      <t>满</t>
    </r>
    <r>
      <rPr>
        <sz val="11"/>
        <color theme="1"/>
        <rFont val="游ゴシック"/>
        <family val="1"/>
        <charset val="128"/>
        <scheme val="minor"/>
      </rPr>
      <t>意</t>
    </r>
    <phoneticPr fontId="2"/>
  </si>
  <si>
    <t>3良好</t>
    <phoneticPr fontId="2"/>
  </si>
  <si>
    <t>4一般</t>
    <phoneticPr fontId="2"/>
  </si>
  <si>
    <r>
      <t>1非常不</t>
    </r>
    <r>
      <rPr>
        <sz val="11"/>
        <color theme="1"/>
        <rFont val="游ゴシック"/>
        <family val="3"/>
        <charset val="134"/>
      </rPr>
      <t>满</t>
    </r>
    <r>
      <rPr>
        <sz val="11"/>
        <color theme="1"/>
        <rFont val="游ゴシック"/>
        <family val="1"/>
        <charset val="128"/>
        <scheme val="minor"/>
      </rPr>
      <t>意</t>
    </r>
    <phoneticPr fontId="2"/>
  </si>
  <si>
    <t>改善要点：</t>
    <phoneticPr fontId="2"/>
  </si>
  <si>
    <r>
      <t>接待人</t>
    </r>
    <r>
      <rPr>
        <sz val="11"/>
        <color theme="1"/>
        <rFont val="游ゴシック"/>
        <family val="3"/>
        <charset val="134"/>
      </rPr>
      <t>员</t>
    </r>
    <r>
      <rPr>
        <sz val="11"/>
        <color theme="1"/>
        <rFont val="游ゴシック"/>
        <family val="1"/>
        <charset val="128"/>
        <scheme val="minor"/>
      </rPr>
      <t>的服</t>
    </r>
    <r>
      <rPr>
        <sz val="11"/>
        <color theme="1"/>
        <rFont val="游ゴシック"/>
        <family val="3"/>
        <charset val="134"/>
      </rPr>
      <t>务</t>
    </r>
    <phoneticPr fontId="2"/>
  </si>
  <si>
    <r>
      <t>网</t>
    </r>
    <r>
      <rPr>
        <sz val="11"/>
        <color theme="1"/>
        <rFont val="FangSong"/>
        <family val="3"/>
        <charset val="134"/>
      </rPr>
      <t>络环</t>
    </r>
    <r>
      <rPr>
        <sz val="11"/>
        <color theme="1"/>
        <rFont val="游ゴシック"/>
        <family val="1"/>
        <charset val="128"/>
        <scheme val="minor"/>
      </rPr>
      <t>境</t>
    </r>
    <phoneticPr fontId="2"/>
  </si>
  <si>
    <r>
      <t>学</t>
    </r>
    <r>
      <rPr>
        <sz val="11"/>
        <color theme="1"/>
        <rFont val="FangSong"/>
        <family val="3"/>
        <charset val="134"/>
      </rPr>
      <t>习环</t>
    </r>
    <r>
      <rPr>
        <sz val="11"/>
        <color theme="1"/>
        <rFont val="游ゴシック"/>
        <family val="1"/>
        <charset val="128"/>
        <scheme val="minor"/>
      </rPr>
      <t>境</t>
    </r>
    <phoneticPr fontId="2"/>
  </si>
  <si>
    <t>教学课件</t>
    <phoneticPr fontId="2"/>
  </si>
  <si>
    <r>
      <t>参考</t>
    </r>
    <r>
      <rPr>
        <sz val="11"/>
        <color theme="1"/>
        <rFont val="FangSong"/>
        <family val="3"/>
        <charset val="134"/>
      </rPr>
      <t>资</t>
    </r>
    <r>
      <rPr>
        <sz val="11"/>
        <color theme="1"/>
        <rFont val="游ゴシック"/>
        <family val="1"/>
        <charset val="128"/>
        <scheme val="minor"/>
      </rPr>
      <t>料</t>
    </r>
    <phoneticPr fontId="2"/>
  </si>
  <si>
    <t>实践案例</t>
    <phoneticPr fontId="2"/>
  </si>
  <si>
    <t>讲师的言谈举止</t>
    <phoneticPr fontId="2"/>
  </si>
  <si>
    <r>
      <t>授课</t>
    </r>
    <r>
      <rPr>
        <sz val="11"/>
        <color theme="1"/>
        <rFont val="ＭＳ 明朝"/>
        <family val="1"/>
        <charset val="128"/>
      </rPr>
      <t>的</t>
    </r>
    <r>
      <rPr>
        <sz val="11"/>
        <color theme="1"/>
        <rFont val="游ゴシック"/>
        <family val="3"/>
        <charset val="134"/>
        <scheme val="minor"/>
      </rPr>
      <t>进</t>
    </r>
    <r>
      <rPr>
        <sz val="11"/>
        <color theme="1"/>
        <rFont val="ＭＳ 明朝"/>
        <family val="1"/>
        <charset val="128"/>
      </rPr>
      <t>度</t>
    </r>
    <phoneticPr fontId="2"/>
  </si>
  <si>
    <r>
      <t>授课</t>
    </r>
    <r>
      <rPr>
        <sz val="11"/>
        <color theme="1"/>
        <rFont val="ＭＳ 明朝"/>
        <family val="1"/>
        <charset val="128"/>
      </rPr>
      <t>内容的深度</t>
    </r>
    <phoneticPr fontId="2"/>
  </si>
  <si>
    <r>
      <t>授课过</t>
    </r>
    <r>
      <rPr>
        <sz val="11"/>
        <color theme="1"/>
        <rFont val="ＭＳ 明朝"/>
        <family val="1"/>
        <charset val="128"/>
      </rPr>
      <t>程中的互</t>
    </r>
    <r>
      <rPr>
        <sz val="11"/>
        <color theme="1"/>
        <rFont val="游ゴシック"/>
        <family val="3"/>
        <charset val="134"/>
        <scheme val="minor"/>
      </rPr>
      <t>动</t>
    </r>
    <phoneticPr fontId="2"/>
  </si>
  <si>
    <t>课后答疑</t>
    <phoneticPr fontId="2"/>
  </si>
  <si>
    <t>役割</t>
    <rPh sb="0" eb="2">
      <t>ヤクワリ</t>
    </rPh>
    <phoneticPr fontId="2"/>
  </si>
  <si>
    <t>担当内容</t>
    <phoneticPr fontId="2"/>
  </si>
  <si>
    <t>讲师对应</t>
    <phoneticPr fontId="2"/>
  </si>
  <si>
    <t>课程内容，效果，改善点</t>
    <phoneticPr fontId="2"/>
  </si>
  <si>
    <t>受付</t>
    <phoneticPr fontId="2"/>
  </si>
  <si>
    <t>チェックイン、会計、個人情报契约、秘密保持契約</t>
    <rPh sb="10" eb="12">
      <t>コジン</t>
    </rPh>
    <rPh sb="17" eb="19">
      <t>ヒミツ</t>
    </rPh>
    <rPh sb="19" eb="21">
      <t>ホジ</t>
    </rPh>
    <rPh sb="21" eb="23">
      <t>ケイヤク</t>
    </rPh>
    <phoneticPr fontId="2"/>
  </si>
  <si>
    <r>
      <t>会</t>
    </r>
    <r>
      <rPr>
        <sz val="11"/>
        <color theme="1"/>
        <rFont val="游ゴシック"/>
        <family val="3"/>
        <charset val="134"/>
        <scheme val="minor"/>
      </rPr>
      <t>场</t>
    </r>
    <r>
      <rPr>
        <sz val="11"/>
        <color theme="1"/>
        <rFont val="游ゴシック"/>
        <family val="2"/>
        <scheme val="minor"/>
      </rPr>
      <t>管理</t>
    </r>
    <phoneticPr fontId="2"/>
  </si>
  <si>
    <r>
      <t>会</t>
    </r>
    <r>
      <rPr>
        <sz val="11"/>
        <color theme="1"/>
        <rFont val="游ゴシック"/>
        <family val="3"/>
        <charset val="134"/>
        <scheme val="minor"/>
      </rPr>
      <t>场导</t>
    </r>
    <r>
      <rPr>
        <sz val="11"/>
        <color theme="1"/>
        <rFont val="游ゴシック"/>
        <family val="2"/>
        <scheme val="minor"/>
      </rPr>
      <t>引、坐席安排、現場復元</t>
    </r>
    <phoneticPr fontId="2"/>
  </si>
  <si>
    <t>セキュリティー</t>
    <phoneticPr fontId="2"/>
  </si>
  <si>
    <t>設備管理</t>
    <rPh sb="0" eb="2">
      <t>セツビ</t>
    </rPh>
    <rPh sb="2" eb="4">
      <t>カンリ</t>
    </rPh>
    <phoneticPr fontId="2"/>
  </si>
  <si>
    <t>Network、プロジェクター、ビデオ</t>
    <phoneticPr fontId="2"/>
  </si>
  <si>
    <t>ポイント</t>
    <phoneticPr fontId="2"/>
  </si>
  <si>
    <t>内容</t>
    <rPh sb="0" eb="2">
      <t>ナイヨウ</t>
    </rPh>
    <phoneticPr fontId="2"/>
  </si>
  <si>
    <t>チェックイン</t>
    <phoneticPr fontId="2"/>
  </si>
  <si>
    <r>
      <t>学</t>
    </r>
    <r>
      <rPr>
        <sz val="11"/>
        <color theme="1"/>
        <rFont val="游ゴシック"/>
        <family val="3"/>
        <charset val="134"/>
        <scheme val="minor"/>
      </rPr>
      <t>习</t>
    </r>
    <r>
      <rPr>
        <sz val="11"/>
        <color theme="1"/>
        <rFont val="游ゴシック"/>
        <family val="2"/>
        <scheme val="minor"/>
      </rPr>
      <t>目</t>
    </r>
    <r>
      <rPr>
        <sz val="11"/>
        <color theme="1"/>
        <rFont val="游ゴシック"/>
        <family val="3"/>
        <charset val="134"/>
        <scheme val="minor"/>
      </rPr>
      <t>标</t>
    </r>
    <phoneticPr fontId="2"/>
  </si>
  <si>
    <t>topic1</t>
    <phoneticPr fontId="2"/>
  </si>
  <si>
    <t>topic2</t>
  </si>
  <si>
    <t>Q&amp;A</t>
    <phoneticPr fontId="2"/>
  </si>
  <si>
    <t>休息</t>
    <phoneticPr fontId="2"/>
  </si>
  <si>
    <t>宿題</t>
    <rPh sb="0" eb="2">
      <t>シュクダイ</t>
    </rPh>
    <phoneticPr fontId="2"/>
  </si>
  <si>
    <t>　昼休み</t>
    <rPh sb="1" eb="3">
      <t>ヒルヤス</t>
    </rPh>
    <phoneticPr fontId="2"/>
  </si>
  <si>
    <t>練習</t>
    <rPh sb="0" eb="2">
      <t>レンシュウ</t>
    </rPh>
    <phoneticPr fontId="2"/>
  </si>
  <si>
    <t>終り</t>
    <rPh sb="0" eb="1">
      <t>オワ</t>
    </rPh>
    <phoneticPr fontId="2"/>
  </si>
  <si>
    <t>TP-link　ARCHER　C3150</t>
    <phoneticPr fontId="2"/>
  </si>
  <si>
    <t>参加料</t>
    <phoneticPr fontId="2"/>
  </si>
  <si>
    <r>
      <t>李</t>
    </r>
    <r>
      <rPr>
        <sz val="11"/>
        <color theme="1"/>
        <rFont val="DengXian"/>
        <family val="3"/>
        <charset val="134"/>
      </rPr>
      <t>伟</t>
    </r>
    <phoneticPr fontId="2"/>
  </si>
  <si>
    <t>唐世朕</t>
  </si>
  <si>
    <t xml:space="preserve">富裕 </t>
  </si>
  <si>
    <r>
      <t>王</t>
    </r>
    <r>
      <rPr>
        <sz val="11"/>
        <color theme="1"/>
        <rFont val="等线"/>
        <family val="2"/>
      </rPr>
      <t>荣</t>
    </r>
    <r>
      <rPr>
        <sz val="11"/>
        <color theme="1"/>
        <rFont val="ＭＳ 明朝"/>
        <family val="1"/>
        <charset val="128"/>
      </rPr>
      <t xml:space="preserve"> </t>
    </r>
  </si>
  <si>
    <t>権鳳赫</t>
  </si>
  <si>
    <r>
      <rPr>
        <sz val="11"/>
        <color theme="1"/>
        <rFont val="等线"/>
        <family val="2"/>
      </rPr>
      <t>吕</t>
    </r>
    <r>
      <rPr>
        <sz val="11"/>
        <color theme="1"/>
        <rFont val="ＭＳ 明朝"/>
        <family val="1"/>
        <charset val="128"/>
      </rPr>
      <t>玉杰</t>
    </r>
  </si>
  <si>
    <r>
      <rPr>
        <sz val="11"/>
        <color theme="1"/>
        <rFont val="等线"/>
        <family val="2"/>
      </rPr>
      <t>刘红军</t>
    </r>
  </si>
  <si>
    <r>
      <rPr>
        <sz val="11"/>
        <color theme="1"/>
        <rFont val="等线"/>
        <family val="2"/>
      </rPr>
      <t>查蓓</t>
    </r>
  </si>
  <si>
    <r>
      <t>狄</t>
    </r>
    <r>
      <rPr>
        <sz val="11"/>
        <color theme="1"/>
        <rFont val="等线"/>
        <family val="2"/>
      </rPr>
      <t>红</t>
    </r>
    <r>
      <rPr>
        <sz val="11"/>
        <color theme="1"/>
        <rFont val="ＭＳ 明朝"/>
        <family val="1"/>
        <charset val="128"/>
      </rPr>
      <t>波</t>
    </r>
  </si>
  <si>
    <t>康育哲</t>
  </si>
  <si>
    <r>
      <t>王</t>
    </r>
    <r>
      <rPr>
        <sz val="11"/>
        <color theme="1"/>
        <rFont val="等线"/>
        <family val="2"/>
      </rPr>
      <t>阅</t>
    </r>
    <r>
      <rPr>
        <sz val="11"/>
        <color theme="1"/>
        <rFont val="ＭＳ 明朝"/>
        <family val="1"/>
        <charset val="128"/>
      </rPr>
      <t>川</t>
    </r>
    <phoneticPr fontId="2"/>
  </si>
  <si>
    <r>
      <t>凌利</t>
    </r>
    <r>
      <rPr>
        <sz val="11"/>
        <color theme="1"/>
        <rFont val="等线"/>
        <family val="2"/>
      </rPr>
      <t>军</t>
    </r>
    <phoneticPr fontId="2"/>
  </si>
  <si>
    <t>図書</t>
    <phoneticPr fontId="2"/>
  </si>
  <si>
    <t>Hadoop徹底入門</t>
    <rPh sb="6" eb="8">
      <t>テッテイ</t>
    </rPh>
    <rPh sb="8" eb="10">
      <t>ニュウモン</t>
    </rPh>
    <phoneticPr fontId="24"/>
  </si>
  <si>
    <t>Hbase徹底入門</t>
    <rPh sb="5" eb="7">
      <t>テッテイ</t>
    </rPh>
    <rPh sb="7" eb="9">
      <t>ニュウモン</t>
    </rPh>
    <phoneticPr fontId="24"/>
  </si>
  <si>
    <t>詳解Apache　Spark</t>
    <rPh sb="0" eb="2">
      <t>ショウカイ</t>
    </rPh>
    <phoneticPr fontId="24"/>
  </si>
  <si>
    <t>RDB技術者のためのNoSQLガイド</t>
    <rPh sb="3" eb="6">
      <t>ギジュツシャ</t>
    </rPh>
    <phoneticPr fontId="24"/>
  </si>
  <si>
    <t>ぷろぐらまのためのDocker教科書</t>
    <rPh sb="15" eb="18">
      <t>キョウカショ</t>
    </rPh>
    <phoneticPr fontId="24"/>
  </si>
  <si>
    <t>ポインター</t>
    <phoneticPr fontId="2"/>
  </si>
  <si>
    <t>ポインター用電池</t>
    <phoneticPr fontId="2"/>
  </si>
  <si>
    <t>水</t>
    <phoneticPr fontId="2"/>
  </si>
  <si>
    <t>授業料</t>
    <rPh sb="0" eb="3">
      <t>ジュギョウリョウ</t>
    </rPh>
    <phoneticPr fontId="2"/>
  </si>
  <si>
    <t>授業料支払</t>
    <rPh sb="0" eb="3">
      <t>ジュギョウリョウ</t>
    </rPh>
    <rPh sb="3" eb="5">
      <t>シハライ</t>
    </rPh>
    <phoneticPr fontId="2"/>
  </si>
  <si>
    <t>三角</t>
    <phoneticPr fontId="2"/>
  </si>
  <si>
    <t>ソケット</t>
    <phoneticPr fontId="2"/>
  </si>
  <si>
    <r>
      <rPr>
        <sz val="11"/>
        <color theme="1"/>
        <rFont val="等线"/>
        <family val="2"/>
      </rPr>
      <t>矫</t>
    </r>
    <r>
      <rPr>
        <sz val="11"/>
        <color theme="1"/>
        <rFont val="ＭＳ 明朝"/>
        <family val="1"/>
        <charset val="128"/>
      </rPr>
      <t>依峰</t>
    </r>
    <phoneticPr fontId="2"/>
  </si>
  <si>
    <r>
      <t>倪永</t>
    </r>
    <r>
      <rPr>
        <sz val="11"/>
        <color theme="1"/>
        <rFont val="等线"/>
        <family val="2"/>
      </rPr>
      <t>华</t>
    </r>
    <phoneticPr fontId="2"/>
  </si>
  <si>
    <r>
      <t>王</t>
    </r>
    <r>
      <rPr>
        <sz val="11"/>
        <color theme="1"/>
        <rFont val="等线"/>
        <family val="2"/>
      </rPr>
      <t>为</t>
    </r>
    <r>
      <rPr>
        <sz val="11"/>
        <color theme="1"/>
        <rFont val="ＭＳ 明朝"/>
        <family val="1"/>
        <charset val="128"/>
      </rPr>
      <t>盛</t>
    </r>
    <phoneticPr fontId="2"/>
  </si>
  <si>
    <t>李宝龍</t>
    <phoneticPr fontId="2"/>
  </si>
  <si>
    <r>
      <rPr>
        <sz val="11"/>
        <color theme="1"/>
        <rFont val="等线"/>
        <family val="2"/>
      </rPr>
      <t>陈</t>
    </r>
    <r>
      <rPr>
        <sz val="11"/>
        <color theme="1"/>
        <rFont val="ＭＳ 明朝"/>
        <family val="1"/>
        <charset val="128"/>
      </rPr>
      <t>涛</t>
    </r>
    <phoneticPr fontId="2"/>
  </si>
  <si>
    <r>
      <rPr>
        <sz val="11"/>
        <color theme="1"/>
        <rFont val="等线"/>
        <family val="2"/>
      </rPr>
      <t>张</t>
    </r>
    <r>
      <rPr>
        <sz val="11"/>
        <color theme="1"/>
        <rFont val="ＭＳ 明朝"/>
        <family val="1"/>
        <charset val="128"/>
      </rPr>
      <t>振</t>
    </r>
    <phoneticPr fontId="2"/>
  </si>
  <si>
    <t>王毅</t>
    <phoneticPr fontId="2"/>
  </si>
  <si>
    <r>
      <rPr>
        <sz val="11"/>
        <color theme="1"/>
        <rFont val="等线"/>
        <family val="2"/>
      </rPr>
      <t>孙鹏</t>
    </r>
    <r>
      <rPr>
        <sz val="11"/>
        <color theme="1"/>
        <rFont val="ＭＳ 明朝"/>
        <family val="1"/>
        <charset val="128"/>
      </rPr>
      <t>洲</t>
    </r>
    <phoneticPr fontId="2"/>
  </si>
  <si>
    <t>李建新</t>
    <phoneticPr fontId="2"/>
  </si>
  <si>
    <t>曲海超</t>
    <phoneticPr fontId="2"/>
  </si>
  <si>
    <r>
      <t>沈一</t>
    </r>
    <r>
      <rPr>
        <sz val="11"/>
        <color theme="1"/>
        <rFont val="等线"/>
        <family val="2"/>
      </rPr>
      <t>枫</t>
    </r>
    <phoneticPr fontId="2"/>
  </si>
  <si>
    <r>
      <rPr>
        <sz val="11"/>
        <color theme="1"/>
        <rFont val="等线"/>
        <family val="2"/>
      </rPr>
      <t>孙</t>
    </r>
    <r>
      <rPr>
        <sz val="11"/>
        <color theme="1"/>
        <rFont val="ＭＳ 明朝"/>
        <family val="1"/>
        <charset val="128"/>
      </rPr>
      <t>盛</t>
    </r>
    <r>
      <rPr>
        <sz val="11"/>
        <color theme="1"/>
        <rFont val="等线"/>
        <family val="2"/>
      </rPr>
      <t>苇</t>
    </r>
    <phoneticPr fontId="2"/>
  </si>
  <si>
    <r>
      <rPr>
        <sz val="11"/>
        <color theme="1"/>
        <rFont val="等线"/>
        <family val="2"/>
      </rPr>
      <t>乔</t>
    </r>
    <r>
      <rPr>
        <sz val="11"/>
        <color theme="1"/>
        <rFont val="ＭＳ 明朝"/>
        <family val="1"/>
        <charset val="128"/>
      </rPr>
      <t>瑾</t>
    </r>
    <phoneticPr fontId="2"/>
  </si>
  <si>
    <r>
      <t>唐</t>
    </r>
    <r>
      <rPr>
        <sz val="11"/>
        <color theme="1"/>
        <rFont val="等线"/>
        <family val="2"/>
      </rPr>
      <t>鹭</t>
    </r>
    <r>
      <rPr>
        <sz val="11"/>
        <color theme="1"/>
        <rFont val="ＭＳ 明朝"/>
        <family val="1"/>
        <charset val="128"/>
      </rPr>
      <t>程</t>
    </r>
    <phoneticPr fontId="2"/>
  </si>
  <si>
    <t>金光希</t>
    <phoneticPr fontId="2"/>
  </si>
  <si>
    <r>
      <rPr>
        <sz val="11"/>
        <color theme="1"/>
        <rFont val="等线"/>
        <family val="2"/>
      </rPr>
      <t>刘帅</t>
    </r>
    <phoneticPr fontId="2"/>
  </si>
  <si>
    <r>
      <t>王</t>
    </r>
    <r>
      <rPr>
        <sz val="11"/>
        <color theme="1"/>
        <rFont val="等线"/>
        <family val="2"/>
      </rPr>
      <t>荣</t>
    </r>
    <r>
      <rPr>
        <sz val="11"/>
        <color theme="1"/>
        <rFont val="ＭＳ 明朝"/>
        <family val="1"/>
        <charset val="128"/>
      </rPr>
      <t xml:space="preserve"> </t>
    </r>
    <phoneticPr fontId="2"/>
  </si>
  <si>
    <r>
      <rPr>
        <sz val="11"/>
        <color theme="1"/>
        <rFont val="等线"/>
        <family val="2"/>
      </rPr>
      <t>杨务</t>
    </r>
    <r>
      <rPr>
        <sz val="11"/>
        <color theme="1"/>
        <rFont val="ＭＳ 明朝"/>
        <family val="1"/>
        <charset val="128"/>
      </rPr>
      <t>林</t>
    </r>
    <phoneticPr fontId="2"/>
  </si>
  <si>
    <t>HDMI線</t>
    <phoneticPr fontId="2"/>
  </si>
  <si>
    <t>抽選賞品</t>
    <rPh sb="0" eb="2">
      <t>チュウセン</t>
    </rPh>
    <rPh sb="2" eb="3">
      <t>ショウ</t>
    </rPh>
    <rPh sb="3" eb="4">
      <t>ヒン</t>
    </rPh>
    <phoneticPr fontId="2"/>
  </si>
  <si>
    <t>《ビッグデータ基礎》2017年6月3日抽選結果</t>
    <rPh sb="14" eb="15">
      <t>ネン</t>
    </rPh>
    <rPh sb="16" eb="17">
      <t>ガツ</t>
    </rPh>
    <rPh sb="18" eb="19">
      <t>ニチ</t>
    </rPh>
    <rPh sb="19" eb="21">
      <t>チュウセン</t>
    </rPh>
    <rPh sb="21" eb="23">
      <t>ケッカ</t>
    </rPh>
    <phoneticPr fontId="2"/>
  </si>
  <si>
    <t>番号</t>
    <rPh sb="0" eb="2">
      <t>バンゴウ</t>
    </rPh>
    <phoneticPr fontId="2"/>
  </si>
  <si>
    <t>賞品</t>
    <phoneticPr fontId="2"/>
  </si>
  <si>
    <t>定価</t>
    <rPh sb="0" eb="2">
      <t>テイカ</t>
    </rPh>
    <phoneticPr fontId="2"/>
  </si>
  <si>
    <t>金額</t>
    <rPh sb="0" eb="2">
      <t>キンガク</t>
    </rPh>
    <phoneticPr fontId="2"/>
  </si>
  <si>
    <t>冊数</t>
    <rPh sb="0" eb="1">
      <t>サツ</t>
    </rPh>
    <rPh sb="1" eb="2">
      <t>スウ</t>
    </rPh>
    <phoneticPr fontId="2"/>
  </si>
  <si>
    <t>社内担当</t>
    <rPh sb="0" eb="2">
      <t>シャナイ</t>
    </rPh>
    <rPh sb="2" eb="4">
      <t>タントウ</t>
    </rPh>
    <phoneticPr fontId="2"/>
  </si>
  <si>
    <t>Hadoop徹底入門</t>
    <rPh sb="6" eb="8">
      <t>テッテイ</t>
    </rPh>
    <rPh sb="8" eb="10">
      <t>ニュウモン</t>
    </rPh>
    <phoneticPr fontId="2"/>
  </si>
  <si>
    <t>Hbase徹底入門</t>
    <rPh sb="5" eb="7">
      <t>テッテイ</t>
    </rPh>
    <rPh sb="7" eb="9">
      <t>ニュウモン</t>
    </rPh>
    <phoneticPr fontId="2"/>
  </si>
  <si>
    <t>詳解Apache　Spark</t>
    <rPh sb="0" eb="2">
      <t>ショウカイ</t>
    </rPh>
    <phoneticPr fontId="2"/>
  </si>
  <si>
    <t>RDB技術者のためのNoSQLガイド</t>
    <rPh sb="3" eb="6">
      <t>ギジュツシャ</t>
    </rPh>
    <phoneticPr fontId="2"/>
  </si>
  <si>
    <t>ぷろぐらまのためのDocker教科書</t>
    <rPh sb="15" eb="18">
      <t>キョウカショ</t>
    </rPh>
    <phoneticPr fontId="2"/>
  </si>
  <si>
    <t>五月</t>
    <rPh sb="0" eb="2">
      <t>ゴガツ</t>
    </rPh>
    <phoneticPr fontId="2"/>
  </si>
  <si>
    <t>六月</t>
    <rPh sb="0" eb="2">
      <t>ロクガツ</t>
    </rPh>
    <phoneticPr fontId="2"/>
  </si>
  <si>
    <t>Hadoop分散処理システムの基本知識</t>
    <phoneticPr fontId="2"/>
  </si>
  <si>
    <t>Hbase</t>
    <phoneticPr fontId="2"/>
  </si>
  <si>
    <t xml:space="preserve">Spark </t>
    <phoneticPr fontId="2"/>
  </si>
  <si>
    <t>練習とOJTケースの説明</t>
    <rPh sb="0" eb="2">
      <t>レンシュウ</t>
    </rPh>
    <rPh sb="10" eb="12">
      <t>セツメイ</t>
    </rPh>
    <phoneticPr fontId="2"/>
  </si>
  <si>
    <t>１H</t>
    <phoneticPr fontId="2"/>
  </si>
  <si>
    <t xml:space="preserve">①事前知識 
git、docker、linux 
②Hadoop分散処理の紹介 
アーキテクチャの説明 
</t>
    <phoneticPr fontId="2"/>
  </si>
  <si>
    <t xml:space="preserve">①事前知識
NoSQL、MongoDB
②環境構築
③アーキテクチャの説明
</t>
    <phoneticPr fontId="2"/>
  </si>
  <si>
    <t>①事前知識
scala、sbt、idea
②環境構築
③アーキテクチャの説明
Stage、DAGScheduler、TaskSeduler、Taskなど</t>
    <phoneticPr fontId="2"/>
  </si>
  <si>
    <t>２H</t>
    <phoneticPr fontId="2"/>
  </si>
  <si>
    <t>③Hadoopディストリビューションの紹介 
Apache Hadoop、Cloudera、Hortonworks、MapReduce</t>
    <phoneticPr fontId="2"/>
  </si>
  <si>
    <t>④基本知識と操作方法
Table、Data Storage</t>
    <phoneticPr fontId="2"/>
  </si>
  <si>
    <t>①RDD入門
②ペアRDDでデータを集約する</t>
    <phoneticPr fontId="2"/>
  </si>
  <si>
    <t>３H</t>
    <phoneticPr fontId="2"/>
  </si>
  <si>
    <t xml:space="preserve">④Hadoop分散処理環境の構築 
ァ．標準Hadoop環境の構築 
ィ．Cloudear Hadoop 
ゥ．Hadoop on Docker 
⑤Hadoopの基本操作 </t>
    <phoneticPr fontId="2"/>
  </si>
  <si>
    <t>①DDL
②DML
③Get、Scan
④ユースケース：Hbaseデータ操作</t>
    <phoneticPr fontId="2"/>
  </si>
  <si>
    <t xml:space="preserve">
③並列処理
④ユースケース：APP購入情報について、類似度によって推薦アイテムを分析する</t>
    <phoneticPr fontId="2"/>
  </si>
  <si>
    <t>４H</t>
    <phoneticPr fontId="2"/>
  </si>
  <si>
    <t xml:space="preserve">①最初の簡単入門：Word Count 
②ユースケース：ECサイトログに対して、KPIを分析する 
③ユースケース：ある携帯キャリア会社、お客様の位置情報を活用する </t>
    <phoneticPr fontId="2"/>
  </si>
  <si>
    <t>①クラスターに関する知識
②データベース管理（バックアップ、リストアなど）
③ユースケース：HiveとHBaseの環境連動</t>
    <phoneticPr fontId="2"/>
  </si>
  <si>
    <t>①Streaming 基礎
②Dstreamストリームデータ処理
③ユースケース：ECサイトログに対して、時間ウィンドごとKPIを分析する</t>
    <phoneticPr fontId="2"/>
  </si>
  <si>
    <t>天時イベント参加者台帳</t>
    <rPh sb="0" eb="1">
      <t>テン</t>
    </rPh>
    <rPh sb="1" eb="2">
      <t>ジ</t>
    </rPh>
    <rPh sb="6" eb="9">
      <t>サンカシャ</t>
    </rPh>
    <rPh sb="9" eb="11">
      <t>ダイチョウ</t>
    </rPh>
    <phoneticPr fontId="31"/>
  </si>
  <si>
    <t>名　前</t>
    <rPh sb="0" eb="1">
      <t>ナ</t>
    </rPh>
    <rPh sb="2" eb="3">
      <t>マエ</t>
    </rPh>
    <phoneticPr fontId="31"/>
  </si>
  <si>
    <t>性　別</t>
    <phoneticPr fontId="31"/>
  </si>
  <si>
    <t>携帯電話</t>
    <rPh sb="0" eb="4">
      <t>ケイタイデンワ</t>
    </rPh>
    <phoneticPr fontId="31"/>
  </si>
  <si>
    <t>wechat</t>
    <phoneticPr fontId="31"/>
  </si>
  <si>
    <t>E-mail</t>
    <phoneticPr fontId="31"/>
  </si>
  <si>
    <t>OneDrive ID</t>
    <phoneticPr fontId="31"/>
  </si>
  <si>
    <t>GitHub ID</t>
    <phoneticPr fontId="31"/>
  </si>
  <si>
    <t>所属会社</t>
    <phoneticPr fontId="2"/>
  </si>
  <si>
    <t>興味</t>
    <rPh sb="0" eb="2">
      <t>キョウミ</t>
    </rPh>
    <phoneticPr fontId="31"/>
  </si>
  <si>
    <t>Big data　　　　　Salesforce　　　　　モバイル　
先生から授業　　　ケーススタディ</t>
    <rPh sb="29" eb="31">
      <t>センセイ</t>
    </rPh>
    <phoneticPr fontId="31"/>
  </si>
  <si>
    <t>メモ</t>
    <phoneticPr fontId="31"/>
  </si>
  <si>
    <t>Salesforce　　2017/06</t>
    <phoneticPr fontId="2"/>
  </si>
  <si>
    <t>、</t>
    <phoneticPr fontId="31"/>
  </si>
  <si>
    <t>神一样的产品经理——基于移动与互联网产品实践</t>
    <phoneticPr fontId="30" type="noConversion"/>
  </si>
  <si>
    <t>教室</t>
    <phoneticPr fontId="30" type="noConversion"/>
  </si>
  <si>
    <t>能连外网、最好有wifi，案例学习时需要</t>
    <phoneticPr fontId="30" type="noConversion"/>
  </si>
  <si>
    <t>投影仪</t>
    <phoneticPr fontId="30" type="noConversion"/>
  </si>
  <si>
    <t>必须不偏色(UI设计要求)，字迹清晰，能长时间开启</t>
    <phoneticPr fontId="30" type="noConversion"/>
  </si>
  <si>
    <t>麦克扩音设备</t>
    <phoneticPr fontId="30" type="noConversion"/>
  </si>
  <si>
    <t>可能需要</t>
    <phoneticPr fontId="30" type="noConversion"/>
  </si>
  <si>
    <t>打印机</t>
    <phoneticPr fontId="30" type="noConversion"/>
  </si>
  <si>
    <t>资料分发，笔试，批注等可能需要</t>
    <phoneticPr fontId="30" type="noConversion"/>
  </si>
  <si>
    <t>录像设备</t>
    <phoneticPr fontId="30" type="noConversion"/>
  </si>
  <si>
    <t>演讲、路演、答辩录像，有助于学生了解自己的能力</t>
    <phoneticPr fontId="30" type="noConversion"/>
  </si>
  <si>
    <t>教材</t>
    <phoneticPr fontId="30" type="noConversion"/>
  </si>
  <si>
    <t>授课人数</t>
    <phoneticPr fontId="30" type="noConversion"/>
  </si>
  <si>
    <t>47，需要名单（包括姓名，性别，专业）</t>
    <phoneticPr fontId="30" type="noConversion"/>
  </si>
  <si>
    <t>学生专业？已学专业课明细（Java WEB？Android？IOS？）</t>
    <phoneticPr fontId="30" type="noConversion"/>
  </si>
  <si>
    <t>参与过社团公众活动？</t>
    <phoneticPr fontId="30" type="noConversion"/>
  </si>
  <si>
    <t>有过社会兼职经验？</t>
    <phoneticPr fontId="30" type="noConversion"/>
  </si>
  <si>
    <t>有过研发团队开发经验？</t>
    <phoneticPr fontId="30" type="noConversion"/>
  </si>
  <si>
    <t>有过创业项目经验？或参与过相关培训？</t>
    <phoneticPr fontId="3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</si>
</sst>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5" formatCode="&quot;¥&quot;#,##0;&quot;¥&quot;\-#,##0"/>
    <numFmt numFmtId="176" formatCode="yyyy/m/d;@"/>
    <numFmt numFmtId="177" formatCode="yyyy&quot;年&quot;m&quot;月&quot;d&quot;日&quot;;@"/>
  </numFmts>
  <fonts count="77">
    <font>
      <sz val="11"/>
      <color theme="1"/>
      <name val="游ゴシック"/>
      <family val="2"/>
      <scheme val="minor"/>
    </font>
    <font>
      <sz val="9"/>
      <name val="游ゴシック"/>
      <family val="3"/>
      <charset val="134"/>
      <scheme val="minor"/>
    </font>
    <font>
      <sz val="6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sz val="12"/>
      <color theme="1"/>
      <name val="游ゴシック"/>
      <family val="3"/>
      <charset val="128"/>
      <scheme val="minor"/>
    </font>
    <font>
      <sz val="10"/>
      <color rgb="FF000000"/>
      <name val="微软雅黑"/>
      <family val="2"/>
      <charset val="134"/>
    </font>
    <font>
      <sz val="11"/>
      <color rgb="FF000000"/>
      <name val="等线"/>
      <family val="3"/>
      <charset val="134"/>
    </font>
    <font>
      <sz val="12"/>
      <color theme="1"/>
      <name val="微软雅黑"/>
      <family val="2"/>
      <charset val="134"/>
    </font>
    <font>
      <sz val="11"/>
      <color rgb="FF000000"/>
      <name val="Yu Gothic"/>
      <family val="2"/>
      <charset val="128"/>
    </font>
    <font>
      <sz val="12"/>
      <color theme="1"/>
      <name val="游ゴシック"/>
      <family val="3"/>
      <charset val="128"/>
      <scheme val="minor"/>
    </font>
    <font>
      <sz val="11"/>
      <color rgb="FF000000"/>
      <name val="微软雅黑"/>
      <family val="2"/>
      <charset val="134"/>
    </font>
    <font>
      <sz val="12"/>
      <name val="宋体"/>
      <family val="3"/>
      <charset val="134"/>
    </font>
    <font>
      <sz val="11"/>
      <name val="微软雅黑"/>
      <family val="2"/>
      <charset val="134"/>
    </font>
    <font>
      <sz val="11"/>
      <color rgb="FF000000"/>
      <name val="Calibri"/>
      <family val="2"/>
    </font>
    <font>
      <sz val="11"/>
      <color rgb="FFFF0000"/>
      <name val="微软雅黑"/>
      <family val="2"/>
      <charset val="134"/>
    </font>
    <font>
      <sz val="11"/>
      <color rgb="FFFF0000"/>
      <name val="Calibri"/>
      <family val="2"/>
    </font>
    <font>
      <sz val="11"/>
      <name val="Calibri"/>
      <family val="2"/>
    </font>
    <font>
      <sz val="11"/>
      <color rgb="FF000000"/>
      <name val="宋体"/>
      <family val="3"/>
      <charset val="134"/>
    </font>
    <font>
      <u/>
      <sz val="11"/>
      <color rgb="FF0563C1"/>
      <name val="等线"/>
      <family val="3"/>
      <charset val="134"/>
    </font>
    <font>
      <sz val="12"/>
      <name val="宋体"/>
      <charset val="134"/>
    </font>
    <font>
      <sz val="12"/>
      <color theme="1"/>
      <name val="游ゴシック"/>
      <family val="3"/>
      <charset val="128"/>
      <scheme val="minor"/>
    </font>
    <font>
      <sz val="10"/>
      <name val="宋体"/>
      <family val="2"/>
      <charset val="134"/>
    </font>
    <font>
      <sz val="10"/>
      <name val="ＭＳ Ｐ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1"/>
      <color theme="1"/>
      <name val="微软雅黑"/>
      <family val="2"/>
      <charset val="134"/>
    </font>
    <font>
      <sz val="11"/>
      <color theme="1"/>
      <name val="游ゴシック"/>
      <family val="2"/>
      <charset val="134"/>
      <scheme val="minor"/>
    </font>
    <font>
      <sz val="9"/>
      <name val="游ゴシック"/>
      <family val="2"/>
      <charset val="134"/>
      <scheme val="minor"/>
    </font>
    <font>
      <sz val="11"/>
      <color theme="1"/>
      <name val="游ゴシック"/>
      <family val="3"/>
      <charset val="134"/>
      <scheme val="minor"/>
    </font>
    <font>
      <sz val="10"/>
      <name val="Arial"/>
      <family val="2"/>
    </font>
    <font>
      <sz val="9"/>
      <name val="宋体"/>
      <family val="3"/>
      <charset val="134"/>
    </font>
    <font>
      <sz val="6"/>
      <name val="游ゴシック"/>
      <family val="2"/>
      <charset val="128"/>
      <scheme val="minor"/>
    </font>
    <font>
      <u/>
      <sz val="12"/>
      <color theme="10"/>
      <name val="宋体"/>
      <family val="3"/>
      <charset val="134"/>
    </font>
    <font>
      <u/>
      <sz val="11"/>
      <color theme="10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34"/>
      <scheme val="minor"/>
    </font>
    <font>
      <sz val="11"/>
      <color theme="1"/>
      <name val="Yu Gothic"/>
      <family val="2"/>
      <charset val="128"/>
    </font>
    <font>
      <sz val="11"/>
      <name val="游ゴシック"/>
      <family val="2"/>
      <scheme val="minor"/>
    </font>
    <font>
      <u/>
      <sz val="11"/>
      <color theme="10"/>
      <name val="游ゴシック"/>
      <family val="2"/>
      <scheme val="minor"/>
    </font>
    <font>
      <sz val="12"/>
      <color theme="1"/>
      <name val="游ゴシック"/>
      <family val="3"/>
      <charset val="128"/>
      <scheme val="minor"/>
    </font>
    <font>
      <u/>
      <sz val="12"/>
      <color theme="10"/>
      <name val="游ゴシック"/>
      <family val="2"/>
      <scheme val="minor"/>
    </font>
    <font>
      <sz val="11"/>
      <color theme="1"/>
      <name val="Calibri"/>
      <family val="2"/>
    </font>
    <font>
      <sz val="11"/>
      <color theme="1"/>
      <name val="宋体"/>
      <family val="3"/>
      <charset val="134"/>
    </font>
    <font>
      <b/>
      <sz val="11"/>
      <color theme="1"/>
      <name val="游ゴシック"/>
      <family val="2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rgb="FFFF0000"/>
      <name val="游ゴシック"/>
      <family val="3"/>
      <charset val="134"/>
      <scheme val="minor"/>
    </font>
    <font>
      <sz val="11"/>
      <color rgb="FFFF0000"/>
      <name val="游ゴシック"/>
      <family val="2"/>
      <scheme val="minor"/>
    </font>
    <font>
      <b/>
      <sz val="11"/>
      <color rgb="FFFF0000"/>
      <name val="游ゴシック"/>
      <family val="2"/>
      <scheme val="minor"/>
    </font>
    <font>
      <sz val="14"/>
      <color theme="1"/>
      <name val="游ゴシック"/>
      <family val="3"/>
      <charset val="128"/>
      <scheme val="minor"/>
    </font>
    <font>
      <sz val="14"/>
      <color theme="1"/>
      <name val="游ゴシック"/>
      <family val="3"/>
      <charset val="134"/>
      <scheme val="minor"/>
    </font>
    <font>
      <sz val="11"/>
      <color rgb="FFFF0000"/>
      <name val="游ゴシック"/>
      <family val="3"/>
      <charset val="128"/>
      <scheme val="minor"/>
    </font>
    <font>
      <sz val="11"/>
      <color rgb="FFFF0000"/>
      <name val="游ゴシック"/>
      <family val="3"/>
      <charset val="136"/>
      <scheme val="minor"/>
    </font>
    <font>
      <sz val="11"/>
      <color theme="1"/>
      <name val="ＭＳ 明朝"/>
      <family val="1"/>
      <charset val="128"/>
    </font>
    <font>
      <sz val="36"/>
      <color theme="1"/>
      <name val="游ゴシック"/>
      <family val="3"/>
      <charset val="128"/>
      <scheme val="minor"/>
    </font>
    <font>
      <sz val="36"/>
      <color theme="1"/>
      <name val="游ゴシック"/>
      <family val="2"/>
      <scheme val="minor"/>
    </font>
    <font>
      <sz val="14"/>
      <color theme="1"/>
      <name val="游ゴシック"/>
      <family val="2"/>
      <scheme val="minor"/>
    </font>
    <font>
      <sz val="14"/>
      <color theme="1"/>
      <name val="ＭＳ 明朝"/>
      <family val="1"/>
      <charset val="128"/>
    </font>
    <font>
      <sz val="14"/>
      <name val="ＭＳ 明朝"/>
      <family val="1"/>
      <charset val="128"/>
    </font>
    <font>
      <sz val="36"/>
      <color theme="1"/>
      <name val="ＭＳ 明朝"/>
      <family val="1"/>
      <charset val="128"/>
    </font>
    <font>
      <u/>
      <sz val="11"/>
      <name val="游ゴシック"/>
      <family val="2"/>
      <scheme val="minor"/>
    </font>
    <font>
      <sz val="11"/>
      <name val="游ゴシック"/>
      <family val="3"/>
      <charset val="134"/>
      <scheme val="minor"/>
    </font>
    <font>
      <b/>
      <sz val="11"/>
      <name val="游ゴシック"/>
      <family val="2"/>
      <scheme val="minor"/>
    </font>
    <font>
      <sz val="11"/>
      <name val="宋体"/>
      <family val="3"/>
      <charset val="134"/>
    </font>
    <font>
      <sz val="11"/>
      <name val="游ゴシック"/>
      <family val="3"/>
      <charset val="128"/>
      <scheme val="minor"/>
    </font>
    <font>
      <sz val="11"/>
      <color theme="1"/>
      <name val="游ゴシック"/>
      <family val="3"/>
      <charset val="134"/>
    </font>
    <font>
      <sz val="11"/>
      <name val="ＭＳ 明朝"/>
      <family val="1"/>
      <charset val="128"/>
    </font>
    <font>
      <b/>
      <sz val="18"/>
      <color theme="1"/>
      <name val="ＭＳ 明朝"/>
      <family val="1"/>
      <charset val="128"/>
    </font>
    <font>
      <sz val="11"/>
      <color theme="1"/>
      <name val="FangSong"/>
      <family val="3"/>
      <charset val="134"/>
    </font>
    <font>
      <sz val="11"/>
      <color theme="1"/>
      <name val="游ゴシック"/>
      <family val="1"/>
      <charset val="128"/>
      <scheme val="minor"/>
    </font>
    <font>
      <b/>
      <sz val="12"/>
      <color theme="1"/>
      <name val="ＭＳ 明朝"/>
      <family val="1"/>
      <charset val="128"/>
    </font>
    <font>
      <b/>
      <sz val="14"/>
      <color theme="1"/>
      <name val="ＭＳ 明朝"/>
      <family val="1"/>
      <charset val="128"/>
    </font>
    <font>
      <b/>
      <sz val="14"/>
      <color theme="1"/>
      <name val="FangSong"/>
      <family val="3"/>
      <charset val="134"/>
    </font>
    <font>
      <sz val="11"/>
      <color theme="1"/>
      <name val="DengXian"/>
      <family val="3"/>
      <charset val="134"/>
    </font>
    <font>
      <sz val="11"/>
      <color theme="1"/>
      <name val="等线"/>
      <family val="2"/>
    </font>
    <font>
      <sz val="48"/>
      <color theme="1"/>
      <name val="ＭＳ 明朝"/>
      <family val="1"/>
      <charset val="128"/>
    </font>
    <font>
      <sz val="16"/>
      <color theme="1"/>
      <name val="ＭＳ 明朝"/>
      <family val="1"/>
      <charset val="128"/>
    </font>
    <font>
      <sz val="18"/>
      <color theme="1"/>
      <name val="游ゴシック"/>
      <family val="2"/>
      <charset val="128"/>
      <scheme val="minor"/>
    </font>
    <font>
      <u/>
      <sz val="11"/>
      <color theme="10"/>
      <name val="游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D8D8D8"/>
        <bgColor indexed="64"/>
      </patternFill>
    </fill>
  </fills>
  <borders count="34">
    <border>
      <left/>
      <right/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D8D8D8"/>
      </left>
      <right style="thin">
        <color rgb="FFD8D8D8"/>
      </right>
      <top style="thin">
        <color rgb="FFD8D8D8"/>
      </top>
      <bottom style="thin">
        <color rgb="FFD8D8D8"/>
      </bottom>
      <diagonal/>
    </border>
    <border>
      <left/>
      <right style="thin">
        <color rgb="FFD8D8D8"/>
      </right>
      <top style="thin">
        <color rgb="FFD8D8D8"/>
      </top>
      <bottom style="thin">
        <color rgb="FFD8D8D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</borders>
  <cellStyleXfs count="31">
    <xf numFmtId="0" fontId="0" fillId="0" borderId="0"/>
    <xf numFmtId="0" fontId="5" fillId="0" borderId="0">
      <alignment vertical="center"/>
    </xf>
    <xf numFmtId="0" fontId="10" fillId="0" borderId="0">
      <alignment vertical="center"/>
    </xf>
    <xf numFmtId="0" fontId="4" fillId="0" borderId="0"/>
    <xf numFmtId="0" fontId="20" fillId="0" borderId="0"/>
    <xf numFmtId="0" fontId="21" fillId="0" borderId="0">
      <alignment vertical="center"/>
    </xf>
    <xf numFmtId="0" fontId="22" fillId="0" borderId="0"/>
    <xf numFmtId="0" fontId="20" fillId="0" borderId="0">
      <alignment vertical="center"/>
    </xf>
    <xf numFmtId="0" fontId="23" fillId="0" borderId="0"/>
    <xf numFmtId="0" fontId="24" fillId="0" borderId="0">
      <alignment vertical="center"/>
    </xf>
    <xf numFmtId="0" fontId="26" fillId="0" borderId="0">
      <alignment vertical="center"/>
    </xf>
    <xf numFmtId="0" fontId="29" fillId="0" borderId="0"/>
    <xf numFmtId="0" fontId="20" fillId="0" borderId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24" fillId="0" borderId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26" fillId="0" borderId="0">
      <alignment vertical="center"/>
    </xf>
    <xf numFmtId="0" fontId="37" fillId="0" borderId="0" applyNumberFormat="0" applyFill="0" applyBorder="0" applyAlignment="0" applyProtection="0"/>
    <xf numFmtId="0" fontId="26" fillId="0" borderId="0">
      <alignment vertical="center"/>
    </xf>
    <xf numFmtId="0" fontId="38" fillId="0" borderId="0">
      <alignment vertical="center"/>
    </xf>
    <xf numFmtId="0" fontId="39" fillId="0" borderId="0" applyNumberFormat="0" applyFill="0" applyBorder="0" applyAlignment="0" applyProtection="0">
      <alignment vertical="center"/>
    </xf>
    <xf numFmtId="0" fontId="26" fillId="0" borderId="0">
      <alignment vertical="center"/>
    </xf>
    <xf numFmtId="0" fontId="34" fillId="0" borderId="0" applyNumberFormat="0" applyFill="0" applyBorder="0" applyAlignment="0" applyProtection="0">
      <alignment vertical="center"/>
    </xf>
    <xf numFmtId="0" fontId="29" fillId="0" borderId="0"/>
    <xf numFmtId="0" fontId="24" fillId="0" borderId="0">
      <alignment vertical="center"/>
    </xf>
    <xf numFmtId="0" fontId="12" fillId="0" borderId="0">
      <alignment vertical="center"/>
    </xf>
    <xf numFmtId="0" fontId="32" fillId="0" borderId="0" applyNumberFormat="0" applyFill="0" applyBorder="0" applyAlignment="0" applyProtection="0">
      <alignment vertical="center"/>
    </xf>
    <xf numFmtId="0" fontId="3" fillId="0" borderId="0"/>
    <xf numFmtId="0" fontId="12" fillId="0" borderId="0"/>
    <xf numFmtId="0" fontId="76" fillId="0" borderId="0" applyNumberFormat="0" applyFill="0" applyBorder="0" applyAlignment="0" applyProtection="0"/>
  </cellStyleXfs>
  <cellXfs count="241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/>
    <xf numFmtId="0" fontId="0" fillId="0" borderId="0" xfId="0" applyAlignment="1">
      <alignment vertical="center"/>
    </xf>
    <xf numFmtId="0" fontId="0" fillId="0" borderId="0" xfId="0" applyAlignment="1">
      <alignment wrapText="1"/>
    </xf>
    <xf numFmtId="0" fontId="10" fillId="0" borderId="0" xfId="2">
      <alignment vertical="center"/>
    </xf>
    <xf numFmtId="0" fontId="6" fillId="0" borderId="0" xfId="2" applyFont="1">
      <alignment vertical="center"/>
    </xf>
    <xf numFmtId="0" fontId="7" fillId="0" borderId="0" xfId="2" applyFont="1" applyAlignment="1">
      <alignment horizontal="left" vertical="center"/>
    </xf>
    <xf numFmtId="0" fontId="7" fillId="0" borderId="0" xfId="2" applyFont="1" applyAlignment="1">
      <alignment horizontal="center" vertical="center"/>
    </xf>
    <xf numFmtId="0" fontId="7" fillId="0" borderId="0" xfId="2" applyFont="1" applyAlignment="1">
      <alignment horizontal="left"/>
    </xf>
    <xf numFmtId="0" fontId="11" fillId="0" borderId="3" xfId="2" applyFont="1" applyBorder="1" applyAlignment="1">
      <alignment horizontal="center" vertical="center" wrapText="1"/>
    </xf>
    <xf numFmtId="0" fontId="11" fillId="0" borderId="4" xfId="2" applyFont="1" applyBorder="1" applyAlignment="1">
      <alignment horizontal="center" vertical="center" wrapText="1"/>
    </xf>
    <xf numFmtId="0" fontId="11" fillId="0" borderId="1" xfId="2" applyFont="1" applyBorder="1" applyAlignment="1">
      <alignment horizontal="center" vertical="center" wrapText="1"/>
    </xf>
    <xf numFmtId="0" fontId="11" fillId="0" borderId="2" xfId="2" applyFont="1" applyBorder="1" applyAlignment="1">
      <alignment horizontal="center" vertical="center" wrapText="1"/>
    </xf>
    <xf numFmtId="0" fontId="14" fillId="0" borderId="2" xfId="2" applyFont="1" applyBorder="1" applyAlignment="1">
      <alignment horizontal="center" vertical="center" wrapText="1"/>
    </xf>
    <xf numFmtId="0" fontId="11" fillId="4" borderId="2" xfId="2" applyFont="1" applyFill="1" applyBorder="1" applyAlignment="1">
      <alignment horizontal="center" vertical="center" wrapText="1"/>
    </xf>
    <xf numFmtId="0" fontId="15" fillId="0" borderId="2" xfId="2" applyFont="1" applyBorder="1" applyAlignment="1">
      <alignment horizontal="center" vertical="center" wrapText="1"/>
    </xf>
    <xf numFmtId="0" fontId="14" fillId="4" borderId="2" xfId="2" applyFont="1" applyFill="1" applyBorder="1" applyAlignment="1">
      <alignment horizontal="center" vertical="center" wrapText="1"/>
    </xf>
    <xf numFmtId="0" fontId="16" fillId="0" borderId="2" xfId="2" applyFont="1" applyBorder="1" applyAlignment="1">
      <alignment horizontal="center" vertical="center" wrapText="1"/>
    </xf>
    <xf numFmtId="0" fontId="14" fillId="0" borderId="1" xfId="2" applyFont="1" applyBorder="1" applyAlignment="1">
      <alignment horizontal="left" vertical="center" wrapText="1"/>
    </xf>
    <xf numFmtId="0" fontId="9" fillId="0" borderId="2" xfId="2" applyFont="1" applyBorder="1" applyAlignment="1">
      <alignment horizontal="center" vertical="center" wrapText="1"/>
    </xf>
    <xf numFmtId="0" fontId="18" fillId="0" borderId="2" xfId="2" applyFont="1" applyBorder="1" applyAlignment="1">
      <alignment horizontal="center" vertical="center" wrapText="1"/>
    </xf>
    <xf numFmtId="0" fontId="9" fillId="0" borderId="1" xfId="2" applyFont="1" applyBorder="1" applyAlignment="1">
      <alignment horizontal="center" vertical="center" wrapText="1"/>
    </xf>
    <xf numFmtId="0" fontId="19" fillId="0" borderId="0" xfId="2" applyFont="1" applyAlignment="1">
      <alignment horizontal="left" vertical="center"/>
    </xf>
    <xf numFmtId="0" fontId="14" fillId="0" borderId="3" xfId="2" applyFont="1" applyBorder="1" applyAlignment="1">
      <alignment horizontal="left" vertical="center" wrapText="1"/>
    </xf>
    <xf numFmtId="0" fontId="11" fillId="0" borderId="1" xfId="2" applyFont="1" applyBorder="1" applyAlignment="1">
      <alignment horizontal="left" vertical="center" wrapText="1"/>
    </xf>
    <xf numFmtId="0" fontId="7" fillId="5" borderId="5" xfId="2" applyFont="1" applyFill="1" applyBorder="1" applyAlignment="1">
      <alignment horizontal="left"/>
    </xf>
    <xf numFmtId="0" fontId="14" fillId="5" borderId="1" xfId="2" applyFont="1" applyFill="1" applyBorder="1" applyAlignment="1">
      <alignment horizontal="center" vertical="center" wrapText="1"/>
    </xf>
    <xf numFmtId="0" fontId="14" fillId="5" borderId="2" xfId="2" applyFont="1" applyFill="1" applyBorder="1" applyAlignment="1">
      <alignment horizontal="center" vertical="center" wrapText="1"/>
    </xf>
    <xf numFmtId="0" fontId="18" fillId="5" borderId="2" xfId="2" applyFont="1" applyFill="1" applyBorder="1" applyAlignment="1">
      <alignment horizontal="center" vertical="center" wrapText="1"/>
    </xf>
    <xf numFmtId="0" fontId="14" fillId="0" borderId="1" xfId="2" applyFont="1" applyBorder="1" applyAlignment="1">
      <alignment horizontal="center" vertical="center" wrapText="1"/>
    </xf>
    <xf numFmtId="0" fontId="7" fillId="5" borderId="5" xfId="2" applyFont="1" applyFill="1" applyBorder="1" applyAlignment="1">
      <alignment horizontal="left" vertical="center"/>
    </xf>
    <xf numFmtId="0" fontId="14" fillId="0" borderId="4" xfId="2" applyFont="1" applyBorder="1" applyAlignment="1">
      <alignment horizontal="center" vertical="center" wrapText="1"/>
    </xf>
    <xf numFmtId="0" fontId="7" fillId="0" borderId="3" xfId="2" applyFont="1" applyBorder="1" applyAlignment="1">
      <alignment horizontal="center" vertical="center"/>
    </xf>
    <xf numFmtId="0" fontId="7" fillId="5" borderId="6" xfId="2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0" fillId="3" borderId="0" xfId="0" applyFill="1"/>
    <xf numFmtId="0" fontId="0" fillId="2" borderId="7" xfId="0" applyFill="1" applyBorder="1" applyAlignment="1">
      <alignment horizontal="center" vertical="center"/>
    </xf>
    <xf numFmtId="0" fontId="0" fillId="0" borderId="0" xfId="0" applyAlignment="1">
      <alignment vertical="top" wrapText="1"/>
    </xf>
    <xf numFmtId="0" fontId="0" fillId="0" borderId="7" xfId="0" applyBorder="1"/>
    <xf numFmtId="0" fontId="0" fillId="0" borderId="0" xfId="0" applyAlignment="1">
      <alignment horizontal="left" vertical="center"/>
    </xf>
    <xf numFmtId="0" fontId="0" fillId="0" borderId="7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0" borderId="15" xfId="0" applyBorder="1"/>
    <xf numFmtId="0" fontId="0" fillId="0" borderId="19" xfId="0" applyBorder="1"/>
    <xf numFmtId="0" fontId="28" fillId="0" borderId="7" xfId="0" applyFont="1" applyBorder="1"/>
    <xf numFmtId="0" fontId="28" fillId="0" borderId="7" xfId="0" applyFont="1" applyBorder="1" applyAlignment="1">
      <alignment horizontal="center" vertical="center"/>
    </xf>
    <xf numFmtId="0" fontId="25" fillId="0" borderId="7" xfId="22" applyFont="1" applyBorder="1" applyAlignment="1">
      <alignment horizontal="center" vertical="center" wrapText="1"/>
    </xf>
    <xf numFmtId="0" fontId="26" fillId="0" borderId="0" xfId="22">
      <alignment vertical="center"/>
    </xf>
    <xf numFmtId="0" fontId="40" fillId="0" borderId="7" xfId="22" applyFont="1" applyBorder="1" applyAlignment="1">
      <alignment horizontal="center" vertical="center" wrapText="1"/>
    </xf>
    <xf numFmtId="0" fontId="25" fillId="4" borderId="7" xfId="22" applyFont="1" applyFill="1" applyBorder="1" applyAlignment="1">
      <alignment horizontal="center" vertical="center" wrapText="1"/>
    </xf>
    <xf numFmtId="0" fontId="15" fillId="0" borderId="7" xfId="22" applyFont="1" applyBorder="1" applyAlignment="1">
      <alignment horizontal="center" vertical="center" wrapText="1"/>
    </xf>
    <xf numFmtId="0" fontId="40" fillId="4" borderId="7" xfId="22" applyFont="1" applyFill="1" applyBorder="1" applyAlignment="1">
      <alignment horizontal="center" vertical="center" wrapText="1"/>
    </xf>
    <xf numFmtId="0" fontId="16" fillId="0" borderId="7" xfId="22" applyFont="1" applyBorder="1" applyAlignment="1">
      <alignment horizontal="center" vertical="center" wrapText="1"/>
    </xf>
    <xf numFmtId="0" fontId="26" fillId="0" borderId="7" xfId="22" applyBorder="1" applyAlignment="1">
      <alignment horizontal="center" vertical="center"/>
    </xf>
    <xf numFmtId="0" fontId="40" fillId="0" borderId="7" xfId="22" applyFont="1" applyBorder="1" applyAlignment="1">
      <alignment vertical="center" wrapText="1"/>
    </xf>
    <xf numFmtId="0" fontId="35" fillId="0" borderId="7" xfId="22" applyFont="1" applyBorder="1" applyAlignment="1">
      <alignment horizontal="center" vertical="center" wrapText="1"/>
    </xf>
    <xf numFmtId="0" fontId="41" fillId="0" borderId="7" xfId="22" applyFont="1" applyBorder="1" applyAlignment="1">
      <alignment horizontal="center" vertical="center" wrapText="1"/>
    </xf>
    <xf numFmtId="0" fontId="34" fillId="0" borderId="0" xfId="23" applyFill="1">
      <alignment vertical="center"/>
    </xf>
    <xf numFmtId="0" fontId="25" fillId="0" borderId="7" xfId="22" applyFont="1" applyBorder="1" applyAlignment="1">
      <alignment vertical="center" wrapText="1"/>
    </xf>
    <xf numFmtId="0" fontId="40" fillId="2" borderId="7" xfId="22" applyFont="1" applyFill="1" applyBorder="1" applyAlignment="1">
      <alignment horizontal="center" vertical="center" wrapText="1"/>
    </xf>
    <xf numFmtId="0" fontId="41" fillId="2" borderId="7" xfId="22" applyFont="1" applyFill="1" applyBorder="1" applyAlignment="1">
      <alignment horizontal="center" vertical="center" wrapText="1"/>
    </xf>
    <xf numFmtId="0" fontId="26" fillId="2" borderId="7" xfId="22" applyFill="1" applyBorder="1" applyAlignment="1">
      <alignment horizontal="center" vertical="center"/>
    </xf>
    <xf numFmtId="0" fontId="26" fillId="2" borderId="0" xfId="22" applyFill="1">
      <alignment vertical="center"/>
    </xf>
    <xf numFmtId="0" fontId="26" fillId="0" borderId="0" xfId="22" applyAlignment="1">
      <alignment horizontal="center" vertical="center"/>
    </xf>
    <xf numFmtId="0" fontId="0" fillId="3" borderId="0" xfId="0" applyFill="1" applyAlignment="1">
      <alignment horizontal="center" vertical="center"/>
    </xf>
    <xf numFmtId="176" fontId="0" fillId="3" borderId="0" xfId="0" applyNumberFormat="1" applyFill="1" applyAlignment="1">
      <alignment horizontal="left" vertical="center"/>
    </xf>
    <xf numFmtId="0" fontId="0" fillId="0" borderId="0" xfId="0" applyAlignment="1">
      <alignment horizontal="left"/>
    </xf>
    <xf numFmtId="0" fontId="25" fillId="0" borderId="0" xfId="0" applyFont="1" applyAlignment="1">
      <alignment horizontal="left"/>
    </xf>
    <xf numFmtId="0" fontId="35" fillId="0" borderId="0" xfId="0" applyFont="1"/>
    <xf numFmtId="0" fontId="0" fillId="3" borderId="0" xfId="0" applyFill="1" applyAlignment="1">
      <alignment horizontal="left"/>
    </xf>
    <xf numFmtId="0" fontId="28" fillId="0" borderId="0" xfId="0" applyFont="1" applyAlignment="1">
      <alignment horizontal="center" vertical="center"/>
    </xf>
    <xf numFmtId="0" fontId="45" fillId="0" borderId="0" xfId="0" applyFont="1"/>
    <xf numFmtId="0" fontId="47" fillId="0" borderId="0" xfId="0" applyFont="1"/>
    <xf numFmtId="0" fontId="48" fillId="0" borderId="0" xfId="0" applyFont="1"/>
    <xf numFmtId="0" fontId="28" fillId="0" borderId="7" xfId="0" applyFont="1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7" fillId="0" borderId="7" xfId="18" applyBorder="1" applyAlignment="1">
      <alignment horizontal="center" vertical="center"/>
    </xf>
    <xf numFmtId="0" fontId="37" fillId="0" borderId="7" xfId="18" applyBorder="1" applyAlignment="1">
      <alignment horizontal="left" vertical="center"/>
    </xf>
    <xf numFmtId="0" fontId="49" fillId="0" borderId="7" xfId="0" applyFont="1" applyBorder="1" applyAlignment="1">
      <alignment horizontal="left" vertical="center"/>
    </xf>
    <xf numFmtId="0" fontId="45" fillId="0" borderId="7" xfId="0" applyFont="1" applyBorder="1" applyAlignment="1">
      <alignment horizontal="left" vertical="center"/>
    </xf>
    <xf numFmtId="0" fontId="0" fillId="0" borderId="7" xfId="0" applyBorder="1" applyAlignment="1">
      <alignment horizontal="center"/>
    </xf>
    <xf numFmtId="0" fontId="44" fillId="0" borderId="7" xfId="0" applyFont="1" applyBorder="1" applyAlignment="1">
      <alignment horizontal="left" vertical="center"/>
    </xf>
    <xf numFmtId="0" fontId="37" fillId="0" borderId="7" xfId="18" applyBorder="1"/>
    <xf numFmtId="0" fontId="49" fillId="3" borderId="7" xfId="0" applyFont="1" applyFill="1" applyBorder="1" applyAlignment="1">
      <alignment horizontal="left" vertical="center"/>
    </xf>
    <xf numFmtId="0" fontId="3" fillId="0" borderId="7" xfId="0" applyFont="1" applyBorder="1" applyAlignment="1">
      <alignment horizontal="center"/>
    </xf>
    <xf numFmtId="0" fontId="50" fillId="3" borderId="7" xfId="0" applyFont="1" applyFill="1" applyBorder="1" applyAlignment="1">
      <alignment horizontal="left" vertical="center"/>
    </xf>
    <xf numFmtId="0" fontId="43" fillId="0" borderId="7" xfId="0" applyFont="1" applyBorder="1"/>
    <xf numFmtId="0" fontId="45" fillId="3" borderId="7" xfId="0" applyFont="1" applyFill="1" applyBorder="1" applyAlignment="1">
      <alignment horizontal="left" vertical="center"/>
    </xf>
    <xf numFmtId="0" fontId="45" fillId="3" borderId="7" xfId="0" applyFont="1" applyFill="1" applyBorder="1" applyAlignment="1">
      <alignment horizontal="center" vertical="center"/>
    </xf>
    <xf numFmtId="0" fontId="45" fillId="3" borderId="0" xfId="0" applyFont="1" applyFill="1" applyAlignment="1">
      <alignment horizontal="center" vertical="center"/>
    </xf>
    <xf numFmtId="0" fontId="36" fillId="0" borderId="7" xfId="18" applyFont="1" applyBorder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51" fillId="3" borderId="7" xfId="0" applyFont="1" applyFill="1" applyBorder="1" applyAlignment="1">
      <alignment horizontal="center" vertical="center"/>
    </xf>
    <xf numFmtId="14" fontId="51" fillId="0" borderId="7" xfId="0" applyNumberFormat="1" applyFont="1" applyBorder="1" applyAlignment="1">
      <alignment horizontal="center" vertical="center"/>
    </xf>
    <xf numFmtId="0" fontId="51" fillId="0" borderId="7" xfId="0" applyFont="1" applyBorder="1" applyAlignment="1">
      <alignment horizontal="center" vertical="center"/>
    </xf>
    <xf numFmtId="0" fontId="4" fillId="0" borderId="0" xfId="0" applyFont="1" applyAlignment="1">
      <alignment horizontal="left"/>
    </xf>
    <xf numFmtId="5" fontId="51" fillId="0" borderId="7" xfId="0" applyNumberFormat="1" applyFont="1" applyBorder="1" applyAlignment="1">
      <alignment horizontal="center" vertical="center"/>
    </xf>
    <xf numFmtId="5" fontId="51" fillId="0" borderId="7" xfId="0" applyNumberFormat="1" applyFont="1" applyBorder="1" applyAlignment="1">
      <alignment horizontal="right" vertical="center"/>
    </xf>
    <xf numFmtId="0" fontId="51" fillId="0" borderId="7" xfId="0" applyFont="1" applyBorder="1" applyAlignment="1">
      <alignment horizontal="left" vertical="center"/>
    </xf>
    <xf numFmtId="5" fontId="51" fillId="0" borderId="0" xfId="0" applyNumberFormat="1" applyFont="1" applyAlignment="1">
      <alignment horizontal="center" vertical="center"/>
    </xf>
    <xf numFmtId="5" fontId="51" fillId="3" borderId="7" xfId="0" applyNumberFormat="1" applyFont="1" applyFill="1" applyBorder="1" applyAlignment="1">
      <alignment horizontal="right" vertical="center"/>
    </xf>
    <xf numFmtId="0" fontId="51" fillId="0" borderId="0" xfId="0" applyFont="1" applyAlignment="1">
      <alignment horizontal="right" vertical="center"/>
    </xf>
    <xf numFmtId="5" fontId="51" fillId="0" borderId="0" xfId="0" applyNumberFormat="1" applyFont="1" applyAlignment="1">
      <alignment horizontal="right" vertical="center"/>
    </xf>
    <xf numFmtId="0" fontId="0" fillId="0" borderId="7" xfId="0" applyBorder="1" applyAlignment="1">
      <alignment vertical="center"/>
    </xf>
    <xf numFmtId="0" fontId="28" fillId="0" borderId="7" xfId="0" applyFont="1" applyBorder="1" applyAlignment="1">
      <alignment vertical="center"/>
    </xf>
    <xf numFmtId="0" fontId="0" fillId="0" borderId="7" xfId="0" applyBorder="1" applyAlignment="1">
      <alignment vertical="top" wrapText="1"/>
    </xf>
    <xf numFmtId="0" fontId="0" fillId="0" borderId="7" xfId="0" applyBorder="1" applyAlignment="1">
      <alignment horizontal="left" vertical="center" wrapText="1"/>
    </xf>
    <xf numFmtId="0" fontId="0" fillId="0" borderId="7" xfId="0" applyBorder="1" applyAlignment="1">
      <alignment vertical="center" wrapText="1"/>
    </xf>
    <xf numFmtId="0" fontId="45" fillId="0" borderId="7" xfId="0" applyFont="1" applyBorder="1" applyAlignment="1">
      <alignment vertical="top" wrapText="1"/>
    </xf>
    <xf numFmtId="0" fontId="45" fillId="0" borderId="7" xfId="0" applyFont="1" applyBorder="1" applyAlignment="1">
      <alignment vertical="center"/>
    </xf>
    <xf numFmtId="0" fontId="49" fillId="0" borderId="7" xfId="0" applyFont="1" applyBorder="1" applyAlignment="1">
      <alignment vertical="center"/>
    </xf>
    <xf numFmtId="0" fontId="0" fillId="2" borderId="7" xfId="0" applyFill="1" applyBorder="1" applyAlignment="1">
      <alignment horizontal="right" vertical="center"/>
    </xf>
    <xf numFmtId="5" fontId="0" fillId="0" borderId="7" xfId="0" applyNumberFormat="1" applyBorder="1"/>
    <xf numFmtId="0" fontId="47" fillId="0" borderId="0" xfId="0" applyFont="1" applyAlignment="1">
      <alignment vertical="center"/>
    </xf>
    <xf numFmtId="0" fontId="54" fillId="0" borderId="7" xfId="0" applyFont="1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47" fillId="0" borderId="7" xfId="0" applyFont="1" applyBorder="1" applyAlignment="1">
      <alignment horizontal="center" vertical="center"/>
    </xf>
    <xf numFmtId="0" fontId="55" fillId="0" borderId="7" xfId="0" applyFont="1" applyBorder="1" applyAlignment="1">
      <alignment vertical="center"/>
    </xf>
    <xf numFmtId="5" fontId="47" fillId="0" borderId="7" xfId="0" applyNumberFormat="1" applyFont="1" applyBorder="1" applyAlignment="1">
      <alignment vertical="center"/>
    </xf>
    <xf numFmtId="0" fontId="47" fillId="0" borderId="7" xfId="0" applyFont="1" applyBorder="1" applyAlignment="1">
      <alignment vertical="center"/>
    </xf>
    <xf numFmtId="0" fontId="56" fillId="0" borderId="7" xfId="18" applyFont="1" applyFill="1" applyBorder="1" applyAlignment="1">
      <alignment vertical="center"/>
    </xf>
    <xf numFmtId="5" fontId="47" fillId="0" borderId="0" xfId="0" applyNumberFormat="1" applyFont="1" applyAlignment="1">
      <alignment vertical="center"/>
    </xf>
    <xf numFmtId="0" fontId="57" fillId="0" borderId="0" xfId="0" applyFont="1"/>
    <xf numFmtId="0" fontId="57" fillId="0" borderId="0" xfId="0" applyFont="1" applyAlignment="1">
      <alignment horizontal="center" vertical="center"/>
    </xf>
    <xf numFmtId="0" fontId="51" fillId="0" borderId="0" xfId="0" applyFont="1"/>
    <xf numFmtId="177" fontId="51" fillId="0" borderId="7" xfId="0" applyNumberFormat="1" applyFont="1" applyBorder="1" applyAlignment="1">
      <alignment horizontal="center" vertical="center"/>
    </xf>
    <xf numFmtId="0" fontId="51" fillId="0" borderId="7" xfId="0" applyFont="1" applyBorder="1"/>
    <xf numFmtId="0" fontId="4" fillId="0" borderId="0" xfId="0" applyFont="1"/>
    <xf numFmtId="0" fontId="36" fillId="0" borderId="7" xfId="0" applyFont="1" applyBorder="1" applyAlignment="1">
      <alignment horizontal="center" vertical="center"/>
    </xf>
    <xf numFmtId="0" fontId="36" fillId="0" borderId="7" xfId="0" applyFont="1" applyBorder="1" applyAlignment="1">
      <alignment horizontal="center"/>
    </xf>
    <xf numFmtId="0" fontId="58" fillId="0" borderId="7" xfId="18" applyFont="1" applyBorder="1" applyAlignment="1">
      <alignment horizontal="center" vertical="center"/>
    </xf>
    <xf numFmtId="0" fontId="4" fillId="0" borderId="7" xfId="0" applyFont="1" applyBorder="1"/>
    <xf numFmtId="14" fontId="36" fillId="0" borderId="0" xfId="0" applyNumberFormat="1" applyFont="1" applyAlignment="1">
      <alignment horizontal="center"/>
    </xf>
    <xf numFmtId="14" fontId="4" fillId="0" borderId="0" xfId="0" applyNumberFormat="1" applyFont="1"/>
    <xf numFmtId="0" fontId="0" fillId="0" borderId="7" xfId="0" applyBorder="1" applyAlignment="1">
      <alignment horizontal="center" wrapText="1"/>
    </xf>
    <xf numFmtId="0" fontId="4" fillId="0" borderId="7" xfId="0" applyFont="1" applyBorder="1" applyAlignment="1">
      <alignment horizontal="center"/>
    </xf>
    <xf numFmtId="0" fontId="4" fillId="0" borderId="7" xfId="0" applyFont="1" applyBorder="1" applyAlignment="1">
      <alignment horizontal="center" vertical="center"/>
    </xf>
    <xf numFmtId="0" fontId="59" fillId="0" borderId="7" xfId="0" applyFont="1" applyBorder="1" applyAlignment="1">
      <alignment horizontal="center" vertical="center"/>
    </xf>
    <xf numFmtId="0" fontId="37" fillId="0" borderId="7" xfId="18" applyFill="1" applyBorder="1" applyAlignment="1">
      <alignment horizontal="left" vertical="center"/>
    </xf>
    <xf numFmtId="0" fontId="36" fillId="0" borderId="0" xfId="0" applyFont="1"/>
    <xf numFmtId="0" fontId="60" fillId="0" borderId="7" xfId="0" applyFont="1" applyBorder="1"/>
    <xf numFmtId="14" fontId="36" fillId="0" borderId="0" xfId="0" applyNumberFormat="1" applyFont="1"/>
    <xf numFmtId="0" fontId="45" fillId="0" borderId="7" xfId="0" applyFont="1" applyBorder="1"/>
    <xf numFmtId="0" fontId="37" fillId="0" borderId="7" xfId="18" applyFill="1" applyBorder="1"/>
    <xf numFmtId="0" fontId="4" fillId="0" borderId="0" xfId="0" applyFont="1" applyAlignment="1">
      <alignment horizontal="center" vertical="center"/>
    </xf>
    <xf numFmtId="0" fontId="37" fillId="0" borderId="7" xfId="18" applyFill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36" fillId="0" borderId="7" xfId="0" applyFont="1" applyBorder="1"/>
    <xf numFmtId="0" fontId="61" fillId="0" borderId="7" xfId="0" applyFont="1" applyBorder="1" applyAlignment="1">
      <alignment horizontal="center" vertical="center"/>
    </xf>
    <xf numFmtId="0" fontId="37" fillId="0" borderId="7" xfId="18" applyFill="1" applyBorder="1" applyAlignment="1">
      <alignment horizontal="center"/>
    </xf>
    <xf numFmtId="0" fontId="62" fillId="0" borderId="7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7" fillId="0" borderId="0" xfId="18" applyAlignment="1">
      <alignment horizontal="left" vertical="center"/>
    </xf>
    <xf numFmtId="0" fontId="42" fillId="0" borderId="7" xfId="0" applyFont="1" applyBorder="1" applyAlignment="1">
      <alignment horizontal="center" vertical="center"/>
    </xf>
    <xf numFmtId="0" fontId="46" fillId="0" borderId="7" xfId="0" applyFont="1" applyBorder="1" applyAlignment="1">
      <alignment horizontal="center" vertical="center"/>
    </xf>
    <xf numFmtId="0" fontId="60" fillId="0" borderId="7" xfId="0" applyFont="1" applyBorder="1" applyAlignment="1">
      <alignment horizontal="center" vertical="center"/>
    </xf>
    <xf numFmtId="0" fontId="37" fillId="0" borderId="0" xfId="18" applyFill="1"/>
    <xf numFmtId="0" fontId="45" fillId="0" borderId="7" xfId="0" applyFont="1" applyBorder="1" applyAlignment="1">
      <alignment horizontal="center" vertical="center"/>
    </xf>
    <xf numFmtId="0" fontId="49" fillId="0" borderId="7" xfId="0" applyFont="1" applyBorder="1" applyAlignment="1">
      <alignment horizontal="center" vertical="center"/>
    </xf>
    <xf numFmtId="0" fontId="3" fillId="0" borderId="7" xfId="0" applyFont="1" applyBorder="1"/>
    <xf numFmtId="0" fontId="3" fillId="0" borderId="7" xfId="0" applyFont="1" applyBorder="1" applyAlignment="1">
      <alignment vertical="center"/>
    </xf>
    <xf numFmtId="0" fontId="0" fillId="3" borderId="7" xfId="0" applyFill="1" applyBorder="1" applyAlignment="1">
      <alignment horizontal="left" vertical="center"/>
    </xf>
    <xf numFmtId="0" fontId="51" fillId="0" borderId="9" xfId="0" applyFont="1" applyBorder="1" applyAlignment="1">
      <alignment horizontal="center" vertical="center"/>
    </xf>
    <xf numFmtId="0" fontId="51" fillId="0" borderId="7" xfId="0" applyFont="1" applyBorder="1" applyAlignment="1">
      <alignment vertical="center"/>
    </xf>
    <xf numFmtId="0" fontId="64" fillId="0" borderId="7" xfId="18" applyFont="1" applyFill="1" applyBorder="1" applyAlignment="1">
      <alignment vertical="center"/>
    </xf>
    <xf numFmtId="0" fontId="51" fillId="0" borderId="9" xfId="0" applyFont="1" applyBorder="1"/>
    <xf numFmtId="0" fontId="51" fillId="0" borderId="0" xfId="0" applyFont="1" applyAlignment="1">
      <alignment vertical="center"/>
    </xf>
    <xf numFmtId="0" fontId="65" fillId="0" borderId="0" xfId="0" applyFont="1" applyAlignment="1">
      <alignment horizontal="center" vertical="center"/>
    </xf>
    <xf numFmtId="0" fontId="68" fillId="0" borderId="0" xfId="0" applyFont="1" applyAlignment="1">
      <alignment horizontal="center" vertical="center"/>
    </xf>
    <xf numFmtId="0" fontId="51" fillId="0" borderId="26" xfId="0" applyFont="1" applyBorder="1" applyAlignment="1">
      <alignment horizontal="center" vertical="center"/>
    </xf>
    <xf numFmtId="0" fontId="51" fillId="0" borderId="27" xfId="0" applyFont="1" applyBorder="1" applyAlignment="1">
      <alignment horizontal="center" vertical="center"/>
    </xf>
    <xf numFmtId="0" fontId="69" fillId="0" borderId="17" xfId="0" applyFont="1" applyBorder="1" applyAlignment="1">
      <alignment vertical="center"/>
    </xf>
    <xf numFmtId="0" fontId="51" fillId="0" borderId="17" xfId="0" applyFont="1" applyBorder="1" applyAlignment="1">
      <alignment vertical="center"/>
    </xf>
    <xf numFmtId="0" fontId="51" fillId="0" borderId="30" xfId="0" applyFont="1" applyBorder="1" applyAlignment="1">
      <alignment vertical="center"/>
    </xf>
    <xf numFmtId="0" fontId="69" fillId="0" borderId="25" xfId="0" applyFont="1" applyBorder="1" applyAlignment="1">
      <alignment vertical="center"/>
    </xf>
    <xf numFmtId="0" fontId="70" fillId="0" borderId="25" xfId="0" applyFont="1" applyBorder="1" applyAlignment="1">
      <alignment vertical="center"/>
    </xf>
    <xf numFmtId="0" fontId="51" fillId="0" borderId="20" xfId="0" applyFont="1" applyBorder="1" applyAlignment="1">
      <alignment horizontal="left" vertical="center"/>
    </xf>
    <xf numFmtId="0" fontId="51" fillId="0" borderId="21" xfId="0" applyFont="1" applyBorder="1" applyAlignment="1">
      <alignment horizontal="left" vertical="center"/>
    </xf>
    <xf numFmtId="0" fontId="28" fillId="0" borderId="7" xfId="0" applyFont="1" applyBorder="1" applyAlignment="1">
      <alignment vertical="center" wrapText="1"/>
    </xf>
    <xf numFmtId="0" fontId="0" fillId="3" borderId="7" xfId="0" applyFill="1" applyBorder="1" applyAlignment="1">
      <alignment horizontal="center" vertical="center"/>
    </xf>
    <xf numFmtId="20" fontId="0" fillId="0" borderId="7" xfId="0" applyNumberFormat="1" applyBorder="1" applyAlignment="1">
      <alignment horizontal="center" vertical="center"/>
    </xf>
    <xf numFmtId="0" fontId="51" fillId="0" borderId="0" xfId="0" applyFont="1" applyAlignment="1">
      <alignment horizontal="center"/>
    </xf>
    <xf numFmtId="0" fontId="51" fillId="2" borderId="7" xfId="0" applyFont="1" applyFill="1" applyBorder="1" applyAlignment="1">
      <alignment horizontal="center" vertical="center"/>
    </xf>
    <xf numFmtId="5" fontId="0" fillId="0" borderId="0" xfId="0" applyNumberFormat="1"/>
    <xf numFmtId="0" fontId="0" fillId="0" borderId="7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4" fontId="0" fillId="0" borderId="7" xfId="0" applyNumberFormat="1" applyBorder="1" applyAlignment="1">
      <alignment horizontal="center" vertical="center" wrapText="1"/>
    </xf>
    <xf numFmtId="0" fontId="0" fillId="0" borderId="7" xfId="0" applyBorder="1" applyAlignment="1">
      <alignment wrapText="1"/>
    </xf>
    <xf numFmtId="0" fontId="75" fillId="0" borderId="0" xfId="25" applyFont="1">
      <alignment vertical="center"/>
    </xf>
    <xf numFmtId="0" fontId="24" fillId="0" borderId="7" xfId="25" applyBorder="1">
      <alignment vertical="center"/>
    </xf>
    <xf numFmtId="0" fontId="24" fillId="0" borderId="0" xfId="25">
      <alignment vertical="center"/>
    </xf>
    <xf numFmtId="0" fontId="24" fillId="0" borderId="0" xfId="25" applyAlignment="1">
      <alignment horizontal="center" vertical="top"/>
    </xf>
    <xf numFmtId="0" fontId="12" fillId="0" borderId="0" xfId="26">
      <alignment vertical="center"/>
    </xf>
    <xf numFmtId="0" fontId="14" fillId="0" borderId="4" xfId="2" applyFont="1" applyBorder="1" applyAlignment="1">
      <alignment horizontal="center" vertical="center" wrapText="1"/>
    </xf>
    <xf numFmtId="0" fontId="6" fillId="0" borderId="4" xfId="2" applyFont="1" applyBorder="1">
      <alignment vertical="center"/>
    </xf>
    <xf numFmtId="0" fontId="11" fillId="0" borderId="3" xfId="2" applyFont="1" applyBorder="1" applyAlignment="1">
      <alignment horizontal="center" vertical="center" wrapText="1"/>
    </xf>
    <xf numFmtId="0" fontId="40" fillId="0" borderId="19" xfId="22" applyFont="1" applyBorder="1" applyAlignment="1">
      <alignment horizontal="center" vertical="center" wrapText="1"/>
    </xf>
    <xf numFmtId="0" fontId="40" fillId="0" borderId="24" xfId="22" applyFont="1" applyBorder="1" applyAlignment="1">
      <alignment horizontal="center" vertical="center" wrapText="1"/>
    </xf>
    <xf numFmtId="0" fontId="40" fillId="0" borderId="15" xfId="22" applyFont="1" applyBorder="1" applyAlignment="1">
      <alignment horizontal="center" vertical="center" wrapText="1"/>
    </xf>
    <xf numFmtId="0" fontId="0" fillId="0" borderId="7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51" fillId="3" borderId="7" xfId="0" applyFont="1" applyFill="1" applyBorder="1" applyAlignment="1">
      <alignment horizontal="center" vertical="center"/>
    </xf>
    <xf numFmtId="0" fontId="51" fillId="3" borderId="11" xfId="0" applyFont="1" applyFill="1" applyBorder="1" applyAlignment="1">
      <alignment horizontal="center" vertical="center"/>
    </xf>
    <xf numFmtId="0" fontId="51" fillId="3" borderId="17" xfId="0" applyFont="1" applyFill="1" applyBorder="1" applyAlignment="1">
      <alignment horizontal="center" vertical="center"/>
    </xf>
    <xf numFmtId="0" fontId="52" fillId="0" borderId="8" xfId="0" applyFont="1" applyBorder="1" applyAlignment="1">
      <alignment horizontal="center" vertical="center"/>
    </xf>
    <xf numFmtId="0" fontId="53" fillId="0" borderId="8" xfId="0" applyFont="1" applyBorder="1" applyAlignment="1">
      <alignment horizontal="center" vertical="center"/>
    </xf>
    <xf numFmtId="0" fontId="57" fillId="0" borderId="0" xfId="0" applyFont="1" applyAlignment="1">
      <alignment horizontal="center" vertical="center"/>
    </xf>
    <xf numFmtId="0" fontId="51" fillId="0" borderId="0" xfId="0" applyFont="1" applyAlignment="1">
      <alignment horizontal="left" vertical="center"/>
    </xf>
    <xf numFmtId="0" fontId="51" fillId="0" borderId="8" xfId="0" applyFont="1" applyBorder="1" applyAlignment="1">
      <alignment horizontal="left" vertical="center"/>
    </xf>
    <xf numFmtId="0" fontId="0" fillId="0" borderId="12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51" fillId="0" borderId="25" xfId="0" applyFont="1" applyBorder="1" applyAlignment="1">
      <alignment horizontal="center" vertical="center"/>
    </xf>
    <xf numFmtId="0" fontId="51" fillId="0" borderId="7" xfId="0" applyFont="1" applyBorder="1" applyAlignment="1">
      <alignment horizontal="center" vertical="center"/>
    </xf>
    <xf numFmtId="0" fontId="51" fillId="0" borderId="14" xfId="0" applyFont="1" applyBorder="1" applyAlignment="1">
      <alignment horizontal="center" vertical="center"/>
    </xf>
    <xf numFmtId="0" fontId="65" fillId="0" borderId="0" xfId="0" applyFont="1" applyAlignment="1">
      <alignment horizontal="center" vertical="center"/>
    </xf>
    <xf numFmtId="0" fontId="51" fillId="0" borderId="27" xfId="0" applyFont="1" applyBorder="1" applyAlignment="1">
      <alignment horizontal="center" vertical="center"/>
    </xf>
    <xf numFmtId="0" fontId="51" fillId="0" borderId="28" xfId="0" applyFont="1" applyBorder="1" applyAlignment="1">
      <alignment horizontal="center" vertical="center"/>
    </xf>
    <xf numFmtId="0" fontId="51" fillId="0" borderId="29" xfId="0" applyFont="1" applyBorder="1" applyAlignment="1">
      <alignment horizontal="center" vertical="center"/>
    </xf>
    <xf numFmtId="0" fontId="51" fillId="0" borderId="31" xfId="0" applyFont="1" applyBorder="1" applyAlignment="1">
      <alignment horizontal="center" vertical="center"/>
    </xf>
    <xf numFmtId="0" fontId="51" fillId="0" borderId="22" xfId="0" applyFont="1" applyBorder="1" applyAlignment="1">
      <alignment horizontal="left" vertical="center"/>
    </xf>
    <xf numFmtId="0" fontId="51" fillId="0" borderId="32" xfId="0" applyFont="1" applyBorder="1" applyAlignment="1">
      <alignment horizontal="left" vertical="center"/>
    </xf>
    <xf numFmtId="0" fontId="51" fillId="0" borderId="23" xfId="0" applyFont="1" applyBorder="1" applyAlignment="1">
      <alignment horizontal="left" vertical="center"/>
    </xf>
    <xf numFmtId="0" fontId="0" fillId="0" borderId="19" xfId="0" applyBorder="1" applyAlignment="1">
      <alignment horizontal="center"/>
    </xf>
    <xf numFmtId="0" fontId="0" fillId="0" borderId="15" xfId="0" applyBorder="1" applyAlignment="1">
      <alignment horizontal="center"/>
    </xf>
    <xf numFmtId="0" fontId="73" fillId="0" borderId="0" xfId="0" applyFont="1" applyAlignment="1">
      <alignment horizontal="center"/>
    </xf>
    <xf numFmtId="0" fontId="74" fillId="0" borderId="0" xfId="0" applyFont="1" applyAlignment="1">
      <alignment horizontal="left" vertical="center"/>
    </xf>
    <xf numFmtId="0" fontId="0" fillId="0" borderId="7" xfId="0" applyBorder="1" applyAlignment="1">
      <alignment horizontal="center" vertical="center" wrapText="1"/>
    </xf>
    <xf numFmtId="0" fontId="75" fillId="0" borderId="8" xfId="25" applyFont="1" applyBorder="1" applyAlignment="1">
      <alignment horizontal="center" vertical="center"/>
    </xf>
    <xf numFmtId="0" fontId="24" fillId="0" borderId="7" xfId="25" applyBorder="1" applyAlignment="1">
      <alignment horizontal="center" vertical="center"/>
    </xf>
    <xf numFmtId="0" fontId="24" fillId="0" borderId="19" xfId="25" applyBorder="1" applyAlignment="1">
      <alignment horizontal="center" vertical="center"/>
    </xf>
    <xf numFmtId="0" fontId="24" fillId="0" borderId="24" xfId="25" applyBorder="1" applyAlignment="1">
      <alignment horizontal="center" vertical="center"/>
    </xf>
    <xf numFmtId="0" fontId="24" fillId="0" borderId="15" xfId="25" applyBorder="1" applyAlignment="1">
      <alignment horizontal="center" vertical="center"/>
    </xf>
    <xf numFmtId="0" fontId="24" fillId="0" borderId="7" xfId="25" applyBorder="1" applyAlignment="1">
      <alignment horizontal="left" vertical="center" wrapText="1"/>
    </xf>
    <xf numFmtId="0" fontId="24" fillId="0" borderId="7" xfId="25" applyBorder="1" applyAlignment="1">
      <alignment horizontal="left" vertical="center"/>
    </xf>
    <xf numFmtId="0" fontId="24" fillId="0" borderId="33" xfId="25" applyBorder="1" applyAlignment="1">
      <alignment horizontal="center" vertical="top"/>
    </xf>
  </cellXfs>
  <cellStyles count="31">
    <cellStyle name="ハイパーリンク 2" xfId="13" xr:uid="{10A88188-A85D-4B8F-8B06-B794618EC2B3}"/>
    <cellStyle name="ハイパーリンク 3" xfId="16" xr:uid="{BE0BF89F-E044-474A-B82F-305B6D5CD07E}"/>
    <cellStyle name="標準 10" xfId="10" xr:uid="{09EAAE9A-B278-4089-BB86-CF8C0DE1602B}"/>
    <cellStyle name="標準 2" xfId="1" xr:uid="{191AAB4A-DFFE-4B45-93C0-6A83691EBD2D}"/>
    <cellStyle name="標準 2 2" xfId="17" xr:uid="{4686C3E8-9014-4C12-9085-789026C7F78B}"/>
    <cellStyle name="標準 2 3" xfId="25" xr:uid="{8C257891-7371-461C-A971-42D28D576EC9}"/>
    <cellStyle name="標準 3" xfId="2" xr:uid="{9C02AA4B-6DE7-4630-9536-1FDB8EF2AB4A}"/>
    <cellStyle name="標準 3 2" xfId="12" xr:uid="{259DB9C5-6F86-455B-87C6-168142141BE8}"/>
    <cellStyle name="標準 4" xfId="4" xr:uid="{3E26F42A-73FF-44DC-9332-A51088801284}"/>
    <cellStyle name="標準 5" xfId="5" xr:uid="{76FC8190-C736-45CC-84B6-5E30962CC6CC}"/>
    <cellStyle name="標準 6" xfId="6" xr:uid="{D8B5544D-F52A-4A24-B9B8-46BD3C7D7793}"/>
    <cellStyle name="標準 7" xfId="7" xr:uid="{5D113BF2-C502-4E75-85C2-4BE52F4E56E8}"/>
    <cellStyle name="標準 8" xfId="8" xr:uid="{E1CA9154-7042-4A45-A0EF-F5CE3D02359C}"/>
    <cellStyle name="標準 9" xfId="9" xr:uid="{90F894CF-1380-4F4D-9870-FE7670B48FB2}"/>
    <cellStyle name="常规" xfId="0" builtinId="0"/>
    <cellStyle name="常规 2" xfId="3" xr:uid="{8645EB2C-E41B-4521-9FC4-FC9BAF5537F7}"/>
    <cellStyle name="常规 2 2" xfId="11" xr:uid="{CD7CAFD7-B951-4776-B306-97BF43601A35}"/>
    <cellStyle name="常规 2 3" xfId="14" xr:uid="{9F59EEE5-194F-48CF-8A3F-3451CD2C3D6C}"/>
    <cellStyle name="常规 2 4" xfId="22" xr:uid="{83DB4F13-8D24-48EB-A7A7-4A9002C4157D}"/>
    <cellStyle name="常规 3" xfId="19" xr:uid="{4E1E3413-9A8F-4590-A428-70F4BD508B54}"/>
    <cellStyle name="常规 3 2" xfId="24" xr:uid="{EC0B2D6B-0CC5-4B8B-8B47-4D0BF94270AA}"/>
    <cellStyle name="常规 4" xfId="20" xr:uid="{72879771-2339-41C5-8F91-8A12B1BA4F0A}"/>
    <cellStyle name="常规 4 2" xfId="26" xr:uid="{A036E656-F17D-4677-BBCD-0ACDE9D0E99B}"/>
    <cellStyle name="常规 4 2 2" xfId="29" xr:uid="{6593A56A-E617-457D-80C9-EE0DBD7DF847}"/>
    <cellStyle name="常规 5" xfId="28" xr:uid="{991B5802-8DDD-4282-96C9-E3EA670C0768}"/>
    <cellStyle name="超链接" xfId="18" builtinId="8"/>
    <cellStyle name="超链接 2" xfId="15" xr:uid="{71884403-D296-4D28-B846-5C02701A5CDE}"/>
    <cellStyle name="超链接 2 2" xfId="23" xr:uid="{0CD8915D-CBB8-4413-B850-A800FF50C6E0}"/>
    <cellStyle name="超链接 3" xfId="21" xr:uid="{2FC346FB-FCCC-4161-B210-865616003CC5}"/>
    <cellStyle name="超链接 3 2" xfId="27" xr:uid="{5F55E8D2-3647-4F7C-8E03-F8BD7F092574}"/>
    <cellStyle name="超链接 4" xfId="30" xr:uid="{6501E32C-9B0E-4720-AA64-CA9803CDC03B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2.xml"/><Relationship Id="rId27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yData/SB-Promotion_Tools/SB-Promotion_0.3.X.X_Dict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Promotion_contentTrainingPlan_0_1_X_X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Mybackup\SDLlearnpub\00Day%20Day%20UP\MyLanguag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ct"/>
    </sheet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ing Plan"/>
      <sheetName val="Plan"/>
      <sheetName val="Plan (2)"/>
      <sheetName val="Salesforce Point"/>
      <sheetName val="Trailhead MAP"/>
      <sheetName val="オブジェクト"/>
      <sheetName val="产品经理"/>
      <sheetName val="教学安排"/>
      <sheetName val="教学安排-日计划"/>
      <sheetName val="个人演讲"/>
      <sheetName val="考核"/>
      <sheetName val="作业"/>
      <sheetName val="Mainframe课程内容"/>
      <sheetName val="东软培训要求"/>
      <sheetName val="日历"/>
      <sheetName val="座位表"/>
      <sheetName val="小组"/>
    </sheetNames>
    <sheetDataSet>
      <sheetData sheetId="0">
        <row r="246">
          <cell r="A246" t="str">
            <v>Courses</v>
          </cell>
          <cell r="B246" t="str">
            <v>Codification</v>
          </cell>
          <cell r="C246" t="str">
            <v>Chapter</v>
          </cell>
          <cell r="D246" t="str">
            <v>Section</v>
          </cell>
          <cell r="E246" t="str">
            <v>Coursework</v>
          </cell>
          <cell r="F246" t="str">
            <v>PPT</v>
          </cell>
          <cell r="G246" t="str">
            <v>Voice</v>
          </cell>
          <cell r="H246" t="str">
            <v>Compose</v>
          </cell>
        </row>
        <row r="247">
          <cell r="A247" t="str">
            <v>01020201JLPT N1</v>
          </cell>
          <cell r="B247" t="str">
            <v>91-1-1</v>
          </cell>
          <cell r="C247">
            <v>1991</v>
          </cell>
          <cell r="D247">
            <v>1</v>
          </cell>
        </row>
        <row r="248">
          <cell r="A248" t="str">
            <v>程序设计方法</v>
          </cell>
          <cell r="B248" t="str">
            <v>1-1-1</v>
          </cell>
        </row>
      </sheetData>
      <sheetData sheetId="1" refreshError="1"/>
      <sheetData sheetId="2" refreshError="1"/>
      <sheetData sheetId="3"/>
      <sheetData sheetId="4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/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ord 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hyperlink" Target="mailto:ssb@jp" TargetMode="External"/><Relationship Id="rId1" Type="http://schemas.openxmlformats.org/officeDocument/2006/relationships/hyperlink" Target="mailto:ssb@kr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luyuj2016@gmail.com" TargetMode="External"/><Relationship Id="rId13" Type="http://schemas.openxmlformats.org/officeDocument/2006/relationships/hyperlink" Target="mailto:boatily@gmail.com" TargetMode="External"/><Relationship Id="rId3" Type="http://schemas.openxmlformats.org/officeDocument/2006/relationships/hyperlink" Target="mailto:liwei1083712@gmail.com" TargetMode="External"/><Relationship Id="rId7" Type="http://schemas.openxmlformats.org/officeDocument/2006/relationships/hyperlink" Target="mailto:luyuj2016@gmail.com" TargetMode="External"/><Relationship Id="rId12" Type="http://schemas.openxmlformats.org/officeDocument/2006/relationships/hyperlink" Target="mailto:408187020@qq.com" TargetMode="External"/><Relationship Id="rId17" Type="http://schemas.openxmlformats.org/officeDocument/2006/relationships/printerSettings" Target="../printerSettings/printerSettings3.bin"/><Relationship Id="rId2" Type="http://schemas.openxmlformats.org/officeDocument/2006/relationships/hyperlink" Target="mailto:yu.a.fu@Accenture.com" TargetMode="External"/><Relationship Id="rId16" Type="http://schemas.openxmlformats.org/officeDocument/2006/relationships/hyperlink" Target="mailto:liushuai0606@gmail.com" TargetMode="External"/><Relationship Id="rId1" Type="http://schemas.openxmlformats.org/officeDocument/2006/relationships/hyperlink" Target="mailto:chuxiong.yuan@gmail.com" TargetMode="External"/><Relationship Id="rId6" Type="http://schemas.openxmlformats.org/officeDocument/2006/relationships/hyperlink" Target="mailto:tangsz86@gmail.com" TargetMode="External"/><Relationship Id="rId11" Type="http://schemas.openxmlformats.org/officeDocument/2006/relationships/hyperlink" Target="mailto:perl147@gmail.com" TargetMode="External"/><Relationship Id="rId5" Type="http://schemas.openxmlformats.org/officeDocument/2006/relationships/hyperlink" Target="mailto:tangsz86@gmail.com" TargetMode="External"/><Relationship Id="rId15" Type="http://schemas.openxmlformats.org/officeDocument/2006/relationships/hyperlink" Target="mailto:zhanghui1024@ezweb.ne.jp" TargetMode="External"/><Relationship Id="rId10" Type="http://schemas.openxmlformats.org/officeDocument/2006/relationships/hyperlink" Target="mailto:crh_619@163.com" TargetMode="External"/><Relationship Id="rId4" Type="http://schemas.openxmlformats.org/officeDocument/2006/relationships/hyperlink" Target="mailto:tangsz86@gmail.com" TargetMode="External"/><Relationship Id="rId9" Type="http://schemas.openxmlformats.org/officeDocument/2006/relationships/hyperlink" Target="mailto:zzhabei@hotmail.com" TargetMode="External"/><Relationship Id="rId14" Type="http://schemas.openxmlformats.org/officeDocument/2006/relationships/hyperlink" Target="mailto:alvinli_jp@yahoo.co.jp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mailto:270960567@qq.com" TargetMode="External"/><Relationship Id="rId2" Type="http://schemas.openxmlformats.org/officeDocument/2006/relationships/hyperlink" Target="mailto:ignited0411@gmail.com" TargetMode="External"/><Relationship Id="rId1" Type="http://schemas.openxmlformats.org/officeDocument/2006/relationships/hyperlink" Target="mailto:scorpio7672@sina.com" TargetMode="External"/><Relationship Id="rId5" Type="http://schemas.openxmlformats.org/officeDocument/2006/relationships/printerSettings" Target="../printerSettings/printerSettings4.bin"/><Relationship Id="rId4" Type="http://schemas.openxmlformats.org/officeDocument/2006/relationships/hyperlink" Target="mailto:jafferey7@gmail.com" TargetMode="Externa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mailto:kokori821@gmail.com" TargetMode="External"/><Relationship Id="rId3" Type="http://schemas.openxmlformats.org/officeDocument/2006/relationships/hyperlink" Target="mailto:280795820@qq.com" TargetMode="External"/><Relationship Id="rId7" Type="http://schemas.openxmlformats.org/officeDocument/2006/relationships/hyperlink" Target="mailto:go.sk.in.wa@gmail.com" TargetMode="External"/><Relationship Id="rId2" Type="http://schemas.openxmlformats.org/officeDocument/2006/relationships/hyperlink" Target="mailto:lizhiyu77ayu@163.com" TargetMode="External"/><Relationship Id="rId1" Type="http://schemas.openxmlformats.org/officeDocument/2006/relationships/hyperlink" Target="mailto:fzd1987cool@gmail.com" TargetMode="External"/><Relationship Id="rId6" Type="http://schemas.openxmlformats.org/officeDocument/2006/relationships/hyperlink" Target="mailto:engineer.weng@gmail.com" TargetMode="External"/><Relationship Id="rId5" Type="http://schemas.openxmlformats.org/officeDocument/2006/relationships/hyperlink" Target="mailto:rohou.sendai@gmail.com" TargetMode="External"/><Relationship Id="rId10" Type="http://schemas.openxmlformats.org/officeDocument/2006/relationships/printerSettings" Target="../printerSettings/printerSettings5.bin"/><Relationship Id="rId4" Type="http://schemas.openxmlformats.org/officeDocument/2006/relationships/hyperlink" Target="mailto:qinwei891027@gmail.com" TargetMode="External"/><Relationship Id="rId9" Type="http://schemas.openxmlformats.org/officeDocument/2006/relationships/hyperlink" Target="mailto:shw407@hotmail.com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7F6A9-A59C-4BD2-AC2A-FAFB9D7F094B}">
  <sheetPr codeName="Sheet60"/>
  <dimension ref="A1:R145"/>
  <sheetViews>
    <sheetView workbookViewId="0">
      <pane xSplit="3" ySplit="1" topLeftCell="D2" activePane="bottomRight" state="frozen"/>
      <selection sqref="A1:E1"/>
      <selection pane="topRight" sqref="A1:E1"/>
      <selection pane="bottomLeft" sqref="A1:E1"/>
      <selection pane="bottomRight" activeCell="E135" sqref="E135"/>
    </sheetView>
  </sheetViews>
  <sheetFormatPr defaultRowHeight="18.75"/>
  <cols>
    <col min="1" max="1" width="25.25" customWidth="1"/>
    <col min="2" max="3" width="9.625" customWidth="1"/>
    <col min="4" max="5" width="22.375" customWidth="1"/>
    <col min="6" max="6" width="13.875" style="68" customWidth="1"/>
    <col min="7" max="7" width="12.75" style="68" customWidth="1"/>
    <col min="8" max="8" width="13" style="68" bestFit="1" customWidth="1"/>
    <col min="9" max="9" width="13.125" style="68" customWidth="1"/>
    <col min="10" max="10" width="8.125" style="68" customWidth="1"/>
    <col min="11" max="18" width="6.125" style="68" customWidth="1"/>
  </cols>
  <sheetData>
    <row r="1" spans="1:18">
      <c r="A1" s="66"/>
      <c r="B1" s="66" t="s">
        <v>92</v>
      </c>
      <c r="C1" s="66" t="s">
        <v>93</v>
      </c>
      <c r="D1" s="66" t="s">
        <v>94</v>
      </c>
      <c r="E1" s="66" t="s">
        <v>95</v>
      </c>
      <c r="F1" s="67"/>
      <c r="G1" s="67">
        <v>43344</v>
      </c>
      <c r="H1" s="67">
        <v>43282</v>
      </c>
      <c r="I1" s="67" t="s">
        <v>44</v>
      </c>
      <c r="J1" s="67" t="s">
        <v>51</v>
      </c>
      <c r="K1" s="67" t="s">
        <v>96</v>
      </c>
      <c r="L1" s="67" t="s">
        <v>97</v>
      </c>
      <c r="M1" s="67" t="s">
        <v>98</v>
      </c>
      <c r="N1" s="67" t="s">
        <v>99</v>
      </c>
      <c r="O1" s="67" t="s">
        <v>100</v>
      </c>
      <c r="P1" s="67" t="s">
        <v>101</v>
      </c>
      <c r="Q1" s="67"/>
      <c r="R1" s="67"/>
    </row>
    <row r="2" spans="1:18" ht="16.5" customHeight="1">
      <c r="A2" t="s">
        <v>102</v>
      </c>
      <c r="D2" t="s">
        <v>103</v>
      </c>
      <c r="I2" s="69">
        <f>0</f>
        <v>0</v>
      </c>
      <c r="J2" s="68">
        <f>300</f>
        <v>300</v>
      </c>
    </row>
    <row r="3" spans="1:18" ht="16.5" customHeight="1">
      <c r="A3" t="s">
        <v>104</v>
      </c>
      <c r="D3" t="s">
        <v>105</v>
      </c>
      <c r="I3" s="69">
        <f>0</f>
        <v>0</v>
      </c>
      <c r="J3" s="69">
        <f>30</f>
        <v>30</v>
      </c>
    </row>
    <row r="4" spans="1:18" ht="16.5" customHeight="1">
      <c r="A4" t="s">
        <v>106</v>
      </c>
      <c r="D4" t="s">
        <v>107</v>
      </c>
      <c r="I4" s="69">
        <f>0</f>
        <v>0</v>
      </c>
      <c r="J4" s="68">
        <f>30</f>
        <v>30</v>
      </c>
    </row>
    <row r="5" spans="1:18" ht="16.5" customHeight="1">
      <c r="D5" t="s">
        <v>108</v>
      </c>
      <c r="I5" s="69">
        <f>0</f>
        <v>0</v>
      </c>
      <c r="J5" s="68">
        <f>30</f>
        <v>30</v>
      </c>
    </row>
    <row r="6" spans="1:18">
      <c r="A6" t="s">
        <v>109</v>
      </c>
      <c r="I6" s="69">
        <f>0</f>
        <v>0</v>
      </c>
      <c r="J6" s="69">
        <f>1</f>
        <v>1</v>
      </c>
    </row>
    <row r="7" spans="1:18">
      <c r="A7" t="s">
        <v>110</v>
      </c>
      <c r="I7" s="69">
        <f>0</f>
        <v>0</v>
      </c>
      <c r="J7" s="69">
        <f>1</f>
        <v>1</v>
      </c>
    </row>
    <row r="8" spans="1:18">
      <c r="A8" t="s">
        <v>111</v>
      </c>
      <c r="I8" s="69">
        <f>0</f>
        <v>0</v>
      </c>
      <c r="J8" s="69">
        <f>1</f>
        <v>1</v>
      </c>
    </row>
    <row r="9" spans="1:18">
      <c r="A9" t="s">
        <v>112</v>
      </c>
      <c r="I9" s="69">
        <f>0</f>
        <v>0</v>
      </c>
      <c r="J9" s="69">
        <f>1</f>
        <v>1</v>
      </c>
    </row>
    <row r="10" spans="1:18">
      <c r="A10" t="s">
        <v>113</v>
      </c>
      <c r="D10" t="s">
        <v>114</v>
      </c>
      <c r="I10" s="69">
        <f>0</f>
        <v>0</v>
      </c>
      <c r="J10" s="69">
        <f>1</f>
        <v>1</v>
      </c>
    </row>
    <row r="11" spans="1:18">
      <c r="A11" t="s">
        <v>115</v>
      </c>
      <c r="I11" s="69">
        <f>0</f>
        <v>0</v>
      </c>
      <c r="J11" s="69">
        <f>1</f>
        <v>1</v>
      </c>
    </row>
    <row r="12" spans="1:18">
      <c r="A12" t="s">
        <v>116</v>
      </c>
      <c r="D12" t="s">
        <v>117</v>
      </c>
      <c r="I12" s="69">
        <f>0</f>
        <v>0</v>
      </c>
      <c r="J12" s="69">
        <f>1</f>
        <v>1</v>
      </c>
    </row>
    <row r="13" spans="1:18">
      <c r="A13" t="s">
        <v>118</v>
      </c>
      <c r="D13" t="s">
        <v>119</v>
      </c>
      <c r="I13" s="69">
        <f>0</f>
        <v>0</v>
      </c>
      <c r="J13" s="69">
        <f>1</f>
        <v>1</v>
      </c>
    </row>
    <row r="14" spans="1:18">
      <c r="A14" t="s">
        <v>120</v>
      </c>
      <c r="D14" t="s">
        <v>121</v>
      </c>
      <c r="I14" s="69">
        <f>0</f>
        <v>0</v>
      </c>
      <c r="J14" s="69">
        <f>1</f>
        <v>1</v>
      </c>
    </row>
    <row r="15" spans="1:18">
      <c r="A15" t="s">
        <v>122</v>
      </c>
      <c r="D15" t="s">
        <v>123</v>
      </c>
      <c r="I15" s="69">
        <f>0</f>
        <v>0</v>
      </c>
      <c r="J15" s="69">
        <f>1</f>
        <v>1</v>
      </c>
    </row>
    <row r="16" spans="1:18">
      <c r="A16" t="s">
        <v>124</v>
      </c>
      <c r="I16" s="69">
        <f>0</f>
        <v>0</v>
      </c>
      <c r="J16" s="69">
        <f>1</f>
        <v>1</v>
      </c>
    </row>
    <row r="17" spans="1:10">
      <c r="A17" t="s">
        <v>125</v>
      </c>
      <c r="D17" t="s">
        <v>126</v>
      </c>
      <c r="I17" s="69">
        <f>0</f>
        <v>0</v>
      </c>
      <c r="J17" s="69">
        <f>1</f>
        <v>1</v>
      </c>
    </row>
    <row r="18" spans="1:10">
      <c r="A18" t="s">
        <v>127</v>
      </c>
      <c r="I18" s="69">
        <f>0</f>
        <v>0</v>
      </c>
      <c r="J18" s="69">
        <f>1</f>
        <v>1</v>
      </c>
    </row>
    <row r="19" spans="1:10">
      <c r="A19" t="s">
        <v>128</v>
      </c>
      <c r="I19" s="69">
        <f>0</f>
        <v>0</v>
      </c>
      <c r="J19" s="69">
        <f>1</f>
        <v>1</v>
      </c>
    </row>
    <row r="20" spans="1:10">
      <c r="A20" t="s">
        <v>129</v>
      </c>
      <c r="I20" s="69">
        <f>0</f>
        <v>0</v>
      </c>
      <c r="J20" s="69">
        <f>1</f>
        <v>1</v>
      </c>
    </row>
    <row r="21" spans="1:10">
      <c r="A21" t="s">
        <v>130</v>
      </c>
      <c r="D21" t="s">
        <v>131</v>
      </c>
      <c r="I21" s="69">
        <f>0</f>
        <v>0</v>
      </c>
      <c r="J21" s="69">
        <f>1</f>
        <v>1</v>
      </c>
    </row>
    <row r="22" spans="1:10">
      <c r="A22" t="s">
        <v>132</v>
      </c>
      <c r="I22" s="69">
        <f>0</f>
        <v>0</v>
      </c>
      <c r="J22" s="69">
        <f>1</f>
        <v>1</v>
      </c>
    </row>
    <row r="23" spans="1:10">
      <c r="A23" t="s">
        <v>133</v>
      </c>
      <c r="I23" s="69">
        <f>0</f>
        <v>0</v>
      </c>
      <c r="J23" s="69">
        <f>1</f>
        <v>1</v>
      </c>
    </row>
    <row r="24" spans="1:10">
      <c r="A24" t="s">
        <v>134</v>
      </c>
      <c r="I24" s="69">
        <f>0</f>
        <v>0</v>
      </c>
      <c r="J24" s="69">
        <f>1</f>
        <v>1</v>
      </c>
    </row>
    <row r="25" spans="1:10">
      <c r="A25" t="s">
        <v>135</v>
      </c>
      <c r="D25" t="s">
        <v>136</v>
      </c>
      <c r="I25" s="69">
        <f>0</f>
        <v>0</v>
      </c>
      <c r="J25" s="69">
        <f>1</f>
        <v>1</v>
      </c>
    </row>
    <row r="26" spans="1:10">
      <c r="A26" t="s">
        <v>137</v>
      </c>
      <c r="D26" t="s">
        <v>138</v>
      </c>
      <c r="I26" s="69">
        <f>0</f>
        <v>0</v>
      </c>
      <c r="J26" s="69">
        <f>1</f>
        <v>1</v>
      </c>
    </row>
    <row r="27" spans="1:10">
      <c r="A27" t="s">
        <v>139</v>
      </c>
      <c r="I27" s="69">
        <f>0</f>
        <v>0</v>
      </c>
      <c r="J27" s="69">
        <f>1</f>
        <v>1</v>
      </c>
    </row>
    <row r="28" spans="1:10">
      <c r="A28" t="s">
        <v>140</v>
      </c>
      <c r="D28" t="s">
        <v>141</v>
      </c>
      <c r="I28" s="69">
        <f>0</f>
        <v>0</v>
      </c>
      <c r="J28" s="69">
        <f>1</f>
        <v>1</v>
      </c>
    </row>
    <row r="29" spans="1:10">
      <c r="A29">
        <v>2018</v>
      </c>
      <c r="I29" s="69">
        <f>1</f>
        <v>1</v>
      </c>
      <c r="J29" s="69">
        <f>0</f>
        <v>0</v>
      </c>
    </row>
    <row r="30" spans="1:10">
      <c r="A30" s="70" t="s">
        <v>142</v>
      </c>
      <c r="I30" s="69">
        <f>1</f>
        <v>1</v>
      </c>
      <c r="J30" s="69">
        <f>0</f>
        <v>0</v>
      </c>
    </row>
    <row r="31" spans="1:10">
      <c r="A31" t="s">
        <v>143</v>
      </c>
      <c r="I31" s="69">
        <f>1</f>
        <v>1</v>
      </c>
      <c r="J31" s="69">
        <f>0</f>
        <v>0</v>
      </c>
    </row>
    <row r="32" spans="1:10">
      <c r="A32" t="s">
        <v>144</v>
      </c>
      <c r="I32" s="69">
        <f>1</f>
        <v>1</v>
      </c>
      <c r="J32" s="69">
        <f>0</f>
        <v>0</v>
      </c>
    </row>
    <row r="33" spans="1:10">
      <c r="A33" t="s">
        <v>145</v>
      </c>
      <c r="I33" s="69">
        <f>1</f>
        <v>1</v>
      </c>
      <c r="J33" s="69">
        <f>0</f>
        <v>0</v>
      </c>
    </row>
    <row r="34" spans="1:10">
      <c r="A34" t="s">
        <v>146</v>
      </c>
      <c r="I34" s="69">
        <f>1</f>
        <v>1</v>
      </c>
      <c r="J34" s="69">
        <f>0</f>
        <v>0</v>
      </c>
    </row>
    <row r="35" spans="1:10">
      <c r="A35" t="s">
        <v>147</v>
      </c>
      <c r="I35" s="69">
        <f>1</f>
        <v>1</v>
      </c>
      <c r="J35" s="69">
        <f>0</f>
        <v>0</v>
      </c>
    </row>
    <row r="36" spans="1:10">
      <c r="A36" s="70" t="s">
        <v>148</v>
      </c>
      <c r="I36" s="69">
        <f>1</f>
        <v>1</v>
      </c>
      <c r="J36" s="69">
        <f>0</f>
        <v>0</v>
      </c>
    </row>
    <row r="37" spans="1:10">
      <c r="A37" s="70" t="s">
        <v>149</v>
      </c>
      <c r="I37" s="69">
        <f>1</f>
        <v>1</v>
      </c>
      <c r="J37" s="69">
        <f>0</f>
        <v>0</v>
      </c>
    </row>
    <row r="38" spans="1:10">
      <c r="A38" t="s">
        <v>150</v>
      </c>
      <c r="I38" s="69">
        <f>1</f>
        <v>1</v>
      </c>
      <c r="J38" s="69">
        <f>0</f>
        <v>0</v>
      </c>
    </row>
    <row r="39" spans="1:10">
      <c r="A39" t="s">
        <v>151</v>
      </c>
      <c r="I39" s="69">
        <f>1</f>
        <v>1</v>
      </c>
      <c r="J39" s="69">
        <f>0</f>
        <v>0</v>
      </c>
    </row>
    <row r="40" spans="1:10">
      <c r="A40" s="70" t="s">
        <v>152</v>
      </c>
      <c r="I40" s="69">
        <f>1</f>
        <v>1</v>
      </c>
      <c r="J40" s="69">
        <f>0</f>
        <v>0</v>
      </c>
    </row>
    <row r="41" spans="1:10">
      <c r="A41" t="s">
        <v>153</v>
      </c>
      <c r="I41" s="69">
        <f>0</f>
        <v>0</v>
      </c>
      <c r="J41" s="69">
        <f>0</f>
        <v>0</v>
      </c>
    </row>
    <row r="42" spans="1:10">
      <c r="A42" t="s">
        <v>154</v>
      </c>
      <c r="D42" t="s">
        <v>155</v>
      </c>
      <c r="I42" s="69">
        <f>0</f>
        <v>0</v>
      </c>
      <c r="J42" s="69">
        <f>0</f>
        <v>0</v>
      </c>
    </row>
    <row r="43" spans="1:10">
      <c r="A43" t="s">
        <v>156</v>
      </c>
      <c r="D43" t="s">
        <v>157</v>
      </c>
      <c r="I43" s="69">
        <f>0</f>
        <v>0</v>
      </c>
      <c r="J43" s="69">
        <f>0</f>
        <v>0</v>
      </c>
    </row>
    <row r="44" spans="1:10">
      <c r="A44" t="s">
        <v>158</v>
      </c>
      <c r="I44" s="69">
        <f>0</f>
        <v>0</v>
      </c>
      <c r="J44" s="69">
        <f>0</f>
        <v>0</v>
      </c>
    </row>
    <row r="45" spans="1:10">
      <c r="A45" t="s">
        <v>159</v>
      </c>
      <c r="I45" s="69">
        <f>0</f>
        <v>0</v>
      </c>
      <c r="J45" s="69">
        <f>0</f>
        <v>0</v>
      </c>
    </row>
    <row r="46" spans="1:10">
      <c r="A46" t="s">
        <v>160</v>
      </c>
      <c r="D46" t="s">
        <v>161</v>
      </c>
      <c r="I46" s="69">
        <f>0</f>
        <v>0</v>
      </c>
      <c r="J46" s="69">
        <f>0</f>
        <v>0</v>
      </c>
    </row>
    <row r="47" spans="1:10">
      <c r="A47" t="s">
        <v>162</v>
      </c>
      <c r="D47" t="s">
        <v>163</v>
      </c>
      <c r="I47" s="69">
        <f>0</f>
        <v>0</v>
      </c>
      <c r="J47" s="69">
        <f>0</f>
        <v>0</v>
      </c>
    </row>
    <row r="48" spans="1:10">
      <c r="A48" t="s">
        <v>164</v>
      </c>
      <c r="I48" s="69">
        <f>0</f>
        <v>0</v>
      </c>
      <c r="J48" s="69">
        <f>0</f>
        <v>0</v>
      </c>
    </row>
    <row r="49" spans="1:10">
      <c r="A49" t="s">
        <v>165</v>
      </c>
      <c r="D49" t="s">
        <v>166</v>
      </c>
      <c r="I49" s="69">
        <f>0</f>
        <v>0</v>
      </c>
      <c r="J49" s="69">
        <f>0</f>
        <v>0</v>
      </c>
    </row>
    <row r="50" spans="1:10">
      <c r="A50" t="s">
        <v>167</v>
      </c>
      <c r="I50" s="69">
        <f>0</f>
        <v>0</v>
      </c>
      <c r="J50" s="69">
        <f>0</f>
        <v>0</v>
      </c>
    </row>
    <row r="51" spans="1:10">
      <c r="A51" t="s">
        <v>168</v>
      </c>
      <c r="D51" t="s">
        <v>169</v>
      </c>
      <c r="I51" s="69">
        <f>0</f>
        <v>0</v>
      </c>
      <c r="J51" s="69">
        <f>0</f>
        <v>0</v>
      </c>
    </row>
    <row r="52" spans="1:10">
      <c r="A52" t="s">
        <v>170</v>
      </c>
      <c r="D52" t="s">
        <v>171</v>
      </c>
      <c r="I52" s="69">
        <f>0</f>
        <v>0</v>
      </c>
      <c r="J52" s="69">
        <f>0</f>
        <v>0</v>
      </c>
    </row>
    <row r="53" spans="1:10">
      <c r="A53" t="s">
        <v>172</v>
      </c>
      <c r="I53" s="69">
        <f>0</f>
        <v>0</v>
      </c>
      <c r="J53" s="69">
        <f>0</f>
        <v>0</v>
      </c>
    </row>
    <row r="54" spans="1:10">
      <c r="A54" t="s">
        <v>173</v>
      </c>
      <c r="I54" s="69">
        <f>0</f>
        <v>0</v>
      </c>
      <c r="J54" s="69">
        <f>0</f>
        <v>0</v>
      </c>
    </row>
    <row r="55" spans="1:10">
      <c r="A55" t="s">
        <v>174</v>
      </c>
      <c r="I55" s="69">
        <f>0</f>
        <v>0</v>
      </c>
      <c r="J55" s="69">
        <f>0</f>
        <v>0</v>
      </c>
    </row>
    <row r="56" spans="1:10">
      <c r="A56" t="s">
        <v>175</v>
      </c>
      <c r="I56" s="69">
        <f>0</f>
        <v>0</v>
      </c>
      <c r="J56" s="69">
        <f>0</f>
        <v>0</v>
      </c>
    </row>
    <row r="57" spans="1:10">
      <c r="A57" t="s">
        <v>176</v>
      </c>
      <c r="I57" s="69">
        <f>0</f>
        <v>0</v>
      </c>
      <c r="J57" s="69">
        <f>0</f>
        <v>0</v>
      </c>
    </row>
    <row r="58" spans="1:10">
      <c r="A58" t="s">
        <v>177</v>
      </c>
      <c r="D58" t="s">
        <v>178</v>
      </c>
      <c r="I58" s="69">
        <f>0</f>
        <v>0</v>
      </c>
      <c r="J58" s="69">
        <f>0</f>
        <v>0</v>
      </c>
    </row>
    <row r="59" spans="1:10">
      <c r="A59" t="s">
        <v>179</v>
      </c>
      <c r="I59" s="69">
        <f>0</f>
        <v>0</v>
      </c>
      <c r="J59" s="69">
        <f>0</f>
        <v>0</v>
      </c>
    </row>
    <row r="60" spans="1:10">
      <c r="A60" t="s">
        <v>180</v>
      </c>
      <c r="D60" t="s">
        <v>181</v>
      </c>
      <c r="I60" s="69">
        <f>0</f>
        <v>0</v>
      </c>
      <c r="J60" s="69">
        <f>0</f>
        <v>0</v>
      </c>
    </row>
    <row r="61" spans="1:10">
      <c r="A61" t="s">
        <v>182</v>
      </c>
      <c r="I61" s="69">
        <f>0</f>
        <v>0</v>
      </c>
      <c r="J61" s="69">
        <f>0</f>
        <v>0</v>
      </c>
    </row>
    <row r="62" spans="1:10">
      <c r="A62" t="s">
        <v>183</v>
      </c>
      <c r="D62" t="s">
        <v>184</v>
      </c>
      <c r="I62" s="69">
        <f>0</f>
        <v>0</v>
      </c>
      <c r="J62" s="69">
        <f>0</f>
        <v>0</v>
      </c>
    </row>
    <row r="63" spans="1:10">
      <c r="A63" t="s">
        <v>185</v>
      </c>
      <c r="I63" s="69">
        <f>0</f>
        <v>0</v>
      </c>
      <c r="J63" s="69">
        <f>0</f>
        <v>0</v>
      </c>
    </row>
    <row r="64" spans="1:10">
      <c r="A64" t="s">
        <v>186</v>
      </c>
      <c r="D64" t="s">
        <v>187</v>
      </c>
      <c r="I64" s="69">
        <f>0</f>
        <v>0</v>
      </c>
      <c r="J64" s="69">
        <f>0</f>
        <v>0</v>
      </c>
    </row>
    <row r="65" spans="1:10">
      <c r="A65" t="s">
        <v>188</v>
      </c>
      <c r="I65" s="69">
        <f>0</f>
        <v>0</v>
      </c>
      <c r="J65" s="69">
        <f>0</f>
        <v>0</v>
      </c>
    </row>
    <row r="66" spans="1:10">
      <c r="A66" t="s">
        <v>189</v>
      </c>
      <c r="D66" t="s">
        <v>190</v>
      </c>
      <c r="I66" s="69">
        <f>0</f>
        <v>0</v>
      </c>
      <c r="J66" s="69">
        <f>0</f>
        <v>0</v>
      </c>
    </row>
    <row r="67" spans="1:10">
      <c r="A67" t="s">
        <v>191</v>
      </c>
      <c r="I67" s="69">
        <f>0</f>
        <v>0</v>
      </c>
      <c r="J67" s="69">
        <f>0</f>
        <v>0</v>
      </c>
    </row>
    <row r="68" spans="1:10">
      <c r="A68" t="s">
        <v>192</v>
      </c>
      <c r="I68" s="69">
        <f>0</f>
        <v>0</v>
      </c>
      <c r="J68" s="69">
        <f>0</f>
        <v>0</v>
      </c>
    </row>
    <row r="69" spans="1:10">
      <c r="A69" t="s">
        <v>193</v>
      </c>
      <c r="D69" t="s">
        <v>194</v>
      </c>
      <c r="I69" s="69">
        <f>0</f>
        <v>0</v>
      </c>
      <c r="J69" s="69">
        <f>0</f>
        <v>0</v>
      </c>
    </row>
    <row r="70" spans="1:10">
      <c r="A70" t="s">
        <v>195</v>
      </c>
      <c r="I70" s="69">
        <f>0</f>
        <v>0</v>
      </c>
      <c r="J70" s="69">
        <f>0</f>
        <v>0</v>
      </c>
    </row>
    <row r="71" spans="1:10">
      <c r="A71" t="s">
        <v>196</v>
      </c>
      <c r="I71" s="69">
        <f>0</f>
        <v>0</v>
      </c>
      <c r="J71" s="69">
        <f>0</f>
        <v>0</v>
      </c>
    </row>
    <row r="72" spans="1:10">
      <c r="A72" t="s">
        <v>197</v>
      </c>
      <c r="I72" s="69">
        <f>0</f>
        <v>0</v>
      </c>
      <c r="J72" s="69">
        <f>0</f>
        <v>0</v>
      </c>
    </row>
    <row r="73" spans="1:10">
      <c r="A73" t="s">
        <v>198</v>
      </c>
      <c r="I73" s="69">
        <f>0</f>
        <v>0</v>
      </c>
      <c r="J73" s="69">
        <f>0</f>
        <v>0</v>
      </c>
    </row>
    <row r="74" spans="1:10">
      <c r="A74" t="s">
        <v>199</v>
      </c>
      <c r="D74" t="s">
        <v>200</v>
      </c>
      <c r="I74" s="69">
        <f>0</f>
        <v>0</v>
      </c>
      <c r="J74" s="69">
        <f>0</f>
        <v>0</v>
      </c>
    </row>
    <row r="75" spans="1:10">
      <c r="A75" t="s">
        <v>201</v>
      </c>
      <c r="I75" s="69">
        <f>0</f>
        <v>0</v>
      </c>
      <c r="J75" s="69">
        <f>0</f>
        <v>0</v>
      </c>
    </row>
    <row r="76" spans="1:10">
      <c r="A76" t="s">
        <v>202</v>
      </c>
      <c r="I76" s="69">
        <f>0</f>
        <v>0</v>
      </c>
      <c r="J76" s="69">
        <f>0</f>
        <v>0</v>
      </c>
    </row>
    <row r="77" spans="1:10">
      <c r="A77" t="s">
        <v>203</v>
      </c>
      <c r="D77" t="s">
        <v>204</v>
      </c>
      <c r="I77" s="69">
        <f>0</f>
        <v>0</v>
      </c>
      <c r="J77" s="69">
        <f>0</f>
        <v>0</v>
      </c>
    </row>
    <row r="78" spans="1:10">
      <c r="A78" t="s">
        <v>205</v>
      </c>
      <c r="I78" s="69">
        <f>0</f>
        <v>0</v>
      </c>
      <c r="J78" s="69">
        <f>0</f>
        <v>0</v>
      </c>
    </row>
    <row r="79" spans="1:10">
      <c r="A79" t="s">
        <v>206</v>
      </c>
      <c r="D79" t="s">
        <v>207</v>
      </c>
      <c r="I79" s="69">
        <f>0</f>
        <v>0</v>
      </c>
      <c r="J79" s="69">
        <f>0</f>
        <v>0</v>
      </c>
    </row>
    <row r="80" spans="1:10">
      <c r="A80" t="s">
        <v>208</v>
      </c>
      <c r="I80" s="69">
        <f>0</f>
        <v>0</v>
      </c>
      <c r="J80" s="69">
        <f>0</f>
        <v>0</v>
      </c>
    </row>
    <row r="81" spans="1:10">
      <c r="A81" t="s">
        <v>209</v>
      </c>
      <c r="I81" s="69">
        <f>0</f>
        <v>0</v>
      </c>
      <c r="J81" s="69">
        <f>0</f>
        <v>0</v>
      </c>
    </row>
    <row r="82" spans="1:10">
      <c r="A82" t="s">
        <v>210</v>
      </c>
      <c r="I82" s="69">
        <f>0</f>
        <v>0</v>
      </c>
      <c r="J82" s="69">
        <f>0</f>
        <v>0</v>
      </c>
    </row>
    <row r="83" spans="1:10">
      <c r="A83" t="s">
        <v>211</v>
      </c>
      <c r="I83" s="69">
        <f>0</f>
        <v>0</v>
      </c>
      <c r="J83" s="69">
        <f>0</f>
        <v>0</v>
      </c>
    </row>
    <row r="84" spans="1:10">
      <c r="A84" t="s">
        <v>212</v>
      </c>
      <c r="D84" t="s">
        <v>119</v>
      </c>
      <c r="I84" s="69">
        <f>0</f>
        <v>0</v>
      </c>
      <c r="J84" s="69">
        <f>0</f>
        <v>0</v>
      </c>
    </row>
    <row r="85" spans="1:10">
      <c r="A85" t="s">
        <v>213</v>
      </c>
      <c r="D85" t="s">
        <v>199</v>
      </c>
      <c r="I85" s="69">
        <f>0</f>
        <v>0</v>
      </c>
      <c r="J85" s="69">
        <f>0</f>
        <v>0</v>
      </c>
    </row>
    <row r="86" spans="1:10">
      <c r="A86" t="s">
        <v>214</v>
      </c>
      <c r="I86" s="69">
        <f>0</f>
        <v>0</v>
      </c>
      <c r="J86" s="69">
        <f>0</f>
        <v>0</v>
      </c>
    </row>
    <row r="87" spans="1:10">
      <c r="A87" t="s">
        <v>215</v>
      </c>
      <c r="I87" s="69">
        <f>0</f>
        <v>0</v>
      </c>
      <c r="J87" s="69">
        <f>0</f>
        <v>0</v>
      </c>
    </row>
    <row r="88" spans="1:10">
      <c r="A88" t="s">
        <v>216</v>
      </c>
      <c r="D88" t="s">
        <v>217</v>
      </c>
      <c r="I88" s="69">
        <f>0</f>
        <v>0</v>
      </c>
      <c r="J88" s="69">
        <f>0</f>
        <v>0</v>
      </c>
    </row>
    <row r="89" spans="1:10">
      <c r="A89" t="s">
        <v>218</v>
      </c>
      <c r="I89" s="69">
        <f>0</f>
        <v>0</v>
      </c>
      <c r="J89" s="69">
        <f>0</f>
        <v>0</v>
      </c>
    </row>
    <row r="90" spans="1:10">
      <c r="A90" t="s">
        <v>219</v>
      </c>
      <c r="D90" t="s">
        <v>220</v>
      </c>
      <c r="I90" s="69">
        <f>0</f>
        <v>0</v>
      </c>
      <c r="J90" s="69">
        <f>0</f>
        <v>0</v>
      </c>
    </row>
    <row r="91" spans="1:10">
      <c r="A91" t="s">
        <v>221</v>
      </c>
      <c r="D91" t="s">
        <v>222</v>
      </c>
      <c r="I91" s="69">
        <f>0</f>
        <v>0</v>
      </c>
      <c r="J91" s="69">
        <f>0</f>
        <v>0</v>
      </c>
    </row>
    <row r="92" spans="1:10">
      <c r="A92" t="s">
        <v>223</v>
      </c>
      <c r="I92" s="69">
        <f>0</f>
        <v>0</v>
      </c>
      <c r="J92" s="69">
        <f>0</f>
        <v>0</v>
      </c>
    </row>
    <row r="93" spans="1:10">
      <c r="A93" t="s">
        <v>224</v>
      </c>
      <c r="I93" s="69">
        <f>0</f>
        <v>0</v>
      </c>
      <c r="J93" s="69">
        <f>0</f>
        <v>0</v>
      </c>
    </row>
    <row r="94" spans="1:10">
      <c r="A94" t="s">
        <v>225</v>
      </c>
      <c r="D94" t="s">
        <v>226</v>
      </c>
      <c r="I94" s="69">
        <f>0</f>
        <v>0</v>
      </c>
      <c r="J94" s="69">
        <f>0</f>
        <v>0</v>
      </c>
    </row>
    <row r="95" spans="1:10">
      <c r="A95" t="s">
        <v>227</v>
      </c>
      <c r="I95" s="69">
        <f>0</f>
        <v>0</v>
      </c>
      <c r="J95" s="69">
        <f>0</f>
        <v>0</v>
      </c>
    </row>
    <row r="96" spans="1:10">
      <c r="A96" t="s">
        <v>228</v>
      </c>
      <c r="I96" s="69">
        <f>0</f>
        <v>0</v>
      </c>
      <c r="J96" s="69">
        <f>0</f>
        <v>0</v>
      </c>
    </row>
    <row r="97" spans="1:10">
      <c r="A97" t="s">
        <v>229</v>
      </c>
      <c r="I97" s="69">
        <f>0</f>
        <v>0</v>
      </c>
      <c r="J97" s="69">
        <f>0</f>
        <v>0</v>
      </c>
    </row>
    <row r="98" spans="1:10">
      <c r="A98" t="s">
        <v>230</v>
      </c>
      <c r="D98" t="s">
        <v>231</v>
      </c>
      <c r="I98" s="69">
        <f>0</f>
        <v>0</v>
      </c>
      <c r="J98" s="69">
        <f>0</f>
        <v>0</v>
      </c>
    </row>
    <row r="99" spans="1:10">
      <c r="A99" t="s">
        <v>232</v>
      </c>
      <c r="I99" s="69">
        <f>0</f>
        <v>0</v>
      </c>
      <c r="J99" s="69">
        <f>0</f>
        <v>0</v>
      </c>
    </row>
    <row r="100" spans="1:10">
      <c r="A100" t="s">
        <v>233</v>
      </c>
      <c r="I100" s="69">
        <f>0</f>
        <v>0</v>
      </c>
      <c r="J100" s="69">
        <f>0</f>
        <v>0</v>
      </c>
    </row>
    <row r="101" spans="1:10">
      <c r="A101" t="s">
        <v>234</v>
      </c>
      <c r="I101" s="69">
        <f>0</f>
        <v>0</v>
      </c>
      <c r="J101" s="69">
        <f>0</f>
        <v>0</v>
      </c>
    </row>
    <row r="102" spans="1:10">
      <c r="A102" t="s">
        <v>235</v>
      </c>
      <c r="D102" t="s">
        <v>236</v>
      </c>
      <c r="I102" s="69">
        <f>0</f>
        <v>0</v>
      </c>
      <c r="J102" s="69">
        <f>0</f>
        <v>0</v>
      </c>
    </row>
    <row r="103" spans="1:10">
      <c r="A103" t="s">
        <v>237</v>
      </c>
      <c r="D103" t="s">
        <v>238</v>
      </c>
      <c r="I103" s="69">
        <f>0</f>
        <v>0</v>
      </c>
      <c r="J103" s="69">
        <f>0</f>
        <v>0</v>
      </c>
    </row>
    <row r="104" spans="1:10">
      <c r="A104" t="s">
        <v>239</v>
      </c>
      <c r="I104" s="69">
        <f>0</f>
        <v>0</v>
      </c>
      <c r="J104" s="69">
        <f>0</f>
        <v>0</v>
      </c>
    </row>
    <row r="105" spans="1:10">
      <c r="A105" t="s">
        <v>240</v>
      </c>
      <c r="I105" s="69">
        <f>0</f>
        <v>0</v>
      </c>
      <c r="J105" s="69">
        <f>0</f>
        <v>0</v>
      </c>
    </row>
    <row r="106" spans="1:10">
      <c r="A106" t="s">
        <v>241</v>
      </c>
      <c r="I106" s="69">
        <f>0</f>
        <v>0</v>
      </c>
      <c r="J106" s="69">
        <f>0</f>
        <v>0</v>
      </c>
    </row>
    <row r="107" spans="1:10">
      <c r="A107" t="s">
        <v>242</v>
      </c>
      <c r="D107" t="s">
        <v>243</v>
      </c>
      <c r="I107" s="69">
        <f>0</f>
        <v>0</v>
      </c>
      <c r="J107" s="69">
        <f>0</f>
        <v>0</v>
      </c>
    </row>
    <row r="108" spans="1:10">
      <c r="A108" t="s">
        <v>244</v>
      </c>
      <c r="D108" t="s">
        <v>245</v>
      </c>
      <c r="I108" s="69">
        <f>0</f>
        <v>0</v>
      </c>
      <c r="J108" s="69">
        <f>0</f>
        <v>0</v>
      </c>
    </row>
    <row r="109" spans="1:10">
      <c r="A109" t="s">
        <v>246</v>
      </c>
      <c r="I109" s="69">
        <f>0</f>
        <v>0</v>
      </c>
      <c r="J109" s="69">
        <f>0</f>
        <v>0</v>
      </c>
    </row>
    <row r="110" spans="1:10">
      <c r="A110" t="s">
        <v>247</v>
      </c>
      <c r="I110" s="69">
        <f>0</f>
        <v>0</v>
      </c>
      <c r="J110" s="69">
        <f>0</f>
        <v>0</v>
      </c>
    </row>
    <row r="111" spans="1:10" ht="14.25" customHeight="1">
      <c r="A111" t="s">
        <v>248</v>
      </c>
      <c r="I111" s="69">
        <f>0</f>
        <v>0</v>
      </c>
      <c r="J111" s="69">
        <f>0</f>
        <v>0</v>
      </c>
    </row>
    <row r="112" spans="1:10" ht="14.25" customHeight="1">
      <c r="A112" t="s">
        <v>249</v>
      </c>
      <c r="I112" s="69">
        <f>0</f>
        <v>0</v>
      </c>
      <c r="J112" s="69">
        <f>0</f>
        <v>0</v>
      </c>
    </row>
    <row r="113" spans="1:10" ht="14.25" customHeight="1">
      <c r="A113" t="s">
        <v>250</v>
      </c>
      <c r="I113" s="69">
        <f>0</f>
        <v>0</v>
      </c>
      <c r="J113" s="69">
        <f>0</f>
        <v>0</v>
      </c>
    </row>
    <row r="114" spans="1:10">
      <c r="A114" t="s">
        <v>251</v>
      </c>
      <c r="D114" t="s">
        <v>252</v>
      </c>
      <c r="I114" s="69">
        <f>0</f>
        <v>0</v>
      </c>
      <c r="J114" s="69">
        <f>0</f>
        <v>0</v>
      </c>
    </row>
    <row r="115" spans="1:10">
      <c r="A115" t="s">
        <v>253</v>
      </c>
      <c r="D115" t="s">
        <v>254</v>
      </c>
      <c r="I115" s="69">
        <f>0</f>
        <v>0</v>
      </c>
      <c r="J115" s="69">
        <f>0</f>
        <v>0</v>
      </c>
    </row>
    <row r="116" spans="1:10">
      <c r="A116" t="s">
        <v>255</v>
      </c>
      <c r="I116" s="69">
        <f>0</f>
        <v>0</v>
      </c>
      <c r="J116" s="69">
        <f>0</f>
        <v>0</v>
      </c>
    </row>
    <row r="117" spans="1:10">
      <c r="A117" t="s">
        <v>256</v>
      </c>
      <c r="D117" t="s">
        <v>257</v>
      </c>
      <c r="I117" s="69">
        <f>0</f>
        <v>0</v>
      </c>
      <c r="J117" s="69">
        <f>0</f>
        <v>0</v>
      </c>
    </row>
    <row r="118" spans="1:10">
      <c r="A118" t="s">
        <v>258</v>
      </c>
      <c r="I118" s="69">
        <f>0</f>
        <v>0</v>
      </c>
      <c r="J118" s="69">
        <f>0</f>
        <v>0</v>
      </c>
    </row>
    <row r="119" spans="1:10">
      <c r="A119" t="s">
        <v>259</v>
      </c>
      <c r="D119" t="s">
        <v>260</v>
      </c>
      <c r="I119" s="69">
        <f>0</f>
        <v>0</v>
      </c>
      <c r="J119" s="69">
        <f>0</f>
        <v>0</v>
      </c>
    </row>
    <row r="120" spans="1:10">
      <c r="A120" t="s">
        <v>261</v>
      </c>
      <c r="I120" s="69">
        <f>0</f>
        <v>0</v>
      </c>
      <c r="J120" s="69">
        <f>0</f>
        <v>0</v>
      </c>
    </row>
    <row r="121" spans="1:10">
      <c r="A121" t="s">
        <v>262</v>
      </c>
      <c r="I121" s="69">
        <f>0</f>
        <v>0</v>
      </c>
      <c r="J121" s="69">
        <f>0</f>
        <v>0</v>
      </c>
    </row>
    <row r="122" spans="1:10">
      <c r="A122" t="s">
        <v>263</v>
      </c>
      <c r="I122" s="69">
        <f>0</f>
        <v>0</v>
      </c>
      <c r="J122" s="69">
        <f>0</f>
        <v>0</v>
      </c>
    </row>
    <row r="123" spans="1:10">
      <c r="A123" t="s">
        <v>264</v>
      </c>
      <c r="I123" s="69">
        <f>0</f>
        <v>0</v>
      </c>
      <c r="J123" s="69">
        <f>0</f>
        <v>0</v>
      </c>
    </row>
    <row r="124" spans="1:10">
      <c r="A124" t="s">
        <v>265</v>
      </c>
      <c r="I124" s="69">
        <f>0</f>
        <v>0</v>
      </c>
      <c r="J124" s="69">
        <f>0</f>
        <v>0</v>
      </c>
    </row>
    <row r="125" spans="1:10">
      <c r="A125" t="s">
        <v>266</v>
      </c>
      <c r="I125" s="69">
        <f>0</f>
        <v>0</v>
      </c>
      <c r="J125" s="69">
        <f>0</f>
        <v>0</v>
      </c>
    </row>
    <row r="126" spans="1:10">
      <c r="A126" t="s">
        <v>267</v>
      </c>
      <c r="D126" t="s">
        <v>268</v>
      </c>
      <c r="I126" s="69">
        <f>0</f>
        <v>0</v>
      </c>
      <c r="J126" s="69">
        <f>0</f>
        <v>0</v>
      </c>
    </row>
    <row r="127" spans="1:10">
      <c r="A127" t="s">
        <v>269</v>
      </c>
      <c r="I127" s="69">
        <f>0</f>
        <v>0</v>
      </c>
      <c r="J127" s="69">
        <f>0</f>
        <v>0</v>
      </c>
    </row>
    <row r="128" spans="1:10">
      <c r="A128" t="s">
        <v>270</v>
      </c>
      <c r="I128" s="69">
        <f>0</f>
        <v>0</v>
      </c>
      <c r="J128" s="69">
        <f>0</f>
        <v>0</v>
      </c>
    </row>
    <row r="129" spans="1:18">
      <c r="A129" t="s">
        <v>271</v>
      </c>
      <c r="D129" t="s">
        <v>272</v>
      </c>
      <c r="I129" s="69">
        <f>0</f>
        <v>0</v>
      </c>
      <c r="J129" s="69">
        <f>0</f>
        <v>0</v>
      </c>
    </row>
    <row r="130" spans="1:18">
      <c r="A130" t="s">
        <v>273</v>
      </c>
      <c r="I130" s="69">
        <f>0</f>
        <v>0</v>
      </c>
      <c r="J130" s="69">
        <f>0</f>
        <v>0</v>
      </c>
    </row>
    <row r="131" spans="1:18">
      <c r="A131" t="s">
        <v>274</v>
      </c>
      <c r="I131" s="69">
        <f>0</f>
        <v>0</v>
      </c>
      <c r="J131" s="69">
        <f>0</f>
        <v>0</v>
      </c>
    </row>
    <row r="132" spans="1:18">
      <c r="A132" t="s">
        <v>275</v>
      </c>
      <c r="I132" s="69">
        <f>0</f>
        <v>0</v>
      </c>
      <c r="J132" s="69">
        <f>0</f>
        <v>0</v>
      </c>
    </row>
    <row r="133" spans="1:18">
      <c r="D133" t="s">
        <v>276</v>
      </c>
      <c r="I133" s="69">
        <f>0</f>
        <v>0</v>
      </c>
      <c r="J133" s="69">
        <f>0</f>
        <v>0</v>
      </c>
    </row>
    <row r="134" spans="1:18">
      <c r="D134" t="s">
        <v>277</v>
      </c>
      <c r="I134" s="69">
        <f>0</f>
        <v>0</v>
      </c>
      <c r="J134" s="69">
        <f>0</f>
        <v>0</v>
      </c>
    </row>
    <row r="135" spans="1:18">
      <c r="D135" t="s">
        <v>278</v>
      </c>
      <c r="I135" s="69">
        <f>0</f>
        <v>0</v>
      </c>
      <c r="J135" s="69">
        <f>0</f>
        <v>0</v>
      </c>
    </row>
    <row r="136" spans="1:18">
      <c r="I136" s="69">
        <f>0</f>
        <v>0</v>
      </c>
      <c r="J136" s="69">
        <f>0</f>
        <v>0</v>
      </c>
    </row>
    <row r="137" spans="1:18">
      <c r="I137" s="69">
        <f>0</f>
        <v>0</v>
      </c>
      <c r="J137" s="69">
        <f>0</f>
        <v>0</v>
      </c>
    </row>
    <row r="138" spans="1:18">
      <c r="I138" s="69">
        <f>0</f>
        <v>0</v>
      </c>
      <c r="J138" s="69">
        <f>0</f>
        <v>0</v>
      </c>
    </row>
    <row r="139" spans="1:18">
      <c r="I139" s="69">
        <f>0</f>
        <v>0</v>
      </c>
      <c r="J139" s="69">
        <f>0</f>
        <v>0</v>
      </c>
    </row>
    <row r="140" spans="1:18">
      <c r="I140" s="69">
        <f>0</f>
        <v>0</v>
      </c>
      <c r="J140" s="69">
        <f>0</f>
        <v>0</v>
      </c>
    </row>
    <row r="141" spans="1:18">
      <c r="I141" s="69">
        <f>0</f>
        <v>0</v>
      </c>
      <c r="J141" s="69">
        <f>0</f>
        <v>0</v>
      </c>
    </row>
    <row r="142" spans="1:18">
      <c r="I142" s="69">
        <f>0</f>
        <v>0</v>
      </c>
      <c r="J142" s="69">
        <f>0</f>
        <v>0</v>
      </c>
    </row>
    <row r="143" spans="1:18">
      <c r="I143" s="69">
        <f>0</f>
        <v>0</v>
      </c>
      <c r="J143" s="69">
        <f>0</f>
        <v>0</v>
      </c>
    </row>
    <row r="144" spans="1:18">
      <c r="A144" s="36" t="s">
        <v>279</v>
      </c>
      <c r="B144" s="36"/>
      <c r="C144" s="36"/>
      <c r="D144" s="36"/>
      <c r="E144" s="36"/>
      <c r="F144" s="71"/>
      <c r="G144" s="71"/>
      <c r="H144" s="71"/>
      <c r="I144" s="71">
        <f>SUM(I2:I143)</f>
        <v>12</v>
      </c>
      <c r="J144" s="71">
        <f>SUM(J2:J143)</f>
        <v>413</v>
      </c>
      <c r="K144" s="71">
        <f t="shared" ref="K144:P144" si="0">COUNTA(K2:K143)</f>
        <v>0</v>
      </c>
      <c r="L144" s="71">
        <f t="shared" si="0"/>
        <v>0</v>
      </c>
      <c r="M144" s="71">
        <f t="shared" si="0"/>
        <v>0</v>
      </c>
      <c r="N144" s="71">
        <f t="shared" si="0"/>
        <v>0</v>
      </c>
      <c r="O144" s="71">
        <f t="shared" si="0"/>
        <v>0</v>
      </c>
      <c r="P144" s="71">
        <f t="shared" si="0"/>
        <v>0</v>
      </c>
      <c r="Q144" s="71"/>
      <c r="R144" s="71">
        <f>COUNTA(R2:R143)</f>
        <v>0</v>
      </c>
    </row>
    <row r="145" spans="9:10">
      <c r="I145" s="68">
        <f>COUNTA(I2:I143)</f>
        <v>142</v>
      </c>
      <c r="J145" s="68">
        <f>COUNTA(J2:J143)</f>
        <v>142</v>
      </c>
    </row>
  </sheetData>
  <autoFilter ref="A1:R142" xr:uid="{040F8C60-5588-48E0-9475-671905ECC466}">
    <sortState xmlns:xlrd2="http://schemas.microsoft.com/office/spreadsheetml/2017/richdata2" ref="A2:R142">
      <sortCondition descending="1" ref="J1:J142"/>
    </sortState>
  </autoFilter>
  <phoneticPr fontId="1" type="noConversion"/>
  <conditionalFormatting sqref="J2:J143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24:I143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:I123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:I14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1">
    <dataValidation type="list" allowBlank="1" showInputMessage="1" showErrorMessage="1" sqref="H2:H143" xr:uid="{B09AE060-5885-4CA4-9754-A7E8D20A7BBD}">
      <formula1>"SF0,SF1,SF2,SF3,SF4,SF5,SF6,SF7,SF8,SF9"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43D474-6580-4428-8C1A-A27AC21CEE78}">
  <sheetPr codeName="Sheet26"/>
  <dimension ref="A1:Z222"/>
  <sheetViews>
    <sheetView workbookViewId="0">
      <selection sqref="A1:Z1"/>
    </sheetView>
  </sheetViews>
  <sheetFormatPr defaultColWidth="8.75" defaultRowHeight="19.5"/>
  <cols>
    <col min="1" max="26" width="12.875" style="5" customWidth="1"/>
    <col min="27" max="16384" width="8.75" style="5"/>
  </cols>
  <sheetData>
    <row r="1" spans="1:26">
      <c r="A1" s="10"/>
      <c r="B1" s="11"/>
      <c r="C1" s="195" t="s">
        <v>3</v>
      </c>
      <c r="D1" s="196"/>
      <c r="E1" s="196"/>
      <c r="F1" s="196"/>
      <c r="G1" s="196"/>
      <c r="H1" s="196"/>
      <c r="I1" s="196"/>
      <c r="J1" s="196"/>
      <c r="K1" s="196"/>
      <c r="L1" s="196"/>
      <c r="M1" s="196"/>
      <c r="N1" s="196"/>
      <c r="O1" s="196"/>
      <c r="P1" s="196"/>
      <c r="Q1" s="196"/>
      <c r="R1" s="196"/>
      <c r="S1" s="196"/>
      <c r="T1" s="196"/>
      <c r="U1" s="196"/>
      <c r="V1" s="196"/>
      <c r="W1" s="196"/>
      <c r="X1" s="196"/>
      <c r="Y1" s="196"/>
      <c r="Z1" s="197"/>
    </row>
    <row r="2" spans="1:26">
      <c r="A2" s="12" t="s">
        <v>4</v>
      </c>
      <c r="B2" s="13" t="s">
        <v>5</v>
      </c>
      <c r="C2" s="14"/>
      <c r="D2" s="15" t="s">
        <v>6</v>
      </c>
      <c r="E2" s="15" t="s">
        <v>7</v>
      </c>
      <c r="F2" s="15" t="s">
        <v>8</v>
      </c>
      <c r="G2" s="15" t="s">
        <v>9</v>
      </c>
      <c r="H2" s="15" t="s">
        <v>10</v>
      </c>
      <c r="I2" s="16" t="s">
        <v>11</v>
      </c>
      <c r="J2" s="15" t="s">
        <v>12</v>
      </c>
      <c r="K2" s="15" t="s">
        <v>13</v>
      </c>
      <c r="L2" s="15" t="s">
        <v>14</v>
      </c>
      <c r="M2" s="17" t="s">
        <v>15</v>
      </c>
      <c r="N2" s="18" t="s">
        <v>1</v>
      </c>
      <c r="O2" s="18" t="s">
        <v>2</v>
      </c>
      <c r="P2" s="18" t="s">
        <v>16</v>
      </c>
      <c r="Q2" s="17" t="s">
        <v>17</v>
      </c>
      <c r="R2" s="17" t="s">
        <v>18</v>
      </c>
      <c r="S2" s="17" t="s">
        <v>19</v>
      </c>
      <c r="T2" s="17" t="s">
        <v>20</v>
      </c>
      <c r="U2" s="17" t="s">
        <v>21</v>
      </c>
      <c r="V2" s="17" t="s">
        <v>22</v>
      </c>
      <c r="W2" s="15" t="s">
        <v>23</v>
      </c>
      <c r="X2" s="15" t="s">
        <v>24</v>
      </c>
      <c r="Y2" s="15" t="s">
        <v>25</v>
      </c>
      <c r="Z2" s="12" t="s">
        <v>4</v>
      </c>
    </row>
    <row r="3" spans="1:26">
      <c r="A3" s="19" t="s">
        <v>26</v>
      </c>
      <c r="B3" s="13">
        <v>12</v>
      </c>
      <c r="C3" s="14"/>
      <c r="D3" s="20" t="s">
        <v>27</v>
      </c>
      <c r="E3" s="20" t="s">
        <v>27</v>
      </c>
      <c r="F3" s="20"/>
      <c r="G3" s="20"/>
      <c r="H3" s="20"/>
      <c r="I3" s="20"/>
      <c r="J3" s="14"/>
      <c r="K3" s="14"/>
      <c r="L3" s="20" t="s">
        <v>27</v>
      </c>
      <c r="M3" s="20" t="s">
        <v>27</v>
      </c>
      <c r="N3" s="20"/>
      <c r="O3" s="20"/>
      <c r="P3" s="20"/>
      <c r="Q3" s="20"/>
      <c r="R3" s="20"/>
      <c r="S3" s="20"/>
      <c r="T3" s="20"/>
      <c r="U3" s="20"/>
      <c r="V3" s="14"/>
      <c r="W3" s="14"/>
      <c r="X3" s="14"/>
      <c r="Y3" s="14"/>
      <c r="Z3" s="19" t="s">
        <v>26</v>
      </c>
    </row>
    <row r="4" spans="1:26">
      <c r="A4" s="19" t="s">
        <v>28</v>
      </c>
      <c r="B4" s="13">
        <v>12</v>
      </c>
      <c r="C4" s="14"/>
      <c r="D4" s="20" t="s">
        <v>0</v>
      </c>
      <c r="E4" s="20" t="s">
        <v>27</v>
      </c>
      <c r="F4" s="20"/>
      <c r="G4" s="20"/>
      <c r="H4" s="20"/>
      <c r="I4" s="20"/>
      <c r="J4" s="14"/>
      <c r="K4" s="20" t="s">
        <v>27</v>
      </c>
      <c r="L4" s="20" t="s">
        <v>27</v>
      </c>
      <c r="M4" s="20" t="s">
        <v>27</v>
      </c>
      <c r="N4" s="20"/>
      <c r="O4" s="20"/>
      <c r="P4" s="20"/>
      <c r="Q4" s="21" t="s">
        <v>0</v>
      </c>
      <c r="R4" s="21" t="s">
        <v>0</v>
      </c>
      <c r="S4" s="21" t="s">
        <v>0</v>
      </c>
      <c r="T4" s="21"/>
      <c r="U4" s="21"/>
      <c r="V4" s="21" t="s">
        <v>0</v>
      </c>
      <c r="W4" s="21" t="s">
        <v>0</v>
      </c>
      <c r="X4" s="21" t="s">
        <v>0</v>
      </c>
      <c r="Y4" s="21" t="s">
        <v>0</v>
      </c>
      <c r="Z4" s="19" t="s">
        <v>28</v>
      </c>
    </row>
    <row r="5" spans="1:26">
      <c r="A5" s="7" t="s">
        <v>29</v>
      </c>
      <c r="B5" s="22"/>
      <c r="C5" s="14"/>
      <c r="D5" s="14"/>
      <c r="E5" s="20"/>
      <c r="F5" s="20" t="s">
        <v>0</v>
      </c>
      <c r="G5" s="20" t="s">
        <v>0</v>
      </c>
      <c r="H5" s="20"/>
      <c r="I5" s="20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7" t="s">
        <v>29</v>
      </c>
    </row>
    <row r="6" spans="1:26">
      <c r="A6" s="23" t="s">
        <v>30</v>
      </c>
      <c r="B6" s="22"/>
      <c r="C6" s="14"/>
      <c r="D6" s="14"/>
      <c r="E6" s="20"/>
      <c r="F6" s="20"/>
      <c r="G6" s="20"/>
      <c r="H6" s="20" t="s">
        <v>0</v>
      </c>
      <c r="I6" s="20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23" t="s">
        <v>30</v>
      </c>
    </row>
    <row r="7" spans="1:26">
      <c r="A7" s="24" t="s">
        <v>31</v>
      </c>
      <c r="B7" s="14">
        <v>12</v>
      </c>
      <c r="C7" s="14"/>
      <c r="D7" s="14"/>
      <c r="E7" s="20"/>
      <c r="F7" s="20"/>
      <c r="G7" s="20"/>
      <c r="H7" s="20"/>
      <c r="I7" s="20"/>
      <c r="J7" s="20" t="s">
        <v>0</v>
      </c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24" t="s">
        <v>31</v>
      </c>
    </row>
    <row r="8" spans="1:26">
      <c r="A8" s="25" t="s">
        <v>32</v>
      </c>
      <c r="B8" s="20">
        <v>12</v>
      </c>
      <c r="C8" s="14"/>
      <c r="D8" s="14"/>
      <c r="E8" s="20" t="s">
        <v>0</v>
      </c>
      <c r="F8" s="20"/>
      <c r="G8" s="20"/>
      <c r="H8" s="20"/>
      <c r="I8" s="20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25" t="s">
        <v>32</v>
      </c>
    </row>
    <row r="9" spans="1:26">
      <c r="A9" s="19" t="s">
        <v>33</v>
      </c>
      <c r="B9" s="13"/>
      <c r="C9" s="20"/>
      <c r="D9" s="20"/>
      <c r="E9" s="20"/>
      <c r="F9" s="20"/>
      <c r="G9" s="20"/>
      <c r="H9" s="20"/>
      <c r="I9" s="20"/>
      <c r="J9" s="20"/>
      <c r="K9" s="20"/>
      <c r="L9" s="20" t="s">
        <v>0</v>
      </c>
      <c r="M9" s="20"/>
      <c r="N9" s="20"/>
      <c r="O9" s="20"/>
      <c r="P9" s="20"/>
      <c r="Q9" s="20"/>
      <c r="R9" s="20"/>
      <c r="S9" s="20"/>
      <c r="T9" s="20"/>
      <c r="U9" s="20"/>
      <c r="V9" s="14"/>
      <c r="W9" s="14"/>
      <c r="X9" s="14"/>
      <c r="Y9" s="14"/>
      <c r="Z9" s="19" t="s">
        <v>33</v>
      </c>
    </row>
    <row r="10" spans="1:26">
      <c r="A10" s="19" t="s">
        <v>34</v>
      </c>
      <c r="B10" s="13">
        <v>12</v>
      </c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 t="s">
        <v>0</v>
      </c>
      <c r="N10" s="20"/>
      <c r="O10" s="20"/>
      <c r="P10" s="20"/>
      <c r="Q10" s="20"/>
      <c r="R10" s="20"/>
      <c r="S10" s="20"/>
      <c r="T10" s="20"/>
      <c r="U10" s="20"/>
      <c r="V10" s="14"/>
      <c r="W10" s="14"/>
      <c r="X10" s="14"/>
      <c r="Y10" s="14"/>
      <c r="Z10" s="19" t="s">
        <v>34</v>
      </c>
    </row>
    <row r="11" spans="1:26">
      <c r="A11" s="26" t="s">
        <v>35</v>
      </c>
      <c r="B11" s="27"/>
      <c r="C11" s="28"/>
      <c r="D11" s="28"/>
      <c r="E11" s="28"/>
      <c r="F11" s="28"/>
      <c r="G11" s="28"/>
      <c r="H11" s="28"/>
      <c r="I11" s="28"/>
      <c r="J11" s="28"/>
      <c r="K11" s="28"/>
      <c r="L11" s="28"/>
      <c r="M11" s="28"/>
      <c r="N11" s="28"/>
      <c r="O11" s="28"/>
      <c r="P11" s="28"/>
      <c r="Q11" s="28"/>
      <c r="R11" s="28"/>
      <c r="S11" s="28"/>
      <c r="T11" s="28"/>
      <c r="U11" s="29" t="s">
        <v>36</v>
      </c>
      <c r="V11" s="28"/>
      <c r="W11" s="28"/>
      <c r="X11" s="28"/>
      <c r="Y11" s="28"/>
      <c r="Z11" s="26" t="s">
        <v>35</v>
      </c>
    </row>
    <row r="12" spans="1:26">
      <c r="A12" s="9" t="s">
        <v>37</v>
      </c>
      <c r="B12" s="30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 t="s">
        <v>38</v>
      </c>
      <c r="V12" s="14"/>
      <c r="W12" s="14"/>
      <c r="X12" s="14"/>
      <c r="Y12" s="14"/>
      <c r="Z12" s="9" t="s">
        <v>37</v>
      </c>
    </row>
    <row r="13" spans="1:26">
      <c r="A13" s="26" t="s">
        <v>39</v>
      </c>
      <c r="B13" s="30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31" t="s">
        <v>38</v>
      </c>
      <c r="U13" s="30"/>
      <c r="V13" s="14"/>
      <c r="W13" s="14"/>
      <c r="X13" s="14"/>
      <c r="Y13" s="14"/>
      <c r="Z13" s="26" t="s">
        <v>39</v>
      </c>
    </row>
    <row r="14" spans="1:26" ht="30">
      <c r="A14" s="24"/>
      <c r="B14" s="14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32"/>
      <c r="U14" s="14" t="s">
        <v>40</v>
      </c>
      <c r="V14" s="14"/>
      <c r="W14" s="14"/>
      <c r="X14" s="14"/>
      <c r="Y14" s="14"/>
      <c r="Z14" s="24"/>
    </row>
    <row r="15" spans="1:26">
      <c r="A15" s="19" t="s">
        <v>26</v>
      </c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19" t="s">
        <v>26</v>
      </c>
    </row>
    <row r="16" spans="1:26">
      <c r="A16" s="19" t="s">
        <v>28</v>
      </c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19" t="s">
        <v>28</v>
      </c>
    </row>
    <row r="17" spans="1:26">
      <c r="A17" s="23" t="s">
        <v>41</v>
      </c>
      <c r="B17" s="7"/>
      <c r="C17" s="7"/>
      <c r="D17" s="7"/>
      <c r="E17" s="7"/>
      <c r="F17" s="7"/>
      <c r="G17" s="33" t="s">
        <v>42</v>
      </c>
      <c r="H17" s="8"/>
      <c r="I17" s="8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23" t="s">
        <v>41</v>
      </c>
    </row>
    <row r="18" spans="1:26">
      <c r="A18" s="24" t="s">
        <v>31</v>
      </c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24" t="s">
        <v>31</v>
      </c>
    </row>
    <row r="19" spans="1:26">
      <c r="A19" s="25" t="s">
        <v>32</v>
      </c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25" t="s">
        <v>32</v>
      </c>
    </row>
    <row r="20" spans="1:26">
      <c r="A20" s="19" t="s">
        <v>33</v>
      </c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19" t="s">
        <v>33</v>
      </c>
    </row>
    <row r="21" spans="1:26">
      <c r="A21" s="19" t="s">
        <v>34</v>
      </c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33" t="s">
        <v>43</v>
      </c>
      <c r="N21" s="8"/>
      <c r="O21" s="8"/>
      <c r="P21" s="8"/>
      <c r="Q21" s="7"/>
      <c r="R21" s="7"/>
      <c r="S21" s="7"/>
      <c r="T21" s="7"/>
      <c r="U21" s="7"/>
      <c r="V21" s="7"/>
      <c r="W21" s="7"/>
      <c r="X21" s="7"/>
      <c r="Y21" s="7"/>
      <c r="Z21" s="19" t="s">
        <v>34</v>
      </c>
    </row>
    <row r="22" spans="1:26">
      <c r="A22" s="26"/>
      <c r="B22" s="34"/>
      <c r="C22" s="34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 t="s">
        <v>38</v>
      </c>
      <c r="U22" s="34"/>
      <c r="V22" s="34"/>
      <c r="W22" s="34"/>
      <c r="X22" s="34"/>
      <c r="Y22" s="34"/>
      <c r="Z22" s="26" t="s">
        <v>39</v>
      </c>
    </row>
    <row r="23" spans="1:26">
      <c r="A23" s="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</row>
    <row r="24" spans="1:26" s="49" customFormat="1" ht="18.75">
      <c r="A24" s="48"/>
      <c r="B24" s="48"/>
      <c r="C24" s="198" t="s">
        <v>52</v>
      </c>
      <c r="D24" s="199"/>
      <c r="E24" s="199"/>
      <c r="F24" s="199"/>
      <c r="G24" s="199"/>
      <c r="H24" s="199"/>
      <c r="I24" s="199"/>
      <c r="J24" s="199"/>
      <c r="K24" s="199"/>
      <c r="L24" s="199"/>
      <c r="M24" s="199"/>
      <c r="N24" s="199"/>
      <c r="O24" s="199"/>
      <c r="P24" s="199"/>
      <c r="Q24" s="199"/>
      <c r="R24" s="199"/>
      <c r="S24" s="199"/>
      <c r="T24" s="199"/>
      <c r="U24" s="199"/>
      <c r="V24" s="199"/>
      <c r="W24" s="199"/>
      <c r="X24" s="199"/>
      <c r="Y24" s="199"/>
      <c r="Z24" s="200"/>
    </row>
    <row r="25" spans="1:26" s="49" customFormat="1" ht="18.75">
      <c r="A25" s="48" t="s">
        <v>53</v>
      </c>
      <c r="B25" s="48" t="s">
        <v>45</v>
      </c>
      <c r="C25" s="50"/>
      <c r="D25" s="51" t="s">
        <v>54</v>
      </c>
      <c r="E25" s="51" t="s">
        <v>55</v>
      </c>
      <c r="F25" s="51" t="s">
        <v>56</v>
      </c>
      <c r="G25" s="51" t="s">
        <v>57</v>
      </c>
      <c r="H25" s="51" t="s">
        <v>58</v>
      </c>
      <c r="I25" s="52" t="s">
        <v>59</v>
      </c>
      <c r="J25" s="51" t="s">
        <v>60</v>
      </c>
      <c r="K25" s="51" t="s">
        <v>61</v>
      </c>
      <c r="L25" s="51" t="s">
        <v>62</v>
      </c>
      <c r="M25" s="53" t="s">
        <v>63</v>
      </c>
      <c r="N25" s="54" t="s">
        <v>50</v>
      </c>
      <c r="O25" s="54" t="s">
        <v>64</v>
      </c>
      <c r="P25" s="54" t="s">
        <v>65</v>
      </c>
      <c r="Q25" s="53" t="s">
        <v>66</v>
      </c>
      <c r="R25" s="53" t="s">
        <v>67</v>
      </c>
      <c r="S25" s="53" t="s">
        <v>68</v>
      </c>
      <c r="T25" s="53" t="s">
        <v>69</v>
      </c>
      <c r="U25" s="53" t="s">
        <v>70</v>
      </c>
      <c r="V25" s="53" t="s">
        <v>71</v>
      </c>
      <c r="W25" s="51" t="s">
        <v>72</v>
      </c>
      <c r="X25" s="51" t="s">
        <v>73</v>
      </c>
      <c r="Y25" s="51" t="s">
        <v>74</v>
      </c>
      <c r="Z25" s="55"/>
    </row>
    <row r="26" spans="1:26" s="49" customFormat="1" ht="18.75">
      <c r="A26" s="56" t="s">
        <v>75</v>
      </c>
      <c r="B26" s="48">
        <v>12</v>
      </c>
      <c r="C26" s="50"/>
      <c r="D26" s="57" t="s">
        <v>76</v>
      </c>
      <c r="E26" s="57" t="s">
        <v>76</v>
      </c>
      <c r="F26" s="57"/>
      <c r="G26" s="57"/>
      <c r="H26" s="57"/>
      <c r="I26" s="57"/>
      <c r="J26" s="50"/>
      <c r="K26" s="50"/>
      <c r="L26" s="57" t="s">
        <v>76</v>
      </c>
      <c r="M26" s="57" t="s">
        <v>76</v>
      </c>
      <c r="N26" s="57"/>
      <c r="O26" s="57"/>
      <c r="P26" s="57"/>
      <c r="Q26" s="57"/>
      <c r="R26" s="57"/>
      <c r="S26" s="57"/>
      <c r="T26" s="57"/>
      <c r="U26" s="57"/>
      <c r="V26" s="50"/>
      <c r="W26" s="50"/>
      <c r="X26" s="50"/>
      <c r="Y26" s="50"/>
      <c r="Z26" s="55"/>
    </row>
    <row r="27" spans="1:26" s="49" customFormat="1" ht="18.75">
      <c r="A27" s="56" t="s">
        <v>77</v>
      </c>
      <c r="B27" s="48">
        <v>12</v>
      </c>
      <c r="C27" s="50"/>
      <c r="D27" s="57" t="s">
        <v>46</v>
      </c>
      <c r="E27" s="57" t="s">
        <v>76</v>
      </c>
      <c r="F27" s="57"/>
      <c r="G27" s="57"/>
      <c r="H27" s="57"/>
      <c r="I27" s="57"/>
      <c r="J27" s="50"/>
      <c r="K27" s="57" t="s">
        <v>76</v>
      </c>
      <c r="L27" s="57" t="s">
        <v>76</v>
      </c>
      <c r="M27" s="57" t="s">
        <v>76</v>
      </c>
      <c r="N27" s="57"/>
      <c r="O27" s="57"/>
      <c r="P27" s="57"/>
      <c r="Q27" s="58" t="s">
        <v>46</v>
      </c>
      <c r="R27" s="58" t="s">
        <v>46</v>
      </c>
      <c r="S27" s="58" t="s">
        <v>46</v>
      </c>
      <c r="T27" s="58"/>
      <c r="U27" s="58"/>
      <c r="V27" s="58" t="s">
        <v>46</v>
      </c>
      <c r="W27" s="58" t="s">
        <v>46</v>
      </c>
      <c r="X27" s="58" t="s">
        <v>46</v>
      </c>
      <c r="Y27" s="58" t="s">
        <v>46</v>
      </c>
      <c r="Z27" s="55"/>
    </row>
    <row r="28" spans="1:26" s="49" customFormat="1" ht="18.75">
      <c r="A28" s="49" t="s">
        <v>78</v>
      </c>
      <c r="B28" s="57"/>
      <c r="C28" s="50"/>
      <c r="D28" s="50"/>
      <c r="E28" s="57"/>
      <c r="F28" s="57" t="s">
        <v>47</v>
      </c>
      <c r="G28" s="57" t="s">
        <v>47</v>
      </c>
      <c r="H28" s="57"/>
      <c r="I28" s="57"/>
      <c r="J28" s="50"/>
      <c r="K28" s="50"/>
      <c r="L28" s="50"/>
      <c r="M28" s="50"/>
      <c r="N28" s="50"/>
      <c r="O28" s="50"/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5"/>
    </row>
    <row r="29" spans="1:26" s="49" customFormat="1" ht="18.75">
      <c r="A29" s="59" t="s">
        <v>79</v>
      </c>
      <c r="B29" s="57"/>
      <c r="C29" s="50"/>
      <c r="D29" s="50"/>
      <c r="E29" s="57"/>
      <c r="F29" s="57"/>
      <c r="G29" s="57"/>
      <c r="H29" s="57" t="s">
        <v>47</v>
      </c>
      <c r="I29" s="57"/>
      <c r="J29" s="50"/>
      <c r="K29" s="50"/>
      <c r="L29" s="50"/>
      <c r="M29" s="50"/>
      <c r="N29" s="50"/>
      <c r="O29" s="50"/>
      <c r="P29" s="50"/>
      <c r="Q29" s="50"/>
      <c r="R29" s="50"/>
      <c r="S29" s="50"/>
      <c r="T29" s="50"/>
      <c r="U29" s="50"/>
      <c r="V29" s="50"/>
      <c r="W29" s="50"/>
      <c r="X29" s="50"/>
      <c r="Y29" s="50"/>
      <c r="Z29" s="55"/>
    </row>
    <row r="30" spans="1:26" s="49" customFormat="1" ht="18.75">
      <c r="A30" s="56" t="s">
        <v>80</v>
      </c>
      <c r="B30" s="50">
        <v>12</v>
      </c>
      <c r="C30" s="50"/>
      <c r="D30" s="50"/>
      <c r="E30" s="57"/>
      <c r="F30" s="57"/>
      <c r="G30" s="57"/>
      <c r="H30" s="57"/>
      <c r="I30" s="57"/>
      <c r="J30" s="57" t="s">
        <v>47</v>
      </c>
      <c r="K30" s="50"/>
      <c r="L30" s="50"/>
      <c r="M30" s="50"/>
      <c r="N30" s="50"/>
      <c r="O30" s="50"/>
      <c r="P30" s="50"/>
      <c r="Q30" s="50"/>
      <c r="R30" s="50"/>
      <c r="S30" s="50"/>
      <c r="T30" s="50"/>
      <c r="U30" s="50"/>
      <c r="V30" s="50"/>
      <c r="W30" s="50"/>
      <c r="X30" s="50"/>
      <c r="Y30" s="50"/>
      <c r="Z30" s="55"/>
    </row>
    <row r="31" spans="1:26" s="49" customFormat="1" ht="18.75">
      <c r="A31" s="60" t="s">
        <v>81</v>
      </c>
      <c r="B31" s="57">
        <v>12</v>
      </c>
      <c r="C31" s="50"/>
      <c r="D31" s="50"/>
      <c r="E31" s="57" t="s">
        <v>47</v>
      </c>
      <c r="F31" s="57"/>
      <c r="G31" s="57"/>
      <c r="H31" s="57"/>
      <c r="I31" s="57"/>
      <c r="J31" s="50"/>
      <c r="K31" s="50"/>
      <c r="L31" s="50"/>
      <c r="M31" s="50"/>
      <c r="N31" s="50"/>
      <c r="O31" s="50"/>
      <c r="P31" s="50"/>
      <c r="Q31" s="50"/>
      <c r="R31" s="50"/>
      <c r="S31" s="50"/>
      <c r="T31" s="50"/>
      <c r="U31" s="50"/>
      <c r="V31" s="50"/>
      <c r="W31" s="50"/>
      <c r="X31" s="50"/>
      <c r="Y31" s="50"/>
      <c r="Z31" s="55"/>
    </row>
    <row r="32" spans="1:26" s="49" customFormat="1" ht="18.75">
      <c r="A32" s="56" t="s">
        <v>82</v>
      </c>
      <c r="B32" s="48"/>
      <c r="C32" s="57"/>
      <c r="D32" s="57"/>
      <c r="E32" s="57"/>
      <c r="F32" s="57"/>
      <c r="G32" s="57"/>
      <c r="H32" s="57"/>
      <c r="I32" s="57"/>
      <c r="J32" s="57"/>
      <c r="K32" s="57"/>
      <c r="L32" s="57" t="s">
        <v>47</v>
      </c>
      <c r="M32" s="57"/>
      <c r="N32" s="57"/>
      <c r="O32" s="57"/>
      <c r="P32" s="57"/>
      <c r="Q32" s="57"/>
      <c r="R32" s="57"/>
      <c r="S32" s="57"/>
      <c r="T32" s="57"/>
      <c r="U32" s="57"/>
      <c r="V32" s="50"/>
      <c r="W32" s="50"/>
      <c r="X32" s="50"/>
      <c r="Y32" s="50"/>
      <c r="Z32" s="55"/>
    </row>
    <row r="33" spans="1:26" s="49" customFormat="1" ht="18.75">
      <c r="A33" s="56" t="s">
        <v>83</v>
      </c>
      <c r="B33" s="48">
        <v>12</v>
      </c>
      <c r="C33" s="57"/>
      <c r="D33" s="57"/>
      <c r="E33" s="57"/>
      <c r="F33" s="57"/>
      <c r="G33" s="57"/>
      <c r="H33" s="57"/>
      <c r="I33" s="57"/>
      <c r="J33" s="57"/>
      <c r="K33" s="57"/>
      <c r="L33" s="57"/>
      <c r="M33" s="57" t="s">
        <v>46</v>
      </c>
      <c r="N33" s="57"/>
      <c r="O33" s="57"/>
      <c r="P33" s="57"/>
      <c r="Q33" s="57"/>
      <c r="R33" s="57"/>
      <c r="S33" s="57"/>
      <c r="T33" s="57"/>
      <c r="U33" s="57"/>
      <c r="V33" s="50"/>
      <c r="W33" s="50"/>
      <c r="X33" s="50"/>
      <c r="Y33" s="50"/>
      <c r="Z33" s="55"/>
    </row>
    <row r="34" spans="1:26" s="49" customFormat="1" ht="18.75">
      <c r="A34" s="2" t="s">
        <v>84</v>
      </c>
      <c r="B34" s="61"/>
      <c r="C34" s="61"/>
      <c r="D34" s="61"/>
      <c r="E34" s="61"/>
      <c r="F34" s="61"/>
      <c r="G34" s="61"/>
      <c r="H34" s="61"/>
      <c r="I34" s="61"/>
      <c r="J34" s="61"/>
      <c r="K34" s="61"/>
      <c r="L34" s="61"/>
      <c r="M34" s="61"/>
      <c r="N34" s="61"/>
      <c r="O34" s="61"/>
      <c r="P34" s="61"/>
      <c r="Q34" s="61"/>
      <c r="R34" s="61"/>
      <c r="S34" s="61"/>
      <c r="T34" s="61"/>
      <c r="U34" s="62" t="s">
        <v>85</v>
      </c>
      <c r="V34" s="61"/>
      <c r="W34" s="61"/>
      <c r="X34" s="61"/>
      <c r="Y34" s="61"/>
      <c r="Z34" s="63"/>
    </row>
    <row r="35" spans="1:26" s="49" customFormat="1" ht="18.75">
      <c r="A35" t="s">
        <v>86</v>
      </c>
      <c r="B35" s="50"/>
      <c r="C35" s="50"/>
      <c r="D35" s="50"/>
      <c r="E35" s="50"/>
      <c r="F35" s="50"/>
      <c r="G35" s="50"/>
      <c r="H35" s="50"/>
      <c r="I35" s="50"/>
      <c r="J35" s="50"/>
      <c r="K35" s="50"/>
      <c r="L35" s="50"/>
      <c r="M35" s="50"/>
      <c r="N35" s="50"/>
      <c r="O35" s="50"/>
      <c r="P35" s="50"/>
      <c r="Q35" s="50"/>
      <c r="R35" s="50"/>
      <c r="S35" s="50"/>
      <c r="T35" s="50"/>
      <c r="U35" s="50" t="s">
        <v>87</v>
      </c>
      <c r="V35" s="50"/>
      <c r="W35" s="50"/>
      <c r="X35" s="50"/>
      <c r="Y35" s="50"/>
      <c r="Z35" s="55"/>
    </row>
    <row r="36" spans="1:26" s="49" customFormat="1" ht="18.75">
      <c r="A36" s="2" t="s">
        <v>88</v>
      </c>
      <c r="B36" s="50"/>
      <c r="C36" s="50"/>
      <c r="D36" s="50"/>
      <c r="E36" s="50"/>
      <c r="F36" s="50"/>
      <c r="G36" s="50"/>
      <c r="H36" s="50"/>
      <c r="I36" s="50"/>
      <c r="J36" s="50"/>
      <c r="K36" s="50"/>
      <c r="L36" s="50"/>
      <c r="M36" s="50"/>
      <c r="N36" s="50"/>
      <c r="O36" s="50"/>
      <c r="P36" s="50"/>
      <c r="Q36" s="50"/>
      <c r="R36" s="50"/>
      <c r="S36" s="50"/>
      <c r="T36" s="64" t="s">
        <v>87</v>
      </c>
      <c r="U36" s="50"/>
      <c r="V36" s="50"/>
      <c r="W36" s="50"/>
      <c r="X36" s="50"/>
      <c r="Y36" s="50"/>
      <c r="Z36" s="55"/>
    </row>
    <row r="37" spans="1:26" s="49" customFormat="1" ht="30">
      <c r="A37" s="56"/>
      <c r="B37" s="50"/>
      <c r="C37" s="50"/>
      <c r="D37" s="50"/>
      <c r="E37" s="50"/>
      <c r="F37" s="50"/>
      <c r="G37" s="50"/>
      <c r="H37" s="50"/>
      <c r="I37" s="50"/>
      <c r="J37" s="50"/>
      <c r="K37" s="50"/>
      <c r="L37" s="50"/>
      <c r="M37" s="50"/>
      <c r="N37" s="50"/>
      <c r="O37" s="50"/>
      <c r="P37" s="50"/>
      <c r="Q37" s="50"/>
      <c r="R37" s="50"/>
      <c r="S37" s="50"/>
      <c r="T37" s="50"/>
      <c r="U37" s="50" t="s">
        <v>89</v>
      </c>
      <c r="V37" s="50"/>
      <c r="W37" s="50"/>
      <c r="X37" s="50"/>
      <c r="Y37" s="50"/>
      <c r="Z37" s="55"/>
    </row>
    <row r="38" spans="1:26" s="49" customFormat="1" ht="18.75">
      <c r="A38" s="56" t="s">
        <v>75</v>
      </c>
    </row>
    <row r="39" spans="1:26" s="49" customFormat="1" ht="18.75">
      <c r="A39" s="56" t="s">
        <v>77</v>
      </c>
    </row>
    <row r="40" spans="1:26" s="49" customFormat="1" ht="18.75">
      <c r="A40" s="59" t="s">
        <v>78</v>
      </c>
      <c r="G40" s="55" t="s">
        <v>90</v>
      </c>
      <c r="H40" s="65"/>
      <c r="I40" s="65"/>
    </row>
    <row r="41" spans="1:26" s="49" customFormat="1" ht="18.75">
      <c r="A41" s="56" t="s">
        <v>80</v>
      </c>
    </row>
    <row r="42" spans="1:26" s="49" customFormat="1" ht="18.75">
      <c r="A42" s="60" t="s">
        <v>81</v>
      </c>
    </row>
    <row r="43" spans="1:26" s="49" customFormat="1" ht="18.75">
      <c r="A43" s="56" t="s">
        <v>82</v>
      </c>
    </row>
    <row r="44" spans="1:26" s="49" customFormat="1" ht="18.75">
      <c r="A44" s="56" t="s">
        <v>83</v>
      </c>
      <c r="M44" s="55" t="s">
        <v>91</v>
      </c>
      <c r="N44" s="65"/>
      <c r="O44" s="65"/>
      <c r="P44" s="65"/>
    </row>
    <row r="45" spans="1:26" s="49" customFormat="1" ht="18.75">
      <c r="A45" s="2" t="s">
        <v>88</v>
      </c>
      <c r="B45" s="64"/>
      <c r="C45" s="64"/>
      <c r="D45" s="64"/>
      <c r="E45" s="64"/>
      <c r="F45" s="64"/>
      <c r="G45" s="64"/>
      <c r="H45" s="64"/>
      <c r="I45" s="64"/>
      <c r="J45" s="64"/>
      <c r="K45" s="64"/>
      <c r="L45" s="64"/>
      <c r="M45" s="64"/>
      <c r="N45" s="64"/>
      <c r="O45" s="64"/>
      <c r="P45" s="64"/>
      <c r="Q45" s="64"/>
      <c r="R45" s="64"/>
      <c r="S45" s="64"/>
      <c r="T45" s="64" t="s">
        <v>87</v>
      </c>
      <c r="U45" s="64"/>
      <c r="V45" s="64"/>
      <c r="W45" s="64"/>
      <c r="X45" s="64"/>
      <c r="Y45" s="64"/>
    </row>
    <row r="46" spans="1:26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</row>
    <row r="47" spans="1:26">
      <c r="A47" s="6"/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</row>
    <row r="48" spans="1:26">
      <c r="A48" s="6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</row>
    <row r="49" spans="1:26">
      <c r="A49" s="6"/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</row>
    <row r="50" spans="1:26">
      <c r="A50" s="6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</row>
    <row r="51" spans="1:26">
      <c r="A51" s="6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</row>
    <row r="52" spans="1:26">
      <c r="A52" s="6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</row>
    <row r="53" spans="1:26">
      <c r="A53" s="6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</row>
    <row r="54" spans="1:26">
      <c r="A54" s="6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</row>
    <row r="55" spans="1:26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</row>
    <row r="56" spans="1:26">
      <c r="A56" s="6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</row>
    <row r="57" spans="1:26">
      <c r="A57" s="6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</row>
    <row r="58" spans="1:26">
      <c r="A58" s="6"/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</row>
    <row r="59" spans="1:26">
      <c r="A59" s="6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</row>
    <row r="60" spans="1:26">
      <c r="A60" s="6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</row>
    <row r="61" spans="1:26">
      <c r="A61" s="6"/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</row>
    <row r="62" spans="1:26">
      <c r="A62" s="6"/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</row>
    <row r="63" spans="1:26">
      <c r="A63" s="6"/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</row>
    <row r="64" spans="1:26">
      <c r="A64" s="6"/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</row>
    <row r="65" spans="1:26">
      <c r="A65" s="6"/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</row>
    <row r="66" spans="1:26">
      <c r="A66" s="6"/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</row>
    <row r="67" spans="1:26">
      <c r="A67" s="6"/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</row>
    <row r="68" spans="1:26">
      <c r="A68" s="6"/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</row>
    <row r="69" spans="1:26">
      <c r="A69" s="6"/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</row>
    <row r="70" spans="1:26">
      <c r="A70" s="6"/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</row>
    <row r="71" spans="1:26">
      <c r="A71" s="6"/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</row>
    <row r="72" spans="1:26">
      <c r="A72" s="6"/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</row>
    <row r="73" spans="1:26">
      <c r="A73" s="6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</row>
    <row r="74" spans="1:26">
      <c r="A74" s="6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</row>
    <row r="75" spans="1:26">
      <c r="A75" s="6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</row>
    <row r="76" spans="1:26">
      <c r="A76" s="6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</row>
    <row r="77" spans="1:26">
      <c r="A77" s="6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</row>
    <row r="78" spans="1:26">
      <c r="A78" s="6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</row>
    <row r="79" spans="1:26">
      <c r="A79" s="6"/>
      <c r="B79" s="6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</row>
    <row r="80" spans="1:26">
      <c r="A80" s="6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</row>
    <row r="81" spans="1:26">
      <c r="A81" s="6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</row>
    <row r="82" spans="1:26">
      <c r="A82" s="6"/>
      <c r="B82" s="6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</row>
    <row r="83" spans="1:26">
      <c r="A83" s="6"/>
      <c r="B83" s="6"/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</row>
    <row r="84" spans="1:26">
      <c r="A84" s="6"/>
      <c r="B84" s="6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</row>
    <row r="85" spans="1:26">
      <c r="A85" s="6"/>
      <c r="B85" s="6"/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</row>
    <row r="86" spans="1:26">
      <c r="A86" s="6"/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</row>
    <row r="87" spans="1:26">
      <c r="A87" s="6"/>
      <c r="B87" s="6"/>
      <c r="C87" s="6"/>
      <c r="D87" s="6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</row>
    <row r="88" spans="1:26">
      <c r="A88" s="6"/>
      <c r="B88" s="6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</row>
    <row r="89" spans="1:26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</row>
    <row r="90" spans="1:26">
      <c r="A90" s="6"/>
      <c r="B90" s="6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</row>
    <row r="91" spans="1:26">
      <c r="A91" s="6"/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</row>
    <row r="92" spans="1:26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</row>
    <row r="93" spans="1:26">
      <c r="A93" s="6"/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</row>
    <row r="94" spans="1:26">
      <c r="A94" s="6"/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</row>
    <row r="95" spans="1:26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</row>
    <row r="96" spans="1:26">
      <c r="A96" s="6"/>
      <c r="B96" s="6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</row>
    <row r="97" spans="1:26">
      <c r="A97" s="6"/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</row>
    <row r="98" spans="1:26">
      <c r="A98" s="6"/>
      <c r="B98" s="6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</row>
    <row r="99" spans="1:26">
      <c r="A99" s="6"/>
      <c r="B99" s="6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</row>
    <row r="100" spans="1:26">
      <c r="A100" s="6"/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</row>
    <row r="101" spans="1:26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</row>
    <row r="102" spans="1:26">
      <c r="A102" s="6"/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</row>
    <row r="103" spans="1:26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</row>
    <row r="104" spans="1:26">
      <c r="A104" s="6"/>
      <c r="B104" s="6"/>
      <c r="C104" s="6"/>
      <c r="D104" s="6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</row>
    <row r="105" spans="1:26">
      <c r="A105" s="6"/>
      <c r="B105" s="6"/>
      <c r="C105" s="6"/>
      <c r="D105" s="6"/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</row>
    <row r="106" spans="1:26">
      <c r="A106" s="6"/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</row>
    <row r="107" spans="1:26">
      <c r="A107" s="6"/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</row>
    <row r="108" spans="1:26">
      <c r="A108" s="6"/>
      <c r="B108" s="6"/>
      <c r="C108" s="6"/>
      <c r="D108" s="6"/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</row>
    <row r="109" spans="1:26">
      <c r="A109" s="6"/>
      <c r="B109" s="6"/>
      <c r="C109" s="6"/>
      <c r="D109" s="6"/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</row>
    <row r="110" spans="1:26">
      <c r="A110" s="6"/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</row>
    <row r="111" spans="1:26">
      <c r="A111" s="6"/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</row>
    <row r="112" spans="1:26">
      <c r="A112" s="6"/>
      <c r="B112" s="6"/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</row>
    <row r="113" spans="1:26">
      <c r="A113" s="6"/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</row>
    <row r="114" spans="1:26">
      <c r="A114" s="6"/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</row>
    <row r="115" spans="1:26">
      <c r="A115" s="6"/>
      <c r="B115" s="6"/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</row>
    <row r="116" spans="1:26">
      <c r="A116" s="6"/>
      <c r="B116" s="6"/>
      <c r="C116" s="6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</row>
    <row r="117" spans="1:26">
      <c r="A117" s="6"/>
      <c r="B117" s="6"/>
      <c r="C117" s="6"/>
      <c r="D117" s="6"/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</row>
    <row r="118" spans="1:26">
      <c r="A118" s="6"/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</row>
    <row r="119" spans="1:26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</row>
    <row r="120" spans="1:26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</row>
    <row r="121" spans="1:26">
      <c r="A121" s="6"/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</row>
    <row r="122" spans="1:26">
      <c r="A122" s="6"/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</row>
    <row r="123" spans="1:26">
      <c r="A123" s="6"/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</row>
    <row r="124" spans="1:26">
      <c r="A124" s="6"/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</row>
    <row r="125" spans="1:26">
      <c r="A125" s="6"/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</row>
    <row r="126" spans="1:26">
      <c r="A126" s="6"/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</row>
    <row r="127" spans="1:26">
      <c r="A127" s="6"/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</row>
    <row r="128" spans="1:26">
      <c r="A128" s="6"/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</row>
    <row r="129" spans="1:26">
      <c r="A129" s="6"/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</row>
    <row r="130" spans="1:26">
      <c r="A130" s="6"/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</row>
    <row r="131" spans="1:26">
      <c r="A131" s="6"/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</row>
    <row r="132" spans="1:26">
      <c r="A132" s="6"/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</row>
    <row r="133" spans="1:26">
      <c r="A133" s="6"/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</row>
    <row r="134" spans="1:26">
      <c r="A134" s="6"/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</row>
    <row r="135" spans="1:26">
      <c r="A135" s="6"/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</row>
    <row r="136" spans="1:26">
      <c r="A136" s="6"/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</row>
    <row r="137" spans="1:26">
      <c r="A137" s="6"/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</row>
    <row r="138" spans="1:26">
      <c r="A138" s="6"/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</row>
    <row r="139" spans="1:26">
      <c r="A139" s="6"/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</row>
    <row r="140" spans="1:26">
      <c r="A140" s="6"/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</row>
    <row r="141" spans="1:26">
      <c r="A141" s="6"/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</row>
    <row r="142" spans="1:26">
      <c r="A142" s="6"/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</row>
    <row r="143" spans="1:26">
      <c r="A143" s="6"/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</row>
    <row r="144" spans="1:26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</row>
    <row r="145" spans="1:26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</row>
    <row r="146" spans="1:26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</row>
    <row r="147" spans="1:26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</row>
    <row r="148" spans="1:26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</row>
    <row r="149" spans="1:26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</row>
    <row r="150" spans="1:26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</row>
    <row r="151" spans="1:26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</row>
    <row r="152" spans="1:26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</row>
    <row r="153" spans="1:26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</row>
    <row r="154" spans="1:26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</row>
    <row r="155" spans="1:26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</row>
    <row r="156" spans="1:26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</row>
    <row r="157" spans="1:26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</row>
    <row r="158" spans="1:26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</row>
    <row r="159" spans="1:26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</row>
    <row r="160" spans="1:26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</row>
    <row r="161" spans="1:26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</row>
    <row r="162" spans="1:26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</row>
    <row r="163" spans="1:26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</row>
    <row r="164" spans="1:26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</row>
    <row r="165" spans="1:26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</row>
    <row r="166" spans="1:26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</row>
    <row r="167" spans="1:26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</row>
    <row r="168" spans="1:26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</row>
    <row r="169" spans="1:26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</row>
    <row r="170" spans="1:26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</row>
    <row r="171" spans="1:26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</row>
    <row r="172" spans="1:26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</row>
    <row r="173" spans="1:26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</row>
    <row r="174" spans="1:26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</row>
    <row r="175" spans="1:26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</row>
    <row r="176" spans="1:26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</row>
    <row r="177" spans="1:26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</row>
    <row r="178" spans="1:26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</row>
    <row r="179" spans="1:26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</row>
    <row r="180" spans="1:26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</row>
    <row r="181" spans="1:26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</row>
    <row r="182" spans="1:26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</row>
    <row r="183" spans="1:26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</row>
    <row r="184" spans="1:26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</row>
    <row r="185" spans="1:26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</row>
    <row r="186" spans="1:26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</row>
    <row r="187" spans="1:26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</row>
    <row r="188" spans="1:26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</row>
    <row r="189" spans="1:26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</row>
    <row r="190" spans="1:26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</row>
    <row r="191" spans="1:26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</row>
    <row r="192" spans="1:26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</row>
    <row r="193" spans="1:26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</row>
    <row r="194" spans="1:26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</row>
    <row r="195" spans="1:26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</row>
    <row r="196" spans="1:26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</row>
    <row r="197" spans="1:26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</row>
    <row r="198" spans="1:26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</row>
    <row r="199" spans="1:26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</row>
    <row r="200" spans="1:26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</row>
    <row r="201" spans="1:26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</row>
    <row r="202" spans="1:26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</row>
    <row r="203" spans="1:26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</row>
    <row r="204" spans="1:26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</row>
    <row r="205" spans="1:26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</row>
    <row r="206" spans="1:26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</row>
    <row r="207" spans="1:26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</row>
    <row r="208" spans="1:26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</row>
    <row r="209" spans="1:26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</row>
    <row r="210" spans="1:26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</row>
    <row r="211" spans="1:26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</row>
    <row r="212" spans="1:26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</row>
    <row r="213" spans="1:26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</row>
    <row r="214" spans="1:26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</row>
    <row r="215" spans="1:26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</row>
    <row r="216" spans="1:26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</row>
    <row r="217" spans="1:26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</row>
    <row r="218" spans="1:26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</row>
    <row r="219" spans="1:26">
      <c r="A219" s="6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</row>
    <row r="220" spans="1:26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</row>
    <row r="221" spans="1:26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</row>
    <row r="222" spans="1:26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</row>
  </sheetData>
  <mergeCells count="2">
    <mergeCell ref="C1:Z1"/>
    <mergeCell ref="C24:Z24"/>
  </mergeCells>
  <phoneticPr fontId="2"/>
  <hyperlinks>
    <hyperlink ref="A29" r:id="rId1" xr:uid="{5375065B-03CC-4D7E-9A79-07448F537465}"/>
    <hyperlink ref="A40" r:id="rId2" xr:uid="{6953BF19-0017-41ED-8D35-CDA24B8BAC83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500EE0-60A1-4823-80CB-DE08872B3EA4}">
  <sheetPr codeName="Sheet66"/>
  <dimension ref="B2:B15"/>
  <sheetViews>
    <sheetView tabSelected="1" view="pageBreakPreview" zoomScale="90" zoomScaleNormal="100" zoomScaleSheetLayoutView="90" workbookViewId="0">
      <selection sqref="A1:E1"/>
    </sheetView>
  </sheetViews>
  <sheetFormatPr defaultColWidth="9" defaultRowHeight="24"/>
  <cols>
    <col min="1" max="1" width="9" style="74"/>
    <col min="2" max="2" width="47" style="74" customWidth="1"/>
    <col min="3" max="16384" width="9" style="74"/>
  </cols>
  <sheetData>
    <row r="2" spans="2:2">
      <c r="B2" s="74" t="s">
        <v>280</v>
      </c>
    </row>
    <row r="3" spans="2:2">
      <c r="B3" s="74" t="s">
        <v>281</v>
      </c>
    </row>
    <row r="4" spans="2:2">
      <c r="B4" s="74" t="s">
        <v>282</v>
      </c>
    </row>
    <row r="5" spans="2:2">
      <c r="B5" s="74" t="s">
        <v>283</v>
      </c>
    </row>
    <row r="6" spans="2:2">
      <c r="B6" s="74" t="s">
        <v>284</v>
      </c>
    </row>
    <row r="7" spans="2:2">
      <c r="B7" s="75" t="s">
        <v>285</v>
      </c>
    </row>
    <row r="8" spans="2:2">
      <c r="B8" s="74" t="s">
        <v>286</v>
      </c>
    </row>
    <row r="9" spans="2:2">
      <c r="B9" s="74" t="s">
        <v>287</v>
      </c>
    </row>
    <row r="10" spans="2:2">
      <c r="B10" s="74" t="s">
        <v>288</v>
      </c>
    </row>
    <row r="13" spans="2:2">
      <c r="B13" s="74" t="s">
        <v>289</v>
      </c>
    </row>
    <row r="14" spans="2:2">
      <c r="B14" s="74" t="s">
        <v>290</v>
      </c>
    </row>
    <row r="15" spans="2:2">
      <c r="B15" s="74" t="s">
        <v>291</v>
      </c>
    </row>
  </sheetData>
  <phoneticPr fontId="1" type="noConversion"/>
  <pageMargins left="0.7" right="0.7" top="0.75" bottom="0.75" header="0.3" footer="0.3"/>
  <pageSetup paperSize="9" scale="11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5F9E6-D18B-4172-9CDF-A5B9AA812E1B}">
  <sheetPr codeName="Sheet75">
    <tabColor rgb="FF92D050"/>
  </sheetPr>
  <dimension ref="A1:I31"/>
  <sheetViews>
    <sheetView view="pageBreakPreview" zoomScaleNormal="100" zoomScaleSheetLayoutView="100" workbookViewId="0">
      <pane xSplit="1" ySplit="1" topLeftCell="B2" activePane="bottomRight" state="frozen"/>
      <selection sqref="A1:E1"/>
      <selection pane="topRight" sqref="A1:E1"/>
      <selection pane="bottomLeft" sqref="A1:E1"/>
      <selection pane="bottomRight" sqref="A1:E1"/>
    </sheetView>
  </sheetViews>
  <sheetFormatPr defaultRowHeight="18.75"/>
  <cols>
    <col min="1" max="2" width="11.125" customWidth="1"/>
    <col min="3" max="3" width="15.125" style="35" customWidth="1"/>
    <col min="4" max="4" width="16" customWidth="1"/>
    <col min="5" max="5" width="16.625" customWidth="1"/>
    <col min="6" max="6" width="24.75" style="1" customWidth="1"/>
    <col min="7" max="7" width="22.75" customWidth="1"/>
    <col min="8" max="8" width="20.875" customWidth="1"/>
  </cols>
  <sheetData>
    <row r="1" spans="1:9">
      <c r="A1" s="41" t="s">
        <v>292</v>
      </c>
      <c r="B1" s="41" t="s">
        <v>293</v>
      </c>
      <c r="C1" s="47" t="s">
        <v>294</v>
      </c>
      <c r="D1" s="47" t="s">
        <v>295</v>
      </c>
      <c r="E1" s="47" t="s">
        <v>296</v>
      </c>
      <c r="F1" s="47" t="s">
        <v>297</v>
      </c>
      <c r="G1" s="47" t="s">
        <v>298</v>
      </c>
      <c r="H1" s="47" t="s">
        <v>299</v>
      </c>
      <c r="I1" s="47" t="s">
        <v>526</v>
      </c>
    </row>
    <row r="2" spans="1:9">
      <c r="A2" s="77" t="s">
        <v>300</v>
      </c>
      <c r="B2" s="39" t="s">
        <v>301</v>
      </c>
      <c r="C2" s="41" t="s">
        <v>302</v>
      </c>
      <c r="D2" s="41" t="s">
        <v>303</v>
      </c>
      <c r="E2" s="41"/>
      <c r="F2" s="78"/>
      <c r="G2" s="78" t="s">
        <v>304</v>
      </c>
      <c r="H2" s="41"/>
      <c r="I2" s="39"/>
    </row>
    <row r="3" spans="1:9">
      <c r="A3" s="80" t="s">
        <v>305</v>
      </c>
      <c r="B3" s="39" t="s">
        <v>301</v>
      </c>
      <c r="C3" s="41" t="s">
        <v>306</v>
      </c>
      <c r="D3" s="41" t="s">
        <v>307</v>
      </c>
      <c r="E3" s="41"/>
      <c r="F3" s="43" t="s">
        <v>307</v>
      </c>
      <c r="G3" s="39"/>
      <c r="H3" s="39"/>
      <c r="I3" s="39"/>
    </row>
    <row r="4" spans="1:9">
      <c r="A4" s="81" t="s">
        <v>308</v>
      </c>
      <c r="B4" s="39" t="s">
        <v>301</v>
      </c>
      <c r="C4" s="41" t="s">
        <v>309</v>
      </c>
      <c r="D4" s="41" t="s">
        <v>310</v>
      </c>
      <c r="E4" s="41">
        <v>3980811</v>
      </c>
      <c r="F4" s="78" t="s">
        <v>311</v>
      </c>
      <c r="G4" s="78" t="s">
        <v>312</v>
      </c>
      <c r="H4" s="78" t="s">
        <v>312</v>
      </c>
      <c r="I4" s="39"/>
    </row>
    <row r="5" spans="1:9">
      <c r="A5" s="80" t="s">
        <v>313</v>
      </c>
      <c r="B5" s="39" t="s">
        <v>301</v>
      </c>
      <c r="C5" s="41" t="s">
        <v>314</v>
      </c>
      <c r="D5" s="41" t="s">
        <v>315</v>
      </c>
      <c r="E5" s="41"/>
      <c r="F5" s="43" t="s">
        <v>316</v>
      </c>
      <c r="G5" s="78" t="s">
        <v>317</v>
      </c>
      <c r="H5" s="41"/>
      <c r="I5" s="39"/>
    </row>
    <row r="6" spans="1:9">
      <c r="A6" s="81" t="s">
        <v>318</v>
      </c>
      <c r="B6" s="39" t="s">
        <v>301</v>
      </c>
      <c r="C6" s="82" t="s">
        <v>319</v>
      </c>
      <c r="D6" s="41" t="s">
        <v>320</v>
      </c>
      <c r="E6" s="41">
        <v>648346018</v>
      </c>
      <c r="F6" s="41" t="s">
        <v>321</v>
      </c>
      <c r="G6" s="78" t="s">
        <v>322</v>
      </c>
      <c r="H6" s="41"/>
      <c r="I6" s="39"/>
    </row>
    <row r="7" spans="1:9">
      <c r="A7" s="81" t="s">
        <v>323</v>
      </c>
      <c r="B7" s="46"/>
      <c r="C7" s="41" t="s">
        <v>324</v>
      </c>
      <c r="D7" s="82" t="s">
        <v>325</v>
      </c>
      <c r="E7" s="82"/>
      <c r="F7" s="41"/>
      <c r="G7" s="41"/>
      <c r="H7" s="41"/>
      <c r="I7" s="39"/>
    </row>
    <row r="8" spans="1:9">
      <c r="A8" s="83" t="s">
        <v>326</v>
      </c>
      <c r="B8" s="39" t="s">
        <v>301</v>
      </c>
      <c r="C8" s="41" t="s">
        <v>327</v>
      </c>
      <c r="D8" s="82" t="s">
        <v>328</v>
      </c>
      <c r="E8" s="82">
        <v>2667115923</v>
      </c>
      <c r="F8" s="41" t="s">
        <v>329</v>
      </c>
      <c r="G8" s="84" t="s">
        <v>330</v>
      </c>
      <c r="H8" s="84" t="s">
        <v>330</v>
      </c>
      <c r="I8" s="39"/>
    </row>
    <row r="9" spans="1:9">
      <c r="A9" s="85" t="s">
        <v>331</v>
      </c>
      <c r="B9" s="39" t="s">
        <v>301</v>
      </c>
      <c r="C9" s="153" t="s">
        <v>332</v>
      </c>
      <c r="D9" s="86" t="s">
        <v>333</v>
      </c>
      <c r="E9" s="161"/>
      <c r="F9" s="78" t="s">
        <v>334</v>
      </c>
      <c r="G9" s="39" t="s">
        <v>335</v>
      </c>
      <c r="H9" s="39"/>
      <c r="I9" s="39"/>
    </row>
    <row r="10" spans="1:9">
      <c r="A10" s="87" t="s">
        <v>336</v>
      </c>
      <c r="B10" s="39" t="s">
        <v>337</v>
      </c>
      <c r="C10" s="82" t="s">
        <v>338</v>
      </c>
      <c r="D10" s="82" t="s">
        <v>339</v>
      </c>
      <c r="E10" s="39"/>
      <c r="F10" s="78"/>
      <c r="G10" s="84" t="s">
        <v>340</v>
      </c>
      <c r="H10" s="88"/>
      <c r="I10" s="162"/>
    </row>
    <row r="11" spans="1:9">
      <c r="A11" s="89" t="s">
        <v>341</v>
      </c>
      <c r="B11" s="39" t="s">
        <v>301</v>
      </c>
      <c r="C11" s="41" t="s">
        <v>342</v>
      </c>
      <c r="D11" s="41" t="s">
        <v>343</v>
      </c>
      <c r="E11" s="41"/>
      <c r="F11" s="43"/>
      <c r="G11" s="41"/>
      <c r="H11" s="41"/>
      <c r="I11" s="39"/>
    </row>
    <row r="12" spans="1:9">
      <c r="A12" s="89" t="s">
        <v>344</v>
      </c>
      <c r="B12" s="39" t="s">
        <v>301</v>
      </c>
      <c r="C12" s="92" t="s">
        <v>345</v>
      </c>
      <c r="D12" s="41" t="s">
        <v>346</v>
      </c>
      <c r="E12" s="41"/>
      <c r="F12" s="78" t="s">
        <v>347</v>
      </c>
      <c r="G12" s="41"/>
      <c r="H12" s="41"/>
      <c r="I12" s="39"/>
    </row>
    <row r="13" spans="1:9">
      <c r="A13" s="89"/>
      <c r="B13" s="39"/>
      <c r="C13" s="82"/>
      <c r="D13" s="39"/>
      <c r="E13" s="39"/>
      <c r="F13" s="41"/>
      <c r="G13" s="41"/>
      <c r="H13" s="41"/>
      <c r="I13" s="39"/>
    </row>
    <row r="14" spans="1:9">
      <c r="A14" s="89" t="s">
        <v>348</v>
      </c>
      <c r="B14" s="39" t="s">
        <v>301</v>
      </c>
      <c r="C14" s="92" t="s">
        <v>349</v>
      </c>
      <c r="D14" s="41"/>
      <c r="E14" s="41"/>
      <c r="F14" s="78" t="s">
        <v>350</v>
      </c>
      <c r="G14" s="39"/>
      <c r="H14" s="39"/>
      <c r="I14" s="39"/>
    </row>
    <row r="15" spans="1:9">
      <c r="A15" s="89" t="s">
        <v>351</v>
      </c>
      <c r="B15" s="39" t="s">
        <v>301</v>
      </c>
      <c r="C15" s="92" t="s">
        <v>352</v>
      </c>
      <c r="D15" s="41" t="s">
        <v>353</v>
      </c>
      <c r="E15" s="41"/>
      <c r="F15" s="78" t="s">
        <v>354</v>
      </c>
      <c r="G15" s="41" t="s">
        <v>355</v>
      </c>
      <c r="H15" s="41"/>
      <c r="I15" s="39"/>
    </row>
    <row r="16" spans="1:9">
      <c r="A16" s="89" t="s">
        <v>356</v>
      </c>
      <c r="B16" s="39" t="s">
        <v>301</v>
      </c>
      <c r="C16" s="82" t="s">
        <v>357</v>
      </c>
      <c r="D16" s="39"/>
      <c r="E16" s="39">
        <v>408187020</v>
      </c>
      <c r="F16" s="78" t="s">
        <v>358</v>
      </c>
      <c r="G16" s="39" t="s">
        <v>359</v>
      </c>
      <c r="H16" s="39"/>
      <c r="I16" s="39"/>
    </row>
    <row r="17" spans="1:9">
      <c r="A17" s="89" t="s">
        <v>360</v>
      </c>
      <c r="B17" s="39" t="s">
        <v>301</v>
      </c>
      <c r="C17" s="82" t="s">
        <v>361</v>
      </c>
      <c r="D17" s="41" t="s">
        <v>362</v>
      </c>
      <c r="E17" s="39"/>
      <c r="F17" s="78" t="s">
        <v>363</v>
      </c>
      <c r="G17" s="84" t="s">
        <v>364</v>
      </c>
      <c r="H17" s="39"/>
      <c r="I17" s="39"/>
    </row>
    <row r="18" spans="1:9">
      <c r="A18" s="81" t="s">
        <v>365</v>
      </c>
      <c r="B18" s="39" t="s">
        <v>301</v>
      </c>
      <c r="C18" s="82" t="s">
        <v>366</v>
      </c>
      <c r="D18" s="41" t="s">
        <v>367</v>
      </c>
      <c r="E18" s="39"/>
      <c r="F18" s="41" t="s">
        <v>368</v>
      </c>
      <c r="G18" s="39"/>
      <c r="H18" s="39"/>
      <c r="I18" s="39"/>
    </row>
    <row r="19" spans="1:9">
      <c r="A19" s="81" t="s">
        <v>369</v>
      </c>
      <c r="B19" s="39" t="s">
        <v>301</v>
      </c>
      <c r="C19" s="41" t="s">
        <v>370</v>
      </c>
      <c r="D19" s="41"/>
      <c r="E19" s="41"/>
      <c r="F19" s="78" t="s">
        <v>371</v>
      </c>
      <c r="G19" s="78" t="s">
        <v>372</v>
      </c>
      <c r="H19" s="41"/>
      <c r="I19" s="39"/>
    </row>
    <row r="20" spans="1:9">
      <c r="A20" s="81" t="s">
        <v>373</v>
      </c>
      <c r="B20" s="39" t="s">
        <v>301</v>
      </c>
      <c r="C20" s="41" t="s">
        <v>374</v>
      </c>
      <c r="D20" s="41" t="s">
        <v>375</v>
      </c>
      <c r="E20" s="41"/>
      <c r="F20" s="78" t="s">
        <v>376</v>
      </c>
      <c r="G20" s="78"/>
      <c r="H20" s="41"/>
      <c r="I20" s="39"/>
    </row>
    <row r="21" spans="1:9">
      <c r="A21" s="81" t="s">
        <v>377</v>
      </c>
      <c r="B21" s="39" t="s">
        <v>301</v>
      </c>
      <c r="C21" s="41"/>
      <c r="D21" s="41">
        <v>18042611987</v>
      </c>
      <c r="E21" s="41">
        <v>517687990</v>
      </c>
      <c r="F21" s="78" t="s">
        <v>378</v>
      </c>
      <c r="G21" s="78"/>
      <c r="H21" s="41"/>
      <c r="I21" s="39"/>
    </row>
    <row r="22" spans="1:9">
      <c r="A22" s="41"/>
      <c r="B22" s="39"/>
      <c r="C22" s="82"/>
      <c r="D22" s="82"/>
      <c r="E22" s="82"/>
      <c r="F22" s="78"/>
      <c r="G22" s="82"/>
      <c r="H22" s="82"/>
      <c r="I22" s="39"/>
    </row>
    <row r="23" spans="1:9">
      <c r="A23" s="41"/>
      <c r="B23" s="39"/>
      <c r="C23" s="82"/>
      <c r="D23" s="39"/>
      <c r="E23" s="39"/>
      <c r="F23" s="43"/>
      <c r="G23" s="39"/>
      <c r="H23" s="39"/>
      <c r="I23" s="39"/>
    </row>
    <row r="24" spans="1:9">
      <c r="C24" s="35" t="s">
        <v>527</v>
      </c>
      <c r="I24">
        <f>SUM(I2:I23)</f>
        <v>0</v>
      </c>
    </row>
    <row r="28" spans="1:9">
      <c r="A28" s="81"/>
      <c r="B28" s="81"/>
      <c r="C28" s="41"/>
      <c r="D28" s="41"/>
      <c r="E28" s="41"/>
      <c r="F28" s="78"/>
    </row>
    <row r="29" spans="1:9">
      <c r="A29" s="90" t="s">
        <v>351</v>
      </c>
      <c r="B29" s="91"/>
    </row>
    <row r="30" spans="1:9">
      <c r="A30" s="39" t="s">
        <v>379</v>
      </c>
      <c r="B30" s="39"/>
      <c r="C30" s="41" t="s">
        <v>380</v>
      </c>
      <c r="D30" s="39" t="s">
        <v>381</v>
      </c>
    </row>
    <row r="31" spans="1:9">
      <c r="A31" s="90" t="s">
        <v>382</v>
      </c>
      <c r="B31" s="90"/>
      <c r="C31" s="92" t="s">
        <v>383</v>
      </c>
      <c r="D31" s="41"/>
      <c r="E31" s="41"/>
      <c r="F31" s="78" t="s">
        <v>384</v>
      </c>
    </row>
  </sheetData>
  <phoneticPr fontId="1" type="noConversion"/>
  <hyperlinks>
    <hyperlink ref="F9" r:id="rId1" display="chuxiong.yuan@gmail.com" xr:uid="{4DD7238B-5071-4BD9-BB7E-7DB36F03601F}"/>
    <hyperlink ref="G5" r:id="rId2" xr:uid="{32275617-4C14-429F-AA0D-E014C26E3E1E}"/>
    <hyperlink ref="G2" r:id="rId3" xr:uid="{15951876-D3CF-4FD8-AE5F-61BFB3BFCE88}"/>
    <hyperlink ref="F4" r:id="rId4" display="tangsz86@gmail.com" xr:uid="{34D56685-9DA5-4046-9BB9-8367AFE6C265}"/>
    <hyperlink ref="G4" r:id="rId5" xr:uid="{82C27FFE-1236-44E2-A2C9-FB28E86AE550}"/>
    <hyperlink ref="H4" r:id="rId6" xr:uid="{5BD504B0-BB9C-4FAF-9B9A-CCCA3B0107D2}"/>
    <hyperlink ref="G8" r:id="rId7" xr:uid="{368ECEA4-BB00-4B80-918F-68E3A494155A}"/>
    <hyperlink ref="H8" r:id="rId8" xr:uid="{4EDD32F9-EAF3-40D8-A247-25C41FB68792}"/>
    <hyperlink ref="G10" r:id="rId9" xr:uid="{4D1EFD05-0FF6-4F01-A668-AAD614A32BFF}"/>
    <hyperlink ref="G6" r:id="rId10" xr:uid="{398DF7BC-36FF-411C-98C1-9BF4BFB62D37}"/>
    <hyperlink ref="F15" r:id="rId11" xr:uid="{157EE75B-C594-4C9B-90D1-F1C18F32C4F0}"/>
    <hyperlink ref="F16" r:id="rId12" xr:uid="{69D6B37F-75D1-4CAD-9731-BBBC9B60F6B1}"/>
    <hyperlink ref="G17" r:id="rId13" xr:uid="{7F284419-9980-4B34-9E64-6C6E0E8BB031}"/>
    <hyperlink ref="G19" r:id="rId14" xr:uid="{FAA8CB99-6540-406D-975D-B574A0E96DB7}"/>
    <hyperlink ref="F20" r:id="rId15" xr:uid="{AE8ABA16-8122-4212-9782-633F7F75E385}"/>
    <hyperlink ref="F21" r:id="rId16" xr:uid="{52F73F0F-0CB0-4D08-9F2A-99251CE043DF}"/>
  </hyperlinks>
  <pageMargins left="0.7" right="0.7" top="0.75" bottom="0.75" header="0.3" footer="0.3"/>
  <pageSetup paperSize="9" scale="90" orientation="landscape" verticalDpi="1200" r:id="rId17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39626-6D3E-4E38-A3FD-35A65CB6807F}">
  <sheetPr codeName="Sheet73">
    <tabColor rgb="FF92D050"/>
  </sheetPr>
  <dimension ref="A1:J24"/>
  <sheetViews>
    <sheetView view="pageBreakPreview" zoomScale="120" zoomScaleNormal="100" zoomScaleSheetLayoutView="120" workbookViewId="0">
      <pane xSplit="2" ySplit="1" topLeftCell="C5" activePane="bottomRight" state="frozen"/>
      <selection sqref="A1:E1"/>
      <selection pane="topRight" sqref="A1:E1"/>
      <selection pane="bottomLeft" sqref="A1:E1"/>
      <selection pane="bottomRight" sqref="A1:E1"/>
    </sheetView>
  </sheetViews>
  <sheetFormatPr defaultColWidth="8.875" defaultRowHeight="18.75"/>
  <cols>
    <col min="1" max="1" width="5.625" style="129" customWidth="1"/>
    <col min="2" max="2" width="11.375" style="141" customWidth="1"/>
    <col min="3" max="3" width="20.375" style="148" customWidth="1"/>
    <col min="4" max="4" width="22.625" style="148" customWidth="1"/>
    <col min="5" max="5" width="30.25" style="129" customWidth="1"/>
    <col min="6" max="6" width="21.125" style="146" customWidth="1"/>
    <col min="7" max="7" width="11.25" style="129" customWidth="1"/>
    <col min="8" max="8" width="10.625" style="129" customWidth="1"/>
    <col min="9" max="9" width="10.625" style="148" customWidth="1"/>
    <col min="10" max="10" width="10.25" style="129" bestFit="1" customWidth="1"/>
    <col min="11" max="16384" width="8.875" style="129"/>
  </cols>
  <sheetData>
    <row r="1" spans="1:10">
      <c r="B1" s="130" t="s">
        <v>292</v>
      </c>
      <c r="C1" s="47" t="s">
        <v>294</v>
      </c>
      <c r="D1" s="47" t="s">
        <v>295</v>
      </c>
      <c r="E1" s="47" t="s">
        <v>298</v>
      </c>
      <c r="F1" s="47" t="s">
        <v>297</v>
      </c>
      <c r="G1" s="47" t="s">
        <v>296</v>
      </c>
      <c r="H1" s="47" t="s">
        <v>459</v>
      </c>
      <c r="I1" s="72" t="s">
        <v>460</v>
      </c>
      <c r="J1" s="129" t="s">
        <v>461</v>
      </c>
    </row>
    <row r="2" spans="1:10">
      <c r="A2" s="129">
        <v>1</v>
      </c>
      <c r="B2" s="130" t="s">
        <v>462</v>
      </c>
      <c r="C2" s="131" t="s">
        <v>463</v>
      </c>
      <c r="D2" s="131" t="s">
        <v>464</v>
      </c>
      <c r="E2" s="79" t="s">
        <v>465</v>
      </c>
      <c r="F2" s="132"/>
      <c r="G2" s="133"/>
      <c r="H2" s="133"/>
      <c r="I2" s="134"/>
      <c r="J2" s="135"/>
    </row>
    <row r="3" spans="1:10">
      <c r="A3" s="129">
        <v>2</v>
      </c>
      <c r="B3" s="130" t="s">
        <v>466</v>
      </c>
      <c r="C3" s="136" t="s">
        <v>467</v>
      </c>
      <c r="D3" s="137"/>
      <c r="E3" s="84" t="s">
        <v>468</v>
      </c>
      <c r="F3" s="138"/>
      <c r="G3" s="133"/>
      <c r="H3" s="133"/>
      <c r="I3" s="134"/>
      <c r="J3" s="135"/>
    </row>
    <row r="4" spans="1:10">
      <c r="A4" s="129">
        <v>3</v>
      </c>
      <c r="B4" s="139" t="s">
        <v>469</v>
      </c>
      <c r="C4" s="82" t="s">
        <v>470</v>
      </c>
      <c r="D4" s="82" t="s">
        <v>471</v>
      </c>
      <c r="E4" s="84" t="s">
        <v>472</v>
      </c>
      <c r="F4" s="138"/>
      <c r="G4" s="133"/>
      <c r="H4" s="133"/>
      <c r="I4" s="134"/>
      <c r="J4" s="135"/>
    </row>
    <row r="5" spans="1:10">
      <c r="A5" s="129">
        <v>4</v>
      </c>
      <c r="B5" s="130" t="s">
        <v>473</v>
      </c>
      <c r="C5" s="82" t="s">
        <v>474</v>
      </c>
      <c r="D5" s="41" t="s">
        <v>475</v>
      </c>
      <c r="E5" s="140" t="s">
        <v>476</v>
      </c>
      <c r="F5" s="138"/>
      <c r="G5" s="138"/>
      <c r="H5" s="133"/>
      <c r="I5" s="134"/>
      <c r="J5" s="135"/>
    </row>
    <row r="6" spans="1:10" s="141" customFormat="1">
      <c r="A6" s="141">
        <v>5</v>
      </c>
      <c r="B6" s="130"/>
      <c r="C6" s="131"/>
      <c r="D6" s="131"/>
      <c r="E6" s="79"/>
      <c r="F6" s="132"/>
      <c r="G6" s="142"/>
      <c r="H6" s="133"/>
      <c r="I6" s="134"/>
      <c r="J6" s="143"/>
    </row>
    <row r="7" spans="1:10" s="141" customFormat="1">
      <c r="A7" s="141">
        <v>6</v>
      </c>
      <c r="B7" s="130"/>
      <c r="C7" s="130"/>
      <c r="D7" s="78"/>
      <c r="F7" s="130"/>
      <c r="G7" s="130"/>
      <c r="H7" s="144"/>
      <c r="I7" s="134"/>
      <c r="J7" s="143"/>
    </row>
    <row r="8" spans="1:10">
      <c r="A8" s="129">
        <v>7</v>
      </c>
      <c r="B8" s="139"/>
      <c r="C8" s="137"/>
      <c r="D8" s="137"/>
      <c r="E8" s="145"/>
      <c r="H8" s="73"/>
      <c r="I8" s="134"/>
      <c r="J8" s="143"/>
    </row>
    <row r="9" spans="1:10">
      <c r="A9" s="129">
        <v>8</v>
      </c>
      <c r="B9" s="130"/>
      <c r="C9" s="137"/>
      <c r="D9" s="147"/>
      <c r="E9" s="147"/>
      <c r="F9" s="138"/>
      <c r="G9" s="138"/>
      <c r="H9" s="73"/>
      <c r="I9" s="134"/>
      <c r="J9" s="135"/>
    </row>
    <row r="10" spans="1:10">
      <c r="A10" s="129">
        <v>9</v>
      </c>
      <c r="B10" s="130"/>
      <c r="C10" s="137"/>
      <c r="D10" s="137"/>
      <c r="E10" s="145"/>
      <c r="F10" s="147"/>
      <c r="G10" s="138"/>
      <c r="J10" s="135"/>
    </row>
    <row r="11" spans="1:10">
      <c r="A11" s="129">
        <v>10</v>
      </c>
      <c r="B11" s="149"/>
      <c r="C11" s="133"/>
      <c r="D11" s="133"/>
      <c r="E11" s="133"/>
      <c r="F11" s="147"/>
      <c r="G11" s="133"/>
      <c r="I11" s="134"/>
      <c r="J11" s="135"/>
    </row>
    <row r="12" spans="1:10">
      <c r="A12" s="129">
        <v>11</v>
      </c>
      <c r="B12" s="150"/>
      <c r="C12" s="137"/>
      <c r="D12" s="147"/>
      <c r="E12" s="147"/>
      <c r="F12" s="147"/>
      <c r="G12" s="133"/>
      <c r="I12" s="134"/>
      <c r="J12" s="135"/>
    </row>
    <row r="13" spans="1:10">
      <c r="A13" s="129">
        <v>12</v>
      </c>
      <c r="B13" s="149"/>
      <c r="C13" s="133"/>
      <c r="D13" s="133"/>
      <c r="E13" s="133"/>
      <c r="F13" s="138"/>
      <c r="G13" s="133"/>
      <c r="I13" s="134"/>
    </row>
    <row r="14" spans="1:10">
      <c r="A14" s="129">
        <v>13</v>
      </c>
      <c r="B14" s="130"/>
      <c r="C14" s="137"/>
      <c r="D14" s="137"/>
      <c r="E14" s="133"/>
      <c r="F14" s="138"/>
      <c r="G14" s="133"/>
    </row>
    <row r="15" spans="1:10">
      <c r="A15" s="129">
        <v>14</v>
      </c>
      <c r="B15" s="149"/>
      <c r="C15" s="133"/>
      <c r="D15" s="133"/>
      <c r="E15" s="133"/>
      <c r="F15" s="138"/>
      <c r="G15" s="133"/>
    </row>
    <row r="16" spans="1:10">
      <c r="A16" s="129">
        <v>15</v>
      </c>
      <c r="B16" s="130"/>
      <c r="C16" s="137"/>
      <c r="D16" s="137"/>
      <c r="E16" s="145"/>
      <c r="F16" s="138"/>
      <c r="G16" s="133"/>
    </row>
    <row r="17" spans="1:9">
      <c r="A17" s="129">
        <v>16</v>
      </c>
      <c r="B17" s="130"/>
      <c r="C17" s="138"/>
      <c r="E17" s="151"/>
      <c r="F17" s="147"/>
      <c r="G17" s="138"/>
      <c r="I17" s="134"/>
    </row>
    <row r="18" spans="1:9">
      <c r="A18" s="129">
        <v>17</v>
      </c>
      <c r="B18" s="130"/>
      <c r="C18" s="138"/>
      <c r="E18" s="151"/>
      <c r="F18" s="147"/>
      <c r="G18" s="138"/>
      <c r="I18" s="134"/>
    </row>
    <row r="19" spans="1:9">
      <c r="B19" s="152"/>
      <c r="C19" s="153"/>
      <c r="D19" s="86"/>
      <c r="E19" s="145"/>
      <c r="F19" s="138"/>
      <c r="G19" s="133"/>
    </row>
    <row r="20" spans="1:9">
      <c r="B20" s="130"/>
      <c r="C20" s="137"/>
      <c r="D20" s="151"/>
      <c r="E20" s="151"/>
      <c r="F20" s="147"/>
      <c r="G20" s="137"/>
    </row>
    <row r="21" spans="1:9">
      <c r="B21" s="130"/>
      <c r="C21" s="137"/>
      <c r="D21" s="137"/>
      <c r="E21" s="133"/>
      <c r="F21" s="138"/>
      <c r="G21" s="133"/>
      <c r="H21" s="133"/>
    </row>
    <row r="24" spans="1:9">
      <c r="B24" s="141" t="s">
        <v>477</v>
      </c>
      <c r="C24" s="35" t="s">
        <v>478</v>
      </c>
      <c r="E24" t="s">
        <v>479</v>
      </c>
    </row>
  </sheetData>
  <phoneticPr fontId="1" type="noConversion"/>
  <hyperlinks>
    <hyperlink ref="E3" r:id="rId1" xr:uid="{9E214AA2-1773-4B90-B333-C872CB9F13F6}"/>
    <hyperlink ref="E4" r:id="rId2" xr:uid="{69DFBE07-FBB9-4912-9D98-E0A756869A6B}"/>
    <hyperlink ref="E5" r:id="rId3" xr:uid="{229466D7-F74E-4634-81EB-DAC69405DC53}"/>
    <hyperlink ref="E2" r:id="rId4" xr:uid="{069E7D95-173A-4C8D-B0E0-C636509BE80C}"/>
  </hyperlinks>
  <pageMargins left="0.7" right="0.7" top="0.75" bottom="0.75" header="0.3" footer="0.3"/>
  <pageSetup paperSize="9" scale="90" orientation="landscape" verticalDpi="1200" r:id="rId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AF6937-B1F9-4EBC-810F-D070A8BC66F4}">
  <sheetPr codeName="Sheet74">
    <tabColor rgb="FF92D050"/>
  </sheetPr>
  <dimension ref="A1:J21"/>
  <sheetViews>
    <sheetView view="pageBreakPreview" zoomScale="120" zoomScaleNormal="100" zoomScaleSheetLayoutView="120" workbookViewId="0">
      <pane xSplit="2" ySplit="1" topLeftCell="C17" activePane="bottomRight" state="frozen"/>
      <selection sqref="A1:E1"/>
      <selection pane="topRight" sqref="A1:E1"/>
      <selection pane="bottomLeft" sqref="A1:E1"/>
      <selection pane="bottomRight" sqref="A1:E1"/>
    </sheetView>
  </sheetViews>
  <sheetFormatPr defaultColWidth="8.875" defaultRowHeight="18.75"/>
  <cols>
    <col min="1" max="1" width="5.625" style="129" customWidth="1"/>
    <col min="2" max="2" width="11.375" style="129" customWidth="1"/>
    <col min="3" max="3" width="20.375" style="148" customWidth="1"/>
    <col min="4" max="4" width="22.625" style="148" customWidth="1"/>
    <col min="5" max="5" width="30.25" style="129" customWidth="1"/>
    <col min="6" max="6" width="21.125" style="146" customWidth="1"/>
    <col min="7" max="7" width="11.25" style="129" customWidth="1"/>
    <col min="8" max="8" width="10.625" style="129" customWidth="1"/>
    <col min="9" max="9" width="10.625" style="148" customWidth="1"/>
    <col min="10" max="10" width="10.25" style="129" bestFit="1" customWidth="1"/>
    <col min="11" max="16384" width="8.875" style="129"/>
  </cols>
  <sheetData>
    <row r="1" spans="1:10">
      <c r="B1" s="138" t="s">
        <v>292</v>
      </c>
      <c r="C1" s="47" t="s">
        <v>294</v>
      </c>
      <c r="D1" s="47" t="s">
        <v>295</v>
      </c>
      <c r="E1" s="47" t="s">
        <v>298</v>
      </c>
      <c r="F1" s="47" t="s">
        <v>297</v>
      </c>
      <c r="G1" s="47" t="s">
        <v>296</v>
      </c>
      <c r="H1" s="47" t="s">
        <v>459</v>
      </c>
      <c r="I1" s="72" t="s">
        <v>460</v>
      </c>
      <c r="J1" s="129" t="s">
        <v>461</v>
      </c>
    </row>
    <row r="2" spans="1:10">
      <c r="A2" s="129">
        <v>1</v>
      </c>
      <c r="B2" s="148" t="s">
        <v>392</v>
      </c>
      <c r="C2" s="148" t="s">
        <v>480</v>
      </c>
      <c r="D2" s="148" t="s">
        <v>481</v>
      </c>
      <c r="E2" s="154" t="s">
        <v>482</v>
      </c>
      <c r="F2" s="78"/>
      <c r="G2" s="133"/>
      <c r="H2" s="133">
        <v>40000</v>
      </c>
      <c r="I2" s="134" t="s">
        <v>483</v>
      </c>
      <c r="J2" s="135"/>
    </row>
    <row r="3" spans="1:10">
      <c r="A3" s="129">
        <v>2</v>
      </c>
      <c r="B3" s="155" t="s">
        <v>484</v>
      </c>
      <c r="C3" s="137" t="s">
        <v>485</v>
      </c>
      <c r="D3" s="137" t="s">
        <v>486</v>
      </c>
      <c r="E3" s="84" t="s">
        <v>487</v>
      </c>
      <c r="F3" s="138"/>
      <c r="G3" s="133"/>
      <c r="H3" s="133">
        <v>40000</v>
      </c>
      <c r="I3" s="134" t="s">
        <v>483</v>
      </c>
      <c r="J3" s="135"/>
    </row>
    <row r="4" spans="1:10">
      <c r="A4" s="129">
        <v>3</v>
      </c>
      <c r="B4" s="155" t="s">
        <v>394</v>
      </c>
      <c r="C4" s="137" t="s">
        <v>488</v>
      </c>
      <c r="D4" s="137" t="s">
        <v>489</v>
      </c>
      <c r="E4" s="84" t="s">
        <v>490</v>
      </c>
      <c r="F4" s="138"/>
      <c r="G4" s="133"/>
      <c r="H4" s="133">
        <v>40000</v>
      </c>
      <c r="I4" s="134" t="s">
        <v>483</v>
      </c>
      <c r="J4" s="135"/>
    </row>
    <row r="5" spans="1:10">
      <c r="A5" s="129">
        <v>4</v>
      </c>
      <c r="B5" s="156" t="s">
        <v>491</v>
      </c>
      <c r="C5" s="137" t="s">
        <v>492</v>
      </c>
      <c r="D5" s="138" t="s">
        <v>493</v>
      </c>
      <c r="E5" s="147"/>
      <c r="F5" s="138"/>
      <c r="G5" s="138"/>
      <c r="H5" s="133">
        <v>40000</v>
      </c>
      <c r="I5" s="134" t="s">
        <v>483</v>
      </c>
      <c r="J5" s="135"/>
    </row>
    <row r="6" spans="1:10" s="141" customFormat="1">
      <c r="A6" s="141">
        <v>5</v>
      </c>
      <c r="B6" s="157" t="s">
        <v>399</v>
      </c>
      <c r="C6" s="131" t="s">
        <v>494</v>
      </c>
      <c r="D6" s="131" t="s">
        <v>260</v>
      </c>
      <c r="E6" s="79" t="s">
        <v>495</v>
      </c>
      <c r="F6" s="132"/>
      <c r="G6" s="142"/>
      <c r="H6" s="133">
        <v>40000</v>
      </c>
      <c r="I6" s="134" t="s">
        <v>483</v>
      </c>
      <c r="J6" s="143"/>
    </row>
    <row r="7" spans="1:10" s="141" customFormat="1">
      <c r="A7" s="141">
        <v>6</v>
      </c>
      <c r="B7" s="130" t="s">
        <v>496</v>
      </c>
      <c r="C7" s="130" t="s">
        <v>497</v>
      </c>
      <c r="D7" s="132" t="s">
        <v>498</v>
      </c>
      <c r="F7" s="130"/>
      <c r="G7" s="130"/>
      <c r="H7" s="144">
        <v>40000</v>
      </c>
      <c r="I7" s="134" t="s">
        <v>483</v>
      </c>
      <c r="J7" s="143" t="s">
        <v>483</v>
      </c>
    </row>
    <row r="8" spans="1:10">
      <c r="A8" s="129">
        <v>7</v>
      </c>
      <c r="B8" s="47" t="s">
        <v>499</v>
      </c>
      <c r="C8" s="137" t="s">
        <v>500</v>
      </c>
      <c r="D8" s="137"/>
      <c r="E8" s="145" t="s">
        <v>501</v>
      </c>
      <c r="H8" s="73">
        <v>40000</v>
      </c>
      <c r="I8" s="134" t="s">
        <v>483</v>
      </c>
      <c r="J8" s="143" t="s">
        <v>483</v>
      </c>
    </row>
    <row r="9" spans="1:10">
      <c r="A9" s="129">
        <v>8</v>
      </c>
      <c r="B9" s="138" t="s">
        <v>502</v>
      </c>
      <c r="C9" s="137" t="s">
        <v>503</v>
      </c>
      <c r="D9" s="147" t="s">
        <v>504</v>
      </c>
      <c r="E9" s="147" t="s">
        <v>505</v>
      </c>
      <c r="F9" s="138"/>
      <c r="G9" s="138"/>
      <c r="H9" s="73">
        <v>40000</v>
      </c>
      <c r="I9" s="134" t="s">
        <v>483</v>
      </c>
      <c r="J9" s="135"/>
    </row>
    <row r="10" spans="1:10">
      <c r="A10" s="129">
        <v>9</v>
      </c>
      <c r="B10" s="146" t="s">
        <v>506</v>
      </c>
      <c r="C10" s="148" t="s">
        <v>507</v>
      </c>
      <c r="E10" s="158" t="s">
        <v>508</v>
      </c>
      <c r="F10" s="147"/>
      <c r="G10" s="138"/>
      <c r="H10" s="129">
        <v>40000</v>
      </c>
      <c r="J10" s="135"/>
    </row>
    <row r="11" spans="1:10">
      <c r="A11" s="129">
        <v>10</v>
      </c>
      <c r="C11" s="129"/>
      <c r="D11" s="129"/>
      <c r="F11" s="147"/>
      <c r="G11" s="133"/>
      <c r="I11" s="134" t="s">
        <v>483</v>
      </c>
      <c r="J11" s="135"/>
    </row>
    <row r="12" spans="1:10">
      <c r="A12" s="129">
        <v>11</v>
      </c>
      <c r="B12" s="150" t="s">
        <v>395</v>
      </c>
      <c r="D12" s="147" t="s">
        <v>509</v>
      </c>
      <c r="E12" s="147"/>
      <c r="F12" s="147"/>
      <c r="G12" s="133"/>
      <c r="H12" s="129">
        <v>20000</v>
      </c>
      <c r="I12" s="134" t="s">
        <v>483</v>
      </c>
      <c r="J12" s="135"/>
    </row>
    <row r="13" spans="1:10">
      <c r="A13" s="129">
        <v>12</v>
      </c>
      <c r="C13" s="129"/>
      <c r="D13" s="129"/>
      <c r="F13" s="138"/>
      <c r="G13" s="133"/>
      <c r="I13" s="134" t="s">
        <v>483</v>
      </c>
    </row>
    <row r="14" spans="1:10">
      <c r="A14" s="129">
        <v>13</v>
      </c>
      <c r="B14" s="146" t="s">
        <v>396</v>
      </c>
      <c r="D14" s="148" t="s">
        <v>510</v>
      </c>
      <c r="F14" s="138"/>
      <c r="G14" s="133"/>
      <c r="H14" s="129">
        <v>20000</v>
      </c>
    </row>
    <row r="15" spans="1:10">
      <c r="A15" s="129">
        <v>14</v>
      </c>
      <c r="C15" s="129"/>
      <c r="D15" s="129"/>
      <c r="F15" s="138"/>
      <c r="G15" s="133"/>
      <c r="H15" s="129">
        <v>0</v>
      </c>
    </row>
    <row r="16" spans="1:10">
      <c r="A16" s="129">
        <v>15</v>
      </c>
      <c r="B16" s="155" t="s">
        <v>511</v>
      </c>
      <c r="C16" s="137"/>
      <c r="D16" s="137" t="s">
        <v>512</v>
      </c>
      <c r="E16" s="145"/>
      <c r="F16" s="138"/>
      <c r="G16" s="133"/>
      <c r="H16" s="129">
        <v>20000</v>
      </c>
    </row>
    <row r="17" spans="1:9">
      <c r="A17" s="129">
        <v>16</v>
      </c>
      <c r="B17" s="159" t="s">
        <v>513</v>
      </c>
      <c r="C17" s="138" t="s">
        <v>514</v>
      </c>
      <c r="D17" s="148" t="s">
        <v>515</v>
      </c>
      <c r="E17" s="151" t="s">
        <v>516</v>
      </c>
      <c r="F17" s="147"/>
      <c r="G17" s="138"/>
      <c r="H17" s="129">
        <v>0</v>
      </c>
      <c r="I17" s="134" t="s">
        <v>483</v>
      </c>
    </row>
    <row r="18" spans="1:9">
      <c r="A18" s="129">
        <v>17</v>
      </c>
      <c r="B18" s="159" t="s">
        <v>517</v>
      </c>
      <c r="C18" s="138" t="s">
        <v>518</v>
      </c>
      <c r="D18" s="148" t="s">
        <v>519</v>
      </c>
      <c r="E18" s="151" t="s">
        <v>520</v>
      </c>
      <c r="F18" s="147"/>
      <c r="G18" s="138"/>
      <c r="H18" s="129">
        <v>0</v>
      </c>
      <c r="I18" s="134" t="s">
        <v>483</v>
      </c>
    </row>
    <row r="19" spans="1:9">
      <c r="B19" s="160"/>
      <c r="C19" s="153"/>
      <c r="D19" s="86"/>
      <c r="E19" s="145"/>
      <c r="F19" s="138"/>
      <c r="G19" s="133"/>
      <c r="H19" s="129">
        <v>0</v>
      </c>
    </row>
    <row r="20" spans="1:9">
      <c r="B20" s="155" t="s">
        <v>521</v>
      </c>
      <c r="C20" s="137" t="s">
        <v>522</v>
      </c>
      <c r="D20" s="151" t="s">
        <v>523</v>
      </c>
      <c r="E20" s="151" t="s">
        <v>524</v>
      </c>
      <c r="F20" s="147"/>
      <c r="G20" s="137"/>
      <c r="H20" s="129">
        <v>0</v>
      </c>
    </row>
    <row r="21" spans="1:9">
      <c r="B21" s="138" t="s">
        <v>525</v>
      </c>
      <c r="C21" s="137"/>
      <c r="D21" s="137"/>
      <c r="E21" s="133"/>
      <c r="F21" s="138"/>
      <c r="G21" s="133"/>
      <c r="H21" s="133">
        <f>SUM(H2:H20)</f>
        <v>420000</v>
      </c>
    </row>
  </sheetData>
  <phoneticPr fontId="1" type="noConversion"/>
  <hyperlinks>
    <hyperlink ref="E3" r:id="rId1" xr:uid="{76C507FC-7180-4CE2-AE3E-0D2B811B6FFB}"/>
    <hyperlink ref="E4" r:id="rId2" xr:uid="{E5DB258B-AE60-4A2E-A01F-2B141B19DD8D}"/>
    <hyperlink ref="E6" r:id="rId3" xr:uid="{A31475F7-2532-448C-AA10-AF797C295D0E}"/>
    <hyperlink ref="E20" r:id="rId4" xr:uid="{3CEC4C00-4860-4718-BCCB-C9C5C8E02C41}"/>
    <hyperlink ref="E8" r:id="rId5" xr:uid="{86994725-58DF-41D2-ACE5-073202F1891F}"/>
    <hyperlink ref="E9" r:id="rId6" xr:uid="{66862529-2128-451D-B928-AF4BCE8FAC7F}"/>
    <hyperlink ref="E17" r:id="rId7" xr:uid="{3D065710-57A5-4E9D-BBAF-59DDE5861E45}"/>
    <hyperlink ref="E18" r:id="rId8" xr:uid="{62E094AC-1FE2-4A8D-B4EF-C9174E42DA2E}"/>
    <hyperlink ref="E10" r:id="rId9" xr:uid="{2094FDBF-1855-4A64-ABA6-016C0924CAC4}"/>
  </hyperlinks>
  <pageMargins left="0.7" right="0.7" top="0.75" bottom="0.75" header="0.3" footer="0.3"/>
  <pageSetup paperSize="9" scale="90" orientation="landscape" verticalDpi="1200" r:id="rId1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D2CA9D-8B5C-4CAA-933D-7D384F87B51F}">
  <sheetPr codeName="Sheet69"/>
  <dimension ref="A1:D41"/>
  <sheetViews>
    <sheetView view="pageBreakPreview" zoomScale="110" zoomScaleNormal="100" zoomScaleSheetLayoutView="110" workbookViewId="0">
      <selection activeCell="A25" sqref="A25:XFD41"/>
    </sheetView>
  </sheetViews>
  <sheetFormatPr defaultColWidth="9" defaultRowHeight="18.75"/>
  <cols>
    <col min="1" max="1" width="9" style="3" customWidth="1"/>
    <col min="2" max="2" width="21.625" style="1" customWidth="1"/>
    <col min="3" max="3" width="30.25" style="3" customWidth="1"/>
    <col min="4" max="4" width="26.375" style="3" customWidth="1"/>
    <col min="5" max="16384" width="9" style="3"/>
  </cols>
  <sheetData>
    <row r="1" spans="1:4" s="1" customFormat="1" ht="25.5" customHeight="1">
      <c r="A1" s="37"/>
      <c r="B1" s="37" t="s">
        <v>403</v>
      </c>
      <c r="C1" s="37" t="s">
        <v>404</v>
      </c>
      <c r="D1" s="37" t="s">
        <v>405</v>
      </c>
    </row>
    <row r="2" spans="1:4" ht="25.5" customHeight="1">
      <c r="A2" s="201" t="s">
        <v>406</v>
      </c>
      <c r="B2" s="77" t="s">
        <v>407</v>
      </c>
      <c r="C2" s="105" t="s">
        <v>408</v>
      </c>
      <c r="D2" s="106"/>
    </row>
    <row r="3" spans="1:4" ht="25.5" customHeight="1">
      <c r="A3" s="201"/>
      <c r="B3" s="77" t="s">
        <v>409</v>
      </c>
      <c r="C3" s="105" t="s">
        <v>410</v>
      </c>
      <c r="D3" s="106"/>
    </row>
    <row r="4" spans="1:4" ht="25.5" customHeight="1">
      <c r="A4" s="201" t="s">
        <v>409</v>
      </c>
      <c r="B4" s="77" t="s">
        <v>411</v>
      </c>
      <c r="C4" s="105" t="s">
        <v>412</v>
      </c>
      <c r="D4" s="105"/>
    </row>
    <row r="5" spans="1:4" ht="112.5" customHeight="1">
      <c r="A5" s="201"/>
      <c r="B5" s="77" t="s">
        <v>413</v>
      </c>
      <c r="C5" s="107" t="s">
        <v>414</v>
      </c>
      <c r="D5" s="105"/>
    </row>
    <row r="6" spans="1:4" ht="25.5" customHeight="1">
      <c r="A6" s="201"/>
      <c r="B6" s="77" t="s">
        <v>415</v>
      </c>
      <c r="C6" s="105" t="s">
        <v>416</v>
      </c>
      <c r="D6" s="105"/>
    </row>
    <row r="7" spans="1:4" ht="25.5" customHeight="1">
      <c r="A7" s="202" t="s">
        <v>417</v>
      </c>
      <c r="B7" s="77" t="s">
        <v>418</v>
      </c>
      <c r="C7" s="106" t="s">
        <v>419</v>
      </c>
      <c r="D7" s="105"/>
    </row>
    <row r="8" spans="1:4" ht="25.5" customHeight="1">
      <c r="A8" s="203"/>
      <c r="B8" s="77" t="s">
        <v>420</v>
      </c>
      <c r="C8" s="105" t="s">
        <v>421</v>
      </c>
      <c r="D8" s="105"/>
    </row>
    <row r="9" spans="1:4" ht="25.5" customHeight="1">
      <c r="A9" s="203"/>
      <c r="B9" s="77"/>
      <c r="C9" s="105"/>
      <c r="D9" s="105"/>
    </row>
    <row r="10" spans="1:4" ht="25.5" customHeight="1">
      <c r="A10" s="203"/>
      <c r="B10" s="77" t="s">
        <v>422</v>
      </c>
      <c r="C10" s="105" t="s">
        <v>421</v>
      </c>
      <c r="D10" s="105"/>
    </row>
    <row r="11" spans="1:4" ht="25.5" customHeight="1">
      <c r="A11" s="204"/>
      <c r="B11" s="77"/>
      <c r="C11" s="105"/>
      <c r="D11" s="105"/>
    </row>
    <row r="12" spans="1:4" ht="42.75" customHeight="1">
      <c r="A12" s="201" t="s">
        <v>423</v>
      </c>
      <c r="B12" s="77" t="s">
        <v>424</v>
      </c>
      <c r="C12" s="108" t="s">
        <v>425</v>
      </c>
      <c r="D12" s="108" t="s">
        <v>426</v>
      </c>
    </row>
    <row r="13" spans="1:4" ht="25.5" customHeight="1">
      <c r="A13" s="201"/>
      <c r="B13" s="77" t="s">
        <v>427</v>
      </c>
      <c r="C13" s="105" t="s">
        <v>428</v>
      </c>
      <c r="D13" s="105"/>
    </row>
    <row r="14" spans="1:4" ht="69.75" customHeight="1">
      <c r="A14" s="201"/>
      <c r="B14" s="77" t="s">
        <v>429</v>
      </c>
      <c r="C14" s="109"/>
      <c r="D14" s="110" t="s">
        <v>430</v>
      </c>
    </row>
    <row r="15" spans="1:4" ht="25.5" customHeight="1">
      <c r="A15" s="201"/>
      <c r="B15" s="77" t="s">
        <v>431</v>
      </c>
      <c r="C15" s="105" t="s">
        <v>432</v>
      </c>
      <c r="D15" s="105"/>
    </row>
    <row r="16" spans="1:4" ht="25.5" customHeight="1">
      <c r="A16" s="201"/>
      <c r="B16" s="77" t="s">
        <v>433</v>
      </c>
      <c r="C16" s="105" t="s">
        <v>421</v>
      </c>
      <c r="D16" s="105"/>
    </row>
    <row r="17" spans="1:4" ht="25.5" customHeight="1">
      <c r="A17" s="201"/>
      <c r="B17" s="77" t="s">
        <v>434</v>
      </c>
      <c r="C17" s="105" t="s">
        <v>435</v>
      </c>
      <c r="D17" s="106"/>
    </row>
    <row r="18" spans="1:4" ht="25.5" customHeight="1">
      <c r="A18" s="201"/>
      <c r="B18" s="77" t="s">
        <v>436</v>
      </c>
      <c r="C18" s="111" t="s">
        <v>437</v>
      </c>
      <c r="D18" s="106"/>
    </row>
    <row r="19" spans="1:4" ht="25.5" customHeight="1">
      <c r="A19" s="201"/>
      <c r="B19" s="77" t="s">
        <v>438</v>
      </c>
      <c r="C19" s="112" t="s">
        <v>437</v>
      </c>
      <c r="D19" s="106"/>
    </row>
    <row r="20" spans="1:4" ht="25.5" customHeight="1">
      <c r="A20" s="201"/>
      <c r="B20" s="77" t="s">
        <v>439</v>
      </c>
      <c r="C20" s="105"/>
      <c r="D20" s="106"/>
    </row>
    <row r="21" spans="1:4" ht="25.5" customHeight="1">
      <c r="A21" s="201"/>
      <c r="B21" s="77" t="s">
        <v>440</v>
      </c>
      <c r="C21" s="105"/>
      <c r="D21" s="105"/>
    </row>
    <row r="22" spans="1:4" ht="25.5" customHeight="1">
      <c r="A22" s="201"/>
      <c r="B22" s="77" t="s">
        <v>441</v>
      </c>
      <c r="C22" s="105"/>
      <c r="D22" s="105"/>
    </row>
    <row r="25" spans="1:4" s="194" customFormat="1" ht="14.25"/>
    <row r="26" spans="1:4" s="194" customFormat="1" ht="14.25">
      <c r="B26" s="194" t="s">
        <v>704</v>
      </c>
      <c r="C26" s="194" t="s">
        <v>705</v>
      </c>
    </row>
    <row r="27" spans="1:4" s="194" customFormat="1" ht="14.25">
      <c r="B27" s="194" t="s">
        <v>706</v>
      </c>
      <c r="C27" s="194" t="s">
        <v>707</v>
      </c>
    </row>
    <row r="28" spans="1:4" s="194" customFormat="1" ht="14.25">
      <c r="B28" s="194" t="s">
        <v>708</v>
      </c>
      <c r="C28" s="194" t="s">
        <v>709</v>
      </c>
    </row>
    <row r="29" spans="1:4" s="194" customFormat="1" ht="14.25">
      <c r="B29" s="194" t="s">
        <v>710</v>
      </c>
      <c r="C29" s="194" t="s">
        <v>711</v>
      </c>
    </row>
    <row r="30" spans="1:4" s="194" customFormat="1" ht="14.25">
      <c r="B30" s="194" t="s">
        <v>712</v>
      </c>
      <c r="C30" s="194" t="s">
        <v>713</v>
      </c>
    </row>
    <row r="31" spans="1:4" s="194" customFormat="1" ht="14.25">
      <c r="B31" s="194" t="s">
        <v>714</v>
      </c>
      <c r="C31" s="194" t="s">
        <v>703</v>
      </c>
    </row>
    <row r="32" spans="1:4" s="194" customFormat="1" ht="14.25">
      <c r="B32" s="194" t="s">
        <v>715</v>
      </c>
      <c r="C32" s="194" t="s">
        <v>716</v>
      </c>
    </row>
    <row r="33" spans="3:3" s="194" customFormat="1" ht="14.25"/>
    <row r="34" spans="3:3" s="194" customFormat="1" ht="14.25"/>
    <row r="35" spans="3:3" s="194" customFormat="1" ht="14.25"/>
    <row r="36" spans="3:3" s="194" customFormat="1" ht="14.25">
      <c r="C36" s="194" t="s">
        <v>717</v>
      </c>
    </row>
    <row r="37" spans="3:3" s="194" customFormat="1" ht="14.25">
      <c r="C37" s="194" t="s">
        <v>718</v>
      </c>
    </row>
    <row r="38" spans="3:3" s="194" customFormat="1" ht="14.25">
      <c r="C38" s="194" t="s">
        <v>719</v>
      </c>
    </row>
    <row r="39" spans="3:3" s="194" customFormat="1" ht="14.25">
      <c r="C39" s="194" t="s">
        <v>720</v>
      </c>
    </row>
    <row r="40" spans="3:3" s="194" customFormat="1" ht="14.25">
      <c r="C40" s="194" t="s">
        <v>721</v>
      </c>
    </row>
    <row r="41" spans="3:3" s="194" customFormat="1" ht="14.25"/>
  </sheetData>
  <mergeCells count="4">
    <mergeCell ref="A2:A3"/>
    <mergeCell ref="A4:A6"/>
    <mergeCell ref="A7:A11"/>
    <mergeCell ref="A12:A22"/>
  </mergeCells>
  <phoneticPr fontId="1" type="noConversion"/>
  <pageMargins left="0.7" right="0.7" top="0.75" bottom="0.75" header="0.3" footer="0.3"/>
  <pageSetup paperSize="9" scale="97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B60C7A-E8D9-42C9-AC44-133A165E3E94}">
  <sheetPr codeName="Sheet70"/>
  <dimension ref="A1:D10"/>
  <sheetViews>
    <sheetView workbookViewId="0">
      <selection sqref="A1:E1"/>
    </sheetView>
  </sheetViews>
  <sheetFormatPr defaultRowHeight="18.75"/>
  <cols>
    <col min="1" max="1" width="24.875" customWidth="1"/>
  </cols>
  <sheetData>
    <row r="1" spans="1:4">
      <c r="A1" s="41"/>
      <c r="B1" s="41" t="s">
        <v>442</v>
      </c>
    </row>
    <row r="2" spans="1:4">
      <c r="A2" s="77" t="s">
        <v>429</v>
      </c>
      <c r="B2" s="41">
        <v>0</v>
      </c>
    </row>
    <row r="3" spans="1:4">
      <c r="A3" s="77"/>
      <c r="B3" s="41"/>
    </row>
    <row r="4" spans="1:4">
      <c r="A4" s="77" t="s">
        <v>443</v>
      </c>
      <c r="B4" s="41">
        <v>240000</v>
      </c>
    </row>
    <row r="5" spans="1:4">
      <c r="A5" s="77" t="s">
        <v>444</v>
      </c>
      <c r="B5" s="41">
        <v>240000</v>
      </c>
    </row>
    <row r="6" spans="1:4">
      <c r="A6" s="113" t="s">
        <v>445</v>
      </c>
      <c r="B6" s="37">
        <f>SUM(B2:B5)</f>
        <v>480000</v>
      </c>
    </row>
    <row r="9" spans="1:4">
      <c r="A9" s="39" t="s">
        <v>446</v>
      </c>
      <c r="B9" s="39">
        <v>12</v>
      </c>
      <c r="C9" s="39">
        <v>16</v>
      </c>
      <c r="D9" s="39">
        <v>18</v>
      </c>
    </row>
    <row r="10" spans="1:4">
      <c r="A10" s="39" t="s">
        <v>447</v>
      </c>
      <c r="B10" s="114">
        <f>$B$6/B9</f>
        <v>40000</v>
      </c>
      <c r="C10" s="114">
        <f>$B$6/C9</f>
        <v>30000</v>
      </c>
      <c r="D10" s="114">
        <f>$B$6/D9</f>
        <v>26666.666666666668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B328BE-CBBD-4FC7-93D0-A52B93AF9EFB}">
  <sheetPr codeName="Sheet68"/>
  <dimension ref="A1:H73"/>
  <sheetViews>
    <sheetView view="pageBreakPreview" zoomScale="90" zoomScaleNormal="100" zoomScaleSheetLayoutView="90" workbookViewId="0">
      <pane ySplit="2" topLeftCell="A3" activePane="bottomLeft" state="frozen"/>
      <selection sqref="A1:E1"/>
      <selection pane="bottomLeft" sqref="A1:E2"/>
    </sheetView>
  </sheetViews>
  <sheetFormatPr defaultColWidth="9" defaultRowHeight="13.5"/>
  <cols>
    <col min="1" max="1" width="12.375" style="93" customWidth="1"/>
    <col min="2" max="2" width="9.25" style="93" customWidth="1"/>
    <col min="3" max="3" width="32.75" style="93" customWidth="1"/>
    <col min="4" max="7" width="11.125" style="93" customWidth="1"/>
    <col min="8" max="8" width="13.375" style="93" customWidth="1"/>
    <col min="9" max="16384" width="9" style="93"/>
  </cols>
  <sheetData>
    <row r="1" spans="1:7" ht="18.75" customHeight="1">
      <c r="A1" s="205" t="s">
        <v>385</v>
      </c>
      <c r="B1" s="206" t="s">
        <v>386</v>
      </c>
      <c r="C1" s="205" t="s">
        <v>387</v>
      </c>
      <c r="D1" s="205" t="s">
        <v>388</v>
      </c>
      <c r="E1" s="205"/>
      <c r="F1" s="205" t="s">
        <v>389</v>
      </c>
      <c r="G1" s="205"/>
    </row>
    <row r="2" spans="1:7" ht="18.75" customHeight="1">
      <c r="A2" s="205"/>
      <c r="B2" s="207"/>
      <c r="C2" s="205"/>
      <c r="D2" s="94" t="s">
        <v>390</v>
      </c>
      <c r="E2" s="94" t="s">
        <v>391</v>
      </c>
      <c r="F2" s="94" t="s">
        <v>390</v>
      </c>
      <c r="G2" s="94" t="s">
        <v>391</v>
      </c>
    </row>
    <row r="3" spans="1:7" ht="18.75" customHeight="1">
      <c r="A3" s="95"/>
      <c r="B3" s="96"/>
      <c r="C3" s="97" t="s">
        <v>392</v>
      </c>
      <c r="D3" s="98">
        <v>40000</v>
      </c>
      <c r="F3" s="99"/>
      <c r="G3" s="99"/>
    </row>
    <row r="4" spans="1:7" ht="18.75" customHeight="1">
      <c r="A4" s="95"/>
      <c r="B4" s="96"/>
      <c r="C4" s="76" t="s">
        <v>393</v>
      </c>
      <c r="D4" s="98">
        <v>40000</v>
      </c>
      <c r="E4" s="99"/>
      <c r="F4" s="99"/>
      <c r="G4" s="99"/>
    </row>
    <row r="5" spans="1:7" ht="18.75" customHeight="1">
      <c r="A5" s="95"/>
      <c r="B5" s="96"/>
      <c r="C5" s="76" t="s">
        <v>394</v>
      </c>
      <c r="D5" s="98">
        <v>40000</v>
      </c>
      <c r="E5" s="99"/>
      <c r="F5" s="99"/>
      <c r="G5" s="99"/>
    </row>
    <row r="6" spans="1:7" ht="18.75" customHeight="1">
      <c r="A6" s="95"/>
      <c r="B6" s="96"/>
      <c r="C6" s="100" t="s">
        <v>395</v>
      </c>
      <c r="D6" s="99">
        <v>20000</v>
      </c>
      <c r="E6" s="99"/>
      <c r="F6" s="99"/>
      <c r="G6" s="99"/>
    </row>
    <row r="7" spans="1:7" ht="18.75" customHeight="1">
      <c r="A7" s="95"/>
      <c r="B7" s="96"/>
      <c r="C7" s="100" t="s">
        <v>396</v>
      </c>
      <c r="D7" s="99">
        <v>20000</v>
      </c>
      <c r="E7" s="99"/>
      <c r="F7" s="99"/>
      <c r="G7" s="99"/>
    </row>
    <row r="8" spans="1:7" ht="18.75" customHeight="1">
      <c r="A8" s="95"/>
      <c r="B8" s="96"/>
      <c r="C8" s="100" t="s">
        <v>397</v>
      </c>
      <c r="D8" s="99">
        <v>20000</v>
      </c>
      <c r="E8" s="99"/>
      <c r="F8" s="99"/>
      <c r="G8" s="99"/>
    </row>
    <row r="9" spans="1:7" ht="18.75" customHeight="1">
      <c r="A9" s="95"/>
      <c r="B9" s="96"/>
      <c r="C9" s="100" t="s">
        <v>398</v>
      </c>
      <c r="D9" s="99">
        <v>40000</v>
      </c>
      <c r="E9" s="99"/>
      <c r="F9" s="99"/>
      <c r="G9" s="99"/>
    </row>
    <row r="10" spans="1:7" ht="18.75" customHeight="1">
      <c r="A10" s="95"/>
      <c r="B10" s="96"/>
      <c r="C10" s="100" t="s">
        <v>398</v>
      </c>
      <c r="D10" s="99">
        <v>-40000</v>
      </c>
      <c r="E10" s="99"/>
      <c r="F10" s="99"/>
      <c r="G10" s="99"/>
    </row>
    <row r="11" spans="1:7" ht="18.75" customHeight="1">
      <c r="A11" s="95"/>
      <c r="B11" s="96"/>
      <c r="C11" s="100" t="s">
        <v>399</v>
      </c>
      <c r="D11" s="99">
        <v>40000</v>
      </c>
      <c r="E11" s="99"/>
      <c r="F11" s="99"/>
      <c r="G11" s="99"/>
    </row>
    <row r="12" spans="1:7" ht="18.75" customHeight="1">
      <c r="A12" s="95"/>
      <c r="B12" s="96"/>
      <c r="C12" s="100"/>
      <c r="D12" s="99"/>
      <c r="E12" s="99"/>
      <c r="F12" s="99"/>
      <c r="G12" s="99"/>
    </row>
    <row r="13" spans="1:7" ht="18.75" customHeight="1">
      <c r="A13" s="95"/>
      <c r="B13" s="96"/>
      <c r="C13" s="100"/>
      <c r="D13" s="99"/>
      <c r="E13" s="99"/>
      <c r="F13" s="99"/>
      <c r="G13" s="99"/>
    </row>
    <row r="14" spans="1:7" ht="18.75" customHeight="1">
      <c r="A14" s="95"/>
      <c r="B14" s="96"/>
      <c r="C14" s="100"/>
      <c r="D14" s="99"/>
      <c r="E14" s="99"/>
      <c r="F14" s="99"/>
      <c r="G14" s="99"/>
    </row>
    <row r="15" spans="1:7" ht="18.75" customHeight="1">
      <c r="A15" s="95"/>
      <c r="B15" s="96"/>
      <c r="C15" s="100"/>
      <c r="D15" s="99"/>
      <c r="E15" s="99"/>
      <c r="F15" s="99"/>
      <c r="G15" s="99"/>
    </row>
    <row r="16" spans="1:7" ht="18.75" customHeight="1">
      <c r="A16" s="95"/>
      <c r="B16" s="96"/>
      <c r="C16" s="100"/>
      <c r="D16" s="99"/>
      <c r="E16" s="99"/>
      <c r="F16" s="99"/>
      <c r="G16" s="99"/>
    </row>
    <row r="17" spans="1:7" ht="18.75" customHeight="1">
      <c r="A17" s="95"/>
      <c r="B17" s="96"/>
      <c r="C17" s="100"/>
      <c r="D17" s="99"/>
      <c r="E17" s="99"/>
      <c r="F17" s="99"/>
      <c r="G17" s="99"/>
    </row>
    <row r="18" spans="1:7" ht="18.75" customHeight="1">
      <c r="A18" s="95"/>
      <c r="B18" s="96"/>
      <c r="C18" s="100"/>
      <c r="D18" s="99"/>
      <c r="E18" s="99"/>
      <c r="F18" s="99"/>
      <c r="G18" s="99"/>
    </row>
    <row r="19" spans="1:7" ht="18.75" customHeight="1">
      <c r="A19" s="96"/>
      <c r="B19" s="96"/>
      <c r="C19" s="100"/>
      <c r="D19" s="98"/>
      <c r="E19" s="99"/>
      <c r="F19" s="99"/>
      <c r="G19" s="99"/>
    </row>
    <row r="20" spans="1:7" ht="18.75" customHeight="1">
      <c r="A20" s="96"/>
      <c r="B20" s="96"/>
      <c r="C20" s="100"/>
      <c r="D20" s="98"/>
      <c r="E20" s="99"/>
      <c r="F20" s="99"/>
      <c r="G20" s="99"/>
    </row>
    <row r="21" spans="1:7" ht="18.75" customHeight="1">
      <c r="A21" s="96"/>
      <c r="B21" s="96"/>
      <c r="C21" s="100"/>
      <c r="D21" s="98"/>
      <c r="E21" s="99"/>
      <c r="F21" s="99"/>
      <c r="G21" s="99"/>
    </row>
    <row r="22" spans="1:7" ht="18.75" customHeight="1">
      <c r="A22" s="96"/>
      <c r="B22" s="96"/>
      <c r="C22" s="100"/>
      <c r="D22" s="98"/>
      <c r="E22" s="99"/>
      <c r="F22" s="99"/>
      <c r="G22" s="99"/>
    </row>
    <row r="23" spans="1:7" ht="18.75" customHeight="1">
      <c r="A23" s="96"/>
      <c r="B23" s="96"/>
      <c r="C23" s="100"/>
      <c r="D23" s="98"/>
      <c r="E23" s="99"/>
      <c r="F23" s="99"/>
      <c r="G23" s="99"/>
    </row>
    <row r="24" spans="1:7" ht="18.75" customHeight="1">
      <c r="A24" s="96"/>
      <c r="B24" s="96"/>
      <c r="C24" s="100"/>
      <c r="D24" s="98"/>
      <c r="E24" s="99"/>
      <c r="F24" s="99"/>
      <c r="G24" s="99"/>
    </row>
    <row r="25" spans="1:7" ht="18.75" customHeight="1">
      <c r="A25" s="95"/>
      <c r="B25" s="96"/>
      <c r="C25" s="100"/>
      <c r="D25" s="98"/>
      <c r="E25" s="96"/>
      <c r="F25" s="99"/>
      <c r="G25" s="99"/>
    </row>
    <row r="26" spans="1:7" ht="18.75" customHeight="1">
      <c r="A26" s="95"/>
      <c r="B26" s="96"/>
      <c r="C26" s="100"/>
      <c r="D26" s="98"/>
      <c r="E26" s="96"/>
      <c r="F26" s="99"/>
      <c r="G26" s="99"/>
    </row>
    <row r="27" spans="1:7" ht="18.75" customHeight="1">
      <c r="A27" s="95"/>
      <c r="B27" s="96"/>
      <c r="C27" s="100"/>
      <c r="D27" s="98"/>
      <c r="E27" s="99"/>
      <c r="F27" s="99"/>
      <c r="G27" s="99"/>
    </row>
    <row r="28" spans="1:7" ht="18.75" customHeight="1">
      <c r="A28" s="95"/>
      <c r="B28" s="96"/>
      <c r="C28" s="100"/>
      <c r="D28" s="98"/>
      <c r="E28" s="99"/>
      <c r="F28" s="99"/>
      <c r="G28" s="99"/>
    </row>
    <row r="29" spans="1:7" ht="18.75" customHeight="1">
      <c r="A29" s="95"/>
      <c r="B29" s="95"/>
      <c r="C29" s="100"/>
      <c r="D29" s="98"/>
      <c r="E29" s="99"/>
      <c r="F29" s="99"/>
      <c r="G29" s="99"/>
    </row>
    <row r="30" spans="1:7" ht="18.75" customHeight="1">
      <c r="A30" s="95"/>
      <c r="B30" s="96"/>
      <c r="C30" s="100"/>
      <c r="D30" s="98"/>
      <c r="E30" s="99"/>
      <c r="F30" s="99"/>
      <c r="G30" s="99"/>
    </row>
    <row r="31" spans="1:7" ht="18.75" customHeight="1">
      <c r="A31" s="95"/>
      <c r="B31" s="96"/>
      <c r="C31" s="100"/>
      <c r="D31" s="98"/>
      <c r="E31" s="99"/>
      <c r="F31" s="99"/>
      <c r="G31" s="99"/>
    </row>
    <row r="32" spans="1:7" ht="18.75" customHeight="1">
      <c r="A32" s="95"/>
      <c r="B32" s="96"/>
      <c r="C32" s="100"/>
      <c r="D32" s="98"/>
      <c r="E32" s="99"/>
      <c r="F32" s="99"/>
      <c r="G32" s="99"/>
    </row>
    <row r="33" spans="1:8" ht="18.75" customHeight="1">
      <c r="A33" s="95"/>
      <c r="B33" s="96"/>
      <c r="C33" s="100"/>
      <c r="D33" s="98"/>
      <c r="E33" s="99"/>
      <c r="F33" s="99"/>
      <c r="G33" s="99"/>
      <c r="H33" s="101"/>
    </row>
    <row r="34" spans="1:8" ht="18.75" customHeight="1">
      <c r="A34" s="95"/>
      <c r="B34" s="96"/>
      <c r="C34" s="100"/>
      <c r="D34" s="98"/>
      <c r="E34" s="99"/>
      <c r="F34" s="99"/>
      <c r="G34" s="99"/>
    </row>
    <row r="35" spans="1:8" ht="18.75" customHeight="1">
      <c r="A35" s="95"/>
      <c r="B35" s="96"/>
      <c r="C35" s="100"/>
      <c r="D35" s="98"/>
      <c r="E35" s="99"/>
      <c r="F35" s="99"/>
      <c r="G35" s="99"/>
    </row>
    <row r="36" spans="1:8" ht="18.75" customHeight="1">
      <c r="A36" s="95"/>
      <c r="B36" s="96"/>
      <c r="C36" s="100"/>
      <c r="D36" s="98"/>
      <c r="E36" s="99"/>
      <c r="F36" s="99"/>
      <c r="G36" s="99"/>
    </row>
    <row r="37" spans="1:8" ht="18.75" customHeight="1">
      <c r="A37" s="95"/>
      <c r="B37" s="96"/>
      <c r="C37" s="100"/>
      <c r="D37" s="98"/>
      <c r="E37" s="99"/>
      <c r="F37" s="99"/>
      <c r="G37" s="99"/>
    </row>
    <row r="38" spans="1:8" ht="18.75" customHeight="1">
      <c r="A38" s="95"/>
      <c r="B38" s="96"/>
      <c r="C38" s="100"/>
      <c r="D38" s="98"/>
      <c r="E38" s="99"/>
      <c r="F38" s="99"/>
      <c r="G38" s="99"/>
    </row>
    <row r="39" spans="1:8" ht="18.75" customHeight="1">
      <c r="A39" s="95"/>
      <c r="B39" s="96"/>
      <c r="C39" s="100"/>
      <c r="D39" s="98"/>
      <c r="E39" s="99"/>
      <c r="F39" s="99"/>
      <c r="G39" s="99"/>
    </row>
    <row r="40" spans="1:8" ht="18.75" customHeight="1">
      <c r="A40" s="95"/>
      <c r="B40" s="96"/>
      <c r="C40" s="100"/>
      <c r="D40" s="98"/>
      <c r="E40" s="99"/>
      <c r="F40" s="99"/>
      <c r="G40" s="99"/>
    </row>
    <row r="41" spans="1:8" ht="18.75" customHeight="1">
      <c r="A41" s="95"/>
      <c r="B41" s="96"/>
      <c r="C41" s="100"/>
      <c r="D41" s="98"/>
      <c r="E41" s="99"/>
      <c r="F41" s="99"/>
      <c r="G41" s="99"/>
    </row>
    <row r="42" spans="1:8" ht="18.75" customHeight="1">
      <c r="A42" s="95"/>
      <c r="B42" s="96"/>
      <c r="C42" s="100"/>
      <c r="D42" s="98"/>
      <c r="E42" s="99"/>
      <c r="F42" s="99"/>
      <c r="G42" s="99"/>
    </row>
    <row r="43" spans="1:8" ht="18.75" customHeight="1">
      <c r="A43" s="95"/>
      <c r="B43" s="96"/>
      <c r="C43" s="100"/>
      <c r="D43" s="98"/>
      <c r="E43" s="99"/>
      <c r="F43" s="99"/>
      <c r="G43" s="99"/>
    </row>
    <row r="44" spans="1:8" ht="18.75" customHeight="1">
      <c r="A44" s="95"/>
      <c r="B44" s="96"/>
      <c r="C44" s="100"/>
      <c r="D44" s="98"/>
      <c r="E44" s="99"/>
      <c r="F44" s="99"/>
      <c r="G44" s="99"/>
    </row>
    <row r="45" spans="1:8" ht="18.75" customHeight="1">
      <c r="A45" s="95"/>
      <c r="B45" s="96"/>
      <c r="C45" s="100"/>
      <c r="D45" s="98"/>
      <c r="E45" s="99"/>
      <c r="F45" s="99"/>
      <c r="G45" s="99"/>
    </row>
    <row r="46" spans="1:8" ht="18.75" customHeight="1">
      <c r="A46" s="95"/>
      <c r="B46" s="96"/>
      <c r="C46" s="100"/>
      <c r="D46" s="98"/>
      <c r="E46" s="99"/>
      <c r="F46" s="99"/>
      <c r="G46" s="99"/>
    </row>
    <row r="47" spans="1:8" ht="18.75" customHeight="1">
      <c r="A47" s="95"/>
      <c r="B47" s="96"/>
      <c r="C47" s="100"/>
      <c r="D47" s="98"/>
      <c r="E47" s="99"/>
      <c r="F47" s="99"/>
      <c r="G47" s="99"/>
    </row>
    <row r="48" spans="1:8" ht="18.75" customHeight="1">
      <c r="A48" s="95"/>
      <c r="B48" s="96"/>
      <c r="C48" s="100"/>
      <c r="D48" s="98"/>
      <c r="E48" s="99"/>
      <c r="F48" s="99"/>
      <c r="G48" s="99"/>
    </row>
    <row r="49" spans="1:7" ht="18.75" customHeight="1">
      <c r="A49" s="95"/>
      <c r="B49" s="96"/>
      <c r="C49" s="100"/>
      <c r="D49" s="98"/>
      <c r="E49" s="99"/>
      <c r="F49" s="99"/>
      <c r="G49" s="99"/>
    </row>
    <row r="50" spans="1:7" ht="18.75" customHeight="1">
      <c r="A50" s="95"/>
      <c r="B50" s="96"/>
      <c r="C50" s="100"/>
      <c r="D50" s="98"/>
      <c r="E50" s="99"/>
      <c r="F50" s="99"/>
      <c r="G50" s="99"/>
    </row>
    <row r="51" spans="1:7" ht="18.75" customHeight="1">
      <c r="A51" s="95"/>
      <c r="B51" s="96"/>
      <c r="C51" s="100"/>
      <c r="D51" s="98"/>
      <c r="E51" s="99"/>
      <c r="F51" s="99"/>
      <c r="G51" s="99"/>
    </row>
    <row r="52" spans="1:7" ht="18.75" customHeight="1">
      <c r="A52" s="95"/>
      <c r="B52" s="96"/>
      <c r="C52" s="100"/>
      <c r="D52" s="98"/>
      <c r="E52" s="99"/>
      <c r="F52" s="99"/>
      <c r="G52" s="99"/>
    </row>
    <row r="53" spans="1:7" ht="18.75" customHeight="1">
      <c r="A53" s="95"/>
      <c r="B53" s="96"/>
      <c r="C53" s="100"/>
      <c r="D53" s="98"/>
      <c r="E53" s="99"/>
      <c r="F53" s="99"/>
      <c r="G53" s="99"/>
    </row>
    <row r="54" spans="1:7" ht="18.75" customHeight="1">
      <c r="A54" s="95"/>
      <c r="B54" s="96"/>
      <c r="C54" s="100"/>
      <c r="D54" s="98"/>
      <c r="E54" s="99"/>
      <c r="F54" s="99"/>
      <c r="G54" s="99"/>
    </row>
    <row r="55" spans="1:7" ht="18.75" customHeight="1">
      <c r="A55" s="95"/>
      <c r="B55" s="95"/>
      <c r="C55" s="100"/>
      <c r="D55" s="98"/>
      <c r="E55" s="99"/>
      <c r="F55" s="99"/>
      <c r="G55" s="99"/>
    </row>
    <row r="56" spans="1:7" ht="18.75" customHeight="1">
      <c r="A56" s="95"/>
      <c r="B56" s="95"/>
      <c r="C56" s="100"/>
      <c r="D56" s="98"/>
      <c r="E56" s="99"/>
      <c r="F56" s="99"/>
      <c r="G56" s="99"/>
    </row>
    <row r="57" spans="1:7" ht="18.75" customHeight="1">
      <c r="A57" s="95"/>
      <c r="B57" s="95"/>
      <c r="C57" s="100"/>
      <c r="D57" s="98"/>
      <c r="E57" s="99"/>
      <c r="F57" s="99"/>
      <c r="G57" s="99"/>
    </row>
    <row r="58" spans="1:7" ht="18.75" customHeight="1">
      <c r="A58" s="95"/>
      <c r="B58" s="95"/>
      <c r="C58" s="100"/>
      <c r="D58" s="98"/>
      <c r="E58" s="99"/>
      <c r="F58" s="99"/>
      <c r="G58" s="99"/>
    </row>
    <row r="59" spans="1:7" ht="18.75" customHeight="1">
      <c r="A59" s="95"/>
      <c r="B59" s="95"/>
      <c r="C59" s="100"/>
      <c r="D59" s="98"/>
      <c r="E59" s="99"/>
      <c r="F59" s="99"/>
      <c r="G59" s="99"/>
    </row>
    <row r="60" spans="1:7" ht="18.75" customHeight="1">
      <c r="A60" s="95"/>
      <c r="B60" s="95"/>
      <c r="C60" s="100"/>
      <c r="D60" s="98"/>
      <c r="E60" s="99"/>
      <c r="F60" s="99"/>
      <c r="G60" s="99"/>
    </row>
    <row r="61" spans="1:7" ht="18.75" customHeight="1">
      <c r="A61" s="95"/>
      <c r="B61" s="95"/>
      <c r="C61" s="100"/>
      <c r="D61" s="98"/>
      <c r="E61" s="99"/>
      <c r="F61" s="99"/>
      <c r="G61" s="99"/>
    </row>
    <row r="62" spans="1:7" ht="18.75" customHeight="1">
      <c r="A62" s="95"/>
      <c r="B62" s="95"/>
      <c r="C62" s="100"/>
      <c r="D62" s="98"/>
      <c r="E62" s="99"/>
      <c r="F62" s="99"/>
      <c r="G62" s="99"/>
    </row>
    <row r="63" spans="1:7" ht="18.75" customHeight="1">
      <c r="A63" s="95"/>
      <c r="B63" s="95"/>
      <c r="C63" s="100"/>
      <c r="D63" s="98"/>
      <c r="E63" s="99"/>
      <c r="F63" s="99"/>
      <c r="G63" s="99"/>
    </row>
    <row r="64" spans="1:7" ht="18.75" customHeight="1">
      <c r="A64" s="95"/>
      <c r="B64" s="95"/>
      <c r="C64" s="100"/>
      <c r="D64" s="98"/>
      <c r="E64" s="99"/>
      <c r="F64" s="99"/>
      <c r="G64" s="99"/>
    </row>
    <row r="65" spans="1:7" ht="18.75" customHeight="1">
      <c r="A65" s="95"/>
      <c r="B65" s="95"/>
      <c r="C65" s="100"/>
      <c r="D65" s="98"/>
      <c r="E65" s="99"/>
      <c r="F65" s="99"/>
      <c r="G65" s="99"/>
    </row>
    <row r="66" spans="1:7" ht="18.75" customHeight="1">
      <c r="A66" s="95"/>
      <c r="B66" s="95"/>
      <c r="C66" s="100"/>
      <c r="D66" s="98"/>
      <c r="E66" s="99"/>
      <c r="F66" s="99"/>
      <c r="G66" s="99"/>
    </row>
    <row r="67" spans="1:7" ht="18.75" customHeight="1">
      <c r="A67" s="95"/>
      <c r="B67" s="95"/>
      <c r="C67" s="100"/>
      <c r="D67" s="98"/>
      <c r="E67" s="99"/>
      <c r="F67" s="99"/>
      <c r="G67" s="99"/>
    </row>
    <row r="68" spans="1:7" ht="18.75" customHeight="1">
      <c r="A68" s="95"/>
      <c r="B68" s="95"/>
      <c r="C68" s="100"/>
      <c r="D68" s="98"/>
      <c r="E68" s="99"/>
      <c r="F68" s="99"/>
      <c r="G68" s="99"/>
    </row>
    <row r="69" spans="1:7" ht="18.75" customHeight="1">
      <c r="A69" s="96"/>
      <c r="B69" s="96"/>
      <c r="C69" s="96"/>
      <c r="D69" s="98"/>
      <c r="E69" s="99"/>
      <c r="F69" s="99"/>
      <c r="G69" s="99"/>
    </row>
    <row r="70" spans="1:7" ht="18.75" customHeight="1">
      <c r="A70" s="96"/>
      <c r="B70" s="96"/>
      <c r="C70" s="96"/>
      <c r="D70" s="98"/>
      <c r="E70" s="99"/>
      <c r="F70" s="99"/>
      <c r="G70" s="99"/>
    </row>
    <row r="71" spans="1:7" ht="18.75" customHeight="1">
      <c r="A71" s="94"/>
      <c r="B71" s="94"/>
      <c r="C71" s="94" t="s">
        <v>400</v>
      </c>
      <c r="D71" s="102">
        <f>SUM(D3:D70)</f>
        <v>220000</v>
      </c>
      <c r="E71" s="102">
        <f>SUM(E3:E70)</f>
        <v>0</v>
      </c>
      <c r="F71" s="102">
        <f t="shared" ref="F71" si="0">SUM(F3:F70)</f>
        <v>0</v>
      </c>
      <c r="G71" s="102">
        <f>SUM(G3:G70)</f>
        <v>0</v>
      </c>
    </row>
    <row r="72" spans="1:7" ht="30.75" customHeight="1">
      <c r="D72" s="103" t="s">
        <v>401</v>
      </c>
      <c r="E72" s="104">
        <f>D71-E71</f>
        <v>220000</v>
      </c>
      <c r="G72" s="104">
        <f>F71-G71</f>
        <v>0</v>
      </c>
    </row>
    <row r="73" spans="1:7">
      <c r="C73" s="93" t="s">
        <v>402</v>
      </c>
      <c r="F73" s="104"/>
    </row>
  </sheetData>
  <mergeCells count="5">
    <mergeCell ref="A1:A2"/>
    <mergeCell ref="B1:B2"/>
    <mergeCell ref="C1:C2"/>
    <mergeCell ref="D1:E1"/>
    <mergeCell ref="F1:G1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85" orientation="portrait" horizontalDpi="4294967293" verticalDpi="4294967293" r:id="rId1"/>
  <rowBreaks count="1" manualBreakCount="1">
    <brk id="33" max="6" man="1"/>
  </row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46DBCB-0FE3-4F33-8C9F-BFE856BC6B14}">
  <sheetPr codeName="Sheet81"/>
  <dimension ref="A1:H74"/>
  <sheetViews>
    <sheetView view="pageBreakPreview" zoomScale="90" zoomScaleNormal="100" zoomScaleSheetLayoutView="90" workbookViewId="0">
      <pane ySplit="2" topLeftCell="A51" activePane="bottomLeft" state="frozen"/>
      <selection sqref="A1:E1"/>
      <selection pane="bottomLeft" sqref="A1:E2"/>
    </sheetView>
  </sheetViews>
  <sheetFormatPr defaultColWidth="9" defaultRowHeight="13.5"/>
  <cols>
    <col min="1" max="1" width="12.375" style="93" customWidth="1"/>
    <col min="2" max="2" width="9.25" style="93" customWidth="1"/>
    <col min="3" max="3" width="32.75" style="93" customWidth="1"/>
    <col min="4" max="7" width="11.125" style="93" customWidth="1"/>
    <col min="8" max="8" width="13.375" style="93" customWidth="1"/>
    <col min="9" max="16384" width="9" style="93"/>
  </cols>
  <sheetData>
    <row r="1" spans="1:7" ht="18.75" customHeight="1">
      <c r="A1" s="205" t="s">
        <v>385</v>
      </c>
      <c r="B1" s="206" t="s">
        <v>386</v>
      </c>
      <c r="C1" s="205" t="s">
        <v>387</v>
      </c>
      <c r="D1" s="205" t="s">
        <v>388</v>
      </c>
      <c r="E1" s="205"/>
      <c r="F1" s="205" t="s">
        <v>389</v>
      </c>
      <c r="G1" s="205"/>
    </row>
    <row r="2" spans="1:7" ht="18.75" customHeight="1">
      <c r="A2" s="205"/>
      <c r="B2" s="207"/>
      <c r="C2" s="205"/>
      <c r="D2" s="94" t="s">
        <v>390</v>
      </c>
      <c r="E2" s="94" t="s">
        <v>391</v>
      </c>
      <c r="F2" s="94" t="s">
        <v>390</v>
      </c>
      <c r="G2" s="94" t="s">
        <v>391</v>
      </c>
    </row>
    <row r="3" spans="1:7" ht="18.75" customHeight="1">
      <c r="A3" s="95">
        <v>42860</v>
      </c>
      <c r="B3" s="96"/>
      <c r="C3" s="100" t="s">
        <v>608</v>
      </c>
      <c r="D3" s="98"/>
      <c r="F3" s="99">
        <v>21880</v>
      </c>
      <c r="G3" s="99">
        <v>21880</v>
      </c>
    </row>
    <row r="4" spans="1:7" ht="18.75" customHeight="1">
      <c r="A4" s="95">
        <v>42868</v>
      </c>
      <c r="B4" s="96" t="s">
        <v>609</v>
      </c>
      <c r="C4" s="100" t="s">
        <v>610</v>
      </c>
      <c r="D4" s="99">
        <v>15000</v>
      </c>
      <c r="E4" s="99"/>
      <c r="F4" s="99"/>
      <c r="G4" s="99"/>
    </row>
    <row r="5" spans="1:7" ht="18.75" customHeight="1">
      <c r="A5" s="95">
        <v>42868</v>
      </c>
      <c r="B5" s="96" t="s">
        <v>609</v>
      </c>
      <c r="C5" s="100" t="s">
        <v>611</v>
      </c>
      <c r="D5" s="99">
        <v>15000</v>
      </c>
      <c r="E5" s="99"/>
      <c r="F5" s="99"/>
      <c r="G5" s="99"/>
    </row>
    <row r="6" spans="1:7" ht="18.75" customHeight="1">
      <c r="A6" s="95">
        <v>42868</v>
      </c>
      <c r="B6" s="96" t="s">
        <v>609</v>
      </c>
      <c r="C6" s="100" t="s">
        <v>612</v>
      </c>
      <c r="D6" s="99">
        <v>15000</v>
      </c>
      <c r="E6" s="99"/>
      <c r="F6" s="99"/>
      <c r="G6" s="99"/>
    </row>
    <row r="7" spans="1:7" ht="18.75" customHeight="1">
      <c r="A7" s="95">
        <v>42868</v>
      </c>
      <c r="B7" s="96" t="s">
        <v>609</v>
      </c>
      <c r="C7" s="100" t="s">
        <v>613</v>
      </c>
      <c r="D7" s="99">
        <v>8000</v>
      </c>
      <c r="E7" s="99"/>
      <c r="F7" s="99"/>
      <c r="G7" s="99"/>
    </row>
    <row r="8" spans="1:7" ht="18.75" customHeight="1">
      <c r="A8" s="95">
        <v>42868</v>
      </c>
      <c r="B8" s="96" t="s">
        <v>609</v>
      </c>
      <c r="C8" s="100" t="s">
        <v>614</v>
      </c>
      <c r="D8" s="99">
        <v>15000</v>
      </c>
      <c r="E8" s="99"/>
      <c r="F8" s="99"/>
      <c r="G8" s="99"/>
    </row>
    <row r="9" spans="1:7" ht="18.75" customHeight="1">
      <c r="A9" s="95">
        <v>42868</v>
      </c>
      <c r="B9" s="96" t="s">
        <v>609</v>
      </c>
      <c r="C9" s="100" t="s">
        <v>615</v>
      </c>
      <c r="D9" s="99">
        <v>15000</v>
      </c>
      <c r="E9" s="99"/>
      <c r="F9" s="99"/>
      <c r="G9" s="99"/>
    </row>
    <row r="10" spans="1:7" ht="18.75" customHeight="1">
      <c r="A10" s="95">
        <v>42868</v>
      </c>
      <c r="B10" s="96" t="s">
        <v>609</v>
      </c>
      <c r="C10" s="100" t="s">
        <v>616</v>
      </c>
      <c r="D10" s="99">
        <v>15000</v>
      </c>
      <c r="E10" s="99"/>
      <c r="F10" s="99"/>
      <c r="G10" s="99"/>
    </row>
    <row r="11" spans="1:7" ht="18.75" customHeight="1">
      <c r="A11" s="95">
        <v>42868</v>
      </c>
      <c r="B11" s="96" t="s">
        <v>609</v>
      </c>
      <c r="C11" s="100" t="s">
        <v>617</v>
      </c>
      <c r="D11" s="99">
        <v>15000</v>
      </c>
      <c r="E11" s="99"/>
      <c r="F11" s="99"/>
      <c r="G11" s="99"/>
    </row>
    <row r="12" spans="1:7" ht="18.75" customHeight="1">
      <c r="A12" s="95">
        <v>42868</v>
      </c>
      <c r="B12" s="96" t="s">
        <v>609</v>
      </c>
      <c r="C12" s="100" t="s">
        <v>618</v>
      </c>
      <c r="D12" s="99">
        <v>15000</v>
      </c>
      <c r="E12" s="99"/>
      <c r="F12" s="99"/>
      <c r="G12" s="99"/>
    </row>
    <row r="13" spans="1:7" ht="18.75" customHeight="1">
      <c r="A13" s="95">
        <v>42947</v>
      </c>
      <c r="B13" s="96"/>
      <c r="C13" s="100" t="s">
        <v>618</v>
      </c>
      <c r="D13" s="99">
        <v>-10000</v>
      </c>
      <c r="E13" s="99"/>
      <c r="F13" s="99"/>
      <c r="G13" s="99"/>
    </row>
    <row r="14" spans="1:7" ht="18.75" customHeight="1">
      <c r="A14" s="95">
        <v>42868</v>
      </c>
      <c r="B14" s="96" t="s">
        <v>609</v>
      </c>
      <c r="C14" s="100" t="s">
        <v>619</v>
      </c>
      <c r="D14" s="99">
        <v>15000</v>
      </c>
      <c r="E14" s="99"/>
      <c r="F14" s="99"/>
      <c r="G14" s="99"/>
    </row>
    <row r="15" spans="1:7" ht="18.75" customHeight="1">
      <c r="A15" s="95">
        <v>42868</v>
      </c>
      <c r="B15" s="96" t="s">
        <v>609</v>
      </c>
      <c r="C15" s="100" t="s">
        <v>351</v>
      </c>
      <c r="D15" s="99">
        <v>8000</v>
      </c>
      <c r="E15" s="99"/>
      <c r="F15" s="99"/>
      <c r="G15" s="99"/>
    </row>
    <row r="16" spans="1:7" ht="18.75" customHeight="1">
      <c r="A16" s="95">
        <v>42868</v>
      </c>
      <c r="B16" s="96" t="s">
        <v>609</v>
      </c>
      <c r="C16" s="100" t="s">
        <v>620</v>
      </c>
      <c r="D16" s="99">
        <v>8000</v>
      </c>
      <c r="E16" s="99"/>
      <c r="F16" s="99"/>
      <c r="G16" s="99"/>
    </row>
    <row r="17" spans="1:7" ht="18.75" customHeight="1">
      <c r="A17" s="95">
        <v>42868</v>
      </c>
      <c r="B17" s="96" t="s">
        <v>609</v>
      </c>
      <c r="C17" s="100" t="s">
        <v>360</v>
      </c>
      <c r="D17" s="99">
        <v>8000</v>
      </c>
      <c r="E17" s="99"/>
      <c r="F17" s="99"/>
      <c r="G17" s="99"/>
    </row>
    <row r="18" spans="1:7" ht="18.75" customHeight="1">
      <c r="A18" s="95">
        <v>42868</v>
      </c>
      <c r="B18" s="96" t="s">
        <v>609</v>
      </c>
      <c r="C18" s="100" t="s">
        <v>365</v>
      </c>
      <c r="D18" s="99">
        <v>8000</v>
      </c>
      <c r="E18" s="99"/>
      <c r="F18" s="99"/>
      <c r="G18" s="99"/>
    </row>
    <row r="19" spans="1:7" ht="18.75" customHeight="1">
      <c r="A19" s="95">
        <v>42868</v>
      </c>
      <c r="B19" s="96" t="s">
        <v>609</v>
      </c>
      <c r="C19" s="100" t="s">
        <v>621</v>
      </c>
      <c r="D19" s="99">
        <v>8000</v>
      </c>
      <c r="E19" s="99"/>
      <c r="F19" s="99"/>
      <c r="G19" s="99"/>
    </row>
    <row r="20" spans="1:7" ht="18.75" customHeight="1">
      <c r="A20" s="96"/>
      <c r="B20" s="96" t="s">
        <v>622</v>
      </c>
      <c r="C20" s="100" t="s">
        <v>623</v>
      </c>
      <c r="D20" s="98"/>
      <c r="E20" s="99">
        <v>4104</v>
      </c>
      <c r="F20" s="99"/>
      <c r="G20" s="99"/>
    </row>
    <row r="21" spans="1:7" ht="18.75" customHeight="1">
      <c r="A21" s="96"/>
      <c r="B21" s="96" t="s">
        <v>622</v>
      </c>
      <c r="C21" s="100" t="s">
        <v>623</v>
      </c>
      <c r="D21" s="98"/>
      <c r="E21" s="99">
        <v>4104</v>
      </c>
      <c r="F21" s="99"/>
      <c r="G21" s="99"/>
    </row>
    <row r="22" spans="1:7" ht="18.75" customHeight="1">
      <c r="A22" s="96"/>
      <c r="B22" s="96" t="s">
        <v>622</v>
      </c>
      <c r="C22" s="100" t="s">
        <v>624</v>
      </c>
      <c r="D22" s="98"/>
      <c r="E22" s="99">
        <v>4298.4000000000005</v>
      </c>
      <c r="F22" s="99"/>
      <c r="G22" s="99"/>
    </row>
    <row r="23" spans="1:7" ht="18.75" customHeight="1">
      <c r="A23" s="96"/>
      <c r="B23" s="96" t="s">
        <v>622</v>
      </c>
      <c r="C23" s="100" t="s">
        <v>625</v>
      </c>
      <c r="D23" s="98"/>
      <c r="E23" s="99">
        <v>3888.0000000000005</v>
      </c>
      <c r="F23" s="99"/>
      <c r="G23" s="99"/>
    </row>
    <row r="24" spans="1:7" ht="18.75" customHeight="1">
      <c r="A24" s="96"/>
      <c r="B24" s="96" t="s">
        <v>622</v>
      </c>
      <c r="C24" s="100" t="s">
        <v>626</v>
      </c>
      <c r="D24" s="98"/>
      <c r="E24" s="99">
        <v>3672.0000000000005</v>
      </c>
      <c r="F24" s="99"/>
      <c r="G24" s="99"/>
    </row>
    <row r="25" spans="1:7" ht="18.75" customHeight="1">
      <c r="A25" s="96"/>
      <c r="B25" s="96" t="s">
        <v>622</v>
      </c>
      <c r="C25" s="100" t="s">
        <v>627</v>
      </c>
      <c r="D25" s="98"/>
      <c r="E25" s="99">
        <v>3240</v>
      </c>
      <c r="F25" s="99"/>
      <c r="G25" s="99"/>
    </row>
    <row r="26" spans="1:7" ht="18.75" customHeight="1">
      <c r="A26" s="95">
        <v>42871</v>
      </c>
      <c r="B26" s="96"/>
      <c r="C26" s="100" t="s">
        <v>628</v>
      </c>
      <c r="D26" s="98"/>
      <c r="E26" s="96"/>
      <c r="F26" s="99">
        <v>7110</v>
      </c>
      <c r="G26" s="99">
        <v>7110</v>
      </c>
    </row>
    <row r="27" spans="1:7" ht="18.75" customHeight="1">
      <c r="A27" s="95">
        <v>42871</v>
      </c>
      <c r="B27" s="96"/>
      <c r="C27" s="100" t="s">
        <v>629</v>
      </c>
      <c r="D27" s="98"/>
      <c r="E27" s="96"/>
      <c r="F27" s="99">
        <v>598</v>
      </c>
      <c r="G27" s="99">
        <v>598</v>
      </c>
    </row>
    <row r="28" spans="1:7" ht="18.75" customHeight="1">
      <c r="A28" s="95">
        <v>42875</v>
      </c>
      <c r="B28" s="96"/>
      <c r="C28" s="100" t="s">
        <v>630</v>
      </c>
      <c r="D28" s="98"/>
      <c r="E28" s="99">
        <v>1560</v>
      </c>
      <c r="F28" s="99"/>
      <c r="G28" s="99"/>
    </row>
    <row r="29" spans="1:7" ht="18.75" customHeight="1">
      <c r="A29" s="95">
        <v>42882</v>
      </c>
      <c r="B29" s="96"/>
      <c r="C29" s="100" t="s">
        <v>630</v>
      </c>
      <c r="D29" s="98"/>
      <c r="E29" s="99">
        <v>1560</v>
      </c>
      <c r="F29" s="99"/>
      <c r="G29" s="99"/>
    </row>
    <row r="30" spans="1:7" ht="18.75" customHeight="1">
      <c r="A30" s="95">
        <v>42889</v>
      </c>
      <c r="B30" s="95" t="s">
        <v>631</v>
      </c>
      <c r="C30" s="100" t="s">
        <v>632</v>
      </c>
      <c r="D30" s="98"/>
      <c r="E30" s="99">
        <v>120000</v>
      </c>
      <c r="F30" s="99"/>
      <c r="G30" s="99"/>
    </row>
    <row r="31" spans="1:7" ht="18.75" customHeight="1">
      <c r="A31" s="95">
        <v>42889</v>
      </c>
      <c r="B31" s="96"/>
      <c r="C31" s="100" t="s">
        <v>630</v>
      </c>
      <c r="D31" s="98"/>
      <c r="E31" s="99">
        <v>1460</v>
      </c>
      <c r="F31" s="99"/>
      <c r="G31" s="99"/>
    </row>
    <row r="32" spans="1:7" ht="18.75" customHeight="1">
      <c r="A32" s="95">
        <v>42883</v>
      </c>
      <c r="B32" s="96"/>
      <c r="C32" s="100" t="s">
        <v>633</v>
      </c>
      <c r="D32" s="98"/>
      <c r="E32" s="99">
        <v>1296</v>
      </c>
      <c r="F32" s="99"/>
      <c r="G32" s="99"/>
    </row>
    <row r="33" spans="1:8" ht="18.75" customHeight="1">
      <c r="A33" s="95">
        <v>42869</v>
      </c>
      <c r="B33" s="96"/>
      <c r="C33" s="100" t="s">
        <v>634</v>
      </c>
      <c r="D33" s="98"/>
      <c r="E33" s="99">
        <v>979</v>
      </c>
      <c r="F33" s="99"/>
      <c r="G33" s="99"/>
    </row>
    <row r="34" spans="1:8" ht="18.75" customHeight="1">
      <c r="A34" s="95">
        <v>42882</v>
      </c>
      <c r="B34" s="96"/>
      <c r="C34" s="100" t="s">
        <v>634</v>
      </c>
      <c r="D34" s="98"/>
      <c r="E34" s="99">
        <v>979</v>
      </c>
      <c r="F34" s="99"/>
      <c r="G34" s="99"/>
      <c r="H34" s="101">
        <f>SUM(D3:D34)-SUM(E3:E34)</f>
        <v>21859.600000000006</v>
      </c>
    </row>
    <row r="35" spans="1:8" ht="18.75" customHeight="1">
      <c r="A35" s="95">
        <v>42910</v>
      </c>
      <c r="B35" s="96" t="s">
        <v>609</v>
      </c>
      <c r="C35" s="100" t="s">
        <v>635</v>
      </c>
      <c r="D35" s="98">
        <v>18000</v>
      </c>
      <c r="E35" s="99"/>
      <c r="F35" s="99"/>
      <c r="G35" s="99"/>
    </row>
    <row r="36" spans="1:8" ht="18.75" customHeight="1">
      <c r="A36" s="95">
        <v>42910</v>
      </c>
      <c r="B36" s="96" t="s">
        <v>609</v>
      </c>
      <c r="C36" s="100" t="s">
        <v>636</v>
      </c>
      <c r="D36" s="98">
        <v>18000</v>
      </c>
      <c r="E36" s="99"/>
      <c r="F36" s="99"/>
      <c r="G36" s="99"/>
    </row>
    <row r="37" spans="1:8" ht="18.75" customHeight="1">
      <c r="A37" s="95">
        <v>42910</v>
      </c>
      <c r="B37" s="96" t="s">
        <v>609</v>
      </c>
      <c r="C37" s="100" t="s">
        <v>637</v>
      </c>
      <c r="D37" s="98">
        <v>18000</v>
      </c>
      <c r="E37" s="99"/>
      <c r="F37" s="99"/>
      <c r="G37" s="99"/>
    </row>
    <row r="38" spans="1:8" ht="18.75" customHeight="1">
      <c r="A38" s="95">
        <v>42910</v>
      </c>
      <c r="B38" s="96" t="s">
        <v>609</v>
      </c>
      <c r="C38" s="100" t="s">
        <v>638</v>
      </c>
      <c r="D38" s="98">
        <v>18000</v>
      </c>
      <c r="E38" s="99"/>
      <c r="F38" s="99"/>
      <c r="G38" s="99"/>
    </row>
    <row r="39" spans="1:8" ht="18.75" customHeight="1">
      <c r="A39" s="95">
        <v>42910</v>
      </c>
      <c r="B39" s="96" t="s">
        <v>609</v>
      </c>
      <c r="C39" s="100" t="s">
        <v>639</v>
      </c>
      <c r="D39" s="98">
        <v>18000</v>
      </c>
      <c r="E39" s="99"/>
      <c r="F39" s="99"/>
      <c r="G39" s="99"/>
    </row>
    <row r="40" spans="1:8" ht="18.75" customHeight="1">
      <c r="A40" s="95">
        <v>42910</v>
      </c>
      <c r="B40" s="96" t="s">
        <v>609</v>
      </c>
      <c r="C40" s="100" t="s">
        <v>640</v>
      </c>
      <c r="D40" s="98">
        <v>18000</v>
      </c>
      <c r="E40" s="99"/>
      <c r="F40" s="99"/>
      <c r="G40" s="99"/>
    </row>
    <row r="41" spans="1:8" ht="18.75" customHeight="1">
      <c r="A41" s="95">
        <v>42910</v>
      </c>
      <c r="B41" s="96" t="s">
        <v>609</v>
      </c>
      <c r="C41" s="100" t="s">
        <v>641</v>
      </c>
      <c r="D41" s="98">
        <v>18000</v>
      </c>
      <c r="E41" s="99"/>
      <c r="F41" s="99"/>
      <c r="G41" s="99"/>
    </row>
    <row r="42" spans="1:8" ht="18.75" customHeight="1">
      <c r="A42" s="95">
        <v>42910</v>
      </c>
      <c r="B42" s="96" t="s">
        <v>609</v>
      </c>
      <c r="C42" s="100" t="s">
        <v>642</v>
      </c>
      <c r="D42" s="98">
        <v>18000</v>
      </c>
      <c r="E42" s="99"/>
      <c r="F42" s="99"/>
      <c r="G42" s="99"/>
    </row>
    <row r="43" spans="1:8" ht="18.75" customHeight="1">
      <c r="A43" s="95">
        <v>42910</v>
      </c>
      <c r="B43" s="96" t="s">
        <v>609</v>
      </c>
      <c r="C43" s="100" t="s">
        <v>643</v>
      </c>
      <c r="D43" s="98">
        <v>15000</v>
      </c>
      <c r="E43" s="99"/>
      <c r="F43" s="99"/>
      <c r="G43" s="99"/>
    </row>
    <row r="44" spans="1:8" ht="18.75" customHeight="1">
      <c r="A44" s="95">
        <v>42910</v>
      </c>
      <c r="B44" s="96" t="s">
        <v>609</v>
      </c>
      <c r="C44" s="100" t="s">
        <v>644</v>
      </c>
      <c r="D44" s="98">
        <v>18000</v>
      </c>
      <c r="E44" s="99"/>
      <c r="F44" s="99"/>
      <c r="G44" s="99"/>
    </row>
    <row r="45" spans="1:8" ht="18.75" customHeight="1">
      <c r="A45" s="95">
        <v>42910</v>
      </c>
      <c r="B45" s="96" t="s">
        <v>609</v>
      </c>
      <c r="C45" s="100" t="s">
        <v>645</v>
      </c>
      <c r="D45" s="98">
        <v>18000</v>
      </c>
      <c r="E45" s="99"/>
      <c r="F45" s="99"/>
      <c r="G45" s="99"/>
    </row>
    <row r="46" spans="1:8" ht="18.75" customHeight="1">
      <c r="A46" s="95">
        <v>42910</v>
      </c>
      <c r="B46" s="96" t="s">
        <v>609</v>
      </c>
      <c r="C46" s="100" t="s">
        <v>646</v>
      </c>
      <c r="D46" s="98">
        <v>18000</v>
      </c>
      <c r="E46" s="99"/>
      <c r="F46" s="99"/>
      <c r="G46" s="99"/>
    </row>
    <row r="47" spans="1:8" ht="18.75" customHeight="1">
      <c r="A47" s="95">
        <v>42931</v>
      </c>
      <c r="B47" s="96" t="s">
        <v>609</v>
      </c>
      <c r="C47" s="100" t="s">
        <v>646</v>
      </c>
      <c r="D47" s="98">
        <v>-10000</v>
      </c>
      <c r="E47" s="99"/>
      <c r="F47" s="99"/>
      <c r="G47" s="99"/>
    </row>
    <row r="48" spans="1:8" ht="18.75" customHeight="1">
      <c r="A48" s="95">
        <v>42910</v>
      </c>
      <c r="B48" s="96" t="s">
        <v>609</v>
      </c>
      <c r="C48" s="100" t="s">
        <v>647</v>
      </c>
      <c r="D48" s="98">
        <v>18000</v>
      </c>
      <c r="E48" s="99"/>
      <c r="F48" s="99"/>
      <c r="G48" s="99"/>
    </row>
    <row r="49" spans="1:7" ht="18.75" customHeight="1">
      <c r="A49" s="95">
        <v>42910</v>
      </c>
      <c r="B49" s="96" t="s">
        <v>609</v>
      </c>
      <c r="C49" s="100" t="s">
        <v>648</v>
      </c>
      <c r="D49" s="98">
        <v>10000</v>
      </c>
      <c r="E49" s="99"/>
      <c r="F49" s="99"/>
      <c r="G49" s="99"/>
    </row>
    <row r="50" spans="1:7" ht="18.75" customHeight="1">
      <c r="A50" s="95">
        <v>42910</v>
      </c>
      <c r="B50" s="96" t="s">
        <v>609</v>
      </c>
      <c r="C50" s="100" t="s">
        <v>365</v>
      </c>
      <c r="D50" s="98">
        <v>10000</v>
      </c>
      <c r="E50" s="99"/>
      <c r="F50" s="99"/>
      <c r="G50" s="99"/>
    </row>
    <row r="51" spans="1:7" ht="18.75" customHeight="1">
      <c r="A51" s="95">
        <v>42910</v>
      </c>
      <c r="B51" s="96" t="s">
        <v>609</v>
      </c>
      <c r="C51" s="100" t="s">
        <v>649</v>
      </c>
      <c r="D51" s="98">
        <v>10000</v>
      </c>
      <c r="E51" s="99"/>
      <c r="F51" s="99"/>
      <c r="G51" s="99"/>
    </row>
    <row r="52" spans="1:7" ht="18.75" customHeight="1">
      <c r="A52" s="95">
        <v>42910</v>
      </c>
      <c r="B52" s="96" t="s">
        <v>609</v>
      </c>
      <c r="C52" s="100" t="s">
        <v>650</v>
      </c>
      <c r="D52" s="98">
        <v>10000</v>
      </c>
      <c r="E52" s="99"/>
      <c r="F52" s="99"/>
      <c r="G52" s="99"/>
    </row>
    <row r="53" spans="1:7" ht="18.75" customHeight="1">
      <c r="A53" s="95">
        <v>42910</v>
      </c>
      <c r="B53" s="96" t="s">
        <v>609</v>
      </c>
      <c r="C53" s="100" t="s">
        <v>651</v>
      </c>
      <c r="D53" s="98">
        <v>10000</v>
      </c>
      <c r="E53" s="99"/>
      <c r="F53" s="99"/>
      <c r="G53" s="99"/>
    </row>
    <row r="54" spans="1:7" ht="18.75" customHeight="1">
      <c r="A54" s="95">
        <v>42910</v>
      </c>
      <c r="B54" s="96" t="s">
        <v>609</v>
      </c>
      <c r="C54" s="100" t="s">
        <v>652</v>
      </c>
      <c r="D54" s="98">
        <v>10000</v>
      </c>
      <c r="E54" s="99"/>
      <c r="F54" s="99"/>
      <c r="G54" s="99"/>
    </row>
    <row r="55" spans="1:7" ht="18.75" customHeight="1">
      <c r="A55" s="95">
        <v>42919</v>
      </c>
      <c r="B55" s="96"/>
      <c r="C55" s="100" t="s">
        <v>653</v>
      </c>
      <c r="D55" s="98"/>
      <c r="E55" s="99">
        <v>302</v>
      </c>
      <c r="F55" s="99"/>
      <c r="G55" s="99"/>
    </row>
    <row r="56" spans="1:7" ht="18.75" customHeight="1">
      <c r="A56" s="95">
        <v>42945</v>
      </c>
      <c r="B56" s="95" t="s">
        <v>631</v>
      </c>
      <c r="C56" s="100" t="s">
        <v>632</v>
      </c>
      <c r="D56" s="98"/>
      <c r="E56" s="99">
        <v>210000</v>
      </c>
      <c r="F56" s="99"/>
      <c r="G56" s="99"/>
    </row>
    <row r="57" spans="1:7" ht="18.75" customHeight="1">
      <c r="A57" s="95"/>
      <c r="B57" s="95"/>
      <c r="C57" s="100"/>
      <c r="D57" s="98"/>
      <c r="E57" s="99"/>
      <c r="F57" s="99"/>
      <c r="G57" s="99"/>
    </row>
    <row r="58" spans="1:7" ht="18.75" customHeight="1">
      <c r="A58" s="95"/>
      <c r="B58" s="95"/>
      <c r="C58" s="100"/>
      <c r="D58" s="98"/>
      <c r="E58" s="99"/>
      <c r="F58" s="99"/>
      <c r="G58" s="99"/>
    </row>
    <row r="59" spans="1:7" ht="18.75" customHeight="1">
      <c r="A59" s="95"/>
      <c r="B59" s="95"/>
      <c r="C59" s="100"/>
      <c r="D59" s="98"/>
      <c r="E59" s="99"/>
      <c r="F59" s="99"/>
      <c r="G59" s="99"/>
    </row>
    <row r="60" spans="1:7" ht="18.75" customHeight="1">
      <c r="A60" s="95"/>
      <c r="B60" s="95"/>
      <c r="C60" s="100"/>
      <c r="D60" s="98"/>
      <c r="E60" s="99"/>
      <c r="F60" s="99"/>
      <c r="G60" s="99"/>
    </row>
    <row r="61" spans="1:7" ht="18.75" customHeight="1">
      <c r="A61" s="95"/>
      <c r="B61" s="95"/>
      <c r="C61" s="100"/>
      <c r="D61" s="98"/>
      <c r="E61" s="99"/>
      <c r="F61" s="99"/>
      <c r="G61" s="99"/>
    </row>
    <row r="62" spans="1:7" ht="18.75" customHeight="1">
      <c r="A62" s="95"/>
      <c r="B62" s="95"/>
      <c r="C62" s="100"/>
      <c r="D62" s="98"/>
      <c r="E62" s="99"/>
      <c r="F62" s="99"/>
      <c r="G62" s="99"/>
    </row>
    <row r="63" spans="1:7" ht="18.75" customHeight="1">
      <c r="A63" s="95"/>
      <c r="B63" s="95"/>
      <c r="C63" s="100"/>
      <c r="D63" s="98"/>
      <c r="E63" s="99"/>
      <c r="F63" s="99"/>
      <c r="G63" s="99"/>
    </row>
    <row r="64" spans="1:7" ht="18.75" customHeight="1">
      <c r="A64" s="95"/>
      <c r="B64" s="95"/>
      <c r="C64" s="100"/>
      <c r="D64" s="98"/>
      <c r="E64" s="99"/>
      <c r="F64" s="99"/>
      <c r="G64" s="99"/>
    </row>
    <row r="65" spans="1:7" ht="18.75" customHeight="1">
      <c r="A65" s="95"/>
      <c r="B65" s="95"/>
      <c r="C65" s="100"/>
      <c r="D65" s="98"/>
      <c r="E65" s="99"/>
      <c r="F65" s="99"/>
      <c r="G65" s="99"/>
    </row>
    <row r="66" spans="1:7" ht="18.75" customHeight="1">
      <c r="A66" s="95"/>
      <c r="B66" s="95"/>
      <c r="C66" s="100"/>
      <c r="D66" s="98"/>
      <c r="E66" s="99"/>
      <c r="F66" s="99"/>
      <c r="G66" s="99"/>
    </row>
    <row r="67" spans="1:7" ht="18.75" customHeight="1">
      <c r="A67" s="95"/>
      <c r="B67" s="95"/>
      <c r="C67" s="100"/>
      <c r="D67" s="98"/>
      <c r="E67" s="99"/>
      <c r="F67" s="99"/>
      <c r="G67" s="99"/>
    </row>
    <row r="68" spans="1:7" ht="18.75" customHeight="1">
      <c r="A68" s="95"/>
      <c r="B68" s="95"/>
      <c r="C68" s="100"/>
      <c r="D68" s="98"/>
      <c r="E68" s="99"/>
      <c r="F68" s="99"/>
      <c r="G68" s="99"/>
    </row>
    <row r="69" spans="1:7" ht="18.75" customHeight="1">
      <c r="A69" s="95"/>
      <c r="B69" s="95"/>
      <c r="C69" s="100"/>
      <c r="D69" s="98"/>
      <c r="E69" s="99"/>
      <c r="F69" s="99"/>
      <c r="G69" s="99"/>
    </row>
    <row r="70" spans="1:7" ht="18.75" customHeight="1">
      <c r="A70" s="96"/>
      <c r="B70" s="96"/>
      <c r="C70" s="96"/>
      <c r="D70" s="98"/>
      <c r="E70" s="99"/>
      <c r="F70" s="99"/>
      <c r="G70" s="99"/>
    </row>
    <row r="71" spans="1:7" ht="18.75" customHeight="1">
      <c r="A71" s="96"/>
      <c r="B71" s="96"/>
      <c r="C71" s="96"/>
      <c r="D71" s="98"/>
      <c r="E71" s="99"/>
      <c r="F71" s="99"/>
      <c r="G71" s="99"/>
    </row>
    <row r="72" spans="1:7" ht="18.75" customHeight="1">
      <c r="A72" s="94"/>
      <c r="B72" s="94"/>
      <c r="C72" s="94" t="s">
        <v>400</v>
      </c>
      <c r="D72" s="102">
        <f>SUM(D3:D71)</f>
        <v>454000</v>
      </c>
      <c r="E72" s="102">
        <f>SUM(E3:E71)</f>
        <v>361442.4</v>
      </c>
      <c r="F72" s="102">
        <f t="shared" ref="F72" si="0">SUM(F3:F71)</f>
        <v>29588</v>
      </c>
      <c r="G72" s="102">
        <f>SUM(G3:G71)</f>
        <v>29588</v>
      </c>
    </row>
    <row r="73" spans="1:7" ht="30.75" customHeight="1">
      <c r="D73" s="103" t="s">
        <v>401</v>
      </c>
      <c r="E73" s="104">
        <f>D72-E72</f>
        <v>92557.599999999977</v>
      </c>
      <c r="G73" s="104">
        <f>F72-G72</f>
        <v>0</v>
      </c>
    </row>
    <row r="74" spans="1:7">
      <c r="C74" s="93" t="s">
        <v>402</v>
      </c>
      <c r="F74" s="104"/>
    </row>
  </sheetData>
  <mergeCells count="5">
    <mergeCell ref="A1:A2"/>
    <mergeCell ref="B1:B2"/>
    <mergeCell ref="C1:C2"/>
    <mergeCell ref="D1:E1"/>
    <mergeCell ref="F1:G1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85" orientation="portrait" horizontalDpi="4294967293" verticalDpi="4294967293" r:id="rId1"/>
  <rowBreaks count="1" manualBreakCount="1">
    <brk id="34" max="6" man="1"/>
  </rowBreak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59AFED-66B7-4DDA-AD97-2CAEA0343258}">
  <sheetPr codeName="Sheet71"/>
  <dimension ref="A1:E21"/>
  <sheetViews>
    <sheetView view="pageBreakPreview" zoomScaleNormal="100" zoomScaleSheetLayoutView="100" workbookViewId="0">
      <selection sqref="A1:E1"/>
    </sheetView>
  </sheetViews>
  <sheetFormatPr defaultColWidth="9" defaultRowHeight="24"/>
  <cols>
    <col min="1" max="1" width="5.375" style="117" customWidth="1"/>
    <col min="2" max="2" width="14.125" style="115" customWidth="1"/>
    <col min="3" max="3" width="19" style="115" customWidth="1"/>
    <col min="4" max="5" width="21" style="115" customWidth="1"/>
    <col min="6" max="16384" width="9" style="115"/>
  </cols>
  <sheetData>
    <row r="1" spans="1:5" ht="52.5" customHeight="1">
      <c r="A1" s="208" t="s">
        <v>448</v>
      </c>
      <c r="B1" s="209"/>
      <c r="C1" s="209"/>
      <c r="D1" s="209"/>
      <c r="E1" s="209"/>
    </row>
    <row r="2" spans="1:5" s="117" customFormat="1" ht="36" customHeight="1">
      <c r="A2" s="116"/>
      <c r="B2" s="116" t="s">
        <v>449</v>
      </c>
      <c r="C2" s="116" t="s">
        <v>443</v>
      </c>
      <c r="D2" s="116" t="s">
        <v>450</v>
      </c>
      <c r="E2" s="116" t="s">
        <v>451</v>
      </c>
    </row>
    <row r="3" spans="1:5" ht="36" customHeight="1">
      <c r="A3" s="118">
        <v>1</v>
      </c>
      <c r="B3" s="119"/>
      <c r="C3" s="120"/>
      <c r="D3" s="121"/>
      <c r="E3" s="121"/>
    </row>
    <row r="4" spans="1:5" ht="36" customHeight="1">
      <c r="A4" s="118">
        <v>2</v>
      </c>
      <c r="B4" s="119"/>
      <c r="C4" s="120"/>
      <c r="D4" s="121"/>
      <c r="E4" s="121"/>
    </row>
    <row r="5" spans="1:5" ht="36" customHeight="1">
      <c r="A5" s="118">
        <v>3</v>
      </c>
      <c r="B5" s="119"/>
      <c r="C5" s="120"/>
      <c r="D5" s="121"/>
      <c r="E5" s="121"/>
    </row>
    <row r="6" spans="1:5" ht="36" customHeight="1">
      <c r="A6" s="118">
        <v>4</v>
      </c>
      <c r="B6" s="119"/>
      <c r="C6" s="120"/>
      <c r="D6" s="121"/>
      <c r="E6" s="121"/>
    </row>
    <row r="7" spans="1:5" ht="36" customHeight="1">
      <c r="A7" s="118">
        <v>5</v>
      </c>
      <c r="B7" s="119"/>
      <c r="C7" s="120"/>
      <c r="D7" s="121"/>
      <c r="E7" s="121"/>
    </row>
    <row r="8" spans="1:5" ht="36" customHeight="1">
      <c r="A8" s="118">
        <v>6</v>
      </c>
      <c r="B8" s="119"/>
      <c r="C8" s="120"/>
      <c r="D8" s="121"/>
      <c r="E8" s="121"/>
    </row>
    <row r="9" spans="1:5" ht="36" customHeight="1">
      <c r="A9" s="118">
        <v>7</v>
      </c>
      <c r="B9" s="119"/>
      <c r="C9" s="120"/>
      <c r="D9" s="121"/>
      <c r="E9" s="121"/>
    </row>
    <row r="10" spans="1:5" ht="36" customHeight="1">
      <c r="A10" s="118">
        <v>8</v>
      </c>
      <c r="B10" s="119"/>
      <c r="C10" s="120"/>
      <c r="D10" s="121"/>
      <c r="E10" s="121"/>
    </row>
    <row r="11" spans="1:5" ht="36" customHeight="1">
      <c r="A11" s="118">
        <v>9</v>
      </c>
      <c r="B11" s="119"/>
      <c r="C11" s="120"/>
      <c r="D11" s="121"/>
      <c r="E11" s="121"/>
    </row>
    <row r="12" spans="1:5" ht="36" customHeight="1">
      <c r="A12" s="118">
        <v>10</v>
      </c>
      <c r="B12" s="122"/>
      <c r="C12" s="120"/>
      <c r="D12" s="121"/>
      <c r="E12" s="121"/>
    </row>
    <row r="13" spans="1:5" ht="36" customHeight="1">
      <c r="A13" s="118">
        <v>11</v>
      </c>
      <c r="B13" s="119"/>
      <c r="C13" s="120"/>
      <c r="D13" s="121"/>
      <c r="E13" s="121"/>
    </row>
    <row r="14" spans="1:5" ht="36" customHeight="1">
      <c r="A14" s="118">
        <v>12</v>
      </c>
      <c r="B14" s="119"/>
      <c r="C14" s="120"/>
      <c r="D14" s="121"/>
      <c r="E14" s="121"/>
    </row>
    <row r="15" spans="1:5" ht="36" customHeight="1">
      <c r="A15" s="118">
        <v>13</v>
      </c>
      <c r="B15" s="119"/>
      <c r="C15" s="120"/>
      <c r="D15" s="121"/>
      <c r="E15" s="121"/>
    </row>
    <row r="16" spans="1:5" ht="36" customHeight="1">
      <c r="A16" s="118">
        <v>14</v>
      </c>
      <c r="B16" s="119"/>
      <c r="C16" s="120"/>
      <c r="D16" s="121"/>
      <c r="E16" s="121"/>
    </row>
    <row r="17" spans="1:5" ht="36" customHeight="1">
      <c r="A17" s="118">
        <v>15</v>
      </c>
      <c r="B17" s="119"/>
      <c r="C17" s="120"/>
      <c r="D17" s="121"/>
      <c r="E17" s="121"/>
    </row>
    <row r="18" spans="1:5" ht="36" customHeight="1">
      <c r="A18" s="118">
        <v>16</v>
      </c>
      <c r="B18" s="119"/>
      <c r="C18" s="120"/>
      <c r="D18" s="121"/>
      <c r="E18" s="121"/>
    </row>
    <row r="19" spans="1:5" ht="36" customHeight="1">
      <c r="A19" s="118">
        <v>17</v>
      </c>
      <c r="B19" s="119"/>
      <c r="C19" s="120"/>
      <c r="D19" s="121"/>
      <c r="E19" s="121"/>
    </row>
    <row r="20" spans="1:5" ht="36" customHeight="1">
      <c r="A20" s="118">
        <v>18</v>
      </c>
      <c r="B20" s="119"/>
      <c r="C20" s="120"/>
      <c r="D20" s="121"/>
      <c r="E20" s="121"/>
    </row>
    <row r="21" spans="1:5">
      <c r="C21" s="123">
        <f>SUM(C3:C20)</f>
        <v>0</v>
      </c>
    </row>
  </sheetData>
  <mergeCells count="1">
    <mergeCell ref="A1:E1"/>
  </mergeCells>
  <phoneticPr fontId="1" type="noConversion"/>
  <pageMargins left="0.7" right="0.7" top="0.75" bottom="0.75" header="0.3" footer="0.3"/>
  <pageSetup paperSize="9" scale="94" orientation="portrait" verticalDpi="4294967293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4AE76-1921-40B0-BC1C-79372A1BBCDF}">
  <sheetPr codeName="Sheet72"/>
  <dimension ref="A1:E9"/>
  <sheetViews>
    <sheetView view="pageBreakPreview" zoomScaleNormal="100" zoomScaleSheetLayoutView="100" workbookViewId="0">
      <selection sqref="A1:E1"/>
    </sheetView>
  </sheetViews>
  <sheetFormatPr defaultColWidth="9" defaultRowHeight="13.5"/>
  <cols>
    <col min="1" max="1" width="8.125" style="93" customWidth="1"/>
    <col min="2" max="2" width="17.125" style="93" customWidth="1"/>
    <col min="3" max="3" width="15.875" style="93" customWidth="1"/>
    <col min="4" max="4" width="19" style="93" customWidth="1"/>
    <col min="5" max="5" width="19" style="126" customWidth="1"/>
    <col min="6" max="16384" width="9" style="126"/>
  </cols>
  <sheetData>
    <row r="1" spans="1:5" s="124" customFormat="1" ht="42">
      <c r="A1" s="210" t="s">
        <v>452</v>
      </c>
      <c r="B1" s="210"/>
      <c r="C1" s="210"/>
      <c r="D1" s="210"/>
      <c r="E1" s="210"/>
    </row>
    <row r="2" spans="1:5" s="124" customFormat="1" ht="42">
      <c r="A2" s="125"/>
      <c r="B2" s="125"/>
      <c r="C2" s="125"/>
      <c r="D2" s="125"/>
    </row>
    <row r="3" spans="1:5" ht="22.5" customHeight="1">
      <c r="A3" s="211" t="s">
        <v>453</v>
      </c>
      <c r="B3" s="211"/>
      <c r="C3" s="211"/>
      <c r="D3" s="211"/>
      <c r="E3" s="211"/>
    </row>
    <row r="4" spans="1:5" ht="22.5" customHeight="1">
      <c r="A4" s="212" t="s">
        <v>454</v>
      </c>
      <c r="B4" s="212"/>
      <c r="C4" s="212"/>
      <c r="D4" s="212"/>
      <c r="E4" s="212"/>
    </row>
    <row r="5" spans="1:5" ht="32.1" customHeight="1">
      <c r="A5" s="96" t="s">
        <v>455</v>
      </c>
      <c r="B5" s="96" t="s">
        <v>385</v>
      </c>
      <c r="C5" s="96" t="s">
        <v>456</v>
      </c>
      <c r="D5" s="96" t="s">
        <v>457</v>
      </c>
      <c r="E5" s="96" t="s">
        <v>458</v>
      </c>
    </row>
    <row r="6" spans="1:5" ht="48" customHeight="1">
      <c r="A6" s="96">
        <v>1</v>
      </c>
      <c r="B6" s="127">
        <v>42868</v>
      </c>
      <c r="C6" s="98">
        <v>30000</v>
      </c>
      <c r="D6" s="96"/>
      <c r="E6" s="128"/>
    </row>
    <row r="7" spans="1:5" ht="48" customHeight="1">
      <c r="A7" s="96">
        <v>2</v>
      </c>
      <c r="B7" s="127">
        <v>42875</v>
      </c>
      <c r="C7" s="98">
        <v>30000</v>
      </c>
      <c r="D7" s="96"/>
      <c r="E7" s="128"/>
    </row>
    <row r="8" spans="1:5" ht="48" customHeight="1">
      <c r="A8" s="96">
        <v>3</v>
      </c>
      <c r="B8" s="127">
        <v>42882</v>
      </c>
      <c r="C8" s="98">
        <v>30000</v>
      </c>
      <c r="D8" s="96"/>
      <c r="E8" s="128"/>
    </row>
    <row r="9" spans="1:5" ht="48" customHeight="1">
      <c r="A9" s="96">
        <v>4</v>
      </c>
      <c r="B9" s="127">
        <v>42889</v>
      </c>
      <c r="C9" s="98">
        <v>30000</v>
      </c>
      <c r="D9" s="96"/>
      <c r="E9" s="128"/>
    </row>
  </sheetData>
  <mergeCells count="3">
    <mergeCell ref="A1:E1"/>
    <mergeCell ref="A3:E3"/>
    <mergeCell ref="A4:E4"/>
  </mergeCells>
  <phoneticPr fontId="1" type="noConversion"/>
  <printOptions horizontalCentered="1"/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76873E-88B8-40B5-8100-53C06C8BD78D}">
  <sheetPr codeName="Sheet76"/>
  <dimension ref="A1:C9"/>
  <sheetViews>
    <sheetView workbookViewId="0">
      <selection sqref="A1:E1"/>
    </sheetView>
  </sheetViews>
  <sheetFormatPr defaultRowHeight="18.75"/>
  <cols>
    <col min="1" max="1" width="19.75" customWidth="1"/>
    <col min="2" max="2" width="12.25" customWidth="1"/>
    <col min="3" max="3" width="21.125" customWidth="1"/>
  </cols>
  <sheetData>
    <row r="1" spans="1:3" s="40" customFormat="1" ht="19.5" customHeight="1">
      <c r="A1" s="163" t="s">
        <v>528</v>
      </c>
      <c r="B1" s="163" t="s">
        <v>529</v>
      </c>
      <c r="C1" s="163" t="s">
        <v>530</v>
      </c>
    </row>
    <row r="2" spans="1:3" s="40" customFormat="1" ht="19.5" customHeight="1">
      <c r="A2" s="77" t="s">
        <v>531</v>
      </c>
      <c r="B2" s="77">
        <v>14</v>
      </c>
      <c r="C2" s="77" t="s">
        <v>532</v>
      </c>
    </row>
    <row r="3" spans="1:3" s="40" customFormat="1" ht="19.5" customHeight="1">
      <c r="A3" s="77" t="s">
        <v>533</v>
      </c>
      <c r="B3" s="77"/>
      <c r="C3" s="77"/>
    </row>
    <row r="4" spans="1:3" s="40" customFormat="1" ht="19.5" customHeight="1">
      <c r="A4" s="77" t="s">
        <v>49</v>
      </c>
      <c r="B4" s="77"/>
      <c r="C4" s="77"/>
    </row>
    <row r="5" spans="1:3" s="40" customFormat="1" ht="19.5" customHeight="1">
      <c r="A5" s="77" t="s">
        <v>534</v>
      </c>
      <c r="B5" s="77"/>
      <c r="C5" s="77" t="s">
        <v>48</v>
      </c>
    </row>
    <row r="6" spans="1:3" s="40" customFormat="1" ht="19.5" customHeight="1">
      <c r="A6" s="77" t="s">
        <v>535</v>
      </c>
      <c r="B6" s="77"/>
      <c r="C6" s="77"/>
    </row>
    <row r="7" spans="1:3" s="40" customFormat="1" ht="19.5" customHeight="1">
      <c r="A7" s="77" t="s">
        <v>536</v>
      </c>
      <c r="B7" s="77"/>
      <c r="C7" s="77"/>
    </row>
    <row r="8" spans="1:3" s="40" customFormat="1" ht="19.5" customHeight="1">
      <c r="A8" s="77"/>
      <c r="B8" s="77"/>
      <c r="C8" s="77"/>
    </row>
    <row r="9" spans="1:3" s="40" customFormat="1" ht="19.5" customHeight="1">
      <c r="A9" s="77"/>
      <c r="B9" s="77"/>
      <c r="C9" s="77"/>
    </row>
  </sheetData>
  <phoneticPr fontId="1" type="noConversion"/>
  <pageMargins left="0.7" right="0.7" top="0.75" bottom="0.75" header="0.3" footer="0.3"/>
  <pageSetup paperSize="9" orientation="portrait" verticalDpi="12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59ACBC-3610-468F-BF16-7ACEAE511353}">
  <sheetPr codeName="Sheet77">
    <tabColor rgb="FF92D050"/>
  </sheetPr>
  <dimension ref="A1:N20"/>
  <sheetViews>
    <sheetView view="pageBreakPreview" zoomScaleNormal="100" zoomScaleSheetLayoutView="100" workbookViewId="0">
      <pane xSplit="2" ySplit="2" topLeftCell="C3" activePane="bottomRight" state="frozen"/>
      <selection sqref="A1:E1"/>
      <selection pane="topRight" sqref="A1:E1"/>
      <selection pane="bottomLeft" sqref="A1:E1"/>
      <selection pane="bottomRight" sqref="A1:F2"/>
    </sheetView>
  </sheetViews>
  <sheetFormatPr defaultRowHeight="18.75"/>
  <cols>
    <col min="1" max="1" width="6.25" style="1" customWidth="1"/>
    <col min="2" max="2" width="10.75" style="3" customWidth="1"/>
    <col min="3" max="3" width="12.625" customWidth="1"/>
    <col min="4" max="4" width="9.75" hidden="1" customWidth="1"/>
    <col min="5" max="5" width="2.625" hidden="1" customWidth="1"/>
    <col min="6" max="6" width="14.625" customWidth="1"/>
    <col min="7" max="7" width="12.625" customWidth="1"/>
    <col min="8" max="8" width="14.625" customWidth="1"/>
    <col min="9" max="9" width="12.625" customWidth="1"/>
    <col min="10" max="10" width="14.625" customWidth="1"/>
    <col min="11" max="11" width="12.625" customWidth="1"/>
    <col min="12" max="12" width="14.625" customWidth="1"/>
    <col min="14" max="14" width="9" customWidth="1"/>
  </cols>
  <sheetData>
    <row r="1" spans="1:14" ht="18" customHeight="1">
      <c r="A1" s="215"/>
      <c r="B1" s="217" t="s">
        <v>449</v>
      </c>
      <c r="C1" s="217" t="s">
        <v>537</v>
      </c>
      <c r="D1" s="217"/>
      <c r="E1" s="217"/>
      <c r="F1" s="217"/>
      <c r="G1" s="217" t="s">
        <v>538</v>
      </c>
      <c r="H1" s="217"/>
      <c r="I1" s="217" t="s">
        <v>539</v>
      </c>
      <c r="J1" s="217"/>
      <c r="K1" s="217" t="s">
        <v>540</v>
      </c>
      <c r="L1" s="219"/>
      <c r="N1" s="213" t="s">
        <v>541</v>
      </c>
    </row>
    <row r="2" spans="1:14" ht="18" customHeight="1">
      <c r="A2" s="216"/>
      <c r="B2" s="218"/>
      <c r="C2" s="96" t="s">
        <v>542</v>
      </c>
      <c r="D2" s="96" t="s">
        <v>543</v>
      </c>
      <c r="E2" s="96" t="s">
        <v>544</v>
      </c>
      <c r="F2" s="96" t="s">
        <v>287</v>
      </c>
      <c r="G2" s="96" t="s">
        <v>542</v>
      </c>
      <c r="H2" s="96" t="s">
        <v>287</v>
      </c>
      <c r="I2" s="96" t="s">
        <v>542</v>
      </c>
      <c r="J2" s="96" t="s">
        <v>287</v>
      </c>
      <c r="K2" s="96" t="s">
        <v>542</v>
      </c>
      <c r="L2" s="164" t="s">
        <v>287</v>
      </c>
      <c r="N2" s="214"/>
    </row>
    <row r="3" spans="1:14" ht="18" customHeight="1">
      <c r="A3" s="42">
        <v>1</v>
      </c>
      <c r="B3" s="165"/>
      <c r="C3" s="128"/>
      <c r="D3" s="128"/>
      <c r="E3" s="128"/>
      <c r="F3" s="128"/>
      <c r="G3" s="96"/>
      <c r="H3" s="96"/>
      <c r="I3" s="96"/>
      <c r="J3" s="96"/>
      <c r="K3" s="96"/>
      <c r="L3" s="164"/>
      <c r="N3" s="45" t="s">
        <v>545</v>
      </c>
    </row>
    <row r="4" spans="1:14" ht="18" customHeight="1">
      <c r="A4" s="42">
        <v>2</v>
      </c>
      <c r="B4" s="165"/>
      <c r="C4" s="128"/>
      <c r="D4" s="128"/>
      <c r="E4" s="128"/>
      <c r="F4" s="128"/>
      <c r="G4" s="96"/>
      <c r="H4" s="96"/>
      <c r="I4" s="96"/>
      <c r="J4" s="96"/>
      <c r="K4" s="96"/>
      <c r="L4" s="164"/>
      <c r="N4" s="45" t="s">
        <v>546</v>
      </c>
    </row>
    <row r="5" spans="1:14" ht="18" customHeight="1">
      <c r="A5" s="42">
        <v>3</v>
      </c>
      <c r="B5" s="165"/>
      <c r="C5" s="128"/>
      <c r="D5" s="128"/>
      <c r="E5" s="128"/>
      <c r="F5" s="128"/>
      <c r="G5" s="96"/>
      <c r="H5" s="96"/>
      <c r="I5" s="96"/>
      <c r="J5" s="96"/>
      <c r="K5" s="96"/>
      <c r="L5" s="164"/>
      <c r="N5" s="45" t="s">
        <v>547</v>
      </c>
    </row>
    <row r="6" spans="1:14" ht="18" customHeight="1">
      <c r="A6" s="42">
        <v>4</v>
      </c>
      <c r="B6" s="165"/>
      <c r="C6" s="128"/>
      <c r="D6" s="128"/>
      <c r="E6" s="128"/>
      <c r="F6" s="128"/>
      <c r="G6" s="96"/>
      <c r="H6" s="96"/>
      <c r="I6" s="96"/>
      <c r="J6" s="96"/>
      <c r="K6" s="96"/>
      <c r="L6" s="164"/>
      <c r="N6" s="45" t="s">
        <v>548</v>
      </c>
    </row>
    <row r="7" spans="1:14" ht="18" customHeight="1">
      <c r="A7" s="42">
        <v>5</v>
      </c>
      <c r="B7" s="165"/>
      <c r="C7" s="128"/>
      <c r="D7" s="128"/>
      <c r="E7" s="128"/>
      <c r="F7" s="128"/>
      <c r="G7" s="96"/>
      <c r="H7" s="96"/>
      <c r="I7" s="96"/>
      <c r="J7" s="96"/>
      <c r="K7" s="96"/>
      <c r="L7" s="164"/>
      <c r="N7" s="45" t="s">
        <v>549</v>
      </c>
    </row>
    <row r="8" spans="1:14" ht="18" customHeight="1">
      <c r="A8" s="42">
        <v>6</v>
      </c>
      <c r="B8" s="165"/>
      <c r="C8" s="128"/>
      <c r="D8" s="128"/>
      <c r="E8" s="128"/>
      <c r="F8" s="128"/>
      <c r="G8" s="96"/>
      <c r="H8" s="96"/>
      <c r="I8" s="96"/>
      <c r="J8" s="96"/>
      <c r="K8" s="96"/>
      <c r="L8" s="164"/>
      <c r="N8" s="45" t="s">
        <v>550</v>
      </c>
    </row>
    <row r="9" spans="1:14" ht="18" customHeight="1">
      <c r="A9" s="42">
        <v>7</v>
      </c>
      <c r="B9" s="165"/>
      <c r="C9" s="128"/>
      <c r="D9" s="128"/>
      <c r="E9" s="128"/>
      <c r="F9" s="128"/>
      <c r="G9" s="96"/>
      <c r="H9" s="96"/>
      <c r="I9" s="96"/>
      <c r="J9" s="96"/>
      <c r="K9" s="96"/>
      <c r="L9" s="164"/>
      <c r="N9" s="45" t="s">
        <v>551</v>
      </c>
    </row>
    <row r="10" spans="1:14" ht="18" customHeight="1">
      <c r="A10" s="42">
        <v>8</v>
      </c>
      <c r="B10" s="165"/>
      <c r="C10" s="128"/>
      <c r="D10" s="128"/>
      <c r="E10" s="128"/>
      <c r="F10" s="128"/>
      <c r="G10" s="96"/>
      <c r="H10" s="96"/>
      <c r="I10" s="96"/>
      <c r="J10" s="96"/>
      <c r="K10" s="96"/>
      <c r="L10" s="164"/>
      <c r="N10" s="45" t="s">
        <v>552</v>
      </c>
    </row>
    <row r="11" spans="1:14" ht="18" customHeight="1">
      <c r="A11" s="42">
        <v>9</v>
      </c>
      <c r="B11" s="165"/>
      <c r="C11" s="128"/>
      <c r="D11" s="128"/>
      <c r="E11" s="128"/>
      <c r="F11" s="128"/>
      <c r="G11" s="96"/>
      <c r="H11" s="96"/>
      <c r="I11" s="128"/>
      <c r="J11" s="128"/>
      <c r="K11" s="128"/>
      <c r="L11" s="164"/>
      <c r="N11" s="45" t="s">
        <v>553</v>
      </c>
    </row>
    <row r="12" spans="1:14" ht="18" customHeight="1">
      <c r="A12" s="42">
        <v>10</v>
      </c>
      <c r="B12" s="166"/>
      <c r="C12" s="128"/>
      <c r="D12" s="128"/>
      <c r="E12" s="128"/>
      <c r="F12" s="128"/>
      <c r="G12" s="128"/>
      <c r="H12" s="128"/>
      <c r="I12" s="128"/>
      <c r="J12" s="128"/>
      <c r="K12" s="128"/>
      <c r="L12" s="164"/>
      <c r="N12" s="45" t="s">
        <v>554</v>
      </c>
    </row>
    <row r="13" spans="1:14" ht="18" customHeight="1">
      <c r="A13" s="42">
        <v>11</v>
      </c>
      <c r="B13" s="165"/>
      <c r="C13" s="128"/>
      <c r="D13" s="128"/>
      <c r="E13" s="128"/>
      <c r="F13" s="128"/>
      <c r="G13" s="128"/>
      <c r="H13" s="128"/>
      <c r="I13" s="128"/>
      <c r="J13" s="128"/>
      <c r="K13" s="128"/>
      <c r="L13" s="167"/>
      <c r="N13" s="45" t="s">
        <v>555</v>
      </c>
    </row>
    <row r="14" spans="1:14" ht="18" customHeight="1">
      <c r="A14" s="42">
        <v>12</v>
      </c>
      <c r="B14" s="165"/>
      <c r="C14" s="128"/>
      <c r="D14" s="128"/>
      <c r="E14" s="128"/>
      <c r="F14" s="128"/>
      <c r="G14" s="128"/>
      <c r="H14" s="128"/>
      <c r="I14" s="128"/>
      <c r="J14" s="128"/>
      <c r="K14" s="128"/>
      <c r="L14" s="164"/>
      <c r="N14" s="45" t="s">
        <v>556</v>
      </c>
    </row>
    <row r="15" spans="1:14" ht="18" customHeight="1">
      <c r="A15" s="42">
        <v>13</v>
      </c>
      <c r="B15" s="165"/>
      <c r="C15" s="128"/>
      <c r="D15" s="128"/>
      <c r="E15" s="128"/>
      <c r="F15" s="128"/>
      <c r="G15" s="96"/>
      <c r="H15" s="96"/>
      <c r="I15" s="96"/>
      <c r="J15" s="96"/>
      <c r="K15" s="96"/>
      <c r="L15" s="164"/>
      <c r="N15" s="45" t="s">
        <v>557</v>
      </c>
    </row>
    <row r="16" spans="1:14" ht="18" customHeight="1">
      <c r="A16" s="42">
        <v>14</v>
      </c>
      <c r="B16" s="165"/>
      <c r="C16" s="128"/>
      <c r="D16" s="128"/>
      <c r="E16" s="128"/>
      <c r="F16" s="128"/>
      <c r="G16" s="128"/>
      <c r="H16" s="128"/>
      <c r="I16" s="128"/>
      <c r="J16" s="128"/>
      <c r="K16" s="128"/>
      <c r="L16" s="164"/>
      <c r="N16" s="45" t="s">
        <v>558</v>
      </c>
    </row>
    <row r="17" spans="1:14" ht="18" customHeight="1">
      <c r="A17" s="42">
        <v>15</v>
      </c>
      <c r="B17" s="165"/>
      <c r="C17" s="128"/>
      <c r="D17" s="128"/>
      <c r="E17" s="128"/>
      <c r="F17" s="128"/>
      <c r="G17" s="96"/>
      <c r="H17" s="96"/>
      <c r="I17" s="96"/>
      <c r="J17" s="96"/>
      <c r="K17" s="96"/>
      <c r="L17" s="164"/>
      <c r="N17" s="45" t="s">
        <v>559</v>
      </c>
    </row>
    <row r="18" spans="1:14" ht="18" customHeight="1">
      <c r="A18" s="42">
        <v>16</v>
      </c>
      <c r="B18" s="165"/>
      <c r="C18" s="128"/>
      <c r="D18" s="128"/>
      <c r="E18" s="128"/>
      <c r="F18" s="128"/>
      <c r="G18" s="96"/>
      <c r="H18" s="96"/>
      <c r="I18" s="96"/>
      <c r="J18" s="96"/>
      <c r="K18" s="96"/>
      <c r="L18" s="164"/>
      <c r="N18" s="45" t="s">
        <v>560</v>
      </c>
    </row>
    <row r="19" spans="1:14" ht="18" customHeight="1">
      <c r="A19" s="42">
        <v>17</v>
      </c>
      <c r="B19" s="165"/>
      <c r="C19" s="128"/>
      <c r="D19" s="128"/>
      <c r="E19" s="128"/>
      <c r="F19" s="128"/>
      <c r="G19" s="96"/>
      <c r="H19" s="96"/>
      <c r="I19" s="96"/>
      <c r="J19" s="96"/>
      <c r="K19" s="96"/>
      <c r="L19" s="164"/>
      <c r="N19" s="45" t="s">
        <v>561</v>
      </c>
    </row>
    <row r="20" spans="1:14" ht="18" customHeight="1">
      <c r="A20" s="42">
        <v>18</v>
      </c>
      <c r="B20" s="165"/>
      <c r="C20" s="128"/>
      <c r="D20" s="128"/>
      <c r="E20" s="128"/>
      <c r="F20" s="128"/>
      <c r="G20" s="96"/>
      <c r="H20" s="96"/>
      <c r="I20" s="96"/>
      <c r="J20" s="96"/>
      <c r="K20" s="96"/>
      <c r="L20" s="164"/>
      <c r="N20" s="45" t="s">
        <v>562</v>
      </c>
    </row>
  </sheetData>
  <mergeCells count="7">
    <mergeCell ref="N1:N2"/>
    <mergeCell ref="A1:A2"/>
    <mergeCell ref="B1:B2"/>
    <mergeCell ref="C1:F1"/>
    <mergeCell ref="G1:H1"/>
    <mergeCell ref="I1:J1"/>
    <mergeCell ref="K1:L1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105" orientation="landscape" verticalDpi="120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28A285-A641-4A5C-ABFA-FDBC84CAFEB4}">
  <sheetPr codeName="Sheet78"/>
  <dimension ref="A1:G27"/>
  <sheetViews>
    <sheetView view="pageBreakPreview" zoomScaleNormal="100" zoomScaleSheetLayoutView="100" workbookViewId="0">
      <selection sqref="A1:G1"/>
    </sheetView>
  </sheetViews>
  <sheetFormatPr defaultColWidth="9" defaultRowHeight="21" customHeight="1"/>
  <cols>
    <col min="1" max="1" width="3.625" style="168" customWidth="1"/>
    <col min="2" max="2" width="36.125" style="168" customWidth="1"/>
    <col min="3" max="3" width="10.75" style="168" customWidth="1"/>
    <col min="4" max="4" width="8.375" style="168" customWidth="1"/>
    <col min="5" max="6" width="9" style="168"/>
    <col min="7" max="7" width="12.25" style="168" customWidth="1"/>
    <col min="8" max="16384" width="9" style="168"/>
  </cols>
  <sheetData>
    <row r="1" spans="1:7" ht="59.25" customHeight="1">
      <c r="A1" s="220" t="s">
        <v>563</v>
      </c>
      <c r="B1" s="220"/>
      <c r="C1" s="220"/>
      <c r="D1" s="220"/>
      <c r="E1" s="220"/>
      <c r="F1" s="220"/>
      <c r="G1" s="220"/>
    </row>
    <row r="2" spans="1:7" ht="27" customHeight="1" thickBot="1">
      <c r="A2" s="169"/>
      <c r="B2" s="169"/>
      <c r="C2" s="169"/>
      <c r="D2" s="169"/>
      <c r="E2" s="170" t="s">
        <v>564</v>
      </c>
      <c r="F2" s="169"/>
      <c r="G2" s="169"/>
    </row>
    <row r="3" spans="1:7" s="93" customFormat="1" ht="25.5" customHeight="1" thickBot="1">
      <c r="A3" s="171"/>
      <c r="B3" s="172" t="s">
        <v>565</v>
      </c>
      <c r="C3" s="221" t="s">
        <v>566</v>
      </c>
      <c r="D3" s="221"/>
      <c r="E3" s="221"/>
      <c r="F3" s="221"/>
      <c r="G3" s="222"/>
    </row>
    <row r="4" spans="1:7" ht="25.5" customHeight="1">
      <c r="A4" s="223">
        <v>1</v>
      </c>
      <c r="B4" s="173" t="s">
        <v>567</v>
      </c>
      <c r="C4" s="174" t="s">
        <v>568</v>
      </c>
      <c r="D4" s="174" t="s">
        <v>569</v>
      </c>
      <c r="E4" s="174" t="s">
        <v>570</v>
      </c>
      <c r="F4" s="174" t="s">
        <v>571</v>
      </c>
      <c r="G4" s="175" t="s">
        <v>572</v>
      </c>
    </row>
    <row r="5" spans="1:7" ht="25.5" customHeight="1" thickBot="1">
      <c r="A5" s="224"/>
      <c r="B5" s="225" t="s">
        <v>573</v>
      </c>
      <c r="C5" s="226"/>
      <c r="D5" s="226"/>
      <c r="E5" s="226"/>
      <c r="F5" s="226"/>
      <c r="G5" s="227"/>
    </row>
    <row r="6" spans="1:7" ht="25.5" customHeight="1">
      <c r="A6" s="223">
        <v>2</v>
      </c>
      <c r="B6" s="176" t="s">
        <v>574</v>
      </c>
      <c r="C6" s="174" t="s">
        <v>568</v>
      </c>
      <c r="D6" s="174" t="s">
        <v>569</v>
      </c>
      <c r="E6" s="174" t="s">
        <v>570</v>
      </c>
      <c r="F6" s="174" t="s">
        <v>571</v>
      </c>
      <c r="G6" s="175" t="s">
        <v>572</v>
      </c>
    </row>
    <row r="7" spans="1:7" ht="25.5" customHeight="1" thickBot="1">
      <c r="A7" s="224"/>
      <c r="B7" s="225" t="s">
        <v>573</v>
      </c>
      <c r="C7" s="226"/>
      <c r="D7" s="226"/>
      <c r="E7" s="226"/>
      <c r="F7" s="226"/>
      <c r="G7" s="227"/>
    </row>
    <row r="8" spans="1:7" ht="25.5" customHeight="1">
      <c r="A8" s="223">
        <v>3</v>
      </c>
      <c r="B8" s="176" t="s">
        <v>575</v>
      </c>
      <c r="C8" s="174" t="s">
        <v>568</v>
      </c>
      <c r="D8" s="174" t="s">
        <v>569</v>
      </c>
      <c r="E8" s="174" t="s">
        <v>570</v>
      </c>
      <c r="F8" s="174" t="s">
        <v>571</v>
      </c>
      <c r="G8" s="175" t="s">
        <v>572</v>
      </c>
    </row>
    <row r="9" spans="1:7" ht="25.5" customHeight="1" thickBot="1">
      <c r="A9" s="224"/>
      <c r="B9" s="225" t="s">
        <v>573</v>
      </c>
      <c r="C9" s="226"/>
      <c r="D9" s="226"/>
      <c r="E9" s="226"/>
      <c r="F9" s="226"/>
      <c r="G9" s="227"/>
    </row>
    <row r="10" spans="1:7" ht="25.5" customHeight="1">
      <c r="A10" s="223">
        <v>4</v>
      </c>
      <c r="B10" s="176" t="s">
        <v>576</v>
      </c>
      <c r="C10" s="174" t="s">
        <v>568</v>
      </c>
      <c r="D10" s="174" t="s">
        <v>569</v>
      </c>
      <c r="E10" s="174" t="s">
        <v>570</v>
      </c>
      <c r="F10" s="174" t="s">
        <v>571</v>
      </c>
      <c r="G10" s="175" t="s">
        <v>572</v>
      </c>
    </row>
    <row r="11" spans="1:7" ht="25.5" customHeight="1" thickBot="1">
      <c r="A11" s="224"/>
      <c r="B11" s="225" t="s">
        <v>573</v>
      </c>
      <c r="C11" s="226"/>
      <c r="D11" s="226"/>
      <c r="E11" s="226"/>
      <c r="F11" s="226"/>
      <c r="G11" s="227"/>
    </row>
    <row r="12" spans="1:7" ht="25.5" customHeight="1">
      <c r="A12" s="223">
        <v>5</v>
      </c>
      <c r="B12" s="176" t="s">
        <v>577</v>
      </c>
      <c r="C12" s="174" t="s">
        <v>568</v>
      </c>
      <c r="D12" s="174" t="s">
        <v>569</v>
      </c>
      <c r="E12" s="174" t="s">
        <v>570</v>
      </c>
      <c r="F12" s="174" t="s">
        <v>571</v>
      </c>
      <c r="G12" s="175" t="s">
        <v>572</v>
      </c>
    </row>
    <row r="13" spans="1:7" ht="25.5" customHeight="1" thickBot="1">
      <c r="A13" s="224"/>
      <c r="B13" s="225" t="s">
        <v>573</v>
      </c>
      <c r="C13" s="226"/>
      <c r="D13" s="226"/>
      <c r="E13" s="226"/>
      <c r="F13" s="226"/>
      <c r="G13" s="227"/>
    </row>
    <row r="14" spans="1:7" ht="25.5" customHeight="1">
      <c r="A14" s="223">
        <v>6</v>
      </c>
      <c r="B14" s="176" t="s">
        <v>578</v>
      </c>
      <c r="C14" s="174" t="s">
        <v>568</v>
      </c>
      <c r="D14" s="174" t="s">
        <v>569</v>
      </c>
      <c r="E14" s="174" t="s">
        <v>570</v>
      </c>
      <c r="F14" s="174" t="s">
        <v>571</v>
      </c>
      <c r="G14" s="175" t="s">
        <v>572</v>
      </c>
    </row>
    <row r="15" spans="1:7" ht="25.5" customHeight="1" thickBot="1">
      <c r="A15" s="224"/>
      <c r="B15" s="225" t="s">
        <v>573</v>
      </c>
      <c r="C15" s="226"/>
      <c r="D15" s="226"/>
      <c r="E15" s="226"/>
      <c r="F15" s="226"/>
      <c r="G15" s="227"/>
    </row>
    <row r="16" spans="1:7" ht="25.5" customHeight="1">
      <c r="A16" s="223">
        <v>7</v>
      </c>
      <c r="B16" s="177" t="s">
        <v>579</v>
      </c>
      <c r="C16" s="174" t="s">
        <v>568</v>
      </c>
      <c r="D16" s="174" t="s">
        <v>569</v>
      </c>
      <c r="E16" s="174" t="s">
        <v>570</v>
      </c>
      <c r="F16" s="174" t="s">
        <v>571</v>
      </c>
      <c r="G16" s="175" t="s">
        <v>572</v>
      </c>
    </row>
    <row r="17" spans="1:7" ht="25.5" customHeight="1" thickBot="1">
      <c r="A17" s="224"/>
      <c r="B17" s="178" t="s">
        <v>573</v>
      </c>
      <c r="C17" s="178"/>
      <c r="D17" s="178"/>
      <c r="E17" s="178"/>
      <c r="F17" s="178"/>
      <c r="G17" s="179"/>
    </row>
    <row r="18" spans="1:7" ht="25.5" customHeight="1">
      <c r="A18" s="223">
        <v>8</v>
      </c>
      <c r="B18" s="177" t="s">
        <v>580</v>
      </c>
      <c r="C18" s="174" t="s">
        <v>568</v>
      </c>
      <c r="D18" s="174" t="s">
        <v>569</v>
      </c>
      <c r="E18" s="174" t="s">
        <v>570</v>
      </c>
      <c r="F18" s="174" t="s">
        <v>571</v>
      </c>
      <c r="G18" s="175" t="s">
        <v>572</v>
      </c>
    </row>
    <row r="19" spans="1:7" ht="25.5" customHeight="1" thickBot="1">
      <c r="A19" s="224"/>
      <c r="B19" s="178" t="s">
        <v>573</v>
      </c>
      <c r="C19" s="178"/>
      <c r="D19" s="178"/>
      <c r="E19" s="178"/>
      <c r="F19" s="178"/>
      <c r="G19" s="179"/>
    </row>
    <row r="20" spans="1:7" ht="25.5" customHeight="1">
      <c r="A20" s="223">
        <v>9</v>
      </c>
      <c r="B20" s="177" t="s">
        <v>581</v>
      </c>
      <c r="C20" s="174" t="s">
        <v>568</v>
      </c>
      <c r="D20" s="174" t="s">
        <v>569</v>
      </c>
      <c r="E20" s="174" t="s">
        <v>570</v>
      </c>
      <c r="F20" s="174" t="s">
        <v>571</v>
      </c>
      <c r="G20" s="175" t="s">
        <v>572</v>
      </c>
    </row>
    <row r="21" spans="1:7" ht="25.5" customHeight="1" thickBot="1">
      <c r="A21" s="224"/>
      <c r="B21" s="178" t="s">
        <v>573</v>
      </c>
      <c r="C21" s="178"/>
      <c r="D21" s="178"/>
      <c r="E21" s="178"/>
      <c r="F21" s="178"/>
      <c r="G21" s="179"/>
    </row>
    <row r="22" spans="1:7" ht="25.5" customHeight="1">
      <c r="A22" s="223">
        <v>10</v>
      </c>
      <c r="B22" s="177" t="s">
        <v>582</v>
      </c>
      <c r="C22" s="174" t="s">
        <v>568</v>
      </c>
      <c r="D22" s="174" t="s">
        <v>569</v>
      </c>
      <c r="E22" s="174" t="s">
        <v>570</v>
      </c>
      <c r="F22" s="174" t="s">
        <v>571</v>
      </c>
      <c r="G22" s="175" t="s">
        <v>572</v>
      </c>
    </row>
    <row r="23" spans="1:7" ht="25.5" customHeight="1" thickBot="1">
      <c r="A23" s="224"/>
      <c r="B23" s="178" t="s">
        <v>573</v>
      </c>
      <c r="C23" s="178"/>
      <c r="D23" s="178"/>
      <c r="E23" s="178"/>
      <c r="F23" s="178"/>
      <c r="G23" s="179"/>
    </row>
    <row r="24" spans="1:7" ht="25.5" customHeight="1">
      <c r="A24" s="223">
        <v>11</v>
      </c>
      <c r="B24" s="177" t="s">
        <v>583</v>
      </c>
      <c r="C24" s="174" t="s">
        <v>568</v>
      </c>
      <c r="D24" s="174" t="s">
        <v>569</v>
      </c>
      <c r="E24" s="174" t="s">
        <v>570</v>
      </c>
      <c r="F24" s="174" t="s">
        <v>571</v>
      </c>
      <c r="G24" s="175" t="s">
        <v>572</v>
      </c>
    </row>
    <row r="25" spans="1:7" ht="25.5" customHeight="1" thickBot="1">
      <c r="A25" s="224"/>
      <c r="B25" s="178" t="s">
        <v>573</v>
      </c>
      <c r="C25" s="178"/>
      <c r="D25" s="178"/>
      <c r="E25" s="178"/>
      <c r="F25" s="178"/>
      <c r="G25" s="179"/>
    </row>
    <row r="26" spans="1:7" ht="25.5" customHeight="1">
      <c r="A26" s="223">
        <v>12</v>
      </c>
      <c r="B26" s="177" t="s">
        <v>584</v>
      </c>
      <c r="C26" s="174" t="s">
        <v>568</v>
      </c>
      <c r="D26" s="174" t="s">
        <v>569</v>
      </c>
      <c r="E26" s="174" t="s">
        <v>570</v>
      </c>
      <c r="F26" s="174" t="s">
        <v>571</v>
      </c>
      <c r="G26" s="175" t="s">
        <v>572</v>
      </c>
    </row>
    <row r="27" spans="1:7" ht="25.5" customHeight="1" thickBot="1">
      <c r="A27" s="224"/>
      <c r="B27" s="178" t="s">
        <v>573</v>
      </c>
      <c r="C27" s="178"/>
      <c r="D27" s="178"/>
      <c r="E27" s="178"/>
      <c r="F27" s="178"/>
      <c r="G27" s="179"/>
    </row>
  </sheetData>
  <mergeCells count="20">
    <mergeCell ref="A24:A25"/>
    <mergeCell ref="A26:A27"/>
    <mergeCell ref="A14:A15"/>
    <mergeCell ref="B15:G15"/>
    <mergeCell ref="A16:A17"/>
    <mergeCell ref="A18:A19"/>
    <mergeCell ref="A20:A21"/>
    <mergeCell ref="A22:A23"/>
    <mergeCell ref="A8:A9"/>
    <mergeCell ref="B9:G9"/>
    <mergeCell ref="A10:A11"/>
    <mergeCell ref="B11:G11"/>
    <mergeCell ref="A12:A13"/>
    <mergeCell ref="B13:G13"/>
    <mergeCell ref="A1:G1"/>
    <mergeCell ref="C3:G3"/>
    <mergeCell ref="A4:A5"/>
    <mergeCell ref="B5:G5"/>
    <mergeCell ref="A6:A7"/>
    <mergeCell ref="B7:G7"/>
  </mergeCells>
  <phoneticPr fontId="1" type="noConversion"/>
  <pageMargins left="0.7" right="0.7" top="0.75" bottom="0.75" header="0.3" footer="0.3"/>
  <pageSetup paperSize="9" scale="90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D13781-3272-4EFA-8602-083FC5BADE85}">
  <sheetPr codeName="Sheet79"/>
  <dimension ref="A1:C7"/>
  <sheetViews>
    <sheetView view="pageBreakPreview" zoomScaleNormal="100" zoomScaleSheetLayoutView="100" workbookViewId="0">
      <selection sqref="A1:E1"/>
    </sheetView>
  </sheetViews>
  <sheetFormatPr defaultColWidth="9" defaultRowHeight="18.75"/>
  <cols>
    <col min="1" max="1" width="20.25" style="1" customWidth="1"/>
    <col min="2" max="2" width="39" style="3" customWidth="1"/>
    <col min="3" max="3" width="19" style="3" customWidth="1"/>
    <col min="4" max="16384" width="9" style="3"/>
  </cols>
  <sheetData>
    <row r="1" spans="1:3" s="1" customFormat="1" ht="39" customHeight="1">
      <c r="A1" s="41" t="s">
        <v>585</v>
      </c>
      <c r="B1" s="41" t="s">
        <v>586</v>
      </c>
      <c r="C1" s="41" t="s">
        <v>449</v>
      </c>
    </row>
    <row r="2" spans="1:3" s="1" customFormat="1" ht="39" customHeight="1">
      <c r="A2" s="47" t="s">
        <v>587</v>
      </c>
      <c r="B2" s="76" t="s">
        <v>588</v>
      </c>
      <c r="C2" s="47"/>
    </row>
    <row r="3" spans="1:3" ht="39" customHeight="1">
      <c r="A3" s="41" t="s">
        <v>589</v>
      </c>
      <c r="B3" s="180" t="s">
        <v>590</v>
      </c>
      <c r="C3" s="41"/>
    </row>
    <row r="4" spans="1:3" ht="39" customHeight="1">
      <c r="A4" s="41" t="s">
        <v>591</v>
      </c>
      <c r="B4" s="105" t="s">
        <v>592</v>
      </c>
      <c r="C4" s="41"/>
    </row>
    <row r="5" spans="1:3" ht="39" customHeight="1">
      <c r="A5" s="41" t="s">
        <v>593</v>
      </c>
      <c r="B5" s="105"/>
      <c r="C5" s="105"/>
    </row>
    <row r="6" spans="1:3" ht="39" customHeight="1">
      <c r="A6" s="41" t="s">
        <v>594</v>
      </c>
      <c r="B6" s="105" t="s">
        <v>595</v>
      </c>
      <c r="C6" s="105"/>
    </row>
    <row r="7" spans="1:3" ht="39" customHeight="1">
      <c r="A7" s="41" t="s">
        <v>440</v>
      </c>
      <c r="B7" s="105"/>
      <c r="C7" s="4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8B2B43-64AB-4F5F-B346-97339E8EC8B2}">
  <sheetPr codeName="Sheet80"/>
  <dimension ref="A1:C19"/>
  <sheetViews>
    <sheetView topLeftCell="A10" workbookViewId="0">
      <selection sqref="A1:E1"/>
    </sheetView>
  </sheetViews>
  <sheetFormatPr defaultRowHeight="18.75"/>
  <cols>
    <col min="1" max="1" width="9" style="1"/>
    <col min="2" max="2" width="14.375" customWidth="1"/>
    <col min="3" max="3" width="55.875" customWidth="1"/>
  </cols>
  <sheetData>
    <row r="1" spans="1:3" ht="24.95" customHeight="1">
      <c r="A1" s="181" t="s">
        <v>424</v>
      </c>
      <c r="B1" s="181" t="s">
        <v>596</v>
      </c>
      <c r="C1" s="181" t="s">
        <v>597</v>
      </c>
    </row>
    <row r="2" spans="1:3" ht="24.95" customHeight="1">
      <c r="A2" s="182">
        <v>0.375</v>
      </c>
      <c r="B2" s="228" t="s">
        <v>598</v>
      </c>
      <c r="C2" s="229"/>
    </row>
    <row r="3" spans="1:3" ht="24.95" customHeight="1">
      <c r="A3" s="182">
        <v>0.39583333333333331</v>
      </c>
      <c r="B3" s="39" t="s">
        <v>599</v>
      </c>
      <c r="C3" s="39"/>
    </row>
    <row r="4" spans="1:3" ht="24.95" customHeight="1">
      <c r="A4" s="182">
        <v>0.40625</v>
      </c>
      <c r="B4" s="39" t="s">
        <v>600</v>
      </c>
      <c r="C4" s="39"/>
    </row>
    <row r="5" spans="1:3" ht="24.95" customHeight="1">
      <c r="A5" s="182">
        <v>0.41666666666666669</v>
      </c>
      <c r="B5" s="39" t="s">
        <v>601</v>
      </c>
      <c r="C5" s="39"/>
    </row>
    <row r="6" spans="1:3" ht="24.95" customHeight="1">
      <c r="A6" s="182">
        <v>0.42708333333333331</v>
      </c>
      <c r="B6" s="228" t="s">
        <v>602</v>
      </c>
      <c r="C6" s="229"/>
    </row>
    <row r="7" spans="1:3" ht="24.95" customHeight="1">
      <c r="A7" s="182">
        <v>0.43055555555555558</v>
      </c>
      <c r="B7" s="228" t="s">
        <v>603</v>
      </c>
      <c r="C7" s="229"/>
    </row>
    <row r="8" spans="1:3" ht="24.95" customHeight="1">
      <c r="A8" s="182">
        <v>0.4375</v>
      </c>
      <c r="B8" s="39"/>
      <c r="C8" s="39"/>
    </row>
    <row r="9" spans="1:3" ht="24.95" customHeight="1">
      <c r="A9" s="182">
        <v>0.44791666666666669</v>
      </c>
      <c r="B9" s="39"/>
      <c r="C9" s="39"/>
    </row>
    <row r="10" spans="1:3" ht="24.95" customHeight="1">
      <c r="A10" s="182">
        <v>0.45833333333333331</v>
      </c>
      <c r="B10" s="39"/>
      <c r="C10" s="39"/>
    </row>
    <row r="11" spans="1:3" ht="24.95" customHeight="1">
      <c r="A11" s="182">
        <v>0.46875</v>
      </c>
      <c r="B11" s="228" t="s">
        <v>602</v>
      </c>
      <c r="C11" s="229"/>
    </row>
    <row r="12" spans="1:3" ht="24.95" customHeight="1">
      <c r="A12" s="182">
        <v>0.47222222222222227</v>
      </c>
      <c r="B12" s="228" t="s">
        <v>603</v>
      </c>
      <c r="C12" s="229"/>
    </row>
    <row r="13" spans="1:3" ht="24.95" customHeight="1">
      <c r="A13" s="182">
        <v>0.47916666666666669</v>
      </c>
      <c r="B13" s="39"/>
      <c r="C13" s="39"/>
    </row>
    <row r="14" spans="1:3" ht="24.95" customHeight="1">
      <c r="A14" s="182">
        <v>0.48958333333333331</v>
      </c>
      <c r="B14" s="39"/>
      <c r="C14" s="39"/>
    </row>
    <row r="15" spans="1:3" ht="24.95" customHeight="1">
      <c r="A15" s="182"/>
      <c r="B15" s="45"/>
      <c r="C15" s="44"/>
    </row>
    <row r="16" spans="1:3" ht="24.95" customHeight="1">
      <c r="A16" s="182">
        <v>0.51388888888888895</v>
      </c>
      <c r="B16" s="228" t="s">
        <v>604</v>
      </c>
      <c r="C16" s="229"/>
    </row>
    <row r="17" spans="1:3" ht="24.95" customHeight="1">
      <c r="A17" s="182">
        <v>0.52083333333333337</v>
      </c>
      <c r="B17" s="228" t="s">
        <v>605</v>
      </c>
      <c r="C17" s="229"/>
    </row>
    <row r="18" spans="1:3" ht="24.95" customHeight="1">
      <c r="A18" s="182">
        <v>0.54166666666666663</v>
      </c>
      <c r="B18" s="228" t="s">
        <v>606</v>
      </c>
      <c r="C18" s="229"/>
    </row>
    <row r="19" spans="1:3" ht="24.95" customHeight="1">
      <c r="A19" s="182">
        <v>0.625</v>
      </c>
      <c r="B19" s="228" t="s">
        <v>607</v>
      </c>
      <c r="C19" s="229"/>
    </row>
  </sheetData>
  <mergeCells count="9">
    <mergeCell ref="B17:C17"/>
    <mergeCell ref="B18:C18"/>
    <mergeCell ref="B19:C19"/>
    <mergeCell ref="B2:C2"/>
    <mergeCell ref="B6:C6"/>
    <mergeCell ref="B7:C7"/>
    <mergeCell ref="B11:C11"/>
    <mergeCell ref="B12:C12"/>
    <mergeCell ref="B16:C16"/>
  </mergeCells>
  <phoneticPr fontId="1" type="noConversion"/>
  <pageMargins left="0.7" right="0.7" top="0.75" bottom="0.75" header="0.3" footer="0.3"/>
  <pageSetup paperSize="9" orientation="portrait" verticalDpi="12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FE23DC-D80D-4ABA-A688-4B8EE1329B2B}">
  <sheetPr codeName="Sheet82"/>
  <dimension ref="A1:G15"/>
  <sheetViews>
    <sheetView view="pageBreakPreview" zoomScale="90" zoomScaleNormal="100" zoomScaleSheetLayoutView="90" workbookViewId="0">
      <selection sqref="A1:G1"/>
    </sheetView>
  </sheetViews>
  <sheetFormatPr defaultRowHeight="18.75"/>
  <cols>
    <col min="1" max="1" width="7.125" customWidth="1"/>
    <col min="2" max="2" width="42" customWidth="1"/>
    <col min="3" max="5" width="10.375" customWidth="1"/>
    <col min="6" max="7" width="19.125" customWidth="1"/>
  </cols>
  <sheetData>
    <row r="1" spans="1:7" ht="55.5">
      <c r="A1" s="230" t="s">
        <v>654</v>
      </c>
      <c r="B1" s="230"/>
      <c r="C1" s="230"/>
      <c r="D1" s="230"/>
      <c r="E1" s="230"/>
      <c r="F1" s="230"/>
      <c r="G1" s="230"/>
    </row>
    <row r="2" spans="1:7">
      <c r="A2" s="183"/>
      <c r="B2" s="183"/>
      <c r="C2" s="183"/>
      <c r="D2" s="183"/>
      <c r="E2" s="183"/>
      <c r="F2" s="183"/>
      <c r="G2" s="183"/>
    </row>
    <row r="3" spans="1:7" s="40" customFormat="1" ht="32.25" customHeight="1">
      <c r="A3" s="231" t="s">
        <v>655</v>
      </c>
      <c r="B3" s="231"/>
      <c r="C3" s="231"/>
      <c r="D3" s="231"/>
      <c r="E3" s="231"/>
      <c r="F3" s="231"/>
      <c r="G3" s="231"/>
    </row>
    <row r="4" spans="1:7" s="1" customFormat="1">
      <c r="A4" s="184" t="s">
        <v>656</v>
      </c>
      <c r="B4" s="184" t="s">
        <v>657</v>
      </c>
      <c r="C4" s="184" t="s">
        <v>658</v>
      </c>
      <c r="D4" s="184" t="s">
        <v>659</v>
      </c>
      <c r="E4" s="184" t="s">
        <v>660</v>
      </c>
      <c r="F4" s="184" t="s">
        <v>450</v>
      </c>
      <c r="G4" s="184" t="s">
        <v>661</v>
      </c>
    </row>
    <row r="5" spans="1:7" ht="32.1" customHeight="1">
      <c r="A5" s="96">
        <v>1</v>
      </c>
      <c r="B5" s="100" t="s">
        <v>662</v>
      </c>
      <c r="C5" s="99">
        <v>3800</v>
      </c>
      <c r="D5" s="99">
        <f t="shared" ref="D5:D10" si="0">C5*1.08</f>
        <v>4104</v>
      </c>
      <c r="E5" s="96">
        <v>1</v>
      </c>
      <c r="F5" s="96"/>
      <c r="G5" s="96"/>
    </row>
    <row r="6" spans="1:7" ht="32.1" customHeight="1">
      <c r="A6" s="96">
        <v>2</v>
      </c>
      <c r="B6" s="100" t="s">
        <v>662</v>
      </c>
      <c r="C6" s="99">
        <v>3800</v>
      </c>
      <c r="D6" s="99">
        <f t="shared" si="0"/>
        <v>4104</v>
      </c>
      <c r="E6" s="96">
        <v>1</v>
      </c>
      <c r="F6" s="96"/>
      <c r="G6" s="96"/>
    </row>
    <row r="7" spans="1:7" ht="32.1" customHeight="1">
      <c r="A7" s="96">
        <v>3</v>
      </c>
      <c r="B7" s="100" t="s">
        <v>663</v>
      </c>
      <c r="C7" s="99">
        <v>3980</v>
      </c>
      <c r="D7" s="99">
        <f t="shared" si="0"/>
        <v>4298.4000000000005</v>
      </c>
      <c r="E7" s="96">
        <v>1</v>
      </c>
      <c r="F7" s="96"/>
      <c r="G7" s="96"/>
    </row>
    <row r="8" spans="1:7" ht="32.1" customHeight="1">
      <c r="A8" s="96">
        <v>4</v>
      </c>
      <c r="B8" s="100" t="s">
        <v>664</v>
      </c>
      <c r="C8" s="99">
        <v>3600</v>
      </c>
      <c r="D8" s="99">
        <f t="shared" si="0"/>
        <v>3888.0000000000005</v>
      </c>
      <c r="E8" s="96">
        <v>1</v>
      </c>
      <c r="F8" s="96"/>
      <c r="G8" s="96"/>
    </row>
    <row r="9" spans="1:7" ht="32.1" customHeight="1">
      <c r="A9" s="96">
        <v>5</v>
      </c>
      <c r="B9" s="100" t="s">
        <v>665</v>
      </c>
      <c r="C9" s="99">
        <v>3400</v>
      </c>
      <c r="D9" s="99">
        <f t="shared" si="0"/>
        <v>3672.0000000000005</v>
      </c>
      <c r="E9" s="96">
        <v>1</v>
      </c>
      <c r="F9" s="96"/>
      <c r="G9" s="96"/>
    </row>
    <row r="10" spans="1:7" ht="32.1" customHeight="1">
      <c r="A10" s="96">
        <v>6</v>
      </c>
      <c r="B10" s="100" t="s">
        <v>666</v>
      </c>
      <c r="C10" s="99">
        <v>3000</v>
      </c>
      <c r="D10" s="99">
        <f t="shared" si="0"/>
        <v>3240</v>
      </c>
      <c r="E10" s="96">
        <v>1</v>
      </c>
      <c r="F10" s="96"/>
      <c r="G10" s="96"/>
    </row>
    <row r="11" spans="1:7" ht="32.1" customHeight="1">
      <c r="A11" s="96">
        <v>7</v>
      </c>
      <c r="B11" s="96"/>
      <c r="C11" s="96"/>
      <c r="D11" s="96"/>
      <c r="E11" s="96"/>
      <c r="F11" s="96"/>
      <c r="G11" s="96"/>
    </row>
    <row r="12" spans="1:7" ht="32.1" customHeight="1">
      <c r="A12" s="96">
        <v>8</v>
      </c>
      <c r="B12" s="96"/>
      <c r="C12" s="96"/>
      <c r="D12" s="96"/>
      <c r="E12" s="96"/>
      <c r="F12" s="96"/>
      <c r="G12" s="96"/>
    </row>
    <row r="15" spans="1:7">
      <c r="D15" s="185">
        <f>SUM(D5:D14)</f>
        <v>23306.400000000001</v>
      </c>
    </row>
  </sheetData>
  <mergeCells count="2">
    <mergeCell ref="A1:G1"/>
    <mergeCell ref="A3:G3"/>
  </mergeCells>
  <phoneticPr fontId="1" type="noConversion"/>
  <printOptions horizontalCentered="1"/>
  <pageMargins left="0.70866141732283472" right="0.70866141732283472" top="0.74803149606299213" bottom="0.74803149606299213" header="0.31496062992125984" footer="0.31496062992125984"/>
  <pageSetup paperSize="9" orientation="landscape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835E3E-2E99-47CE-A818-259D3DC7239C}">
  <sheetPr codeName="Sheet83">
    <tabColor rgb="FF92D050"/>
  </sheetPr>
  <dimension ref="A1:E8"/>
  <sheetViews>
    <sheetView view="pageBreakPreview" zoomScale="90" zoomScaleNormal="100" zoomScaleSheetLayoutView="90" workbookViewId="0">
      <selection sqref="A1:E1"/>
    </sheetView>
  </sheetViews>
  <sheetFormatPr defaultColWidth="9" defaultRowHeight="18.75"/>
  <cols>
    <col min="1" max="1" width="9" style="4"/>
    <col min="2" max="5" width="29.625" style="4" customWidth="1"/>
    <col min="6" max="16384" width="9" style="4"/>
  </cols>
  <sheetData>
    <row r="1" spans="1:5" s="187" customFormat="1">
      <c r="A1" s="186"/>
      <c r="B1" s="232" t="s">
        <v>667</v>
      </c>
      <c r="C1" s="232"/>
      <c r="D1" s="232" t="s">
        <v>668</v>
      </c>
      <c r="E1" s="232"/>
    </row>
    <row r="2" spans="1:5" s="187" customFormat="1">
      <c r="A2" s="186"/>
      <c r="B2" s="188">
        <v>42868</v>
      </c>
      <c r="C2" s="188">
        <v>42875</v>
      </c>
      <c r="D2" s="188">
        <v>42882</v>
      </c>
      <c r="E2" s="188">
        <v>42889</v>
      </c>
    </row>
    <row r="3" spans="1:5" s="187" customFormat="1" ht="37.5">
      <c r="A3" s="186"/>
      <c r="B3" s="186" t="s">
        <v>669</v>
      </c>
      <c r="C3" s="186" t="s">
        <v>670</v>
      </c>
      <c r="D3" s="186" t="s">
        <v>671</v>
      </c>
      <c r="E3" s="186" t="s">
        <v>672</v>
      </c>
    </row>
    <row r="4" spans="1:5" s="38" customFormat="1" ht="133.5" customHeight="1">
      <c r="A4" s="186" t="s">
        <v>673</v>
      </c>
      <c r="B4" s="107" t="s">
        <v>674</v>
      </c>
      <c r="C4" s="107" t="s">
        <v>675</v>
      </c>
      <c r="D4" s="107" t="s">
        <v>676</v>
      </c>
      <c r="E4" s="107"/>
    </row>
    <row r="5" spans="1:5" s="38" customFormat="1" ht="74.25" customHeight="1">
      <c r="A5" s="186" t="s">
        <v>677</v>
      </c>
      <c r="B5" s="107" t="s">
        <v>678</v>
      </c>
      <c r="C5" s="107" t="s">
        <v>679</v>
      </c>
      <c r="D5" s="107" t="s">
        <v>680</v>
      </c>
      <c r="E5" s="107"/>
    </row>
    <row r="6" spans="1:5" s="38" customFormat="1" ht="81" customHeight="1">
      <c r="A6" s="186" t="s">
        <v>681</v>
      </c>
      <c r="B6" s="107" t="s">
        <v>682</v>
      </c>
      <c r="C6" s="107" t="s">
        <v>683</v>
      </c>
      <c r="D6" s="107" t="s">
        <v>684</v>
      </c>
      <c r="E6" s="107"/>
    </row>
    <row r="7" spans="1:5" s="38" customFormat="1" ht="96" customHeight="1">
      <c r="A7" s="186" t="s">
        <v>685</v>
      </c>
      <c r="B7" s="107" t="s">
        <v>686</v>
      </c>
      <c r="C7" s="107" t="s">
        <v>687</v>
      </c>
      <c r="D7" s="107" t="s">
        <v>688</v>
      </c>
      <c r="E7" s="107"/>
    </row>
    <row r="8" spans="1:5">
      <c r="B8" s="189"/>
      <c r="C8" s="189"/>
      <c r="D8" s="189"/>
      <c r="E8" s="189"/>
    </row>
  </sheetData>
  <mergeCells count="2">
    <mergeCell ref="B1:C1"/>
    <mergeCell ref="D1:E1"/>
  </mergeCells>
  <phoneticPr fontId="1" type="noConversion"/>
  <pageMargins left="0.7" right="0.7" top="0.75" bottom="0.75" header="0.3" footer="0.3"/>
  <pageSetup paperSize="9" scale="94" orientation="landscape" verticalDpi="4294967293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EED67D-16EF-42F4-8448-F26550C624F2}">
  <sheetPr codeName="Sheet84"/>
  <dimension ref="A1:F26"/>
  <sheetViews>
    <sheetView view="pageBreakPreview" zoomScale="90" zoomScaleNormal="100" zoomScaleSheetLayoutView="90" workbookViewId="0">
      <selection sqref="A1:E1"/>
    </sheetView>
  </sheetViews>
  <sheetFormatPr defaultColWidth="9" defaultRowHeight="18.75"/>
  <cols>
    <col min="1" max="1" width="13.125" style="192" customWidth="1"/>
    <col min="2" max="6" width="11.75" style="192" customWidth="1"/>
    <col min="7" max="16384" width="9" style="192"/>
  </cols>
  <sheetData>
    <row r="1" spans="1:6" s="190" customFormat="1" ht="30">
      <c r="B1" s="233" t="s">
        <v>689</v>
      </c>
      <c r="C1" s="233"/>
      <c r="D1" s="233"/>
      <c r="E1" s="233"/>
    </row>
    <row r="2" spans="1:6" ht="32.1" customHeight="1">
      <c r="A2" s="191" t="s">
        <v>690</v>
      </c>
      <c r="B2" s="234"/>
      <c r="C2" s="234"/>
      <c r="D2" s="191" t="s">
        <v>691</v>
      </c>
      <c r="E2" s="234"/>
      <c r="F2" s="234"/>
    </row>
    <row r="3" spans="1:6" ht="32.1" customHeight="1">
      <c r="A3" s="191" t="s">
        <v>692</v>
      </c>
      <c r="B3" s="235"/>
      <c r="C3" s="236"/>
      <c r="D3" s="236"/>
      <c r="E3" s="236"/>
      <c r="F3" s="237"/>
    </row>
    <row r="4" spans="1:6" ht="32.1" customHeight="1">
      <c r="A4" s="191" t="s">
        <v>693</v>
      </c>
      <c r="B4" s="235"/>
      <c r="C4" s="237"/>
      <c r="D4" s="191" t="s">
        <v>296</v>
      </c>
      <c r="E4" s="235"/>
      <c r="F4" s="237"/>
    </row>
    <row r="5" spans="1:6" ht="32.1" customHeight="1">
      <c r="A5" s="191" t="s">
        <v>694</v>
      </c>
      <c r="B5" s="234"/>
      <c r="C5" s="234"/>
      <c r="D5" s="234"/>
      <c r="E5" s="234"/>
      <c r="F5" s="234"/>
    </row>
    <row r="6" spans="1:6" ht="32.1" customHeight="1">
      <c r="A6" s="191" t="s">
        <v>695</v>
      </c>
      <c r="B6" s="234"/>
      <c r="C6" s="234"/>
      <c r="D6" s="234"/>
      <c r="E6" s="234"/>
      <c r="F6" s="234"/>
    </row>
    <row r="7" spans="1:6" ht="32.1" customHeight="1">
      <c r="A7" s="191" t="s">
        <v>696</v>
      </c>
      <c r="B7" s="234"/>
      <c r="C7" s="234"/>
      <c r="D7" s="234"/>
      <c r="E7" s="234"/>
      <c r="F7" s="234"/>
    </row>
    <row r="8" spans="1:6" ht="32.1" customHeight="1">
      <c r="A8" s="191" t="s">
        <v>697</v>
      </c>
      <c r="B8" s="234"/>
      <c r="C8" s="234"/>
      <c r="D8" s="234"/>
      <c r="E8" s="234"/>
      <c r="F8" s="234"/>
    </row>
    <row r="9" spans="1:6" ht="32.1" customHeight="1">
      <c r="A9" s="191" t="s">
        <v>698</v>
      </c>
      <c r="B9" s="238" t="s">
        <v>699</v>
      </c>
      <c r="C9" s="239"/>
      <c r="D9" s="239"/>
      <c r="E9" s="239"/>
      <c r="F9" s="239"/>
    </row>
    <row r="10" spans="1:6" ht="32.1" customHeight="1">
      <c r="A10" s="191" t="s">
        <v>700</v>
      </c>
      <c r="B10" s="234"/>
      <c r="C10" s="234"/>
      <c r="D10" s="234"/>
      <c r="E10" s="234"/>
      <c r="F10" s="234"/>
    </row>
    <row r="11" spans="1:6" ht="33" customHeight="1">
      <c r="E11" s="240" t="s">
        <v>701</v>
      </c>
      <c r="F11" s="240"/>
    </row>
    <row r="12" spans="1:6" ht="33" customHeight="1">
      <c r="E12" s="193"/>
      <c r="F12" s="193"/>
    </row>
    <row r="13" spans="1:6" ht="33" customHeight="1">
      <c r="E13" s="193"/>
      <c r="F13" s="193"/>
    </row>
    <row r="14" spans="1:6" ht="33" customHeight="1"/>
    <row r="15" spans="1:6" s="190" customFormat="1" ht="30">
      <c r="B15" s="233" t="s">
        <v>689</v>
      </c>
      <c r="C15" s="233"/>
      <c r="D15" s="233"/>
      <c r="E15" s="233"/>
    </row>
    <row r="16" spans="1:6" ht="32.1" customHeight="1">
      <c r="A16" s="191" t="s">
        <v>690</v>
      </c>
      <c r="B16" s="234"/>
      <c r="C16" s="234"/>
      <c r="D16" s="191" t="s">
        <v>691</v>
      </c>
      <c r="E16" s="234"/>
      <c r="F16" s="234"/>
    </row>
    <row r="17" spans="1:6" ht="32.1" customHeight="1">
      <c r="A17" s="191" t="s">
        <v>692</v>
      </c>
      <c r="B17" s="235"/>
      <c r="C17" s="236"/>
      <c r="D17" s="236"/>
      <c r="E17" s="236"/>
      <c r="F17" s="237"/>
    </row>
    <row r="18" spans="1:6" ht="32.1" customHeight="1">
      <c r="A18" s="191" t="s">
        <v>693</v>
      </c>
      <c r="B18" s="235"/>
      <c r="C18" s="237"/>
      <c r="D18" s="191" t="s">
        <v>296</v>
      </c>
      <c r="E18" s="235"/>
      <c r="F18" s="237"/>
    </row>
    <row r="19" spans="1:6" ht="32.1" customHeight="1">
      <c r="A19" s="191" t="s">
        <v>694</v>
      </c>
      <c r="B19" s="234"/>
      <c r="C19" s="234"/>
      <c r="D19" s="234"/>
      <c r="E19" s="234"/>
      <c r="F19" s="234"/>
    </row>
    <row r="20" spans="1:6" ht="32.1" customHeight="1">
      <c r="A20" s="191" t="s">
        <v>695</v>
      </c>
      <c r="B20" s="234"/>
      <c r="C20" s="234"/>
      <c r="D20" s="234"/>
      <c r="E20" s="234"/>
      <c r="F20" s="234"/>
    </row>
    <row r="21" spans="1:6" ht="32.1" customHeight="1">
      <c r="A21" s="191" t="s">
        <v>696</v>
      </c>
      <c r="B21" s="234"/>
      <c r="C21" s="234"/>
      <c r="D21" s="234"/>
      <c r="E21" s="234"/>
      <c r="F21" s="234"/>
    </row>
    <row r="22" spans="1:6" ht="32.1" customHeight="1">
      <c r="A22" s="191" t="s">
        <v>697</v>
      </c>
      <c r="B22" s="234"/>
      <c r="C22" s="234"/>
      <c r="D22" s="234"/>
      <c r="E22" s="234"/>
      <c r="F22" s="234"/>
    </row>
    <row r="23" spans="1:6" ht="32.1" customHeight="1">
      <c r="A23" s="191" t="s">
        <v>698</v>
      </c>
      <c r="B23" s="238" t="s">
        <v>699</v>
      </c>
      <c r="C23" s="239"/>
      <c r="D23" s="239"/>
      <c r="E23" s="239"/>
      <c r="F23" s="239"/>
    </row>
    <row r="24" spans="1:6" ht="32.1" customHeight="1">
      <c r="A24" s="191" t="s">
        <v>700</v>
      </c>
      <c r="B24" s="234"/>
      <c r="C24" s="234"/>
      <c r="D24" s="234"/>
      <c r="E24" s="234"/>
      <c r="F24" s="234"/>
    </row>
    <row r="25" spans="1:6" ht="33" customHeight="1">
      <c r="E25" s="240" t="s">
        <v>701</v>
      </c>
      <c r="F25" s="240"/>
    </row>
    <row r="26" spans="1:6" ht="33" customHeight="1">
      <c r="D26" s="192" t="s">
        <v>702</v>
      </c>
    </row>
  </sheetData>
  <mergeCells count="26">
    <mergeCell ref="E25:F25"/>
    <mergeCell ref="B19:F19"/>
    <mergeCell ref="B20:F20"/>
    <mergeCell ref="B21:F21"/>
    <mergeCell ref="B22:F22"/>
    <mergeCell ref="B23:F23"/>
    <mergeCell ref="B24:F24"/>
    <mergeCell ref="B18:C18"/>
    <mergeCell ref="E18:F18"/>
    <mergeCell ref="B5:F5"/>
    <mergeCell ref="B6:F6"/>
    <mergeCell ref="B7:F7"/>
    <mergeCell ref="B8:F8"/>
    <mergeCell ref="B9:F9"/>
    <mergeCell ref="B10:F10"/>
    <mergeCell ref="E11:F11"/>
    <mergeCell ref="B15:E15"/>
    <mergeCell ref="B16:C16"/>
    <mergeCell ref="E16:F16"/>
    <mergeCell ref="B17:F17"/>
    <mergeCell ref="B1:E1"/>
    <mergeCell ref="B2:C2"/>
    <mergeCell ref="E2:F2"/>
    <mergeCell ref="B3:F3"/>
    <mergeCell ref="B4:C4"/>
    <mergeCell ref="E4:F4"/>
  </mergeCells>
  <phoneticPr fontId="1" type="noConversion"/>
  <printOptions horizontalCentered="1" verticalCentered="1"/>
  <pageMargins left="0.23622047244094491" right="0.23622047244094491" top="0.55118110236220474" bottom="0.55118110236220474" header="0.31496062992125984" footer="0.31496062992125984"/>
  <pageSetup paperSize="9" scale="11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20</vt:i4>
      </vt:variant>
      <vt:variant>
        <vt:lpstr>命名范围</vt:lpstr>
      </vt:variant>
      <vt:variant>
        <vt:i4>13</vt:i4>
      </vt:variant>
    </vt:vector>
  </HeadingPairs>
  <TitlesOfParts>
    <vt:vector size="33" baseType="lpstr">
      <vt:lpstr>People (2)</vt:lpstr>
      <vt:lpstr>BearyChat弃用</vt:lpstr>
      <vt:lpstr>目次</vt:lpstr>
      <vt:lpstr>BigData2</vt:lpstr>
      <vt:lpstr>SFDC４</vt:lpstr>
      <vt:lpstr>SFDC3</vt:lpstr>
      <vt:lpstr>チェックリスト</vt:lpstr>
      <vt:lpstr>見積</vt:lpstr>
      <vt:lpstr>通帳</vt:lpstr>
      <vt:lpstr>通帳-天時</vt:lpstr>
      <vt:lpstr>収入明細</vt:lpstr>
      <vt:lpstr>授業料支払い</vt:lpstr>
      <vt:lpstr>前提知識</vt:lpstr>
      <vt:lpstr>チェックイン表</vt:lpstr>
      <vt:lpstr>フィードバック</vt:lpstr>
      <vt:lpstr>担当役割</vt:lpstr>
      <vt:lpstr>課程概要_第二回</vt:lpstr>
      <vt:lpstr>抽選賞品-Bigdata2</vt:lpstr>
      <vt:lpstr>スケジュール-基盤</vt:lpstr>
      <vt:lpstr>参加者登録表</vt:lpstr>
      <vt:lpstr>SFDC3!Print_Area</vt:lpstr>
      <vt:lpstr>SFDC４!Print_Area</vt:lpstr>
      <vt:lpstr>チェックイン表!Print_Area</vt:lpstr>
      <vt:lpstr>参加者登録表!Print_Area</vt:lpstr>
      <vt:lpstr>収入明細!Print_Area</vt:lpstr>
      <vt:lpstr>担当役割!Print_Area</vt:lpstr>
      <vt:lpstr>'抽選賞品-Bigdata2'!Print_Area</vt:lpstr>
      <vt:lpstr>通帳!Print_Area</vt:lpstr>
      <vt:lpstr>'通帳-天時'!Print_Area</vt:lpstr>
      <vt:lpstr>目次!Print_Area</vt:lpstr>
      <vt:lpstr>チェックイン表!Print_Titles</vt:lpstr>
      <vt:lpstr>通帳!Print_Titles</vt:lpstr>
      <vt:lpstr>'通帳-天時'!Print_Titles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ShuBin-JP Sun</dc:creator>
  <cp:lastModifiedBy>ssb-china</cp:lastModifiedBy>
  <dcterms:created xsi:type="dcterms:W3CDTF">2015-06-05T18:17:20Z</dcterms:created>
  <dcterms:modified xsi:type="dcterms:W3CDTF">2021-03-06T02:59:42Z</dcterms:modified>
</cp:coreProperties>
</file>